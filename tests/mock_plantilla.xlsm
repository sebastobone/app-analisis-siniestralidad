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ebatoec/projects/plantilla_seguimiento/src/"/>
    </mc:Choice>
  </mc:AlternateContent>
  <xr:revisionPtr revIDLastSave="0" documentId="13_ncr:1_{5D16C1FA-AFE0-474E-88A5-5E4B1E306374}" xr6:coauthVersionLast="47" xr6:coauthVersionMax="47" xr10:uidLastSave="{00000000-0000-0000-0000-000000000000}"/>
  <bookViews>
    <workbookView xWindow="0" yWindow="760" windowWidth="30240" windowHeight="17380" tabRatio="500" xr2:uid="{00000000-000D-0000-FFFF-FFFF00000000}"/>
  </bookViews>
  <sheets>
    <sheet name="Main" sheetId="14" r:id="rId1"/>
    <sheet name="Vectores_Index" sheetId="19" r:id="rId2"/>
    <sheet name="Plantilla_Frec" sheetId="5" r:id="rId3"/>
    <sheet name="Plantilla_Seve" sheetId="23" r:id="rId4"/>
    <sheet name="Plantilla_Plata" sheetId="20" r:id="rId5"/>
    <sheet name="Plantilla_Entremes" sheetId="22" state="hidden" r:id="rId6"/>
    <sheet name="Aux_Totales" sheetId="3" r:id="rId7"/>
    <sheet name="Aux_Expuestos" sheetId="12" r:id="rId8"/>
    <sheet name="Aux_Primas" sheetId="13" r:id="rId9"/>
    <sheet name="Atipicos" sheetId="26" r:id="rId10"/>
    <sheet name="Aux_Anterior" sheetId="24" r:id="rId11"/>
  </sheets>
  <functionGroups builtInGroupCount="19"/>
  <definedNames>
    <definedName name="SegmentaciónDeDatos_Apertura_Amparo_Desc">#N/A</definedName>
    <definedName name="SegmentaciónDeDatos_Apertura_Canal_Desc">#N/A</definedName>
    <definedName name="SegmentaciónDeDatos_Atributo">#N/A</definedName>
    <definedName name="SegmentaciónDeDatos_Ramo_Desc">#N/A</definedName>
  </definedNames>
  <calcPr calcId="191029"/>
  <extLst>
    <ext xmlns:x14="http://schemas.microsoft.com/office/spreadsheetml/2009/9/main" uri="{876F7934-8845-4945-9796-88D515C7AA90}">
      <x14:pivotCaches>
        <pivotCache cacheId="8" r:id="rId12"/>
        <pivotCache cacheId="9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13" i="22" l="1"/>
  <c r="D213" i="22"/>
  <c r="C213" i="22"/>
  <c r="B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228" i="22"/>
  <c r="D229" i="22"/>
  <c r="D230" i="22"/>
  <c r="D231" i="22"/>
  <c r="D232" i="22"/>
  <c r="D233" i="22"/>
  <c r="D234" i="22"/>
  <c r="D235" i="22"/>
  <c r="D236" i="22"/>
  <c r="D237" i="22"/>
  <c r="D238" i="22"/>
  <c r="D239" i="22"/>
  <c r="D240" i="22"/>
  <c r="D241" i="22"/>
  <c r="D242" i="22"/>
  <c r="D243" i="22"/>
  <c r="D244" i="22"/>
  <c r="D245" i="22"/>
  <c r="D246" i="22"/>
  <c r="D247" i="22"/>
  <c r="D248" i="22"/>
  <c r="D249" i="22"/>
  <c r="D250" i="22"/>
  <c r="D251" i="22"/>
  <c r="D252" i="22"/>
  <c r="D253" i="22"/>
  <c r="D254" i="22"/>
  <c r="D255" i="22" s="1"/>
  <c r="C214" i="22"/>
  <c r="C215" i="22"/>
  <c r="C216" i="22"/>
  <c r="C217" i="22"/>
  <c r="C218" i="22"/>
  <c r="C219" i="22"/>
  <c r="C220" i="22"/>
  <c r="C221" i="22"/>
  <c r="C222" i="22"/>
  <c r="C223" i="22"/>
  <c r="C224" i="22"/>
  <c r="C225" i="22"/>
  <c r="C226" i="22"/>
  <c r="C227" i="22"/>
  <c r="C228" i="22"/>
  <c r="C229" i="22"/>
  <c r="C230" i="22"/>
  <c r="C231" i="22"/>
  <c r="C232" i="22"/>
  <c r="C233" i="22"/>
  <c r="C234" i="22"/>
  <c r="C235" i="22"/>
  <c r="C236" i="22"/>
  <c r="C237" i="22"/>
  <c r="C238" i="22"/>
  <c r="C239" i="22"/>
  <c r="C240" i="22"/>
  <c r="C241" i="22"/>
  <c r="C242" i="22"/>
  <c r="C243" i="22"/>
  <c r="C244" i="22"/>
  <c r="C245" i="22"/>
  <c r="C246" i="22"/>
  <c r="C247" i="22"/>
  <c r="C248" i="22"/>
  <c r="C249" i="22"/>
  <c r="C250" i="22"/>
  <c r="C251" i="22"/>
  <c r="C252" i="22"/>
  <c r="C253" i="22"/>
  <c r="C254" i="22"/>
  <c r="C255" i="22"/>
  <c r="C256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AK168" i="22"/>
  <c r="AK169" i="22"/>
  <c r="AK170" i="22"/>
  <c r="AK171" i="22"/>
  <c r="AK172" i="22"/>
  <c r="AK173" i="22"/>
  <c r="AK174" i="22"/>
  <c r="AK175" i="22"/>
  <c r="AK176" i="22"/>
  <c r="AK177" i="22"/>
  <c r="AK178" i="22"/>
  <c r="AK179" i="22"/>
  <c r="AK180" i="22"/>
  <c r="AK181" i="22"/>
  <c r="AK182" i="22"/>
  <c r="AK183" i="22"/>
  <c r="AK184" i="22"/>
  <c r="AK185" i="22"/>
  <c r="AK186" i="22"/>
  <c r="AK187" i="22"/>
  <c r="AK188" i="22"/>
  <c r="AK189" i="22"/>
  <c r="AK190" i="22"/>
  <c r="AK191" i="22"/>
  <c r="AK192" i="22"/>
  <c r="AK193" i="22"/>
  <c r="AK194" i="22"/>
  <c r="AK195" i="22"/>
  <c r="AK196" i="22"/>
  <c r="AK197" i="22"/>
  <c r="AK198" i="22"/>
  <c r="AK199" i="22"/>
  <c r="AK200" i="22"/>
  <c r="AK201" i="22"/>
  <c r="AK202" i="22"/>
  <c r="AK203" i="22"/>
  <c r="AK204" i="22"/>
  <c r="AK205" i="22"/>
  <c r="AK206" i="22"/>
  <c r="AK207" i="22"/>
  <c r="AK208" i="22"/>
  <c r="AK209" i="22"/>
  <c r="S168" i="22"/>
  <c r="A168" i="22" a="1"/>
  <c r="M193" i="22" s="1"/>
  <c r="IT164" i="22" a="1"/>
  <c r="IT164" i="22" s="1"/>
  <c r="IU164" i="22" a="1"/>
  <c r="IU164" i="22" s="1"/>
  <c r="IV164" i="22" a="1"/>
  <c r="IV164" i="22" s="1"/>
  <c r="DY164" i="22" a="1"/>
  <c r="DY164" i="22" s="1"/>
  <c r="DZ164" i="22" a="1"/>
  <c r="DZ164" i="22" s="1"/>
  <c r="EA164" i="22" a="1"/>
  <c r="EA164" i="22" s="1"/>
  <c r="IV162" i="22"/>
  <c r="EA162" i="22"/>
  <c r="IV161" i="22"/>
  <c r="EA161" i="22"/>
  <c r="IV159" i="22"/>
  <c r="EA159" i="22"/>
  <c r="IV158" i="22"/>
  <c r="EA158" i="22"/>
  <c r="IV157" i="22"/>
  <c r="EA157" i="22"/>
  <c r="IV156" i="22"/>
  <c r="EA156" i="22"/>
  <c r="IV155" i="22"/>
  <c r="IV160" i="22" s="1"/>
  <c r="EA155" i="22"/>
  <c r="EA160" i="22" s="1"/>
  <c r="IV154" i="22"/>
  <c r="EA154" i="22"/>
  <c r="IV153" i="22"/>
  <c r="EA153" i="22"/>
  <c r="IV152" i="22"/>
  <c r="EA152" i="22"/>
  <c r="IV151" i="22"/>
  <c r="EA151" i="22"/>
  <c r="IV150" i="22"/>
  <c r="EA150" i="22"/>
  <c r="IV149" i="22"/>
  <c r="EA149" i="22"/>
  <c r="IV148" i="22"/>
  <c r="EA148" i="22"/>
  <c r="IV147" i="22"/>
  <c r="EA147" i="22"/>
  <c r="IV146" i="22"/>
  <c r="EO146" i="22"/>
  <c r="EG146" i="22"/>
  <c r="EA146" i="22"/>
  <c r="DY146" i="22"/>
  <c r="DQ146" i="22"/>
  <c r="DI146" i="22"/>
  <c r="DA146" i="22"/>
  <c r="CS146" i="22"/>
  <c r="CK146" i="22"/>
  <c r="CC146" i="22"/>
  <c r="BU146" i="22"/>
  <c r="BM146" i="22"/>
  <c r="BE146" i="22"/>
  <c r="AW146" i="22"/>
  <c r="AO146" i="22"/>
  <c r="AG146" i="22"/>
  <c r="Y146" i="22"/>
  <c r="Q146" i="22"/>
  <c r="I146" i="22"/>
  <c r="G152" i="22"/>
  <c r="G101" i="22"/>
  <c r="G147" i="22" s="1"/>
  <c r="H101" i="22"/>
  <c r="I101" i="22"/>
  <c r="J101" i="22"/>
  <c r="K101" i="22"/>
  <c r="L101" i="22"/>
  <c r="L148" i="22" s="1"/>
  <c r="M101" i="22"/>
  <c r="M147" i="22" s="1"/>
  <c r="N101" i="22"/>
  <c r="N146" i="22" s="1"/>
  <c r="O101" i="22"/>
  <c r="P101" i="22"/>
  <c r="Q101" i="22"/>
  <c r="R101" i="22"/>
  <c r="S101" i="22"/>
  <c r="S148" i="22" s="1"/>
  <c r="T101" i="22"/>
  <c r="T147" i="22" s="1"/>
  <c r="U101" i="22"/>
  <c r="U147" i="22" s="1"/>
  <c r="V101" i="22"/>
  <c r="V146" i="22" s="1"/>
  <c r="W101" i="22"/>
  <c r="W148" i="22" s="1"/>
  <c r="X101" i="22"/>
  <c r="X151" i="22" s="1"/>
  <c r="Y101" i="22"/>
  <c r="Y151" i="22" s="1"/>
  <c r="Z101" i="22"/>
  <c r="AA101" i="22"/>
  <c r="AB101" i="22"/>
  <c r="AB146" i="22" s="1"/>
  <c r="AC101" i="22"/>
  <c r="AC147" i="22" s="1"/>
  <c r="AD101" i="22"/>
  <c r="AD146" i="22" s="1"/>
  <c r="AE101" i="22"/>
  <c r="AE148" i="22" s="1"/>
  <c r="AF101" i="22"/>
  <c r="AF151" i="22" s="1"/>
  <c r="AG101" i="22"/>
  <c r="AH101" i="22"/>
  <c r="AI101" i="22"/>
  <c r="AJ101" i="22"/>
  <c r="AJ147" i="22" s="1"/>
  <c r="AK101" i="22"/>
  <c r="AK147" i="22" s="1"/>
  <c r="AL101" i="22"/>
  <c r="AL146" i="22" s="1"/>
  <c r="AM101" i="22"/>
  <c r="AM148" i="22" s="1"/>
  <c r="AN101" i="22"/>
  <c r="AN148" i="22" s="1"/>
  <c r="AO101" i="22"/>
  <c r="AP101" i="22"/>
  <c r="AQ101" i="22"/>
  <c r="AR101" i="22"/>
  <c r="AS101" i="22"/>
  <c r="AS147" i="22" s="1"/>
  <c r="AT101" i="22"/>
  <c r="AT152" i="22" s="1"/>
  <c r="AU101" i="22"/>
  <c r="AV101" i="22"/>
  <c r="AV148" i="22" s="1"/>
  <c r="AW101" i="22"/>
  <c r="AX101" i="22"/>
  <c r="AY101" i="22"/>
  <c r="AZ101" i="22"/>
  <c r="AZ146" i="22" s="1"/>
  <c r="BA101" i="22"/>
  <c r="BA148" i="22" s="1"/>
  <c r="BB101" i="22"/>
  <c r="BB146" i="22" s="1"/>
  <c r="BC101" i="22"/>
  <c r="BD101" i="22"/>
  <c r="BD151" i="22" s="1"/>
  <c r="BE101" i="22"/>
  <c r="BE151" i="22" s="1"/>
  <c r="BF101" i="22"/>
  <c r="BG101" i="22"/>
  <c r="BH101" i="22"/>
  <c r="BH147" i="22" s="1"/>
  <c r="BI101" i="22"/>
  <c r="BI147" i="22" s="1"/>
  <c r="BJ101" i="22"/>
  <c r="BJ146" i="22" s="1"/>
  <c r="BK101" i="22"/>
  <c r="BK148" i="22" s="1"/>
  <c r="BL101" i="22"/>
  <c r="BL151" i="22" s="1"/>
  <c r="BM101" i="22"/>
  <c r="BN101" i="22"/>
  <c r="BO101" i="22"/>
  <c r="BP101" i="22"/>
  <c r="BQ101" i="22"/>
  <c r="BQ147" i="22" s="1"/>
  <c r="BR101" i="22"/>
  <c r="BR146" i="22" s="1"/>
  <c r="BS101" i="22"/>
  <c r="BT101" i="22"/>
  <c r="BU101" i="22"/>
  <c r="BU148" i="22" s="1"/>
  <c r="BV101" i="22"/>
  <c r="BW101" i="22"/>
  <c r="BX101" i="22"/>
  <c r="BX148" i="22" s="1"/>
  <c r="BY101" i="22"/>
  <c r="BY148" i="22" s="1"/>
  <c r="BZ101" i="22"/>
  <c r="BZ146" i="22" s="1"/>
  <c r="CA101" i="22"/>
  <c r="CB101" i="22"/>
  <c r="CC101" i="22"/>
  <c r="CD101" i="22"/>
  <c r="CE101" i="22"/>
  <c r="CE148" i="22" s="1"/>
  <c r="CF101" i="22"/>
  <c r="CF147" i="22" s="1"/>
  <c r="CG101" i="22"/>
  <c r="CG147" i="22" s="1"/>
  <c r="CH101" i="22"/>
  <c r="CH146" i="22" s="1"/>
  <c r="CI101" i="22"/>
  <c r="CI148" i="22" s="1"/>
  <c r="CJ101" i="22"/>
  <c r="CJ151" i="22" s="1"/>
  <c r="CK101" i="22"/>
  <c r="CK151" i="22" s="1"/>
  <c r="CL101" i="22"/>
  <c r="CM101" i="22"/>
  <c r="CN101" i="22"/>
  <c r="CO101" i="22"/>
  <c r="CO148" i="22" s="1"/>
  <c r="CP101" i="22"/>
  <c r="CP146" i="22" s="1"/>
  <c r="CQ101" i="22"/>
  <c r="CR101" i="22"/>
  <c r="CR151" i="22" s="1"/>
  <c r="CS101" i="22"/>
  <c r="CT101" i="22"/>
  <c r="CU101" i="22"/>
  <c r="CU148" i="22" s="1"/>
  <c r="CV101" i="22"/>
  <c r="CV146" i="22" s="1"/>
  <c r="CW101" i="22"/>
  <c r="CW147" i="22" s="1"/>
  <c r="CX101" i="22"/>
  <c r="CX146" i="22" s="1"/>
  <c r="CY101" i="22"/>
  <c r="CY148" i="22" s="1"/>
  <c r="CZ101" i="22"/>
  <c r="DA101" i="22"/>
  <c r="DB101" i="22"/>
  <c r="DC101" i="22"/>
  <c r="DD101" i="22"/>
  <c r="DD147" i="22" s="1"/>
  <c r="DE101" i="22"/>
  <c r="DE148" i="22" s="1"/>
  <c r="DF101" i="22"/>
  <c r="DF146" i="22" s="1"/>
  <c r="DG101" i="22"/>
  <c r="DG152" i="22" s="1"/>
  <c r="DH101" i="22"/>
  <c r="DI101" i="22"/>
  <c r="DJ101" i="22"/>
  <c r="DK101" i="22"/>
  <c r="DK148" i="22" s="1"/>
  <c r="DL101" i="22"/>
  <c r="DL148" i="22" s="1"/>
  <c r="DM101" i="22"/>
  <c r="DM147" i="22" s="1"/>
  <c r="DN101" i="22"/>
  <c r="DN146" i="22" s="1"/>
  <c r="DO101" i="22"/>
  <c r="DP101" i="22"/>
  <c r="DP151" i="22" s="1"/>
  <c r="DQ101" i="22"/>
  <c r="DQ151" i="22" s="1"/>
  <c r="DR101" i="22"/>
  <c r="DS101" i="22"/>
  <c r="DT101" i="22"/>
  <c r="DT146" i="22" s="1"/>
  <c r="DU101" i="22"/>
  <c r="DU148" i="22" s="1"/>
  <c r="DV101" i="22"/>
  <c r="DV146" i="22" s="1"/>
  <c r="DW101" i="22"/>
  <c r="DX101" i="22"/>
  <c r="DX151" i="22" s="1"/>
  <c r="DY101" i="22"/>
  <c r="DZ101" i="22"/>
  <c r="EA101" i="22"/>
  <c r="EB101" i="22"/>
  <c r="EB147" i="22" s="1"/>
  <c r="EC101" i="22"/>
  <c r="EC147" i="22" s="1"/>
  <c r="ED101" i="22"/>
  <c r="ED146" i="22" s="1"/>
  <c r="EE101" i="22"/>
  <c r="EE152" i="22" s="1"/>
  <c r="EF101" i="22"/>
  <c r="EG101" i="22"/>
  <c r="EH101" i="22"/>
  <c r="EI101" i="22"/>
  <c r="EJ101" i="22"/>
  <c r="EJ147" i="22" s="1"/>
  <c r="EK101" i="22"/>
  <c r="EK147" i="22" s="1"/>
  <c r="EL101" i="22"/>
  <c r="EL152" i="22" s="1"/>
  <c r="EM101" i="22"/>
  <c r="EN101" i="22"/>
  <c r="EO101" i="22"/>
  <c r="EO151" i="22" s="1"/>
  <c r="EP101" i="22"/>
  <c r="EP150" i="22" s="1"/>
  <c r="EQ101" i="22"/>
  <c r="ER101" i="22"/>
  <c r="ES101" i="22"/>
  <c r="ES148" i="22" s="1"/>
  <c r="ET101" i="22"/>
  <c r="ET146" i="22" s="1"/>
  <c r="EU101" i="22"/>
  <c r="EV101" i="22"/>
  <c r="EV151" i="22" s="1"/>
  <c r="EW101" i="22"/>
  <c r="EW150" i="22" s="1"/>
  <c r="EX101" i="22"/>
  <c r="EY101" i="22"/>
  <c r="EZ101" i="22"/>
  <c r="EZ146" i="22" s="1"/>
  <c r="FA101" i="22"/>
  <c r="FA147" i="22" s="1"/>
  <c r="FB101" i="22"/>
  <c r="FB146" i="22" s="1"/>
  <c r="FC101" i="22"/>
  <c r="FD101" i="22"/>
  <c r="FE101" i="22"/>
  <c r="FF101" i="22"/>
  <c r="FG101" i="22"/>
  <c r="FH101" i="22"/>
  <c r="FH147" i="22" s="1"/>
  <c r="FI101" i="22"/>
  <c r="FI147" i="22" s="1"/>
  <c r="FJ101" i="22"/>
  <c r="FJ146" i="22" s="1"/>
  <c r="FK101" i="22"/>
  <c r="FL101" i="22"/>
  <c r="FM101" i="22"/>
  <c r="FN101" i="22"/>
  <c r="FO101" i="22"/>
  <c r="FP101" i="22"/>
  <c r="FQ101" i="22"/>
  <c r="FQ147" i="22" s="1"/>
  <c r="FR101" i="22"/>
  <c r="FR146" i="22" s="1"/>
  <c r="FS101" i="22"/>
  <c r="FT101" i="22"/>
  <c r="FU101" i="22"/>
  <c r="FU151" i="22" s="1"/>
  <c r="FV101" i="22"/>
  <c r="FV150" i="22" s="1"/>
  <c r="FW101" i="22"/>
  <c r="FW148" i="22" s="1"/>
  <c r="FX101" i="22"/>
  <c r="FX148" i="22" s="1"/>
  <c r="FY101" i="22"/>
  <c r="FY147" i="22" s="1"/>
  <c r="FZ101" i="22"/>
  <c r="FZ147" i="22" s="1"/>
  <c r="GA101" i="22"/>
  <c r="GB101" i="22"/>
  <c r="GB151" i="22" s="1"/>
  <c r="GC101" i="22"/>
  <c r="GC150" i="22" s="1"/>
  <c r="GD101" i="22"/>
  <c r="GE101" i="22"/>
  <c r="GF101" i="22"/>
  <c r="GF146" i="22" s="1"/>
  <c r="GG101" i="22"/>
  <c r="GG146" i="22" s="1"/>
  <c r="GH101" i="22"/>
  <c r="GH146" i="22" s="1"/>
  <c r="GI101" i="22"/>
  <c r="GJ101" i="22"/>
  <c r="GK101" i="22"/>
  <c r="GL101" i="22"/>
  <c r="GM101" i="22"/>
  <c r="GN101" i="22"/>
  <c r="GN146" i="22" s="1"/>
  <c r="GO101" i="22"/>
  <c r="GO146" i="22" s="1"/>
  <c r="GP101" i="22"/>
  <c r="GP146" i="22" s="1"/>
  <c r="GQ101" i="22"/>
  <c r="GQ147" i="22" s="1"/>
  <c r="GR101" i="22"/>
  <c r="GS101" i="22"/>
  <c r="GT101" i="22"/>
  <c r="GU101" i="22"/>
  <c r="GV101" i="22"/>
  <c r="GV146" i="22" s="1"/>
  <c r="GW101" i="22"/>
  <c r="GW146" i="22" s="1"/>
  <c r="GX101" i="22"/>
  <c r="GX146" i="22" s="1"/>
  <c r="GY101" i="22"/>
  <c r="GY147" i="22" s="1"/>
  <c r="GZ101" i="22"/>
  <c r="HA101" i="22"/>
  <c r="HA151" i="22" s="1"/>
  <c r="HB101" i="22"/>
  <c r="HB150" i="22" s="1"/>
  <c r="HC101" i="22"/>
  <c r="HD101" i="22"/>
  <c r="HE101" i="22"/>
  <c r="HE146" i="22" s="1"/>
  <c r="HF101" i="22"/>
  <c r="HF146" i="22" s="1"/>
  <c r="HG101" i="22"/>
  <c r="HG147" i="22" s="1"/>
  <c r="HH101" i="22"/>
  <c r="HH147" i="22" s="1"/>
  <c r="HI101" i="22"/>
  <c r="HI150" i="22" s="1"/>
  <c r="HJ101" i="22"/>
  <c r="HK101" i="22"/>
  <c r="HL101" i="22"/>
  <c r="HL148" i="22" s="1"/>
  <c r="HM101" i="22"/>
  <c r="HM146" i="22" s="1"/>
  <c r="HN101" i="22"/>
  <c r="HN146" i="22" s="1"/>
  <c r="HO101" i="22"/>
  <c r="HP101" i="22"/>
  <c r="HP147" i="22" s="1"/>
  <c r="HQ101" i="22"/>
  <c r="HR101" i="22"/>
  <c r="HS101" i="22"/>
  <c r="HT101" i="22"/>
  <c r="HU101" i="22"/>
  <c r="HU147" i="22" s="1"/>
  <c r="HV101" i="22"/>
  <c r="HV146" i="22" s="1"/>
  <c r="HW101" i="22"/>
  <c r="HW152" i="22" s="1"/>
  <c r="HX101" i="22"/>
  <c r="HY101" i="22"/>
  <c r="HY147" i="22" s="1"/>
  <c r="HZ101" i="22"/>
  <c r="IA101" i="22"/>
  <c r="IB101" i="22"/>
  <c r="IB146" i="22" s="1"/>
  <c r="IC101" i="22"/>
  <c r="IC147" i="22" s="1"/>
  <c r="ID101" i="22"/>
  <c r="ID146" i="22" s="1"/>
  <c r="IE101" i="22"/>
  <c r="IF101" i="22"/>
  <c r="IG101" i="22"/>
  <c r="IH101" i="22"/>
  <c r="IH150" i="22" s="1"/>
  <c r="II101" i="22"/>
  <c r="IJ101" i="22"/>
  <c r="IJ147" i="22" s="1"/>
  <c r="IK101" i="22"/>
  <c r="IK147" i="22" s="1"/>
  <c r="IL101" i="22"/>
  <c r="IL147" i="22" s="1"/>
  <c r="IM101" i="22"/>
  <c r="IN101" i="22"/>
  <c r="IO101" i="22"/>
  <c r="IO150" i="22" s="1"/>
  <c r="IP101" i="22"/>
  <c r="IQ101" i="22"/>
  <c r="IR101" i="22"/>
  <c r="IR148" i="22" s="1"/>
  <c r="IS101" i="22"/>
  <c r="IS146" i="22" s="1"/>
  <c r="IT101" i="22"/>
  <c r="IT146" i="22" s="1"/>
  <c r="IU101" i="22"/>
  <c r="IU151" i="22" s="1"/>
  <c r="IV101" i="22"/>
  <c r="G102" i="22"/>
  <c r="G148" i="22" s="1"/>
  <c r="H102" i="22"/>
  <c r="I102" i="22"/>
  <c r="I147" i="22" s="1"/>
  <c r="J102" i="22"/>
  <c r="J146" i="22" s="1"/>
  <c r="K102" i="22"/>
  <c r="L102" i="22"/>
  <c r="M102" i="22"/>
  <c r="M146" i="22" s="1"/>
  <c r="N102" i="22"/>
  <c r="O102" i="22"/>
  <c r="P102" i="22"/>
  <c r="Q102" i="22"/>
  <c r="Q147" i="22" s="1"/>
  <c r="R102" i="22"/>
  <c r="R146" i="22" s="1"/>
  <c r="S102" i="22"/>
  <c r="T102" i="22"/>
  <c r="U102" i="22"/>
  <c r="U146" i="22" s="1"/>
  <c r="V102" i="22"/>
  <c r="W102" i="22"/>
  <c r="W146" i="22" s="1"/>
  <c r="X102" i="22"/>
  <c r="Y102" i="22"/>
  <c r="Y150" i="22" s="1"/>
  <c r="Z102" i="22"/>
  <c r="Z146" i="22" s="1"/>
  <c r="AA102" i="22"/>
  <c r="AB102" i="22"/>
  <c r="AC102" i="22"/>
  <c r="AC146" i="22" s="1"/>
  <c r="AD102" i="22"/>
  <c r="AE102" i="22"/>
  <c r="AE146" i="22" s="1"/>
  <c r="AF102" i="22"/>
  <c r="AG102" i="22"/>
  <c r="AG147" i="22" s="1"/>
  <c r="AH102" i="22"/>
  <c r="AH146" i="22" s="1"/>
  <c r="AI102" i="22"/>
  <c r="AJ102" i="22"/>
  <c r="AK102" i="22"/>
  <c r="AK146" i="22" s="1"/>
  <c r="AL102" i="22"/>
  <c r="AM102" i="22"/>
  <c r="AM146" i="22" s="1"/>
  <c r="AN102" i="22"/>
  <c r="AO102" i="22"/>
  <c r="AO147" i="22" s="1"/>
  <c r="AP102" i="22"/>
  <c r="AP146" i="22" s="1"/>
  <c r="AQ102" i="22"/>
  <c r="AR102" i="22"/>
  <c r="AS102" i="22"/>
  <c r="AS146" i="22" s="1"/>
  <c r="AT102" i="22"/>
  <c r="AU102" i="22"/>
  <c r="AU146" i="22" s="1"/>
  <c r="AV102" i="22"/>
  <c r="AW102" i="22"/>
  <c r="AW147" i="22" s="1"/>
  <c r="AX102" i="22"/>
  <c r="AX146" i="22" s="1"/>
  <c r="AY102" i="22"/>
  <c r="AZ102" i="22"/>
  <c r="BA102" i="22"/>
  <c r="BA146" i="22" s="1"/>
  <c r="BB102" i="22"/>
  <c r="BC102" i="22"/>
  <c r="BC146" i="22" s="1"/>
  <c r="BD102" i="22"/>
  <c r="BE102" i="22"/>
  <c r="BE150" i="22" s="1"/>
  <c r="BF102" i="22"/>
  <c r="BF146" i="22" s="1"/>
  <c r="BG102" i="22"/>
  <c r="BH102" i="22"/>
  <c r="BI102" i="22"/>
  <c r="BI146" i="22" s="1"/>
  <c r="BJ102" i="22"/>
  <c r="BK102" i="22"/>
  <c r="BL102" i="22"/>
  <c r="BM102" i="22"/>
  <c r="BM147" i="22" s="1"/>
  <c r="BN102" i="22"/>
  <c r="BN146" i="22" s="1"/>
  <c r="BO102" i="22"/>
  <c r="BP102" i="22"/>
  <c r="BQ102" i="22"/>
  <c r="BR102" i="22"/>
  <c r="BS102" i="22"/>
  <c r="BT102" i="22"/>
  <c r="BU102" i="22"/>
  <c r="BU147" i="22" s="1"/>
  <c r="BV102" i="22"/>
  <c r="BV146" i="22" s="1"/>
  <c r="BW102" i="22"/>
  <c r="BX102" i="22"/>
  <c r="BY102" i="22"/>
  <c r="BZ102" i="22"/>
  <c r="CA102" i="22"/>
  <c r="CB102" i="22"/>
  <c r="CC102" i="22"/>
  <c r="CC147" i="22" s="1"/>
  <c r="CD102" i="22"/>
  <c r="CD146" i="22" s="1"/>
  <c r="CE102" i="22"/>
  <c r="CF102" i="22"/>
  <c r="CG102" i="22"/>
  <c r="CH102" i="22"/>
  <c r="CI102" i="22"/>
  <c r="CJ102" i="22"/>
  <c r="CK102" i="22"/>
  <c r="CK150" i="22" s="1"/>
  <c r="CL102" i="22"/>
  <c r="CL146" i="22" s="1"/>
  <c r="CM102" i="22"/>
  <c r="CN102" i="22"/>
  <c r="CO102" i="22"/>
  <c r="CP102" i="22"/>
  <c r="CQ102" i="22"/>
  <c r="CR102" i="22"/>
  <c r="CS102" i="22"/>
  <c r="CS147" i="22" s="1"/>
  <c r="CT102" i="22"/>
  <c r="CT146" i="22" s="1"/>
  <c r="CU102" i="22"/>
  <c r="CV102" i="22"/>
  <c r="CW102" i="22"/>
  <c r="CX102" i="22"/>
  <c r="CY102" i="22"/>
  <c r="CZ102" i="22"/>
  <c r="DA102" i="22"/>
  <c r="DA147" i="22" s="1"/>
  <c r="DB102" i="22"/>
  <c r="DB146" i="22" s="1"/>
  <c r="DC102" i="22"/>
  <c r="DD102" i="22"/>
  <c r="DE102" i="22"/>
  <c r="DF102" i="22"/>
  <c r="DG102" i="22"/>
  <c r="DH102" i="22"/>
  <c r="DI102" i="22"/>
  <c r="DI147" i="22" s="1"/>
  <c r="DJ102" i="22"/>
  <c r="DJ146" i="22" s="1"/>
  <c r="DK102" i="22"/>
  <c r="DL102" i="22"/>
  <c r="DM102" i="22"/>
  <c r="DN102" i="22"/>
  <c r="DO102" i="22"/>
  <c r="DP102" i="22"/>
  <c r="DQ102" i="22"/>
  <c r="DQ150" i="22" s="1"/>
  <c r="DR102" i="22"/>
  <c r="DR146" i="22" s="1"/>
  <c r="DS102" i="22"/>
  <c r="DT102" i="22"/>
  <c r="DU102" i="22"/>
  <c r="DV102" i="22"/>
  <c r="DW102" i="22"/>
  <c r="DX102" i="22"/>
  <c r="DY102" i="22"/>
  <c r="DY147" i="22" s="1"/>
  <c r="DZ102" i="22"/>
  <c r="DZ146" i="22" s="1"/>
  <c r="EA102" i="22"/>
  <c r="EB102" i="22"/>
  <c r="EC102" i="22"/>
  <c r="ED102" i="22"/>
  <c r="EE102" i="22"/>
  <c r="EF102" i="22"/>
  <c r="EG102" i="22"/>
  <c r="EG147" i="22" s="1"/>
  <c r="EH102" i="22"/>
  <c r="EH146" i="22" s="1"/>
  <c r="EI102" i="22"/>
  <c r="EJ102" i="22"/>
  <c r="EK102" i="22"/>
  <c r="EL102" i="22"/>
  <c r="EM102" i="22"/>
  <c r="EN102" i="22"/>
  <c r="EO102" i="22"/>
  <c r="EO147" i="22" s="1"/>
  <c r="EP102" i="22"/>
  <c r="EP146" i="22" s="1"/>
  <c r="EQ102" i="22"/>
  <c r="ER102" i="22"/>
  <c r="ES102" i="22"/>
  <c r="ET102" i="22"/>
  <c r="EU102" i="22"/>
  <c r="EV102" i="22"/>
  <c r="EW102" i="22"/>
  <c r="EW147" i="22" s="1"/>
  <c r="EX102" i="22"/>
  <c r="EX146" i="22" s="1"/>
  <c r="EY102" i="22"/>
  <c r="EZ102" i="22"/>
  <c r="FA102" i="22"/>
  <c r="FB102" i="22"/>
  <c r="FC102" i="22"/>
  <c r="FD102" i="22"/>
  <c r="FE102" i="22"/>
  <c r="FE147" i="22" s="1"/>
  <c r="FF102" i="22"/>
  <c r="FF146" i="22" s="1"/>
  <c r="FG102" i="22"/>
  <c r="FH102" i="22"/>
  <c r="FI102" i="22"/>
  <c r="FJ102" i="22"/>
  <c r="FK102" i="22"/>
  <c r="FL102" i="22"/>
  <c r="FM102" i="22"/>
  <c r="FM147" i="22" s="1"/>
  <c r="FN102" i="22"/>
  <c r="FN146" i="22" s="1"/>
  <c r="FO102" i="22"/>
  <c r="FP102" i="22"/>
  <c r="FQ102" i="22"/>
  <c r="FR102" i="22"/>
  <c r="FS102" i="22"/>
  <c r="FT102" i="22"/>
  <c r="FU102" i="22"/>
  <c r="FU147" i="22" s="1"/>
  <c r="FV102" i="22"/>
  <c r="FV146" i="22" s="1"/>
  <c r="FW102" i="22"/>
  <c r="FX102" i="22"/>
  <c r="FY102" i="22"/>
  <c r="FZ102" i="22"/>
  <c r="GA102" i="22"/>
  <c r="GB102" i="22"/>
  <c r="GC102" i="22"/>
  <c r="GD102" i="22"/>
  <c r="GD147" i="22" s="1"/>
  <c r="GE102" i="22"/>
  <c r="GF102" i="22"/>
  <c r="GG102" i="22"/>
  <c r="GH102" i="22"/>
  <c r="GI102" i="22"/>
  <c r="GJ102" i="22"/>
  <c r="GK102" i="22"/>
  <c r="GL102" i="22"/>
  <c r="GL146" i="22" s="1"/>
  <c r="GM102" i="22"/>
  <c r="GN102" i="22"/>
  <c r="GO102" i="22"/>
  <c r="GP102" i="22"/>
  <c r="GQ102" i="22"/>
  <c r="GR102" i="22"/>
  <c r="GS102" i="22"/>
  <c r="GT102" i="22"/>
  <c r="GT146" i="22" s="1"/>
  <c r="GU102" i="22"/>
  <c r="GV102" i="22"/>
  <c r="GW102" i="22"/>
  <c r="GX102" i="22"/>
  <c r="GY102" i="22"/>
  <c r="GZ102" i="22"/>
  <c r="HA102" i="22"/>
  <c r="HA150" i="22" s="1"/>
  <c r="HB102" i="22"/>
  <c r="HB146" i="22" s="1"/>
  <c r="HC102" i="22"/>
  <c r="HD102" i="22"/>
  <c r="HE102" i="22"/>
  <c r="HF102" i="22"/>
  <c r="HG102" i="22"/>
  <c r="HH102" i="22"/>
  <c r="HI102" i="22"/>
  <c r="HJ102" i="22"/>
  <c r="HJ146" i="22" s="1"/>
  <c r="HK102" i="22"/>
  <c r="HL102" i="22"/>
  <c r="HM102" i="22"/>
  <c r="HN102" i="22"/>
  <c r="HO102" i="22"/>
  <c r="HP102" i="22"/>
  <c r="HQ102" i="22"/>
  <c r="HR102" i="22"/>
  <c r="HR146" i="22" s="1"/>
  <c r="HS102" i="22"/>
  <c r="HT102" i="22"/>
  <c r="HU102" i="22"/>
  <c r="HV102" i="22"/>
  <c r="HW102" i="22"/>
  <c r="HX102" i="22"/>
  <c r="HY102" i="22"/>
  <c r="HZ102" i="22"/>
  <c r="HZ146" i="22" s="1"/>
  <c r="IA102" i="22"/>
  <c r="IB102" i="22"/>
  <c r="IC102" i="22"/>
  <c r="ID102" i="22"/>
  <c r="IE102" i="22"/>
  <c r="IF102" i="22"/>
  <c r="IG102" i="22"/>
  <c r="IG150" i="22" s="1"/>
  <c r="IH102" i="22"/>
  <c r="IH146" i="22" s="1"/>
  <c r="II102" i="22"/>
  <c r="IJ102" i="22"/>
  <c r="IK102" i="22"/>
  <c r="IL102" i="22"/>
  <c r="IM102" i="22"/>
  <c r="IN102" i="22"/>
  <c r="IO102" i="22"/>
  <c r="IO151" i="22" s="1"/>
  <c r="IP102" i="22"/>
  <c r="IP147" i="22" s="1"/>
  <c r="IQ102" i="22"/>
  <c r="IR102" i="22"/>
  <c r="IS102" i="22"/>
  <c r="IT102" i="22"/>
  <c r="IU102" i="22"/>
  <c r="IV102" i="22"/>
  <c r="G103" i="22"/>
  <c r="G146" i="22" s="1"/>
  <c r="H103" i="22"/>
  <c r="H147" i="22" s="1"/>
  <c r="I103" i="22"/>
  <c r="J103" i="22"/>
  <c r="K103" i="22"/>
  <c r="L103" i="22"/>
  <c r="M103" i="22"/>
  <c r="N103" i="22"/>
  <c r="O103" i="22"/>
  <c r="O146" i="22" s="1"/>
  <c r="P103" i="22"/>
  <c r="P147" i="22" s="1"/>
  <c r="Q103" i="22"/>
  <c r="R103" i="22"/>
  <c r="S103" i="22"/>
  <c r="T103" i="22"/>
  <c r="U103" i="22"/>
  <c r="V103" i="22"/>
  <c r="W103" i="22"/>
  <c r="X103" i="22"/>
  <c r="X147" i="22" s="1"/>
  <c r="Y103" i="22"/>
  <c r="Z103" i="22"/>
  <c r="AA103" i="22"/>
  <c r="AB103" i="22"/>
  <c r="AC103" i="22"/>
  <c r="AD103" i="22"/>
  <c r="AE103" i="22"/>
  <c r="AF103" i="22"/>
  <c r="AF147" i="22" s="1"/>
  <c r="AG103" i="22"/>
  <c r="AH103" i="22"/>
  <c r="AI103" i="22"/>
  <c r="AJ103" i="22"/>
  <c r="AK103" i="22"/>
  <c r="AL103" i="22"/>
  <c r="AM103" i="22"/>
  <c r="AN103" i="22"/>
  <c r="AN147" i="22" s="1"/>
  <c r="AO103" i="22"/>
  <c r="AP103" i="22"/>
  <c r="AQ103" i="22"/>
  <c r="AR103" i="22"/>
  <c r="AS103" i="22"/>
  <c r="AT103" i="22"/>
  <c r="AU103" i="22"/>
  <c r="AU148" i="22" s="1"/>
  <c r="AV103" i="22"/>
  <c r="AV147" i="22" s="1"/>
  <c r="AW103" i="22"/>
  <c r="AX103" i="22"/>
  <c r="AY103" i="22"/>
  <c r="AZ103" i="22"/>
  <c r="BA103" i="22"/>
  <c r="BB103" i="22"/>
  <c r="BC103" i="22"/>
  <c r="BD103" i="22"/>
  <c r="BD147" i="22" s="1"/>
  <c r="BE103" i="22"/>
  <c r="BF103" i="22"/>
  <c r="BG103" i="22"/>
  <c r="BH103" i="22"/>
  <c r="BI103" i="22"/>
  <c r="BJ103" i="22"/>
  <c r="BK103" i="22"/>
  <c r="BL103" i="22"/>
  <c r="BL147" i="22" s="1"/>
  <c r="BM103" i="22"/>
  <c r="BN103" i="22"/>
  <c r="BO103" i="22"/>
  <c r="BP103" i="22"/>
  <c r="BQ103" i="22"/>
  <c r="BR103" i="22"/>
  <c r="BS103" i="22"/>
  <c r="BS148" i="22" s="1"/>
  <c r="BT103" i="22"/>
  <c r="BT147" i="22" s="1"/>
  <c r="BU103" i="22"/>
  <c r="BV103" i="22"/>
  <c r="BW103" i="22"/>
  <c r="BX103" i="22"/>
  <c r="BY103" i="22"/>
  <c r="BZ103" i="22"/>
  <c r="CA103" i="22"/>
  <c r="CA152" i="22" s="1"/>
  <c r="CB103" i="22"/>
  <c r="CB147" i="22" s="1"/>
  <c r="CC103" i="22"/>
  <c r="CD103" i="22"/>
  <c r="CE103" i="22"/>
  <c r="CF103" i="22"/>
  <c r="CG103" i="22"/>
  <c r="CH103" i="22"/>
  <c r="CI103" i="22"/>
  <c r="CJ103" i="22"/>
  <c r="CJ147" i="22" s="1"/>
  <c r="CK103" i="22"/>
  <c r="CL103" i="22"/>
  <c r="CM103" i="22"/>
  <c r="CN103" i="22"/>
  <c r="CO103" i="22"/>
  <c r="CP103" i="22"/>
  <c r="CQ103" i="22"/>
  <c r="CR103" i="22"/>
  <c r="CR147" i="22" s="1"/>
  <c r="CS103" i="22"/>
  <c r="CT103" i="22"/>
  <c r="CU103" i="22"/>
  <c r="CV103" i="22"/>
  <c r="CW103" i="22"/>
  <c r="CX103" i="22"/>
  <c r="CY103" i="22"/>
  <c r="CZ103" i="22"/>
  <c r="CZ147" i="22" s="1"/>
  <c r="DA103" i="22"/>
  <c r="DB103" i="22"/>
  <c r="DC103" i="22"/>
  <c r="DD103" i="22"/>
  <c r="DE103" i="22"/>
  <c r="DF103" i="22"/>
  <c r="DG103" i="22"/>
  <c r="DH103" i="22"/>
  <c r="DH147" i="22" s="1"/>
  <c r="DI103" i="22"/>
  <c r="DJ103" i="22"/>
  <c r="DK103" i="22"/>
  <c r="DL103" i="22"/>
  <c r="DM103" i="22"/>
  <c r="DN103" i="22"/>
  <c r="DO103" i="22"/>
  <c r="DP103" i="22"/>
  <c r="DP147" i="22" s="1"/>
  <c r="DQ103" i="22"/>
  <c r="DR103" i="22"/>
  <c r="DS103" i="22"/>
  <c r="DT103" i="22"/>
  <c r="DU103" i="22"/>
  <c r="DV103" i="22"/>
  <c r="DW103" i="22"/>
  <c r="DX103" i="22"/>
  <c r="DX147" i="22" s="1"/>
  <c r="DY103" i="22"/>
  <c r="DZ103" i="22"/>
  <c r="EA103" i="22"/>
  <c r="EB103" i="22"/>
  <c r="EC103" i="22"/>
  <c r="ED103" i="22"/>
  <c r="EE103" i="22"/>
  <c r="EF103" i="22"/>
  <c r="EF147" i="22" s="1"/>
  <c r="EG103" i="22"/>
  <c r="EH103" i="22"/>
  <c r="EI103" i="22"/>
  <c r="EJ103" i="22"/>
  <c r="EK103" i="22"/>
  <c r="EL103" i="22"/>
  <c r="EM103" i="22"/>
  <c r="EN103" i="22"/>
  <c r="EN151" i="22" s="1"/>
  <c r="EO103" i="22"/>
  <c r="EP103" i="22"/>
  <c r="EQ103" i="22"/>
  <c r="ER103" i="22"/>
  <c r="ES103" i="22"/>
  <c r="ET103" i="22"/>
  <c r="EU103" i="22"/>
  <c r="EV103" i="22"/>
  <c r="EV147" i="22" s="1"/>
  <c r="EW103" i="22"/>
  <c r="EX103" i="22"/>
  <c r="EY103" i="22"/>
  <c r="EZ103" i="22"/>
  <c r="FA103" i="22"/>
  <c r="FB103" i="22"/>
  <c r="FC103" i="22"/>
  <c r="FD103" i="22"/>
  <c r="FD147" i="22" s="1"/>
  <c r="FE103" i="22"/>
  <c r="FF103" i="22"/>
  <c r="FG103" i="22"/>
  <c r="FH103" i="22"/>
  <c r="FI103" i="22"/>
  <c r="FJ103" i="22"/>
  <c r="FK103" i="22"/>
  <c r="FL103" i="22"/>
  <c r="FL147" i="22" s="1"/>
  <c r="FM103" i="22"/>
  <c r="FN103" i="22"/>
  <c r="FO103" i="22"/>
  <c r="FP103" i="22"/>
  <c r="FQ103" i="22"/>
  <c r="FR103" i="22"/>
  <c r="FS103" i="22"/>
  <c r="FT103" i="22"/>
  <c r="FT151" i="22" s="1"/>
  <c r="FU103" i="22"/>
  <c r="FV103" i="22"/>
  <c r="FW103" i="22"/>
  <c r="FX103" i="22"/>
  <c r="FY103" i="22"/>
  <c r="FZ103" i="22"/>
  <c r="GA103" i="22"/>
  <c r="GB103" i="22"/>
  <c r="GC103" i="22"/>
  <c r="GD103" i="22"/>
  <c r="GE103" i="22"/>
  <c r="GF103" i="22"/>
  <c r="GG103" i="22"/>
  <c r="GH103" i="22"/>
  <c r="GI103" i="22"/>
  <c r="GJ103" i="22"/>
  <c r="GK103" i="22"/>
  <c r="GL103" i="22"/>
  <c r="GM103" i="22"/>
  <c r="GN103" i="22"/>
  <c r="GO103" i="22"/>
  <c r="GP103" i="22"/>
  <c r="GQ103" i="22"/>
  <c r="GQ152" i="22" s="1"/>
  <c r="GR103" i="22"/>
  <c r="GS103" i="22"/>
  <c r="GT103" i="22"/>
  <c r="GU103" i="22"/>
  <c r="GV103" i="22"/>
  <c r="GW103" i="22"/>
  <c r="GX103" i="22"/>
  <c r="GY103" i="22"/>
  <c r="GZ103" i="22"/>
  <c r="GZ151" i="22" s="1"/>
  <c r="HA103" i="22"/>
  <c r="HB103" i="22"/>
  <c r="HC103" i="22"/>
  <c r="HD103" i="22"/>
  <c r="HE103" i="22"/>
  <c r="HF103" i="22"/>
  <c r="HG103" i="22"/>
  <c r="HH103" i="22"/>
  <c r="HI103" i="22"/>
  <c r="HJ103" i="22"/>
  <c r="HK103" i="22"/>
  <c r="HL103" i="22"/>
  <c r="HM103" i="22"/>
  <c r="HN103" i="22"/>
  <c r="HO103" i="22"/>
  <c r="HO147" i="22" s="1"/>
  <c r="HP103" i="22"/>
  <c r="HQ103" i="22"/>
  <c r="HR103" i="22"/>
  <c r="HS103" i="22"/>
  <c r="HT103" i="22"/>
  <c r="HU103" i="22"/>
  <c r="HV103" i="22"/>
  <c r="HW103" i="22"/>
  <c r="HX103" i="22"/>
  <c r="HX147" i="22" s="1"/>
  <c r="HY103" i="22"/>
  <c r="HZ103" i="22"/>
  <c r="IA103" i="22"/>
  <c r="IB103" i="22"/>
  <c r="IC103" i="22"/>
  <c r="ID103" i="22"/>
  <c r="IE103" i="22"/>
  <c r="IF103" i="22"/>
  <c r="IF147" i="22" s="1"/>
  <c r="IG103" i="22"/>
  <c r="IH103" i="22"/>
  <c r="II103" i="22"/>
  <c r="IJ103" i="22"/>
  <c r="IK103" i="22"/>
  <c r="IL103" i="22"/>
  <c r="IM103" i="22"/>
  <c r="IN103" i="22"/>
  <c r="IO103" i="22"/>
  <c r="IP103" i="22"/>
  <c r="IQ103" i="22"/>
  <c r="IR103" i="22"/>
  <c r="IS103" i="22"/>
  <c r="IT103" i="22"/>
  <c r="IU103" i="22"/>
  <c r="IV103" i="22"/>
  <c r="G104" i="22"/>
  <c r="H104" i="22"/>
  <c r="I104" i="22"/>
  <c r="J104" i="22"/>
  <c r="K104" i="22"/>
  <c r="L104" i="22"/>
  <c r="M104" i="22"/>
  <c r="N104" i="22"/>
  <c r="O104" i="22"/>
  <c r="P104" i="22"/>
  <c r="Q104" i="22"/>
  <c r="R104" i="22"/>
  <c r="S104" i="22"/>
  <c r="T104" i="22"/>
  <c r="U104" i="22"/>
  <c r="V104" i="22"/>
  <c r="W104" i="22"/>
  <c r="X104" i="22"/>
  <c r="Y104" i="22"/>
  <c r="Z104" i="22"/>
  <c r="AA104" i="22"/>
  <c r="AB104" i="22"/>
  <c r="AC104" i="22"/>
  <c r="AC148" i="22" s="1"/>
  <c r="AD104" i="22"/>
  <c r="AE104" i="22"/>
  <c r="AF104" i="22"/>
  <c r="AG104" i="22"/>
  <c r="AH104" i="22"/>
  <c r="AI104" i="22"/>
  <c r="AJ104" i="22"/>
  <c r="AK104" i="22"/>
  <c r="AK148" i="22" s="1"/>
  <c r="AL104" i="22"/>
  <c r="AL148" i="22" s="1"/>
  <c r="AM104" i="22"/>
  <c r="AN104" i="22"/>
  <c r="AO104" i="22"/>
  <c r="AP104" i="22"/>
  <c r="AQ104" i="22"/>
  <c r="AR104" i="22"/>
  <c r="AS104" i="22"/>
  <c r="AT104" i="22"/>
  <c r="AT148" i="22" s="1"/>
  <c r="AU104" i="22"/>
  <c r="AV104" i="22"/>
  <c r="AW104" i="22"/>
  <c r="AX104" i="22"/>
  <c r="AY104" i="22"/>
  <c r="AZ104" i="22"/>
  <c r="BA104" i="22"/>
  <c r="BB104" i="22"/>
  <c r="BC104" i="22"/>
  <c r="BD104" i="22"/>
  <c r="BE104" i="22"/>
  <c r="BF104" i="22"/>
  <c r="BG104" i="22"/>
  <c r="BH104" i="22"/>
  <c r="BI104" i="22"/>
  <c r="BJ104" i="22"/>
  <c r="BK104" i="22"/>
  <c r="BL104" i="22"/>
  <c r="BM104" i="22"/>
  <c r="BN104" i="22"/>
  <c r="BO104" i="22"/>
  <c r="BP104" i="22"/>
  <c r="BQ104" i="22"/>
  <c r="BQ148" i="22" s="1"/>
  <c r="BR104" i="22"/>
  <c r="BS104" i="22"/>
  <c r="BT104" i="22"/>
  <c r="BU104" i="22"/>
  <c r="BV104" i="22"/>
  <c r="BW104" i="22"/>
  <c r="BX104" i="22"/>
  <c r="BY104" i="22"/>
  <c r="BZ104" i="22"/>
  <c r="CA104" i="22"/>
  <c r="CB104" i="22"/>
  <c r="CC104" i="22"/>
  <c r="CD104" i="22"/>
  <c r="CE104" i="22"/>
  <c r="CF104" i="22"/>
  <c r="CG104" i="22"/>
  <c r="CH104" i="22"/>
  <c r="CI104" i="22"/>
  <c r="CJ104" i="22"/>
  <c r="CK104" i="22"/>
  <c r="CL104" i="22"/>
  <c r="CM104" i="22"/>
  <c r="CN104" i="22"/>
  <c r="CO104" i="22"/>
  <c r="CP104" i="22"/>
  <c r="CQ104" i="22"/>
  <c r="CR104" i="22"/>
  <c r="CS104" i="22"/>
  <c r="CT104" i="22"/>
  <c r="CU104" i="22"/>
  <c r="CV104" i="22"/>
  <c r="CW104" i="22"/>
  <c r="CX104" i="22"/>
  <c r="CY104" i="22"/>
  <c r="CZ104" i="22"/>
  <c r="DA104" i="22"/>
  <c r="DB104" i="22"/>
  <c r="DC104" i="22"/>
  <c r="DD104" i="22"/>
  <c r="DE104" i="22"/>
  <c r="DF104" i="22"/>
  <c r="DG104" i="22"/>
  <c r="DH104" i="22"/>
  <c r="DI104" i="22"/>
  <c r="DJ104" i="22"/>
  <c r="DK104" i="22"/>
  <c r="DL104" i="22"/>
  <c r="DM104" i="22"/>
  <c r="DN104" i="22"/>
  <c r="DO104" i="22"/>
  <c r="DP104" i="22"/>
  <c r="DQ104" i="22"/>
  <c r="DR104" i="22"/>
  <c r="DS104" i="22"/>
  <c r="DT104" i="22"/>
  <c r="DU104" i="22"/>
  <c r="DV104" i="22"/>
  <c r="DW104" i="22"/>
  <c r="DX104" i="22"/>
  <c r="DY104" i="22"/>
  <c r="DZ104" i="22"/>
  <c r="EA104" i="22"/>
  <c r="EB104" i="22"/>
  <c r="EC104" i="22"/>
  <c r="EC148" i="22" s="1"/>
  <c r="ED104" i="22"/>
  <c r="EE104" i="22"/>
  <c r="EF104" i="22"/>
  <c r="EG104" i="22"/>
  <c r="EH104" i="22"/>
  <c r="EI104" i="22"/>
  <c r="EJ104" i="22"/>
  <c r="EK104" i="22"/>
  <c r="EL104" i="22"/>
  <c r="EM104" i="22"/>
  <c r="EN104" i="22"/>
  <c r="EO104" i="22"/>
  <c r="EP104" i="22"/>
  <c r="EQ104" i="22"/>
  <c r="ER104" i="22"/>
  <c r="ES104" i="22"/>
  <c r="ET104" i="22"/>
  <c r="EU104" i="22"/>
  <c r="EV104" i="22"/>
  <c r="EW104" i="22"/>
  <c r="EX104" i="22"/>
  <c r="EY104" i="22"/>
  <c r="EZ104" i="22"/>
  <c r="FA104" i="22"/>
  <c r="FA148" i="22" s="1"/>
  <c r="FB104" i="22"/>
  <c r="FC104" i="22"/>
  <c r="FD104" i="22"/>
  <c r="FE104" i="22"/>
  <c r="FF104" i="22"/>
  <c r="FG104" i="22"/>
  <c r="FH104" i="22"/>
  <c r="FI104" i="22"/>
  <c r="FJ104" i="22"/>
  <c r="FK104" i="22"/>
  <c r="FL104" i="22"/>
  <c r="FM104" i="22"/>
  <c r="FN104" i="22"/>
  <c r="FO104" i="22"/>
  <c r="FP104" i="22"/>
  <c r="FQ104" i="22"/>
  <c r="FR104" i="22"/>
  <c r="FS104" i="22"/>
  <c r="FT104" i="22"/>
  <c r="FU104" i="22"/>
  <c r="FV104" i="22"/>
  <c r="FW104" i="22"/>
  <c r="FX104" i="22"/>
  <c r="FY104" i="22"/>
  <c r="FZ104" i="22"/>
  <c r="GA104" i="22"/>
  <c r="GB104" i="22"/>
  <c r="GC104" i="22"/>
  <c r="GD104" i="22"/>
  <c r="GE104" i="22"/>
  <c r="GF104" i="22"/>
  <c r="GG104" i="22"/>
  <c r="GH104" i="22"/>
  <c r="GI104" i="22"/>
  <c r="GJ104" i="22"/>
  <c r="GK104" i="22"/>
  <c r="GL104" i="22"/>
  <c r="GM104" i="22"/>
  <c r="GN104" i="22"/>
  <c r="GO104" i="22"/>
  <c r="GP104" i="22"/>
  <c r="GQ104" i="22"/>
  <c r="GR104" i="22"/>
  <c r="GS104" i="22"/>
  <c r="GT104" i="22"/>
  <c r="GU104" i="22"/>
  <c r="GV104" i="22"/>
  <c r="GW104" i="22"/>
  <c r="GW147" i="22" s="1"/>
  <c r="GX104" i="22"/>
  <c r="GY104" i="22"/>
  <c r="GZ104" i="22"/>
  <c r="HA104" i="22"/>
  <c r="HB104" i="22"/>
  <c r="HC104" i="22"/>
  <c r="HD104" i="22"/>
  <c r="HE104" i="22"/>
  <c r="HF104" i="22"/>
  <c r="HF147" i="22" s="1"/>
  <c r="HG104" i="22"/>
  <c r="HH104" i="22"/>
  <c r="HI104" i="22"/>
  <c r="HJ104" i="22"/>
  <c r="HK104" i="22"/>
  <c r="HL104" i="22"/>
  <c r="HM104" i="22"/>
  <c r="HN104" i="22"/>
  <c r="HN147" i="22" s="1"/>
  <c r="HO104" i="22"/>
  <c r="HP104" i="22"/>
  <c r="HQ104" i="22"/>
  <c r="HR104" i="22"/>
  <c r="HS104" i="22"/>
  <c r="HT104" i="22"/>
  <c r="HU104" i="22"/>
  <c r="HV104" i="22"/>
  <c r="HW104" i="22"/>
  <c r="HX104" i="22"/>
  <c r="HY104" i="22"/>
  <c r="HZ104" i="22"/>
  <c r="IA104" i="22"/>
  <c r="IB104" i="22"/>
  <c r="IC104" i="22"/>
  <c r="ID104" i="22"/>
  <c r="IE104" i="22"/>
  <c r="IF104" i="22"/>
  <c r="IG104" i="22"/>
  <c r="IH104" i="22"/>
  <c r="II104" i="22"/>
  <c r="IJ104" i="22"/>
  <c r="IK104" i="22"/>
  <c r="IL104" i="22"/>
  <c r="IM104" i="22"/>
  <c r="IN104" i="22"/>
  <c r="IO104" i="22"/>
  <c r="IP104" i="22"/>
  <c r="IQ104" i="22"/>
  <c r="IR104" i="22"/>
  <c r="IS104" i="22"/>
  <c r="IT104" i="22"/>
  <c r="IU104" i="22"/>
  <c r="IV104" i="22"/>
  <c r="G105" i="22"/>
  <c r="H105" i="22"/>
  <c r="I105" i="22"/>
  <c r="J105" i="22"/>
  <c r="K105" i="22"/>
  <c r="L105" i="22"/>
  <c r="M105" i="22"/>
  <c r="N105" i="22"/>
  <c r="O105" i="22"/>
  <c r="P105" i="22"/>
  <c r="Q105" i="22"/>
  <c r="R105" i="22"/>
  <c r="S105" i="22"/>
  <c r="T105" i="22"/>
  <c r="U105" i="22"/>
  <c r="V105" i="22"/>
  <c r="W105" i="22"/>
  <c r="X105" i="22"/>
  <c r="Y105" i="22"/>
  <c r="Z105" i="22"/>
  <c r="AA105" i="22"/>
  <c r="AB105" i="22"/>
  <c r="AC105" i="22"/>
  <c r="AD105" i="22"/>
  <c r="AE105" i="22"/>
  <c r="AF105" i="22"/>
  <c r="AG105" i="22"/>
  <c r="AH105" i="22"/>
  <c r="AI105" i="22"/>
  <c r="AJ105" i="22"/>
  <c r="AK105" i="22"/>
  <c r="AL105" i="22"/>
  <c r="AM105" i="22"/>
  <c r="AN105" i="22"/>
  <c r="AO105" i="22"/>
  <c r="AP105" i="22"/>
  <c r="AQ105" i="22"/>
  <c r="AR105" i="22"/>
  <c r="AS105" i="22"/>
  <c r="AT105" i="22"/>
  <c r="AU105" i="22"/>
  <c r="AV105" i="22"/>
  <c r="AW105" i="22"/>
  <c r="AX105" i="22"/>
  <c r="AY105" i="22"/>
  <c r="AZ105" i="22"/>
  <c r="BA105" i="22"/>
  <c r="BB105" i="22"/>
  <c r="BC105" i="22"/>
  <c r="BD105" i="22"/>
  <c r="BE105" i="22"/>
  <c r="BF105" i="22"/>
  <c r="BG105" i="22"/>
  <c r="BH105" i="22"/>
  <c r="BI105" i="22"/>
  <c r="BJ105" i="22"/>
  <c r="BK105" i="22"/>
  <c r="BL105" i="22"/>
  <c r="BM105" i="22"/>
  <c r="BN105" i="22"/>
  <c r="BO105" i="22"/>
  <c r="BP105" i="22"/>
  <c r="BQ105" i="22"/>
  <c r="BR105" i="22"/>
  <c r="BS105" i="22"/>
  <c r="BT105" i="22"/>
  <c r="BU105" i="22"/>
  <c r="BV105" i="22"/>
  <c r="BW105" i="22"/>
  <c r="BX105" i="22"/>
  <c r="BY105" i="22"/>
  <c r="BZ105" i="22"/>
  <c r="CA105" i="22"/>
  <c r="CB105" i="22"/>
  <c r="CC105" i="22"/>
  <c r="CD105" i="22"/>
  <c r="CE105" i="22"/>
  <c r="CF105" i="22"/>
  <c r="CG105" i="22"/>
  <c r="CH105" i="22"/>
  <c r="CI105" i="22"/>
  <c r="CJ105" i="22"/>
  <c r="CK105" i="22"/>
  <c r="CL105" i="22"/>
  <c r="CM105" i="22"/>
  <c r="CN105" i="22"/>
  <c r="CO105" i="22"/>
  <c r="CP105" i="22"/>
  <c r="CQ105" i="22"/>
  <c r="CR105" i="22"/>
  <c r="CS105" i="22"/>
  <c r="CT105" i="22"/>
  <c r="CU105" i="22"/>
  <c r="CV105" i="22"/>
  <c r="CW105" i="22"/>
  <c r="CX105" i="22"/>
  <c r="CY105" i="22"/>
  <c r="CZ105" i="22"/>
  <c r="DA105" i="22"/>
  <c r="DB105" i="22"/>
  <c r="DC105" i="22"/>
  <c r="DD105" i="22"/>
  <c r="DE105" i="22"/>
  <c r="DE153" i="22" s="1"/>
  <c r="DF105" i="22"/>
  <c r="DG105" i="22"/>
  <c r="DH105" i="22"/>
  <c r="DI105" i="22"/>
  <c r="DJ105" i="22"/>
  <c r="DK105" i="22"/>
  <c r="DL105" i="22"/>
  <c r="DM105" i="22"/>
  <c r="DN105" i="22"/>
  <c r="DO105" i="22"/>
  <c r="DP105" i="22"/>
  <c r="DQ105" i="22"/>
  <c r="DR105" i="22"/>
  <c r="DS105" i="22"/>
  <c r="DT105" i="22"/>
  <c r="DU105" i="22"/>
  <c r="DV105" i="22"/>
  <c r="DW105" i="22"/>
  <c r="DX105" i="22"/>
  <c r="DY105" i="22"/>
  <c r="DZ105" i="22"/>
  <c r="EA105" i="22"/>
  <c r="EB105" i="22"/>
  <c r="EC105" i="22"/>
  <c r="ED105" i="22"/>
  <c r="EE105" i="22"/>
  <c r="EF105" i="22"/>
  <c r="EG105" i="22"/>
  <c r="EH105" i="22"/>
  <c r="EI105" i="22"/>
  <c r="EJ105" i="22"/>
  <c r="EK105" i="22"/>
  <c r="EL105" i="22"/>
  <c r="EM105" i="22"/>
  <c r="EN105" i="22"/>
  <c r="EO105" i="22"/>
  <c r="EP105" i="22"/>
  <c r="EQ105" i="22"/>
  <c r="ER105" i="22"/>
  <c r="ES105" i="22"/>
  <c r="ET105" i="22"/>
  <c r="EU105" i="22"/>
  <c r="EV105" i="22"/>
  <c r="EW105" i="22"/>
  <c r="EX105" i="22"/>
  <c r="EY105" i="22"/>
  <c r="EZ105" i="22"/>
  <c r="FA105" i="22"/>
  <c r="FB105" i="22"/>
  <c r="FC105" i="22"/>
  <c r="FD105" i="22"/>
  <c r="FE105" i="22"/>
  <c r="FF105" i="22"/>
  <c r="FG105" i="22"/>
  <c r="FH105" i="22"/>
  <c r="FI105" i="22"/>
  <c r="FJ105" i="22"/>
  <c r="FK105" i="22"/>
  <c r="FL105" i="22"/>
  <c r="FM105" i="22"/>
  <c r="FN105" i="22"/>
  <c r="FO105" i="22"/>
  <c r="FP105" i="22"/>
  <c r="FQ105" i="22"/>
  <c r="FR105" i="22"/>
  <c r="FS105" i="22"/>
  <c r="FT105" i="22"/>
  <c r="FU105" i="22"/>
  <c r="FV105" i="22"/>
  <c r="FW105" i="22"/>
  <c r="FX105" i="22"/>
  <c r="FY105" i="22"/>
  <c r="FZ105" i="22"/>
  <c r="GA105" i="22"/>
  <c r="GB105" i="22"/>
  <c r="GC105" i="22"/>
  <c r="GD105" i="22"/>
  <c r="GE105" i="22"/>
  <c r="GF105" i="22"/>
  <c r="GG105" i="22"/>
  <c r="GH105" i="22"/>
  <c r="GI105" i="22"/>
  <c r="GJ105" i="22"/>
  <c r="GK105" i="22"/>
  <c r="GL105" i="22"/>
  <c r="GM105" i="22"/>
  <c r="GN105" i="22"/>
  <c r="GO105" i="22"/>
  <c r="GP105" i="22"/>
  <c r="GQ105" i="22"/>
  <c r="GR105" i="22"/>
  <c r="GS105" i="22"/>
  <c r="GT105" i="22"/>
  <c r="GU105" i="22"/>
  <c r="GV105" i="22"/>
  <c r="GW105" i="22"/>
  <c r="GX105" i="22"/>
  <c r="GY105" i="22"/>
  <c r="GZ105" i="22"/>
  <c r="HA105" i="22"/>
  <c r="HB105" i="22"/>
  <c r="HC105" i="22"/>
  <c r="HD105" i="22"/>
  <c r="HE105" i="22"/>
  <c r="HF105" i="22"/>
  <c r="HG105" i="22"/>
  <c r="HH105" i="22"/>
  <c r="HI105" i="22"/>
  <c r="HJ105" i="22"/>
  <c r="HK105" i="22"/>
  <c r="HL105" i="22"/>
  <c r="HM105" i="22"/>
  <c r="HN105" i="22"/>
  <c r="HO105" i="22"/>
  <c r="HP105" i="22"/>
  <c r="HQ105" i="22"/>
  <c r="HR105" i="22"/>
  <c r="HS105" i="22"/>
  <c r="HT105" i="22"/>
  <c r="HU105" i="22"/>
  <c r="HV105" i="22"/>
  <c r="HW105" i="22"/>
  <c r="HX105" i="22"/>
  <c r="HY105" i="22"/>
  <c r="HZ105" i="22"/>
  <c r="IA105" i="22"/>
  <c r="IB105" i="22"/>
  <c r="IC105" i="22"/>
  <c r="ID105" i="22"/>
  <c r="IE105" i="22"/>
  <c r="IF105" i="22"/>
  <c r="IG105" i="22"/>
  <c r="IH105" i="22"/>
  <c r="II105" i="22"/>
  <c r="IJ105" i="22"/>
  <c r="IK105" i="22"/>
  <c r="IL105" i="22"/>
  <c r="IM105" i="22"/>
  <c r="IN105" i="22"/>
  <c r="IO105" i="22"/>
  <c r="IP105" i="22"/>
  <c r="IQ105" i="22"/>
  <c r="IR105" i="22"/>
  <c r="IS105" i="22"/>
  <c r="IT105" i="22"/>
  <c r="IU105" i="22"/>
  <c r="IV105" i="22"/>
  <c r="G106" i="22"/>
  <c r="H106" i="22"/>
  <c r="I106" i="22"/>
  <c r="J106" i="22"/>
  <c r="K106" i="22"/>
  <c r="L106" i="22"/>
  <c r="M106" i="22"/>
  <c r="N106" i="22"/>
  <c r="O106" i="22"/>
  <c r="P106" i="22"/>
  <c r="Q106" i="22"/>
  <c r="R106" i="22"/>
  <c r="S106" i="22"/>
  <c r="T106" i="22"/>
  <c r="U106" i="22"/>
  <c r="V106" i="22"/>
  <c r="W106" i="22"/>
  <c r="X106" i="22"/>
  <c r="Y106" i="22"/>
  <c r="Z106" i="22"/>
  <c r="AA106" i="22"/>
  <c r="AB106" i="22"/>
  <c r="AC106" i="22"/>
  <c r="AD106" i="22"/>
  <c r="AE106" i="22"/>
  <c r="AF106" i="22"/>
  <c r="AG106" i="22"/>
  <c r="AH106" i="22"/>
  <c r="AI106" i="22"/>
  <c r="AJ106" i="22"/>
  <c r="AK106" i="22"/>
  <c r="AL106" i="22"/>
  <c r="AM106" i="22"/>
  <c r="AN106" i="22"/>
  <c r="AO106" i="22"/>
  <c r="AP106" i="22"/>
  <c r="AQ106" i="22"/>
  <c r="AR106" i="22"/>
  <c r="AS106" i="22"/>
  <c r="AT106" i="22"/>
  <c r="AU106" i="22"/>
  <c r="AV106" i="22"/>
  <c r="AW106" i="22"/>
  <c r="AX106" i="22"/>
  <c r="AY106" i="22"/>
  <c r="AZ106" i="22"/>
  <c r="BA106" i="22"/>
  <c r="BB106" i="22"/>
  <c r="BC106" i="22"/>
  <c r="BD106" i="22"/>
  <c r="BE106" i="22"/>
  <c r="BF106" i="22"/>
  <c r="BG106" i="22"/>
  <c r="BH106" i="22"/>
  <c r="BI106" i="22"/>
  <c r="BJ106" i="22"/>
  <c r="BK106" i="22"/>
  <c r="BL106" i="22"/>
  <c r="BM106" i="22"/>
  <c r="BN106" i="22"/>
  <c r="BO106" i="22"/>
  <c r="BP106" i="22"/>
  <c r="BQ106" i="22"/>
  <c r="BR106" i="22"/>
  <c r="BS106" i="22"/>
  <c r="BT106" i="22"/>
  <c r="BU106" i="22"/>
  <c r="BV106" i="22"/>
  <c r="BW106" i="22"/>
  <c r="BX106" i="22"/>
  <c r="BY106" i="22"/>
  <c r="BZ106" i="22"/>
  <c r="CA106" i="22"/>
  <c r="CB106" i="22"/>
  <c r="CC106" i="22"/>
  <c r="CD106" i="22"/>
  <c r="CE106" i="22"/>
  <c r="CF106" i="22"/>
  <c r="CG106" i="22"/>
  <c r="CH106" i="22"/>
  <c r="CI106" i="22"/>
  <c r="CJ106" i="22"/>
  <c r="CK106" i="22"/>
  <c r="CL106" i="22"/>
  <c r="CM106" i="22"/>
  <c r="CN106" i="22"/>
  <c r="CO106" i="22"/>
  <c r="CP106" i="22"/>
  <c r="CQ106" i="22"/>
  <c r="CR106" i="22"/>
  <c r="CS106" i="22"/>
  <c r="CT106" i="22"/>
  <c r="CU106" i="22"/>
  <c r="CV106" i="22"/>
  <c r="CW106" i="22"/>
  <c r="CX106" i="22"/>
  <c r="CY106" i="22"/>
  <c r="CZ106" i="22"/>
  <c r="DA106" i="22"/>
  <c r="DB106" i="22"/>
  <c r="DC106" i="22"/>
  <c r="DD106" i="22"/>
  <c r="DE106" i="22"/>
  <c r="DF106" i="22"/>
  <c r="DG106" i="22"/>
  <c r="DH106" i="22"/>
  <c r="DI106" i="22"/>
  <c r="DJ106" i="22"/>
  <c r="DK106" i="22"/>
  <c r="DL106" i="22"/>
  <c r="DM106" i="22"/>
  <c r="DN106" i="22"/>
  <c r="DO106" i="22"/>
  <c r="DP106" i="22"/>
  <c r="DQ106" i="22"/>
  <c r="DR106" i="22"/>
  <c r="DS106" i="22"/>
  <c r="DT106" i="22"/>
  <c r="DU106" i="22"/>
  <c r="DV106" i="22"/>
  <c r="DW106" i="22"/>
  <c r="DX106" i="22"/>
  <c r="DY106" i="22"/>
  <c r="DZ106" i="22"/>
  <c r="EA106" i="22"/>
  <c r="EB106" i="22"/>
  <c r="EC106" i="22"/>
  <c r="ED106" i="22"/>
  <c r="EE106" i="22"/>
  <c r="EF106" i="22"/>
  <c r="EG106" i="22"/>
  <c r="EH106" i="22"/>
  <c r="EI106" i="22"/>
  <c r="EJ106" i="22"/>
  <c r="EK106" i="22"/>
  <c r="EL106" i="22"/>
  <c r="EM106" i="22"/>
  <c r="EN106" i="22"/>
  <c r="EO106" i="22"/>
  <c r="EP106" i="22"/>
  <c r="EQ106" i="22"/>
  <c r="ER106" i="22"/>
  <c r="ES106" i="22"/>
  <c r="ET106" i="22"/>
  <c r="EU106" i="22"/>
  <c r="EV106" i="22"/>
  <c r="EW106" i="22"/>
  <c r="EX106" i="22"/>
  <c r="EY106" i="22"/>
  <c r="EZ106" i="22"/>
  <c r="FA106" i="22"/>
  <c r="FB106" i="22"/>
  <c r="FC106" i="22"/>
  <c r="FD106" i="22"/>
  <c r="FE106" i="22"/>
  <c r="FF106" i="22"/>
  <c r="FG106" i="22"/>
  <c r="FH106" i="22"/>
  <c r="FI106" i="22"/>
  <c r="FJ106" i="22"/>
  <c r="FK106" i="22"/>
  <c r="FL106" i="22"/>
  <c r="FM106" i="22"/>
  <c r="FN106" i="22"/>
  <c r="FO106" i="22"/>
  <c r="FP106" i="22"/>
  <c r="FQ106" i="22"/>
  <c r="FR106" i="22"/>
  <c r="FS106" i="22"/>
  <c r="FT106" i="22"/>
  <c r="FU106" i="22"/>
  <c r="FV106" i="22"/>
  <c r="FW106" i="22"/>
  <c r="FX106" i="22"/>
  <c r="FY106" i="22"/>
  <c r="FZ106" i="22"/>
  <c r="GA106" i="22"/>
  <c r="GB106" i="22"/>
  <c r="GC106" i="22"/>
  <c r="GD106" i="22"/>
  <c r="GE106" i="22"/>
  <c r="GF106" i="22"/>
  <c r="GG106" i="22"/>
  <c r="GH106" i="22"/>
  <c r="GI106" i="22"/>
  <c r="GJ106" i="22"/>
  <c r="GK106" i="22"/>
  <c r="GL106" i="22"/>
  <c r="GM106" i="22"/>
  <c r="GN106" i="22"/>
  <c r="GO106" i="22"/>
  <c r="GP106" i="22"/>
  <c r="GQ106" i="22"/>
  <c r="GR106" i="22"/>
  <c r="GS106" i="22"/>
  <c r="GT106" i="22"/>
  <c r="GU106" i="22"/>
  <c r="GV106" i="22"/>
  <c r="GW106" i="22"/>
  <c r="GX106" i="22"/>
  <c r="GY106" i="22"/>
  <c r="GZ106" i="22"/>
  <c r="HA106" i="22"/>
  <c r="HB106" i="22"/>
  <c r="HC106" i="22"/>
  <c r="HD106" i="22"/>
  <c r="HE106" i="22"/>
  <c r="HF106" i="22"/>
  <c r="HG106" i="22"/>
  <c r="HH106" i="22"/>
  <c r="HI106" i="22"/>
  <c r="HJ106" i="22"/>
  <c r="HK106" i="22"/>
  <c r="HL106" i="22"/>
  <c r="HM106" i="22"/>
  <c r="HN106" i="22"/>
  <c r="HO106" i="22"/>
  <c r="HP106" i="22"/>
  <c r="HQ106" i="22"/>
  <c r="HR106" i="22"/>
  <c r="HS106" i="22"/>
  <c r="HT106" i="22"/>
  <c r="HU106" i="22"/>
  <c r="HV106" i="22"/>
  <c r="HW106" i="22"/>
  <c r="HX106" i="22"/>
  <c r="HY106" i="22"/>
  <c r="HZ106" i="22"/>
  <c r="IA106" i="22"/>
  <c r="IB106" i="22"/>
  <c r="IC106" i="22"/>
  <c r="ID106" i="22"/>
  <c r="IE106" i="22"/>
  <c r="IF106" i="22"/>
  <c r="IG106" i="22"/>
  <c r="IH106" i="22"/>
  <c r="II106" i="22"/>
  <c r="IJ106" i="22"/>
  <c r="IK106" i="22"/>
  <c r="IL106" i="22"/>
  <c r="IM106" i="22"/>
  <c r="IN106" i="22"/>
  <c r="IO106" i="22"/>
  <c r="IP106" i="22"/>
  <c r="IQ106" i="22"/>
  <c r="IR106" i="22"/>
  <c r="IS106" i="22"/>
  <c r="IT106" i="22"/>
  <c r="IU106" i="22"/>
  <c r="IV106" i="22"/>
  <c r="G107" i="22"/>
  <c r="H107" i="22"/>
  <c r="I107" i="22"/>
  <c r="J107" i="22"/>
  <c r="K107" i="22"/>
  <c r="L107" i="22"/>
  <c r="M107" i="22"/>
  <c r="N107" i="22"/>
  <c r="O107" i="22"/>
  <c r="P107" i="22"/>
  <c r="Q107" i="22"/>
  <c r="R107" i="22"/>
  <c r="S107" i="22"/>
  <c r="T107" i="22"/>
  <c r="U107" i="22"/>
  <c r="V107" i="22"/>
  <c r="W107" i="22"/>
  <c r="X107" i="22"/>
  <c r="Y107" i="22"/>
  <c r="Z107" i="22"/>
  <c r="AA107" i="22"/>
  <c r="AB107" i="22"/>
  <c r="AC107" i="22"/>
  <c r="AD107" i="22"/>
  <c r="AE107" i="22"/>
  <c r="AF107" i="22"/>
  <c r="AG107" i="22"/>
  <c r="AH107" i="22"/>
  <c r="AI107" i="22"/>
  <c r="AJ107" i="22"/>
  <c r="AK107" i="22"/>
  <c r="AL107" i="22"/>
  <c r="AM107" i="22"/>
  <c r="AN107" i="22"/>
  <c r="AO107" i="22"/>
  <c r="AP107" i="22"/>
  <c r="AQ107" i="22"/>
  <c r="AR107" i="22"/>
  <c r="AS107" i="22"/>
  <c r="AT107" i="22"/>
  <c r="AU107" i="22"/>
  <c r="AV107" i="22"/>
  <c r="AW107" i="22"/>
  <c r="AX107" i="22"/>
  <c r="AY107" i="22"/>
  <c r="AZ107" i="22"/>
  <c r="BA107" i="22"/>
  <c r="BB107" i="22"/>
  <c r="BC107" i="22"/>
  <c r="BD107" i="22"/>
  <c r="BE107" i="22"/>
  <c r="BF107" i="22"/>
  <c r="BG107" i="22"/>
  <c r="BH107" i="22"/>
  <c r="BI107" i="22"/>
  <c r="BJ107" i="22"/>
  <c r="BK107" i="22"/>
  <c r="BL107" i="22"/>
  <c r="BM107" i="22"/>
  <c r="BN107" i="22"/>
  <c r="BO107" i="22"/>
  <c r="BP107" i="22"/>
  <c r="BQ107" i="22"/>
  <c r="BR107" i="22"/>
  <c r="BS107" i="22"/>
  <c r="BT107" i="22"/>
  <c r="BU107" i="22"/>
  <c r="BV107" i="22"/>
  <c r="BW107" i="22"/>
  <c r="BX107" i="22"/>
  <c r="BY107" i="22"/>
  <c r="BZ107" i="22"/>
  <c r="CA107" i="22"/>
  <c r="CB107" i="22"/>
  <c r="CC107" i="22"/>
  <c r="CD107" i="22"/>
  <c r="CE107" i="22"/>
  <c r="CF107" i="22"/>
  <c r="CG107" i="22"/>
  <c r="CH107" i="22"/>
  <c r="CI107" i="22"/>
  <c r="CJ107" i="22"/>
  <c r="CK107" i="22"/>
  <c r="CL107" i="22"/>
  <c r="CM107" i="22"/>
  <c r="CN107" i="22"/>
  <c r="CO107" i="22"/>
  <c r="CP107" i="22"/>
  <c r="CQ107" i="22"/>
  <c r="CR107" i="22"/>
  <c r="CS107" i="22"/>
  <c r="CT107" i="22"/>
  <c r="CU107" i="22"/>
  <c r="CV107" i="22"/>
  <c r="CW107" i="22"/>
  <c r="CX107" i="22"/>
  <c r="CY107" i="22"/>
  <c r="CZ107" i="22"/>
  <c r="DA107" i="22"/>
  <c r="DB107" i="22"/>
  <c r="DC107" i="22"/>
  <c r="DD107" i="22"/>
  <c r="DE107" i="22"/>
  <c r="DF107" i="22"/>
  <c r="DG107" i="22"/>
  <c r="DH107" i="22"/>
  <c r="DI107" i="22"/>
  <c r="DJ107" i="22"/>
  <c r="DK107" i="22"/>
  <c r="DL107" i="22"/>
  <c r="DM107" i="22"/>
  <c r="DN107" i="22"/>
  <c r="DO107" i="22"/>
  <c r="DP107" i="22"/>
  <c r="DQ107" i="22"/>
  <c r="DR107" i="22"/>
  <c r="DS107" i="22"/>
  <c r="DT107" i="22"/>
  <c r="DU107" i="22"/>
  <c r="DV107" i="22"/>
  <c r="DW107" i="22"/>
  <c r="DX107" i="22"/>
  <c r="DY107" i="22"/>
  <c r="DZ107" i="22"/>
  <c r="EA107" i="22"/>
  <c r="EB107" i="22"/>
  <c r="EC107" i="22"/>
  <c r="ED107" i="22"/>
  <c r="EE107" i="22"/>
  <c r="EF107" i="22"/>
  <c r="EG107" i="22"/>
  <c r="EH107" i="22"/>
  <c r="EI107" i="22"/>
  <c r="EJ107" i="22"/>
  <c r="EK107" i="22"/>
  <c r="EL107" i="22"/>
  <c r="EM107" i="22"/>
  <c r="EN107" i="22"/>
  <c r="EO107" i="22"/>
  <c r="EP107" i="22"/>
  <c r="EQ107" i="22"/>
  <c r="ER107" i="22"/>
  <c r="ES107" i="22"/>
  <c r="ET107" i="22"/>
  <c r="EU107" i="22"/>
  <c r="EV107" i="22"/>
  <c r="EW107" i="22"/>
  <c r="EX107" i="22"/>
  <c r="EY107" i="22"/>
  <c r="EZ107" i="22"/>
  <c r="FA107" i="22"/>
  <c r="FB107" i="22"/>
  <c r="FC107" i="22"/>
  <c r="FD107" i="22"/>
  <c r="FE107" i="22"/>
  <c r="FF107" i="22"/>
  <c r="FG107" i="22"/>
  <c r="FH107" i="22"/>
  <c r="FI107" i="22"/>
  <c r="FJ107" i="22"/>
  <c r="FK107" i="22"/>
  <c r="FL107" i="22"/>
  <c r="FM107" i="22"/>
  <c r="FN107" i="22"/>
  <c r="FO107" i="22"/>
  <c r="FP107" i="22"/>
  <c r="FQ107" i="22"/>
  <c r="FR107" i="22"/>
  <c r="FS107" i="22"/>
  <c r="FT107" i="22"/>
  <c r="FU107" i="22"/>
  <c r="FV107" i="22"/>
  <c r="FW107" i="22"/>
  <c r="FX107" i="22"/>
  <c r="FY107" i="22"/>
  <c r="FZ107" i="22"/>
  <c r="GA107" i="22"/>
  <c r="GB107" i="22"/>
  <c r="GC107" i="22"/>
  <c r="GD107" i="22"/>
  <c r="GE107" i="22"/>
  <c r="GF107" i="22"/>
  <c r="GG107" i="22"/>
  <c r="GH107" i="22"/>
  <c r="GI107" i="22"/>
  <c r="GJ107" i="22"/>
  <c r="GK107" i="22"/>
  <c r="GL107" i="22"/>
  <c r="GM107" i="22"/>
  <c r="GN107" i="22"/>
  <c r="GO107" i="22"/>
  <c r="GP107" i="22"/>
  <c r="GQ107" i="22"/>
  <c r="GR107" i="22"/>
  <c r="GS107" i="22"/>
  <c r="GT107" i="22"/>
  <c r="GU107" i="22"/>
  <c r="GV107" i="22"/>
  <c r="GW107" i="22"/>
  <c r="GX107" i="22"/>
  <c r="GY107" i="22"/>
  <c r="GZ107" i="22"/>
  <c r="HA107" i="22"/>
  <c r="HB107" i="22"/>
  <c r="HC107" i="22"/>
  <c r="HD107" i="22"/>
  <c r="HE107" i="22"/>
  <c r="HF107" i="22"/>
  <c r="HG107" i="22"/>
  <c r="HH107" i="22"/>
  <c r="HI107" i="22"/>
  <c r="HJ107" i="22"/>
  <c r="HK107" i="22"/>
  <c r="HL107" i="22"/>
  <c r="HM107" i="22"/>
  <c r="HN107" i="22"/>
  <c r="HO107" i="22"/>
  <c r="HP107" i="22"/>
  <c r="HQ107" i="22"/>
  <c r="HR107" i="22"/>
  <c r="HS107" i="22"/>
  <c r="HT107" i="22"/>
  <c r="HU107" i="22"/>
  <c r="HV107" i="22"/>
  <c r="HW107" i="22"/>
  <c r="HX107" i="22"/>
  <c r="HY107" i="22"/>
  <c r="HZ107" i="22"/>
  <c r="IA107" i="22"/>
  <c r="IB107" i="22"/>
  <c r="IC107" i="22"/>
  <c r="ID107" i="22"/>
  <c r="IE107" i="22"/>
  <c r="IF107" i="22"/>
  <c r="IG107" i="22"/>
  <c r="IH107" i="22"/>
  <c r="II107" i="22"/>
  <c r="IJ107" i="22"/>
  <c r="IK107" i="22"/>
  <c r="IL107" i="22"/>
  <c r="IM107" i="22"/>
  <c r="IN107" i="22"/>
  <c r="IO107" i="22"/>
  <c r="IP107" i="22"/>
  <c r="IQ107" i="22"/>
  <c r="IR107" i="22"/>
  <c r="IS107" i="22"/>
  <c r="IT107" i="22"/>
  <c r="IU107" i="22"/>
  <c r="IV107" i="22"/>
  <c r="G108" i="22"/>
  <c r="H108" i="22"/>
  <c r="I108" i="22"/>
  <c r="J108" i="22"/>
  <c r="K108" i="22"/>
  <c r="L108" i="22"/>
  <c r="M108" i="22"/>
  <c r="N108" i="22"/>
  <c r="O108" i="22"/>
  <c r="P108" i="22"/>
  <c r="Q108" i="22"/>
  <c r="R108" i="22"/>
  <c r="S108" i="22"/>
  <c r="T108" i="22"/>
  <c r="U108" i="22"/>
  <c r="V108" i="22"/>
  <c r="W108" i="22"/>
  <c r="X108" i="22"/>
  <c r="Y108" i="22"/>
  <c r="Z108" i="22"/>
  <c r="AA108" i="22"/>
  <c r="AB108" i="22"/>
  <c r="AC108" i="22"/>
  <c r="AD108" i="22"/>
  <c r="AE108" i="22"/>
  <c r="AF108" i="22"/>
  <c r="AG108" i="22"/>
  <c r="AH108" i="22"/>
  <c r="AI108" i="22"/>
  <c r="AJ108" i="22"/>
  <c r="AK108" i="22"/>
  <c r="AL108" i="22"/>
  <c r="AM108" i="22"/>
  <c r="AN108" i="22"/>
  <c r="AO108" i="22"/>
  <c r="AP108" i="22"/>
  <c r="AQ108" i="22"/>
  <c r="AR108" i="22"/>
  <c r="AS108" i="22"/>
  <c r="AT108" i="22"/>
  <c r="AU108" i="22"/>
  <c r="AV108" i="22"/>
  <c r="AW108" i="22"/>
  <c r="AX108" i="22"/>
  <c r="AY108" i="22"/>
  <c r="AZ108" i="22"/>
  <c r="BA108" i="22"/>
  <c r="BB108" i="22"/>
  <c r="BC108" i="22"/>
  <c r="BD108" i="22"/>
  <c r="BE108" i="22"/>
  <c r="BF108" i="22"/>
  <c r="BG108" i="22"/>
  <c r="BH108" i="22"/>
  <c r="BI108" i="22"/>
  <c r="BJ108" i="22"/>
  <c r="BK108" i="22"/>
  <c r="BL108" i="22"/>
  <c r="BM108" i="22"/>
  <c r="BN108" i="22"/>
  <c r="BO108" i="22"/>
  <c r="BP108" i="22"/>
  <c r="BQ108" i="22"/>
  <c r="BR108" i="22"/>
  <c r="BS108" i="22"/>
  <c r="BT108" i="22"/>
  <c r="BU108" i="22"/>
  <c r="BV108" i="22"/>
  <c r="BW108" i="22"/>
  <c r="BX108" i="22"/>
  <c r="BY108" i="22"/>
  <c r="BZ108" i="22"/>
  <c r="CA108" i="22"/>
  <c r="CB108" i="22"/>
  <c r="CC108" i="22"/>
  <c r="CD108" i="22"/>
  <c r="CE108" i="22"/>
  <c r="CF108" i="22"/>
  <c r="CG108" i="22"/>
  <c r="CH108" i="22"/>
  <c r="CI108" i="22"/>
  <c r="CJ108" i="22"/>
  <c r="CK108" i="22"/>
  <c r="CL108" i="22"/>
  <c r="CM108" i="22"/>
  <c r="CN108" i="22"/>
  <c r="CO108" i="22"/>
  <c r="CP108" i="22"/>
  <c r="CQ108" i="22"/>
  <c r="CR108" i="22"/>
  <c r="CS108" i="22"/>
  <c r="CT108" i="22"/>
  <c r="CU108" i="22"/>
  <c r="CV108" i="22"/>
  <c r="CW108" i="22"/>
  <c r="CX108" i="22"/>
  <c r="CY108" i="22"/>
  <c r="CZ108" i="22"/>
  <c r="DA108" i="22"/>
  <c r="DB108" i="22"/>
  <c r="DC108" i="22"/>
  <c r="DD108" i="22"/>
  <c r="DE108" i="22"/>
  <c r="DF108" i="22"/>
  <c r="DG108" i="22"/>
  <c r="DH108" i="22"/>
  <c r="DI108" i="22"/>
  <c r="DJ108" i="22"/>
  <c r="DK108" i="22"/>
  <c r="DL108" i="22"/>
  <c r="DM108" i="22"/>
  <c r="DN108" i="22"/>
  <c r="DO108" i="22"/>
  <c r="DP108" i="22"/>
  <c r="DQ108" i="22"/>
  <c r="DR108" i="22"/>
  <c r="DS108" i="22"/>
  <c r="DT108" i="22"/>
  <c r="DU108" i="22"/>
  <c r="DV108" i="22"/>
  <c r="DW108" i="22"/>
  <c r="DX108" i="22"/>
  <c r="DY108" i="22"/>
  <c r="DZ108" i="22"/>
  <c r="EA108" i="22"/>
  <c r="EB108" i="22"/>
  <c r="EC108" i="22"/>
  <c r="ED108" i="22"/>
  <c r="EE108" i="22"/>
  <c r="EF108" i="22"/>
  <c r="EG108" i="22"/>
  <c r="EH108" i="22"/>
  <c r="EI108" i="22"/>
  <c r="EJ108" i="22"/>
  <c r="EK108" i="22"/>
  <c r="EL108" i="22"/>
  <c r="EM108" i="22"/>
  <c r="EN108" i="22"/>
  <c r="EO108" i="22"/>
  <c r="EP108" i="22"/>
  <c r="EQ108" i="22"/>
  <c r="ER108" i="22"/>
  <c r="ES108" i="22"/>
  <c r="ET108" i="22"/>
  <c r="EU108" i="22"/>
  <c r="EV108" i="22"/>
  <c r="EW108" i="22"/>
  <c r="EX108" i="22"/>
  <c r="EY108" i="22"/>
  <c r="EZ108" i="22"/>
  <c r="FA108" i="22"/>
  <c r="FB108" i="22"/>
  <c r="FC108" i="22"/>
  <c r="FD108" i="22"/>
  <c r="FE108" i="22"/>
  <c r="FF108" i="22"/>
  <c r="FG108" i="22"/>
  <c r="FH108" i="22"/>
  <c r="FI108" i="22"/>
  <c r="FJ108" i="22"/>
  <c r="FK108" i="22"/>
  <c r="FL108" i="22"/>
  <c r="FM108" i="22"/>
  <c r="FN108" i="22"/>
  <c r="FO108" i="22"/>
  <c r="FP108" i="22"/>
  <c r="FQ108" i="22"/>
  <c r="FR108" i="22"/>
  <c r="FS108" i="22"/>
  <c r="FT108" i="22"/>
  <c r="FU108" i="22"/>
  <c r="FV108" i="22"/>
  <c r="FW108" i="22"/>
  <c r="FX108" i="22"/>
  <c r="FY108" i="22"/>
  <c r="FZ108" i="22"/>
  <c r="GA108" i="22"/>
  <c r="GB108" i="22"/>
  <c r="GC108" i="22"/>
  <c r="GD108" i="22"/>
  <c r="GE108" i="22"/>
  <c r="GF108" i="22"/>
  <c r="GG108" i="22"/>
  <c r="GH108" i="22"/>
  <c r="GI108" i="22"/>
  <c r="GJ108" i="22"/>
  <c r="GK108" i="22"/>
  <c r="GL108" i="22"/>
  <c r="GM108" i="22"/>
  <c r="GN108" i="22"/>
  <c r="GO108" i="22"/>
  <c r="GP108" i="22"/>
  <c r="GQ108" i="22"/>
  <c r="GR108" i="22"/>
  <c r="GS108" i="22"/>
  <c r="GT108" i="22"/>
  <c r="GU108" i="22"/>
  <c r="GV108" i="22"/>
  <c r="GW108" i="22"/>
  <c r="GX108" i="22"/>
  <c r="GY108" i="22"/>
  <c r="GZ108" i="22"/>
  <c r="HA108" i="22"/>
  <c r="HB108" i="22"/>
  <c r="HC108" i="22"/>
  <c r="HD108" i="22"/>
  <c r="HE108" i="22"/>
  <c r="HF108" i="22"/>
  <c r="HG108" i="22"/>
  <c r="HH108" i="22"/>
  <c r="HI108" i="22"/>
  <c r="HJ108" i="22"/>
  <c r="HK108" i="22"/>
  <c r="HL108" i="22"/>
  <c r="HM108" i="22"/>
  <c r="HN108" i="22"/>
  <c r="HO108" i="22"/>
  <c r="HP108" i="22"/>
  <c r="HQ108" i="22"/>
  <c r="HR108" i="22"/>
  <c r="HS108" i="22"/>
  <c r="HT108" i="22"/>
  <c r="HU108" i="22"/>
  <c r="HV108" i="22"/>
  <c r="HW108" i="22"/>
  <c r="HX108" i="22"/>
  <c r="HY108" i="22"/>
  <c r="HZ108" i="22"/>
  <c r="IA108" i="22"/>
  <c r="IB108" i="22"/>
  <c r="IC108" i="22"/>
  <c r="ID108" i="22"/>
  <c r="IE108" i="22"/>
  <c r="IF108" i="22"/>
  <c r="IG108" i="22"/>
  <c r="IH108" i="22"/>
  <c r="II108" i="22"/>
  <c r="IJ108" i="22"/>
  <c r="IK108" i="22"/>
  <c r="IL108" i="22"/>
  <c r="IM108" i="22"/>
  <c r="IN108" i="22"/>
  <c r="IO108" i="22"/>
  <c r="IP108" i="22"/>
  <c r="IQ108" i="22"/>
  <c r="IR108" i="22"/>
  <c r="IS108" i="22"/>
  <c r="IT108" i="22"/>
  <c r="IU108" i="22"/>
  <c r="IV108" i="22"/>
  <c r="G109" i="22"/>
  <c r="H109" i="22"/>
  <c r="I109" i="22"/>
  <c r="J109" i="22"/>
  <c r="K109" i="22"/>
  <c r="L109" i="22"/>
  <c r="M109" i="22"/>
  <c r="N109" i="22"/>
  <c r="O109" i="22"/>
  <c r="P109" i="22"/>
  <c r="Q109" i="22"/>
  <c r="R109" i="22"/>
  <c r="S109" i="22"/>
  <c r="T109" i="22"/>
  <c r="U109" i="22"/>
  <c r="V109" i="22"/>
  <c r="W109" i="22"/>
  <c r="X109" i="22"/>
  <c r="Y109" i="22"/>
  <c r="Z109" i="22"/>
  <c r="AA109" i="22"/>
  <c r="AB109" i="22"/>
  <c r="AC109" i="22"/>
  <c r="AD109" i="22"/>
  <c r="AE109" i="22"/>
  <c r="AF109" i="22"/>
  <c r="AG109" i="22"/>
  <c r="AH109" i="22"/>
  <c r="AI109" i="22"/>
  <c r="AJ109" i="22"/>
  <c r="AK109" i="22"/>
  <c r="AL109" i="22"/>
  <c r="AM109" i="22"/>
  <c r="AN109" i="22"/>
  <c r="AO109" i="22"/>
  <c r="AP109" i="22"/>
  <c r="AQ109" i="22"/>
  <c r="AR109" i="22"/>
  <c r="AS109" i="22"/>
  <c r="AT109" i="22"/>
  <c r="AU109" i="22"/>
  <c r="AV109" i="22"/>
  <c r="AW109" i="22"/>
  <c r="AX109" i="22"/>
  <c r="AY109" i="22"/>
  <c r="AZ109" i="22"/>
  <c r="BA109" i="22"/>
  <c r="BB109" i="22"/>
  <c r="BC109" i="22"/>
  <c r="BD109" i="22"/>
  <c r="BE109" i="22"/>
  <c r="BF109" i="22"/>
  <c r="BG109" i="22"/>
  <c r="BH109" i="22"/>
  <c r="BI109" i="22"/>
  <c r="BJ109" i="22"/>
  <c r="BK109" i="22"/>
  <c r="BL109" i="22"/>
  <c r="BM109" i="22"/>
  <c r="BN109" i="22"/>
  <c r="BO109" i="22"/>
  <c r="BP109" i="22"/>
  <c r="BQ109" i="22"/>
  <c r="BR109" i="22"/>
  <c r="BS109" i="22"/>
  <c r="BT109" i="22"/>
  <c r="BU109" i="22"/>
  <c r="BV109" i="22"/>
  <c r="BW109" i="22"/>
  <c r="BX109" i="22"/>
  <c r="BY109" i="22"/>
  <c r="BZ109" i="22"/>
  <c r="CA109" i="22"/>
  <c r="CB109" i="22"/>
  <c r="CC109" i="22"/>
  <c r="CD109" i="22"/>
  <c r="CE109" i="22"/>
  <c r="CF109" i="22"/>
  <c r="CG109" i="22"/>
  <c r="CH109" i="22"/>
  <c r="CI109" i="22"/>
  <c r="CJ109" i="22"/>
  <c r="CK109" i="22"/>
  <c r="CL109" i="22"/>
  <c r="CM109" i="22"/>
  <c r="CN109" i="22"/>
  <c r="CO109" i="22"/>
  <c r="CP109" i="22"/>
  <c r="CQ109" i="22"/>
  <c r="CR109" i="22"/>
  <c r="CS109" i="22"/>
  <c r="CT109" i="22"/>
  <c r="CU109" i="22"/>
  <c r="CV109" i="22"/>
  <c r="CW109" i="22"/>
  <c r="CX109" i="22"/>
  <c r="CY109" i="22"/>
  <c r="CZ109" i="22"/>
  <c r="DA109" i="22"/>
  <c r="DB109" i="22"/>
  <c r="DC109" i="22"/>
  <c r="DD109" i="22"/>
  <c r="DE109" i="22"/>
  <c r="DF109" i="22"/>
  <c r="DG109" i="22"/>
  <c r="DH109" i="22"/>
  <c r="DI109" i="22"/>
  <c r="DJ109" i="22"/>
  <c r="DK109" i="22"/>
  <c r="DL109" i="22"/>
  <c r="DM109" i="22"/>
  <c r="DN109" i="22"/>
  <c r="DO109" i="22"/>
  <c r="DP109" i="22"/>
  <c r="DQ109" i="22"/>
  <c r="DR109" i="22"/>
  <c r="DS109" i="22"/>
  <c r="DT109" i="22"/>
  <c r="DU109" i="22"/>
  <c r="DV109" i="22"/>
  <c r="DW109" i="22"/>
  <c r="DX109" i="22"/>
  <c r="DY109" i="22"/>
  <c r="DZ109" i="22"/>
  <c r="EA109" i="22"/>
  <c r="EB109" i="22"/>
  <c r="EC109" i="22"/>
  <c r="ED109" i="22"/>
  <c r="EE109" i="22"/>
  <c r="EF109" i="22"/>
  <c r="EG109" i="22"/>
  <c r="EH109" i="22"/>
  <c r="EI109" i="22"/>
  <c r="EJ109" i="22"/>
  <c r="EK109" i="22"/>
  <c r="EL109" i="22"/>
  <c r="EM109" i="22"/>
  <c r="EN109" i="22"/>
  <c r="EO109" i="22"/>
  <c r="EP109" i="22"/>
  <c r="EQ109" i="22"/>
  <c r="ER109" i="22"/>
  <c r="ES109" i="22"/>
  <c r="ET109" i="22"/>
  <c r="EU109" i="22"/>
  <c r="EV109" i="22"/>
  <c r="EW109" i="22"/>
  <c r="EX109" i="22"/>
  <c r="EY109" i="22"/>
  <c r="EZ109" i="22"/>
  <c r="FA109" i="22"/>
  <c r="FB109" i="22"/>
  <c r="FC109" i="22"/>
  <c r="FD109" i="22"/>
  <c r="FE109" i="22"/>
  <c r="FF109" i="22"/>
  <c r="FG109" i="22"/>
  <c r="FH109" i="22"/>
  <c r="FI109" i="22"/>
  <c r="FJ109" i="22"/>
  <c r="FK109" i="22"/>
  <c r="FL109" i="22"/>
  <c r="FM109" i="22"/>
  <c r="FN109" i="22"/>
  <c r="FO109" i="22"/>
  <c r="FP109" i="22"/>
  <c r="FQ109" i="22"/>
  <c r="FR109" i="22"/>
  <c r="FS109" i="22"/>
  <c r="FT109" i="22"/>
  <c r="FU109" i="22"/>
  <c r="FV109" i="22"/>
  <c r="FW109" i="22"/>
  <c r="FX109" i="22"/>
  <c r="FY109" i="22"/>
  <c r="FZ109" i="22"/>
  <c r="GA109" i="22"/>
  <c r="GB109" i="22"/>
  <c r="GC109" i="22"/>
  <c r="GD109" i="22"/>
  <c r="GE109" i="22"/>
  <c r="GF109" i="22"/>
  <c r="GG109" i="22"/>
  <c r="GH109" i="22"/>
  <c r="GI109" i="22"/>
  <c r="GJ109" i="22"/>
  <c r="GK109" i="22"/>
  <c r="GL109" i="22"/>
  <c r="GM109" i="22"/>
  <c r="GN109" i="22"/>
  <c r="GO109" i="22"/>
  <c r="GP109" i="22"/>
  <c r="GQ109" i="22"/>
  <c r="GR109" i="22"/>
  <c r="GS109" i="22"/>
  <c r="GT109" i="22"/>
  <c r="GU109" i="22"/>
  <c r="GV109" i="22"/>
  <c r="GW109" i="22"/>
  <c r="GX109" i="22"/>
  <c r="GY109" i="22"/>
  <c r="GZ109" i="22"/>
  <c r="HA109" i="22"/>
  <c r="HB109" i="22"/>
  <c r="HC109" i="22"/>
  <c r="HD109" i="22"/>
  <c r="HE109" i="22"/>
  <c r="HF109" i="22"/>
  <c r="HG109" i="22"/>
  <c r="HH109" i="22"/>
  <c r="HI109" i="22"/>
  <c r="HJ109" i="22"/>
  <c r="HK109" i="22"/>
  <c r="HL109" i="22"/>
  <c r="HM109" i="22"/>
  <c r="HN109" i="22"/>
  <c r="HO109" i="22"/>
  <c r="HP109" i="22"/>
  <c r="HQ109" i="22"/>
  <c r="HR109" i="22"/>
  <c r="HS109" i="22"/>
  <c r="HT109" i="22"/>
  <c r="HU109" i="22"/>
  <c r="HV109" i="22"/>
  <c r="HW109" i="22"/>
  <c r="HX109" i="22"/>
  <c r="HY109" i="22"/>
  <c r="HZ109" i="22"/>
  <c r="IA109" i="22"/>
  <c r="IB109" i="22"/>
  <c r="IC109" i="22"/>
  <c r="ID109" i="22"/>
  <c r="IE109" i="22"/>
  <c r="IF109" i="22"/>
  <c r="IG109" i="22"/>
  <c r="IH109" i="22"/>
  <c r="II109" i="22"/>
  <c r="IJ109" i="22"/>
  <c r="IK109" i="22"/>
  <c r="IL109" i="22"/>
  <c r="IM109" i="22"/>
  <c r="IN109" i="22"/>
  <c r="IO109" i="22"/>
  <c r="IP109" i="22"/>
  <c r="IQ109" i="22"/>
  <c r="IR109" i="22"/>
  <c r="IS109" i="22"/>
  <c r="IT109" i="22"/>
  <c r="IU109" i="22"/>
  <c r="IV109" i="22"/>
  <c r="G110" i="22"/>
  <c r="H110" i="22"/>
  <c r="I110" i="22"/>
  <c r="J110" i="22"/>
  <c r="K110" i="22"/>
  <c r="L110" i="22"/>
  <c r="M110" i="22"/>
  <c r="N110" i="22"/>
  <c r="O110" i="22"/>
  <c r="P110" i="22"/>
  <c r="Q110" i="22"/>
  <c r="R110" i="22"/>
  <c r="S110" i="22"/>
  <c r="T110" i="22"/>
  <c r="U110" i="22"/>
  <c r="V110" i="22"/>
  <c r="W110" i="22"/>
  <c r="X110" i="22"/>
  <c r="Y110" i="22"/>
  <c r="Z110" i="22"/>
  <c r="AA110" i="22"/>
  <c r="AB110" i="22"/>
  <c r="AC110" i="22"/>
  <c r="AD110" i="22"/>
  <c r="AE110" i="22"/>
  <c r="AF110" i="22"/>
  <c r="AG110" i="22"/>
  <c r="AH110" i="22"/>
  <c r="AI110" i="22"/>
  <c r="AJ110" i="22"/>
  <c r="AK110" i="22"/>
  <c r="AL110" i="22"/>
  <c r="AM110" i="22"/>
  <c r="AN110" i="22"/>
  <c r="AO110" i="22"/>
  <c r="AP110" i="22"/>
  <c r="AQ110" i="22"/>
  <c r="AR110" i="22"/>
  <c r="AS110" i="22"/>
  <c r="AT110" i="22"/>
  <c r="AU110" i="22"/>
  <c r="AV110" i="22"/>
  <c r="AW110" i="22"/>
  <c r="AX110" i="22"/>
  <c r="AY110" i="22"/>
  <c r="AZ110" i="22"/>
  <c r="BA110" i="22"/>
  <c r="BB110" i="22"/>
  <c r="BC110" i="22"/>
  <c r="BD110" i="22"/>
  <c r="BE110" i="22"/>
  <c r="BF110" i="22"/>
  <c r="BG110" i="22"/>
  <c r="BH110" i="22"/>
  <c r="BI110" i="22"/>
  <c r="BJ110" i="22"/>
  <c r="BK110" i="22"/>
  <c r="BL110" i="22"/>
  <c r="BM110" i="22"/>
  <c r="BN110" i="22"/>
  <c r="BO110" i="22"/>
  <c r="BP110" i="22"/>
  <c r="BQ110" i="22"/>
  <c r="BR110" i="22"/>
  <c r="BS110" i="22"/>
  <c r="BT110" i="22"/>
  <c r="BU110" i="22"/>
  <c r="BV110" i="22"/>
  <c r="BW110" i="22"/>
  <c r="BX110" i="22"/>
  <c r="BY110" i="22"/>
  <c r="BZ110" i="22"/>
  <c r="CA110" i="22"/>
  <c r="CB110" i="22"/>
  <c r="CC110" i="22"/>
  <c r="CD110" i="22"/>
  <c r="CE110" i="22"/>
  <c r="CF110" i="22"/>
  <c r="CG110" i="22"/>
  <c r="CH110" i="22"/>
  <c r="CI110" i="22"/>
  <c r="CJ110" i="22"/>
  <c r="CK110" i="22"/>
  <c r="CL110" i="22"/>
  <c r="CM110" i="22"/>
  <c r="CN110" i="22"/>
  <c r="CO110" i="22"/>
  <c r="CP110" i="22"/>
  <c r="CQ110" i="22"/>
  <c r="CR110" i="22"/>
  <c r="CS110" i="22"/>
  <c r="CT110" i="22"/>
  <c r="CU110" i="22"/>
  <c r="CV110" i="22"/>
  <c r="CW110" i="22"/>
  <c r="CX110" i="22"/>
  <c r="CY110" i="22"/>
  <c r="CZ110" i="22"/>
  <c r="DA110" i="22"/>
  <c r="DB110" i="22"/>
  <c r="DC110" i="22"/>
  <c r="DD110" i="22"/>
  <c r="DE110" i="22"/>
  <c r="DF110" i="22"/>
  <c r="DG110" i="22"/>
  <c r="DH110" i="22"/>
  <c r="DI110" i="22"/>
  <c r="DJ110" i="22"/>
  <c r="DK110" i="22"/>
  <c r="DL110" i="22"/>
  <c r="DM110" i="22"/>
  <c r="DN110" i="22"/>
  <c r="DO110" i="22"/>
  <c r="DP110" i="22"/>
  <c r="DQ110" i="22"/>
  <c r="DR110" i="22"/>
  <c r="DS110" i="22"/>
  <c r="DT110" i="22"/>
  <c r="DU110" i="22"/>
  <c r="DV110" i="22"/>
  <c r="DW110" i="22"/>
  <c r="DX110" i="22"/>
  <c r="DY110" i="22"/>
  <c r="DZ110" i="22"/>
  <c r="EA110" i="22"/>
  <c r="EB110" i="22"/>
  <c r="EC110" i="22"/>
  <c r="ED110" i="22"/>
  <c r="EE110" i="22"/>
  <c r="EF110" i="22"/>
  <c r="EG110" i="22"/>
  <c r="EH110" i="22"/>
  <c r="EI110" i="22"/>
  <c r="EJ110" i="22"/>
  <c r="EK110" i="22"/>
  <c r="EL110" i="22"/>
  <c r="EM110" i="22"/>
  <c r="EN110" i="22"/>
  <c r="EO110" i="22"/>
  <c r="EP110" i="22"/>
  <c r="EQ110" i="22"/>
  <c r="ER110" i="22"/>
  <c r="ES110" i="22"/>
  <c r="ET110" i="22"/>
  <c r="EU110" i="22"/>
  <c r="EV110" i="22"/>
  <c r="EW110" i="22"/>
  <c r="EX110" i="22"/>
  <c r="EY110" i="22"/>
  <c r="EZ110" i="22"/>
  <c r="FA110" i="22"/>
  <c r="FB110" i="22"/>
  <c r="FC110" i="22"/>
  <c r="FD110" i="22"/>
  <c r="FE110" i="22"/>
  <c r="FF110" i="22"/>
  <c r="FG110" i="22"/>
  <c r="FH110" i="22"/>
  <c r="FI110" i="22"/>
  <c r="FJ110" i="22"/>
  <c r="FK110" i="22"/>
  <c r="FL110" i="22"/>
  <c r="FM110" i="22"/>
  <c r="FN110" i="22"/>
  <c r="FO110" i="22"/>
  <c r="FP110" i="22"/>
  <c r="FQ110" i="22"/>
  <c r="FR110" i="22"/>
  <c r="FS110" i="22"/>
  <c r="FT110" i="22"/>
  <c r="FU110" i="22"/>
  <c r="FV110" i="22"/>
  <c r="FW110" i="22"/>
  <c r="FX110" i="22"/>
  <c r="FY110" i="22"/>
  <c r="FZ110" i="22"/>
  <c r="GA110" i="22"/>
  <c r="GB110" i="22"/>
  <c r="GC110" i="22"/>
  <c r="GD110" i="22"/>
  <c r="GE110" i="22"/>
  <c r="GF110" i="22"/>
  <c r="GG110" i="22"/>
  <c r="GH110" i="22"/>
  <c r="GI110" i="22"/>
  <c r="GJ110" i="22"/>
  <c r="GK110" i="22"/>
  <c r="GL110" i="22"/>
  <c r="GM110" i="22"/>
  <c r="GN110" i="22"/>
  <c r="GO110" i="22"/>
  <c r="GP110" i="22"/>
  <c r="GQ110" i="22"/>
  <c r="GR110" i="22"/>
  <c r="GS110" i="22"/>
  <c r="GT110" i="22"/>
  <c r="GU110" i="22"/>
  <c r="GV110" i="22"/>
  <c r="GW110" i="22"/>
  <c r="GX110" i="22"/>
  <c r="GY110" i="22"/>
  <c r="GZ110" i="22"/>
  <c r="HA110" i="22"/>
  <c r="HB110" i="22"/>
  <c r="HC110" i="22"/>
  <c r="HD110" i="22"/>
  <c r="HE110" i="22"/>
  <c r="HF110" i="22"/>
  <c r="HG110" i="22"/>
  <c r="HH110" i="22"/>
  <c r="HI110" i="22"/>
  <c r="HJ110" i="22"/>
  <c r="HK110" i="22"/>
  <c r="HL110" i="22"/>
  <c r="HM110" i="22"/>
  <c r="HN110" i="22"/>
  <c r="HO110" i="22"/>
  <c r="HP110" i="22"/>
  <c r="HQ110" i="22"/>
  <c r="HR110" i="22"/>
  <c r="HS110" i="22"/>
  <c r="HT110" i="22"/>
  <c r="HU110" i="22"/>
  <c r="HV110" i="22"/>
  <c r="HW110" i="22"/>
  <c r="HX110" i="22"/>
  <c r="HY110" i="22"/>
  <c r="HZ110" i="22"/>
  <c r="IA110" i="22"/>
  <c r="IB110" i="22"/>
  <c r="IC110" i="22"/>
  <c r="ID110" i="22"/>
  <c r="IE110" i="22"/>
  <c r="IF110" i="22"/>
  <c r="IG110" i="22"/>
  <c r="IH110" i="22"/>
  <c r="II110" i="22"/>
  <c r="IJ110" i="22"/>
  <c r="IK110" i="22"/>
  <c r="IL110" i="22"/>
  <c r="IM110" i="22"/>
  <c r="IN110" i="22"/>
  <c r="IO110" i="22"/>
  <c r="IP110" i="22"/>
  <c r="IQ110" i="22"/>
  <c r="IR110" i="22"/>
  <c r="IS110" i="22"/>
  <c r="IT110" i="22"/>
  <c r="IU110" i="22"/>
  <c r="IV110" i="22"/>
  <c r="G111" i="22"/>
  <c r="H111" i="22"/>
  <c r="I111" i="22"/>
  <c r="J111" i="22"/>
  <c r="K111" i="22"/>
  <c r="L111" i="22"/>
  <c r="M111" i="22"/>
  <c r="N111" i="22"/>
  <c r="O111" i="22"/>
  <c r="P111" i="22"/>
  <c r="Q111" i="22"/>
  <c r="R111" i="22"/>
  <c r="S111" i="22"/>
  <c r="T111" i="22"/>
  <c r="U111" i="22"/>
  <c r="V111" i="22"/>
  <c r="W111" i="22"/>
  <c r="X111" i="22"/>
  <c r="Y111" i="22"/>
  <c r="Z111" i="22"/>
  <c r="AA111" i="22"/>
  <c r="AB111" i="22"/>
  <c r="AC111" i="22"/>
  <c r="AD111" i="22"/>
  <c r="AE111" i="22"/>
  <c r="AF111" i="22"/>
  <c r="AG111" i="22"/>
  <c r="AH111" i="22"/>
  <c r="AI111" i="22"/>
  <c r="AJ111" i="22"/>
  <c r="AK111" i="22"/>
  <c r="AL111" i="22"/>
  <c r="AM111" i="22"/>
  <c r="AN111" i="22"/>
  <c r="AO111" i="22"/>
  <c r="AP111" i="22"/>
  <c r="AQ111" i="22"/>
  <c r="AR111" i="22"/>
  <c r="AS111" i="22"/>
  <c r="AT111" i="22"/>
  <c r="AU111" i="22"/>
  <c r="AV111" i="22"/>
  <c r="AW111" i="22"/>
  <c r="AX111" i="22"/>
  <c r="AY111" i="22"/>
  <c r="AZ111" i="22"/>
  <c r="BA111" i="22"/>
  <c r="BB111" i="22"/>
  <c r="BC111" i="22"/>
  <c r="BD111" i="22"/>
  <c r="BE111" i="22"/>
  <c r="BF111" i="22"/>
  <c r="BG111" i="22"/>
  <c r="BH111" i="22"/>
  <c r="BI111" i="22"/>
  <c r="BJ111" i="22"/>
  <c r="BK111" i="22"/>
  <c r="BL111" i="22"/>
  <c r="BM111" i="22"/>
  <c r="BN111" i="22"/>
  <c r="BO111" i="22"/>
  <c r="BP111" i="22"/>
  <c r="BQ111" i="22"/>
  <c r="BR111" i="22"/>
  <c r="BS111" i="22"/>
  <c r="BT111" i="22"/>
  <c r="BU111" i="22"/>
  <c r="BV111" i="22"/>
  <c r="BW111" i="22"/>
  <c r="BX111" i="22"/>
  <c r="BY111" i="22"/>
  <c r="BZ111" i="22"/>
  <c r="CA111" i="22"/>
  <c r="CB111" i="22"/>
  <c r="CC111" i="22"/>
  <c r="CD111" i="22"/>
  <c r="CE111" i="22"/>
  <c r="CF111" i="22"/>
  <c r="CG111" i="22"/>
  <c r="CH111" i="22"/>
  <c r="CI111" i="22"/>
  <c r="CJ111" i="22"/>
  <c r="CK111" i="22"/>
  <c r="CL111" i="22"/>
  <c r="CM111" i="22"/>
  <c r="CN111" i="22"/>
  <c r="CO111" i="22"/>
  <c r="CP111" i="22"/>
  <c r="CQ111" i="22"/>
  <c r="CR111" i="22"/>
  <c r="CS111" i="22"/>
  <c r="CT111" i="22"/>
  <c r="CU111" i="22"/>
  <c r="CV111" i="22"/>
  <c r="CW111" i="22"/>
  <c r="CX111" i="22"/>
  <c r="CY111" i="22"/>
  <c r="CZ111" i="22"/>
  <c r="DA111" i="22"/>
  <c r="DB111" i="22"/>
  <c r="DC111" i="22"/>
  <c r="DD111" i="22"/>
  <c r="DE111" i="22"/>
  <c r="DF111" i="22"/>
  <c r="DG111" i="22"/>
  <c r="DH111" i="22"/>
  <c r="DI111" i="22"/>
  <c r="DJ111" i="22"/>
  <c r="DK111" i="22"/>
  <c r="DL111" i="22"/>
  <c r="DM111" i="22"/>
  <c r="DN111" i="22"/>
  <c r="DO111" i="22"/>
  <c r="DP111" i="22"/>
  <c r="DQ111" i="22"/>
  <c r="DR111" i="22"/>
  <c r="DS111" i="22"/>
  <c r="DT111" i="22"/>
  <c r="DU111" i="22"/>
  <c r="DV111" i="22"/>
  <c r="DW111" i="22"/>
  <c r="DX111" i="22"/>
  <c r="DY111" i="22"/>
  <c r="DZ111" i="22"/>
  <c r="EA111" i="22"/>
  <c r="EB111" i="22"/>
  <c r="EC111" i="22"/>
  <c r="ED111" i="22"/>
  <c r="EE111" i="22"/>
  <c r="EF111" i="22"/>
  <c r="EG111" i="22"/>
  <c r="EH111" i="22"/>
  <c r="EI111" i="22"/>
  <c r="EJ111" i="22"/>
  <c r="EK111" i="22"/>
  <c r="EL111" i="22"/>
  <c r="EM111" i="22"/>
  <c r="EN111" i="22"/>
  <c r="EO111" i="22"/>
  <c r="EP111" i="22"/>
  <c r="EQ111" i="22"/>
  <c r="ER111" i="22"/>
  <c r="ES111" i="22"/>
  <c r="ET111" i="22"/>
  <c r="EU111" i="22"/>
  <c r="EV111" i="22"/>
  <c r="EW111" i="22"/>
  <c r="EX111" i="22"/>
  <c r="EY111" i="22"/>
  <c r="EZ111" i="22"/>
  <c r="FA111" i="22"/>
  <c r="FB111" i="22"/>
  <c r="FC111" i="22"/>
  <c r="FD111" i="22"/>
  <c r="FE111" i="22"/>
  <c r="FF111" i="22"/>
  <c r="FG111" i="22"/>
  <c r="FH111" i="22"/>
  <c r="FI111" i="22"/>
  <c r="FJ111" i="22"/>
  <c r="FK111" i="22"/>
  <c r="FL111" i="22"/>
  <c r="FM111" i="22"/>
  <c r="FN111" i="22"/>
  <c r="FO111" i="22"/>
  <c r="FP111" i="22"/>
  <c r="FQ111" i="22"/>
  <c r="FR111" i="22"/>
  <c r="FS111" i="22"/>
  <c r="FT111" i="22"/>
  <c r="FU111" i="22"/>
  <c r="FV111" i="22"/>
  <c r="FW111" i="22"/>
  <c r="FX111" i="22"/>
  <c r="FY111" i="22"/>
  <c r="FZ111" i="22"/>
  <c r="GA111" i="22"/>
  <c r="GB111" i="22"/>
  <c r="GC111" i="22"/>
  <c r="GD111" i="22"/>
  <c r="GE111" i="22"/>
  <c r="GF111" i="22"/>
  <c r="GG111" i="22"/>
  <c r="GH111" i="22"/>
  <c r="GI111" i="22"/>
  <c r="GJ111" i="22"/>
  <c r="GK111" i="22"/>
  <c r="GL111" i="22"/>
  <c r="GM111" i="22"/>
  <c r="GN111" i="22"/>
  <c r="GO111" i="22"/>
  <c r="GP111" i="22"/>
  <c r="GQ111" i="22"/>
  <c r="GR111" i="22"/>
  <c r="GS111" i="22"/>
  <c r="GT111" i="22"/>
  <c r="GU111" i="22"/>
  <c r="GV111" i="22"/>
  <c r="GW111" i="22"/>
  <c r="GX111" i="22"/>
  <c r="GY111" i="22"/>
  <c r="GZ111" i="22"/>
  <c r="HA111" i="22"/>
  <c r="HB111" i="22"/>
  <c r="HC111" i="22"/>
  <c r="HD111" i="22"/>
  <c r="HE111" i="22"/>
  <c r="HF111" i="22"/>
  <c r="HG111" i="22"/>
  <c r="HH111" i="22"/>
  <c r="HI111" i="22"/>
  <c r="HJ111" i="22"/>
  <c r="HK111" i="22"/>
  <c r="HL111" i="22"/>
  <c r="HM111" i="22"/>
  <c r="HN111" i="22"/>
  <c r="HO111" i="22"/>
  <c r="HP111" i="22"/>
  <c r="HQ111" i="22"/>
  <c r="HR111" i="22"/>
  <c r="HS111" i="22"/>
  <c r="HT111" i="22"/>
  <c r="HU111" i="22"/>
  <c r="HV111" i="22"/>
  <c r="HW111" i="22"/>
  <c r="HW147" i="22" s="1"/>
  <c r="HX111" i="22"/>
  <c r="HY111" i="22"/>
  <c r="HZ111" i="22"/>
  <c r="IA111" i="22"/>
  <c r="IB111" i="22"/>
  <c r="IC111" i="22"/>
  <c r="ID111" i="22"/>
  <c r="IE111" i="22"/>
  <c r="IF111" i="22"/>
  <c r="IG111" i="22"/>
  <c r="IH111" i="22"/>
  <c r="II111" i="22"/>
  <c r="IJ111" i="22"/>
  <c r="IK111" i="22"/>
  <c r="IL111" i="22"/>
  <c r="IM111" i="22"/>
  <c r="IN111" i="22"/>
  <c r="IO111" i="22"/>
  <c r="IP111" i="22"/>
  <c r="IQ111" i="22"/>
  <c r="IR111" i="22"/>
  <c r="IS111" i="22"/>
  <c r="IT111" i="22"/>
  <c r="IU111" i="22"/>
  <c r="IV111" i="22"/>
  <c r="G112" i="22"/>
  <c r="H112" i="22"/>
  <c r="I112" i="22"/>
  <c r="J112" i="22"/>
  <c r="K112" i="22"/>
  <c r="L112" i="22"/>
  <c r="M112" i="22"/>
  <c r="N112" i="22"/>
  <c r="O112" i="22"/>
  <c r="P112" i="22"/>
  <c r="Q112" i="22"/>
  <c r="R112" i="22"/>
  <c r="S112" i="22"/>
  <c r="T112" i="22"/>
  <c r="U112" i="22"/>
  <c r="V112" i="22"/>
  <c r="W112" i="22"/>
  <c r="X112" i="22"/>
  <c r="Y112" i="22"/>
  <c r="Z112" i="22"/>
  <c r="AA112" i="22"/>
  <c r="AB112" i="22"/>
  <c r="AC112" i="22"/>
  <c r="AD112" i="22"/>
  <c r="AE112" i="22"/>
  <c r="AF112" i="22"/>
  <c r="AG112" i="22"/>
  <c r="AH112" i="22"/>
  <c r="AI112" i="22"/>
  <c r="AJ112" i="22"/>
  <c r="AK112" i="22"/>
  <c r="AL112" i="22"/>
  <c r="AM112" i="22"/>
  <c r="AN112" i="22"/>
  <c r="AO112" i="22"/>
  <c r="AP112" i="22"/>
  <c r="AQ112" i="22"/>
  <c r="AR112" i="22"/>
  <c r="AS112" i="22"/>
  <c r="AT112" i="22"/>
  <c r="AU112" i="22"/>
  <c r="AV112" i="22"/>
  <c r="AW112" i="22"/>
  <c r="AX112" i="22"/>
  <c r="AY112" i="22"/>
  <c r="AZ112" i="22"/>
  <c r="BA112" i="22"/>
  <c r="BB112" i="22"/>
  <c r="BC112" i="22"/>
  <c r="BD112" i="22"/>
  <c r="BE112" i="22"/>
  <c r="BF112" i="22"/>
  <c r="BG112" i="22"/>
  <c r="BH112" i="22"/>
  <c r="BI112" i="22"/>
  <c r="BJ112" i="22"/>
  <c r="BK112" i="22"/>
  <c r="BL112" i="22"/>
  <c r="BM112" i="22"/>
  <c r="BN112" i="22"/>
  <c r="BO112" i="22"/>
  <c r="BP112" i="22"/>
  <c r="BQ112" i="22"/>
  <c r="BR112" i="22"/>
  <c r="BS112" i="22"/>
  <c r="BT112" i="22"/>
  <c r="BU112" i="22"/>
  <c r="BV112" i="22"/>
  <c r="BW112" i="22"/>
  <c r="BX112" i="22"/>
  <c r="BY112" i="22"/>
  <c r="BZ112" i="22"/>
  <c r="CA112" i="22"/>
  <c r="CB112" i="22"/>
  <c r="CC112" i="22"/>
  <c r="CD112" i="22"/>
  <c r="CE112" i="22"/>
  <c r="CF112" i="22"/>
  <c r="CG112" i="22"/>
  <c r="CH112" i="22"/>
  <c r="CI112" i="22"/>
  <c r="CJ112" i="22"/>
  <c r="CK112" i="22"/>
  <c r="CL112" i="22"/>
  <c r="CM112" i="22"/>
  <c r="CN112" i="22"/>
  <c r="CO112" i="22"/>
  <c r="CP112" i="22"/>
  <c r="CQ112" i="22"/>
  <c r="CR112" i="22"/>
  <c r="CS112" i="22"/>
  <c r="CT112" i="22"/>
  <c r="CU112" i="22"/>
  <c r="CV112" i="22"/>
  <c r="CW112" i="22"/>
  <c r="CX112" i="22"/>
  <c r="CY112" i="22"/>
  <c r="CZ112" i="22"/>
  <c r="DA112" i="22"/>
  <c r="DB112" i="22"/>
  <c r="DC112" i="22"/>
  <c r="DD112" i="22"/>
  <c r="DE112" i="22"/>
  <c r="DF112" i="22"/>
  <c r="DG112" i="22"/>
  <c r="DH112" i="22"/>
  <c r="DI112" i="22"/>
  <c r="DJ112" i="22"/>
  <c r="DK112" i="22"/>
  <c r="DL112" i="22"/>
  <c r="DM112" i="22"/>
  <c r="DN112" i="22"/>
  <c r="DO112" i="22"/>
  <c r="DP112" i="22"/>
  <c r="DQ112" i="22"/>
  <c r="DR112" i="22"/>
  <c r="DS112" i="22"/>
  <c r="DT112" i="22"/>
  <c r="DU112" i="22"/>
  <c r="DV112" i="22"/>
  <c r="DW112" i="22"/>
  <c r="DX112" i="22"/>
  <c r="DY112" i="22"/>
  <c r="DZ112" i="22"/>
  <c r="EA112" i="22"/>
  <c r="EB112" i="22"/>
  <c r="EC112" i="22"/>
  <c r="ED112" i="22"/>
  <c r="EE112" i="22"/>
  <c r="EF112" i="22"/>
  <c r="EG112" i="22"/>
  <c r="EH112" i="22"/>
  <c r="EI112" i="22"/>
  <c r="EJ112" i="22"/>
  <c r="EK112" i="22"/>
  <c r="EL112" i="22"/>
  <c r="EM112" i="22"/>
  <c r="EN112" i="22"/>
  <c r="EO112" i="22"/>
  <c r="EP112" i="22"/>
  <c r="EQ112" i="22"/>
  <c r="ER112" i="22"/>
  <c r="ES112" i="22"/>
  <c r="ET112" i="22"/>
  <c r="EU112" i="22"/>
  <c r="EV112" i="22"/>
  <c r="EW112" i="22"/>
  <c r="EX112" i="22"/>
  <c r="EY112" i="22"/>
  <c r="EZ112" i="22"/>
  <c r="FA112" i="22"/>
  <c r="FB112" i="22"/>
  <c r="FC112" i="22"/>
  <c r="FD112" i="22"/>
  <c r="FE112" i="22"/>
  <c r="FF112" i="22"/>
  <c r="FG112" i="22"/>
  <c r="FH112" i="22"/>
  <c r="FI112" i="22"/>
  <c r="FJ112" i="22"/>
  <c r="FK112" i="22"/>
  <c r="FL112" i="22"/>
  <c r="FM112" i="22"/>
  <c r="FN112" i="22"/>
  <c r="FO112" i="22"/>
  <c r="FP112" i="22"/>
  <c r="FQ112" i="22"/>
  <c r="FR112" i="22"/>
  <c r="FS112" i="22"/>
  <c r="FT112" i="22"/>
  <c r="FU112" i="22"/>
  <c r="FV112" i="22"/>
  <c r="FW112" i="22"/>
  <c r="FX112" i="22"/>
  <c r="FY112" i="22"/>
  <c r="FZ112" i="22"/>
  <c r="GA112" i="22"/>
  <c r="GB112" i="22"/>
  <c r="GC112" i="22"/>
  <c r="GD112" i="22"/>
  <c r="GE112" i="22"/>
  <c r="GF112" i="22"/>
  <c r="GG112" i="22"/>
  <c r="GH112" i="22"/>
  <c r="GI112" i="22"/>
  <c r="GJ112" i="22"/>
  <c r="GK112" i="22"/>
  <c r="GL112" i="22"/>
  <c r="GM112" i="22"/>
  <c r="GN112" i="22"/>
  <c r="GO112" i="22"/>
  <c r="GP112" i="22"/>
  <c r="GQ112" i="22"/>
  <c r="GR112" i="22"/>
  <c r="GS112" i="22"/>
  <c r="GT112" i="22"/>
  <c r="GU112" i="22"/>
  <c r="GV112" i="22"/>
  <c r="GW112" i="22"/>
  <c r="GX112" i="22"/>
  <c r="GY112" i="22"/>
  <c r="GZ112" i="22"/>
  <c r="HA112" i="22"/>
  <c r="HB112" i="22"/>
  <c r="HC112" i="22"/>
  <c r="HD112" i="22"/>
  <c r="HE112" i="22"/>
  <c r="HF112" i="22"/>
  <c r="HG112" i="22"/>
  <c r="HH112" i="22"/>
  <c r="HI112" i="22"/>
  <c r="HJ112" i="22"/>
  <c r="HK112" i="22"/>
  <c r="HL112" i="22"/>
  <c r="HM112" i="22"/>
  <c r="HN112" i="22"/>
  <c r="HO112" i="22"/>
  <c r="HP112" i="22"/>
  <c r="HQ112" i="22"/>
  <c r="HR112" i="22"/>
  <c r="HS112" i="22"/>
  <c r="HT112" i="22"/>
  <c r="HU112" i="22"/>
  <c r="HV112" i="22"/>
  <c r="HW112" i="22"/>
  <c r="HX112" i="22"/>
  <c r="HY112" i="22"/>
  <c r="HZ112" i="22"/>
  <c r="IA112" i="22"/>
  <c r="IB112" i="22"/>
  <c r="IC112" i="22"/>
  <c r="ID112" i="22"/>
  <c r="IE112" i="22"/>
  <c r="IF112" i="22"/>
  <c r="IG112" i="22"/>
  <c r="IH112" i="22"/>
  <c r="II112" i="22"/>
  <c r="IJ112" i="22"/>
  <c r="IK112" i="22"/>
  <c r="IL112" i="22"/>
  <c r="IM112" i="22"/>
  <c r="IN112" i="22"/>
  <c r="IO112" i="22"/>
  <c r="IP112" i="22"/>
  <c r="IQ112" i="22"/>
  <c r="IR112" i="22"/>
  <c r="IS112" i="22"/>
  <c r="IT112" i="22"/>
  <c r="IU112" i="22"/>
  <c r="IV112" i="22"/>
  <c r="G113" i="22"/>
  <c r="H113" i="22"/>
  <c r="I113" i="22"/>
  <c r="J113" i="22"/>
  <c r="K113" i="22"/>
  <c r="L113" i="22"/>
  <c r="M113" i="22"/>
  <c r="N113" i="22"/>
  <c r="O113" i="22"/>
  <c r="P113" i="22"/>
  <c r="Q113" i="22"/>
  <c r="R113" i="22"/>
  <c r="S113" i="22"/>
  <c r="T113" i="22"/>
  <c r="U113" i="22"/>
  <c r="V113" i="22"/>
  <c r="W113" i="22"/>
  <c r="X113" i="22"/>
  <c r="Y113" i="22"/>
  <c r="Z113" i="22"/>
  <c r="AA113" i="22"/>
  <c r="AB113" i="22"/>
  <c r="AC113" i="22"/>
  <c r="AD113" i="22"/>
  <c r="AE113" i="22"/>
  <c r="AF113" i="22"/>
  <c r="AG113" i="22"/>
  <c r="AH113" i="22"/>
  <c r="AI113" i="22"/>
  <c r="AJ113" i="22"/>
  <c r="AK113" i="22"/>
  <c r="AL113" i="22"/>
  <c r="AM113" i="22"/>
  <c r="AN113" i="22"/>
  <c r="AO113" i="22"/>
  <c r="AP113" i="22"/>
  <c r="AQ113" i="22"/>
  <c r="AR113" i="22"/>
  <c r="AS113" i="22"/>
  <c r="AT113" i="22"/>
  <c r="AU113" i="22"/>
  <c r="AV113" i="22"/>
  <c r="AW113" i="22"/>
  <c r="AX113" i="22"/>
  <c r="AY113" i="22"/>
  <c r="AZ113" i="22"/>
  <c r="BA113" i="22"/>
  <c r="BB113" i="22"/>
  <c r="BC113" i="22"/>
  <c r="BD113" i="22"/>
  <c r="BE113" i="22"/>
  <c r="BF113" i="22"/>
  <c r="BG113" i="22"/>
  <c r="BH113" i="22"/>
  <c r="BI113" i="22"/>
  <c r="BJ113" i="22"/>
  <c r="BK113" i="22"/>
  <c r="BL113" i="22"/>
  <c r="BM113" i="22"/>
  <c r="BN113" i="22"/>
  <c r="BO113" i="22"/>
  <c r="BP113" i="22"/>
  <c r="BQ113" i="22"/>
  <c r="BR113" i="22"/>
  <c r="BS113" i="22"/>
  <c r="BT113" i="22"/>
  <c r="BU113" i="22"/>
  <c r="BV113" i="22"/>
  <c r="BW113" i="22"/>
  <c r="BX113" i="22"/>
  <c r="BY113" i="22"/>
  <c r="BZ113" i="22"/>
  <c r="CA113" i="22"/>
  <c r="CB113" i="22"/>
  <c r="CC113" i="22"/>
  <c r="CD113" i="22"/>
  <c r="CE113" i="22"/>
  <c r="CF113" i="22"/>
  <c r="CG113" i="22"/>
  <c r="CH113" i="22"/>
  <c r="CI113" i="22"/>
  <c r="CJ113" i="22"/>
  <c r="CK113" i="22"/>
  <c r="CL113" i="22"/>
  <c r="CM113" i="22"/>
  <c r="CN113" i="22"/>
  <c r="CO113" i="22"/>
  <c r="CP113" i="22"/>
  <c r="CQ113" i="22"/>
  <c r="CR113" i="22"/>
  <c r="CS113" i="22"/>
  <c r="CT113" i="22"/>
  <c r="CU113" i="22"/>
  <c r="CV113" i="22"/>
  <c r="CW113" i="22"/>
  <c r="CX113" i="22"/>
  <c r="CY113" i="22"/>
  <c r="CZ113" i="22"/>
  <c r="DA113" i="22"/>
  <c r="DB113" i="22"/>
  <c r="DC113" i="22"/>
  <c r="DD113" i="22"/>
  <c r="DE113" i="22"/>
  <c r="DF113" i="22"/>
  <c r="DG113" i="22"/>
  <c r="DH113" i="22"/>
  <c r="DI113" i="22"/>
  <c r="DJ113" i="22"/>
  <c r="DK113" i="22"/>
  <c r="DL113" i="22"/>
  <c r="DM113" i="22"/>
  <c r="DN113" i="22"/>
  <c r="DO113" i="22"/>
  <c r="DP113" i="22"/>
  <c r="DQ113" i="22"/>
  <c r="DR113" i="22"/>
  <c r="DS113" i="22"/>
  <c r="DT113" i="22"/>
  <c r="DU113" i="22"/>
  <c r="DV113" i="22"/>
  <c r="DW113" i="22"/>
  <c r="DX113" i="22"/>
  <c r="DY113" i="22"/>
  <c r="DZ113" i="22"/>
  <c r="EA113" i="22"/>
  <c r="EB113" i="22"/>
  <c r="EC113" i="22"/>
  <c r="ED113" i="22"/>
  <c r="EE113" i="22"/>
  <c r="EF113" i="22"/>
  <c r="EG113" i="22"/>
  <c r="EH113" i="22"/>
  <c r="EI113" i="22"/>
  <c r="EJ113" i="22"/>
  <c r="EK113" i="22"/>
  <c r="EL113" i="22"/>
  <c r="EM113" i="22"/>
  <c r="EN113" i="22"/>
  <c r="EO113" i="22"/>
  <c r="EP113" i="22"/>
  <c r="EQ113" i="22"/>
  <c r="ER113" i="22"/>
  <c r="ES113" i="22"/>
  <c r="ET113" i="22"/>
  <c r="EU113" i="22"/>
  <c r="EV113" i="22"/>
  <c r="EW113" i="22"/>
  <c r="EX113" i="22"/>
  <c r="EY113" i="22"/>
  <c r="EZ113" i="22"/>
  <c r="FA113" i="22"/>
  <c r="FB113" i="22"/>
  <c r="FC113" i="22"/>
  <c r="FD113" i="22"/>
  <c r="FE113" i="22"/>
  <c r="FF113" i="22"/>
  <c r="FG113" i="22"/>
  <c r="FH113" i="22"/>
  <c r="FI113" i="22"/>
  <c r="FJ113" i="22"/>
  <c r="FK113" i="22"/>
  <c r="FL113" i="22"/>
  <c r="FM113" i="22"/>
  <c r="FN113" i="22"/>
  <c r="FO113" i="22"/>
  <c r="FP113" i="22"/>
  <c r="FQ113" i="22"/>
  <c r="FR113" i="22"/>
  <c r="FS113" i="22"/>
  <c r="FT113" i="22"/>
  <c r="FU113" i="22"/>
  <c r="FV113" i="22"/>
  <c r="FW113" i="22"/>
  <c r="FX113" i="22"/>
  <c r="FY113" i="22"/>
  <c r="FZ113" i="22"/>
  <c r="GA113" i="22"/>
  <c r="GB113" i="22"/>
  <c r="GC113" i="22"/>
  <c r="GD113" i="22"/>
  <c r="GE113" i="22"/>
  <c r="GF113" i="22"/>
  <c r="GG113" i="22"/>
  <c r="GH113" i="22"/>
  <c r="GI113" i="22"/>
  <c r="GJ113" i="22"/>
  <c r="GK113" i="22"/>
  <c r="GL113" i="22"/>
  <c r="GM113" i="22"/>
  <c r="GN113" i="22"/>
  <c r="GO113" i="22"/>
  <c r="GP113" i="22"/>
  <c r="GQ113" i="22"/>
  <c r="GR113" i="22"/>
  <c r="GS113" i="22"/>
  <c r="GT113" i="22"/>
  <c r="GU113" i="22"/>
  <c r="GV113" i="22"/>
  <c r="GW113" i="22"/>
  <c r="GX113" i="22"/>
  <c r="GY113" i="22"/>
  <c r="GZ113" i="22"/>
  <c r="HA113" i="22"/>
  <c r="HB113" i="22"/>
  <c r="HC113" i="22"/>
  <c r="HD113" i="22"/>
  <c r="HE113" i="22"/>
  <c r="HF113" i="22"/>
  <c r="HG113" i="22"/>
  <c r="HH113" i="22"/>
  <c r="HI113" i="22"/>
  <c r="HJ113" i="22"/>
  <c r="HK113" i="22"/>
  <c r="HL113" i="22"/>
  <c r="HM113" i="22"/>
  <c r="HN113" i="22"/>
  <c r="HO113" i="22"/>
  <c r="HP113" i="22"/>
  <c r="HQ113" i="22"/>
  <c r="HR113" i="22"/>
  <c r="HS113" i="22"/>
  <c r="HT113" i="22"/>
  <c r="HU113" i="22"/>
  <c r="HV113" i="22"/>
  <c r="HW113" i="22"/>
  <c r="HX113" i="22"/>
  <c r="HY113" i="22"/>
  <c r="HZ113" i="22"/>
  <c r="IA113" i="22"/>
  <c r="IB113" i="22"/>
  <c r="IC113" i="22"/>
  <c r="ID113" i="22"/>
  <c r="IE113" i="22"/>
  <c r="IF113" i="22"/>
  <c r="IG113" i="22"/>
  <c r="IH113" i="22"/>
  <c r="II113" i="22"/>
  <c r="IJ113" i="22"/>
  <c r="IK113" i="22"/>
  <c r="IL113" i="22"/>
  <c r="IM113" i="22"/>
  <c r="IN113" i="22"/>
  <c r="IO113" i="22"/>
  <c r="IP113" i="22"/>
  <c r="IQ113" i="22"/>
  <c r="IR113" i="22"/>
  <c r="IS113" i="22"/>
  <c r="IT113" i="22"/>
  <c r="IU113" i="22"/>
  <c r="IV113" i="22"/>
  <c r="G114" i="22"/>
  <c r="H114" i="22"/>
  <c r="I114" i="22"/>
  <c r="J114" i="22"/>
  <c r="K114" i="22"/>
  <c r="L114" i="22"/>
  <c r="M114" i="22"/>
  <c r="N114" i="22"/>
  <c r="O114" i="22"/>
  <c r="P114" i="22"/>
  <c r="Q114" i="22"/>
  <c r="R114" i="22"/>
  <c r="S114" i="22"/>
  <c r="T114" i="22"/>
  <c r="U114" i="22"/>
  <c r="V114" i="22"/>
  <c r="W114" i="22"/>
  <c r="X114" i="22"/>
  <c r="Y114" i="22"/>
  <c r="Z114" i="22"/>
  <c r="AA114" i="22"/>
  <c r="AB114" i="22"/>
  <c r="AC114" i="22"/>
  <c r="AD114" i="22"/>
  <c r="AE114" i="22"/>
  <c r="AF114" i="22"/>
  <c r="AG114" i="22"/>
  <c r="AH114" i="22"/>
  <c r="AI114" i="22"/>
  <c r="AJ114" i="22"/>
  <c r="AK114" i="22"/>
  <c r="AL114" i="22"/>
  <c r="AM114" i="22"/>
  <c r="AN114" i="22"/>
  <c r="AO114" i="22"/>
  <c r="AP114" i="22"/>
  <c r="AQ114" i="22"/>
  <c r="AR114" i="22"/>
  <c r="AS114" i="22"/>
  <c r="AT114" i="22"/>
  <c r="AU114" i="22"/>
  <c r="AV114" i="22"/>
  <c r="AW114" i="22"/>
  <c r="AX114" i="22"/>
  <c r="AY114" i="22"/>
  <c r="AZ114" i="22"/>
  <c r="BA114" i="22"/>
  <c r="BB114" i="22"/>
  <c r="BC114" i="22"/>
  <c r="BD114" i="22"/>
  <c r="BE114" i="22"/>
  <c r="BF114" i="22"/>
  <c r="BG114" i="22"/>
  <c r="BH114" i="22"/>
  <c r="BI114" i="22"/>
  <c r="BJ114" i="22"/>
  <c r="BK114" i="22"/>
  <c r="BL114" i="22"/>
  <c r="BM114" i="22"/>
  <c r="BN114" i="22"/>
  <c r="BO114" i="22"/>
  <c r="BP114" i="22"/>
  <c r="BQ114" i="22"/>
  <c r="BR114" i="22"/>
  <c r="BS114" i="22"/>
  <c r="BT114" i="22"/>
  <c r="BU114" i="22"/>
  <c r="BV114" i="22"/>
  <c r="BW114" i="22"/>
  <c r="BX114" i="22"/>
  <c r="BY114" i="22"/>
  <c r="BZ114" i="22"/>
  <c r="CA114" i="22"/>
  <c r="CB114" i="22"/>
  <c r="CC114" i="22"/>
  <c r="CD114" i="22"/>
  <c r="CE114" i="22"/>
  <c r="CF114" i="22"/>
  <c r="CG114" i="22"/>
  <c r="CH114" i="22"/>
  <c r="CI114" i="22"/>
  <c r="CJ114" i="22"/>
  <c r="CK114" i="22"/>
  <c r="CL114" i="22"/>
  <c r="CM114" i="22"/>
  <c r="CN114" i="22"/>
  <c r="CO114" i="22"/>
  <c r="CP114" i="22"/>
  <c r="CQ114" i="22"/>
  <c r="CR114" i="22"/>
  <c r="CS114" i="22"/>
  <c r="CT114" i="22"/>
  <c r="CU114" i="22"/>
  <c r="CV114" i="22"/>
  <c r="CW114" i="22"/>
  <c r="CX114" i="22"/>
  <c r="CY114" i="22"/>
  <c r="CZ114" i="22"/>
  <c r="DA114" i="22"/>
  <c r="DB114" i="22"/>
  <c r="DC114" i="22"/>
  <c r="DD114" i="22"/>
  <c r="DE114" i="22"/>
  <c r="DF114" i="22"/>
  <c r="DG114" i="22"/>
  <c r="DH114" i="22"/>
  <c r="DI114" i="22"/>
  <c r="DJ114" i="22"/>
  <c r="DK114" i="22"/>
  <c r="DL114" i="22"/>
  <c r="DM114" i="22"/>
  <c r="DN114" i="22"/>
  <c r="DO114" i="22"/>
  <c r="DP114" i="22"/>
  <c r="DQ114" i="22"/>
  <c r="DR114" i="22"/>
  <c r="DS114" i="22"/>
  <c r="DT114" i="22"/>
  <c r="DU114" i="22"/>
  <c r="DV114" i="22"/>
  <c r="DW114" i="22"/>
  <c r="DX114" i="22"/>
  <c r="DY114" i="22"/>
  <c r="DZ114" i="22"/>
  <c r="EA114" i="22"/>
  <c r="EB114" i="22"/>
  <c r="EC114" i="22"/>
  <c r="ED114" i="22"/>
  <c r="EE114" i="22"/>
  <c r="EF114" i="22"/>
  <c r="EG114" i="22"/>
  <c r="EH114" i="22"/>
  <c r="EI114" i="22"/>
  <c r="EJ114" i="22"/>
  <c r="EK114" i="22"/>
  <c r="EL114" i="22"/>
  <c r="EM114" i="22"/>
  <c r="EN114" i="22"/>
  <c r="EO114" i="22"/>
  <c r="EP114" i="22"/>
  <c r="EQ114" i="22"/>
  <c r="ER114" i="22"/>
  <c r="ES114" i="22"/>
  <c r="ET114" i="22"/>
  <c r="EU114" i="22"/>
  <c r="EV114" i="22"/>
  <c r="EW114" i="22"/>
  <c r="EX114" i="22"/>
  <c r="EY114" i="22"/>
  <c r="EZ114" i="22"/>
  <c r="FA114" i="22"/>
  <c r="FB114" i="22"/>
  <c r="FC114" i="22"/>
  <c r="FD114" i="22"/>
  <c r="FE114" i="22"/>
  <c r="FF114" i="22"/>
  <c r="FG114" i="22"/>
  <c r="FH114" i="22"/>
  <c r="FI114" i="22"/>
  <c r="FJ114" i="22"/>
  <c r="FK114" i="22"/>
  <c r="FL114" i="22"/>
  <c r="FM114" i="22"/>
  <c r="FN114" i="22"/>
  <c r="FO114" i="22"/>
  <c r="FP114" i="22"/>
  <c r="FQ114" i="22"/>
  <c r="FR114" i="22"/>
  <c r="FS114" i="22"/>
  <c r="FT114" i="22"/>
  <c r="FU114" i="22"/>
  <c r="FV114" i="22"/>
  <c r="FW114" i="22"/>
  <c r="FX114" i="22"/>
  <c r="FY114" i="22"/>
  <c r="FZ114" i="22"/>
  <c r="GA114" i="22"/>
  <c r="GB114" i="22"/>
  <c r="GC114" i="22"/>
  <c r="GD114" i="22"/>
  <c r="GE114" i="22"/>
  <c r="GF114" i="22"/>
  <c r="GG114" i="22"/>
  <c r="GH114" i="22"/>
  <c r="GI114" i="22"/>
  <c r="GJ114" i="22"/>
  <c r="GK114" i="22"/>
  <c r="GL114" i="22"/>
  <c r="GM114" i="22"/>
  <c r="GN114" i="22"/>
  <c r="GO114" i="22"/>
  <c r="GP114" i="22"/>
  <c r="GQ114" i="22"/>
  <c r="GR114" i="22"/>
  <c r="GS114" i="22"/>
  <c r="GT114" i="22"/>
  <c r="GU114" i="22"/>
  <c r="GV114" i="22"/>
  <c r="GW114" i="22"/>
  <c r="GW153" i="22" s="1"/>
  <c r="GX114" i="22"/>
  <c r="GY114" i="22"/>
  <c r="GZ114" i="22"/>
  <c r="HA114" i="22"/>
  <c r="HB114" i="22"/>
  <c r="HC114" i="22"/>
  <c r="HD114" i="22"/>
  <c r="HE114" i="22"/>
  <c r="HF114" i="22"/>
  <c r="HG114" i="22"/>
  <c r="HH114" i="22"/>
  <c r="HI114" i="22"/>
  <c r="HJ114" i="22"/>
  <c r="HK114" i="22"/>
  <c r="HL114" i="22"/>
  <c r="HM114" i="22"/>
  <c r="HN114" i="22"/>
  <c r="HO114" i="22"/>
  <c r="HP114" i="22"/>
  <c r="HQ114" i="22"/>
  <c r="HR114" i="22"/>
  <c r="HS114" i="22"/>
  <c r="HT114" i="22"/>
  <c r="HU114" i="22"/>
  <c r="HV114" i="22"/>
  <c r="HW114" i="22"/>
  <c r="HX114" i="22"/>
  <c r="HY114" i="22"/>
  <c r="HZ114" i="22"/>
  <c r="IA114" i="22"/>
  <c r="IB114" i="22"/>
  <c r="IC114" i="22"/>
  <c r="ID114" i="22"/>
  <c r="IE114" i="22"/>
  <c r="IF114" i="22"/>
  <c r="IG114" i="22"/>
  <c r="IH114" i="22"/>
  <c r="II114" i="22"/>
  <c r="IJ114" i="22"/>
  <c r="IK114" i="22"/>
  <c r="IL114" i="22"/>
  <c r="IM114" i="22"/>
  <c r="IN114" i="22"/>
  <c r="IO114" i="22"/>
  <c r="IP114" i="22"/>
  <c r="IQ114" i="22"/>
  <c r="IR114" i="22"/>
  <c r="IS114" i="22"/>
  <c r="IT114" i="22"/>
  <c r="IU114" i="22"/>
  <c r="IV114" i="22"/>
  <c r="G115" i="22"/>
  <c r="H115" i="22"/>
  <c r="I115" i="22"/>
  <c r="J115" i="22"/>
  <c r="K115" i="22"/>
  <c r="L115" i="22"/>
  <c r="M115" i="22"/>
  <c r="N115" i="22"/>
  <c r="O115" i="22"/>
  <c r="P115" i="22"/>
  <c r="Q115" i="22"/>
  <c r="R115" i="22"/>
  <c r="S115" i="22"/>
  <c r="T115" i="22"/>
  <c r="U115" i="22"/>
  <c r="V115" i="22"/>
  <c r="W115" i="22"/>
  <c r="X115" i="22"/>
  <c r="Y115" i="22"/>
  <c r="Z115" i="22"/>
  <c r="AA115" i="22"/>
  <c r="AB115" i="22"/>
  <c r="AC115" i="22"/>
  <c r="AD115" i="22"/>
  <c r="AE115" i="22"/>
  <c r="AF115" i="22"/>
  <c r="AG115" i="22"/>
  <c r="AH115" i="22"/>
  <c r="AI115" i="22"/>
  <c r="AJ115" i="22"/>
  <c r="AK115" i="22"/>
  <c r="AL115" i="22"/>
  <c r="AM115" i="22"/>
  <c r="AN115" i="22"/>
  <c r="AO115" i="22"/>
  <c r="AP115" i="22"/>
  <c r="AQ115" i="22"/>
  <c r="AR115" i="22"/>
  <c r="AS115" i="22"/>
  <c r="AT115" i="22"/>
  <c r="AU115" i="22"/>
  <c r="AV115" i="22"/>
  <c r="AW115" i="22"/>
  <c r="AX115" i="22"/>
  <c r="AY115" i="22"/>
  <c r="AZ115" i="22"/>
  <c r="BA115" i="22"/>
  <c r="BB115" i="22"/>
  <c r="BC115" i="22"/>
  <c r="BD115" i="22"/>
  <c r="BE115" i="22"/>
  <c r="BF115" i="22"/>
  <c r="BG115" i="22"/>
  <c r="BH115" i="22"/>
  <c r="BI115" i="22"/>
  <c r="BJ115" i="22"/>
  <c r="BK115" i="22"/>
  <c r="BL115" i="22"/>
  <c r="BM115" i="22"/>
  <c r="BN115" i="22"/>
  <c r="BO115" i="22"/>
  <c r="BP115" i="22"/>
  <c r="BQ115" i="22"/>
  <c r="BR115" i="22"/>
  <c r="BS115" i="22"/>
  <c r="BT115" i="22"/>
  <c r="BU115" i="22"/>
  <c r="BV115" i="22"/>
  <c r="BW115" i="22"/>
  <c r="BX115" i="22"/>
  <c r="BY115" i="22"/>
  <c r="BY153" i="22" s="1"/>
  <c r="BZ115" i="22"/>
  <c r="CA115" i="22"/>
  <c r="CB115" i="22"/>
  <c r="CC115" i="22"/>
  <c r="CD115" i="22"/>
  <c r="CE115" i="22"/>
  <c r="CF115" i="22"/>
  <c r="CG115" i="22"/>
  <c r="CH115" i="22"/>
  <c r="CI115" i="22"/>
  <c r="CJ115" i="22"/>
  <c r="CK115" i="22"/>
  <c r="CL115" i="22"/>
  <c r="CM115" i="22"/>
  <c r="CN115" i="22"/>
  <c r="CO115" i="22"/>
  <c r="CP115" i="22"/>
  <c r="CQ115" i="22"/>
  <c r="CR115" i="22"/>
  <c r="CS115" i="22"/>
  <c r="CT115" i="22"/>
  <c r="CU115" i="22"/>
  <c r="CV115" i="22"/>
  <c r="CW115" i="22"/>
  <c r="CX115" i="22"/>
  <c r="CY115" i="22"/>
  <c r="CZ115" i="22"/>
  <c r="DA115" i="22"/>
  <c r="DB115" i="22"/>
  <c r="DC115" i="22"/>
  <c r="DD115" i="22"/>
  <c r="DE115" i="22"/>
  <c r="DF115" i="22"/>
  <c r="DG115" i="22"/>
  <c r="DH115" i="22"/>
  <c r="DI115" i="22"/>
  <c r="DJ115" i="22"/>
  <c r="DK115" i="22"/>
  <c r="DL115" i="22"/>
  <c r="DM115" i="22"/>
  <c r="DN115" i="22"/>
  <c r="DO115" i="22"/>
  <c r="DP115" i="22"/>
  <c r="DQ115" i="22"/>
  <c r="DR115" i="22"/>
  <c r="DS115" i="22"/>
  <c r="DT115" i="22"/>
  <c r="DU115" i="22"/>
  <c r="DV115" i="22"/>
  <c r="DW115" i="22"/>
  <c r="DX115" i="22"/>
  <c r="DY115" i="22"/>
  <c r="DZ115" i="22"/>
  <c r="EA115" i="22"/>
  <c r="EB115" i="22"/>
  <c r="EC115" i="22"/>
  <c r="ED115" i="22"/>
  <c r="EE115" i="22"/>
  <c r="EF115" i="22"/>
  <c r="EG115" i="22"/>
  <c r="EH115" i="22"/>
  <c r="EI115" i="22"/>
  <c r="EJ115" i="22"/>
  <c r="EK115" i="22"/>
  <c r="EL115" i="22"/>
  <c r="EM115" i="22"/>
  <c r="EN115" i="22"/>
  <c r="EO115" i="22"/>
  <c r="EP115" i="22"/>
  <c r="EQ115" i="22"/>
  <c r="ER115" i="22"/>
  <c r="ES115" i="22"/>
  <c r="ET115" i="22"/>
  <c r="EU115" i="22"/>
  <c r="EV115" i="22"/>
  <c r="EW115" i="22"/>
  <c r="EX115" i="22"/>
  <c r="EY115" i="22"/>
  <c r="EZ115" i="22"/>
  <c r="FA115" i="22"/>
  <c r="FB115" i="22"/>
  <c r="FC115" i="22"/>
  <c r="FD115" i="22"/>
  <c r="FE115" i="22"/>
  <c r="FF115" i="22"/>
  <c r="FG115" i="22"/>
  <c r="FH115" i="22"/>
  <c r="FI115" i="22"/>
  <c r="FJ115" i="22"/>
  <c r="FK115" i="22"/>
  <c r="FL115" i="22"/>
  <c r="FM115" i="22"/>
  <c r="FN115" i="22"/>
  <c r="FO115" i="22"/>
  <c r="FP115" i="22"/>
  <c r="FQ115" i="22"/>
  <c r="FR115" i="22"/>
  <c r="FS115" i="22"/>
  <c r="FT115" i="22"/>
  <c r="FU115" i="22"/>
  <c r="FV115" i="22"/>
  <c r="FW115" i="22"/>
  <c r="FX115" i="22"/>
  <c r="FY115" i="22"/>
  <c r="FZ115" i="22"/>
  <c r="GA115" i="22"/>
  <c r="GB115" i="22"/>
  <c r="GC115" i="22"/>
  <c r="GD115" i="22"/>
  <c r="GE115" i="22"/>
  <c r="GF115" i="22"/>
  <c r="GG115" i="22"/>
  <c r="GH115" i="22"/>
  <c r="GI115" i="22"/>
  <c r="GJ115" i="22"/>
  <c r="GK115" i="22"/>
  <c r="GL115" i="22"/>
  <c r="GM115" i="22"/>
  <c r="GN115" i="22"/>
  <c r="GO115" i="22"/>
  <c r="GP115" i="22"/>
  <c r="GQ115" i="22"/>
  <c r="GR115" i="22"/>
  <c r="GS115" i="22"/>
  <c r="GT115" i="22"/>
  <c r="GU115" i="22"/>
  <c r="GV115" i="22"/>
  <c r="GW115" i="22"/>
  <c r="GX115" i="22"/>
  <c r="GY115" i="22"/>
  <c r="GZ115" i="22"/>
  <c r="HA115" i="22"/>
  <c r="HB115" i="22"/>
  <c r="HC115" i="22"/>
  <c r="HD115" i="22"/>
  <c r="HE115" i="22"/>
  <c r="HF115" i="22"/>
  <c r="HG115" i="22"/>
  <c r="HH115" i="22"/>
  <c r="HI115" i="22"/>
  <c r="HJ115" i="22"/>
  <c r="HK115" i="22"/>
  <c r="HL115" i="22"/>
  <c r="HM115" i="22"/>
  <c r="HN115" i="22"/>
  <c r="HO115" i="22"/>
  <c r="HP115" i="22"/>
  <c r="HQ115" i="22"/>
  <c r="HR115" i="22"/>
  <c r="HS115" i="22"/>
  <c r="HT115" i="22"/>
  <c r="HU115" i="22"/>
  <c r="HV115" i="22"/>
  <c r="HW115" i="22"/>
  <c r="HX115" i="22"/>
  <c r="HY115" i="22"/>
  <c r="HZ115" i="22"/>
  <c r="IA115" i="22"/>
  <c r="IB115" i="22"/>
  <c r="IC115" i="22"/>
  <c r="ID115" i="22"/>
  <c r="IE115" i="22"/>
  <c r="IF115" i="22"/>
  <c r="IG115" i="22"/>
  <c r="IH115" i="22"/>
  <c r="II115" i="22"/>
  <c r="IJ115" i="22"/>
  <c r="IK115" i="22"/>
  <c r="IL115" i="22"/>
  <c r="IM115" i="22"/>
  <c r="IN115" i="22"/>
  <c r="IO115" i="22"/>
  <c r="IP115" i="22"/>
  <c r="IQ115" i="22"/>
  <c r="IR115" i="22"/>
  <c r="IS115" i="22"/>
  <c r="IT115" i="22"/>
  <c r="IU115" i="22"/>
  <c r="IV115" i="22"/>
  <c r="G116" i="22"/>
  <c r="H116" i="22"/>
  <c r="I116" i="22"/>
  <c r="J116" i="22"/>
  <c r="K116" i="22"/>
  <c r="L116" i="22"/>
  <c r="M116" i="22"/>
  <c r="N116" i="22"/>
  <c r="O116" i="22"/>
  <c r="P116" i="22"/>
  <c r="Q116" i="22"/>
  <c r="R116" i="22"/>
  <c r="S116" i="22"/>
  <c r="T116" i="22"/>
  <c r="U116" i="22"/>
  <c r="V116" i="22"/>
  <c r="W116" i="22"/>
  <c r="X116" i="22"/>
  <c r="Y116" i="22"/>
  <c r="Z116" i="22"/>
  <c r="AA116" i="22"/>
  <c r="AB116" i="22"/>
  <c r="AC116" i="22"/>
  <c r="AD116" i="22"/>
  <c r="AE116" i="22"/>
  <c r="AF116" i="22"/>
  <c r="AG116" i="22"/>
  <c r="AH116" i="22"/>
  <c r="AI116" i="22"/>
  <c r="AJ116" i="22"/>
  <c r="AK116" i="22"/>
  <c r="AL116" i="22"/>
  <c r="AM116" i="22"/>
  <c r="AN116" i="22"/>
  <c r="AO116" i="22"/>
  <c r="AP116" i="22"/>
  <c r="AQ116" i="22"/>
  <c r="AR116" i="22"/>
  <c r="AS116" i="22"/>
  <c r="AT116" i="22"/>
  <c r="AU116" i="22"/>
  <c r="AV116" i="22"/>
  <c r="AW116" i="22"/>
  <c r="AX116" i="22"/>
  <c r="AY116" i="22"/>
  <c r="AZ116" i="22"/>
  <c r="BA116" i="22"/>
  <c r="BB116" i="22"/>
  <c r="BC116" i="22"/>
  <c r="BD116" i="22"/>
  <c r="BE116" i="22"/>
  <c r="BF116" i="22"/>
  <c r="BG116" i="22"/>
  <c r="BH116" i="22"/>
  <c r="BI116" i="22"/>
  <c r="BJ116" i="22"/>
  <c r="BK116" i="22"/>
  <c r="BL116" i="22"/>
  <c r="BM116" i="22"/>
  <c r="BN116" i="22"/>
  <c r="BO116" i="22"/>
  <c r="BP116" i="22"/>
  <c r="BQ116" i="22"/>
  <c r="BR116" i="22"/>
  <c r="BS116" i="22"/>
  <c r="BT116" i="22"/>
  <c r="BU116" i="22"/>
  <c r="BV116" i="22"/>
  <c r="BW116" i="22"/>
  <c r="BX116" i="22"/>
  <c r="BY116" i="22"/>
  <c r="BZ116" i="22"/>
  <c r="CA116" i="22"/>
  <c r="CB116" i="22"/>
  <c r="CC116" i="22"/>
  <c r="CD116" i="22"/>
  <c r="CE116" i="22"/>
  <c r="CF116" i="22"/>
  <c r="CG116" i="22"/>
  <c r="CH116" i="22"/>
  <c r="CI116" i="22"/>
  <c r="CJ116" i="22"/>
  <c r="CK116" i="22"/>
  <c r="CL116" i="22"/>
  <c r="CM116" i="22"/>
  <c r="CN116" i="22"/>
  <c r="CO116" i="22"/>
  <c r="CP116" i="22"/>
  <c r="CQ116" i="22"/>
  <c r="CR116" i="22"/>
  <c r="CS116" i="22"/>
  <c r="CT116" i="22"/>
  <c r="CU116" i="22"/>
  <c r="CV116" i="22"/>
  <c r="CW116" i="22"/>
  <c r="CX116" i="22"/>
  <c r="CY116" i="22"/>
  <c r="CZ116" i="22"/>
  <c r="DA116" i="22"/>
  <c r="DB116" i="22"/>
  <c r="DC116" i="22"/>
  <c r="DD116" i="22"/>
  <c r="DE116" i="22"/>
  <c r="DF116" i="22"/>
  <c r="DG116" i="22"/>
  <c r="DH116" i="22"/>
  <c r="DI116" i="22"/>
  <c r="DJ116" i="22"/>
  <c r="DK116" i="22"/>
  <c r="DL116" i="22"/>
  <c r="DM116" i="22"/>
  <c r="DN116" i="22"/>
  <c r="DO116" i="22"/>
  <c r="DP116" i="22"/>
  <c r="DQ116" i="22"/>
  <c r="DR116" i="22"/>
  <c r="DS116" i="22"/>
  <c r="DT116" i="22"/>
  <c r="DU116" i="22"/>
  <c r="DV116" i="22"/>
  <c r="DW116" i="22"/>
  <c r="DX116" i="22"/>
  <c r="DY116" i="22"/>
  <c r="DZ116" i="22"/>
  <c r="EA116" i="22"/>
  <c r="EB116" i="22"/>
  <c r="EC116" i="22"/>
  <c r="ED116" i="22"/>
  <c r="EE116" i="22"/>
  <c r="EF116" i="22"/>
  <c r="EG116" i="22"/>
  <c r="EH116" i="22"/>
  <c r="EI116" i="22"/>
  <c r="EJ116" i="22"/>
  <c r="EK116" i="22"/>
  <c r="EL116" i="22"/>
  <c r="EM116" i="22"/>
  <c r="EN116" i="22"/>
  <c r="EO116" i="22"/>
  <c r="EP116" i="22"/>
  <c r="EQ116" i="22"/>
  <c r="ER116" i="22"/>
  <c r="ES116" i="22"/>
  <c r="ET116" i="22"/>
  <c r="EU116" i="22"/>
  <c r="EV116" i="22"/>
  <c r="EW116" i="22"/>
  <c r="EX116" i="22"/>
  <c r="EY116" i="22"/>
  <c r="EZ116" i="22"/>
  <c r="FA116" i="22"/>
  <c r="FB116" i="22"/>
  <c r="FC116" i="22"/>
  <c r="FD116" i="22"/>
  <c r="FE116" i="22"/>
  <c r="FF116" i="22"/>
  <c r="FG116" i="22"/>
  <c r="FH116" i="22"/>
  <c r="FI116" i="22"/>
  <c r="FJ116" i="22"/>
  <c r="FK116" i="22"/>
  <c r="FL116" i="22"/>
  <c r="FM116" i="22"/>
  <c r="FN116" i="22"/>
  <c r="FO116" i="22"/>
  <c r="FP116" i="22"/>
  <c r="FQ116" i="22"/>
  <c r="FR116" i="22"/>
  <c r="FS116" i="22"/>
  <c r="FT116" i="22"/>
  <c r="FU116" i="22"/>
  <c r="FV116" i="22"/>
  <c r="FW116" i="22"/>
  <c r="FX116" i="22"/>
  <c r="FY116" i="22"/>
  <c r="FZ116" i="22"/>
  <c r="GA116" i="22"/>
  <c r="GB116" i="22"/>
  <c r="GC116" i="22"/>
  <c r="GD116" i="22"/>
  <c r="GE116" i="22"/>
  <c r="GF116" i="22"/>
  <c r="GG116" i="22"/>
  <c r="GH116" i="22"/>
  <c r="GI116" i="22"/>
  <c r="GJ116" i="22"/>
  <c r="GK116" i="22"/>
  <c r="GL116" i="22"/>
  <c r="GM116" i="22"/>
  <c r="GN116" i="22"/>
  <c r="GO116" i="22"/>
  <c r="GP116" i="22"/>
  <c r="GQ116" i="22"/>
  <c r="GR116" i="22"/>
  <c r="GS116" i="22"/>
  <c r="GT116" i="22"/>
  <c r="GU116" i="22"/>
  <c r="GV116" i="22"/>
  <c r="GW116" i="22"/>
  <c r="GX116" i="22"/>
  <c r="GY116" i="22"/>
  <c r="GZ116" i="22"/>
  <c r="HA116" i="22"/>
  <c r="HB116" i="22"/>
  <c r="HC116" i="22"/>
  <c r="HD116" i="22"/>
  <c r="HE116" i="22"/>
  <c r="HF116" i="22"/>
  <c r="HG116" i="22"/>
  <c r="HH116" i="22"/>
  <c r="HI116" i="22"/>
  <c r="HJ116" i="22"/>
  <c r="HK116" i="22"/>
  <c r="HL116" i="22"/>
  <c r="HM116" i="22"/>
  <c r="HN116" i="22"/>
  <c r="HO116" i="22"/>
  <c r="HP116" i="22"/>
  <c r="HQ116" i="22"/>
  <c r="HR116" i="22"/>
  <c r="HS116" i="22"/>
  <c r="HT116" i="22"/>
  <c r="HU116" i="22"/>
  <c r="HV116" i="22"/>
  <c r="HW116" i="22"/>
  <c r="HX116" i="22"/>
  <c r="HY116" i="22"/>
  <c r="HZ116" i="22"/>
  <c r="IA116" i="22"/>
  <c r="IB116" i="22"/>
  <c r="IC116" i="22"/>
  <c r="ID116" i="22"/>
  <c r="IE116" i="22"/>
  <c r="IF116" i="22"/>
  <c r="IG116" i="22"/>
  <c r="IH116" i="22"/>
  <c r="II116" i="22"/>
  <c r="IJ116" i="22"/>
  <c r="IK116" i="22"/>
  <c r="IL116" i="22"/>
  <c r="IM116" i="22"/>
  <c r="IN116" i="22"/>
  <c r="IO116" i="22"/>
  <c r="IP116" i="22"/>
  <c r="IQ116" i="22"/>
  <c r="IR116" i="22"/>
  <c r="IS116" i="22"/>
  <c r="IT116" i="22"/>
  <c r="IU116" i="22"/>
  <c r="IV116" i="22"/>
  <c r="G117" i="22"/>
  <c r="H117" i="22"/>
  <c r="I117" i="22"/>
  <c r="J117" i="22"/>
  <c r="K117" i="22"/>
  <c r="L117" i="22"/>
  <c r="M117" i="22"/>
  <c r="N117" i="22"/>
  <c r="O117" i="22"/>
  <c r="P117" i="22"/>
  <c r="Q117" i="22"/>
  <c r="R117" i="22"/>
  <c r="S117" i="22"/>
  <c r="T117" i="22"/>
  <c r="U117" i="22"/>
  <c r="V117" i="22"/>
  <c r="W117" i="22"/>
  <c r="X117" i="22"/>
  <c r="Y117" i="22"/>
  <c r="Z117" i="22"/>
  <c r="AA117" i="22"/>
  <c r="AB117" i="22"/>
  <c r="AC117" i="22"/>
  <c r="AD117" i="22"/>
  <c r="AE117" i="22"/>
  <c r="AF117" i="22"/>
  <c r="AG117" i="22"/>
  <c r="AH117" i="22"/>
  <c r="AI117" i="22"/>
  <c r="AJ117" i="22"/>
  <c r="AK117" i="22"/>
  <c r="AL117" i="22"/>
  <c r="AM117" i="22"/>
  <c r="AN117" i="22"/>
  <c r="AO117" i="22"/>
  <c r="AP117" i="22"/>
  <c r="AQ117" i="22"/>
  <c r="AR117" i="22"/>
  <c r="AS117" i="22"/>
  <c r="AT117" i="22"/>
  <c r="AU117" i="22"/>
  <c r="AV117" i="22"/>
  <c r="AW117" i="22"/>
  <c r="AX117" i="22"/>
  <c r="AY117" i="22"/>
  <c r="AZ117" i="22"/>
  <c r="BA117" i="22"/>
  <c r="BB117" i="22"/>
  <c r="BC117" i="22"/>
  <c r="BD117" i="22"/>
  <c r="BE117" i="22"/>
  <c r="BF117" i="22"/>
  <c r="BG117" i="22"/>
  <c r="BH117" i="22"/>
  <c r="BI117" i="22"/>
  <c r="BJ117" i="22"/>
  <c r="BK117" i="22"/>
  <c r="BL117" i="22"/>
  <c r="BM117" i="22"/>
  <c r="BN117" i="22"/>
  <c r="BO117" i="22"/>
  <c r="BP117" i="22"/>
  <c r="BQ117" i="22"/>
  <c r="BR117" i="22"/>
  <c r="BS117" i="22"/>
  <c r="BT117" i="22"/>
  <c r="BU117" i="22"/>
  <c r="BV117" i="22"/>
  <c r="BW117" i="22"/>
  <c r="BX117" i="22"/>
  <c r="BY117" i="22"/>
  <c r="BZ117" i="22"/>
  <c r="CA117" i="22"/>
  <c r="CB117" i="22"/>
  <c r="CC117" i="22"/>
  <c r="CD117" i="22"/>
  <c r="CE117" i="22"/>
  <c r="CF117" i="22"/>
  <c r="CG117" i="22"/>
  <c r="CH117" i="22"/>
  <c r="CI117" i="22"/>
  <c r="CJ117" i="22"/>
  <c r="CK117" i="22"/>
  <c r="CL117" i="22"/>
  <c r="CM117" i="22"/>
  <c r="CN117" i="22"/>
  <c r="CO117" i="22"/>
  <c r="CP117" i="22"/>
  <c r="CQ117" i="22"/>
  <c r="CR117" i="22"/>
  <c r="CS117" i="22"/>
  <c r="CT117" i="22"/>
  <c r="CU117" i="22"/>
  <c r="CV117" i="22"/>
  <c r="CW117" i="22"/>
  <c r="CX117" i="22"/>
  <c r="CY117" i="22"/>
  <c r="CZ117" i="22"/>
  <c r="DA117" i="22"/>
  <c r="DB117" i="22"/>
  <c r="DC117" i="22"/>
  <c r="DD117" i="22"/>
  <c r="DE117" i="22"/>
  <c r="DF117" i="22"/>
  <c r="DG117" i="22"/>
  <c r="DH117" i="22"/>
  <c r="DI117" i="22"/>
  <c r="DJ117" i="22"/>
  <c r="DK117" i="22"/>
  <c r="DL117" i="22"/>
  <c r="DM117" i="22"/>
  <c r="DN117" i="22"/>
  <c r="DO117" i="22"/>
  <c r="DP117" i="22"/>
  <c r="DQ117" i="22"/>
  <c r="DR117" i="22"/>
  <c r="DS117" i="22"/>
  <c r="DT117" i="22"/>
  <c r="DU117" i="22"/>
  <c r="DV117" i="22"/>
  <c r="DW117" i="22"/>
  <c r="DX117" i="22"/>
  <c r="DY117" i="22"/>
  <c r="DZ117" i="22"/>
  <c r="EA117" i="22"/>
  <c r="EB117" i="22"/>
  <c r="EC117" i="22"/>
  <c r="ED117" i="22"/>
  <c r="EE117" i="22"/>
  <c r="EF117" i="22"/>
  <c r="EG117" i="22"/>
  <c r="EH117" i="22"/>
  <c r="EI117" i="22"/>
  <c r="EJ117" i="22"/>
  <c r="EK117" i="22"/>
  <c r="EL117" i="22"/>
  <c r="EM117" i="22"/>
  <c r="EN117" i="22"/>
  <c r="EO117" i="22"/>
  <c r="EP117" i="22"/>
  <c r="EQ117" i="22"/>
  <c r="ER117" i="22"/>
  <c r="ES117" i="22"/>
  <c r="ET117" i="22"/>
  <c r="EU117" i="22"/>
  <c r="EV117" i="22"/>
  <c r="EW117" i="22"/>
  <c r="EX117" i="22"/>
  <c r="EY117" i="22"/>
  <c r="EZ117" i="22"/>
  <c r="FA117" i="22"/>
  <c r="FB117" i="22"/>
  <c r="FC117" i="22"/>
  <c r="FD117" i="22"/>
  <c r="FE117" i="22"/>
  <c r="FF117" i="22"/>
  <c r="FG117" i="22"/>
  <c r="FH117" i="22"/>
  <c r="FI117" i="22"/>
  <c r="FJ117" i="22"/>
  <c r="FK117" i="22"/>
  <c r="FL117" i="22"/>
  <c r="FM117" i="22"/>
  <c r="FN117" i="22"/>
  <c r="FO117" i="22"/>
  <c r="FP117" i="22"/>
  <c r="FQ117" i="22"/>
  <c r="FR117" i="22"/>
  <c r="FS117" i="22"/>
  <c r="FT117" i="22"/>
  <c r="FU117" i="22"/>
  <c r="FV117" i="22"/>
  <c r="FW117" i="22"/>
  <c r="FX117" i="22"/>
  <c r="FY117" i="22"/>
  <c r="FZ117" i="22"/>
  <c r="GA117" i="22"/>
  <c r="GB117" i="22"/>
  <c r="GC117" i="22"/>
  <c r="GD117" i="22"/>
  <c r="GE117" i="22"/>
  <c r="GF117" i="22"/>
  <c r="GG117" i="22"/>
  <c r="GH117" i="22"/>
  <c r="GI117" i="22"/>
  <c r="GJ117" i="22"/>
  <c r="GK117" i="22"/>
  <c r="GL117" i="22"/>
  <c r="GM117" i="22"/>
  <c r="GN117" i="22"/>
  <c r="GO117" i="22"/>
  <c r="GP117" i="22"/>
  <c r="GP153" i="22" s="1"/>
  <c r="GQ117" i="22"/>
  <c r="GR117" i="22"/>
  <c r="GS117" i="22"/>
  <c r="GT117" i="22"/>
  <c r="GU117" i="22"/>
  <c r="GV117" i="22"/>
  <c r="GW117" i="22"/>
  <c r="GX117" i="22"/>
  <c r="GY117" i="22"/>
  <c r="GZ117" i="22"/>
  <c r="HA117" i="22"/>
  <c r="HB117" i="22"/>
  <c r="HC117" i="22"/>
  <c r="HD117" i="22"/>
  <c r="HE117" i="22"/>
  <c r="HF117" i="22"/>
  <c r="HG117" i="22"/>
  <c r="HH117" i="22"/>
  <c r="HI117" i="22"/>
  <c r="HJ117" i="22"/>
  <c r="HK117" i="22"/>
  <c r="HL117" i="22"/>
  <c r="HM117" i="22"/>
  <c r="HN117" i="22"/>
  <c r="HO117" i="22"/>
  <c r="HP117" i="22"/>
  <c r="HQ117" i="22"/>
  <c r="HR117" i="22"/>
  <c r="HS117" i="22"/>
  <c r="HT117" i="22"/>
  <c r="HU117" i="22"/>
  <c r="HV117" i="22"/>
  <c r="HW117" i="22"/>
  <c r="HX117" i="22"/>
  <c r="HY117" i="22"/>
  <c r="HZ117" i="22"/>
  <c r="IA117" i="22"/>
  <c r="IB117" i="22"/>
  <c r="IC117" i="22"/>
  <c r="ID117" i="22"/>
  <c r="IE117" i="22"/>
  <c r="IF117" i="22"/>
  <c r="IG117" i="22"/>
  <c r="IH117" i="22"/>
  <c r="II117" i="22"/>
  <c r="IJ117" i="22"/>
  <c r="IK117" i="22"/>
  <c r="IL117" i="22"/>
  <c r="IM117" i="22"/>
  <c r="IN117" i="22"/>
  <c r="IO117" i="22"/>
  <c r="IP117" i="22"/>
  <c r="IQ117" i="22"/>
  <c r="IR117" i="22"/>
  <c r="IS117" i="22"/>
  <c r="IT117" i="22"/>
  <c r="IU117" i="22"/>
  <c r="IV117" i="22"/>
  <c r="G118" i="22"/>
  <c r="H118" i="22"/>
  <c r="I118" i="22"/>
  <c r="J118" i="22"/>
  <c r="K118" i="22"/>
  <c r="L118" i="22"/>
  <c r="M118" i="22"/>
  <c r="N118" i="22"/>
  <c r="O118" i="22"/>
  <c r="P118" i="22"/>
  <c r="Q118" i="22"/>
  <c r="R118" i="22"/>
  <c r="S118" i="22"/>
  <c r="T118" i="22"/>
  <c r="U118" i="22"/>
  <c r="V118" i="22"/>
  <c r="W118" i="22"/>
  <c r="X118" i="22"/>
  <c r="Y118" i="22"/>
  <c r="Z118" i="22"/>
  <c r="AA118" i="22"/>
  <c r="AB118" i="22"/>
  <c r="AC118" i="22"/>
  <c r="AD118" i="22"/>
  <c r="AE118" i="22"/>
  <c r="AF118" i="22"/>
  <c r="AG118" i="22"/>
  <c r="AH118" i="22"/>
  <c r="AI118" i="22"/>
  <c r="AJ118" i="22"/>
  <c r="AK118" i="22"/>
  <c r="AL118" i="22"/>
  <c r="AM118" i="22"/>
  <c r="AN118" i="22"/>
  <c r="AO118" i="22"/>
  <c r="AP118" i="22"/>
  <c r="AQ118" i="22"/>
  <c r="AR118" i="22"/>
  <c r="AS118" i="22"/>
  <c r="AT118" i="22"/>
  <c r="AU118" i="22"/>
  <c r="AV118" i="22"/>
  <c r="AW118" i="22"/>
  <c r="AX118" i="22"/>
  <c r="AY118" i="22"/>
  <c r="AZ118" i="22"/>
  <c r="BA118" i="22"/>
  <c r="BB118" i="22"/>
  <c r="BC118" i="22"/>
  <c r="BD118" i="22"/>
  <c r="BE118" i="22"/>
  <c r="BF118" i="22"/>
  <c r="BG118" i="22"/>
  <c r="BH118" i="22"/>
  <c r="BI118" i="22"/>
  <c r="BJ118" i="22"/>
  <c r="BK118" i="22"/>
  <c r="BL118" i="22"/>
  <c r="BM118" i="22"/>
  <c r="BN118" i="22"/>
  <c r="BO118" i="22"/>
  <c r="BP118" i="22"/>
  <c r="BQ118" i="22"/>
  <c r="BR118" i="22"/>
  <c r="BS118" i="22"/>
  <c r="BT118" i="22"/>
  <c r="BU118" i="22"/>
  <c r="BV118" i="22"/>
  <c r="BW118" i="22"/>
  <c r="BX118" i="22"/>
  <c r="BY118" i="22"/>
  <c r="BZ118" i="22"/>
  <c r="CA118" i="22"/>
  <c r="CB118" i="22"/>
  <c r="CC118" i="22"/>
  <c r="CD118" i="22"/>
  <c r="CE118" i="22"/>
  <c r="CF118" i="22"/>
  <c r="CG118" i="22"/>
  <c r="CH118" i="22"/>
  <c r="CI118" i="22"/>
  <c r="CJ118" i="22"/>
  <c r="CK118" i="22"/>
  <c r="CL118" i="22"/>
  <c r="CM118" i="22"/>
  <c r="CN118" i="22"/>
  <c r="CO118" i="22"/>
  <c r="CP118" i="22"/>
  <c r="CQ118" i="22"/>
  <c r="CR118" i="22"/>
  <c r="CS118" i="22"/>
  <c r="CT118" i="22"/>
  <c r="CU118" i="22"/>
  <c r="CV118" i="22"/>
  <c r="CW118" i="22"/>
  <c r="CX118" i="22"/>
  <c r="CY118" i="22"/>
  <c r="CZ118" i="22"/>
  <c r="DA118" i="22"/>
  <c r="DB118" i="22"/>
  <c r="DC118" i="22"/>
  <c r="DD118" i="22"/>
  <c r="DE118" i="22"/>
  <c r="DF118" i="22"/>
  <c r="DG118" i="22"/>
  <c r="DH118" i="22"/>
  <c r="DI118" i="22"/>
  <c r="DJ118" i="22"/>
  <c r="DK118" i="22"/>
  <c r="DL118" i="22"/>
  <c r="DM118" i="22"/>
  <c r="DN118" i="22"/>
  <c r="DO118" i="22"/>
  <c r="DP118" i="22"/>
  <c r="DQ118" i="22"/>
  <c r="DR118" i="22"/>
  <c r="DS118" i="22"/>
  <c r="DT118" i="22"/>
  <c r="DU118" i="22"/>
  <c r="DV118" i="22"/>
  <c r="DW118" i="22"/>
  <c r="DX118" i="22"/>
  <c r="DY118" i="22"/>
  <c r="DZ118" i="22"/>
  <c r="EA118" i="22"/>
  <c r="EB118" i="22"/>
  <c r="EC118" i="22"/>
  <c r="ED118" i="22"/>
  <c r="EE118" i="22"/>
  <c r="EF118" i="22"/>
  <c r="EG118" i="22"/>
  <c r="EH118" i="22"/>
  <c r="EI118" i="22"/>
  <c r="EJ118" i="22"/>
  <c r="EK118" i="22"/>
  <c r="EL118" i="22"/>
  <c r="EM118" i="22"/>
  <c r="EN118" i="22"/>
  <c r="EO118" i="22"/>
  <c r="EP118" i="22"/>
  <c r="EQ118" i="22"/>
  <c r="ER118" i="22"/>
  <c r="ES118" i="22"/>
  <c r="ET118" i="22"/>
  <c r="EU118" i="22"/>
  <c r="EV118" i="22"/>
  <c r="EW118" i="22"/>
  <c r="EX118" i="22"/>
  <c r="EY118" i="22"/>
  <c r="EZ118" i="22"/>
  <c r="FA118" i="22"/>
  <c r="FB118" i="22"/>
  <c r="FC118" i="22"/>
  <c r="FD118" i="22"/>
  <c r="FE118" i="22"/>
  <c r="FF118" i="22"/>
  <c r="FG118" i="22"/>
  <c r="FH118" i="22"/>
  <c r="FI118" i="22"/>
  <c r="FJ118" i="22"/>
  <c r="FK118" i="22"/>
  <c r="FL118" i="22"/>
  <c r="FM118" i="22"/>
  <c r="FN118" i="22"/>
  <c r="FO118" i="22"/>
  <c r="FP118" i="22"/>
  <c r="FQ118" i="22"/>
  <c r="FR118" i="22"/>
  <c r="FS118" i="22"/>
  <c r="FT118" i="22"/>
  <c r="FU118" i="22"/>
  <c r="FV118" i="22"/>
  <c r="FW118" i="22"/>
  <c r="FX118" i="22"/>
  <c r="FY118" i="22"/>
  <c r="FZ118" i="22"/>
  <c r="GA118" i="22"/>
  <c r="GB118" i="22"/>
  <c r="GC118" i="22"/>
  <c r="GD118" i="22"/>
  <c r="GE118" i="22"/>
  <c r="GF118" i="22"/>
  <c r="GG118" i="22"/>
  <c r="GH118" i="22"/>
  <c r="GI118" i="22"/>
  <c r="GJ118" i="22"/>
  <c r="GK118" i="22"/>
  <c r="GL118" i="22"/>
  <c r="GM118" i="22"/>
  <c r="GN118" i="22"/>
  <c r="GO118" i="22"/>
  <c r="GP118" i="22"/>
  <c r="GQ118" i="22"/>
  <c r="GR118" i="22"/>
  <c r="GS118" i="22"/>
  <c r="GT118" i="22"/>
  <c r="GU118" i="22"/>
  <c r="GV118" i="22"/>
  <c r="GW118" i="22"/>
  <c r="GX118" i="22"/>
  <c r="GY118" i="22"/>
  <c r="GZ118" i="22"/>
  <c r="HA118" i="22"/>
  <c r="HB118" i="22"/>
  <c r="HC118" i="22"/>
  <c r="HD118" i="22"/>
  <c r="HE118" i="22"/>
  <c r="HF118" i="22"/>
  <c r="HG118" i="22"/>
  <c r="HH118" i="22"/>
  <c r="HI118" i="22"/>
  <c r="HJ118" i="22"/>
  <c r="HK118" i="22"/>
  <c r="HL118" i="22"/>
  <c r="HM118" i="22"/>
  <c r="HN118" i="22"/>
  <c r="HO118" i="22"/>
  <c r="HP118" i="22"/>
  <c r="HQ118" i="22"/>
  <c r="HR118" i="22"/>
  <c r="HS118" i="22"/>
  <c r="HT118" i="22"/>
  <c r="HU118" i="22"/>
  <c r="HV118" i="22"/>
  <c r="HW118" i="22"/>
  <c r="HX118" i="22"/>
  <c r="HY118" i="22"/>
  <c r="HZ118" i="22"/>
  <c r="IA118" i="22"/>
  <c r="IB118" i="22"/>
  <c r="IC118" i="22"/>
  <c r="ID118" i="22"/>
  <c r="IE118" i="22"/>
  <c r="IF118" i="22"/>
  <c r="IG118" i="22"/>
  <c r="IH118" i="22"/>
  <c r="II118" i="22"/>
  <c r="IJ118" i="22"/>
  <c r="IK118" i="22"/>
  <c r="IL118" i="22"/>
  <c r="IM118" i="22"/>
  <c r="IN118" i="22"/>
  <c r="IO118" i="22"/>
  <c r="IP118" i="22"/>
  <c r="IQ118" i="22"/>
  <c r="IR118" i="22"/>
  <c r="IS118" i="22"/>
  <c r="IT118" i="22"/>
  <c r="IU118" i="22"/>
  <c r="IV118" i="22"/>
  <c r="G119" i="22"/>
  <c r="H119" i="22"/>
  <c r="I119" i="22"/>
  <c r="J119" i="22"/>
  <c r="K119" i="22"/>
  <c r="L119" i="22"/>
  <c r="M119" i="22"/>
  <c r="N119" i="22"/>
  <c r="O119" i="22"/>
  <c r="P119" i="22"/>
  <c r="Q119" i="22"/>
  <c r="R119" i="22"/>
  <c r="S119" i="22"/>
  <c r="T119" i="22"/>
  <c r="U119" i="22"/>
  <c r="V119" i="22"/>
  <c r="W119" i="22"/>
  <c r="X119" i="22"/>
  <c r="Y119" i="22"/>
  <c r="Z119" i="22"/>
  <c r="AA119" i="22"/>
  <c r="AB119" i="22"/>
  <c r="AC119" i="22"/>
  <c r="AD119" i="22"/>
  <c r="AE119" i="22"/>
  <c r="AF119" i="22"/>
  <c r="AG119" i="22"/>
  <c r="AH119" i="22"/>
  <c r="AI119" i="22"/>
  <c r="AJ119" i="22"/>
  <c r="AK119" i="22"/>
  <c r="AL119" i="22"/>
  <c r="AM119" i="22"/>
  <c r="AN119" i="22"/>
  <c r="AO119" i="22"/>
  <c r="AP119" i="22"/>
  <c r="AQ119" i="22"/>
  <c r="AR119" i="22"/>
  <c r="AS119" i="22"/>
  <c r="AT119" i="22"/>
  <c r="AU119" i="22"/>
  <c r="AV119" i="22"/>
  <c r="AW119" i="22"/>
  <c r="AX119" i="22"/>
  <c r="AY119" i="22"/>
  <c r="AZ119" i="22"/>
  <c r="BA119" i="22"/>
  <c r="BB119" i="22"/>
  <c r="BC119" i="22"/>
  <c r="BD119" i="22"/>
  <c r="BE119" i="22"/>
  <c r="BF119" i="22"/>
  <c r="BG119" i="22"/>
  <c r="BH119" i="22"/>
  <c r="BI119" i="22"/>
  <c r="BJ119" i="22"/>
  <c r="BK119" i="22"/>
  <c r="BL119" i="22"/>
  <c r="BM119" i="22"/>
  <c r="BN119" i="22"/>
  <c r="BO119" i="22"/>
  <c r="BP119" i="22"/>
  <c r="BQ119" i="22"/>
  <c r="BR119" i="22"/>
  <c r="BS119" i="22"/>
  <c r="BT119" i="22"/>
  <c r="BU119" i="22"/>
  <c r="BV119" i="22"/>
  <c r="BW119" i="22"/>
  <c r="BX119" i="22"/>
  <c r="BY119" i="22"/>
  <c r="BZ119" i="22"/>
  <c r="CA119" i="22"/>
  <c r="CB119" i="22"/>
  <c r="CC119" i="22"/>
  <c r="CD119" i="22"/>
  <c r="CE119" i="22"/>
  <c r="CF119" i="22"/>
  <c r="CG119" i="22"/>
  <c r="CH119" i="22"/>
  <c r="CI119" i="22"/>
  <c r="CJ119" i="22"/>
  <c r="CK119" i="22"/>
  <c r="CL119" i="22"/>
  <c r="CM119" i="22"/>
  <c r="CN119" i="22"/>
  <c r="CO119" i="22"/>
  <c r="CP119" i="22"/>
  <c r="CQ119" i="22"/>
  <c r="CR119" i="22"/>
  <c r="CS119" i="22"/>
  <c r="CT119" i="22"/>
  <c r="CU119" i="22"/>
  <c r="CV119" i="22"/>
  <c r="CW119" i="22"/>
  <c r="CX119" i="22"/>
  <c r="CY119" i="22"/>
  <c r="CZ119" i="22"/>
  <c r="DA119" i="22"/>
  <c r="DB119" i="22"/>
  <c r="DC119" i="22"/>
  <c r="DD119" i="22"/>
  <c r="DE119" i="22"/>
  <c r="DF119" i="22"/>
  <c r="DG119" i="22"/>
  <c r="DH119" i="22"/>
  <c r="DI119" i="22"/>
  <c r="DJ119" i="22"/>
  <c r="DK119" i="22"/>
  <c r="DL119" i="22"/>
  <c r="DM119" i="22"/>
  <c r="DN119" i="22"/>
  <c r="DO119" i="22"/>
  <c r="DP119" i="22"/>
  <c r="DQ119" i="22"/>
  <c r="DR119" i="22"/>
  <c r="DS119" i="22"/>
  <c r="DT119" i="22"/>
  <c r="DU119" i="22"/>
  <c r="DV119" i="22"/>
  <c r="DW119" i="22"/>
  <c r="DX119" i="22"/>
  <c r="DY119" i="22"/>
  <c r="DZ119" i="22"/>
  <c r="EA119" i="22"/>
  <c r="EB119" i="22"/>
  <c r="EC119" i="22"/>
  <c r="ED119" i="22"/>
  <c r="EE119" i="22"/>
  <c r="EF119" i="22"/>
  <c r="EG119" i="22"/>
  <c r="EH119" i="22"/>
  <c r="EI119" i="22"/>
  <c r="EJ119" i="22"/>
  <c r="EK119" i="22"/>
  <c r="EL119" i="22"/>
  <c r="EM119" i="22"/>
  <c r="EN119" i="22"/>
  <c r="EO119" i="22"/>
  <c r="EP119" i="22"/>
  <c r="EQ119" i="22"/>
  <c r="ER119" i="22"/>
  <c r="ES119" i="22"/>
  <c r="ET119" i="22"/>
  <c r="EU119" i="22"/>
  <c r="EV119" i="22"/>
  <c r="EW119" i="22"/>
  <c r="EX119" i="22"/>
  <c r="EY119" i="22"/>
  <c r="EZ119" i="22"/>
  <c r="FA119" i="22"/>
  <c r="FB119" i="22"/>
  <c r="FC119" i="22"/>
  <c r="FD119" i="22"/>
  <c r="FE119" i="22"/>
  <c r="FF119" i="22"/>
  <c r="FG119" i="22"/>
  <c r="FH119" i="22"/>
  <c r="FI119" i="22"/>
  <c r="FJ119" i="22"/>
  <c r="FK119" i="22"/>
  <c r="FL119" i="22"/>
  <c r="FM119" i="22"/>
  <c r="FN119" i="22"/>
  <c r="FO119" i="22"/>
  <c r="FP119" i="22"/>
  <c r="FQ119" i="22"/>
  <c r="FR119" i="22"/>
  <c r="FS119" i="22"/>
  <c r="FT119" i="22"/>
  <c r="FU119" i="22"/>
  <c r="FV119" i="22"/>
  <c r="FW119" i="22"/>
  <c r="FX119" i="22"/>
  <c r="FY119" i="22"/>
  <c r="FZ119" i="22"/>
  <c r="GA119" i="22"/>
  <c r="GB119" i="22"/>
  <c r="GC119" i="22"/>
  <c r="GD119" i="22"/>
  <c r="GE119" i="22"/>
  <c r="GF119" i="22"/>
  <c r="GG119" i="22"/>
  <c r="GH119" i="22"/>
  <c r="GI119" i="22"/>
  <c r="GJ119" i="22"/>
  <c r="GK119" i="22"/>
  <c r="GL119" i="22"/>
  <c r="GM119" i="22"/>
  <c r="GN119" i="22"/>
  <c r="GO119" i="22"/>
  <c r="GP119" i="22"/>
  <c r="GQ119" i="22"/>
  <c r="GR119" i="22"/>
  <c r="GS119" i="22"/>
  <c r="GT119" i="22"/>
  <c r="GU119" i="22"/>
  <c r="GV119" i="22"/>
  <c r="GW119" i="22"/>
  <c r="GX119" i="22"/>
  <c r="GY119" i="22"/>
  <c r="GZ119" i="22"/>
  <c r="HA119" i="22"/>
  <c r="HB119" i="22"/>
  <c r="HC119" i="22"/>
  <c r="HD119" i="22"/>
  <c r="HE119" i="22"/>
  <c r="HF119" i="22"/>
  <c r="HG119" i="22"/>
  <c r="HH119" i="22"/>
  <c r="HI119" i="22"/>
  <c r="HJ119" i="22"/>
  <c r="HK119" i="22"/>
  <c r="HL119" i="22"/>
  <c r="HM119" i="22"/>
  <c r="HN119" i="22"/>
  <c r="HO119" i="22"/>
  <c r="HP119" i="22"/>
  <c r="HQ119" i="22"/>
  <c r="HR119" i="22"/>
  <c r="HS119" i="22"/>
  <c r="HT119" i="22"/>
  <c r="HU119" i="22"/>
  <c r="HV119" i="22"/>
  <c r="HW119" i="22"/>
  <c r="HX119" i="22"/>
  <c r="HY119" i="22"/>
  <c r="HZ119" i="22"/>
  <c r="IA119" i="22"/>
  <c r="IB119" i="22"/>
  <c r="IC119" i="22"/>
  <c r="ID119" i="22"/>
  <c r="IE119" i="22"/>
  <c r="IF119" i="22"/>
  <c r="IG119" i="22"/>
  <c r="IH119" i="22"/>
  <c r="II119" i="22"/>
  <c r="IJ119" i="22"/>
  <c r="IK119" i="22"/>
  <c r="IL119" i="22"/>
  <c r="IM119" i="22"/>
  <c r="IN119" i="22"/>
  <c r="IO119" i="22"/>
  <c r="IP119" i="22"/>
  <c r="IQ119" i="22"/>
  <c r="IR119" i="22"/>
  <c r="IS119" i="22"/>
  <c r="IT119" i="22"/>
  <c r="IU119" i="22"/>
  <c r="IV119" i="22"/>
  <c r="G120" i="22"/>
  <c r="H120" i="22"/>
  <c r="I120" i="22"/>
  <c r="J120" i="22"/>
  <c r="K120" i="22"/>
  <c r="L120" i="22"/>
  <c r="M120" i="22"/>
  <c r="N120" i="22"/>
  <c r="O120" i="22"/>
  <c r="P120" i="22"/>
  <c r="Q120" i="22"/>
  <c r="R120" i="22"/>
  <c r="S120" i="22"/>
  <c r="T120" i="22"/>
  <c r="U120" i="22"/>
  <c r="V120" i="22"/>
  <c r="W120" i="22"/>
  <c r="X120" i="22"/>
  <c r="Y120" i="22"/>
  <c r="Z120" i="22"/>
  <c r="AA120" i="22"/>
  <c r="AB120" i="22"/>
  <c r="AC120" i="22"/>
  <c r="AD120" i="22"/>
  <c r="AE120" i="22"/>
  <c r="AF120" i="22"/>
  <c r="AG120" i="22"/>
  <c r="AH120" i="22"/>
  <c r="AI120" i="22"/>
  <c r="AJ120" i="22"/>
  <c r="AK120" i="22"/>
  <c r="AL120" i="22"/>
  <c r="AM120" i="22"/>
  <c r="AN120" i="22"/>
  <c r="AO120" i="22"/>
  <c r="AP120" i="22"/>
  <c r="AQ120" i="22"/>
  <c r="AR120" i="22"/>
  <c r="AS120" i="22"/>
  <c r="AT120" i="22"/>
  <c r="AU120" i="22"/>
  <c r="AV120" i="22"/>
  <c r="AW120" i="22"/>
  <c r="AX120" i="22"/>
  <c r="AY120" i="22"/>
  <c r="AZ120" i="22"/>
  <c r="BA120" i="22"/>
  <c r="BB120" i="22"/>
  <c r="BC120" i="22"/>
  <c r="BD120" i="22"/>
  <c r="BE120" i="22"/>
  <c r="BF120" i="22"/>
  <c r="BG120" i="22"/>
  <c r="BH120" i="22"/>
  <c r="BI120" i="22"/>
  <c r="BJ120" i="22"/>
  <c r="BK120" i="22"/>
  <c r="BL120" i="22"/>
  <c r="BM120" i="22"/>
  <c r="BN120" i="22"/>
  <c r="BO120" i="22"/>
  <c r="BP120" i="22"/>
  <c r="BQ120" i="22"/>
  <c r="BR120" i="22"/>
  <c r="BS120" i="22"/>
  <c r="BT120" i="22"/>
  <c r="BU120" i="22"/>
  <c r="BV120" i="22"/>
  <c r="BW120" i="22"/>
  <c r="BX120" i="22"/>
  <c r="BY120" i="22"/>
  <c r="BZ120" i="22"/>
  <c r="CA120" i="22"/>
  <c r="CB120" i="22"/>
  <c r="CC120" i="22"/>
  <c r="CD120" i="22"/>
  <c r="CE120" i="22"/>
  <c r="CF120" i="22"/>
  <c r="CG120" i="22"/>
  <c r="CH120" i="22"/>
  <c r="CI120" i="22"/>
  <c r="CJ120" i="22"/>
  <c r="CK120" i="22"/>
  <c r="CL120" i="22"/>
  <c r="CM120" i="22"/>
  <c r="CN120" i="22"/>
  <c r="CO120" i="22"/>
  <c r="CP120" i="22"/>
  <c r="CQ120" i="22"/>
  <c r="CR120" i="22"/>
  <c r="CS120" i="22"/>
  <c r="CT120" i="22"/>
  <c r="CU120" i="22"/>
  <c r="CV120" i="22"/>
  <c r="CW120" i="22"/>
  <c r="CX120" i="22"/>
  <c r="CY120" i="22"/>
  <c r="CZ120" i="22"/>
  <c r="DA120" i="22"/>
  <c r="DB120" i="22"/>
  <c r="DC120" i="22"/>
  <c r="DD120" i="22"/>
  <c r="DE120" i="22"/>
  <c r="DF120" i="22"/>
  <c r="DG120" i="22"/>
  <c r="DH120" i="22"/>
  <c r="DI120" i="22"/>
  <c r="DJ120" i="22"/>
  <c r="DK120" i="22"/>
  <c r="DL120" i="22"/>
  <c r="DM120" i="22"/>
  <c r="DN120" i="22"/>
  <c r="DO120" i="22"/>
  <c r="DP120" i="22"/>
  <c r="DQ120" i="22"/>
  <c r="DR120" i="22"/>
  <c r="DS120" i="22"/>
  <c r="DT120" i="22"/>
  <c r="DU120" i="22"/>
  <c r="DV120" i="22"/>
  <c r="DW120" i="22"/>
  <c r="DX120" i="22"/>
  <c r="DY120" i="22"/>
  <c r="DZ120" i="22"/>
  <c r="EA120" i="22"/>
  <c r="EB120" i="22"/>
  <c r="EC120" i="22"/>
  <c r="ED120" i="22"/>
  <c r="EE120" i="22"/>
  <c r="EF120" i="22"/>
  <c r="EG120" i="22"/>
  <c r="EH120" i="22"/>
  <c r="EI120" i="22"/>
  <c r="EJ120" i="22"/>
  <c r="EK120" i="22"/>
  <c r="EL120" i="22"/>
  <c r="EM120" i="22"/>
  <c r="EN120" i="22"/>
  <c r="EO120" i="22"/>
  <c r="EP120" i="22"/>
  <c r="EQ120" i="22"/>
  <c r="ER120" i="22"/>
  <c r="ES120" i="22"/>
  <c r="ET120" i="22"/>
  <c r="EU120" i="22"/>
  <c r="EV120" i="22"/>
  <c r="EW120" i="22"/>
  <c r="EX120" i="22"/>
  <c r="EY120" i="22"/>
  <c r="EZ120" i="22"/>
  <c r="FA120" i="22"/>
  <c r="FB120" i="22"/>
  <c r="FC120" i="22"/>
  <c r="FD120" i="22"/>
  <c r="FE120" i="22"/>
  <c r="FF120" i="22"/>
  <c r="FG120" i="22"/>
  <c r="FH120" i="22"/>
  <c r="FI120" i="22"/>
  <c r="FJ120" i="22"/>
  <c r="FK120" i="22"/>
  <c r="FL120" i="22"/>
  <c r="FM120" i="22"/>
  <c r="FN120" i="22"/>
  <c r="FO120" i="22"/>
  <c r="FP120" i="22"/>
  <c r="FQ120" i="22"/>
  <c r="FR120" i="22"/>
  <c r="FS120" i="22"/>
  <c r="FT120" i="22"/>
  <c r="FU120" i="22"/>
  <c r="FV120" i="22"/>
  <c r="FW120" i="22"/>
  <c r="FX120" i="22"/>
  <c r="FY120" i="22"/>
  <c r="FZ120" i="22"/>
  <c r="GA120" i="22"/>
  <c r="GB120" i="22"/>
  <c r="GC120" i="22"/>
  <c r="GD120" i="22"/>
  <c r="GE120" i="22"/>
  <c r="GF120" i="22"/>
  <c r="GG120" i="22"/>
  <c r="GH120" i="22"/>
  <c r="GI120" i="22"/>
  <c r="GJ120" i="22"/>
  <c r="GK120" i="22"/>
  <c r="GL120" i="22"/>
  <c r="GM120" i="22"/>
  <c r="GN120" i="22"/>
  <c r="GO120" i="22"/>
  <c r="GP120" i="22"/>
  <c r="GQ120" i="22"/>
  <c r="GR120" i="22"/>
  <c r="GS120" i="22"/>
  <c r="GT120" i="22"/>
  <c r="GU120" i="22"/>
  <c r="GV120" i="22"/>
  <c r="GW120" i="22"/>
  <c r="GX120" i="22"/>
  <c r="GY120" i="22"/>
  <c r="GZ120" i="22"/>
  <c r="HA120" i="22"/>
  <c r="HB120" i="22"/>
  <c r="HC120" i="22"/>
  <c r="HD120" i="22"/>
  <c r="HE120" i="22"/>
  <c r="HE147" i="22" s="1"/>
  <c r="HF120" i="22"/>
  <c r="HG120" i="22"/>
  <c r="HH120" i="22"/>
  <c r="HI120" i="22"/>
  <c r="HJ120" i="22"/>
  <c r="HK120" i="22"/>
  <c r="HL120" i="22"/>
  <c r="HM120" i="22"/>
  <c r="HN120" i="22"/>
  <c r="HO120" i="22"/>
  <c r="HP120" i="22"/>
  <c r="HQ120" i="22"/>
  <c r="HR120" i="22"/>
  <c r="HS120" i="22"/>
  <c r="HT120" i="22"/>
  <c r="HU120" i="22"/>
  <c r="HV120" i="22"/>
  <c r="HW120" i="22"/>
  <c r="HX120" i="22"/>
  <c r="HY120" i="22"/>
  <c r="HZ120" i="22"/>
  <c r="IA120" i="22"/>
  <c r="IB120" i="22"/>
  <c r="IC120" i="22"/>
  <c r="ID120" i="22"/>
  <c r="IE120" i="22"/>
  <c r="IF120" i="22"/>
  <c r="IG120" i="22"/>
  <c r="IH120" i="22"/>
  <c r="II120" i="22"/>
  <c r="IJ120" i="22"/>
  <c r="IK120" i="22"/>
  <c r="IL120" i="22"/>
  <c r="IM120" i="22"/>
  <c r="IN120" i="22"/>
  <c r="IO120" i="22"/>
  <c r="IP120" i="22"/>
  <c r="IQ120" i="22"/>
  <c r="IR120" i="22"/>
  <c r="IS120" i="22"/>
  <c r="IT120" i="22"/>
  <c r="IU120" i="22"/>
  <c r="IV120" i="22"/>
  <c r="G121" i="22"/>
  <c r="H121" i="22"/>
  <c r="I121" i="22"/>
  <c r="J121" i="22"/>
  <c r="K121" i="22"/>
  <c r="L121" i="22"/>
  <c r="M121" i="22"/>
  <c r="N121" i="22"/>
  <c r="O121" i="22"/>
  <c r="P121" i="22"/>
  <c r="Q121" i="22"/>
  <c r="R121" i="22"/>
  <c r="S121" i="22"/>
  <c r="T121" i="22"/>
  <c r="U121" i="22"/>
  <c r="V121" i="22"/>
  <c r="W121" i="22"/>
  <c r="X121" i="22"/>
  <c r="Y121" i="22"/>
  <c r="Z121" i="22"/>
  <c r="AA121" i="22"/>
  <c r="AB121" i="22"/>
  <c r="AC121" i="22"/>
  <c r="AD121" i="22"/>
  <c r="AE121" i="22"/>
  <c r="AF121" i="22"/>
  <c r="AG121" i="22"/>
  <c r="AH121" i="22"/>
  <c r="AI121" i="22"/>
  <c r="AJ121" i="22"/>
  <c r="AK121" i="22"/>
  <c r="AL121" i="22"/>
  <c r="AM121" i="22"/>
  <c r="AN121" i="22"/>
  <c r="AO121" i="22"/>
  <c r="AP121" i="22"/>
  <c r="AQ121" i="22"/>
  <c r="AR121" i="22"/>
  <c r="AS121" i="22"/>
  <c r="AT121" i="22"/>
  <c r="AU121" i="22"/>
  <c r="AV121" i="22"/>
  <c r="AW121" i="22"/>
  <c r="AX121" i="22"/>
  <c r="AY121" i="22"/>
  <c r="AZ121" i="22"/>
  <c r="BA121" i="22"/>
  <c r="BB121" i="22"/>
  <c r="BC121" i="22"/>
  <c r="BD121" i="22"/>
  <c r="BE121" i="22"/>
  <c r="BF121" i="22"/>
  <c r="BG121" i="22"/>
  <c r="BH121" i="22"/>
  <c r="BI121" i="22"/>
  <c r="BJ121" i="22"/>
  <c r="BK121" i="22"/>
  <c r="BL121" i="22"/>
  <c r="BM121" i="22"/>
  <c r="BN121" i="22"/>
  <c r="BO121" i="22"/>
  <c r="BP121" i="22"/>
  <c r="BQ121" i="22"/>
  <c r="BR121" i="22"/>
  <c r="BS121" i="22"/>
  <c r="BT121" i="22"/>
  <c r="BU121" i="22"/>
  <c r="BV121" i="22"/>
  <c r="BW121" i="22"/>
  <c r="BX121" i="22"/>
  <c r="BY121" i="22"/>
  <c r="BZ121" i="22"/>
  <c r="CA121" i="22"/>
  <c r="CB121" i="22"/>
  <c r="CC121" i="22"/>
  <c r="CD121" i="22"/>
  <c r="CE121" i="22"/>
  <c r="CF121" i="22"/>
  <c r="CG121" i="22"/>
  <c r="CH121" i="22"/>
  <c r="CI121" i="22"/>
  <c r="CJ121" i="22"/>
  <c r="CK121" i="22"/>
  <c r="CL121" i="22"/>
  <c r="CM121" i="22"/>
  <c r="CN121" i="22"/>
  <c r="CO121" i="22"/>
  <c r="CP121" i="22"/>
  <c r="CQ121" i="22"/>
  <c r="CR121" i="22"/>
  <c r="CS121" i="22"/>
  <c r="CT121" i="22"/>
  <c r="CU121" i="22"/>
  <c r="CV121" i="22"/>
  <c r="CW121" i="22"/>
  <c r="CX121" i="22"/>
  <c r="CY121" i="22"/>
  <c r="CZ121" i="22"/>
  <c r="DA121" i="22"/>
  <c r="DB121" i="22"/>
  <c r="DC121" i="22"/>
  <c r="DD121" i="22"/>
  <c r="DE121" i="22"/>
  <c r="DF121" i="22"/>
  <c r="DG121" i="22"/>
  <c r="DH121" i="22"/>
  <c r="DI121" i="22"/>
  <c r="DJ121" i="22"/>
  <c r="DK121" i="22"/>
  <c r="DL121" i="22"/>
  <c r="DM121" i="22"/>
  <c r="DN121" i="22"/>
  <c r="DO121" i="22"/>
  <c r="DP121" i="22"/>
  <c r="DQ121" i="22"/>
  <c r="DR121" i="22"/>
  <c r="DS121" i="22"/>
  <c r="DT121" i="22"/>
  <c r="DU121" i="22"/>
  <c r="DV121" i="22"/>
  <c r="DW121" i="22"/>
  <c r="DX121" i="22"/>
  <c r="DY121" i="22"/>
  <c r="DZ121" i="22"/>
  <c r="EA121" i="22"/>
  <c r="EB121" i="22"/>
  <c r="EC121" i="22"/>
  <c r="ED121" i="22"/>
  <c r="EE121" i="22"/>
  <c r="EF121" i="22"/>
  <c r="EG121" i="22"/>
  <c r="EH121" i="22"/>
  <c r="EI121" i="22"/>
  <c r="EJ121" i="22"/>
  <c r="EK121" i="22"/>
  <c r="EL121" i="22"/>
  <c r="EM121" i="22"/>
  <c r="EN121" i="22"/>
  <c r="EO121" i="22"/>
  <c r="EP121" i="22"/>
  <c r="EQ121" i="22"/>
  <c r="ER121" i="22"/>
  <c r="ES121" i="22"/>
  <c r="ET121" i="22"/>
  <c r="EU121" i="22"/>
  <c r="EV121" i="22"/>
  <c r="EW121" i="22"/>
  <c r="EX121" i="22"/>
  <c r="EY121" i="22"/>
  <c r="EZ121" i="22"/>
  <c r="FA121" i="22"/>
  <c r="FB121" i="22"/>
  <c r="FC121" i="22"/>
  <c r="FD121" i="22"/>
  <c r="FE121" i="22"/>
  <c r="FF121" i="22"/>
  <c r="FG121" i="22"/>
  <c r="FH121" i="22"/>
  <c r="FI121" i="22"/>
  <c r="FJ121" i="22"/>
  <c r="FK121" i="22"/>
  <c r="FL121" i="22"/>
  <c r="FM121" i="22"/>
  <c r="FN121" i="22"/>
  <c r="FO121" i="22"/>
  <c r="FP121" i="22"/>
  <c r="FQ121" i="22"/>
  <c r="FR121" i="22"/>
  <c r="FS121" i="22"/>
  <c r="FT121" i="22"/>
  <c r="FU121" i="22"/>
  <c r="FV121" i="22"/>
  <c r="FW121" i="22"/>
  <c r="FX121" i="22"/>
  <c r="FY121" i="22"/>
  <c r="FZ121" i="22"/>
  <c r="GA121" i="22"/>
  <c r="GB121" i="22"/>
  <c r="GC121" i="22"/>
  <c r="GD121" i="22"/>
  <c r="GE121" i="22"/>
  <c r="GF121" i="22"/>
  <c r="GG121" i="22"/>
  <c r="GH121" i="22"/>
  <c r="GI121" i="22"/>
  <c r="GJ121" i="22"/>
  <c r="GK121" i="22"/>
  <c r="GL121" i="22"/>
  <c r="GM121" i="22"/>
  <c r="GN121" i="22"/>
  <c r="GO121" i="22"/>
  <c r="GP121" i="22"/>
  <c r="GQ121" i="22"/>
  <c r="GR121" i="22"/>
  <c r="GS121" i="22"/>
  <c r="GT121" i="22"/>
  <c r="GU121" i="22"/>
  <c r="GV121" i="22"/>
  <c r="GW121" i="22"/>
  <c r="GX121" i="22"/>
  <c r="GY121" i="22"/>
  <c r="GZ121" i="22"/>
  <c r="HA121" i="22"/>
  <c r="HB121" i="22"/>
  <c r="HC121" i="22"/>
  <c r="HD121" i="22"/>
  <c r="HE121" i="22"/>
  <c r="HF121" i="22"/>
  <c r="HG121" i="22"/>
  <c r="HH121" i="22"/>
  <c r="HI121" i="22"/>
  <c r="HJ121" i="22"/>
  <c r="HK121" i="22"/>
  <c r="HL121" i="22"/>
  <c r="HM121" i="22"/>
  <c r="HN121" i="22"/>
  <c r="HO121" i="22"/>
  <c r="HP121" i="22"/>
  <c r="HQ121" i="22"/>
  <c r="HR121" i="22"/>
  <c r="HS121" i="22"/>
  <c r="HT121" i="22"/>
  <c r="HU121" i="22"/>
  <c r="HV121" i="22"/>
  <c r="HW121" i="22"/>
  <c r="HX121" i="22"/>
  <c r="HY121" i="22"/>
  <c r="HZ121" i="22"/>
  <c r="IA121" i="22"/>
  <c r="IB121" i="22"/>
  <c r="IC121" i="22"/>
  <c r="ID121" i="22"/>
  <c r="IE121" i="22"/>
  <c r="IF121" i="22"/>
  <c r="IG121" i="22"/>
  <c r="IH121" i="22"/>
  <c r="II121" i="22"/>
  <c r="IJ121" i="22"/>
  <c r="IK121" i="22"/>
  <c r="IL121" i="22"/>
  <c r="IM121" i="22"/>
  <c r="IN121" i="22"/>
  <c r="IO121" i="22"/>
  <c r="IP121" i="22"/>
  <c r="IQ121" i="22"/>
  <c r="IR121" i="22"/>
  <c r="IS121" i="22"/>
  <c r="IT121" i="22"/>
  <c r="IU121" i="22"/>
  <c r="IV121" i="22"/>
  <c r="G122" i="22"/>
  <c r="H122" i="22"/>
  <c r="I122" i="22"/>
  <c r="J122" i="22"/>
  <c r="K122" i="22"/>
  <c r="L122" i="22"/>
  <c r="M122" i="22"/>
  <c r="N122" i="22"/>
  <c r="O122" i="22"/>
  <c r="P122" i="22"/>
  <c r="Q122" i="22"/>
  <c r="R122" i="22"/>
  <c r="S122" i="22"/>
  <c r="T122" i="22"/>
  <c r="U122" i="22"/>
  <c r="V122" i="22"/>
  <c r="W122" i="22"/>
  <c r="X122" i="22"/>
  <c r="Y122" i="22"/>
  <c r="Z122" i="22"/>
  <c r="AA122" i="22"/>
  <c r="AB122" i="22"/>
  <c r="AC122" i="22"/>
  <c r="AD122" i="22"/>
  <c r="AE122" i="22"/>
  <c r="AF122" i="22"/>
  <c r="AG122" i="22"/>
  <c r="AH122" i="22"/>
  <c r="AI122" i="22"/>
  <c r="AJ122" i="22"/>
  <c r="AK122" i="22"/>
  <c r="AL122" i="22"/>
  <c r="AM122" i="22"/>
  <c r="AN122" i="22"/>
  <c r="AO122" i="22"/>
  <c r="AP122" i="22"/>
  <c r="AQ122" i="22"/>
  <c r="AR122" i="22"/>
  <c r="AS122" i="22"/>
  <c r="AT122" i="22"/>
  <c r="AU122" i="22"/>
  <c r="AV122" i="22"/>
  <c r="AW122" i="22"/>
  <c r="AX122" i="22"/>
  <c r="AY122" i="22"/>
  <c r="AZ122" i="22"/>
  <c r="BA122" i="22"/>
  <c r="BB122" i="22"/>
  <c r="BC122" i="22"/>
  <c r="BD122" i="22"/>
  <c r="BE122" i="22"/>
  <c r="BF122" i="22"/>
  <c r="BG122" i="22"/>
  <c r="BH122" i="22"/>
  <c r="BI122" i="22"/>
  <c r="BJ122" i="22"/>
  <c r="BK122" i="22"/>
  <c r="BL122" i="22"/>
  <c r="BM122" i="22"/>
  <c r="BN122" i="22"/>
  <c r="BO122" i="22"/>
  <c r="BP122" i="22"/>
  <c r="BQ122" i="22"/>
  <c r="BR122" i="22"/>
  <c r="BS122" i="22"/>
  <c r="BT122" i="22"/>
  <c r="BU122" i="22"/>
  <c r="BV122" i="22"/>
  <c r="BW122" i="22"/>
  <c r="BX122" i="22"/>
  <c r="BY122" i="22"/>
  <c r="BZ122" i="22"/>
  <c r="CA122" i="22"/>
  <c r="CB122" i="22"/>
  <c r="CC122" i="22"/>
  <c r="CD122" i="22"/>
  <c r="CE122" i="22"/>
  <c r="CF122" i="22"/>
  <c r="CG122" i="22"/>
  <c r="CH122" i="22"/>
  <c r="CI122" i="22"/>
  <c r="CJ122" i="22"/>
  <c r="CK122" i="22"/>
  <c r="CL122" i="22"/>
  <c r="CM122" i="22"/>
  <c r="CN122" i="22"/>
  <c r="CO122" i="22"/>
  <c r="CP122" i="22"/>
  <c r="CQ122" i="22"/>
  <c r="CR122" i="22"/>
  <c r="CS122" i="22"/>
  <c r="CT122" i="22"/>
  <c r="CU122" i="22"/>
  <c r="CV122" i="22"/>
  <c r="CW122" i="22"/>
  <c r="CX122" i="22"/>
  <c r="CY122" i="22"/>
  <c r="CZ122" i="22"/>
  <c r="DA122" i="22"/>
  <c r="DB122" i="22"/>
  <c r="DC122" i="22"/>
  <c r="DD122" i="22"/>
  <c r="DE122" i="22"/>
  <c r="DF122" i="22"/>
  <c r="DG122" i="22"/>
  <c r="DH122" i="22"/>
  <c r="DI122" i="22"/>
  <c r="DJ122" i="22"/>
  <c r="DK122" i="22"/>
  <c r="DL122" i="22"/>
  <c r="DM122" i="22"/>
  <c r="DN122" i="22"/>
  <c r="DO122" i="22"/>
  <c r="DP122" i="22"/>
  <c r="DQ122" i="22"/>
  <c r="DR122" i="22"/>
  <c r="DS122" i="22"/>
  <c r="DT122" i="22"/>
  <c r="DU122" i="22"/>
  <c r="DV122" i="22"/>
  <c r="DW122" i="22"/>
  <c r="DX122" i="22"/>
  <c r="DY122" i="22"/>
  <c r="DZ122" i="22"/>
  <c r="EA122" i="22"/>
  <c r="EB122" i="22"/>
  <c r="EC122" i="22"/>
  <c r="ED122" i="22"/>
  <c r="EE122" i="22"/>
  <c r="EF122" i="22"/>
  <c r="EG122" i="22"/>
  <c r="EH122" i="22"/>
  <c r="EI122" i="22"/>
  <c r="EJ122" i="22"/>
  <c r="EK122" i="22"/>
  <c r="EL122" i="22"/>
  <c r="EM122" i="22"/>
  <c r="EN122" i="22"/>
  <c r="EO122" i="22"/>
  <c r="EP122" i="22"/>
  <c r="EQ122" i="22"/>
  <c r="ER122" i="22"/>
  <c r="ES122" i="22"/>
  <c r="ET122" i="22"/>
  <c r="EU122" i="22"/>
  <c r="EV122" i="22"/>
  <c r="EW122" i="22"/>
  <c r="EX122" i="22"/>
  <c r="EY122" i="22"/>
  <c r="EZ122" i="22"/>
  <c r="FA122" i="22"/>
  <c r="FB122" i="22"/>
  <c r="FC122" i="22"/>
  <c r="FD122" i="22"/>
  <c r="FE122" i="22"/>
  <c r="FF122" i="22"/>
  <c r="FG122" i="22"/>
  <c r="FH122" i="22"/>
  <c r="FI122" i="22"/>
  <c r="FJ122" i="22"/>
  <c r="FK122" i="22"/>
  <c r="FL122" i="22"/>
  <c r="FM122" i="22"/>
  <c r="FN122" i="22"/>
  <c r="FO122" i="22"/>
  <c r="FP122" i="22"/>
  <c r="FQ122" i="22"/>
  <c r="FR122" i="22"/>
  <c r="FS122" i="22"/>
  <c r="FT122" i="22"/>
  <c r="FU122" i="22"/>
  <c r="FV122" i="22"/>
  <c r="FW122" i="22"/>
  <c r="FX122" i="22"/>
  <c r="FY122" i="22"/>
  <c r="FZ122" i="22"/>
  <c r="GA122" i="22"/>
  <c r="GB122" i="22"/>
  <c r="GC122" i="22"/>
  <c r="GD122" i="22"/>
  <c r="GE122" i="22"/>
  <c r="GF122" i="22"/>
  <c r="GG122" i="22"/>
  <c r="GH122" i="22"/>
  <c r="GI122" i="22"/>
  <c r="GJ122" i="22"/>
  <c r="GK122" i="22"/>
  <c r="GL122" i="22"/>
  <c r="GM122" i="22"/>
  <c r="GN122" i="22"/>
  <c r="GO122" i="22"/>
  <c r="GP122" i="22"/>
  <c r="GQ122" i="22"/>
  <c r="GR122" i="22"/>
  <c r="GS122" i="22"/>
  <c r="GT122" i="22"/>
  <c r="GU122" i="22"/>
  <c r="GV122" i="22"/>
  <c r="GW122" i="22"/>
  <c r="GX122" i="22"/>
  <c r="GY122" i="22"/>
  <c r="GZ122" i="22"/>
  <c r="HA122" i="22"/>
  <c r="HB122" i="22"/>
  <c r="HC122" i="22"/>
  <c r="HD122" i="22"/>
  <c r="HE122" i="22"/>
  <c r="HF122" i="22"/>
  <c r="HG122" i="22"/>
  <c r="HH122" i="22"/>
  <c r="HI122" i="22"/>
  <c r="HJ122" i="22"/>
  <c r="HK122" i="22"/>
  <c r="HL122" i="22"/>
  <c r="HM122" i="22"/>
  <c r="HN122" i="22"/>
  <c r="HO122" i="22"/>
  <c r="HP122" i="22"/>
  <c r="HQ122" i="22"/>
  <c r="HR122" i="22"/>
  <c r="HS122" i="22"/>
  <c r="HT122" i="22"/>
  <c r="HU122" i="22"/>
  <c r="HV122" i="22"/>
  <c r="HW122" i="22"/>
  <c r="HX122" i="22"/>
  <c r="HY122" i="22"/>
  <c r="HZ122" i="22"/>
  <c r="IA122" i="22"/>
  <c r="IB122" i="22"/>
  <c r="IC122" i="22"/>
  <c r="ID122" i="22"/>
  <c r="IE122" i="22"/>
  <c r="IF122" i="22"/>
  <c r="IG122" i="22"/>
  <c r="IH122" i="22"/>
  <c r="II122" i="22"/>
  <c r="IJ122" i="22"/>
  <c r="IK122" i="22"/>
  <c r="IL122" i="22"/>
  <c r="IM122" i="22"/>
  <c r="IN122" i="22"/>
  <c r="IO122" i="22"/>
  <c r="IP122" i="22"/>
  <c r="IQ122" i="22"/>
  <c r="IR122" i="22"/>
  <c r="IS122" i="22"/>
  <c r="IT122" i="22"/>
  <c r="IU122" i="22"/>
  <c r="IV122" i="22"/>
  <c r="G123" i="22"/>
  <c r="H123" i="22"/>
  <c r="I123" i="22"/>
  <c r="J123" i="22"/>
  <c r="K123" i="22"/>
  <c r="L123" i="22"/>
  <c r="M123" i="22"/>
  <c r="N123" i="22"/>
  <c r="O123" i="22"/>
  <c r="P123" i="22"/>
  <c r="Q123" i="22"/>
  <c r="R123" i="22"/>
  <c r="S123" i="22"/>
  <c r="T123" i="22"/>
  <c r="U123" i="22"/>
  <c r="V123" i="22"/>
  <c r="W123" i="22"/>
  <c r="X123" i="22"/>
  <c r="Y123" i="22"/>
  <c r="Z123" i="22"/>
  <c r="AA123" i="22"/>
  <c r="AB123" i="22"/>
  <c r="AC123" i="22"/>
  <c r="AD123" i="22"/>
  <c r="AE123" i="22"/>
  <c r="AF123" i="22"/>
  <c r="AG123" i="22"/>
  <c r="AH123" i="22"/>
  <c r="AI123" i="22"/>
  <c r="AJ123" i="22"/>
  <c r="AK123" i="22"/>
  <c r="AL123" i="22"/>
  <c r="AM123" i="22"/>
  <c r="AN123" i="22"/>
  <c r="AO123" i="22"/>
  <c r="AP123" i="22"/>
  <c r="AQ123" i="22"/>
  <c r="AR123" i="22"/>
  <c r="AS123" i="22"/>
  <c r="AT123" i="22"/>
  <c r="AU123" i="22"/>
  <c r="AV123" i="22"/>
  <c r="AW123" i="22"/>
  <c r="AX123" i="22"/>
  <c r="AY123" i="22"/>
  <c r="AZ123" i="22"/>
  <c r="BA123" i="22"/>
  <c r="BB123" i="22"/>
  <c r="BC123" i="22"/>
  <c r="BD123" i="22"/>
  <c r="BE123" i="22"/>
  <c r="BF123" i="22"/>
  <c r="BG123" i="22"/>
  <c r="BH123" i="22"/>
  <c r="BI123" i="22"/>
  <c r="BJ123" i="22"/>
  <c r="BK123" i="22"/>
  <c r="BL123" i="22"/>
  <c r="BM123" i="22"/>
  <c r="BN123" i="22"/>
  <c r="BO123" i="22"/>
  <c r="BP123" i="22"/>
  <c r="BQ123" i="22"/>
  <c r="BR123" i="22"/>
  <c r="BS123" i="22"/>
  <c r="BT123" i="22"/>
  <c r="BU123" i="22"/>
  <c r="BV123" i="22"/>
  <c r="BW123" i="22"/>
  <c r="BX123" i="22"/>
  <c r="BY123" i="22"/>
  <c r="BZ123" i="22"/>
  <c r="CA123" i="22"/>
  <c r="CB123" i="22"/>
  <c r="CC123" i="22"/>
  <c r="CD123" i="22"/>
  <c r="CE123" i="22"/>
  <c r="CF123" i="22"/>
  <c r="CG123" i="22"/>
  <c r="CH123" i="22"/>
  <c r="CI123" i="22"/>
  <c r="CJ123" i="22"/>
  <c r="CK123" i="22"/>
  <c r="CL123" i="22"/>
  <c r="CM123" i="22"/>
  <c r="CN123" i="22"/>
  <c r="CO123" i="22"/>
  <c r="CP123" i="22"/>
  <c r="CQ123" i="22"/>
  <c r="CR123" i="22"/>
  <c r="CS123" i="22"/>
  <c r="CT123" i="22"/>
  <c r="CU123" i="22"/>
  <c r="CV123" i="22"/>
  <c r="CW123" i="22"/>
  <c r="CX123" i="22"/>
  <c r="CY123" i="22"/>
  <c r="CZ123" i="22"/>
  <c r="DA123" i="22"/>
  <c r="DB123" i="22"/>
  <c r="DC123" i="22"/>
  <c r="DD123" i="22"/>
  <c r="DE123" i="22"/>
  <c r="DF123" i="22"/>
  <c r="DG123" i="22"/>
  <c r="DH123" i="22"/>
  <c r="DI123" i="22"/>
  <c r="DJ123" i="22"/>
  <c r="DK123" i="22"/>
  <c r="DL123" i="22"/>
  <c r="DM123" i="22"/>
  <c r="DN123" i="22"/>
  <c r="DO123" i="22"/>
  <c r="DP123" i="22"/>
  <c r="DQ123" i="22"/>
  <c r="DR123" i="22"/>
  <c r="DS123" i="22"/>
  <c r="DT123" i="22"/>
  <c r="DU123" i="22"/>
  <c r="DV123" i="22"/>
  <c r="DW123" i="22"/>
  <c r="DX123" i="22"/>
  <c r="DY123" i="22"/>
  <c r="DZ123" i="22"/>
  <c r="EA123" i="22"/>
  <c r="EB123" i="22"/>
  <c r="EC123" i="22"/>
  <c r="ED123" i="22"/>
  <c r="EE123" i="22"/>
  <c r="EF123" i="22"/>
  <c r="EG123" i="22"/>
  <c r="EH123" i="22"/>
  <c r="EI123" i="22"/>
  <c r="EJ123" i="22"/>
  <c r="EK123" i="22"/>
  <c r="EL123" i="22"/>
  <c r="EM123" i="22"/>
  <c r="EN123" i="22"/>
  <c r="EO123" i="22"/>
  <c r="EP123" i="22"/>
  <c r="EQ123" i="22"/>
  <c r="ER123" i="22"/>
  <c r="ES123" i="22"/>
  <c r="ET123" i="22"/>
  <c r="EU123" i="22"/>
  <c r="EV123" i="22"/>
  <c r="EW123" i="22"/>
  <c r="EX123" i="22"/>
  <c r="EY123" i="22"/>
  <c r="EZ123" i="22"/>
  <c r="FA123" i="22"/>
  <c r="FB123" i="22"/>
  <c r="FC123" i="22"/>
  <c r="FD123" i="22"/>
  <c r="FE123" i="22"/>
  <c r="FF123" i="22"/>
  <c r="FG123" i="22"/>
  <c r="FH123" i="22"/>
  <c r="FI123" i="22"/>
  <c r="FJ123" i="22"/>
  <c r="FK123" i="22"/>
  <c r="FL123" i="22"/>
  <c r="FM123" i="22"/>
  <c r="FN123" i="22"/>
  <c r="FO123" i="22"/>
  <c r="FP123" i="22"/>
  <c r="FQ123" i="22"/>
  <c r="FR123" i="22"/>
  <c r="FS123" i="22"/>
  <c r="FT123" i="22"/>
  <c r="FU123" i="22"/>
  <c r="FV123" i="22"/>
  <c r="FW123" i="22"/>
  <c r="FX123" i="22"/>
  <c r="FY123" i="22"/>
  <c r="FZ123" i="22"/>
  <c r="GA123" i="22"/>
  <c r="GB123" i="22"/>
  <c r="GC123" i="22"/>
  <c r="GD123" i="22"/>
  <c r="GE123" i="22"/>
  <c r="GF123" i="22"/>
  <c r="GG123" i="22"/>
  <c r="GH123" i="22"/>
  <c r="GI123" i="22"/>
  <c r="GJ123" i="22"/>
  <c r="GK123" i="22"/>
  <c r="GL123" i="22"/>
  <c r="GM123" i="22"/>
  <c r="GN123" i="22"/>
  <c r="GO123" i="22"/>
  <c r="GP123" i="22"/>
  <c r="GQ123" i="22"/>
  <c r="GR123" i="22"/>
  <c r="GS123" i="22"/>
  <c r="GT123" i="22"/>
  <c r="GU123" i="22"/>
  <c r="GV123" i="22"/>
  <c r="GW123" i="22"/>
  <c r="GX123" i="22"/>
  <c r="GY123" i="22"/>
  <c r="GZ123" i="22"/>
  <c r="HA123" i="22"/>
  <c r="HB123" i="22"/>
  <c r="HC123" i="22"/>
  <c r="HD123" i="22"/>
  <c r="HE123" i="22"/>
  <c r="HF123" i="22"/>
  <c r="HG123" i="22"/>
  <c r="HH123" i="22"/>
  <c r="HI123" i="22"/>
  <c r="HJ123" i="22"/>
  <c r="HK123" i="22"/>
  <c r="HL123" i="22"/>
  <c r="HM123" i="22"/>
  <c r="HN123" i="22"/>
  <c r="HO123" i="22"/>
  <c r="HP123" i="22"/>
  <c r="HQ123" i="22"/>
  <c r="HR123" i="22"/>
  <c r="HS123" i="22"/>
  <c r="HT123" i="22"/>
  <c r="HU123" i="22"/>
  <c r="HV123" i="22"/>
  <c r="HW123" i="22"/>
  <c r="HX123" i="22"/>
  <c r="HY123" i="22"/>
  <c r="HZ123" i="22"/>
  <c r="IA123" i="22"/>
  <c r="IB123" i="22"/>
  <c r="IC123" i="22"/>
  <c r="ID123" i="22"/>
  <c r="IE123" i="22"/>
  <c r="IF123" i="22"/>
  <c r="IG123" i="22"/>
  <c r="IH123" i="22"/>
  <c r="II123" i="22"/>
  <c r="IJ123" i="22"/>
  <c r="IK123" i="22"/>
  <c r="IL123" i="22"/>
  <c r="IM123" i="22"/>
  <c r="IN123" i="22"/>
  <c r="IO123" i="22"/>
  <c r="IP123" i="22"/>
  <c r="IQ123" i="22"/>
  <c r="IR123" i="22"/>
  <c r="IS123" i="22"/>
  <c r="IT123" i="22"/>
  <c r="IU123" i="22"/>
  <c r="IV123" i="22"/>
  <c r="G124" i="22"/>
  <c r="H124" i="22"/>
  <c r="I124" i="22"/>
  <c r="J124" i="22"/>
  <c r="K124" i="22"/>
  <c r="L124" i="22"/>
  <c r="M124" i="22"/>
  <c r="N124" i="22"/>
  <c r="O124" i="22"/>
  <c r="P124" i="22"/>
  <c r="Q124" i="22"/>
  <c r="R124" i="22"/>
  <c r="S124" i="22"/>
  <c r="T124" i="22"/>
  <c r="U124" i="22"/>
  <c r="V124" i="22"/>
  <c r="W124" i="22"/>
  <c r="X124" i="22"/>
  <c r="Y124" i="22"/>
  <c r="Z124" i="22"/>
  <c r="AA124" i="22"/>
  <c r="AB124" i="22"/>
  <c r="AC124" i="22"/>
  <c r="AD124" i="22"/>
  <c r="AE124" i="22"/>
  <c r="AF124" i="22"/>
  <c r="AG124" i="22"/>
  <c r="AH124" i="22"/>
  <c r="AI124" i="22"/>
  <c r="AJ124" i="22"/>
  <c r="AK124" i="22"/>
  <c r="AL124" i="22"/>
  <c r="AM124" i="22"/>
  <c r="AN124" i="22"/>
  <c r="AO124" i="22"/>
  <c r="AP124" i="22"/>
  <c r="AQ124" i="22"/>
  <c r="AR124" i="22"/>
  <c r="AS124" i="22"/>
  <c r="AT124" i="22"/>
  <c r="AU124" i="22"/>
  <c r="AV124" i="22"/>
  <c r="AW124" i="22"/>
  <c r="AX124" i="22"/>
  <c r="AY124" i="22"/>
  <c r="AZ124" i="22"/>
  <c r="BA124" i="22"/>
  <c r="BB124" i="22"/>
  <c r="BC124" i="22"/>
  <c r="BD124" i="22"/>
  <c r="BE124" i="22"/>
  <c r="BF124" i="22"/>
  <c r="BG124" i="22"/>
  <c r="BH124" i="22"/>
  <c r="BI124" i="22"/>
  <c r="BJ124" i="22"/>
  <c r="BK124" i="22"/>
  <c r="BL124" i="22"/>
  <c r="BM124" i="22"/>
  <c r="BN124" i="22"/>
  <c r="BO124" i="22"/>
  <c r="BP124" i="22"/>
  <c r="BQ124" i="22"/>
  <c r="BR124" i="22"/>
  <c r="BS124" i="22"/>
  <c r="BT124" i="22"/>
  <c r="BU124" i="22"/>
  <c r="BV124" i="22"/>
  <c r="BW124" i="22"/>
  <c r="BX124" i="22"/>
  <c r="BY124" i="22"/>
  <c r="BZ124" i="22"/>
  <c r="CA124" i="22"/>
  <c r="CB124" i="22"/>
  <c r="CC124" i="22"/>
  <c r="CD124" i="22"/>
  <c r="CE124" i="22"/>
  <c r="CF124" i="22"/>
  <c r="CG124" i="22"/>
  <c r="CH124" i="22"/>
  <c r="CI124" i="22"/>
  <c r="CJ124" i="22"/>
  <c r="CK124" i="22"/>
  <c r="CL124" i="22"/>
  <c r="CM124" i="22"/>
  <c r="CN124" i="22"/>
  <c r="CO124" i="22"/>
  <c r="CP124" i="22"/>
  <c r="CQ124" i="22"/>
  <c r="CR124" i="22"/>
  <c r="CS124" i="22"/>
  <c r="CT124" i="22"/>
  <c r="CU124" i="22"/>
  <c r="CV124" i="22"/>
  <c r="CW124" i="22"/>
  <c r="CX124" i="22"/>
  <c r="CY124" i="22"/>
  <c r="CZ124" i="22"/>
  <c r="DA124" i="22"/>
  <c r="DB124" i="22"/>
  <c r="DC124" i="22"/>
  <c r="DD124" i="22"/>
  <c r="DE124" i="22"/>
  <c r="DF124" i="22"/>
  <c r="DG124" i="22"/>
  <c r="DH124" i="22"/>
  <c r="DI124" i="22"/>
  <c r="DJ124" i="22"/>
  <c r="DK124" i="22"/>
  <c r="DL124" i="22"/>
  <c r="DM124" i="22"/>
  <c r="DN124" i="22"/>
  <c r="DO124" i="22"/>
  <c r="DP124" i="22"/>
  <c r="DQ124" i="22"/>
  <c r="DR124" i="22"/>
  <c r="DS124" i="22"/>
  <c r="DT124" i="22"/>
  <c r="DU124" i="22"/>
  <c r="DV124" i="22"/>
  <c r="DW124" i="22"/>
  <c r="DX124" i="22"/>
  <c r="DY124" i="22"/>
  <c r="DZ124" i="22"/>
  <c r="EA124" i="22"/>
  <c r="EB124" i="22"/>
  <c r="EC124" i="22"/>
  <c r="ED124" i="22"/>
  <c r="EE124" i="22"/>
  <c r="EF124" i="22"/>
  <c r="EG124" i="22"/>
  <c r="EH124" i="22"/>
  <c r="EI124" i="22"/>
  <c r="EJ124" i="22"/>
  <c r="EK124" i="22"/>
  <c r="EL124" i="22"/>
  <c r="EM124" i="22"/>
  <c r="EN124" i="22"/>
  <c r="EO124" i="22"/>
  <c r="EP124" i="22"/>
  <c r="EQ124" i="22"/>
  <c r="ER124" i="22"/>
  <c r="ES124" i="22"/>
  <c r="ET124" i="22"/>
  <c r="EU124" i="22"/>
  <c r="EV124" i="22"/>
  <c r="EW124" i="22"/>
  <c r="EX124" i="22"/>
  <c r="EY124" i="22"/>
  <c r="EZ124" i="22"/>
  <c r="FA124" i="22"/>
  <c r="FB124" i="22"/>
  <c r="FC124" i="22"/>
  <c r="FD124" i="22"/>
  <c r="FE124" i="22"/>
  <c r="FF124" i="22"/>
  <c r="FG124" i="22"/>
  <c r="FH124" i="22"/>
  <c r="FI124" i="22"/>
  <c r="FJ124" i="22"/>
  <c r="FK124" i="22"/>
  <c r="FL124" i="22"/>
  <c r="FM124" i="22"/>
  <c r="FN124" i="22"/>
  <c r="FO124" i="22"/>
  <c r="FP124" i="22"/>
  <c r="FQ124" i="22"/>
  <c r="FR124" i="22"/>
  <c r="FS124" i="22"/>
  <c r="FT124" i="22"/>
  <c r="FU124" i="22"/>
  <c r="FV124" i="22"/>
  <c r="FW124" i="22"/>
  <c r="FX124" i="22"/>
  <c r="FY124" i="22"/>
  <c r="FZ124" i="22"/>
  <c r="GA124" i="22"/>
  <c r="GB124" i="22"/>
  <c r="GC124" i="22"/>
  <c r="GD124" i="22"/>
  <c r="GE124" i="22"/>
  <c r="GF124" i="22"/>
  <c r="GG124" i="22"/>
  <c r="GH124" i="22"/>
  <c r="GI124" i="22"/>
  <c r="GJ124" i="22"/>
  <c r="GK124" i="22"/>
  <c r="GL124" i="22"/>
  <c r="GM124" i="22"/>
  <c r="GN124" i="22"/>
  <c r="GO124" i="22"/>
  <c r="GP124" i="22"/>
  <c r="GQ124" i="22"/>
  <c r="GR124" i="22"/>
  <c r="GS124" i="22"/>
  <c r="GT124" i="22"/>
  <c r="GU124" i="22"/>
  <c r="GV124" i="22"/>
  <c r="GW124" i="22"/>
  <c r="GX124" i="22"/>
  <c r="GY124" i="22"/>
  <c r="GZ124" i="22"/>
  <c r="HA124" i="22"/>
  <c r="HB124" i="22"/>
  <c r="HC124" i="22"/>
  <c r="HD124" i="22"/>
  <c r="HE124" i="22"/>
  <c r="HF124" i="22"/>
  <c r="HG124" i="22"/>
  <c r="HH124" i="22"/>
  <c r="HI124" i="22"/>
  <c r="HJ124" i="22"/>
  <c r="HK124" i="22"/>
  <c r="HL124" i="22"/>
  <c r="HM124" i="22"/>
  <c r="HN124" i="22"/>
  <c r="HO124" i="22"/>
  <c r="HP124" i="22"/>
  <c r="HQ124" i="22"/>
  <c r="HR124" i="22"/>
  <c r="HS124" i="22"/>
  <c r="HT124" i="22"/>
  <c r="HU124" i="22"/>
  <c r="HV124" i="22"/>
  <c r="HW124" i="22"/>
  <c r="HX124" i="22"/>
  <c r="HY124" i="22"/>
  <c r="HZ124" i="22"/>
  <c r="IA124" i="22"/>
  <c r="IB124" i="22"/>
  <c r="IC124" i="22"/>
  <c r="ID124" i="22"/>
  <c r="IE124" i="22"/>
  <c r="IF124" i="22"/>
  <c r="IG124" i="22"/>
  <c r="IH124" i="22"/>
  <c r="II124" i="22"/>
  <c r="IJ124" i="22"/>
  <c r="IK124" i="22"/>
  <c r="IL124" i="22"/>
  <c r="IM124" i="22"/>
  <c r="IN124" i="22"/>
  <c r="IO124" i="22"/>
  <c r="IP124" i="22"/>
  <c r="IQ124" i="22"/>
  <c r="IR124" i="22"/>
  <c r="IS124" i="22"/>
  <c r="IT124" i="22"/>
  <c r="IU124" i="22"/>
  <c r="IV124" i="22"/>
  <c r="G125" i="22"/>
  <c r="H125" i="22"/>
  <c r="I125" i="22"/>
  <c r="J125" i="22"/>
  <c r="K125" i="22"/>
  <c r="L125" i="22"/>
  <c r="M125" i="22"/>
  <c r="N125" i="22"/>
  <c r="O125" i="22"/>
  <c r="P125" i="22"/>
  <c r="Q125" i="22"/>
  <c r="R125" i="22"/>
  <c r="S125" i="22"/>
  <c r="T125" i="22"/>
  <c r="U125" i="22"/>
  <c r="V125" i="22"/>
  <c r="W125" i="22"/>
  <c r="X125" i="22"/>
  <c r="Y125" i="22"/>
  <c r="Z125" i="22"/>
  <c r="AA125" i="22"/>
  <c r="AB125" i="22"/>
  <c r="AC125" i="22"/>
  <c r="AD125" i="22"/>
  <c r="AE125" i="22"/>
  <c r="AF125" i="22"/>
  <c r="AG125" i="22"/>
  <c r="AH125" i="22"/>
  <c r="AI125" i="22"/>
  <c r="AJ125" i="22"/>
  <c r="AK125" i="22"/>
  <c r="AL125" i="22"/>
  <c r="AM125" i="22"/>
  <c r="AN125" i="22"/>
  <c r="AO125" i="22"/>
  <c r="AP125" i="22"/>
  <c r="AQ125" i="22"/>
  <c r="AR125" i="22"/>
  <c r="AS125" i="22"/>
  <c r="AT125" i="22"/>
  <c r="AU125" i="22"/>
  <c r="AV125" i="22"/>
  <c r="AW125" i="22"/>
  <c r="AX125" i="22"/>
  <c r="AY125" i="22"/>
  <c r="AZ125" i="22"/>
  <c r="BA125" i="22"/>
  <c r="BB125" i="22"/>
  <c r="BC125" i="22"/>
  <c r="BD125" i="22"/>
  <c r="BE125" i="22"/>
  <c r="BF125" i="22"/>
  <c r="BG125" i="22"/>
  <c r="BH125" i="22"/>
  <c r="BI125" i="22"/>
  <c r="BJ125" i="22"/>
  <c r="BK125" i="22"/>
  <c r="BL125" i="22"/>
  <c r="BM125" i="22"/>
  <c r="BN125" i="22"/>
  <c r="BO125" i="22"/>
  <c r="BP125" i="22"/>
  <c r="BQ125" i="22"/>
  <c r="BR125" i="22"/>
  <c r="BS125" i="22"/>
  <c r="BT125" i="22"/>
  <c r="BU125" i="22"/>
  <c r="BV125" i="22"/>
  <c r="BW125" i="22"/>
  <c r="BX125" i="22"/>
  <c r="BY125" i="22"/>
  <c r="BZ125" i="22"/>
  <c r="CA125" i="22"/>
  <c r="CB125" i="22"/>
  <c r="CC125" i="22"/>
  <c r="CD125" i="22"/>
  <c r="CE125" i="22"/>
  <c r="CF125" i="22"/>
  <c r="CG125" i="22"/>
  <c r="CH125" i="22"/>
  <c r="CI125" i="22"/>
  <c r="CJ125" i="22"/>
  <c r="CK125" i="22"/>
  <c r="CL125" i="22"/>
  <c r="CM125" i="22"/>
  <c r="CN125" i="22"/>
  <c r="CO125" i="22"/>
  <c r="CP125" i="22"/>
  <c r="CQ125" i="22"/>
  <c r="CR125" i="22"/>
  <c r="CS125" i="22"/>
  <c r="CT125" i="22"/>
  <c r="CU125" i="22"/>
  <c r="CV125" i="22"/>
  <c r="CW125" i="22"/>
  <c r="CX125" i="22"/>
  <c r="CY125" i="22"/>
  <c r="CZ125" i="22"/>
  <c r="DA125" i="22"/>
  <c r="DB125" i="22"/>
  <c r="DC125" i="22"/>
  <c r="DD125" i="22"/>
  <c r="DE125" i="22"/>
  <c r="DF125" i="22"/>
  <c r="DG125" i="22"/>
  <c r="DH125" i="22"/>
  <c r="DI125" i="22"/>
  <c r="DJ125" i="22"/>
  <c r="DK125" i="22"/>
  <c r="DL125" i="22"/>
  <c r="DM125" i="22"/>
  <c r="DN125" i="22"/>
  <c r="DO125" i="22"/>
  <c r="DP125" i="22"/>
  <c r="DQ125" i="22"/>
  <c r="DR125" i="22"/>
  <c r="DS125" i="22"/>
  <c r="DT125" i="22"/>
  <c r="DU125" i="22"/>
  <c r="DV125" i="22"/>
  <c r="DW125" i="22"/>
  <c r="DX125" i="22"/>
  <c r="DY125" i="22"/>
  <c r="DZ125" i="22"/>
  <c r="EA125" i="22"/>
  <c r="EB125" i="22"/>
  <c r="EC125" i="22"/>
  <c r="ED125" i="22"/>
  <c r="EE125" i="22"/>
  <c r="EF125" i="22"/>
  <c r="EG125" i="22"/>
  <c r="EH125" i="22"/>
  <c r="EI125" i="22"/>
  <c r="EJ125" i="22"/>
  <c r="EK125" i="22"/>
  <c r="EL125" i="22"/>
  <c r="EM125" i="22"/>
  <c r="EN125" i="22"/>
  <c r="EO125" i="22"/>
  <c r="EP125" i="22"/>
  <c r="EQ125" i="22"/>
  <c r="ER125" i="22"/>
  <c r="ES125" i="22"/>
  <c r="ET125" i="22"/>
  <c r="EU125" i="22"/>
  <c r="EV125" i="22"/>
  <c r="EW125" i="22"/>
  <c r="EX125" i="22"/>
  <c r="EY125" i="22"/>
  <c r="EZ125" i="22"/>
  <c r="FA125" i="22"/>
  <c r="FB125" i="22"/>
  <c r="FC125" i="22"/>
  <c r="FD125" i="22"/>
  <c r="FE125" i="22"/>
  <c r="FF125" i="22"/>
  <c r="FG125" i="22"/>
  <c r="FH125" i="22"/>
  <c r="FI125" i="22"/>
  <c r="FJ125" i="22"/>
  <c r="FK125" i="22"/>
  <c r="FL125" i="22"/>
  <c r="FM125" i="22"/>
  <c r="FN125" i="22"/>
  <c r="FO125" i="22"/>
  <c r="FP125" i="22"/>
  <c r="FQ125" i="22"/>
  <c r="FQ153" i="22" s="1"/>
  <c r="FR125" i="22"/>
  <c r="FS125" i="22"/>
  <c r="FT125" i="22"/>
  <c r="FU125" i="22"/>
  <c r="FV125" i="22"/>
  <c r="FW125" i="22"/>
  <c r="FX125" i="22"/>
  <c r="FY125" i="22"/>
  <c r="FZ125" i="22"/>
  <c r="GA125" i="22"/>
  <c r="GB125" i="22"/>
  <c r="GC125" i="22"/>
  <c r="GD125" i="22"/>
  <c r="GE125" i="22"/>
  <c r="GF125" i="22"/>
  <c r="GG125" i="22"/>
  <c r="GH125" i="22"/>
  <c r="GI125" i="22"/>
  <c r="GJ125" i="22"/>
  <c r="GK125" i="22"/>
  <c r="GL125" i="22"/>
  <c r="GM125" i="22"/>
  <c r="GN125" i="22"/>
  <c r="GO125" i="22"/>
  <c r="GP125" i="22"/>
  <c r="GQ125" i="22"/>
  <c r="GR125" i="22"/>
  <c r="GS125" i="22"/>
  <c r="GT125" i="22"/>
  <c r="GU125" i="22"/>
  <c r="GV125" i="22"/>
  <c r="GW125" i="22"/>
  <c r="GX125" i="22"/>
  <c r="GY125" i="22"/>
  <c r="GZ125" i="22"/>
  <c r="HA125" i="22"/>
  <c r="HB125" i="22"/>
  <c r="HC125" i="22"/>
  <c r="HD125" i="22"/>
  <c r="HE125" i="22"/>
  <c r="HF125" i="22"/>
  <c r="HG125" i="22"/>
  <c r="HH125" i="22"/>
  <c r="HI125" i="22"/>
  <c r="HJ125" i="22"/>
  <c r="HK125" i="22"/>
  <c r="HL125" i="22"/>
  <c r="HM125" i="22"/>
  <c r="HN125" i="22"/>
  <c r="HO125" i="22"/>
  <c r="HP125" i="22"/>
  <c r="HQ125" i="22"/>
  <c r="HR125" i="22"/>
  <c r="HS125" i="22"/>
  <c r="HT125" i="22"/>
  <c r="HU125" i="22"/>
  <c r="HV125" i="22"/>
  <c r="HW125" i="22"/>
  <c r="HX125" i="22"/>
  <c r="HY125" i="22"/>
  <c r="HZ125" i="22"/>
  <c r="IA125" i="22"/>
  <c r="IB125" i="22"/>
  <c r="IC125" i="22"/>
  <c r="ID125" i="22"/>
  <c r="IE125" i="22"/>
  <c r="IF125" i="22"/>
  <c r="IG125" i="22"/>
  <c r="IH125" i="22"/>
  <c r="II125" i="22"/>
  <c r="IJ125" i="22"/>
  <c r="IK125" i="22"/>
  <c r="IL125" i="22"/>
  <c r="IM125" i="22"/>
  <c r="IN125" i="22"/>
  <c r="IO125" i="22"/>
  <c r="IP125" i="22"/>
  <c r="IQ125" i="22"/>
  <c r="IR125" i="22"/>
  <c r="IS125" i="22"/>
  <c r="IT125" i="22"/>
  <c r="IU125" i="22"/>
  <c r="IV125" i="22"/>
  <c r="G126" i="22"/>
  <c r="H126" i="22"/>
  <c r="I126" i="22"/>
  <c r="J126" i="22"/>
  <c r="K126" i="22"/>
  <c r="L126" i="22"/>
  <c r="M126" i="22"/>
  <c r="N126" i="22"/>
  <c r="O126" i="22"/>
  <c r="P126" i="22"/>
  <c r="Q126" i="22"/>
  <c r="R126" i="22"/>
  <c r="S126" i="22"/>
  <c r="T126" i="22"/>
  <c r="U126" i="22"/>
  <c r="V126" i="22"/>
  <c r="W126" i="22"/>
  <c r="X126" i="22"/>
  <c r="Y126" i="22"/>
  <c r="Z126" i="22"/>
  <c r="AA126" i="22"/>
  <c r="AB126" i="22"/>
  <c r="AC126" i="22"/>
  <c r="AD126" i="22"/>
  <c r="AE126" i="22"/>
  <c r="AF126" i="22"/>
  <c r="AG126" i="22"/>
  <c r="AH126" i="22"/>
  <c r="AI126" i="22"/>
  <c r="AJ126" i="22"/>
  <c r="AK126" i="22"/>
  <c r="AL126" i="22"/>
  <c r="AM126" i="22"/>
  <c r="AN126" i="22"/>
  <c r="AO126" i="22"/>
  <c r="AP126" i="22"/>
  <c r="AQ126" i="22"/>
  <c r="AR126" i="22"/>
  <c r="AS126" i="22"/>
  <c r="AT126" i="22"/>
  <c r="AT153" i="22" s="1"/>
  <c r="AU126" i="22"/>
  <c r="AV126" i="22"/>
  <c r="AW126" i="22"/>
  <c r="AX126" i="22"/>
  <c r="AY126" i="22"/>
  <c r="AZ126" i="22"/>
  <c r="BA126" i="22"/>
  <c r="BB126" i="22"/>
  <c r="BC126" i="22"/>
  <c r="BD126" i="22"/>
  <c r="BE126" i="22"/>
  <c r="BF126" i="22"/>
  <c r="BG126" i="22"/>
  <c r="BH126" i="22"/>
  <c r="BI126" i="22"/>
  <c r="BJ126" i="22"/>
  <c r="BK126" i="22"/>
  <c r="BL126" i="22"/>
  <c r="BM126" i="22"/>
  <c r="BN126" i="22"/>
  <c r="BO126" i="22"/>
  <c r="BP126" i="22"/>
  <c r="BQ126" i="22"/>
  <c r="BR126" i="22"/>
  <c r="BS126" i="22"/>
  <c r="BT126" i="22"/>
  <c r="BU126" i="22"/>
  <c r="BV126" i="22"/>
  <c r="BW126" i="22"/>
  <c r="BX126" i="22"/>
  <c r="BY126" i="22"/>
  <c r="BZ126" i="22"/>
  <c r="CA126" i="22"/>
  <c r="CB126" i="22"/>
  <c r="CC126" i="22"/>
  <c r="CD126" i="22"/>
  <c r="CE126" i="22"/>
  <c r="CF126" i="22"/>
  <c r="CG126" i="22"/>
  <c r="CH126" i="22"/>
  <c r="CI126" i="22"/>
  <c r="CJ126" i="22"/>
  <c r="CK126" i="22"/>
  <c r="CL126" i="22"/>
  <c r="CM126" i="22"/>
  <c r="CN126" i="22"/>
  <c r="CO126" i="22"/>
  <c r="CP126" i="22"/>
  <c r="CQ126" i="22"/>
  <c r="CR126" i="22"/>
  <c r="CS126" i="22"/>
  <c r="CT126" i="22"/>
  <c r="CU126" i="22"/>
  <c r="CV126" i="22"/>
  <c r="CW126" i="22"/>
  <c r="CX126" i="22"/>
  <c r="CY126" i="22"/>
  <c r="CZ126" i="22"/>
  <c r="DA126" i="22"/>
  <c r="DB126" i="22"/>
  <c r="DC126" i="22"/>
  <c r="DD126" i="22"/>
  <c r="DE126" i="22"/>
  <c r="DF126" i="22"/>
  <c r="DG126" i="22"/>
  <c r="DH126" i="22"/>
  <c r="DI126" i="22"/>
  <c r="DJ126" i="22"/>
  <c r="DK126" i="22"/>
  <c r="DL126" i="22"/>
  <c r="DM126" i="22"/>
  <c r="DN126" i="22"/>
  <c r="DO126" i="22"/>
  <c r="DP126" i="22"/>
  <c r="DQ126" i="22"/>
  <c r="DR126" i="22"/>
  <c r="DS126" i="22"/>
  <c r="DT126" i="22"/>
  <c r="DU126" i="22"/>
  <c r="DV126" i="22"/>
  <c r="DW126" i="22"/>
  <c r="DX126" i="22"/>
  <c r="DY126" i="22"/>
  <c r="DZ126" i="22"/>
  <c r="EA126" i="22"/>
  <c r="EB126" i="22"/>
  <c r="EC126" i="22"/>
  <c r="ED126" i="22"/>
  <c r="EE126" i="22"/>
  <c r="EF126" i="22"/>
  <c r="EG126" i="22"/>
  <c r="EH126" i="22"/>
  <c r="EI126" i="22"/>
  <c r="EJ126" i="22"/>
  <c r="EK126" i="22"/>
  <c r="EL126" i="22"/>
  <c r="EM126" i="22"/>
  <c r="EN126" i="22"/>
  <c r="EO126" i="22"/>
  <c r="EP126" i="22"/>
  <c r="EQ126" i="22"/>
  <c r="ER126" i="22"/>
  <c r="ES126" i="22"/>
  <c r="ET126" i="22"/>
  <c r="EU126" i="22"/>
  <c r="EV126" i="22"/>
  <c r="EW126" i="22"/>
  <c r="EX126" i="22"/>
  <c r="EY126" i="22"/>
  <c r="EZ126" i="22"/>
  <c r="FA126" i="22"/>
  <c r="FB126" i="22"/>
  <c r="FC126" i="22"/>
  <c r="FD126" i="22"/>
  <c r="FE126" i="22"/>
  <c r="FF126" i="22"/>
  <c r="FG126" i="22"/>
  <c r="FH126" i="22"/>
  <c r="FI126" i="22"/>
  <c r="FJ126" i="22"/>
  <c r="FK126" i="22"/>
  <c r="FL126" i="22"/>
  <c r="FM126" i="22"/>
  <c r="FN126" i="22"/>
  <c r="FO126" i="22"/>
  <c r="FP126" i="22"/>
  <c r="FQ126" i="22"/>
  <c r="FR126" i="22"/>
  <c r="FS126" i="22"/>
  <c r="FT126" i="22"/>
  <c r="FU126" i="22"/>
  <c r="FV126" i="22"/>
  <c r="FW126" i="22"/>
  <c r="FX126" i="22"/>
  <c r="FY126" i="22"/>
  <c r="FZ126" i="22"/>
  <c r="GA126" i="22"/>
  <c r="GB126" i="22"/>
  <c r="GC126" i="22"/>
  <c r="GC147" i="22" s="1"/>
  <c r="GD126" i="22"/>
  <c r="GE126" i="22"/>
  <c r="GF126" i="22"/>
  <c r="GG126" i="22"/>
  <c r="GH126" i="22"/>
  <c r="GI126" i="22"/>
  <c r="GJ126" i="22"/>
  <c r="GK126" i="22"/>
  <c r="GL126" i="22"/>
  <c r="GM126" i="22"/>
  <c r="GN126" i="22"/>
  <c r="GO126" i="22"/>
  <c r="GP126" i="22"/>
  <c r="GQ126" i="22"/>
  <c r="GR126" i="22"/>
  <c r="GS126" i="22"/>
  <c r="GT126" i="22"/>
  <c r="GU126" i="22"/>
  <c r="GV126" i="22"/>
  <c r="GW126" i="22"/>
  <c r="GX126" i="22"/>
  <c r="GY126" i="22"/>
  <c r="GZ126" i="22"/>
  <c r="HA126" i="22"/>
  <c r="HB126" i="22"/>
  <c r="HC126" i="22"/>
  <c r="HD126" i="22"/>
  <c r="HE126" i="22"/>
  <c r="HF126" i="22"/>
  <c r="HG126" i="22"/>
  <c r="HH126" i="22"/>
  <c r="HI126" i="22"/>
  <c r="HJ126" i="22"/>
  <c r="HK126" i="22"/>
  <c r="HL126" i="22"/>
  <c r="HM126" i="22"/>
  <c r="HN126" i="22"/>
  <c r="HO126" i="22"/>
  <c r="HP126" i="22"/>
  <c r="HQ126" i="22"/>
  <c r="HR126" i="22"/>
  <c r="HS126" i="22"/>
  <c r="HT126" i="22"/>
  <c r="HU126" i="22"/>
  <c r="HV126" i="22"/>
  <c r="HW126" i="22"/>
  <c r="HX126" i="22"/>
  <c r="HY126" i="22"/>
  <c r="HZ126" i="22"/>
  <c r="IA126" i="22"/>
  <c r="IB126" i="22"/>
  <c r="IC126" i="22"/>
  <c r="ID126" i="22"/>
  <c r="IE126" i="22"/>
  <c r="IF126" i="22"/>
  <c r="IG126" i="22"/>
  <c r="IH126" i="22"/>
  <c r="II126" i="22"/>
  <c r="IJ126" i="22"/>
  <c r="IK126" i="22"/>
  <c r="IL126" i="22"/>
  <c r="IM126" i="22"/>
  <c r="IN126" i="22"/>
  <c r="IO126" i="22"/>
  <c r="IP126" i="22"/>
  <c r="IQ126" i="22"/>
  <c r="IR126" i="22"/>
  <c r="IS126" i="22"/>
  <c r="IT126" i="22"/>
  <c r="IU126" i="22"/>
  <c r="IV126" i="22"/>
  <c r="G127" i="22"/>
  <c r="H127" i="22"/>
  <c r="I127" i="22"/>
  <c r="J127" i="22"/>
  <c r="K127" i="22"/>
  <c r="L127" i="22"/>
  <c r="M127" i="22"/>
  <c r="N127" i="22"/>
  <c r="O127" i="22"/>
  <c r="P127" i="22"/>
  <c r="Q127" i="22"/>
  <c r="R127" i="22"/>
  <c r="S127" i="22"/>
  <c r="T127" i="22"/>
  <c r="U127" i="22"/>
  <c r="V127" i="22"/>
  <c r="W127" i="22"/>
  <c r="X127" i="22"/>
  <c r="Y127" i="22"/>
  <c r="Z127" i="22"/>
  <c r="AA127" i="22"/>
  <c r="AB127" i="22"/>
  <c r="AC127" i="22"/>
  <c r="AD127" i="22"/>
  <c r="AE127" i="22"/>
  <c r="AF127" i="22"/>
  <c r="AG127" i="22"/>
  <c r="AH127" i="22"/>
  <c r="AI127" i="22"/>
  <c r="AJ127" i="22"/>
  <c r="AK127" i="22"/>
  <c r="AL127" i="22"/>
  <c r="AM127" i="22"/>
  <c r="AN127" i="22"/>
  <c r="AO127" i="22"/>
  <c r="AP127" i="22"/>
  <c r="AQ127" i="22"/>
  <c r="AR127" i="22"/>
  <c r="AS127" i="22"/>
  <c r="AT127" i="22"/>
  <c r="AU127" i="22"/>
  <c r="AV127" i="22"/>
  <c r="AW127" i="22"/>
  <c r="AX127" i="22"/>
  <c r="AY127" i="22"/>
  <c r="AZ127" i="22"/>
  <c r="BA127" i="22"/>
  <c r="BB127" i="22"/>
  <c r="BC127" i="22"/>
  <c r="BD127" i="22"/>
  <c r="BE127" i="22"/>
  <c r="BF127" i="22"/>
  <c r="BG127" i="22"/>
  <c r="BH127" i="22"/>
  <c r="BI127" i="22"/>
  <c r="BJ127" i="22"/>
  <c r="BK127" i="22"/>
  <c r="BL127" i="22"/>
  <c r="BM127" i="22"/>
  <c r="BN127" i="22"/>
  <c r="BO127" i="22"/>
  <c r="BP127" i="22"/>
  <c r="BQ127" i="22"/>
  <c r="BR127" i="22"/>
  <c r="BS127" i="22"/>
  <c r="BT127" i="22"/>
  <c r="BU127" i="22"/>
  <c r="BV127" i="22"/>
  <c r="BW127" i="22"/>
  <c r="BX127" i="22"/>
  <c r="BY127" i="22"/>
  <c r="BZ127" i="22"/>
  <c r="CA127" i="22"/>
  <c r="CB127" i="22"/>
  <c r="CC127" i="22"/>
  <c r="CD127" i="22"/>
  <c r="CE127" i="22"/>
  <c r="CF127" i="22"/>
  <c r="CG127" i="22"/>
  <c r="CH127" i="22"/>
  <c r="CI127" i="22"/>
  <c r="CJ127" i="22"/>
  <c r="CK127" i="22"/>
  <c r="CL127" i="22"/>
  <c r="CM127" i="22"/>
  <c r="CN127" i="22"/>
  <c r="CO127" i="22"/>
  <c r="CP127" i="22"/>
  <c r="CQ127" i="22"/>
  <c r="CR127" i="22"/>
  <c r="CS127" i="22"/>
  <c r="CT127" i="22"/>
  <c r="CU127" i="22"/>
  <c r="CV127" i="22"/>
  <c r="CW127" i="22"/>
  <c r="CX127" i="22"/>
  <c r="CY127" i="22"/>
  <c r="CZ127" i="22"/>
  <c r="DA127" i="22"/>
  <c r="DB127" i="22"/>
  <c r="DC127" i="22"/>
  <c r="DD127" i="22"/>
  <c r="DE127" i="22"/>
  <c r="DF127" i="22"/>
  <c r="DG127" i="22"/>
  <c r="DH127" i="22"/>
  <c r="DI127" i="22"/>
  <c r="DJ127" i="22"/>
  <c r="DK127" i="22"/>
  <c r="DL127" i="22"/>
  <c r="DM127" i="22"/>
  <c r="DN127" i="22"/>
  <c r="DO127" i="22"/>
  <c r="DP127" i="22"/>
  <c r="DQ127" i="22"/>
  <c r="DR127" i="22"/>
  <c r="DS127" i="22"/>
  <c r="DT127" i="22"/>
  <c r="DU127" i="22"/>
  <c r="DV127" i="22"/>
  <c r="DW127" i="22"/>
  <c r="DX127" i="22"/>
  <c r="DY127" i="22"/>
  <c r="DZ127" i="22"/>
  <c r="EA127" i="22"/>
  <c r="EB127" i="22"/>
  <c r="EC127" i="22"/>
  <c r="ED127" i="22"/>
  <c r="EE127" i="22"/>
  <c r="EF127" i="22"/>
  <c r="EG127" i="22"/>
  <c r="EH127" i="22"/>
  <c r="EI127" i="22"/>
  <c r="EJ127" i="22"/>
  <c r="EK127" i="22"/>
  <c r="EL127" i="22"/>
  <c r="EM127" i="22"/>
  <c r="EN127" i="22"/>
  <c r="EO127" i="22"/>
  <c r="EP127" i="22"/>
  <c r="EQ127" i="22"/>
  <c r="ER127" i="22"/>
  <c r="ES127" i="22"/>
  <c r="ET127" i="22"/>
  <c r="EU127" i="22"/>
  <c r="EV127" i="22"/>
  <c r="EW127" i="22"/>
  <c r="EX127" i="22"/>
  <c r="EY127" i="22"/>
  <c r="EZ127" i="22"/>
  <c r="FA127" i="22"/>
  <c r="FB127" i="22"/>
  <c r="FC127" i="22"/>
  <c r="FD127" i="22"/>
  <c r="FE127" i="22"/>
  <c r="FF127" i="22"/>
  <c r="FG127" i="22"/>
  <c r="FH127" i="22"/>
  <c r="FI127" i="22"/>
  <c r="FJ127" i="22"/>
  <c r="FJ153" i="22" s="1"/>
  <c r="FK127" i="22"/>
  <c r="FL127" i="22"/>
  <c r="FM127" i="22"/>
  <c r="FN127" i="22"/>
  <c r="FO127" i="22"/>
  <c r="FP127" i="22"/>
  <c r="FQ127" i="22"/>
  <c r="FR127" i="22"/>
  <c r="FS127" i="22"/>
  <c r="FT127" i="22"/>
  <c r="FU127" i="22"/>
  <c r="FV127" i="22"/>
  <c r="FW127" i="22"/>
  <c r="FX127" i="22"/>
  <c r="FY127" i="22"/>
  <c r="FZ127" i="22"/>
  <c r="GA127" i="22"/>
  <c r="GB127" i="22"/>
  <c r="GC127" i="22"/>
  <c r="GD127" i="22"/>
  <c r="GE127" i="22"/>
  <c r="GF127" i="22"/>
  <c r="GG127" i="22"/>
  <c r="GH127" i="22"/>
  <c r="GI127" i="22"/>
  <c r="GJ127" i="22"/>
  <c r="GK127" i="22"/>
  <c r="GL127" i="22"/>
  <c r="GM127" i="22"/>
  <c r="GN127" i="22"/>
  <c r="GO127" i="22"/>
  <c r="GP127" i="22"/>
  <c r="GQ127" i="22"/>
  <c r="GR127" i="22"/>
  <c r="GS127" i="22"/>
  <c r="GT127" i="22"/>
  <c r="GU127" i="22"/>
  <c r="GV127" i="22"/>
  <c r="GW127" i="22"/>
  <c r="GX127" i="22"/>
  <c r="GY127" i="22"/>
  <c r="GZ127" i="22"/>
  <c r="HA127" i="22"/>
  <c r="HB127" i="22"/>
  <c r="HC127" i="22"/>
  <c r="HD127" i="22"/>
  <c r="HE127" i="22"/>
  <c r="HF127" i="22"/>
  <c r="HG127" i="22"/>
  <c r="HH127" i="22"/>
  <c r="HI127" i="22"/>
  <c r="HJ127" i="22"/>
  <c r="HK127" i="22"/>
  <c r="HL127" i="22"/>
  <c r="HM127" i="22"/>
  <c r="HN127" i="22"/>
  <c r="HO127" i="22"/>
  <c r="HP127" i="22"/>
  <c r="HQ127" i="22"/>
  <c r="HR127" i="22"/>
  <c r="HS127" i="22"/>
  <c r="HT127" i="22"/>
  <c r="HU127" i="22"/>
  <c r="HV127" i="22"/>
  <c r="HW127" i="22"/>
  <c r="HX127" i="22"/>
  <c r="HY127" i="22"/>
  <c r="HZ127" i="22"/>
  <c r="IA127" i="22"/>
  <c r="IB127" i="22"/>
  <c r="IC127" i="22"/>
  <c r="ID127" i="22"/>
  <c r="IE127" i="22"/>
  <c r="IF127" i="22"/>
  <c r="IG127" i="22"/>
  <c r="IH127" i="22"/>
  <c r="II127" i="22"/>
  <c r="IJ127" i="22"/>
  <c r="IK127" i="22"/>
  <c r="IL127" i="22"/>
  <c r="IM127" i="22"/>
  <c r="IN127" i="22"/>
  <c r="IO127" i="22"/>
  <c r="IP127" i="22"/>
  <c r="IQ127" i="22"/>
  <c r="IR127" i="22"/>
  <c r="IS127" i="22"/>
  <c r="IT127" i="22"/>
  <c r="IU127" i="22"/>
  <c r="IV127" i="22"/>
  <c r="G128" i="22"/>
  <c r="H128" i="22"/>
  <c r="I128" i="22"/>
  <c r="J128" i="22"/>
  <c r="K128" i="22"/>
  <c r="L128" i="22"/>
  <c r="M128" i="22"/>
  <c r="N128" i="22"/>
  <c r="O128" i="22"/>
  <c r="P128" i="22"/>
  <c r="Q128" i="22"/>
  <c r="R128" i="22"/>
  <c r="S128" i="22"/>
  <c r="T128" i="22"/>
  <c r="U128" i="22"/>
  <c r="V128" i="22"/>
  <c r="W128" i="22"/>
  <c r="X128" i="22"/>
  <c r="Y128" i="22"/>
  <c r="Z128" i="22"/>
  <c r="AA128" i="22"/>
  <c r="AB128" i="22"/>
  <c r="AC128" i="22"/>
  <c r="AD128" i="22"/>
  <c r="AE128" i="22"/>
  <c r="AF128" i="22"/>
  <c r="AG128" i="22"/>
  <c r="AH128" i="22"/>
  <c r="AI128" i="22"/>
  <c r="AJ128" i="22"/>
  <c r="AK128" i="22"/>
  <c r="AL128" i="22"/>
  <c r="AM128" i="22"/>
  <c r="AN128" i="22"/>
  <c r="AO128" i="22"/>
  <c r="AP128" i="22"/>
  <c r="AQ128" i="22"/>
  <c r="AR128" i="22"/>
  <c r="AS128" i="22"/>
  <c r="AT128" i="22"/>
  <c r="AU128" i="22"/>
  <c r="AV128" i="22"/>
  <c r="AW128" i="22"/>
  <c r="AX128" i="22"/>
  <c r="AY128" i="22"/>
  <c r="AZ128" i="22"/>
  <c r="BA128" i="22"/>
  <c r="BB128" i="22"/>
  <c r="BC128" i="22"/>
  <c r="BD128" i="22"/>
  <c r="BE128" i="22"/>
  <c r="BF128" i="22"/>
  <c r="BG128" i="22"/>
  <c r="BH128" i="22"/>
  <c r="BI128" i="22"/>
  <c r="BJ128" i="22"/>
  <c r="BK128" i="22"/>
  <c r="BL128" i="22"/>
  <c r="BM128" i="22"/>
  <c r="BN128" i="22"/>
  <c r="BO128" i="22"/>
  <c r="BP128" i="22"/>
  <c r="BQ128" i="22"/>
  <c r="BR128" i="22"/>
  <c r="BS128" i="22"/>
  <c r="BT128" i="22"/>
  <c r="BU128" i="22"/>
  <c r="BV128" i="22"/>
  <c r="BW128" i="22"/>
  <c r="BX128" i="22"/>
  <c r="BY128" i="22"/>
  <c r="BZ128" i="22"/>
  <c r="CA128" i="22"/>
  <c r="CB128" i="22"/>
  <c r="CC128" i="22"/>
  <c r="CD128" i="22"/>
  <c r="CE128" i="22"/>
  <c r="CF128" i="22"/>
  <c r="CG128" i="22"/>
  <c r="CH128" i="22"/>
  <c r="CI128" i="22"/>
  <c r="CJ128" i="22"/>
  <c r="CK128" i="22"/>
  <c r="CL128" i="22"/>
  <c r="CM128" i="22"/>
  <c r="CN128" i="22"/>
  <c r="CO128" i="22"/>
  <c r="CP128" i="22"/>
  <c r="CQ128" i="22"/>
  <c r="CR128" i="22"/>
  <c r="CS128" i="22"/>
  <c r="CT128" i="22"/>
  <c r="CU128" i="22"/>
  <c r="CV128" i="22"/>
  <c r="CW128" i="22"/>
  <c r="CX128" i="22"/>
  <c r="CY128" i="22"/>
  <c r="CZ128" i="22"/>
  <c r="DA128" i="22"/>
  <c r="DB128" i="22"/>
  <c r="DC128" i="22"/>
  <c r="DD128" i="22"/>
  <c r="DE128" i="22"/>
  <c r="DF128" i="22"/>
  <c r="DG128" i="22"/>
  <c r="DH128" i="22"/>
  <c r="DI128" i="22"/>
  <c r="DJ128" i="22"/>
  <c r="DK128" i="22"/>
  <c r="DL128" i="22"/>
  <c r="DM128" i="22"/>
  <c r="DN128" i="22"/>
  <c r="DO128" i="22"/>
  <c r="DP128" i="22"/>
  <c r="DQ128" i="22"/>
  <c r="DR128" i="22"/>
  <c r="DS128" i="22"/>
  <c r="DT128" i="22"/>
  <c r="DU128" i="22"/>
  <c r="DV128" i="22"/>
  <c r="DW128" i="22"/>
  <c r="DX128" i="22"/>
  <c r="DY128" i="22"/>
  <c r="DZ128" i="22"/>
  <c r="EA128" i="22"/>
  <c r="EB128" i="22"/>
  <c r="EC128" i="22"/>
  <c r="ED128" i="22"/>
  <c r="EE128" i="22"/>
  <c r="EF128" i="22"/>
  <c r="EG128" i="22"/>
  <c r="EH128" i="22"/>
  <c r="EI128" i="22"/>
  <c r="EJ128" i="22"/>
  <c r="EK128" i="22"/>
  <c r="EL128" i="22"/>
  <c r="EM128" i="22"/>
  <c r="EN128" i="22"/>
  <c r="EO128" i="22"/>
  <c r="EP128" i="22"/>
  <c r="EQ128" i="22"/>
  <c r="ER128" i="22"/>
  <c r="ES128" i="22"/>
  <c r="ET128" i="22"/>
  <c r="EU128" i="22"/>
  <c r="EV128" i="22"/>
  <c r="EW128" i="22"/>
  <c r="EX128" i="22"/>
  <c r="EY128" i="22"/>
  <c r="EZ128" i="22"/>
  <c r="FA128" i="22"/>
  <c r="FB128" i="22"/>
  <c r="FC128" i="22"/>
  <c r="FD128" i="22"/>
  <c r="FE128" i="22"/>
  <c r="FF128" i="22"/>
  <c r="FG128" i="22"/>
  <c r="FH128" i="22"/>
  <c r="FI128" i="22"/>
  <c r="FJ128" i="22"/>
  <c r="FK128" i="22"/>
  <c r="FL128" i="22"/>
  <c r="FM128" i="22"/>
  <c r="FN128" i="22"/>
  <c r="FO128" i="22"/>
  <c r="FP128" i="22"/>
  <c r="FQ128" i="22"/>
  <c r="FR128" i="22"/>
  <c r="FS128" i="22"/>
  <c r="FT128" i="22"/>
  <c r="FU128" i="22"/>
  <c r="FV128" i="22"/>
  <c r="FW128" i="22"/>
  <c r="FX128" i="22"/>
  <c r="FY128" i="22"/>
  <c r="FZ128" i="22"/>
  <c r="GA128" i="22"/>
  <c r="GB128" i="22"/>
  <c r="GC128" i="22"/>
  <c r="GD128" i="22"/>
  <c r="GE128" i="22"/>
  <c r="GF128" i="22"/>
  <c r="GG128" i="22"/>
  <c r="GH128" i="22"/>
  <c r="GI128" i="22"/>
  <c r="GJ128" i="22"/>
  <c r="GK128" i="22"/>
  <c r="GL128" i="22"/>
  <c r="GM128" i="22"/>
  <c r="GN128" i="22"/>
  <c r="GO128" i="22"/>
  <c r="GP128" i="22"/>
  <c r="GQ128" i="22"/>
  <c r="GR128" i="22"/>
  <c r="GS128" i="22"/>
  <c r="GT128" i="22"/>
  <c r="GU128" i="22"/>
  <c r="GV128" i="22"/>
  <c r="GW128" i="22"/>
  <c r="GX128" i="22"/>
  <c r="GY128" i="22"/>
  <c r="GZ128" i="22"/>
  <c r="HA128" i="22"/>
  <c r="HB128" i="22"/>
  <c r="HC128" i="22"/>
  <c r="HD128" i="22"/>
  <c r="HE128" i="22"/>
  <c r="HF128" i="22"/>
  <c r="HG128" i="22"/>
  <c r="HH128" i="22"/>
  <c r="HI128" i="22"/>
  <c r="HJ128" i="22"/>
  <c r="HK128" i="22"/>
  <c r="HL128" i="22"/>
  <c r="HM128" i="22"/>
  <c r="HN128" i="22"/>
  <c r="HO128" i="22"/>
  <c r="HP128" i="22"/>
  <c r="HQ128" i="22"/>
  <c r="HR128" i="22"/>
  <c r="HS128" i="22"/>
  <c r="HT128" i="22"/>
  <c r="HU128" i="22"/>
  <c r="HV128" i="22"/>
  <c r="HW128" i="22"/>
  <c r="HX128" i="22"/>
  <c r="HY128" i="22"/>
  <c r="HZ128" i="22"/>
  <c r="IA128" i="22"/>
  <c r="IB128" i="22"/>
  <c r="IC128" i="22"/>
  <c r="ID128" i="22"/>
  <c r="IE128" i="22"/>
  <c r="IF128" i="22"/>
  <c r="IG128" i="22"/>
  <c r="IH128" i="22"/>
  <c r="II128" i="22"/>
  <c r="IJ128" i="22"/>
  <c r="IK128" i="22"/>
  <c r="IL128" i="22"/>
  <c r="IM128" i="22"/>
  <c r="IN128" i="22"/>
  <c r="IO128" i="22"/>
  <c r="IP128" i="22"/>
  <c r="IQ128" i="22"/>
  <c r="IR128" i="22"/>
  <c r="IS128" i="22"/>
  <c r="IT128" i="22"/>
  <c r="IU128" i="22"/>
  <c r="IV128" i="22"/>
  <c r="G129" i="22"/>
  <c r="H129" i="22"/>
  <c r="I129" i="22"/>
  <c r="J129" i="22"/>
  <c r="K129" i="22"/>
  <c r="L129" i="22"/>
  <c r="M129" i="22"/>
  <c r="N129" i="22"/>
  <c r="O129" i="22"/>
  <c r="P129" i="22"/>
  <c r="Q129" i="22"/>
  <c r="R129" i="22"/>
  <c r="S129" i="22"/>
  <c r="T129" i="22"/>
  <c r="U129" i="22"/>
  <c r="V129" i="22"/>
  <c r="W129" i="22"/>
  <c r="X129" i="22"/>
  <c r="Y129" i="22"/>
  <c r="Z129" i="22"/>
  <c r="AA129" i="22"/>
  <c r="AB129" i="22"/>
  <c r="AC129" i="22"/>
  <c r="AD129" i="22"/>
  <c r="AE129" i="22"/>
  <c r="AF129" i="22"/>
  <c r="AG129" i="22"/>
  <c r="AH129" i="22"/>
  <c r="AI129" i="22"/>
  <c r="AJ129" i="22"/>
  <c r="AK129" i="22"/>
  <c r="AL129" i="22"/>
  <c r="AM129" i="22"/>
  <c r="AN129" i="22"/>
  <c r="AO129" i="22"/>
  <c r="AP129" i="22"/>
  <c r="AQ129" i="22"/>
  <c r="AR129" i="22"/>
  <c r="AS129" i="22"/>
  <c r="AT129" i="22"/>
  <c r="AU129" i="22"/>
  <c r="AV129" i="22"/>
  <c r="AW129" i="22"/>
  <c r="AX129" i="22"/>
  <c r="AY129" i="22"/>
  <c r="AZ129" i="22"/>
  <c r="BA129" i="22"/>
  <c r="BB129" i="22"/>
  <c r="BC129" i="22"/>
  <c r="BD129" i="22"/>
  <c r="BE129" i="22"/>
  <c r="BF129" i="22"/>
  <c r="BG129" i="22"/>
  <c r="BH129" i="22"/>
  <c r="BI129" i="22"/>
  <c r="BJ129" i="22"/>
  <c r="BK129" i="22"/>
  <c r="BL129" i="22"/>
  <c r="BM129" i="22"/>
  <c r="BN129" i="22"/>
  <c r="BO129" i="22"/>
  <c r="BP129" i="22"/>
  <c r="BQ129" i="22"/>
  <c r="BR129" i="22"/>
  <c r="BS129" i="22"/>
  <c r="BT129" i="22"/>
  <c r="BU129" i="22"/>
  <c r="BV129" i="22"/>
  <c r="BW129" i="22"/>
  <c r="BX129" i="22"/>
  <c r="BY129" i="22"/>
  <c r="BZ129" i="22"/>
  <c r="CA129" i="22"/>
  <c r="CB129" i="22"/>
  <c r="CC129" i="22"/>
  <c r="CD129" i="22"/>
  <c r="CE129" i="22"/>
  <c r="CF129" i="22"/>
  <c r="CG129" i="22"/>
  <c r="CH129" i="22"/>
  <c r="CI129" i="22"/>
  <c r="CJ129" i="22"/>
  <c r="CK129" i="22"/>
  <c r="CL129" i="22"/>
  <c r="CM129" i="22"/>
  <c r="CN129" i="22"/>
  <c r="CO129" i="22"/>
  <c r="CP129" i="22"/>
  <c r="CQ129" i="22"/>
  <c r="CR129" i="22"/>
  <c r="CS129" i="22"/>
  <c r="CT129" i="22"/>
  <c r="CU129" i="22"/>
  <c r="CV129" i="22"/>
  <c r="CW129" i="22"/>
  <c r="CX129" i="22"/>
  <c r="CY129" i="22"/>
  <c r="CZ129" i="22"/>
  <c r="DA129" i="22"/>
  <c r="DB129" i="22"/>
  <c r="DC129" i="22"/>
  <c r="DD129" i="22"/>
  <c r="DE129" i="22"/>
  <c r="DF129" i="22"/>
  <c r="DG129" i="22"/>
  <c r="DH129" i="22"/>
  <c r="DI129" i="22"/>
  <c r="DJ129" i="22"/>
  <c r="DK129" i="22"/>
  <c r="DL129" i="22"/>
  <c r="DM129" i="22"/>
  <c r="DN129" i="22"/>
  <c r="DO129" i="22"/>
  <c r="DP129" i="22"/>
  <c r="DQ129" i="22"/>
  <c r="DR129" i="22"/>
  <c r="DS129" i="22"/>
  <c r="DT129" i="22"/>
  <c r="DU129" i="22"/>
  <c r="DV129" i="22"/>
  <c r="DW129" i="22"/>
  <c r="DX129" i="22"/>
  <c r="DY129" i="22"/>
  <c r="DZ129" i="22"/>
  <c r="EA129" i="22"/>
  <c r="EB129" i="22"/>
  <c r="EC129" i="22"/>
  <c r="ED129" i="22"/>
  <c r="EE129" i="22"/>
  <c r="EF129" i="22"/>
  <c r="EG129" i="22"/>
  <c r="EH129" i="22"/>
  <c r="EI129" i="22"/>
  <c r="EJ129" i="22"/>
  <c r="EK129" i="22"/>
  <c r="EL129" i="22"/>
  <c r="EM129" i="22"/>
  <c r="EN129" i="22"/>
  <c r="EO129" i="22"/>
  <c r="EP129" i="22"/>
  <c r="EQ129" i="22"/>
  <c r="ER129" i="22"/>
  <c r="ES129" i="22"/>
  <c r="ET129" i="22"/>
  <c r="EU129" i="22"/>
  <c r="EV129" i="22"/>
  <c r="EW129" i="22"/>
  <c r="EX129" i="22"/>
  <c r="EY129" i="22"/>
  <c r="EZ129" i="22"/>
  <c r="FA129" i="22"/>
  <c r="FB129" i="22"/>
  <c r="FC129" i="22"/>
  <c r="FD129" i="22"/>
  <c r="FE129" i="22"/>
  <c r="FF129" i="22"/>
  <c r="FG129" i="22"/>
  <c r="FH129" i="22"/>
  <c r="FI129" i="22"/>
  <c r="FJ129" i="22"/>
  <c r="FK129" i="22"/>
  <c r="FL129" i="22"/>
  <c r="FM129" i="22"/>
  <c r="FN129" i="22"/>
  <c r="FO129" i="22"/>
  <c r="FP129" i="22"/>
  <c r="FQ129" i="22"/>
  <c r="FR129" i="22"/>
  <c r="FS129" i="22"/>
  <c r="FT129" i="22"/>
  <c r="FU129" i="22"/>
  <c r="FV129" i="22"/>
  <c r="FW129" i="22"/>
  <c r="FX129" i="22"/>
  <c r="FY129" i="22"/>
  <c r="FZ129" i="22"/>
  <c r="GA129" i="22"/>
  <c r="GB129" i="22"/>
  <c r="GC129" i="22"/>
  <c r="GD129" i="22"/>
  <c r="GE129" i="22"/>
  <c r="GF129" i="22"/>
  <c r="GG129" i="22"/>
  <c r="GH129" i="22"/>
  <c r="GI129" i="22"/>
  <c r="GJ129" i="22"/>
  <c r="GK129" i="22"/>
  <c r="GL129" i="22"/>
  <c r="GM129" i="22"/>
  <c r="GN129" i="22"/>
  <c r="GO129" i="22"/>
  <c r="GP129" i="22"/>
  <c r="GQ129" i="22"/>
  <c r="GR129" i="22"/>
  <c r="GS129" i="22"/>
  <c r="GT129" i="22"/>
  <c r="GU129" i="22"/>
  <c r="GV129" i="22"/>
  <c r="GW129" i="22"/>
  <c r="GX129" i="22"/>
  <c r="GY129" i="22"/>
  <c r="GZ129" i="22"/>
  <c r="HA129" i="22"/>
  <c r="HB129" i="22"/>
  <c r="HC129" i="22"/>
  <c r="HD129" i="22"/>
  <c r="HE129" i="22"/>
  <c r="HF129" i="22"/>
  <c r="HG129" i="22"/>
  <c r="HH129" i="22"/>
  <c r="HI129" i="22"/>
  <c r="HJ129" i="22"/>
  <c r="HK129" i="22"/>
  <c r="HL129" i="22"/>
  <c r="HM129" i="22"/>
  <c r="HN129" i="22"/>
  <c r="HO129" i="22"/>
  <c r="HP129" i="22"/>
  <c r="HQ129" i="22"/>
  <c r="HR129" i="22"/>
  <c r="HS129" i="22"/>
  <c r="HT129" i="22"/>
  <c r="HU129" i="22"/>
  <c r="HV129" i="22"/>
  <c r="HW129" i="22"/>
  <c r="HX129" i="22"/>
  <c r="HY129" i="22"/>
  <c r="HZ129" i="22"/>
  <c r="IA129" i="22"/>
  <c r="IB129" i="22"/>
  <c r="IC129" i="22"/>
  <c r="ID129" i="22"/>
  <c r="IE129" i="22"/>
  <c r="IF129" i="22"/>
  <c r="IG129" i="22"/>
  <c r="IH129" i="22"/>
  <c r="II129" i="22"/>
  <c r="IJ129" i="22"/>
  <c r="IK129" i="22"/>
  <c r="IL129" i="22"/>
  <c r="IM129" i="22"/>
  <c r="IN129" i="22"/>
  <c r="IO129" i="22"/>
  <c r="IP129" i="22"/>
  <c r="IQ129" i="22"/>
  <c r="IR129" i="22"/>
  <c r="IS129" i="22"/>
  <c r="IT129" i="22"/>
  <c r="IU129" i="22"/>
  <c r="IV129" i="22"/>
  <c r="G130" i="22"/>
  <c r="H130" i="22"/>
  <c r="I130" i="22"/>
  <c r="J130" i="22"/>
  <c r="K130" i="22"/>
  <c r="L130" i="22"/>
  <c r="M130" i="22"/>
  <c r="N130" i="22"/>
  <c r="O130" i="22"/>
  <c r="P130" i="22"/>
  <c r="Q130" i="22"/>
  <c r="R130" i="22"/>
  <c r="S130" i="22"/>
  <c r="T130" i="22"/>
  <c r="U130" i="22"/>
  <c r="V130" i="22"/>
  <c r="W130" i="22"/>
  <c r="X130" i="22"/>
  <c r="Y130" i="22"/>
  <c r="Z130" i="22"/>
  <c r="AA130" i="22"/>
  <c r="AB130" i="22"/>
  <c r="AC130" i="22"/>
  <c r="AD130" i="22"/>
  <c r="AE130" i="22"/>
  <c r="AF130" i="22"/>
  <c r="AG130" i="22"/>
  <c r="AH130" i="22"/>
  <c r="AI130" i="22"/>
  <c r="AJ130" i="22"/>
  <c r="AK130" i="22"/>
  <c r="AL130" i="22"/>
  <c r="AM130" i="22"/>
  <c r="AN130" i="22"/>
  <c r="AO130" i="22"/>
  <c r="AP130" i="22"/>
  <c r="AQ130" i="22"/>
  <c r="AR130" i="22"/>
  <c r="AS130" i="22"/>
  <c r="AT130" i="22"/>
  <c r="AU130" i="22"/>
  <c r="AV130" i="22"/>
  <c r="AW130" i="22"/>
  <c r="AX130" i="22"/>
  <c r="AY130" i="22"/>
  <c r="AZ130" i="22"/>
  <c r="BA130" i="22"/>
  <c r="BB130" i="22"/>
  <c r="BC130" i="22"/>
  <c r="BD130" i="22"/>
  <c r="BE130" i="22"/>
  <c r="BF130" i="22"/>
  <c r="BG130" i="22"/>
  <c r="BH130" i="22"/>
  <c r="BI130" i="22"/>
  <c r="BJ130" i="22"/>
  <c r="BK130" i="22"/>
  <c r="BL130" i="22"/>
  <c r="BM130" i="22"/>
  <c r="BN130" i="22"/>
  <c r="BO130" i="22"/>
  <c r="BP130" i="22"/>
  <c r="BQ130" i="22"/>
  <c r="BR130" i="22"/>
  <c r="BS130" i="22"/>
  <c r="BT130" i="22"/>
  <c r="BU130" i="22"/>
  <c r="BV130" i="22"/>
  <c r="BW130" i="22"/>
  <c r="BX130" i="22"/>
  <c r="BY130" i="22"/>
  <c r="BZ130" i="22"/>
  <c r="CA130" i="22"/>
  <c r="CB130" i="22"/>
  <c r="CC130" i="22"/>
  <c r="CD130" i="22"/>
  <c r="CE130" i="22"/>
  <c r="CF130" i="22"/>
  <c r="CG130" i="22"/>
  <c r="CH130" i="22"/>
  <c r="CI130" i="22"/>
  <c r="CJ130" i="22"/>
  <c r="CK130" i="22"/>
  <c r="CL130" i="22"/>
  <c r="CM130" i="22"/>
  <c r="CN130" i="22"/>
  <c r="CO130" i="22"/>
  <c r="CP130" i="22"/>
  <c r="CQ130" i="22"/>
  <c r="CR130" i="22"/>
  <c r="CS130" i="22"/>
  <c r="CT130" i="22"/>
  <c r="CU130" i="22"/>
  <c r="CV130" i="22"/>
  <c r="CW130" i="22"/>
  <c r="CX130" i="22"/>
  <c r="CY130" i="22"/>
  <c r="CZ130" i="22"/>
  <c r="DA130" i="22"/>
  <c r="DB130" i="22"/>
  <c r="DC130" i="22"/>
  <c r="DD130" i="22"/>
  <c r="DE130" i="22"/>
  <c r="DF130" i="22"/>
  <c r="DG130" i="22"/>
  <c r="DH130" i="22"/>
  <c r="DI130" i="22"/>
  <c r="DJ130" i="22"/>
  <c r="DK130" i="22"/>
  <c r="DL130" i="22"/>
  <c r="DM130" i="22"/>
  <c r="DN130" i="22"/>
  <c r="DO130" i="22"/>
  <c r="DP130" i="22"/>
  <c r="DQ130" i="22"/>
  <c r="DR130" i="22"/>
  <c r="DS130" i="22"/>
  <c r="DT130" i="22"/>
  <c r="DU130" i="22"/>
  <c r="DV130" i="22"/>
  <c r="DW130" i="22"/>
  <c r="DX130" i="22"/>
  <c r="DY130" i="22"/>
  <c r="DZ130" i="22"/>
  <c r="EA130" i="22"/>
  <c r="EB130" i="22"/>
  <c r="EC130" i="22"/>
  <c r="ED130" i="22"/>
  <c r="EE130" i="22"/>
  <c r="EF130" i="22"/>
  <c r="EG130" i="22"/>
  <c r="EH130" i="22"/>
  <c r="EI130" i="22"/>
  <c r="EJ130" i="22"/>
  <c r="EK130" i="22"/>
  <c r="EL130" i="22"/>
  <c r="EM130" i="22"/>
  <c r="EN130" i="22"/>
  <c r="EO130" i="22"/>
  <c r="EP130" i="22"/>
  <c r="EQ130" i="22"/>
  <c r="ER130" i="22"/>
  <c r="ES130" i="22"/>
  <c r="ET130" i="22"/>
  <c r="EU130" i="22"/>
  <c r="EV130" i="22"/>
  <c r="EW130" i="22"/>
  <c r="EX130" i="22"/>
  <c r="EY130" i="22"/>
  <c r="EZ130" i="22"/>
  <c r="FA130" i="22"/>
  <c r="FB130" i="22"/>
  <c r="FC130" i="22"/>
  <c r="FD130" i="22"/>
  <c r="FE130" i="22"/>
  <c r="FF130" i="22"/>
  <c r="FG130" i="22"/>
  <c r="FH130" i="22"/>
  <c r="FI130" i="22"/>
  <c r="FJ130" i="22"/>
  <c r="FK130" i="22"/>
  <c r="FL130" i="22"/>
  <c r="FM130" i="22"/>
  <c r="FN130" i="22"/>
  <c r="FO130" i="22"/>
  <c r="FP130" i="22"/>
  <c r="FQ130" i="22"/>
  <c r="FR130" i="22"/>
  <c r="FS130" i="22"/>
  <c r="FT130" i="22"/>
  <c r="FU130" i="22"/>
  <c r="FV130" i="22"/>
  <c r="FW130" i="22"/>
  <c r="FX130" i="22"/>
  <c r="FY130" i="22"/>
  <c r="FZ130" i="22"/>
  <c r="GA130" i="22"/>
  <c r="GB130" i="22"/>
  <c r="GC130" i="22"/>
  <c r="GD130" i="22"/>
  <c r="GE130" i="22"/>
  <c r="GF130" i="22"/>
  <c r="GG130" i="22"/>
  <c r="GH130" i="22"/>
  <c r="GI130" i="22"/>
  <c r="GJ130" i="22"/>
  <c r="GK130" i="22"/>
  <c r="GL130" i="22"/>
  <c r="GM130" i="22"/>
  <c r="GN130" i="22"/>
  <c r="GO130" i="22"/>
  <c r="GP130" i="22"/>
  <c r="GQ130" i="22"/>
  <c r="GR130" i="22"/>
  <c r="GS130" i="22"/>
  <c r="GT130" i="22"/>
  <c r="GU130" i="22"/>
  <c r="GV130" i="22"/>
  <c r="GW130" i="22"/>
  <c r="GX130" i="22"/>
  <c r="GY130" i="22"/>
  <c r="GZ130" i="22"/>
  <c r="HA130" i="22"/>
  <c r="HB130" i="22"/>
  <c r="HC130" i="22"/>
  <c r="HD130" i="22"/>
  <c r="HE130" i="22"/>
  <c r="HF130" i="22"/>
  <c r="HG130" i="22"/>
  <c r="HH130" i="22"/>
  <c r="HI130" i="22"/>
  <c r="HJ130" i="22"/>
  <c r="HK130" i="22"/>
  <c r="HL130" i="22"/>
  <c r="HM130" i="22"/>
  <c r="HN130" i="22"/>
  <c r="HO130" i="22"/>
  <c r="HP130" i="22"/>
  <c r="HQ130" i="22"/>
  <c r="HR130" i="22"/>
  <c r="HS130" i="22"/>
  <c r="HT130" i="22"/>
  <c r="HU130" i="22"/>
  <c r="HV130" i="22"/>
  <c r="HW130" i="22"/>
  <c r="HX130" i="22"/>
  <c r="HY130" i="22"/>
  <c r="HZ130" i="22"/>
  <c r="IA130" i="22"/>
  <c r="IB130" i="22"/>
  <c r="IC130" i="22"/>
  <c r="ID130" i="22"/>
  <c r="IE130" i="22"/>
  <c r="IF130" i="22"/>
  <c r="IG130" i="22"/>
  <c r="IH130" i="22"/>
  <c r="II130" i="22"/>
  <c r="IJ130" i="22"/>
  <c r="IK130" i="22"/>
  <c r="IL130" i="22"/>
  <c r="IM130" i="22"/>
  <c r="IN130" i="22"/>
  <c r="IO130" i="22"/>
  <c r="IP130" i="22"/>
  <c r="IQ130" i="22"/>
  <c r="IR130" i="22"/>
  <c r="IS130" i="22"/>
  <c r="IT130" i="22"/>
  <c r="IU130" i="22"/>
  <c r="IV130" i="22"/>
  <c r="G131" i="22"/>
  <c r="H131" i="22"/>
  <c r="I131" i="22"/>
  <c r="J131" i="22"/>
  <c r="K131" i="22"/>
  <c r="L131" i="22"/>
  <c r="M131" i="22"/>
  <c r="N131" i="22"/>
  <c r="O131" i="22"/>
  <c r="P131" i="22"/>
  <c r="Q131" i="22"/>
  <c r="R131" i="22"/>
  <c r="S131" i="22"/>
  <c r="T131" i="22"/>
  <c r="U131" i="22"/>
  <c r="V131" i="22"/>
  <c r="W131" i="22"/>
  <c r="X131" i="22"/>
  <c r="Y131" i="22"/>
  <c r="Z131" i="22"/>
  <c r="AA131" i="22"/>
  <c r="AB131" i="22"/>
  <c r="AC131" i="22"/>
  <c r="AD131" i="22"/>
  <c r="AE131" i="22"/>
  <c r="AF131" i="22"/>
  <c r="AG131" i="22"/>
  <c r="AH131" i="22"/>
  <c r="AI131" i="22"/>
  <c r="AJ131" i="22"/>
  <c r="AK131" i="22"/>
  <c r="AL131" i="22"/>
  <c r="AM131" i="22"/>
  <c r="AN131" i="22"/>
  <c r="AO131" i="22"/>
  <c r="AP131" i="22"/>
  <c r="AQ131" i="22"/>
  <c r="AR131" i="22"/>
  <c r="AS131" i="22"/>
  <c r="AT131" i="22"/>
  <c r="AU131" i="22"/>
  <c r="AV131" i="22"/>
  <c r="AW131" i="22"/>
  <c r="AX131" i="22"/>
  <c r="AY131" i="22"/>
  <c r="AZ131" i="22"/>
  <c r="BA131" i="22"/>
  <c r="BB131" i="22"/>
  <c r="BC131" i="22"/>
  <c r="BD131" i="22"/>
  <c r="BE131" i="22"/>
  <c r="BF131" i="22"/>
  <c r="BG131" i="22"/>
  <c r="BH131" i="22"/>
  <c r="BI131" i="22"/>
  <c r="BJ131" i="22"/>
  <c r="BK131" i="22"/>
  <c r="BL131" i="22"/>
  <c r="BM131" i="22"/>
  <c r="BN131" i="22"/>
  <c r="BO131" i="22"/>
  <c r="BP131" i="22"/>
  <c r="BQ131" i="22"/>
  <c r="BR131" i="22"/>
  <c r="BS131" i="22"/>
  <c r="BT131" i="22"/>
  <c r="BU131" i="22"/>
  <c r="BV131" i="22"/>
  <c r="BW131" i="22"/>
  <c r="BX131" i="22"/>
  <c r="BY131" i="22"/>
  <c r="BZ131" i="22"/>
  <c r="CA131" i="22"/>
  <c r="CB131" i="22"/>
  <c r="CC131" i="22"/>
  <c r="CD131" i="22"/>
  <c r="CE131" i="22"/>
  <c r="CF131" i="22"/>
  <c r="CG131" i="22"/>
  <c r="CH131" i="22"/>
  <c r="CI131" i="22"/>
  <c r="CJ131" i="22"/>
  <c r="CK131" i="22"/>
  <c r="CL131" i="22"/>
  <c r="CM131" i="22"/>
  <c r="CN131" i="22"/>
  <c r="CO131" i="22"/>
  <c r="CP131" i="22"/>
  <c r="CQ131" i="22"/>
  <c r="CR131" i="22"/>
  <c r="CS131" i="22"/>
  <c r="CT131" i="22"/>
  <c r="CU131" i="22"/>
  <c r="CV131" i="22"/>
  <c r="CW131" i="22"/>
  <c r="CX131" i="22"/>
  <c r="CY131" i="22"/>
  <c r="CZ131" i="22"/>
  <c r="DA131" i="22"/>
  <c r="DB131" i="22"/>
  <c r="DC131" i="22"/>
  <c r="DD131" i="22"/>
  <c r="DE131" i="22"/>
  <c r="DF131" i="22"/>
  <c r="DG131" i="22"/>
  <c r="DH131" i="22"/>
  <c r="DI131" i="22"/>
  <c r="DJ131" i="22"/>
  <c r="DK131" i="22"/>
  <c r="DL131" i="22"/>
  <c r="DM131" i="22"/>
  <c r="DN131" i="22"/>
  <c r="DO131" i="22"/>
  <c r="DP131" i="22"/>
  <c r="DQ131" i="22"/>
  <c r="DR131" i="22"/>
  <c r="DS131" i="22"/>
  <c r="DT131" i="22"/>
  <c r="DU131" i="22"/>
  <c r="DV131" i="22"/>
  <c r="DW131" i="22"/>
  <c r="DX131" i="22"/>
  <c r="DY131" i="22"/>
  <c r="DZ131" i="22"/>
  <c r="EA131" i="22"/>
  <c r="EB131" i="22"/>
  <c r="EC131" i="22"/>
  <c r="ED131" i="22"/>
  <c r="EE131" i="22"/>
  <c r="EF131" i="22"/>
  <c r="EG131" i="22"/>
  <c r="EH131" i="22"/>
  <c r="EI131" i="22"/>
  <c r="EJ131" i="22"/>
  <c r="EK131" i="22"/>
  <c r="EL131" i="22"/>
  <c r="EM131" i="22"/>
  <c r="EN131" i="22"/>
  <c r="EO131" i="22"/>
  <c r="EP131" i="22"/>
  <c r="EQ131" i="22"/>
  <c r="ER131" i="22"/>
  <c r="ES131" i="22"/>
  <c r="ET131" i="22"/>
  <c r="EU131" i="22"/>
  <c r="EV131" i="22"/>
  <c r="EW131" i="22"/>
  <c r="EX131" i="22"/>
  <c r="EY131" i="22"/>
  <c r="EZ131" i="22"/>
  <c r="FA131" i="22"/>
  <c r="FB131" i="22"/>
  <c r="FC131" i="22"/>
  <c r="FD131" i="22"/>
  <c r="FE131" i="22"/>
  <c r="FF131" i="22"/>
  <c r="FG131" i="22"/>
  <c r="FH131" i="22"/>
  <c r="FI131" i="22"/>
  <c r="FJ131" i="22"/>
  <c r="FK131" i="22"/>
  <c r="FL131" i="22"/>
  <c r="FM131" i="22"/>
  <c r="FN131" i="22"/>
  <c r="FO131" i="22"/>
  <c r="FP131" i="22"/>
  <c r="FQ131" i="22"/>
  <c r="FR131" i="22"/>
  <c r="FS131" i="22"/>
  <c r="FT131" i="22"/>
  <c r="FU131" i="22"/>
  <c r="FV131" i="22"/>
  <c r="FW131" i="22"/>
  <c r="FX131" i="22"/>
  <c r="FY131" i="22"/>
  <c r="FZ131" i="22"/>
  <c r="GA131" i="22"/>
  <c r="GB131" i="22"/>
  <c r="GC131" i="22"/>
  <c r="GD131" i="22"/>
  <c r="GE131" i="22"/>
  <c r="GF131" i="22"/>
  <c r="GG131" i="22"/>
  <c r="GH131" i="22"/>
  <c r="GI131" i="22"/>
  <c r="GJ131" i="22"/>
  <c r="GK131" i="22"/>
  <c r="GL131" i="22"/>
  <c r="GM131" i="22"/>
  <c r="GN131" i="22"/>
  <c r="GO131" i="22"/>
  <c r="GP131" i="22"/>
  <c r="GQ131" i="22"/>
  <c r="GR131" i="22"/>
  <c r="GS131" i="22"/>
  <c r="GT131" i="22"/>
  <c r="GU131" i="22"/>
  <c r="GV131" i="22"/>
  <c r="GW131" i="22"/>
  <c r="GX131" i="22"/>
  <c r="GY131" i="22"/>
  <c r="GZ131" i="22"/>
  <c r="HA131" i="22"/>
  <c r="HB131" i="22"/>
  <c r="HC131" i="22"/>
  <c r="HD131" i="22"/>
  <c r="HE131" i="22"/>
  <c r="HF131" i="22"/>
  <c r="HG131" i="22"/>
  <c r="HH131" i="22"/>
  <c r="HI131" i="22"/>
  <c r="HJ131" i="22"/>
  <c r="HK131" i="22"/>
  <c r="HL131" i="22"/>
  <c r="HM131" i="22"/>
  <c r="HN131" i="22"/>
  <c r="HO131" i="22"/>
  <c r="HP131" i="22"/>
  <c r="HQ131" i="22"/>
  <c r="HR131" i="22"/>
  <c r="HS131" i="22"/>
  <c r="HT131" i="22"/>
  <c r="HU131" i="22"/>
  <c r="HV131" i="22"/>
  <c r="HW131" i="22"/>
  <c r="HX131" i="22"/>
  <c r="HY131" i="22"/>
  <c r="HZ131" i="22"/>
  <c r="IA131" i="22"/>
  <c r="IB131" i="22"/>
  <c r="IC131" i="22"/>
  <c r="ID131" i="22"/>
  <c r="IE131" i="22"/>
  <c r="IF131" i="22"/>
  <c r="IG131" i="22"/>
  <c r="IH131" i="22"/>
  <c r="II131" i="22"/>
  <c r="IJ131" i="22"/>
  <c r="IK131" i="22"/>
  <c r="IL131" i="22"/>
  <c r="IM131" i="22"/>
  <c r="IN131" i="22"/>
  <c r="IO131" i="22"/>
  <c r="IP131" i="22"/>
  <c r="IQ131" i="22"/>
  <c r="IR131" i="22"/>
  <c r="IS131" i="22"/>
  <c r="IT131" i="22"/>
  <c r="IU131" i="22"/>
  <c r="IV131" i="22"/>
  <c r="G132" i="22"/>
  <c r="H132" i="22"/>
  <c r="I132" i="22"/>
  <c r="J132" i="22"/>
  <c r="K132" i="22"/>
  <c r="L132" i="22"/>
  <c r="M132" i="22"/>
  <c r="N132" i="22"/>
  <c r="O132" i="22"/>
  <c r="P132" i="22"/>
  <c r="Q132" i="22"/>
  <c r="R132" i="22"/>
  <c r="S132" i="22"/>
  <c r="T132" i="22"/>
  <c r="U132" i="22"/>
  <c r="V132" i="22"/>
  <c r="W132" i="22"/>
  <c r="X132" i="22"/>
  <c r="Y132" i="22"/>
  <c r="Z132" i="22"/>
  <c r="AA132" i="22"/>
  <c r="AB132" i="22"/>
  <c r="AC132" i="22"/>
  <c r="AD132" i="22"/>
  <c r="AE132" i="22"/>
  <c r="AF132" i="22"/>
  <c r="AG132" i="22"/>
  <c r="AH132" i="22"/>
  <c r="AI132" i="22"/>
  <c r="AJ132" i="22"/>
  <c r="AK132" i="22"/>
  <c r="AL132" i="22"/>
  <c r="AM132" i="22"/>
  <c r="AN132" i="22"/>
  <c r="AO132" i="22"/>
  <c r="AP132" i="22"/>
  <c r="AQ132" i="22"/>
  <c r="AR132" i="22"/>
  <c r="AS132" i="22"/>
  <c r="AT132" i="22"/>
  <c r="AU132" i="22"/>
  <c r="AV132" i="22"/>
  <c r="AW132" i="22"/>
  <c r="AX132" i="22"/>
  <c r="AY132" i="22"/>
  <c r="AZ132" i="22"/>
  <c r="BA132" i="22"/>
  <c r="BB132" i="22"/>
  <c r="BC132" i="22"/>
  <c r="BD132" i="22"/>
  <c r="BE132" i="22"/>
  <c r="BF132" i="22"/>
  <c r="BG132" i="22"/>
  <c r="BH132" i="22"/>
  <c r="BI132" i="22"/>
  <c r="BJ132" i="22"/>
  <c r="BK132" i="22"/>
  <c r="BL132" i="22"/>
  <c r="BM132" i="22"/>
  <c r="BN132" i="22"/>
  <c r="BO132" i="22"/>
  <c r="BP132" i="22"/>
  <c r="BQ132" i="22"/>
  <c r="BR132" i="22"/>
  <c r="BS132" i="22"/>
  <c r="BT132" i="22"/>
  <c r="BU132" i="22"/>
  <c r="BV132" i="22"/>
  <c r="BW132" i="22"/>
  <c r="BX132" i="22"/>
  <c r="BY132" i="22"/>
  <c r="BZ132" i="22"/>
  <c r="CA132" i="22"/>
  <c r="CB132" i="22"/>
  <c r="CC132" i="22"/>
  <c r="CD132" i="22"/>
  <c r="CE132" i="22"/>
  <c r="CF132" i="22"/>
  <c r="CG132" i="22"/>
  <c r="CH132" i="22"/>
  <c r="CI132" i="22"/>
  <c r="CJ132" i="22"/>
  <c r="CK132" i="22"/>
  <c r="CL132" i="22"/>
  <c r="CM132" i="22"/>
  <c r="CN132" i="22"/>
  <c r="CO132" i="22"/>
  <c r="CP132" i="22"/>
  <c r="CQ132" i="22"/>
  <c r="CR132" i="22"/>
  <c r="CS132" i="22"/>
  <c r="CT132" i="22"/>
  <c r="CU132" i="22"/>
  <c r="CV132" i="22"/>
  <c r="CW132" i="22"/>
  <c r="CX132" i="22"/>
  <c r="CY132" i="22"/>
  <c r="CZ132" i="22"/>
  <c r="DA132" i="22"/>
  <c r="DB132" i="22"/>
  <c r="DC132" i="22"/>
  <c r="DD132" i="22"/>
  <c r="DE132" i="22"/>
  <c r="DF132" i="22"/>
  <c r="DG132" i="22"/>
  <c r="DH132" i="22"/>
  <c r="DI132" i="22"/>
  <c r="DJ132" i="22"/>
  <c r="DK132" i="22"/>
  <c r="DL132" i="22"/>
  <c r="DM132" i="22"/>
  <c r="DN132" i="22"/>
  <c r="DO132" i="22"/>
  <c r="DP132" i="22"/>
  <c r="DQ132" i="22"/>
  <c r="DR132" i="22"/>
  <c r="DS132" i="22"/>
  <c r="DT132" i="22"/>
  <c r="DU132" i="22"/>
  <c r="DV132" i="22"/>
  <c r="DW132" i="22"/>
  <c r="DX132" i="22"/>
  <c r="DY132" i="22"/>
  <c r="DZ132" i="22"/>
  <c r="EA132" i="22"/>
  <c r="EB132" i="22"/>
  <c r="EC132" i="22"/>
  <c r="ED132" i="22"/>
  <c r="EE132" i="22"/>
  <c r="EF132" i="22"/>
  <c r="EG132" i="22"/>
  <c r="EH132" i="22"/>
  <c r="EI132" i="22"/>
  <c r="EJ132" i="22"/>
  <c r="EK132" i="22"/>
  <c r="EL132" i="22"/>
  <c r="EM132" i="22"/>
  <c r="EN132" i="22"/>
  <c r="EO132" i="22"/>
  <c r="EP132" i="22"/>
  <c r="EQ132" i="22"/>
  <c r="ER132" i="22"/>
  <c r="ES132" i="22"/>
  <c r="ET132" i="22"/>
  <c r="EU132" i="22"/>
  <c r="EV132" i="22"/>
  <c r="EW132" i="22"/>
  <c r="EX132" i="22"/>
  <c r="EY132" i="22"/>
  <c r="EZ132" i="22"/>
  <c r="FA132" i="22"/>
  <c r="FB132" i="22"/>
  <c r="FC132" i="22"/>
  <c r="FD132" i="22"/>
  <c r="FE132" i="22"/>
  <c r="FF132" i="22"/>
  <c r="FG132" i="22"/>
  <c r="FH132" i="22"/>
  <c r="FI132" i="22"/>
  <c r="FJ132" i="22"/>
  <c r="FK132" i="22"/>
  <c r="FL132" i="22"/>
  <c r="FM132" i="22"/>
  <c r="FN132" i="22"/>
  <c r="FO132" i="22"/>
  <c r="FP132" i="22"/>
  <c r="FQ132" i="22"/>
  <c r="FR132" i="22"/>
  <c r="FS132" i="22"/>
  <c r="FT132" i="22"/>
  <c r="FU132" i="22"/>
  <c r="FV132" i="22"/>
  <c r="FW132" i="22"/>
  <c r="FX132" i="22"/>
  <c r="FY132" i="22"/>
  <c r="FZ132" i="22"/>
  <c r="GA132" i="22"/>
  <c r="GB132" i="22"/>
  <c r="GC132" i="22"/>
  <c r="GD132" i="22"/>
  <c r="GE132" i="22"/>
  <c r="GF132" i="22"/>
  <c r="GG132" i="22"/>
  <c r="GH132" i="22"/>
  <c r="GI132" i="22"/>
  <c r="GJ132" i="22"/>
  <c r="GK132" i="22"/>
  <c r="GL132" i="22"/>
  <c r="GM132" i="22"/>
  <c r="GN132" i="22"/>
  <c r="GO132" i="22"/>
  <c r="GP132" i="22"/>
  <c r="GQ132" i="22"/>
  <c r="GR132" i="22"/>
  <c r="GS132" i="22"/>
  <c r="GT132" i="22"/>
  <c r="GU132" i="22"/>
  <c r="GV132" i="22"/>
  <c r="GW132" i="22"/>
  <c r="GX132" i="22"/>
  <c r="GY132" i="22"/>
  <c r="GZ132" i="22"/>
  <c r="HA132" i="22"/>
  <c r="HB132" i="22"/>
  <c r="HC132" i="22"/>
  <c r="HD132" i="22"/>
  <c r="HE132" i="22"/>
  <c r="HF132" i="22"/>
  <c r="HG132" i="22"/>
  <c r="HH132" i="22"/>
  <c r="HI132" i="22"/>
  <c r="HJ132" i="22"/>
  <c r="HK132" i="22"/>
  <c r="HL132" i="22"/>
  <c r="HM132" i="22"/>
  <c r="HN132" i="22"/>
  <c r="HO132" i="22"/>
  <c r="HP132" i="22"/>
  <c r="HQ132" i="22"/>
  <c r="HR132" i="22"/>
  <c r="HS132" i="22"/>
  <c r="HT132" i="22"/>
  <c r="HU132" i="22"/>
  <c r="HV132" i="22"/>
  <c r="HW132" i="22"/>
  <c r="HX132" i="22"/>
  <c r="HY132" i="22"/>
  <c r="HZ132" i="22"/>
  <c r="IA132" i="22"/>
  <c r="IB132" i="22"/>
  <c r="IC132" i="22"/>
  <c r="ID132" i="22"/>
  <c r="IE132" i="22"/>
  <c r="IF132" i="22"/>
  <c r="IG132" i="22"/>
  <c r="IH132" i="22"/>
  <c r="II132" i="22"/>
  <c r="IJ132" i="22"/>
  <c r="IK132" i="22"/>
  <c r="IL132" i="22"/>
  <c r="IM132" i="22"/>
  <c r="IN132" i="22"/>
  <c r="IO132" i="22"/>
  <c r="IP132" i="22"/>
  <c r="IQ132" i="22"/>
  <c r="IR132" i="22"/>
  <c r="IS132" i="22"/>
  <c r="IT132" i="22"/>
  <c r="IU132" i="22"/>
  <c r="IV132" i="22"/>
  <c r="G133" i="22"/>
  <c r="H133" i="22"/>
  <c r="I133" i="22"/>
  <c r="J133" i="22"/>
  <c r="K133" i="22"/>
  <c r="L133" i="22"/>
  <c r="M133" i="22"/>
  <c r="N133" i="22"/>
  <c r="O133" i="22"/>
  <c r="P133" i="22"/>
  <c r="Q133" i="22"/>
  <c r="R133" i="22"/>
  <c r="S133" i="22"/>
  <c r="T133" i="22"/>
  <c r="U133" i="22"/>
  <c r="V133" i="22"/>
  <c r="W133" i="22"/>
  <c r="X133" i="22"/>
  <c r="Y133" i="22"/>
  <c r="Z133" i="22"/>
  <c r="AA133" i="22"/>
  <c r="AB133" i="22"/>
  <c r="AC133" i="22"/>
  <c r="AD133" i="22"/>
  <c r="AE133" i="22"/>
  <c r="AF133" i="22"/>
  <c r="AG133" i="22"/>
  <c r="AH133" i="22"/>
  <c r="AI133" i="22"/>
  <c r="AJ133" i="22"/>
  <c r="AK133" i="22"/>
  <c r="AL133" i="22"/>
  <c r="AM133" i="22"/>
  <c r="AN133" i="22"/>
  <c r="AO133" i="22"/>
  <c r="AP133" i="22"/>
  <c r="AQ133" i="22"/>
  <c r="AR133" i="22"/>
  <c r="AS133" i="22"/>
  <c r="AT133" i="22"/>
  <c r="AU133" i="22"/>
  <c r="AV133" i="22"/>
  <c r="AW133" i="22"/>
  <c r="AX133" i="22"/>
  <c r="AY133" i="22"/>
  <c r="AZ133" i="22"/>
  <c r="BA133" i="22"/>
  <c r="BB133" i="22"/>
  <c r="BC133" i="22"/>
  <c r="BD133" i="22"/>
  <c r="BE133" i="22"/>
  <c r="BF133" i="22"/>
  <c r="BG133" i="22"/>
  <c r="BH133" i="22"/>
  <c r="BI133" i="22"/>
  <c r="BJ133" i="22"/>
  <c r="BK133" i="22"/>
  <c r="BL133" i="22"/>
  <c r="BM133" i="22"/>
  <c r="BN133" i="22"/>
  <c r="BO133" i="22"/>
  <c r="BP133" i="22"/>
  <c r="BQ133" i="22"/>
  <c r="BR133" i="22"/>
  <c r="BS133" i="22"/>
  <c r="BT133" i="22"/>
  <c r="BU133" i="22"/>
  <c r="BV133" i="22"/>
  <c r="BW133" i="22"/>
  <c r="BX133" i="22"/>
  <c r="BY133" i="22"/>
  <c r="BZ133" i="22"/>
  <c r="CA133" i="22"/>
  <c r="CB133" i="22"/>
  <c r="CC133" i="22"/>
  <c r="CD133" i="22"/>
  <c r="CE133" i="22"/>
  <c r="CF133" i="22"/>
  <c r="CG133" i="22"/>
  <c r="CH133" i="22"/>
  <c r="CI133" i="22"/>
  <c r="CJ133" i="22"/>
  <c r="CK133" i="22"/>
  <c r="CL133" i="22"/>
  <c r="CM133" i="22"/>
  <c r="CN133" i="22"/>
  <c r="CO133" i="22"/>
  <c r="CP133" i="22"/>
  <c r="CQ133" i="22"/>
  <c r="CR133" i="22"/>
  <c r="CS133" i="22"/>
  <c r="CT133" i="22"/>
  <c r="CU133" i="22"/>
  <c r="CV133" i="22"/>
  <c r="CW133" i="22"/>
  <c r="CX133" i="22"/>
  <c r="CY133" i="22"/>
  <c r="CZ133" i="22"/>
  <c r="DA133" i="22"/>
  <c r="DB133" i="22"/>
  <c r="DC133" i="22"/>
  <c r="DD133" i="22"/>
  <c r="DE133" i="22"/>
  <c r="DF133" i="22"/>
  <c r="DG133" i="22"/>
  <c r="DH133" i="22"/>
  <c r="DI133" i="22"/>
  <c r="DJ133" i="22"/>
  <c r="DK133" i="22"/>
  <c r="DL133" i="22"/>
  <c r="DM133" i="22"/>
  <c r="DN133" i="22"/>
  <c r="DO133" i="22"/>
  <c r="DP133" i="22"/>
  <c r="DQ133" i="22"/>
  <c r="DR133" i="22"/>
  <c r="DS133" i="22"/>
  <c r="DT133" i="22"/>
  <c r="DU133" i="22"/>
  <c r="DV133" i="22"/>
  <c r="DW133" i="22"/>
  <c r="DX133" i="22"/>
  <c r="DY133" i="22"/>
  <c r="DZ133" i="22"/>
  <c r="EA133" i="22"/>
  <c r="EB133" i="22"/>
  <c r="EC133" i="22"/>
  <c r="ED133" i="22"/>
  <c r="EE133" i="22"/>
  <c r="EF133" i="22"/>
  <c r="EG133" i="22"/>
  <c r="EH133" i="22"/>
  <c r="EI133" i="22"/>
  <c r="EJ133" i="22"/>
  <c r="EK133" i="22"/>
  <c r="EL133" i="22"/>
  <c r="EM133" i="22"/>
  <c r="EN133" i="22"/>
  <c r="EO133" i="22"/>
  <c r="EP133" i="22"/>
  <c r="EQ133" i="22"/>
  <c r="ER133" i="22"/>
  <c r="ES133" i="22"/>
  <c r="ET133" i="22"/>
  <c r="EU133" i="22"/>
  <c r="EV133" i="22"/>
  <c r="EW133" i="22"/>
  <c r="EX133" i="22"/>
  <c r="EY133" i="22"/>
  <c r="EZ133" i="22"/>
  <c r="FA133" i="22"/>
  <c r="FB133" i="22"/>
  <c r="FC133" i="22"/>
  <c r="FD133" i="22"/>
  <c r="FE133" i="22"/>
  <c r="FF133" i="22"/>
  <c r="FG133" i="22"/>
  <c r="FH133" i="22"/>
  <c r="FI133" i="22"/>
  <c r="FJ133" i="22"/>
  <c r="FK133" i="22"/>
  <c r="FL133" i="22"/>
  <c r="FM133" i="22"/>
  <c r="FN133" i="22"/>
  <c r="FO133" i="22"/>
  <c r="FP133" i="22"/>
  <c r="FQ133" i="22"/>
  <c r="FR133" i="22"/>
  <c r="FS133" i="22"/>
  <c r="FT133" i="22"/>
  <c r="FU133" i="22"/>
  <c r="FV133" i="22"/>
  <c r="FW133" i="22"/>
  <c r="FX133" i="22"/>
  <c r="FY133" i="22"/>
  <c r="FZ133" i="22"/>
  <c r="GA133" i="22"/>
  <c r="GB133" i="22"/>
  <c r="GC133" i="22"/>
  <c r="GD133" i="22"/>
  <c r="GE133" i="22"/>
  <c r="GF133" i="22"/>
  <c r="GG133" i="22"/>
  <c r="GH133" i="22"/>
  <c r="GI133" i="22"/>
  <c r="GJ133" i="22"/>
  <c r="GK133" i="22"/>
  <c r="GL133" i="22"/>
  <c r="GM133" i="22"/>
  <c r="GN133" i="22"/>
  <c r="GO133" i="22"/>
  <c r="GP133" i="22"/>
  <c r="GQ133" i="22"/>
  <c r="GR133" i="22"/>
  <c r="GS133" i="22"/>
  <c r="GT133" i="22"/>
  <c r="GU133" i="22"/>
  <c r="GV133" i="22"/>
  <c r="GW133" i="22"/>
  <c r="GX133" i="22"/>
  <c r="GY133" i="22"/>
  <c r="GZ133" i="22"/>
  <c r="HA133" i="22"/>
  <c r="HB133" i="22"/>
  <c r="HC133" i="22"/>
  <c r="HD133" i="22"/>
  <c r="HE133" i="22"/>
  <c r="HF133" i="22"/>
  <c r="HG133" i="22"/>
  <c r="HH133" i="22"/>
  <c r="HI133" i="22"/>
  <c r="HJ133" i="22"/>
  <c r="HK133" i="22"/>
  <c r="HL133" i="22"/>
  <c r="HM133" i="22"/>
  <c r="HN133" i="22"/>
  <c r="HO133" i="22"/>
  <c r="HP133" i="22"/>
  <c r="HQ133" i="22"/>
  <c r="HR133" i="22"/>
  <c r="HS133" i="22"/>
  <c r="HT133" i="22"/>
  <c r="HU133" i="22"/>
  <c r="HV133" i="22"/>
  <c r="HW133" i="22"/>
  <c r="HX133" i="22"/>
  <c r="HY133" i="22"/>
  <c r="HZ133" i="22"/>
  <c r="IA133" i="22"/>
  <c r="IB133" i="22"/>
  <c r="IC133" i="22"/>
  <c r="ID133" i="22"/>
  <c r="IE133" i="22"/>
  <c r="IF133" i="22"/>
  <c r="IG133" i="22"/>
  <c r="IH133" i="22"/>
  <c r="II133" i="22"/>
  <c r="IJ133" i="22"/>
  <c r="IK133" i="22"/>
  <c r="IL133" i="22"/>
  <c r="IM133" i="22"/>
  <c r="IN133" i="22"/>
  <c r="IO133" i="22"/>
  <c r="IP133" i="22"/>
  <c r="IQ133" i="22"/>
  <c r="IR133" i="22"/>
  <c r="IS133" i="22"/>
  <c r="IT133" i="22"/>
  <c r="IU133" i="22"/>
  <c r="IV133" i="22"/>
  <c r="G134" i="22"/>
  <c r="H134" i="22"/>
  <c r="I134" i="22"/>
  <c r="J134" i="22"/>
  <c r="K134" i="22"/>
  <c r="L134" i="22"/>
  <c r="M134" i="22"/>
  <c r="N134" i="22"/>
  <c r="O134" i="22"/>
  <c r="P134" i="22"/>
  <c r="Q134" i="22"/>
  <c r="R134" i="22"/>
  <c r="S134" i="22"/>
  <c r="T134" i="22"/>
  <c r="U134" i="22"/>
  <c r="V134" i="22"/>
  <c r="W134" i="22"/>
  <c r="X134" i="22"/>
  <c r="Y134" i="22"/>
  <c r="Z134" i="22"/>
  <c r="AA134" i="22"/>
  <c r="AB134" i="22"/>
  <c r="AC134" i="22"/>
  <c r="AD134" i="22"/>
  <c r="AE134" i="22"/>
  <c r="AF134" i="22"/>
  <c r="AG134" i="22"/>
  <c r="AH134" i="22"/>
  <c r="AI134" i="22"/>
  <c r="AJ134" i="22"/>
  <c r="AK134" i="22"/>
  <c r="AL134" i="22"/>
  <c r="AM134" i="22"/>
  <c r="AN134" i="22"/>
  <c r="AO134" i="22"/>
  <c r="AP134" i="22"/>
  <c r="AQ134" i="22"/>
  <c r="AR134" i="22"/>
  <c r="AS134" i="22"/>
  <c r="AT134" i="22"/>
  <c r="AU134" i="22"/>
  <c r="AV134" i="22"/>
  <c r="AW134" i="22"/>
  <c r="AX134" i="22"/>
  <c r="AY134" i="22"/>
  <c r="AZ134" i="22"/>
  <c r="BA134" i="22"/>
  <c r="BB134" i="22"/>
  <c r="BC134" i="22"/>
  <c r="BD134" i="22"/>
  <c r="BE134" i="22"/>
  <c r="BF134" i="22"/>
  <c r="BG134" i="22"/>
  <c r="BH134" i="22"/>
  <c r="BI134" i="22"/>
  <c r="BJ134" i="22"/>
  <c r="BK134" i="22"/>
  <c r="BL134" i="22"/>
  <c r="BM134" i="22"/>
  <c r="BN134" i="22"/>
  <c r="BO134" i="22"/>
  <c r="BP134" i="22"/>
  <c r="BQ134" i="22"/>
  <c r="BR134" i="22"/>
  <c r="BS134" i="22"/>
  <c r="BT134" i="22"/>
  <c r="BU134" i="22"/>
  <c r="BV134" i="22"/>
  <c r="BW134" i="22"/>
  <c r="BX134" i="22"/>
  <c r="BY134" i="22"/>
  <c r="BZ134" i="22"/>
  <c r="CA134" i="22"/>
  <c r="CB134" i="22"/>
  <c r="CC134" i="22"/>
  <c r="CD134" i="22"/>
  <c r="CE134" i="22"/>
  <c r="CF134" i="22"/>
  <c r="CG134" i="22"/>
  <c r="CH134" i="22"/>
  <c r="CI134" i="22"/>
  <c r="CJ134" i="22"/>
  <c r="CK134" i="22"/>
  <c r="CL134" i="22"/>
  <c r="CM134" i="22"/>
  <c r="CN134" i="22"/>
  <c r="CO134" i="22"/>
  <c r="CP134" i="22"/>
  <c r="CQ134" i="22"/>
  <c r="CR134" i="22"/>
  <c r="CS134" i="22"/>
  <c r="CT134" i="22"/>
  <c r="CU134" i="22"/>
  <c r="CV134" i="22"/>
  <c r="CW134" i="22"/>
  <c r="CX134" i="22"/>
  <c r="CY134" i="22"/>
  <c r="CZ134" i="22"/>
  <c r="DA134" i="22"/>
  <c r="DB134" i="22"/>
  <c r="DC134" i="22"/>
  <c r="DD134" i="22"/>
  <c r="DE134" i="22"/>
  <c r="DF134" i="22"/>
  <c r="DG134" i="22"/>
  <c r="DH134" i="22"/>
  <c r="DI134" i="22"/>
  <c r="DJ134" i="22"/>
  <c r="DK134" i="22"/>
  <c r="DL134" i="22"/>
  <c r="DM134" i="22"/>
  <c r="DN134" i="22"/>
  <c r="DO134" i="22"/>
  <c r="DP134" i="22"/>
  <c r="DQ134" i="22"/>
  <c r="DR134" i="22"/>
  <c r="DS134" i="22"/>
  <c r="DT134" i="22"/>
  <c r="DU134" i="22"/>
  <c r="DV134" i="22"/>
  <c r="DW134" i="22"/>
  <c r="DX134" i="22"/>
  <c r="DY134" i="22"/>
  <c r="DZ134" i="22"/>
  <c r="EA134" i="22"/>
  <c r="EB134" i="22"/>
  <c r="EC134" i="22"/>
  <c r="ED134" i="22"/>
  <c r="EE134" i="22"/>
  <c r="EF134" i="22"/>
  <c r="EG134" i="22"/>
  <c r="EH134" i="22"/>
  <c r="EI134" i="22"/>
  <c r="EJ134" i="22"/>
  <c r="EK134" i="22"/>
  <c r="EL134" i="22"/>
  <c r="EM134" i="22"/>
  <c r="EN134" i="22"/>
  <c r="EO134" i="22"/>
  <c r="EP134" i="22"/>
  <c r="EQ134" i="22"/>
  <c r="ER134" i="22"/>
  <c r="ES134" i="22"/>
  <c r="ET134" i="22"/>
  <c r="EU134" i="22"/>
  <c r="EV134" i="22"/>
  <c r="EW134" i="22"/>
  <c r="EX134" i="22"/>
  <c r="EY134" i="22"/>
  <c r="EZ134" i="22"/>
  <c r="FA134" i="22"/>
  <c r="FB134" i="22"/>
  <c r="FC134" i="22"/>
  <c r="FD134" i="22"/>
  <c r="FE134" i="22"/>
  <c r="FF134" i="22"/>
  <c r="FG134" i="22"/>
  <c r="FH134" i="22"/>
  <c r="FI134" i="22"/>
  <c r="FJ134" i="22"/>
  <c r="FK134" i="22"/>
  <c r="FL134" i="22"/>
  <c r="FM134" i="22"/>
  <c r="FN134" i="22"/>
  <c r="FO134" i="22"/>
  <c r="FP134" i="22"/>
  <c r="FQ134" i="22"/>
  <c r="FR134" i="22"/>
  <c r="FS134" i="22"/>
  <c r="FT134" i="22"/>
  <c r="FU134" i="22"/>
  <c r="FV134" i="22"/>
  <c r="FW134" i="22"/>
  <c r="FX134" i="22"/>
  <c r="FY134" i="22"/>
  <c r="FZ134" i="22"/>
  <c r="GA134" i="22"/>
  <c r="GB134" i="22"/>
  <c r="GC134" i="22"/>
  <c r="GD134" i="22"/>
  <c r="GE134" i="22"/>
  <c r="GF134" i="22"/>
  <c r="GG134" i="22"/>
  <c r="GH134" i="22"/>
  <c r="GI134" i="22"/>
  <c r="GJ134" i="22"/>
  <c r="GK134" i="22"/>
  <c r="GL134" i="22"/>
  <c r="GM134" i="22"/>
  <c r="GN134" i="22"/>
  <c r="GO134" i="22"/>
  <c r="GP134" i="22"/>
  <c r="GQ134" i="22"/>
  <c r="GR134" i="22"/>
  <c r="GS134" i="22"/>
  <c r="GT134" i="22"/>
  <c r="GU134" i="22"/>
  <c r="GV134" i="22"/>
  <c r="GW134" i="22"/>
  <c r="GX134" i="22"/>
  <c r="GY134" i="22"/>
  <c r="GZ134" i="22"/>
  <c r="HA134" i="22"/>
  <c r="HB134" i="22"/>
  <c r="HC134" i="22"/>
  <c r="HD134" i="22"/>
  <c r="HE134" i="22"/>
  <c r="HF134" i="22"/>
  <c r="HG134" i="22"/>
  <c r="HH134" i="22"/>
  <c r="HI134" i="22"/>
  <c r="HJ134" i="22"/>
  <c r="HK134" i="22"/>
  <c r="HL134" i="22"/>
  <c r="HM134" i="22"/>
  <c r="HN134" i="22"/>
  <c r="HO134" i="22"/>
  <c r="HP134" i="22"/>
  <c r="HQ134" i="22"/>
  <c r="HR134" i="22"/>
  <c r="HS134" i="22"/>
  <c r="HT134" i="22"/>
  <c r="HU134" i="22"/>
  <c r="HV134" i="22"/>
  <c r="HW134" i="22"/>
  <c r="HX134" i="22"/>
  <c r="HY134" i="22"/>
  <c r="HZ134" i="22"/>
  <c r="IA134" i="22"/>
  <c r="IB134" i="22"/>
  <c r="IC134" i="22"/>
  <c r="ID134" i="22"/>
  <c r="IE134" i="22"/>
  <c r="IF134" i="22"/>
  <c r="IG134" i="22"/>
  <c r="IH134" i="22"/>
  <c r="II134" i="22"/>
  <c r="IJ134" i="22"/>
  <c r="IK134" i="22"/>
  <c r="IL134" i="22"/>
  <c r="IM134" i="22"/>
  <c r="IN134" i="22"/>
  <c r="IO134" i="22"/>
  <c r="IP134" i="22"/>
  <c r="IQ134" i="22"/>
  <c r="IR134" i="22"/>
  <c r="IS134" i="22"/>
  <c r="IT134" i="22"/>
  <c r="IU134" i="22"/>
  <c r="IV134" i="22"/>
  <c r="G135" i="22"/>
  <c r="H135" i="22"/>
  <c r="I135" i="22"/>
  <c r="J135" i="22"/>
  <c r="K135" i="22"/>
  <c r="L135" i="22"/>
  <c r="M135" i="22"/>
  <c r="N135" i="22"/>
  <c r="O135" i="22"/>
  <c r="P135" i="22"/>
  <c r="Q135" i="22"/>
  <c r="R135" i="22"/>
  <c r="S135" i="22"/>
  <c r="T135" i="22"/>
  <c r="U135" i="22"/>
  <c r="V135" i="22"/>
  <c r="W135" i="22"/>
  <c r="X135" i="22"/>
  <c r="Y135" i="22"/>
  <c r="Z135" i="22"/>
  <c r="AA135" i="22"/>
  <c r="AB135" i="22"/>
  <c r="AC135" i="22"/>
  <c r="AD135" i="22"/>
  <c r="AE135" i="22"/>
  <c r="AF135" i="22"/>
  <c r="AG135" i="22"/>
  <c r="AH135" i="22"/>
  <c r="AI135" i="22"/>
  <c r="AJ135" i="22"/>
  <c r="AK135" i="22"/>
  <c r="AL135" i="22"/>
  <c r="AM135" i="22"/>
  <c r="AN135" i="22"/>
  <c r="AO135" i="22"/>
  <c r="AP135" i="22"/>
  <c r="AQ135" i="22"/>
  <c r="AR135" i="22"/>
  <c r="AS135" i="22"/>
  <c r="AT135" i="22"/>
  <c r="AU135" i="22"/>
  <c r="AV135" i="22"/>
  <c r="AW135" i="22"/>
  <c r="AX135" i="22"/>
  <c r="AY135" i="22"/>
  <c r="AZ135" i="22"/>
  <c r="BA135" i="22"/>
  <c r="BB135" i="22"/>
  <c r="BC135" i="22"/>
  <c r="BD135" i="22"/>
  <c r="BE135" i="22"/>
  <c r="BF135" i="22"/>
  <c r="BG135" i="22"/>
  <c r="BH135" i="22"/>
  <c r="BI135" i="22"/>
  <c r="BJ135" i="22"/>
  <c r="BK135" i="22"/>
  <c r="BL135" i="22"/>
  <c r="BM135" i="22"/>
  <c r="BN135" i="22"/>
  <c r="BO135" i="22"/>
  <c r="BP135" i="22"/>
  <c r="BQ135" i="22"/>
  <c r="BR135" i="22"/>
  <c r="BS135" i="22"/>
  <c r="BT135" i="22"/>
  <c r="BU135" i="22"/>
  <c r="BV135" i="22"/>
  <c r="BW135" i="22"/>
  <c r="BX135" i="22"/>
  <c r="BY135" i="22"/>
  <c r="BZ135" i="22"/>
  <c r="CA135" i="22"/>
  <c r="CB135" i="22"/>
  <c r="CC135" i="22"/>
  <c r="CD135" i="22"/>
  <c r="CE135" i="22"/>
  <c r="CF135" i="22"/>
  <c r="CG135" i="22"/>
  <c r="CH135" i="22"/>
  <c r="CI135" i="22"/>
  <c r="CJ135" i="22"/>
  <c r="CK135" i="22"/>
  <c r="CL135" i="22"/>
  <c r="CM135" i="22"/>
  <c r="CN135" i="22"/>
  <c r="CO135" i="22"/>
  <c r="CP135" i="22"/>
  <c r="CQ135" i="22"/>
  <c r="CR135" i="22"/>
  <c r="CS135" i="22"/>
  <c r="CT135" i="22"/>
  <c r="CU135" i="22"/>
  <c r="CV135" i="22"/>
  <c r="CW135" i="22"/>
  <c r="CX135" i="22"/>
  <c r="CY135" i="22"/>
  <c r="CZ135" i="22"/>
  <c r="DA135" i="22"/>
  <c r="DB135" i="22"/>
  <c r="DC135" i="22"/>
  <c r="DD135" i="22"/>
  <c r="DE135" i="22"/>
  <c r="DF135" i="22"/>
  <c r="DG135" i="22"/>
  <c r="DH135" i="22"/>
  <c r="DI135" i="22"/>
  <c r="DJ135" i="22"/>
  <c r="DK135" i="22"/>
  <c r="DL135" i="22"/>
  <c r="DM135" i="22"/>
  <c r="DN135" i="22"/>
  <c r="DO135" i="22"/>
  <c r="DP135" i="22"/>
  <c r="DQ135" i="22"/>
  <c r="DR135" i="22"/>
  <c r="DS135" i="22"/>
  <c r="DT135" i="22"/>
  <c r="DU135" i="22"/>
  <c r="DV135" i="22"/>
  <c r="DW135" i="22"/>
  <c r="DX135" i="22"/>
  <c r="DY135" i="22"/>
  <c r="DZ135" i="22"/>
  <c r="EA135" i="22"/>
  <c r="EB135" i="22"/>
  <c r="EC135" i="22"/>
  <c r="ED135" i="22"/>
  <c r="EE135" i="22"/>
  <c r="EF135" i="22"/>
  <c r="EG135" i="22"/>
  <c r="EH135" i="22"/>
  <c r="EI135" i="22"/>
  <c r="EJ135" i="22"/>
  <c r="EK135" i="22"/>
  <c r="EL135" i="22"/>
  <c r="EM135" i="22"/>
  <c r="EN135" i="22"/>
  <c r="EO135" i="22"/>
  <c r="EP135" i="22"/>
  <c r="EQ135" i="22"/>
  <c r="ER135" i="22"/>
  <c r="ES135" i="22"/>
  <c r="ET135" i="22"/>
  <c r="EU135" i="22"/>
  <c r="EV135" i="22"/>
  <c r="EW135" i="22"/>
  <c r="EX135" i="22"/>
  <c r="EY135" i="22"/>
  <c r="EZ135" i="22"/>
  <c r="FA135" i="22"/>
  <c r="FB135" i="22"/>
  <c r="FC135" i="22"/>
  <c r="FD135" i="22"/>
  <c r="FE135" i="22"/>
  <c r="FF135" i="22"/>
  <c r="FG135" i="22"/>
  <c r="FH135" i="22"/>
  <c r="FI135" i="22"/>
  <c r="FJ135" i="22"/>
  <c r="FK135" i="22"/>
  <c r="FL135" i="22"/>
  <c r="FM135" i="22"/>
  <c r="FN135" i="22"/>
  <c r="FO135" i="22"/>
  <c r="FP135" i="22"/>
  <c r="FQ135" i="22"/>
  <c r="FR135" i="22"/>
  <c r="FS135" i="22"/>
  <c r="FT135" i="22"/>
  <c r="FU135" i="22"/>
  <c r="FV135" i="22"/>
  <c r="FW135" i="22"/>
  <c r="FX135" i="22"/>
  <c r="FY135" i="22"/>
  <c r="FZ135" i="22"/>
  <c r="GA135" i="22"/>
  <c r="GB135" i="22"/>
  <c r="GC135" i="22"/>
  <c r="GD135" i="22"/>
  <c r="GE135" i="22"/>
  <c r="GF135" i="22"/>
  <c r="GG135" i="22"/>
  <c r="GH135" i="22"/>
  <c r="GI135" i="22"/>
  <c r="GJ135" i="22"/>
  <c r="GK135" i="22"/>
  <c r="GL135" i="22"/>
  <c r="GM135" i="22"/>
  <c r="GN135" i="22"/>
  <c r="GO135" i="22"/>
  <c r="GP135" i="22"/>
  <c r="GQ135" i="22"/>
  <c r="GR135" i="22"/>
  <c r="GS135" i="22"/>
  <c r="GT135" i="22"/>
  <c r="GU135" i="22"/>
  <c r="GV135" i="22"/>
  <c r="GW135" i="22"/>
  <c r="GX135" i="22"/>
  <c r="GY135" i="22"/>
  <c r="GZ135" i="22"/>
  <c r="HA135" i="22"/>
  <c r="HB135" i="22"/>
  <c r="HC135" i="22"/>
  <c r="HD135" i="22"/>
  <c r="HE135" i="22"/>
  <c r="HF135" i="22"/>
  <c r="HG135" i="22"/>
  <c r="HH135" i="22"/>
  <c r="HI135" i="22"/>
  <c r="HJ135" i="22"/>
  <c r="HK135" i="22"/>
  <c r="HL135" i="22"/>
  <c r="HM135" i="22"/>
  <c r="HN135" i="22"/>
  <c r="HO135" i="22"/>
  <c r="HP135" i="22"/>
  <c r="HQ135" i="22"/>
  <c r="HR135" i="22"/>
  <c r="HS135" i="22"/>
  <c r="HT135" i="22"/>
  <c r="HU135" i="22"/>
  <c r="HV135" i="22"/>
  <c r="HW135" i="22"/>
  <c r="HX135" i="22"/>
  <c r="HY135" i="22"/>
  <c r="HZ135" i="22"/>
  <c r="IA135" i="22"/>
  <c r="IB135" i="22"/>
  <c r="IC135" i="22"/>
  <c r="ID135" i="22"/>
  <c r="IE135" i="22"/>
  <c r="IF135" i="22"/>
  <c r="IG135" i="22"/>
  <c r="IH135" i="22"/>
  <c r="II135" i="22"/>
  <c r="IJ135" i="22"/>
  <c r="IK135" i="22"/>
  <c r="IL135" i="22"/>
  <c r="IM135" i="22"/>
  <c r="IN135" i="22"/>
  <c r="IO135" i="22"/>
  <c r="IP135" i="22"/>
  <c r="IQ135" i="22"/>
  <c r="IR135" i="22"/>
  <c r="IS135" i="22"/>
  <c r="IT135" i="22"/>
  <c r="IU135" i="22"/>
  <c r="IV135" i="22"/>
  <c r="G136" i="22"/>
  <c r="H136" i="22"/>
  <c r="I136" i="22"/>
  <c r="J136" i="22"/>
  <c r="K136" i="22"/>
  <c r="L136" i="22"/>
  <c r="M136" i="22"/>
  <c r="N136" i="22"/>
  <c r="O136" i="22"/>
  <c r="P136" i="22"/>
  <c r="Q136" i="22"/>
  <c r="R136" i="22"/>
  <c r="S136" i="22"/>
  <c r="T136" i="22"/>
  <c r="U136" i="22"/>
  <c r="V136" i="22"/>
  <c r="W136" i="22"/>
  <c r="X136" i="22"/>
  <c r="Y136" i="22"/>
  <c r="Z136" i="22"/>
  <c r="AA136" i="22"/>
  <c r="AB136" i="22"/>
  <c r="AC136" i="22"/>
  <c r="AD136" i="22"/>
  <c r="AE136" i="22"/>
  <c r="AF136" i="22"/>
  <c r="AG136" i="22"/>
  <c r="AH136" i="22"/>
  <c r="AI136" i="22"/>
  <c r="AJ136" i="22"/>
  <c r="AK136" i="22"/>
  <c r="AL136" i="22"/>
  <c r="AM136" i="22"/>
  <c r="AN136" i="22"/>
  <c r="AO136" i="22"/>
  <c r="AP136" i="22"/>
  <c r="AQ136" i="22"/>
  <c r="AR136" i="22"/>
  <c r="AS136" i="22"/>
  <c r="AT136" i="22"/>
  <c r="AU136" i="22"/>
  <c r="AV136" i="22"/>
  <c r="AW136" i="22"/>
  <c r="AX136" i="22"/>
  <c r="AY136" i="22"/>
  <c r="AZ136" i="22"/>
  <c r="BA136" i="22"/>
  <c r="BB136" i="22"/>
  <c r="BC136" i="22"/>
  <c r="BD136" i="22"/>
  <c r="BE136" i="22"/>
  <c r="BF136" i="22"/>
  <c r="BG136" i="22"/>
  <c r="BH136" i="22"/>
  <c r="BI136" i="22"/>
  <c r="BJ136" i="22"/>
  <c r="BK136" i="22"/>
  <c r="BL136" i="22"/>
  <c r="BM136" i="22"/>
  <c r="BN136" i="22"/>
  <c r="BO136" i="22"/>
  <c r="BP136" i="22"/>
  <c r="BQ136" i="22"/>
  <c r="BR136" i="22"/>
  <c r="BS136" i="22"/>
  <c r="BT136" i="22"/>
  <c r="BU136" i="22"/>
  <c r="BV136" i="22"/>
  <c r="BW136" i="22"/>
  <c r="BX136" i="22"/>
  <c r="BY136" i="22"/>
  <c r="BZ136" i="22"/>
  <c r="CA136" i="22"/>
  <c r="CB136" i="22"/>
  <c r="CC136" i="22"/>
  <c r="CD136" i="22"/>
  <c r="CE136" i="22"/>
  <c r="CF136" i="22"/>
  <c r="CG136" i="22"/>
  <c r="CH136" i="22"/>
  <c r="CI136" i="22"/>
  <c r="CJ136" i="22"/>
  <c r="CK136" i="22"/>
  <c r="CL136" i="22"/>
  <c r="CM136" i="22"/>
  <c r="CN136" i="22"/>
  <c r="CO136" i="22"/>
  <c r="CP136" i="22"/>
  <c r="CQ136" i="22"/>
  <c r="CR136" i="22"/>
  <c r="CS136" i="22"/>
  <c r="CT136" i="22"/>
  <c r="CU136" i="22"/>
  <c r="CV136" i="22"/>
  <c r="CW136" i="22"/>
  <c r="CX136" i="22"/>
  <c r="CY136" i="22"/>
  <c r="CZ136" i="22"/>
  <c r="DA136" i="22"/>
  <c r="DB136" i="22"/>
  <c r="DC136" i="22"/>
  <c r="DD136" i="22"/>
  <c r="DE136" i="22"/>
  <c r="DF136" i="22"/>
  <c r="DG136" i="22"/>
  <c r="DH136" i="22"/>
  <c r="DI136" i="22"/>
  <c r="DJ136" i="22"/>
  <c r="DK136" i="22"/>
  <c r="DL136" i="22"/>
  <c r="DM136" i="22"/>
  <c r="DN136" i="22"/>
  <c r="DO136" i="22"/>
  <c r="DP136" i="22"/>
  <c r="DQ136" i="22"/>
  <c r="DR136" i="22"/>
  <c r="DS136" i="22"/>
  <c r="DT136" i="22"/>
  <c r="DU136" i="22"/>
  <c r="DV136" i="22"/>
  <c r="DW136" i="22"/>
  <c r="DX136" i="22"/>
  <c r="DY136" i="22"/>
  <c r="DZ136" i="22"/>
  <c r="EA136" i="22"/>
  <c r="EB136" i="22"/>
  <c r="EC136" i="22"/>
  <c r="ED136" i="22"/>
  <c r="EE136" i="22"/>
  <c r="EF136" i="22"/>
  <c r="EG136" i="22"/>
  <c r="EH136" i="22"/>
  <c r="EI136" i="22"/>
  <c r="EJ136" i="22"/>
  <c r="EK136" i="22"/>
  <c r="EL136" i="22"/>
  <c r="EM136" i="22"/>
  <c r="EN136" i="22"/>
  <c r="EO136" i="22"/>
  <c r="EP136" i="22"/>
  <c r="EQ136" i="22"/>
  <c r="ER136" i="22"/>
  <c r="ES136" i="22"/>
  <c r="ET136" i="22"/>
  <c r="EU136" i="22"/>
  <c r="EV136" i="22"/>
  <c r="EW136" i="22"/>
  <c r="EX136" i="22"/>
  <c r="EY136" i="22"/>
  <c r="EZ136" i="22"/>
  <c r="FA136" i="22"/>
  <c r="FB136" i="22"/>
  <c r="FC136" i="22"/>
  <c r="FD136" i="22"/>
  <c r="FE136" i="22"/>
  <c r="FF136" i="22"/>
  <c r="FG136" i="22"/>
  <c r="FH136" i="22"/>
  <c r="FI136" i="22"/>
  <c r="FJ136" i="22"/>
  <c r="FK136" i="22"/>
  <c r="FL136" i="22"/>
  <c r="FM136" i="22"/>
  <c r="FN136" i="22"/>
  <c r="FO136" i="22"/>
  <c r="FP136" i="22"/>
  <c r="FQ136" i="22"/>
  <c r="FR136" i="22"/>
  <c r="FS136" i="22"/>
  <c r="FT136" i="22"/>
  <c r="FU136" i="22"/>
  <c r="FV136" i="22"/>
  <c r="FW136" i="22"/>
  <c r="FX136" i="22"/>
  <c r="FY136" i="22"/>
  <c r="FZ136" i="22"/>
  <c r="GA136" i="22"/>
  <c r="GB136" i="22"/>
  <c r="GC136" i="22"/>
  <c r="GD136" i="22"/>
  <c r="GE136" i="22"/>
  <c r="GF136" i="22"/>
  <c r="GG136" i="22"/>
  <c r="GH136" i="22"/>
  <c r="GI136" i="22"/>
  <c r="GJ136" i="22"/>
  <c r="GK136" i="22"/>
  <c r="GL136" i="22"/>
  <c r="GM136" i="22"/>
  <c r="GN136" i="22"/>
  <c r="GO136" i="22"/>
  <c r="GP136" i="22"/>
  <c r="GQ136" i="22"/>
  <c r="GR136" i="22"/>
  <c r="GS136" i="22"/>
  <c r="GT136" i="22"/>
  <c r="GU136" i="22"/>
  <c r="GV136" i="22"/>
  <c r="GW136" i="22"/>
  <c r="GX136" i="22"/>
  <c r="GY136" i="22"/>
  <c r="GZ136" i="22"/>
  <c r="HA136" i="22"/>
  <c r="HB136" i="22"/>
  <c r="HC136" i="22"/>
  <c r="HD136" i="22"/>
  <c r="HE136" i="22"/>
  <c r="HF136" i="22"/>
  <c r="HG136" i="22"/>
  <c r="HH136" i="22"/>
  <c r="HI136" i="22"/>
  <c r="HJ136" i="22"/>
  <c r="HK136" i="22"/>
  <c r="HL136" i="22"/>
  <c r="HM136" i="22"/>
  <c r="HN136" i="22"/>
  <c r="HO136" i="22"/>
  <c r="HP136" i="22"/>
  <c r="HQ136" i="22"/>
  <c r="HR136" i="22"/>
  <c r="HS136" i="22"/>
  <c r="HT136" i="22"/>
  <c r="HU136" i="22"/>
  <c r="HV136" i="22"/>
  <c r="HW136" i="22"/>
  <c r="HX136" i="22"/>
  <c r="HY136" i="22"/>
  <c r="HZ136" i="22"/>
  <c r="IA136" i="22"/>
  <c r="IB136" i="22"/>
  <c r="IC136" i="22"/>
  <c r="ID136" i="22"/>
  <c r="IE136" i="22"/>
  <c r="IF136" i="22"/>
  <c r="IG136" i="22"/>
  <c r="IH136" i="22"/>
  <c r="II136" i="22"/>
  <c r="IJ136" i="22"/>
  <c r="IK136" i="22"/>
  <c r="IL136" i="22"/>
  <c r="IM136" i="22"/>
  <c r="IN136" i="22"/>
  <c r="IO136" i="22"/>
  <c r="IP136" i="22"/>
  <c r="IQ136" i="22"/>
  <c r="IR136" i="22"/>
  <c r="IS136" i="22"/>
  <c r="IT136" i="22"/>
  <c r="IU136" i="22"/>
  <c r="IV136" i="22"/>
  <c r="G137" i="22"/>
  <c r="H137" i="22"/>
  <c r="I137" i="22"/>
  <c r="J137" i="22"/>
  <c r="K137" i="22"/>
  <c r="L137" i="22"/>
  <c r="M137" i="22"/>
  <c r="M153" i="22" s="1"/>
  <c r="N137" i="22"/>
  <c r="O137" i="22"/>
  <c r="P137" i="22"/>
  <c r="Q137" i="22"/>
  <c r="R137" i="22"/>
  <c r="S137" i="22"/>
  <c r="T137" i="22"/>
  <c r="U137" i="22"/>
  <c r="V137" i="22"/>
  <c r="W137" i="22"/>
  <c r="X137" i="22"/>
  <c r="Y137" i="22"/>
  <c r="Z137" i="22"/>
  <c r="AA137" i="22"/>
  <c r="AB137" i="22"/>
  <c r="AC137" i="22"/>
  <c r="AD137" i="22"/>
  <c r="AE137" i="22"/>
  <c r="AF137" i="22"/>
  <c r="AG137" i="22"/>
  <c r="AH137" i="22"/>
  <c r="AI137" i="22"/>
  <c r="AJ137" i="22"/>
  <c r="AK137" i="22"/>
  <c r="AL137" i="22"/>
  <c r="AM137" i="22"/>
  <c r="AN137" i="22"/>
  <c r="AO137" i="22"/>
  <c r="AP137" i="22"/>
  <c r="AQ137" i="22"/>
  <c r="AR137" i="22"/>
  <c r="AS137" i="22"/>
  <c r="AT137" i="22"/>
  <c r="AU137" i="22"/>
  <c r="AV137" i="22"/>
  <c r="AW137" i="22"/>
  <c r="AX137" i="22"/>
  <c r="AY137" i="22"/>
  <c r="AZ137" i="22"/>
  <c r="BA137" i="22"/>
  <c r="BB137" i="22"/>
  <c r="BC137" i="22"/>
  <c r="BD137" i="22"/>
  <c r="BE137" i="22"/>
  <c r="BF137" i="22"/>
  <c r="BG137" i="22"/>
  <c r="BH137" i="22"/>
  <c r="BI137" i="22"/>
  <c r="BJ137" i="22"/>
  <c r="BK137" i="22"/>
  <c r="BL137" i="22"/>
  <c r="BM137" i="22"/>
  <c r="BN137" i="22"/>
  <c r="BO137" i="22"/>
  <c r="BP137" i="22"/>
  <c r="BQ137" i="22"/>
  <c r="BR137" i="22"/>
  <c r="BS137" i="22"/>
  <c r="BT137" i="22"/>
  <c r="BU137" i="22"/>
  <c r="BV137" i="22"/>
  <c r="BW137" i="22"/>
  <c r="BX137" i="22"/>
  <c r="BY137" i="22"/>
  <c r="BZ137" i="22"/>
  <c r="CA137" i="22"/>
  <c r="CB137" i="22"/>
  <c r="CC137" i="22"/>
  <c r="CD137" i="22"/>
  <c r="CE137" i="22"/>
  <c r="CF137" i="22"/>
  <c r="CG137" i="22"/>
  <c r="CH137" i="22"/>
  <c r="CI137" i="22"/>
  <c r="CJ137" i="22"/>
  <c r="CK137" i="22"/>
  <c r="CL137" i="22"/>
  <c r="CM137" i="22"/>
  <c r="CN137" i="22"/>
  <c r="CO137" i="22"/>
  <c r="CP137" i="22"/>
  <c r="CQ137" i="22"/>
  <c r="CR137" i="22"/>
  <c r="CS137" i="22"/>
  <c r="CT137" i="22"/>
  <c r="CU137" i="22"/>
  <c r="CV137" i="22"/>
  <c r="CW137" i="22"/>
  <c r="CX137" i="22"/>
  <c r="CY137" i="22"/>
  <c r="CZ137" i="22"/>
  <c r="DA137" i="22"/>
  <c r="DB137" i="22"/>
  <c r="DC137" i="22"/>
  <c r="DD137" i="22"/>
  <c r="DE137" i="22"/>
  <c r="DF137" i="22"/>
  <c r="DG137" i="22"/>
  <c r="DH137" i="22"/>
  <c r="DI137" i="22"/>
  <c r="DJ137" i="22"/>
  <c r="DK137" i="22"/>
  <c r="DL137" i="22"/>
  <c r="DM137" i="22"/>
  <c r="DN137" i="22"/>
  <c r="DO137" i="22"/>
  <c r="DP137" i="22"/>
  <c r="DQ137" i="22"/>
  <c r="DR137" i="22"/>
  <c r="DS137" i="22"/>
  <c r="DT137" i="22"/>
  <c r="DU137" i="22"/>
  <c r="DV137" i="22"/>
  <c r="DW137" i="22"/>
  <c r="DX137" i="22"/>
  <c r="DY137" i="22"/>
  <c r="DZ137" i="22"/>
  <c r="EA137" i="22"/>
  <c r="EB137" i="22"/>
  <c r="EC137" i="22"/>
  <c r="ED137" i="22"/>
  <c r="EE137" i="22"/>
  <c r="EF137" i="22"/>
  <c r="EG137" i="22"/>
  <c r="EH137" i="22"/>
  <c r="EI137" i="22"/>
  <c r="EJ137" i="22"/>
  <c r="EK137" i="22"/>
  <c r="EL137" i="22"/>
  <c r="EM137" i="22"/>
  <c r="EN137" i="22"/>
  <c r="EO137" i="22"/>
  <c r="EP137" i="22"/>
  <c r="EQ137" i="22"/>
  <c r="ER137" i="22"/>
  <c r="ES137" i="22"/>
  <c r="ET137" i="22"/>
  <c r="EU137" i="22"/>
  <c r="EV137" i="22"/>
  <c r="EW137" i="22"/>
  <c r="EX137" i="22"/>
  <c r="EY137" i="22"/>
  <c r="EZ137" i="22"/>
  <c r="FA137" i="22"/>
  <c r="FB137" i="22"/>
  <c r="FC137" i="22"/>
  <c r="FD137" i="22"/>
  <c r="FE137" i="22"/>
  <c r="FF137" i="22"/>
  <c r="FG137" i="22"/>
  <c r="FH137" i="22"/>
  <c r="FI137" i="22"/>
  <c r="FJ137" i="22"/>
  <c r="FK137" i="22"/>
  <c r="FL137" i="22"/>
  <c r="FM137" i="22"/>
  <c r="FN137" i="22"/>
  <c r="FO137" i="22"/>
  <c r="FP137" i="22"/>
  <c r="FQ137" i="22"/>
  <c r="FR137" i="22"/>
  <c r="FS137" i="22"/>
  <c r="FT137" i="22"/>
  <c r="FU137" i="22"/>
  <c r="FV137" i="22"/>
  <c r="FW137" i="22"/>
  <c r="FX137" i="22"/>
  <c r="FY137" i="22"/>
  <c r="FZ137" i="22"/>
  <c r="GA137" i="22"/>
  <c r="GB137" i="22"/>
  <c r="GC137" i="22"/>
  <c r="GD137" i="22"/>
  <c r="GE137" i="22"/>
  <c r="GF137" i="22"/>
  <c r="GG137" i="22"/>
  <c r="GH137" i="22"/>
  <c r="GI137" i="22"/>
  <c r="GJ137" i="22"/>
  <c r="GK137" i="22"/>
  <c r="GL137" i="22"/>
  <c r="GM137" i="22"/>
  <c r="GN137" i="22"/>
  <c r="GO137" i="22"/>
  <c r="GP137" i="22"/>
  <c r="GQ137" i="22"/>
  <c r="GR137" i="22"/>
  <c r="GS137" i="22"/>
  <c r="GT137" i="22"/>
  <c r="GU137" i="22"/>
  <c r="GV137" i="22"/>
  <c r="GW137" i="22"/>
  <c r="GX137" i="22"/>
  <c r="GY137" i="22"/>
  <c r="GZ137" i="22"/>
  <c r="HA137" i="22"/>
  <c r="HB137" i="22"/>
  <c r="HC137" i="22"/>
  <c r="HD137" i="22"/>
  <c r="HE137" i="22"/>
  <c r="HF137" i="22"/>
  <c r="HG137" i="22"/>
  <c r="HH137" i="22"/>
  <c r="HI137" i="22"/>
  <c r="HJ137" i="22"/>
  <c r="HK137" i="22"/>
  <c r="HL137" i="22"/>
  <c r="HM137" i="22"/>
  <c r="HN137" i="22"/>
  <c r="HO137" i="22"/>
  <c r="HP137" i="22"/>
  <c r="HQ137" i="22"/>
  <c r="HR137" i="22"/>
  <c r="HS137" i="22"/>
  <c r="HT137" i="22"/>
  <c r="HU137" i="22"/>
  <c r="HV137" i="22"/>
  <c r="HW137" i="22"/>
  <c r="HX137" i="22"/>
  <c r="HY137" i="22"/>
  <c r="HZ137" i="22"/>
  <c r="IA137" i="22"/>
  <c r="IB137" i="22"/>
  <c r="IC137" i="22"/>
  <c r="ID137" i="22"/>
  <c r="IE137" i="22"/>
  <c r="IF137" i="22"/>
  <c r="IG137" i="22"/>
  <c r="IH137" i="22"/>
  <c r="II137" i="22"/>
  <c r="IJ137" i="22"/>
  <c r="IK137" i="22"/>
  <c r="IL137" i="22"/>
  <c r="IM137" i="22"/>
  <c r="IN137" i="22"/>
  <c r="IO137" i="22"/>
  <c r="IP137" i="22"/>
  <c r="IQ137" i="22"/>
  <c r="IR137" i="22"/>
  <c r="IS137" i="22"/>
  <c r="IT137" i="22"/>
  <c r="IU137" i="22"/>
  <c r="IV137" i="22"/>
  <c r="G138" i="22"/>
  <c r="H138" i="22"/>
  <c r="I138" i="22"/>
  <c r="J138" i="22"/>
  <c r="K138" i="22"/>
  <c r="L138" i="22"/>
  <c r="M138" i="22"/>
  <c r="N138" i="22"/>
  <c r="O138" i="22"/>
  <c r="P138" i="22"/>
  <c r="Q138" i="22"/>
  <c r="R138" i="22"/>
  <c r="S138" i="22"/>
  <c r="T138" i="22"/>
  <c r="U138" i="22"/>
  <c r="V138" i="22"/>
  <c r="W138" i="22"/>
  <c r="X138" i="22"/>
  <c r="Y138" i="22"/>
  <c r="Z138" i="22"/>
  <c r="AA138" i="22"/>
  <c r="AB138" i="22"/>
  <c r="AC138" i="22"/>
  <c r="AD138" i="22"/>
  <c r="AE138" i="22"/>
  <c r="AF138" i="22"/>
  <c r="AG138" i="22"/>
  <c r="AH138" i="22"/>
  <c r="AI138" i="22"/>
  <c r="AJ138" i="22"/>
  <c r="AK138" i="22"/>
  <c r="AL138" i="22"/>
  <c r="AM138" i="22"/>
  <c r="AN138" i="22"/>
  <c r="AO138" i="22"/>
  <c r="AP138" i="22"/>
  <c r="AQ138" i="22"/>
  <c r="AR138" i="22"/>
  <c r="AS138" i="22"/>
  <c r="AT138" i="22"/>
  <c r="AU138" i="22"/>
  <c r="AV138" i="22"/>
  <c r="AW138" i="22"/>
  <c r="AX138" i="22"/>
  <c r="AY138" i="22"/>
  <c r="AZ138" i="22"/>
  <c r="BA138" i="22"/>
  <c r="BB138" i="22"/>
  <c r="BC138" i="22"/>
  <c r="BD138" i="22"/>
  <c r="BE138" i="22"/>
  <c r="BF138" i="22"/>
  <c r="BG138" i="22"/>
  <c r="BH138" i="22"/>
  <c r="BI138" i="22"/>
  <c r="BJ138" i="22"/>
  <c r="BK138" i="22"/>
  <c r="BL138" i="22"/>
  <c r="BM138" i="22"/>
  <c r="BN138" i="22"/>
  <c r="BO138" i="22"/>
  <c r="BP138" i="22"/>
  <c r="BQ138" i="22"/>
  <c r="BR138" i="22"/>
  <c r="BS138" i="22"/>
  <c r="BT138" i="22"/>
  <c r="BU138" i="22"/>
  <c r="BV138" i="22"/>
  <c r="BW138" i="22"/>
  <c r="BX138" i="22"/>
  <c r="BY138" i="22"/>
  <c r="BZ138" i="22"/>
  <c r="CA138" i="22"/>
  <c r="CB138" i="22"/>
  <c r="CC138" i="22"/>
  <c r="CD138" i="22"/>
  <c r="CE138" i="22"/>
  <c r="CF138" i="22"/>
  <c r="CG138" i="22"/>
  <c r="CH138" i="22"/>
  <c r="CI138" i="22"/>
  <c r="CJ138" i="22"/>
  <c r="CK138" i="22"/>
  <c r="CL138" i="22"/>
  <c r="CM138" i="22"/>
  <c r="CN138" i="22"/>
  <c r="CO138" i="22"/>
  <c r="CP138" i="22"/>
  <c r="CQ138" i="22"/>
  <c r="CR138" i="22"/>
  <c r="CS138" i="22"/>
  <c r="CT138" i="22"/>
  <c r="CU138" i="22"/>
  <c r="CV138" i="22"/>
  <c r="CW138" i="22"/>
  <c r="CX138" i="22"/>
  <c r="CY138" i="22"/>
  <c r="CZ138" i="22"/>
  <c r="DA138" i="22"/>
  <c r="DB138" i="22"/>
  <c r="DC138" i="22"/>
  <c r="DD138" i="22"/>
  <c r="DE138" i="22"/>
  <c r="DF138" i="22"/>
  <c r="DG138" i="22"/>
  <c r="DH138" i="22"/>
  <c r="DI138" i="22"/>
  <c r="DJ138" i="22"/>
  <c r="DK138" i="22"/>
  <c r="DL138" i="22"/>
  <c r="DM138" i="22"/>
  <c r="DN138" i="22"/>
  <c r="DO138" i="22"/>
  <c r="DP138" i="22"/>
  <c r="DQ138" i="22"/>
  <c r="DR138" i="22"/>
  <c r="DS138" i="22"/>
  <c r="DT138" i="22"/>
  <c r="DU138" i="22"/>
  <c r="DV138" i="22"/>
  <c r="DW138" i="22"/>
  <c r="DX138" i="22"/>
  <c r="DY138" i="22"/>
  <c r="DZ138" i="22"/>
  <c r="EA138" i="22"/>
  <c r="EB138" i="22"/>
  <c r="EC138" i="22"/>
  <c r="ED138" i="22"/>
  <c r="EE138" i="22"/>
  <c r="EF138" i="22"/>
  <c r="EG138" i="22"/>
  <c r="EH138" i="22"/>
  <c r="EI138" i="22"/>
  <c r="EJ138" i="22"/>
  <c r="EK138" i="22"/>
  <c r="EL138" i="22"/>
  <c r="EM138" i="22"/>
  <c r="EN138" i="22"/>
  <c r="EO138" i="22"/>
  <c r="EP138" i="22"/>
  <c r="EQ138" i="22"/>
  <c r="ER138" i="22"/>
  <c r="ES138" i="22"/>
  <c r="ET138" i="22"/>
  <c r="EU138" i="22"/>
  <c r="EV138" i="22"/>
  <c r="EW138" i="22"/>
  <c r="EX138" i="22"/>
  <c r="EY138" i="22"/>
  <c r="EZ138" i="22"/>
  <c r="FA138" i="22"/>
  <c r="FB138" i="22"/>
  <c r="FC138" i="22"/>
  <c r="FD138" i="22"/>
  <c r="FE138" i="22"/>
  <c r="FF138" i="22"/>
  <c r="FG138" i="22"/>
  <c r="FH138" i="22"/>
  <c r="FI138" i="22"/>
  <c r="FJ138" i="22"/>
  <c r="FK138" i="22"/>
  <c r="FL138" i="22"/>
  <c r="FM138" i="22"/>
  <c r="FN138" i="22"/>
  <c r="FO138" i="22"/>
  <c r="FP138" i="22"/>
  <c r="FQ138" i="22"/>
  <c r="FR138" i="22"/>
  <c r="FS138" i="22"/>
  <c r="FT138" i="22"/>
  <c r="FU138" i="22"/>
  <c r="FV138" i="22"/>
  <c r="FW138" i="22"/>
  <c r="FX138" i="22"/>
  <c r="FY138" i="22"/>
  <c r="FZ138" i="22"/>
  <c r="GA138" i="22"/>
  <c r="GB138" i="22"/>
  <c r="GC138" i="22"/>
  <c r="GD138" i="22"/>
  <c r="GE138" i="22"/>
  <c r="GF138" i="22"/>
  <c r="GG138" i="22"/>
  <c r="GH138" i="22"/>
  <c r="GI138" i="22"/>
  <c r="GJ138" i="22"/>
  <c r="GK138" i="22"/>
  <c r="GL138" i="22"/>
  <c r="GM138" i="22"/>
  <c r="GN138" i="22"/>
  <c r="GO138" i="22"/>
  <c r="GP138" i="22"/>
  <c r="GQ138" i="22"/>
  <c r="GR138" i="22"/>
  <c r="GS138" i="22"/>
  <c r="GT138" i="22"/>
  <c r="GU138" i="22"/>
  <c r="GV138" i="22"/>
  <c r="GW138" i="22"/>
  <c r="GX138" i="22"/>
  <c r="GY138" i="22"/>
  <c r="GZ138" i="22"/>
  <c r="HA138" i="22"/>
  <c r="HB138" i="22"/>
  <c r="HC138" i="22"/>
  <c r="HD138" i="22"/>
  <c r="HE138" i="22"/>
  <c r="HF138" i="22"/>
  <c r="HG138" i="22"/>
  <c r="HH138" i="22"/>
  <c r="HI138" i="22"/>
  <c r="HJ138" i="22"/>
  <c r="HK138" i="22"/>
  <c r="HL138" i="22"/>
  <c r="HM138" i="22"/>
  <c r="HN138" i="22"/>
  <c r="HO138" i="22"/>
  <c r="HP138" i="22"/>
  <c r="HQ138" i="22"/>
  <c r="HR138" i="22"/>
  <c r="HS138" i="22"/>
  <c r="HT138" i="22"/>
  <c r="HU138" i="22"/>
  <c r="HV138" i="22"/>
  <c r="HW138" i="22"/>
  <c r="HX138" i="22"/>
  <c r="HY138" i="22"/>
  <c r="HZ138" i="22"/>
  <c r="IA138" i="22"/>
  <c r="IB138" i="22"/>
  <c r="IC138" i="22"/>
  <c r="ID138" i="22"/>
  <c r="IE138" i="22"/>
  <c r="IF138" i="22"/>
  <c r="IG138" i="22"/>
  <c r="IH138" i="22"/>
  <c r="II138" i="22"/>
  <c r="IJ138" i="22"/>
  <c r="IK138" i="22"/>
  <c r="IL138" i="22"/>
  <c r="IM138" i="22"/>
  <c r="IN138" i="22"/>
  <c r="IO138" i="22"/>
  <c r="IP138" i="22"/>
  <c r="IQ138" i="22"/>
  <c r="IR138" i="22"/>
  <c r="IS138" i="22"/>
  <c r="IT138" i="22"/>
  <c r="IU138" i="22"/>
  <c r="IV138" i="22"/>
  <c r="G139" i="22"/>
  <c r="G153" i="22" s="1"/>
  <c r="H139" i="22"/>
  <c r="I139" i="22"/>
  <c r="J139" i="22"/>
  <c r="K139" i="22"/>
  <c r="L139" i="22"/>
  <c r="M139" i="22"/>
  <c r="N139" i="22"/>
  <c r="O139" i="22"/>
  <c r="P139" i="22"/>
  <c r="Q139" i="22"/>
  <c r="R139" i="22"/>
  <c r="S139" i="22"/>
  <c r="T139" i="22"/>
  <c r="U139" i="22"/>
  <c r="V139" i="22"/>
  <c r="W139" i="22"/>
  <c r="X139" i="22"/>
  <c r="Y139" i="22"/>
  <c r="Z139" i="22"/>
  <c r="AA139" i="22"/>
  <c r="AB139" i="22"/>
  <c r="AC139" i="22"/>
  <c r="AD139" i="22"/>
  <c r="AE139" i="22"/>
  <c r="AF139" i="22"/>
  <c r="AG139" i="22"/>
  <c r="AH139" i="22"/>
  <c r="AI139" i="22"/>
  <c r="AJ139" i="22"/>
  <c r="AK139" i="22"/>
  <c r="AL139" i="22"/>
  <c r="AM139" i="22"/>
  <c r="AN139" i="22"/>
  <c r="AO139" i="22"/>
  <c r="AP139" i="22"/>
  <c r="AQ139" i="22"/>
  <c r="AR139" i="22"/>
  <c r="AS139" i="22"/>
  <c r="AT139" i="22"/>
  <c r="AU139" i="22"/>
  <c r="AV139" i="22"/>
  <c r="AW139" i="22"/>
  <c r="AX139" i="22"/>
  <c r="AY139" i="22"/>
  <c r="AZ139" i="22"/>
  <c r="BA139" i="22"/>
  <c r="BB139" i="22"/>
  <c r="BC139" i="22"/>
  <c r="BD139" i="22"/>
  <c r="BE139" i="22"/>
  <c r="BF139" i="22"/>
  <c r="BG139" i="22"/>
  <c r="BH139" i="22"/>
  <c r="BI139" i="22"/>
  <c r="BJ139" i="22"/>
  <c r="BK139" i="22"/>
  <c r="BL139" i="22"/>
  <c r="BM139" i="22"/>
  <c r="BN139" i="22"/>
  <c r="BO139" i="22"/>
  <c r="BP139" i="22"/>
  <c r="BQ139" i="22"/>
  <c r="BR139" i="22"/>
  <c r="BS139" i="22"/>
  <c r="BT139" i="22"/>
  <c r="BU139" i="22"/>
  <c r="BV139" i="22"/>
  <c r="BW139" i="22"/>
  <c r="BX139" i="22"/>
  <c r="BY139" i="22"/>
  <c r="BZ139" i="22"/>
  <c r="CA139" i="22"/>
  <c r="CB139" i="22"/>
  <c r="CC139" i="22"/>
  <c r="CD139" i="22"/>
  <c r="CE139" i="22"/>
  <c r="CF139" i="22"/>
  <c r="CG139" i="22"/>
  <c r="CH139" i="22"/>
  <c r="CI139" i="22"/>
  <c r="CJ139" i="22"/>
  <c r="CK139" i="22"/>
  <c r="CL139" i="22"/>
  <c r="CM139" i="22"/>
  <c r="CN139" i="22"/>
  <c r="CO139" i="22"/>
  <c r="CP139" i="22"/>
  <c r="CQ139" i="22"/>
  <c r="CR139" i="22"/>
  <c r="CS139" i="22"/>
  <c r="CT139" i="22"/>
  <c r="CU139" i="22"/>
  <c r="CV139" i="22"/>
  <c r="CW139" i="22"/>
  <c r="CX139" i="22"/>
  <c r="CY139" i="22"/>
  <c r="CZ139" i="22"/>
  <c r="DA139" i="22"/>
  <c r="DB139" i="22"/>
  <c r="DC139" i="22"/>
  <c r="DD139" i="22"/>
  <c r="DE139" i="22"/>
  <c r="DF139" i="22"/>
  <c r="DG139" i="22"/>
  <c r="DH139" i="22"/>
  <c r="DI139" i="22"/>
  <c r="DJ139" i="22"/>
  <c r="DK139" i="22"/>
  <c r="DL139" i="22"/>
  <c r="DM139" i="22"/>
  <c r="DN139" i="22"/>
  <c r="DO139" i="22"/>
  <c r="DP139" i="22"/>
  <c r="DQ139" i="22"/>
  <c r="DR139" i="22"/>
  <c r="DS139" i="22"/>
  <c r="DT139" i="22"/>
  <c r="DU139" i="22"/>
  <c r="DV139" i="22"/>
  <c r="DW139" i="22"/>
  <c r="DX139" i="22"/>
  <c r="DY139" i="22"/>
  <c r="DZ139" i="22"/>
  <c r="EA139" i="22"/>
  <c r="EB139" i="22"/>
  <c r="EC139" i="22"/>
  <c r="ED139" i="22"/>
  <c r="EE139" i="22"/>
  <c r="EF139" i="22"/>
  <c r="EG139" i="22"/>
  <c r="EH139" i="22"/>
  <c r="EI139" i="22"/>
  <c r="EJ139" i="22"/>
  <c r="EK139" i="22"/>
  <c r="EL139" i="22"/>
  <c r="EM139" i="22"/>
  <c r="EN139" i="22"/>
  <c r="EO139" i="22"/>
  <c r="EP139" i="22"/>
  <c r="EQ139" i="22"/>
  <c r="ER139" i="22"/>
  <c r="ES139" i="22"/>
  <c r="ET139" i="22"/>
  <c r="EU139" i="22"/>
  <c r="EV139" i="22"/>
  <c r="EW139" i="22"/>
  <c r="EX139" i="22"/>
  <c r="EY139" i="22"/>
  <c r="EZ139" i="22"/>
  <c r="FA139" i="22"/>
  <c r="FB139" i="22"/>
  <c r="FC139" i="22"/>
  <c r="FD139" i="22"/>
  <c r="FE139" i="22"/>
  <c r="FF139" i="22"/>
  <c r="FG139" i="22"/>
  <c r="FH139" i="22"/>
  <c r="FI139" i="22"/>
  <c r="FJ139" i="22"/>
  <c r="FK139" i="22"/>
  <c r="FL139" i="22"/>
  <c r="FM139" i="22"/>
  <c r="FN139" i="22"/>
  <c r="FO139" i="22"/>
  <c r="FP139" i="22"/>
  <c r="FQ139" i="22"/>
  <c r="FR139" i="22"/>
  <c r="FS139" i="22"/>
  <c r="FT139" i="22"/>
  <c r="FU139" i="22"/>
  <c r="FV139" i="22"/>
  <c r="FW139" i="22"/>
  <c r="FX139" i="22"/>
  <c r="FY139" i="22"/>
  <c r="FZ139" i="22"/>
  <c r="GA139" i="22"/>
  <c r="GB139" i="22"/>
  <c r="GC139" i="22"/>
  <c r="GD139" i="22"/>
  <c r="GE139" i="22"/>
  <c r="GF139" i="22"/>
  <c r="GG139" i="22"/>
  <c r="GH139" i="22"/>
  <c r="GI139" i="22"/>
  <c r="GJ139" i="22"/>
  <c r="GK139" i="22"/>
  <c r="GL139" i="22"/>
  <c r="GM139" i="22"/>
  <c r="GN139" i="22"/>
  <c r="GO139" i="22"/>
  <c r="GP139" i="22"/>
  <c r="GQ139" i="22"/>
  <c r="GR139" i="22"/>
  <c r="GS139" i="22"/>
  <c r="GT139" i="22"/>
  <c r="GU139" i="22"/>
  <c r="GV139" i="22"/>
  <c r="GW139" i="22"/>
  <c r="GX139" i="22"/>
  <c r="GY139" i="22"/>
  <c r="GZ139" i="22"/>
  <c r="HA139" i="22"/>
  <c r="HB139" i="22"/>
  <c r="HC139" i="22"/>
  <c r="HD139" i="22"/>
  <c r="HE139" i="22"/>
  <c r="HF139" i="22"/>
  <c r="HG139" i="22"/>
  <c r="HH139" i="22"/>
  <c r="HI139" i="22"/>
  <c r="HJ139" i="22"/>
  <c r="HK139" i="22"/>
  <c r="HL139" i="22"/>
  <c r="HM139" i="22"/>
  <c r="HN139" i="22"/>
  <c r="HO139" i="22"/>
  <c r="HP139" i="22"/>
  <c r="HQ139" i="22"/>
  <c r="HR139" i="22"/>
  <c r="HS139" i="22"/>
  <c r="HT139" i="22"/>
  <c r="HU139" i="22"/>
  <c r="HV139" i="22"/>
  <c r="HW139" i="22"/>
  <c r="HX139" i="22"/>
  <c r="HY139" i="22"/>
  <c r="HZ139" i="22"/>
  <c r="IA139" i="22"/>
  <c r="IB139" i="22"/>
  <c r="IC139" i="22"/>
  <c r="ID139" i="22"/>
  <c r="IE139" i="22"/>
  <c r="IF139" i="22"/>
  <c r="IG139" i="22"/>
  <c r="IH139" i="22"/>
  <c r="II139" i="22"/>
  <c r="IJ139" i="22"/>
  <c r="IK139" i="22"/>
  <c r="IL139" i="22"/>
  <c r="IM139" i="22"/>
  <c r="IN139" i="22"/>
  <c r="IO139" i="22"/>
  <c r="IP139" i="22"/>
  <c r="IQ139" i="22"/>
  <c r="IR139" i="22"/>
  <c r="IS139" i="22"/>
  <c r="IT139" i="22"/>
  <c r="IU139" i="22"/>
  <c r="IV139" i="22"/>
  <c r="G140" i="22"/>
  <c r="H140" i="22"/>
  <c r="I140" i="22"/>
  <c r="J140" i="22"/>
  <c r="K140" i="22"/>
  <c r="L140" i="22"/>
  <c r="M140" i="22"/>
  <c r="N140" i="22"/>
  <c r="O140" i="22"/>
  <c r="P140" i="22"/>
  <c r="Q140" i="22"/>
  <c r="R140" i="22"/>
  <c r="S140" i="22"/>
  <c r="T140" i="22"/>
  <c r="U140" i="22"/>
  <c r="V140" i="22"/>
  <c r="W140" i="22"/>
  <c r="X140" i="22"/>
  <c r="Y140" i="22"/>
  <c r="Z140" i="22"/>
  <c r="AA140" i="22"/>
  <c r="AB140" i="22"/>
  <c r="AC140" i="22"/>
  <c r="AD140" i="22"/>
  <c r="AE140" i="22"/>
  <c r="AF140" i="22"/>
  <c r="AG140" i="22"/>
  <c r="AH140" i="22"/>
  <c r="AI140" i="22"/>
  <c r="AJ140" i="22"/>
  <c r="AK140" i="22"/>
  <c r="AL140" i="22"/>
  <c r="AM140" i="22"/>
  <c r="AN140" i="22"/>
  <c r="AO140" i="22"/>
  <c r="AP140" i="22"/>
  <c r="AQ140" i="22"/>
  <c r="AR140" i="22"/>
  <c r="AS140" i="22"/>
  <c r="AT140" i="22"/>
  <c r="AU140" i="22"/>
  <c r="AV140" i="22"/>
  <c r="AW140" i="22"/>
  <c r="AX140" i="22"/>
  <c r="AY140" i="22"/>
  <c r="AZ140" i="22"/>
  <c r="BA140" i="22"/>
  <c r="BB140" i="22"/>
  <c r="BC140" i="22"/>
  <c r="BD140" i="22"/>
  <c r="BE140" i="22"/>
  <c r="BF140" i="22"/>
  <c r="BG140" i="22"/>
  <c r="BH140" i="22"/>
  <c r="BI140" i="22"/>
  <c r="BJ140" i="22"/>
  <c r="BK140" i="22"/>
  <c r="BL140" i="22"/>
  <c r="BM140" i="22"/>
  <c r="BN140" i="22"/>
  <c r="BO140" i="22"/>
  <c r="BP140" i="22"/>
  <c r="BQ140" i="22"/>
  <c r="BR140" i="22"/>
  <c r="BS140" i="22"/>
  <c r="BT140" i="22"/>
  <c r="BU140" i="22"/>
  <c r="BV140" i="22"/>
  <c r="BW140" i="22"/>
  <c r="BX140" i="22"/>
  <c r="BY140" i="22"/>
  <c r="BZ140" i="22"/>
  <c r="CA140" i="22"/>
  <c r="CB140" i="22"/>
  <c r="CC140" i="22"/>
  <c r="CD140" i="22"/>
  <c r="CE140" i="22"/>
  <c r="CF140" i="22"/>
  <c r="CG140" i="22"/>
  <c r="CH140" i="22"/>
  <c r="CI140" i="22"/>
  <c r="CJ140" i="22"/>
  <c r="CK140" i="22"/>
  <c r="CL140" i="22"/>
  <c r="CM140" i="22"/>
  <c r="CN140" i="22"/>
  <c r="CO140" i="22"/>
  <c r="CP140" i="22"/>
  <c r="CQ140" i="22"/>
  <c r="CR140" i="22"/>
  <c r="CS140" i="22"/>
  <c r="CT140" i="22"/>
  <c r="CU140" i="22"/>
  <c r="CV140" i="22"/>
  <c r="CW140" i="22"/>
  <c r="CX140" i="22"/>
  <c r="CY140" i="22"/>
  <c r="CZ140" i="22"/>
  <c r="DA140" i="22"/>
  <c r="DB140" i="22"/>
  <c r="DC140" i="22"/>
  <c r="DD140" i="22"/>
  <c r="DE140" i="22"/>
  <c r="DF140" i="22"/>
  <c r="DG140" i="22"/>
  <c r="DH140" i="22"/>
  <c r="DI140" i="22"/>
  <c r="DJ140" i="22"/>
  <c r="DK140" i="22"/>
  <c r="DL140" i="22"/>
  <c r="DM140" i="22"/>
  <c r="DN140" i="22"/>
  <c r="DO140" i="22"/>
  <c r="DP140" i="22"/>
  <c r="DQ140" i="22"/>
  <c r="DR140" i="22"/>
  <c r="DS140" i="22"/>
  <c r="DT140" i="22"/>
  <c r="DU140" i="22"/>
  <c r="DV140" i="22"/>
  <c r="DW140" i="22"/>
  <c r="DX140" i="22"/>
  <c r="DY140" i="22"/>
  <c r="DZ140" i="22"/>
  <c r="EA140" i="22"/>
  <c r="EB140" i="22"/>
  <c r="EC140" i="22"/>
  <c r="ED140" i="22"/>
  <c r="EE140" i="22"/>
  <c r="EF140" i="22"/>
  <c r="EG140" i="22"/>
  <c r="EH140" i="22"/>
  <c r="EI140" i="22"/>
  <c r="EJ140" i="22"/>
  <c r="EK140" i="22"/>
  <c r="EL140" i="22"/>
  <c r="EM140" i="22"/>
  <c r="EN140" i="22"/>
  <c r="EO140" i="22"/>
  <c r="EP140" i="22"/>
  <c r="EQ140" i="22"/>
  <c r="ER140" i="22"/>
  <c r="ES140" i="22"/>
  <c r="ET140" i="22"/>
  <c r="EU140" i="22"/>
  <c r="EV140" i="22"/>
  <c r="EW140" i="22"/>
  <c r="EX140" i="22"/>
  <c r="EY140" i="22"/>
  <c r="EZ140" i="22"/>
  <c r="FA140" i="22"/>
  <c r="FB140" i="22"/>
  <c r="FC140" i="22"/>
  <c r="FD140" i="22"/>
  <c r="FE140" i="22"/>
  <c r="FF140" i="22"/>
  <c r="FG140" i="22"/>
  <c r="FH140" i="22"/>
  <c r="FI140" i="22"/>
  <c r="FJ140" i="22"/>
  <c r="FK140" i="22"/>
  <c r="FL140" i="22"/>
  <c r="FM140" i="22"/>
  <c r="FN140" i="22"/>
  <c r="FO140" i="22"/>
  <c r="FP140" i="22"/>
  <c r="FQ140" i="22"/>
  <c r="FR140" i="22"/>
  <c r="FS140" i="22"/>
  <c r="FT140" i="22"/>
  <c r="FU140" i="22"/>
  <c r="FV140" i="22"/>
  <c r="FW140" i="22"/>
  <c r="FX140" i="22"/>
  <c r="FY140" i="22"/>
  <c r="FZ140" i="22"/>
  <c r="GA140" i="22"/>
  <c r="GB140" i="22"/>
  <c r="GC140" i="22"/>
  <c r="GD140" i="22"/>
  <c r="GE140" i="22"/>
  <c r="GF140" i="22"/>
  <c r="GG140" i="22"/>
  <c r="GH140" i="22"/>
  <c r="GI140" i="22"/>
  <c r="GJ140" i="22"/>
  <c r="GK140" i="22"/>
  <c r="GL140" i="22"/>
  <c r="GM140" i="22"/>
  <c r="GN140" i="22"/>
  <c r="GO140" i="22"/>
  <c r="GP140" i="22"/>
  <c r="GQ140" i="22"/>
  <c r="GR140" i="22"/>
  <c r="GS140" i="22"/>
  <c r="GT140" i="22"/>
  <c r="GU140" i="22"/>
  <c r="GV140" i="22"/>
  <c r="GW140" i="22"/>
  <c r="GX140" i="22"/>
  <c r="GY140" i="22"/>
  <c r="GZ140" i="22"/>
  <c r="HA140" i="22"/>
  <c r="HB140" i="22"/>
  <c r="HC140" i="22"/>
  <c r="HD140" i="22"/>
  <c r="HE140" i="22"/>
  <c r="HF140" i="22"/>
  <c r="HG140" i="22"/>
  <c r="HH140" i="22"/>
  <c r="HI140" i="22"/>
  <c r="HJ140" i="22"/>
  <c r="HK140" i="22"/>
  <c r="HL140" i="22"/>
  <c r="HM140" i="22"/>
  <c r="HN140" i="22"/>
  <c r="HO140" i="22"/>
  <c r="HP140" i="22"/>
  <c r="HQ140" i="22"/>
  <c r="HR140" i="22"/>
  <c r="HS140" i="22"/>
  <c r="HT140" i="22"/>
  <c r="HU140" i="22"/>
  <c r="HV140" i="22"/>
  <c r="HW140" i="22"/>
  <c r="HX140" i="22"/>
  <c r="HY140" i="22"/>
  <c r="HZ140" i="22"/>
  <c r="IA140" i="22"/>
  <c r="IB140" i="22"/>
  <c r="IC140" i="22"/>
  <c r="ID140" i="22"/>
  <c r="IE140" i="22"/>
  <c r="IF140" i="22"/>
  <c r="IG140" i="22"/>
  <c r="IH140" i="22"/>
  <c r="II140" i="22"/>
  <c r="IJ140" i="22"/>
  <c r="IK140" i="22"/>
  <c r="IL140" i="22"/>
  <c r="IM140" i="22"/>
  <c r="IN140" i="22"/>
  <c r="IO140" i="22"/>
  <c r="IP140" i="22"/>
  <c r="IQ140" i="22"/>
  <c r="IR140" i="22"/>
  <c r="IS140" i="22"/>
  <c r="IT140" i="22"/>
  <c r="IU140" i="22"/>
  <c r="IV140" i="22"/>
  <c r="G141" i="22"/>
  <c r="H141" i="22"/>
  <c r="I141" i="22"/>
  <c r="J141" i="22"/>
  <c r="K141" i="22"/>
  <c r="L141" i="22"/>
  <c r="M141" i="22"/>
  <c r="N141" i="22"/>
  <c r="O141" i="22"/>
  <c r="P141" i="22"/>
  <c r="Q141" i="22"/>
  <c r="R141" i="22"/>
  <c r="S141" i="22"/>
  <c r="T141" i="22"/>
  <c r="U141" i="22"/>
  <c r="V141" i="22"/>
  <c r="W141" i="22"/>
  <c r="X141" i="22"/>
  <c r="Y141" i="22"/>
  <c r="Z141" i="22"/>
  <c r="AA141" i="22"/>
  <c r="AB141" i="22"/>
  <c r="AC141" i="22"/>
  <c r="AD141" i="22"/>
  <c r="AE141" i="22"/>
  <c r="AF141" i="22"/>
  <c r="AG141" i="22"/>
  <c r="AH141" i="22"/>
  <c r="AI141" i="22"/>
  <c r="AJ141" i="22"/>
  <c r="AK141" i="22"/>
  <c r="AL141" i="22"/>
  <c r="AM141" i="22"/>
  <c r="AN141" i="22"/>
  <c r="AO141" i="22"/>
  <c r="AP141" i="22"/>
  <c r="AQ141" i="22"/>
  <c r="AR141" i="22"/>
  <c r="AS141" i="22"/>
  <c r="AT141" i="22"/>
  <c r="AU141" i="22"/>
  <c r="AV141" i="22"/>
  <c r="AW141" i="22"/>
  <c r="AX141" i="22"/>
  <c r="AY141" i="22"/>
  <c r="AZ141" i="22"/>
  <c r="BA141" i="22"/>
  <c r="BB141" i="22"/>
  <c r="BC141" i="22"/>
  <c r="BD141" i="22"/>
  <c r="BE141" i="22"/>
  <c r="BF141" i="22"/>
  <c r="BG141" i="22"/>
  <c r="BH141" i="22"/>
  <c r="BI141" i="22"/>
  <c r="BJ141" i="22"/>
  <c r="BK141" i="22"/>
  <c r="BL141" i="22"/>
  <c r="BM141" i="22"/>
  <c r="BN141" i="22"/>
  <c r="BO141" i="22"/>
  <c r="BP141" i="22"/>
  <c r="BQ141" i="22"/>
  <c r="BR141" i="22"/>
  <c r="BS141" i="22"/>
  <c r="BT141" i="22"/>
  <c r="BU141" i="22"/>
  <c r="BV141" i="22"/>
  <c r="BW141" i="22"/>
  <c r="BX141" i="22"/>
  <c r="BY141" i="22"/>
  <c r="BZ141" i="22"/>
  <c r="CA141" i="22"/>
  <c r="CB141" i="22"/>
  <c r="CC141" i="22"/>
  <c r="CD141" i="22"/>
  <c r="CE141" i="22"/>
  <c r="CF141" i="22"/>
  <c r="CG141" i="22"/>
  <c r="CH141" i="22"/>
  <c r="CI141" i="22"/>
  <c r="CJ141" i="22"/>
  <c r="CK141" i="22"/>
  <c r="CL141" i="22"/>
  <c r="CM141" i="22"/>
  <c r="CN141" i="22"/>
  <c r="CO141" i="22"/>
  <c r="CP141" i="22"/>
  <c r="CQ141" i="22"/>
  <c r="CR141" i="22"/>
  <c r="CS141" i="22"/>
  <c r="CT141" i="22"/>
  <c r="CU141" i="22"/>
  <c r="CV141" i="22"/>
  <c r="CW141" i="22"/>
  <c r="CX141" i="22"/>
  <c r="CY141" i="22"/>
  <c r="CZ141" i="22"/>
  <c r="DA141" i="22"/>
  <c r="DB141" i="22"/>
  <c r="DC141" i="22"/>
  <c r="DD141" i="22"/>
  <c r="DE141" i="22"/>
  <c r="DF141" i="22"/>
  <c r="DG141" i="22"/>
  <c r="DH141" i="22"/>
  <c r="DI141" i="22"/>
  <c r="DJ141" i="22"/>
  <c r="DK141" i="22"/>
  <c r="DL141" i="22"/>
  <c r="DM141" i="22"/>
  <c r="DN141" i="22"/>
  <c r="DO141" i="22"/>
  <c r="DP141" i="22"/>
  <c r="DQ141" i="22"/>
  <c r="DR141" i="22"/>
  <c r="DS141" i="22"/>
  <c r="DT141" i="22"/>
  <c r="DU141" i="22"/>
  <c r="DV141" i="22"/>
  <c r="DW141" i="22"/>
  <c r="DX141" i="22"/>
  <c r="DY141" i="22"/>
  <c r="DZ141" i="22"/>
  <c r="EA141" i="22"/>
  <c r="EB141" i="22"/>
  <c r="EC141" i="22"/>
  <c r="ED141" i="22"/>
  <c r="EE141" i="22"/>
  <c r="EF141" i="22"/>
  <c r="EG141" i="22"/>
  <c r="EH141" i="22"/>
  <c r="EI141" i="22"/>
  <c r="EJ141" i="22"/>
  <c r="EK141" i="22"/>
  <c r="EL141" i="22"/>
  <c r="EM141" i="22"/>
  <c r="EN141" i="22"/>
  <c r="EO141" i="22"/>
  <c r="EP141" i="22"/>
  <c r="EQ141" i="22"/>
  <c r="ER141" i="22"/>
  <c r="ES141" i="22"/>
  <c r="ET141" i="22"/>
  <c r="EU141" i="22"/>
  <c r="EV141" i="22"/>
  <c r="EW141" i="22"/>
  <c r="EX141" i="22"/>
  <c r="EY141" i="22"/>
  <c r="EZ141" i="22"/>
  <c r="FA141" i="22"/>
  <c r="FB141" i="22"/>
  <c r="FC141" i="22"/>
  <c r="FD141" i="22"/>
  <c r="FE141" i="22"/>
  <c r="FF141" i="22"/>
  <c r="FG141" i="22"/>
  <c r="FH141" i="22"/>
  <c r="FI141" i="22"/>
  <c r="FJ141" i="22"/>
  <c r="FK141" i="22"/>
  <c r="FL141" i="22"/>
  <c r="FM141" i="22"/>
  <c r="FN141" i="22"/>
  <c r="FO141" i="22"/>
  <c r="FP141" i="22"/>
  <c r="FQ141" i="22"/>
  <c r="FR141" i="22"/>
  <c r="FS141" i="22"/>
  <c r="FT141" i="22"/>
  <c r="FU141" i="22"/>
  <c r="FV141" i="22"/>
  <c r="FW141" i="22"/>
  <c r="FX141" i="22"/>
  <c r="FY141" i="22"/>
  <c r="FZ141" i="22"/>
  <c r="GA141" i="22"/>
  <c r="GB141" i="22"/>
  <c r="GC141" i="22"/>
  <c r="GD141" i="22"/>
  <c r="GE141" i="22"/>
  <c r="GF141" i="22"/>
  <c r="GG141" i="22"/>
  <c r="GH141" i="22"/>
  <c r="GI141" i="22"/>
  <c r="GJ141" i="22"/>
  <c r="GK141" i="22"/>
  <c r="GL141" i="22"/>
  <c r="GM141" i="22"/>
  <c r="GN141" i="22"/>
  <c r="GO141" i="22"/>
  <c r="GP141" i="22"/>
  <c r="GQ141" i="22"/>
  <c r="GR141" i="22"/>
  <c r="GS141" i="22"/>
  <c r="GT141" i="22"/>
  <c r="GU141" i="22"/>
  <c r="GV141" i="22"/>
  <c r="GW141" i="22"/>
  <c r="GX141" i="22"/>
  <c r="GY141" i="22"/>
  <c r="GZ141" i="22"/>
  <c r="HA141" i="22"/>
  <c r="HB141" i="22"/>
  <c r="HC141" i="22"/>
  <c r="HD141" i="22"/>
  <c r="HE141" i="22"/>
  <c r="HF141" i="22"/>
  <c r="HG141" i="22"/>
  <c r="HH141" i="22"/>
  <c r="HI141" i="22"/>
  <c r="HJ141" i="22"/>
  <c r="HK141" i="22"/>
  <c r="HL141" i="22"/>
  <c r="HM141" i="22"/>
  <c r="HN141" i="22"/>
  <c r="HO141" i="22"/>
  <c r="HP141" i="22"/>
  <c r="HQ141" i="22"/>
  <c r="HR141" i="22"/>
  <c r="HS141" i="22"/>
  <c r="HT141" i="22"/>
  <c r="HU141" i="22"/>
  <c r="HV141" i="22"/>
  <c r="HW141" i="22"/>
  <c r="HX141" i="22"/>
  <c r="HY141" i="22"/>
  <c r="HZ141" i="22"/>
  <c r="IA141" i="22"/>
  <c r="IB141" i="22"/>
  <c r="IC141" i="22"/>
  <c r="ID141" i="22"/>
  <c r="IE141" i="22"/>
  <c r="IF141" i="22"/>
  <c r="IG141" i="22"/>
  <c r="IH141" i="22"/>
  <c r="II141" i="22"/>
  <c r="IJ141" i="22"/>
  <c r="IK141" i="22"/>
  <c r="IL141" i="22"/>
  <c r="IM141" i="22"/>
  <c r="IN141" i="22"/>
  <c r="IO141" i="22"/>
  <c r="IP141" i="22"/>
  <c r="IQ141" i="22"/>
  <c r="IR141" i="22"/>
  <c r="IS141" i="22"/>
  <c r="IT141" i="22"/>
  <c r="IU141" i="22"/>
  <c r="IV141" i="22"/>
  <c r="G142" i="22"/>
  <c r="H142" i="22"/>
  <c r="I142" i="22"/>
  <c r="J142" i="22"/>
  <c r="K142" i="22"/>
  <c r="L142" i="22"/>
  <c r="M142" i="22"/>
  <c r="N142" i="22"/>
  <c r="O142" i="22"/>
  <c r="P142" i="22"/>
  <c r="Q142" i="22"/>
  <c r="R142" i="22"/>
  <c r="S142" i="22"/>
  <c r="T142" i="22"/>
  <c r="U142" i="22"/>
  <c r="V142" i="22"/>
  <c r="W142" i="22"/>
  <c r="X142" i="22"/>
  <c r="Y142" i="22"/>
  <c r="Z142" i="22"/>
  <c r="AA142" i="22"/>
  <c r="AB142" i="22"/>
  <c r="AC142" i="22"/>
  <c r="AD142" i="22"/>
  <c r="AE142" i="22"/>
  <c r="AF142" i="22"/>
  <c r="AG142" i="22"/>
  <c r="AH142" i="22"/>
  <c r="AI142" i="22"/>
  <c r="AJ142" i="22"/>
  <c r="AK142" i="22"/>
  <c r="AL142" i="22"/>
  <c r="AM142" i="22"/>
  <c r="AN142" i="22"/>
  <c r="AO142" i="22"/>
  <c r="AP142" i="22"/>
  <c r="AQ142" i="22"/>
  <c r="AR142" i="22"/>
  <c r="AS142" i="22"/>
  <c r="AT142" i="22"/>
  <c r="AU142" i="22"/>
  <c r="AV142" i="22"/>
  <c r="AW142" i="22"/>
  <c r="AX142" i="22"/>
  <c r="AY142" i="22"/>
  <c r="AZ142" i="22"/>
  <c r="BA142" i="22"/>
  <c r="BB142" i="22"/>
  <c r="BC142" i="22"/>
  <c r="BD142" i="22"/>
  <c r="BE142" i="22"/>
  <c r="BF142" i="22"/>
  <c r="BG142" i="22"/>
  <c r="BH142" i="22"/>
  <c r="BI142" i="22"/>
  <c r="BJ142" i="22"/>
  <c r="BK142" i="22"/>
  <c r="BL142" i="22"/>
  <c r="BM142" i="22"/>
  <c r="BN142" i="22"/>
  <c r="BO142" i="22"/>
  <c r="BP142" i="22"/>
  <c r="BQ142" i="22"/>
  <c r="BR142" i="22"/>
  <c r="BS142" i="22"/>
  <c r="BT142" i="22"/>
  <c r="BU142" i="22"/>
  <c r="BV142" i="22"/>
  <c r="BW142" i="22"/>
  <c r="BX142" i="22"/>
  <c r="BY142" i="22"/>
  <c r="BZ142" i="22"/>
  <c r="CA142" i="22"/>
  <c r="CB142" i="22"/>
  <c r="CC142" i="22"/>
  <c r="CD142" i="22"/>
  <c r="CE142" i="22"/>
  <c r="CF142" i="22"/>
  <c r="CG142" i="22"/>
  <c r="CH142" i="22"/>
  <c r="CI142" i="22"/>
  <c r="CJ142" i="22"/>
  <c r="CK142" i="22"/>
  <c r="CL142" i="22"/>
  <c r="CM142" i="22"/>
  <c r="CN142" i="22"/>
  <c r="CO142" i="22"/>
  <c r="CP142" i="22"/>
  <c r="CQ142" i="22"/>
  <c r="CR142" i="22"/>
  <c r="CS142" i="22"/>
  <c r="CT142" i="22"/>
  <c r="CU142" i="22"/>
  <c r="CV142" i="22"/>
  <c r="CW142" i="22"/>
  <c r="CX142" i="22"/>
  <c r="CY142" i="22"/>
  <c r="CZ142" i="22"/>
  <c r="DA142" i="22"/>
  <c r="DB142" i="22"/>
  <c r="DC142" i="22"/>
  <c r="DD142" i="22"/>
  <c r="DE142" i="22"/>
  <c r="DF142" i="22"/>
  <c r="DG142" i="22"/>
  <c r="DH142" i="22"/>
  <c r="DI142" i="22"/>
  <c r="DJ142" i="22"/>
  <c r="DK142" i="22"/>
  <c r="DL142" i="22"/>
  <c r="DM142" i="22"/>
  <c r="DN142" i="22"/>
  <c r="DO142" i="22"/>
  <c r="DP142" i="22"/>
  <c r="DQ142" i="22"/>
  <c r="DR142" i="22"/>
  <c r="DS142" i="22"/>
  <c r="DT142" i="22"/>
  <c r="DU142" i="22"/>
  <c r="DV142" i="22"/>
  <c r="DW142" i="22"/>
  <c r="DX142" i="22"/>
  <c r="DY142" i="22"/>
  <c r="DZ142" i="22"/>
  <c r="EA142" i="22"/>
  <c r="EB142" i="22"/>
  <c r="EC142" i="22"/>
  <c r="ED142" i="22"/>
  <c r="EE142" i="22"/>
  <c r="EF142" i="22"/>
  <c r="EG142" i="22"/>
  <c r="EH142" i="22"/>
  <c r="EI142" i="22"/>
  <c r="EJ142" i="22"/>
  <c r="EK142" i="22"/>
  <c r="EL142" i="22"/>
  <c r="EM142" i="22"/>
  <c r="EN142" i="22"/>
  <c r="EO142" i="22"/>
  <c r="EP142" i="22"/>
  <c r="EQ142" i="22"/>
  <c r="ER142" i="22"/>
  <c r="ES142" i="22"/>
  <c r="ET142" i="22"/>
  <c r="EU142" i="22"/>
  <c r="EV142" i="22"/>
  <c r="EW142" i="22"/>
  <c r="EX142" i="22"/>
  <c r="EY142" i="22"/>
  <c r="EZ142" i="22"/>
  <c r="FA142" i="22"/>
  <c r="FB142" i="22"/>
  <c r="FC142" i="22"/>
  <c r="FD142" i="22"/>
  <c r="FE142" i="22"/>
  <c r="FF142" i="22"/>
  <c r="FG142" i="22"/>
  <c r="FH142" i="22"/>
  <c r="FI142" i="22"/>
  <c r="FJ142" i="22"/>
  <c r="FK142" i="22"/>
  <c r="FL142" i="22"/>
  <c r="FM142" i="22"/>
  <c r="FN142" i="22"/>
  <c r="FO142" i="22"/>
  <c r="FP142" i="22"/>
  <c r="FQ142" i="22"/>
  <c r="FR142" i="22"/>
  <c r="FS142" i="22"/>
  <c r="FT142" i="22"/>
  <c r="FU142" i="22"/>
  <c r="FV142" i="22"/>
  <c r="FW142" i="22"/>
  <c r="FX142" i="22"/>
  <c r="FY142" i="22"/>
  <c r="FZ142" i="22"/>
  <c r="GA142" i="22"/>
  <c r="GB142" i="22"/>
  <c r="GC142" i="22"/>
  <c r="GD142" i="22"/>
  <c r="GE142" i="22"/>
  <c r="GF142" i="22"/>
  <c r="GG142" i="22"/>
  <c r="GH142" i="22"/>
  <c r="GI142" i="22"/>
  <c r="GJ142" i="22"/>
  <c r="GK142" i="22"/>
  <c r="GL142" i="22"/>
  <c r="GM142" i="22"/>
  <c r="GN142" i="22"/>
  <c r="GO142" i="22"/>
  <c r="GP142" i="22"/>
  <c r="GQ142" i="22"/>
  <c r="GR142" i="22"/>
  <c r="GS142" i="22"/>
  <c r="GT142" i="22"/>
  <c r="GU142" i="22"/>
  <c r="GV142" i="22"/>
  <c r="GW142" i="22"/>
  <c r="GX142" i="22"/>
  <c r="GY142" i="22"/>
  <c r="GZ142" i="22"/>
  <c r="HA142" i="22"/>
  <c r="HB142" i="22"/>
  <c r="HC142" i="22"/>
  <c r="HD142" i="22"/>
  <c r="HE142" i="22"/>
  <c r="HF142" i="22"/>
  <c r="HG142" i="22"/>
  <c r="HH142" i="22"/>
  <c r="HI142" i="22"/>
  <c r="HJ142" i="22"/>
  <c r="HK142" i="22"/>
  <c r="HL142" i="22"/>
  <c r="HM142" i="22"/>
  <c r="HN142" i="22"/>
  <c r="HO142" i="22"/>
  <c r="HP142" i="22"/>
  <c r="HQ142" i="22"/>
  <c r="HR142" i="22"/>
  <c r="HS142" i="22"/>
  <c r="HT142" i="22"/>
  <c r="HU142" i="22"/>
  <c r="HV142" i="22"/>
  <c r="HW142" i="22"/>
  <c r="HX142" i="22"/>
  <c r="HY142" i="22"/>
  <c r="HZ142" i="22"/>
  <c r="IA142" i="22"/>
  <c r="IB142" i="22"/>
  <c r="IC142" i="22"/>
  <c r="ID142" i="22"/>
  <c r="IE142" i="22"/>
  <c r="IF142" i="22"/>
  <c r="IG142" i="22"/>
  <c r="IH142" i="22"/>
  <c r="II142" i="22"/>
  <c r="IJ142" i="22"/>
  <c r="IK142" i="22"/>
  <c r="IL142" i="22"/>
  <c r="IM142" i="22"/>
  <c r="IN142" i="22"/>
  <c r="IO142" i="22"/>
  <c r="IP142" i="22"/>
  <c r="IQ142" i="22"/>
  <c r="IR142" i="22"/>
  <c r="IS142" i="22"/>
  <c r="IT142" i="22"/>
  <c r="IU142" i="22"/>
  <c r="IV142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Y55" i="22"/>
  <c r="Z55" i="22"/>
  <c r="AA55" i="22"/>
  <c r="AB55" i="22"/>
  <c r="AC55" i="22"/>
  <c r="AD55" i="22"/>
  <c r="AE55" i="22"/>
  <c r="AF55" i="22"/>
  <c r="AG55" i="22"/>
  <c r="AH55" i="22"/>
  <c r="AI55" i="22"/>
  <c r="AJ55" i="22"/>
  <c r="AK55" i="22"/>
  <c r="AL55" i="22"/>
  <c r="AM55" i="22"/>
  <c r="AN55" i="22"/>
  <c r="AO55" i="22"/>
  <c r="AP55" i="22"/>
  <c r="AQ55" i="22"/>
  <c r="AR55" i="22"/>
  <c r="AS55" i="22"/>
  <c r="AT55" i="22"/>
  <c r="AU55" i="22"/>
  <c r="AV55" i="22"/>
  <c r="AW55" i="22"/>
  <c r="AX55" i="22"/>
  <c r="AY55" i="22"/>
  <c r="AZ55" i="22"/>
  <c r="BA55" i="22"/>
  <c r="BB55" i="22"/>
  <c r="BC55" i="22"/>
  <c r="BD55" i="22"/>
  <c r="BE55" i="22"/>
  <c r="BF55" i="22"/>
  <c r="BG55" i="22"/>
  <c r="BH55" i="22"/>
  <c r="BI55" i="22"/>
  <c r="BJ55" i="22"/>
  <c r="BK55" i="22"/>
  <c r="BL55" i="22"/>
  <c r="BM55" i="22"/>
  <c r="BN55" i="22"/>
  <c r="BO55" i="22"/>
  <c r="BP55" i="22"/>
  <c r="BQ55" i="22"/>
  <c r="BR55" i="22"/>
  <c r="BS55" i="22"/>
  <c r="BT55" i="22"/>
  <c r="BU55" i="22"/>
  <c r="BV55" i="22"/>
  <c r="BW55" i="22"/>
  <c r="BX55" i="22"/>
  <c r="BY55" i="22"/>
  <c r="BZ55" i="22"/>
  <c r="CA55" i="22"/>
  <c r="CB55" i="22"/>
  <c r="CC55" i="22"/>
  <c r="CD55" i="22"/>
  <c r="CE55" i="22"/>
  <c r="CF55" i="22"/>
  <c r="CG55" i="22"/>
  <c r="CH55" i="22"/>
  <c r="CI55" i="22"/>
  <c r="CJ55" i="22"/>
  <c r="CK55" i="22"/>
  <c r="CL55" i="22"/>
  <c r="CM55" i="22"/>
  <c r="CN55" i="22"/>
  <c r="CO55" i="22"/>
  <c r="CP55" i="22"/>
  <c r="CQ55" i="22"/>
  <c r="CR55" i="22"/>
  <c r="CS55" i="22"/>
  <c r="CT55" i="22"/>
  <c r="CU55" i="22"/>
  <c r="CV55" i="22"/>
  <c r="CW55" i="22"/>
  <c r="CX55" i="22"/>
  <c r="CY55" i="22"/>
  <c r="CZ55" i="22"/>
  <c r="DA55" i="22"/>
  <c r="DB55" i="22"/>
  <c r="DC55" i="22"/>
  <c r="DD55" i="22"/>
  <c r="DE55" i="22"/>
  <c r="DF55" i="22"/>
  <c r="DG55" i="22"/>
  <c r="DH55" i="22"/>
  <c r="DI55" i="22"/>
  <c r="DJ55" i="22"/>
  <c r="DK55" i="22"/>
  <c r="DL55" i="22"/>
  <c r="DM55" i="22"/>
  <c r="DN55" i="22"/>
  <c r="DO55" i="22"/>
  <c r="DP55" i="22"/>
  <c r="DQ55" i="22"/>
  <c r="DR55" i="22"/>
  <c r="DS55" i="22"/>
  <c r="DT55" i="22"/>
  <c r="DU55" i="22"/>
  <c r="DV55" i="22"/>
  <c r="DW55" i="22"/>
  <c r="DX55" i="22"/>
  <c r="DY55" i="22"/>
  <c r="DZ55" i="22"/>
  <c r="EA55" i="22"/>
  <c r="EB55" i="22"/>
  <c r="EC55" i="22"/>
  <c r="ED55" i="22"/>
  <c r="EE55" i="22"/>
  <c r="EF55" i="22"/>
  <c r="EG55" i="22"/>
  <c r="EH55" i="22"/>
  <c r="EI55" i="22"/>
  <c r="EJ55" i="22"/>
  <c r="EK55" i="22"/>
  <c r="EL55" i="22"/>
  <c r="EM55" i="22"/>
  <c r="EN55" i="22"/>
  <c r="EO55" i="22"/>
  <c r="EP55" i="22"/>
  <c r="EQ55" i="22"/>
  <c r="ER55" i="22"/>
  <c r="ES55" i="22"/>
  <c r="ET55" i="22"/>
  <c r="EU55" i="22"/>
  <c r="EV55" i="22"/>
  <c r="EW55" i="22"/>
  <c r="EX55" i="22"/>
  <c r="EY55" i="22"/>
  <c r="EZ55" i="22"/>
  <c r="FA55" i="22"/>
  <c r="FB55" i="22"/>
  <c r="FC55" i="22"/>
  <c r="FD55" i="22"/>
  <c r="FE55" i="22"/>
  <c r="FF55" i="22"/>
  <c r="FG55" i="22"/>
  <c r="FH55" i="22"/>
  <c r="FI55" i="22"/>
  <c r="FJ55" i="22"/>
  <c r="FK55" i="22"/>
  <c r="FL55" i="22"/>
  <c r="FM55" i="22"/>
  <c r="FN55" i="22"/>
  <c r="FO55" i="22"/>
  <c r="FP55" i="22"/>
  <c r="FQ55" i="22"/>
  <c r="FR55" i="22"/>
  <c r="FS55" i="22"/>
  <c r="FT55" i="22"/>
  <c r="FU55" i="22"/>
  <c r="FV55" i="22"/>
  <c r="FW55" i="22"/>
  <c r="FX55" i="22"/>
  <c r="FY55" i="22"/>
  <c r="FZ55" i="22"/>
  <c r="GA55" i="22"/>
  <c r="GB55" i="22"/>
  <c r="GC55" i="22"/>
  <c r="GD55" i="22"/>
  <c r="GE55" i="22"/>
  <c r="GF55" i="22"/>
  <c r="GG55" i="22"/>
  <c r="GH55" i="22"/>
  <c r="GI55" i="22"/>
  <c r="GJ55" i="22"/>
  <c r="GK55" i="22"/>
  <c r="GL55" i="22"/>
  <c r="GM55" i="22"/>
  <c r="GN55" i="22"/>
  <c r="GO55" i="22"/>
  <c r="GP55" i="22"/>
  <c r="GQ55" i="22"/>
  <c r="GR55" i="22"/>
  <c r="GS55" i="22"/>
  <c r="GT55" i="22"/>
  <c r="GU55" i="22"/>
  <c r="GV55" i="22"/>
  <c r="GW55" i="22"/>
  <c r="GX55" i="22"/>
  <c r="GY55" i="22"/>
  <c r="GZ55" i="22"/>
  <c r="HA55" i="22"/>
  <c r="HB55" i="22"/>
  <c r="HC55" i="22"/>
  <c r="HD55" i="22"/>
  <c r="HE55" i="22"/>
  <c r="HF55" i="22"/>
  <c r="HG55" i="22"/>
  <c r="HH55" i="22"/>
  <c r="HI55" i="22"/>
  <c r="HJ55" i="22"/>
  <c r="HK55" i="22"/>
  <c r="HL55" i="22"/>
  <c r="HM55" i="22"/>
  <c r="HN55" i="22"/>
  <c r="HO55" i="22"/>
  <c r="HP55" i="22"/>
  <c r="HQ55" i="22"/>
  <c r="HR55" i="22"/>
  <c r="HS55" i="22"/>
  <c r="HT55" i="22"/>
  <c r="HU55" i="22"/>
  <c r="HV55" i="22"/>
  <c r="HW55" i="22"/>
  <c r="HX55" i="22"/>
  <c r="HY55" i="22"/>
  <c r="HZ55" i="22"/>
  <c r="IA55" i="22"/>
  <c r="IB55" i="22"/>
  <c r="IC55" i="22"/>
  <c r="ID55" i="22"/>
  <c r="IE55" i="22"/>
  <c r="IF55" i="22"/>
  <c r="IG55" i="22"/>
  <c r="IH55" i="22"/>
  <c r="II55" i="22"/>
  <c r="IJ55" i="22"/>
  <c r="IK55" i="22"/>
  <c r="IL55" i="22"/>
  <c r="IM55" i="22"/>
  <c r="IN55" i="22"/>
  <c r="IO55" i="22"/>
  <c r="IP55" i="22"/>
  <c r="IQ55" i="22"/>
  <c r="IR55" i="22"/>
  <c r="IS55" i="22"/>
  <c r="IT55" i="22"/>
  <c r="IU55" i="22"/>
  <c r="IV55" i="22"/>
  <c r="G56" i="22"/>
  <c r="H56" i="22"/>
  <c r="I56" i="22"/>
  <c r="J56" i="22"/>
  <c r="K56" i="22"/>
  <c r="L56" i="22"/>
  <c r="M56" i="22"/>
  <c r="N56" i="22"/>
  <c r="O56" i="22"/>
  <c r="P56" i="22"/>
  <c r="Q56" i="22"/>
  <c r="R56" i="22"/>
  <c r="S56" i="22"/>
  <c r="T56" i="22"/>
  <c r="U56" i="22"/>
  <c r="V56" i="22"/>
  <c r="W56" i="22"/>
  <c r="X56" i="22"/>
  <c r="Y56" i="22"/>
  <c r="Z56" i="22"/>
  <c r="AA56" i="22"/>
  <c r="AB56" i="22"/>
  <c r="AC56" i="22"/>
  <c r="AD56" i="22"/>
  <c r="AE56" i="22"/>
  <c r="AF56" i="22"/>
  <c r="AG56" i="22"/>
  <c r="AH56" i="22"/>
  <c r="AI56" i="22"/>
  <c r="AJ56" i="22"/>
  <c r="AK56" i="22"/>
  <c r="AL56" i="22"/>
  <c r="AM56" i="22"/>
  <c r="AN56" i="22"/>
  <c r="AO56" i="22"/>
  <c r="AP56" i="22"/>
  <c r="AQ56" i="22"/>
  <c r="AR56" i="22"/>
  <c r="AS56" i="22"/>
  <c r="AT56" i="22"/>
  <c r="AU56" i="22"/>
  <c r="AV56" i="22"/>
  <c r="AW56" i="22"/>
  <c r="AX56" i="22"/>
  <c r="AY56" i="22"/>
  <c r="AZ56" i="22"/>
  <c r="BA56" i="22"/>
  <c r="BB56" i="22"/>
  <c r="BC56" i="22"/>
  <c r="BD56" i="22"/>
  <c r="BE56" i="22"/>
  <c r="BF56" i="22"/>
  <c r="BG56" i="22"/>
  <c r="BH56" i="22"/>
  <c r="BI56" i="22"/>
  <c r="BJ56" i="22"/>
  <c r="BK56" i="22"/>
  <c r="BL56" i="22"/>
  <c r="BM56" i="22"/>
  <c r="BN56" i="22"/>
  <c r="BO56" i="22"/>
  <c r="BP56" i="22"/>
  <c r="BQ56" i="22"/>
  <c r="BR56" i="22"/>
  <c r="BS56" i="22"/>
  <c r="BT56" i="22"/>
  <c r="BU56" i="22"/>
  <c r="BV56" i="22"/>
  <c r="BW56" i="22"/>
  <c r="BX56" i="22"/>
  <c r="BY56" i="22"/>
  <c r="BZ56" i="22"/>
  <c r="CA56" i="22"/>
  <c r="CB56" i="22"/>
  <c r="CC56" i="22"/>
  <c r="CD56" i="22"/>
  <c r="CE56" i="22"/>
  <c r="CF56" i="22"/>
  <c r="CG56" i="22"/>
  <c r="CH56" i="22"/>
  <c r="CI56" i="22"/>
  <c r="CJ56" i="22"/>
  <c r="CK56" i="22"/>
  <c r="CL56" i="22"/>
  <c r="CM56" i="22"/>
  <c r="CN56" i="22"/>
  <c r="CO56" i="22"/>
  <c r="CP56" i="22"/>
  <c r="CQ56" i="22"/>
  <c r="CR56" i="22"/>
  <c r="CS56" i="22"/>
  <c r="CT56" i="22"/>
  <c r="CU56" i="22"/>
  <c r="CV56" i="22"/>
  <c r="CW56" i="22"/>
  <c r="CX56" i="22"/>
  <c r="CY56" i="22"/>
  <c r="CZ56" i="22"/>
  <c r="DA56" i="22"/>
  <c r="DB56" i="22"/>
  <c r="DC56" i="22"/>
  <c r="DD56" i="22"/>
  <c r="DE56" i="22"/>
  <c r="DF56" i="22"/>
  <c r="DG56" i="22"/>
  <c r="DH56" i="22"/>
  <c r="DI56" i="22"/>
  <c r="DJ56" i="22"/>
  <c r="DK56" i="22"/>
  <c r="DL56" i="22"/>
  <c r="DM56" i="22"/>
  <c r="DN56" i="22"/>
  <c r="DO56" i="22"/>
  <c r="DP56" i="22"/>
  <c r="DQ56" i="22"/>
  <c r="DR56" i="22"/>
  <c r="DS56" i="22"/>
  <c r="DT56" i="22"/>
  <c r="DU56" i="22"/>
  <c r="DV56" i="22"/>
  <c r="DW56" i="22"/>
  <c r="DX56" i="22"/>
  <c r="DY56" i="22"/>
  <c r="DZ56" i="22"/>
  <c r="EA56" i="22"/>
  <c r="EB56" i="22"/>
  <c r="EC56" i="22"/>
  <c r="ED56" i="22"/>
  <c r="EE56" i="22"/>
  <c r="EF56" i="22"/>
  <c r="EG56" i="22"/>
  <c r="EH56" i="22"/>
  <c r="EI56" i="22"/>
  <c r="EJ56" i="22"/>
  <c r="EK56" i="22"/>
  <c r="EL56" i="22"/>
  <c r="EM56" i="22"/>
  <c r="EN56" i="22"/>
  <c r="EO56" i="22"/>
  <c r="EP56" i="22"/>
  <c r="EQ56" i="22"/>
  <c r="ER56" i="22"/>
  <c r="ES56" i="22"/>
  <c r="ET56" i="22"/>
  <c r="EU56" i="22"/>
  <c r="EV56" i="22"/>
  <c r="EW56" i="22"/>
  <c r="EX56" i="22"/>
  <c r="EY56" i="22"/>
  <c r="EZ56" i="22"/>
  <c r="FA56" i="22"/>
  <c r="FB56" i="22"/>
  <c r="FC56" i="22"/>
  <c r="FD56" i="22"/>
  <c r="FE56" i="22"/>
  <c r="FF56" i="22"/>
  <c r="FG56" i="22"/>
  <c r="FH56" i="22"/>
  <c r="FI56" i="22"/>
  <c r="FJ56" i="22"/>
  <c r="FK56" i="22"/>
  <c r="FL56" i="22"/>
  <c r="FM56" i="22"/>
  <c r="FN56" i="22"/>
  <c r="FO56" i="22"/>
  <c r="FP56" i="22"/>
  <c r="FQ56" i="22"/>
  <c r="FR56" i="22"/>
  <c r="FS56" i="22"/>
  <c r="FT56" i="22"/>
  <c r="FU56" i="22"/>
  <c r="FV56" i="22"/>
  <c r="FW56" i="22"/>
  <c r="FX56" i="22"/>
  <c r="FY56" i="22"/>
  <c r="FZ56" i="22"/>
  <c r="GA56" i="22"/>
  <c r="GB56" i="22"/>
  <c r="GC56" i="22"/>
  <c r="GD56" i="22"/>
  <c r="GE56" i="22"/>
  <c r="GF56" i="22"/>
  <c r="GG56" i="22"/>
  <c r="GH56" i="22"/>
  <c r="GI56" i="22"/>
  <c r="GJ56" i="22"/>
  <c r="GK56" i="22"/>
  <c r="GL56" i="22"/>
  <c r="GM56" i="22"/>
  <c r="GN56" i="22"/>
  <c r="GO56" i="22"/>
  <c r="GP56" i="22"/>
  <c r="GQ56" i="22"/>
  <c r="GR56" i="22"/>
  <c r="GS56" i="22"/>
  <c r="GT56" i="22"/>
  <c r="GU56" i="22"/>
  <c r="GV56" i="22"/>
  <c r="GW56" i="22"/>
  <c r="GX56" i="22"/>
  <c r="GY56" i="22"/>
  <c r="GZ56" i="22"/>
  <c r="HA56" i="22"/>
  <c r="HB56" i="22"/>
  <c r="HC56" i="22"/>
  <c r="HD56" i="22"/>
  <c r="HE56" i="22"/>
  <c r="HF56" i="22"/>
  <c r="HG56" i="22"/>
  <c r="HH56" i="22"/>
  <c r="HI56" i="22"/>
  <c r="HJ56" i="22"/>
  <c r="HK56" i="22"/>
  <c r="HL56" i="22"/>
  <c r="HM56" i="22"/>
  <c r="HN56" i="22"/>
  <c r="HO56" i="22"/>
  <c r="HP56" i="22"/>
  <c r="HQ56" i="22"/>
  <c r="HR56" i="22"/>
  <c r="HS56" i="22"/>
  <c r="HT56" i="22"/>
  <c r="HU56" i="22"/>
  <c r="HV56" i="22"/>
  <c r="HW56" i="22"/>
  <c r="HX56" i="22"/>
  <c r="HY56" i="22"/>
  <c r="HZ56" i="22"/>
  <c r="IA56" i="22"/>
  <c r="IB56" i="22"/>
  <c r="IC56" i="22"/>
  <c r="ID56" i="22"/>
  <c r="IE56" i="22"/>
  <c r="IF56" i="22"/>
  <c r="IG56" i="22"/>
  <c r="IH56" i="22"/>
  <c r="II56" i="22"/>
  <c r="IJ56" i="22"/>
  <c r="IK56" i="22"/>
  <c r="IL56" i="22"/>
  <c r="IM56" i="22"/>
  <c r="IN56" i="22"/>
  <c r="IO56" i="22"/>
  <c r="IP56" i="22"/>
  <c r="IQ56" i="22"/>
  <c r="IR56" i="22"/>
  <c r="IS56" i="22"/>
  <c r="IT56" i="22"/>
  <c r="IU56" i="22"/>
  <c r="IV56" i="22"/>
  <c r="G57" i="22"/>
  <c r="H57" i="22"/>
  <c r="I57" i="22"/>
  <c r="J57" i="22"/>
  <c r="K57" i="22"/>
  <c r="L57" i="22"/>
  <c r="M57" i="22"/>
  <c r="N57" i="22"/>
  <c r="O57" i="22"/>
  <c r="P57" i="22"/>
  <c r="Q57" i="22"/>
  <c r="R57" i="22"/>
  <c r="S57" i="22"/>
  <c r="T57" i="22"/>
  <c r="U57" i="22"/>
  <c r="V57" i="22"/>
  <c r="W57" i="22"/>
  <c r="X57" i="22"/>
  <c r="Y57" i="22"/>
  <c r="Z57" i="22"/>
  <c r="AA57" i="22"/>
  <c r="AB57" i="22"/>
  <c r="AC57" i="22"/>
  <c r="AD57" i="22"/>
  <c r="AE57" i="22"/>
  <c r="AF57" i="22"/>
  <c r="AG57" i="22"/>
  <c r="AH57" i="22"/>
  <c r="AI57" i="22"/>
  <c r="AJ57" i="22"/>
  <c r="AK57" i="22"/>
  <c r="AL57" i="22"/>
  <c r="AM57" i="22"/>
  <c r="AN57" i="22"/>
  <c r="AO57" i="22"/>
  <c r="AP57" i="22"/>
  <c r="AQ57" i="22"/>
  <c r="AR57" i="22"/>
  <c r="AS57" i="22"/>
  <c r="AT57" i="22"/>
  <c r="AU57" i="22"/>
  <c r="AV57" i="22"/>
  <c r="AW57" i="22"/>
  <c r="AX57" i="22"/>
  <c r="AY57" i="22"/>
  <c r="AZ57" i="22"/>
  <c r="BA57" i="22"/>
  <c r="BB57" i="22"/>
  <c r="BC57" i="22"/>
  <c r="BD57" i="22"/>
  <c r="BE57" i="22"/>
  <c r="BF57" i="22"/>
  <c r="BG57" i="22"/>
  <c r="BH57" i="22"/>
  <c r="BI57" i="22"/>
  <c r="BJ57" i="22"/>
  <c r="BK57" i="22"/>
  <c r="BL57" i="22"/>
  <c r="BM57" i="22"/>
  <c r="BN57" i="22"/>
  <c r="BO57" i="22"/>
  <c r="BP57" i="22"/>
  <c r="BQ57" i="22"/>
  <c r="BR57" i="22"/>
  <c r="BS57" i="22"/>
  <c r="BT57" i="22"/>
  <c r="BU57" i="22"/>
  <c r="BV57" i="22"/>
  <c r="BW57" i="22"/>
  <c r="BX57" i="22"/>
  <c r="BY57" i="22"/>
  <c r="BZ57" i="22"/>
  <c r="CA57" i="22"/>
  <c r="CB57" i="22"/>
  <c r="CC57" i="22"/>
  <c r="CD57" i="22"/>
  <c r="CE57" i="22"/>
  <c r="CF57" i="22"/>
  <c r="CG57" i="22"/>
  <c r="CH57" i="22"/>
  <c r="CI57" i="22"/>
  <c r="CJ57" i="22"/>
  <c r="CK57" i="22"/>
  <c r="CL57" i="22"/>
  <c r="CM57" i="22"/>
  <c r="CN57" i="22"/>
  <c r="CO57" i="22"/>
  <c r="CP57" i="22"/>
  <c r="CQ57" i="22"/>
  <c r="CR57" i="22"/>
  <c r="CS57" i="22"/>
  <c r="CT57" i="22"/>
  <c r="CU57" i="22"/>
  <c r="CV57" i="22"/>
  <c r="CW57" i="22"/>
  <c r="CX57" i="22"/>
  <c r="CY57" i="22"/>
  <c r="CZ57" i="22"/>
  <c r="DA57" i="22"/>
  <c r="DB57" i="22"/>
  <c r="DC57" i="22"/>
  <c r="DD57" i="22"/>
  <c r="DE57" i="22"/>
  <c r="DF57" i="22"/>
  <c r="DG57" i="22"/>
  <c r="DH57" i="22"/>
  <c r="DI57" i="22"/>
  <c r="DJ57" i="22"/>
  <c r="DK57" i="22"/>
  <c r="DL57" i="22"/>
  <c r="DM57" i="22"/>
  <c r="DN57" i="22"/>
  <c r="DO57" i="22"/>
  <c r="DP57" i="22"/>
  <c r="DQ57" i="22"/>
  <c r="DR57" i="22"/>
  <c r="DS57" i="22"/>
  <c r="DT57" i="22"/>
  <c r="DU57" i="22"/>
  <c r="DV57" i="22"/>
  <c r="DW57" i="22"/>
  <c r="DX57" i="22"/>
  <c r="DY57" i="22"/>
  <c r="DZ57" i="22"/>
  <c r="EA57" i="22"/>
  <c r="EB57" i="22"/>
  <c r="EC57" i="22"/>
  <c r="ED57" i="22"/>
  <c r="EE57" i="22"/>
  <c r="EF57" i="22"/>
  <c r="EG57" i="22"/>
  <c r="EH57" i="22"/>
  <c r="EI57" i="22"/>
  <c r="EJ57" i="22"/>
  <c r="EK57" i="22"/>
  <c r="EL57" i="22"/>
  <c r="EM57" i="22"/>
  <c r="EN57" i="22"/>
  <c r="EO57" i="22"/>
  <c r="EP57" i="22"/>
  <c r="EQ57" i="22"/>
  <c r="ER57" i="22"/>
  <c r="ES57" i="22"/>
  <c r="ET57" i="22"/>
  <c r="EU57" i="22"/>
  <c r="EV57" i="22"/>
  <c r="EW57" i="22"/>
  <c r="EX57" i="22"/>
  <c r="EY57" i="22"/>
  <c r="EZ57" i="22"/>
  <c r="FA57" i="22"/>
  <c r="FB57" i="22"/>
  <c r="FC57" i="22"/>
  <c r="FD57" i="22"/>
  <c r="FE57" i="22"/>
  <c r="FF57" i="22"/>
  <c r="FG57" i="22"/>
  <c r="FH57" i="22"/>
  <c r="FI57" i="22"/>
  <c r="FJ57" i="22"/>
  <c r="FK57" i="22"/>
  <c r="FL57" i="22"/>
  <c r="FM57" i="22"/>
  <c r="FN57" i="22"/>
  <c r="FO57" i="22"/>
  <c r="FP57" i="22"/>
  <c r="FQ57" i="22"/>
  <c r="FR57" i="22"/>
  <c r="FS57" i="22"/>
  <c r="FT57" i="22"/>
  <c r="FU57" i="22"/>
  <c r="FV57" i="22"/>
  <c r="FW57" i="22"/>
  <c r="FX57" i="22"/>
  <c r="FY57" i="22"/>
  <c r="FZ57" i="22"/>
  <c r="GA57" i="22"/>
  <c r="GB57" i="22"/>
  <c r="GC57" i="22"/>
  <c r="GD57" i="22"/>
  <c r="GE57" i="22"/>
  <c r="GF57" i="22"/>
  <c r="GG57" i="22"/>
  <c r="GH57" i="22"/>
  <c r="GI57" i="22"/>
  <c r="GJ57" i="22"/>
  <c r="GK57" i="22"/>
  <c r="GL57" i="22"/>
  <c r="GM57" i="22"/>
  <c r="GN57" i="22"/>
  <c r="GO57" i="22"/>
  <c r="GP57" i="22"/>
  <c r="GQ57" i="22"/>
  <c r="GR57" i="22"/>
  <c r="GS57" i="22"/>
  <c r="GT57" i="22"/>
  <c r="GU57" i="22"/>
  <c r="GV57" i="22"/>
  <c r="GW57" i="22"/>
  <c r="GX57" i="22"/>
  <c r="GY57" i="22"/>
  <c r="GZ57" i="22"/>
  <c r="HA57" i="22"/>
  <c r="HB57" i="22"/>
  <c r="HC57" i="22"/>
  <c r="HD57" i="22"/>
  <c r="HE57" i="22"/>
  <c r="HF57" i="22"/>
  <c r="HG57" i="22"/>
  <c r="HH57" i="22"/>
  <c r="HI57" i="22"/>
  <c r="HJ57" i="22"/>
  <c r="HK57" i="22"/>
  <c r="HL57" i="22"/>
  <c r="HM57" i="22"/>
  <c r="HN57" i="22"/>
  <c r="HO57" i="22"/>
  <c r="HP57" i="22"/>
  <c r="HQ57" i="22"/>
  <c r="HR57" i="22"/>
  <c r="HS57" i="22"/>
  <c r="HT57" i="22"/>
  <c r="HU57" i="22"/>
  <c r="HV57" i="22"/>
  <c r="HW57" i="22"/>
  <c r="HX57" i="22"/>
  <c r="HY57" i="22"/>
  <c r="HZ57" i="22"/>
  <c r="IA57" i="22"/>
  <c r="IB57" i="22"/>
  <c r="IC57" i="22"/>
  <c r="ID57" i="22"/>
  <c r="IE57" i="22"/>
  <c r="IF57" i="22"/>
  <c r="IG57" i="22"/>
  <c r="IH57" i="22"/>
  <c r="II57" i="22"/>
  <c r="IJ57" i="22"/>
  <c r="IK57" i="22"/>
  <c r="IL57" i="22"/>
  <c r="IM57" i="22"/>
  <c r="IN57" i="22"/>
  <c r="IO57" i="22"/>
  <c r="IP57" i="22"/>
  <c r="IQ57" i="22"/>
  <c r="IR57" i="22"/>
  <c r="IS57" i="22"/>
  <c r="IT57" i="22"/>
  <c r="IU57" i="22"/>
  <c r="IV57" i="22"/>
  <c r="G58" i="22"/>
  <c r="H58" i="22"/>
  <c r="I58" i="22"/>
  <c r="J58" i="22"/>
  <c r="K58" i="22"/>
  <c r="L58" i="22"/>
  <c r="M58" i="22"/>
  <c r="N58" i="22"/>
  <c r="O58" i="22"/>
  <c r="P58" i="22"/>
  <c r="Q58" i="22"/>
  <c r="R58" i="22"/>
  <c r="S58" i="22"/>
  <c r="T58" i="22"/>
  <c r="U58" i="22"/>
  <c r="V58" i="22"/>
  <c r="W58" i="22"/>
  <c r="X58" i="22"/>
  <c r="Y58" i="22"/>
  <c r="Z58" i="22"/>
  <c r="AA58" i="22"/>
  <c r="AB58" i="22"/>
  <c r="AC58" i="22"/>
  <c r="AD58" i="22"/>
  <c r="AE58" i="22"/>
  <c r="AF58" i="22"/>
  <c r="AG58" i="22"/>
  <c r="AH58" i="22"/>
  <c r="AI58" i="22"/>
  <c r="AJ58" i="22"/>
  <c r="AK58" i="22"/>
  <c r="AL58" i="22"/>
  <c r="AM58" i="22"/>
  <c r="AN58" i="22"/>
  <c r="AO58" i="22"/>
  <c r="AP58" i="22"/>
  <c r="AQ58" i="22"/>
  <c r="AR58" i="22"/>
  <c r="AS58" i="22"/>
  <c r="AT58" i="22"/>
  <c r="AU58" i="22"/>
  <c r="AV58" i="22"/>
  <c r="AW58" i="22"/>
  <c r="AX58" i="22"/>
  <c r="AY58" i="22"/>
  <c r="AZ58" i="22"/>
  <c r="BA58" i="22"/>
  <c r="BB58" i="22"/>
  <c r="BC58" i="22"/>
  <c r="BD58" i="22"/>
  <c r="BE58" i="22"/>
  <c r="BF58" i="22"/>
  <c r="BG58" i="22"/>
  <c r="BH58" i="22"/>
  <c r="BI58" i="22"/>
  <c r="BJ58" i="22"/>
  <c r="BK58" i="22"/>
  <c r="BL58" i="22"/>
  <c r="BM58" i="22"/>
  <c r="BN58" i="22"/>
  <c r="BO58" i="22"/>
  <c r="BP58" i="22"/>
  <c r="BQ58" i="22"/>
  <c r="BR58" i="22"/>
  <c r="BS58" i="22"/>
  <c r="BT58" i="22"/>
  <c r="BU58" i="22"/>
  <c r="BV58" i="22"/>
  <c r="BW58" i="22"/>
  <c r="BX58" i="22"/>
  <c r="BY58" i="22"/>
  <c r="BZ58" i="22"/>
  <c r="CA58" i="22"/>
  <c r="CB58" i="22"/>
  <c r="CC58" i="22"/>
  <c r="CD58" i="22"/>
  <c r="CE58" i="22"/>
  <c r="CF58" i="22"/>
  <c r="CG58" i="22"/>
  <c r="CH58" i="22"/>
  <c r="CI58" i="22"/>
  <c r="CJ58" i="22"/>
  <c r="CK58" i="22"/>
  <c r="CL58" i="22"/>
  <c r="CM58" i="22"/>
  <c r="CN58" i="22"/>
  <c r="CO58" i="22"/>
  <c r="CP58" i="22"/>
  <c r="CQ58" i="22"/>
  <c r="CR58" i="22"/>
  <c r="CS58" i="22"/>
  <c r="CT58" i="22"/>
  <c r="CU58" i="22"/>
  <c r="CV58" i="22"/>
  <c r="CW58" i="22"/>
  <c r="CX58" i="22"/>
  <c r="CY58" i="22"/>
  <c r="CZ58" i="22"/>
  <c r="DA58" i="22"/>
  <c r="DB58" i="22"/>
  <c r="DC58" i="22"/>
  <c r="DD58" i="22"/>
  <c r="DE58" i="22"/>
  <c r="DF58" i="22"/>
  <c r="DG58" i="22"/>
  <c r="DH58" i="22"/>
  <c r="DI58" i="22"/>
  <c r="DJ58" i="22"/>
  <c r="DK58" i="22"/>
  <c r="DL58" i="22"/>
  <c r="DM58" i="22"/>
  <c r="DN58" i="22"/>
  <c r="DO58" i="22"/>
  <c r="DP58" i="22"/>
  <c r="DQ58" i="22"/>
  <c r="DR58" i="22"/>
  <c r="DS58" i="22"/>
  <c r="DT58" i="22"/>
  <c r="DU58" i="22"/>
  <c r="DV58" i="22"/>
  <c r="DW58" i="22"/>
  <c r="DX58" i="22"/>
  <c r="DY58" i="22"/>
  <c r="DZ58" i="22"/>
  <c r="EA58" i="22"/>
  <c r="EB58" i="22"/>
  <c r="EC58" i="22"/>
  <c r="ED58" i="22"/>
  <c r="EE58" i="22"/>
  <c r="EF58" i="22"/>
  <c r="EG58" i="22"/>
  <c r="EH58" i="22"/>
  <c r="EI58" i="22"/>
  <c r="EJ58" i="22"/>
  <c r="EK58" i="22"/>
  <c r="EL58" i="22"/>
  <c r="EM58" i="22"/>
  <c r="EN58" i="22"/>
  <c r="EO58" i="22"/>
  <c r="EP58" i="22"/>
  <c r="EQ58" i="22"/>
  <c r="ER58" i="22"/>
  <c r="ES58" i="22"/>
  <c r="ET58" i="22"/>
  <c r="EU58" i="22"/>
  <c r="EV58" i="22"/>
  <c r="EW58" i="22"/>
  <c r="EX58" i="22"/>
  <c r="EY58" i="22"/>
  <c r="EZ58" i="22"/>
  <c r="FA58" i="22"/>
  <c r="FB58" i="22"/>
  <c r="FC58" i="22"/>
  <c r="FD58" i="22"/>
  <c r="FE58" i="22"/>
  <c r="FF58" i="22"/>
  <c r="FG58" i="22"/>
  <c r="FH58" i="22"/>
  <c r="FI58" i="22"/>
  <c r="FJ58" i="22"/>
  <c r="FK58" i="22"/>
  <c r="FL58" i="22"/>
  <c r="FM58" i="22"/>
  <c r="FN58" i="22"/>
  <c r="FO58" i="22"/>
  <c r="FP58" i="22"/>
  <c r="FQ58" i="22"/>
  <c r="FR58" i="22"/>
  <c r="FS58" i="22"/>
  <c r="FT58" i="22"/>
  <c r="FU58" i="22"/>
  <c r="FV58" i="22"/>
  <c r="FW58" i="22"/>
  <c r="FX58" i="22"/>
  <c r="FY58" i="22"/>
  <c r="FZ58" i="22"/>
  <c r="GA58" i="22"/>
  <c r="GB58" i="22"/>
  <c r="GC58" i="22"/>
  <c r="GD58" i="22"/>
  <c r="GE58" i="22"/>
  <c r="GF58" i="22"/>
  <c r="GG58" i="22"/>
  <c r="GH58" i="22"/>
  <c r="GI58" i="22"/>
  <c r="GJ58" i="22"/>
  <c r="GK58" i="22"/>
  <c r="GL58" i="22"/>
  <c r="GM58" i="22"/>
  <c r="GN58" i="22"/>
  <c r="GO58" i="22"/>
  <c r="GP58" i="22"/>
  <c r="GQ58" i="22"/>
  <c r="GR58" i="22"/>
  <c r="GS58" i="22"/>
  <c r="GT58" i="22"/>
  <c r="GU58" i="22"/>
  <c r="GV58" i="22"/>
  <c r="GW58" i="22"/>
  <c r="GX58" i="22"/>
  <c r="GY58" i="22"/>
  <c r="GZ58" i="22"/>
  <c r="HA58" i="22"/>
  <c r="HB58" i="22"/>
  <c r="HC58" i="22"/>
  <c r="HD58" i="22"/>
  <c r="HE58" i="22"/>
  <c r="HF58" i="22"/>
  <c r="HG58" i="22"/>
  <c r="HH58" i="22"/>
  <c r="HI58" i="22"/>
  <c r="HJ58" i="22"/>
  <c r="HK58" i="22"/>
  <c r="HL58" i="22"/>
  <c r="HM58" i="22"/>
  <c r="HN58" i="22"/>
  <c r="HO58" i="22"/>
  <c r="HP58" i="22"/>
  <c r="HQ58" i="22"/>
  <c r="HR58" i="22"/>
  <c r="HS58" i="22"/>
  <c r="HT58" i="22"/>
  <c r="HU58" i="22"/>
  <c r="HV58" i="22"/>
  <c r="HW58" i="22"/>
  <c r="HX58" i="22"/>
  <c r="HY58" i="22"/>
  <c r="HZ58" i="22"/>
  <c r="IA58" i="22"/>
  <c r="IB58" i="22"/>
  <c r="IC58" i="22"/>
  <c r="ID58" i="22"/>
  <c r="IE58" i="22"/>
  <c r="IF58" i="22"/>
  <c r="IG58" i="22"/>
  <c r="IH58" i="22"/>
  <c r="II58" i="22"/>
  <c r="IJ58" i="22"/>
  <c r="IK58" i="22"/>
  <c r="IL58" i="22"/>
  <c r="IM58" i="22"/>
  <c r="IN58" i="22"/>
  <c r="IO58" i="22"/>
  <c r="IP58" i="22"/>
  <c r="IQ58" i="22"/>
  <c r="IR58" i="22"/>
  <c r="IS58" i="22"/>
  <c r="IT58" i="22"/>
  <c r="IU58" i="22"/>
  <c r="IV58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U59" i="22"/>
  <c r="V59" i="22"/>
  <c r="W59" i="22"/>
  <c r="X59" i="22"/>
  <c r="Y59" i="22"/>
  <c r="Z59" i="22"/>
  <c r="AA59" i="22"/>
  <c r="AB59" i="22"/>
  <c r="AC59" i="22"/>
  <c r="AD59" i="22"/>
  <c r="AE59" i="22"/>
  <c r="AF59" i="22"/>
  <c r="AG59" i="22"/>
  <c r="AH59" i="22"/>
  <c r="AI59" i="22"/>
  <c r="AJ59" i="22"/>
  <c r="AK59" i="22"/>
  <c r="AL59" i="22"/>
  <c r="AM59" i="22"/>
  <c r="AN59" i="22"/>
  <c r="AO59" i="22"/>
  <c r="AP59" i="22"/>
  <c r="AQ59" i="22"/>
  <c r="AR59" i="22"/>
  <c r="AS59" i="22"/>
  <c r="AT59" i="22"/>
  <c r="AU59" i="22"/>
  <c r="AV59" i="22"/>
  <c r="AW59" i="22"/>
  <c r="AX59" i="22"/>
  <c r="AY59" i="22"/>
  <c r="AZ59" i="22"/>
  <c r="BA59" i="22"/>
  <c r="BB59" i="22"/>
  <c r="BC59" i="22"/>
  <c r="BD59" i="22"/>
  <c r="BE59" i="22"/>
  <c r="BF59" i="22"/>
  <c r="BG59" i="22"/>
  <c r="BH59" i="22"/>
  <c r="BI59" i="22"/>
  <c r="BJ59" i="22"/>
  <c r="BK59" i="22"/>
  <c r="BL59" i="22"/>
  <c r="BM59" i="22"/>
  <c r="BN59" i="22"/>
  <c r="BO59" i="22"/>
  <c r="BP59" i="22"/>
  <c r="BQ59" i="22"/>
  <c r="BR59" i="22"/>
  <c r="BS59" i="22"/>
  <c r="BT59" i="22"/>
  <c r="BU59" i="22"/>
  <c r="BV59" i="22"/>
  <c r="BW59" i="22"/>
  <c r="BX59" i="22"/>
  <c r="BY59" i="22"/>
  <c r="BZ59" i="22"/>
  <c r="CA59" i="22"/>
  <c r="CB59" i="22"/>
  <c r="CC59" i="22"/>
  <c r="CD59" i="22"/>
  <c r="CE59" i="22"/>
  <c r="CF59" i="22"/>
  <c r="CG59" i="22"/>
  <c r="CH59" i="22"/>
  <c r="CI59" i="22"/>
  <c r="CJ59" i="22"/>
  <c r="CK59" i="22"/>
  <c r="CL59" i="22"/>
  <c r="CM59" i="22"/>
  <c r="CN59" i="22"/>
  <c r="CO59" i="22"/>
  <c r="CP59" i="22"/>
  <c r="CQ59" i="22"/>
  <c r="CR59" i="22"/>
  <c r="CS59" i="22"/>
  <c r="CT59" i="22"/>
  <c r="CU59" i="22"/>
  <c r="CV59" i="22"/>
  <c r="CW59" i="22"/>
  <c r="CX59" i="22"/>
  <c r="CY59" i="22"/>
  <c r="CZ59" i="22"/>
  <c r="DA59" i="22"/>
  <c r="DB59" i="22"/>
  <c r="DC59" i="22"/>
  <c r="DD59" i="22"/>
  <c r="DE59" i="22"/>
  <c r="DF59" i="22"/>
  <c r="DG59" i="22"/>
  <c r="DH59" i="22"/>
  <c r="DI59" i="22"/>
  <c r="DJ59" i="22"/>
  <c r="DK59" i="22"/>
  <c r="DL59" i="22"/>
  <c r="DM59" i="22"/>
  <c r="DN59" i="22"/>
  <c r="DO59" i="22"/>
  <c r="DP59" i="22"/>
  <c r="DQ59" i="22"/>
  <c r="DR59" i="22"/>
  <c r="DS59" i="22"/>
  <c r="DT59" i="22"/>
  <c r="DU59" i="22"/>
  <c r="DV59" i="22"/>
  <c r="DW59" i="22"/>
  <c r="DX59" i="22"/>
  <c r="DY59" i="22"/>
  <c r="DZ59" i="22"/>
  <c r="EA59" i="22"/>
  <c r="EB59" i="22"/>
  <c r="EC59" i="22"/>
  <c r="ED59" i="22"/>
  <c r="EE59" i="22"/>
  <c r="EF59" i="22"/>
  <c r="EG59" i="22"/>
  <c r="EH59" i="22"/>
  <c r="EI59" i="22"/>
  <c r="EJ59" i="22"/>
  <c r="EK59" i="22"/>
  <c r="EL59" i="22"/>
  <c r="EM59" i="22"/>
  <c r="EN59" i="22"/>
  <c r="EO59" i="22"/>
  <c r="EP59" i="22"/>
  <c r="EQ59" i="22"/>
  <c r="ER59" i="22"/>
  <c r="ES59" i="22"/>
  <c r="ET59" i="22"/>
  <c r="EU59" i="22"/>
  <c r="EV59" i="22"/>
  <c r="EW59" i="22"/>
  <c r="EX59" i="22"/>
  <c r="EY59" i="22"/>
  <c r="EZ59" i="22"/>
  <c r="FA59" i="22"/>
  <c r="FB59" i="22"/>
  <c r="FC59" i="22"/>
  <c r="FD59" i="22"/>
  <c r="FE59" i="22"/>
  <c r="FF59" i="22"/>
  <c r="FG59" i="22"/>
  <c r="FH59" i="22"/>
  <c r="FI59" i="22"/>
  <c r="FJ59" i="22"/>
  <c r="FK59" i="22"/>
  <c r="FL59" i="22"/>
  <c r="FM59" i="22"/>
  <c r="FN59" i="22"/>
  <c r="FO59" i="22"/>
  <c r="FP59" i="22"/>
  <c r="FQ59" i="22"/>
  <c r="FR59" i="22"/>
  <c r="FS59" i="22"/>
  <c r="FT59" i="22"/>
  <c r="FU59" i="22"/>
  <c r="FV59" i="22"/>
  <c r="FW59" i="22"/>
  <c r="FX59" i="22"/>
  <c r="FY59" i="22"/>
  <c r="FZ59" i="22"/>
  <c r="GA59" i="22"/>
  <c r="GB59" i="22"/>
  <c r="GC59" i="22"/>
  <c r="GD59" i="22"/>
  <c r="GE59" i="22"/>
  <c r="GF59" i="22"/>
  <c r="GG59" i="22"/>
  <c r="GH59" i="22"/>
  <c r="GI59" i="22"/>
  <c r="GJ59" i="22"/>
  <c r="GK59" i="22"/>
  <c r="GL59" i="22"/>
  <c r="GM59" i="22"/>
  <c r="GN59" i="22"/>
  <c r="GO59" i="22"/>
  <c r="GP59" i="22"/>
  <c r="GQ59" i="22"/>
  <c r="GR59" i="22"/>
  <c r="GS59" i="22"/>
  <c r="GT59" i="22"/>
  <c r="GU59" i="22"/>
  <c r="GV59" i="22"/>
  <c r="GW59" i="22"/>
  <c r="GX59" i="22"/>
  <c r="GY59" i="22"/>
  <c r="GZ59" i="22"/>
  <c r="HA59" i="22"/>
  <c r="HB59" i="22"/>
  <c r="HC59" i="22"/>
  <c r="HD59" i="22"/>
  <c r="HE59" i="22"/>
  <c r="HF59" i="22"/>
  <c r="HG59" i="22"/>
  <c r="HH59" i="22"/>
  <c r="HI59" i="22"/>
  <c r="HJ59" i="22"/>
  <c r="HK59" i="22"/>
  <c r="HL59" i="22"/>
  <c r="HM59" i="22"/>
  <c r="HN59" i="22"/>
  <c r="HO59" i="22"/>
  <c r="HP59" i="22"/>
  <c r="HQ59" i="22"/>
  <c r="HR59" i="22"/>
  <c r="HS59" i="22"/>
  <c r="HT59" i="22"/>
  <c r="HU59" i="22"/>
  <c r="HV59" i="22"/>
  <c r="HW59" i="22"/>
  <c r="HX59" i="22"/>
  <c r="HY59" i="22"/>
  <c r="HZ59" i="22"/>
  <c r="IA59" i="22"/>
  <c r="IB59" i="22"/>
  <c r="IC59" i="22"/>
  <c r="ID59" i="22"/>
  <c r="IE59" i="22"/>
  <c r="IF59" i="22"/>
  <c r="IG59" i="22"/>
  <c r="IH59" i="22"/>
  <c r="II59" i="22"/>
  <c r="IJ59" i="22"/>
  <c r="IK59" i="22"/>
  <c r="IL59" i="22"/>
  <c r="IM59" i="22"/>
  <c r="IN59" i="22"/>
  <c r="IO59" i="22"/>
  <c r="IP59" i="22"/>
  <c r="IQ59" i="22"/>
  <c r="IR59" i="22"/>
  <c r="IS59" i="22"/>
  <c r="IT59" i="22"/>
  <c r="IU59" i="22"/>
  <c r="IV59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Y60" i="22"/>
  <c r="Z60" i="22"/>
  <c r="AA60" i="22"/>
  <c r="AB60" i="22"/>
  <c r="AC60" i="22"/>
  <c r="AD60" i="22"/>
  <c r="AE60" i="22"/>
  <c r="AF60" i="22"/>
  <c r="AG60" i="22"/>
  <c r="AH60" i="22"/>
  <c r="AI60" i="22"/>
  <c r="AJ60" i="22"/>
  <c r="AK60" i="22"/>
  <c r="AL60" i="22"/>
  <c r="AM60" i="22"/>
  <c r="AN60" i="22"/>
  <c r="AO60" i="22"/>
  <c r="AP60" i="22"/>
  <c r="AQ60" i="22"/>
  <c r="AR60" i="22"/>
  <c r="AS60" i="22"/>
  <c r="AT60" i="22"/>
  <c r="AU60" i="22"/>
  <c r="AV60" i="22"/>
  <c r="AW60" i="22"/>
  <c r="AX60" i="22"/>
  <c r="AY60" i="22"/>
  <c r="AZ60" i="22"/>
  <c r="BA60" i="22"/>
  <c r="BB60" i="22"/>
  <c r="BC60" i="22"/>
  <c r="BD60" i="22"/>
  <c r="BE60" i="22"/>
  <c r="BF60" i="22"/>
  <c r="BG60" i="22"/>
  <c r="BH60" i="22"/>
  <c r="BI60" i="22"/>
  <c r="BJ60" i="22"/>
  <c r="BK60" i="22"/>
  <c r="BL60" i="22"/>
  <c r="BM60" i="22"/>
  <c r="BN60" i="22"/>
  <c r="BO60" i="22"/>
  <c r="BP60" i="22"/>
  <c r="BQ60" i="22"/>
  <c r="BR60" i="22"/>
  <c r="BS60" i="22"/>
  <c r="BT60" i="22"/>
  <c r="BU60" i="22"/>
  <c r="BV60" i="22"/>
  <c r="BW60" i="22"/>
  <c r="BX60" i="22"/>
  <c r="BY60" i="22"/>
  <c r="BZ60" i="22"/>
  <c r="CA60" i="22"/>
  <c r="CB60" i="22"/>
  <c r="CC60" i="22"/>
  <c r="CD60" i="22"/>
  <c r="CE60" i="22"/>
  <c r="CF60" i="22"/>
  <c r="CG60" i="22"/>
  <c r="CH60" i="22"/>
  <c r="CI60" i="22"/>
  <c r="CJ60" i="22"/>
  <c r="CK60" i="22"/>
  <c r="CL60" i="22"/>
  <c r="CM60" i="22"/>
  <c r="CN60" i="22"/>
  <c r="CO60" i="22"/>
  <c r="CP60" i="22"/>
  <c r="CQ60" i="22"/>
  <c r="CR60" i="22"/>
  <c r="CS60" i="22"/>
  <c r="CT60" i="22"/>
  <c r="CU60" i="22"/>
  <c r="CV60" i="22"/>
  <c r="CW60" i="22"/>
  <c r="CX60" i="22"/>
  <c r="CY60" i="22"/>
  <c r="CZ60" i="22"/>
  <c r="DA60" i="22"/>
  <c r="DB60" i="22"/>
  <c r="DC60" i="22"/>
  <c r="DD60" i="22"/>
  <c r="DE60" i="22"/>
  <c r="DF60" i="22"/>
  <c r="DG60" i="22"/>
  <c r="DH60" i="22"/>
  <c r="DI60" i="22"/>
  <c r="DJ60" i="22"/>
  <c r="DK60" i="22"/>
  <c r="DL60" i="22"/>
  <c r="DM60" i="22"/>
  <c r="DN60" i="22"/>
  <c r="DO60" i="22"/>
  <c r="DP60" i="22"/>
  <c r="DQ60" i="22"/>
  <c r="DR60" i="22"/>
  <c r="DS60" i="22"/>
  <c r="DT60" i="22"/>
  <c r="DU60" i="22"/>
  <c r="DV60" i="22"/>
  <c r="DW60" i="22"/>
  <c r="DX60" i="22"/>
  <c r="DY60" i="22"/>
  <c r="DZ60" i="22"/>
  <c r="EA60" i="22"/>
  <c r="EB60" i="22"/>
  <c r="EC60" i="22"/>
  <c r="ED60" i="22"/>
  <c r="EE60" i="22"/>
  <c r="EF60" i="22"/>
  <c r="EG60" i="22"/>
  <c r="EH60" i="22"/>
  <c r="EI60" i="22"/>
  <c r="EJ60" i="22"/>
  <c r="EK60" i="22"/>
  <c r="EL60" i="22"/>
  <c r="EM60" i="22"/>
  <c r="EN60" i="22"/>
  <c r="EO60" i="22"/>
  <c r="EP60" i="22"/>
  <c r="EQ60" i="22"/>
  <c r="ER60" i="22"/>
  <c r="ES60" i="22"/>
  <c r="ET60" i="22"/>
  <c r="EU60" i="22"/>
  <c r="EV60" i="22"/>
  <c r="EW60" i="22"/>
  <c r="EX60" i="22"/>
  <c r="EY60" i="22"/>
  <c r="EZ60" i="22"/>
  <c r="FA60" i="22"/>
  <c r="FB60" i="22"/>
  <c r="FC60" i="22"/>
  <c r="FD60" i="22"/>
  <c r="FE60" i="22"/>
  <c r="FF60" i="22"/>
  <c r="FG60" i="22"/>
  <c r="FH60" i="22"/>
  <c r="FI60" i="22"/>
  <c r="FJ60" i="22"/>
  <c r="FK60" i="22"/>
  <c r="FL60" i="22"/>
  <c r="FM60" i="22"/>
  <c r="FN60" i="22"/>
  <c r="FO60" i="22"/>
  <c r="FP60" i="22"/>
  <c r="FQ60" i="22"/>
  <c r="FR60" i="22"/>
  <c r="FS60" i="22"/>
  <c r="FT60" i="22"/>
  <c r="FU60" i="22"/>
  <c r="FV60" i="22"/>
  <c r="FW60" i="22"/>
  <c r="FX60" i="22"/>
  <c r="FY60" i="22"/>
  <c r="FZ60" i="22"/>
  <c r="GA60" i="22"/>
  <c r="GB60" i="22"/>
  <c r="GC60" i="22"/>
  <c r="GD60" i="22"/>
  <c r="GE60" i="22"/>
  <c r="GF60" i="22"/>
  <c r="GG60" i="22"/>
  <c r="GH60" i="22"/>
  <c r="GI60" i="22"/>
  <c r="GJ60" i="22"/>
  <c r="GK60" i="22"/>
  <c r="GL60" i="22"/>
  <c r="GM60" i="22"/>
  <c r="GN60" i="22"/>
  <c r="GO60" i="22"/>
  <c r="GP60" i="22"/>
  <c r="GQ60" i="22"/>
  <c r="GR60" i="22"/>
  <c r="GS60" i="22"/>
  <c r="GT60" i="22"/>
  <c r="GU60" i="22"/>
  <c r="GV60" i="22"/>
  <c r="GW60" i="22"/>
  <c r="GX60" i="22"/>
  <c r="GY60" i="22"/>
  <c r="GZ60" i="22"/>
  <c r="HA60" i="22"/>
  <c r="HB60" i="22"/>
  <c r="HC60" i="22"/>
  <c r="HD60" i="22"/>
  <c r="HE60" i="22"/>
  <c r="HF60" i="22"/>
  <c r="HG60" i="22"/>
  <c r="HH60" i="22"/>
  <c r="HI60" i="22"/>
  <c r="HJ60" i="22"/>
  <c r="HK60" i="22"/>
  <c r="HL60" i="22"/>
  <c r="HM60" i="22"/>
  <c r="HN60" i="22"/>
  <c r="HO60" i="22"/>
  <c r="HP60" i="22"/>
  <c r="HQ60" i="22"/>
  <c r="HR60" i="22"/>
  <c r="HS60" i="22"/>
  <c r="HT60" i="22"/>
  <c r="HU60" i="22"/>
  <c r="HV60" i="22"/>
  <c r="HW60" i="22"/>
  <c r="HX60" i="22"/>
  <c r="HY60" i="22"/>
  <c r="HZ60" i="22"/>
  <c r="IA60" i="22"/>
  <c r="IB60" i="22"/>
  <c r="IC60" i="22"/>
  <c r="ID60" i="22"/>
  <c r="IE60" i="22"/>
  <c r="IF60" i="22"/>
  <c r="IG60" i="22"/>
  <c r="IH60" i="22"/>
  <c r="II60" i="22"/>
  <c r="IJ60" i="22"/>
  <c r="IK60" i="22"/>
  <c r="IL60" i="22"/>
  <c r="IM60" i="22"/>
  <c r="IN60" i="22"/>
  <c r="IO60" i="22"/>
  <c r="IP60" i="22"/>
  <c r="IQ60" i="22"/>
  <c r="IR60" i="22"/>
  <c r="IS60" i="22"/>
  <c r="IT60" i="22"/>
  <c r="IU60" i="22"/>
  <c r="IV60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Y61" i="22"/>
  <c r="Z61" i="22"/>
  <c r="AA61" i="22"/>
  <c r="AB61" i="22"/>
  <c r="AC61" i="22"/>
  <c r="AD61" i="22"/>
  <c r="AE61" i="22"/>
  <c r="AF61" i="22"/>
  <c r="AG61" i="22"/>
  <c r="AH61" i="22"/>
  <c r="AI61" i="22"/>
  <c r="AJ61" i="22"/>
  <c r="AK61" i="22"/>
  <c r="AL61" i="22"/>
  <c r="AM61" i="22"/>
  <c r="AN61" i="22"/>
  <c r="AO61" i="22"/>
  <c r="AP61" i="22"/>
  <c r="AQ61" i="22"/>
  <c r="AR61" i="22"/>
  <c r="AS61" i="22"/>
  <c r="AT61" i="22"/>
  <c r="AU61" i="22"/>
  <c r="AV61" i="22"/>
  <c r="AW61" i="22"/>
  <c r="AX61" i="22"/>
  <c r="AY61" i="22"/>
  <c r="AZ61" i="22"/>
  <c r="BA61" i="22"/>
  <c r="BB61" i="22"/>
  <c r="BC61" i="22"/>
  <c r="BD61" i="22"/>
  <c r="BE61" i="22"/>
  <c r="BF61" i="22"/>
  <c r="BG61" i="22"/>
  <c r="BH61" i="22"/>
  <c r="BI61" i="22"/>
  <c r="BJ61" i="22"/>
  <c r="BK61" i="22"/>
  <c r="BL61" i="22"/>
  <c r="BM61" i="22"/>
  <c r="BN61" i="22"/>
  <c r="BO61" i="22"/>
  <c r="BP61" i="22"/>
  <c r="BQ61" i="22"/>
  <c r="BR61" i="22"/>
  <c r="BS61" i="22"/>
  <c r="BT61" i="22"/>
  <c r="BU61" i="22"/>
  <c r="BV61" i="22"/>
  <c r="BW61" i="22"/>
  <c r="BX61" i="22"/>
  <c r="BY61" i="22"/>
  <c r="BZ61" i="22"/>
  <c r="CA61" i="22"/>
  <c r="CB61" i="22"/>
  <c r="CC61" i="22"/>
  <c r="CD61" i="22"/>
  <c r="CE61" i="22"/>
  <c r="CF61" i="22"/>
  <c r="CG61" i="22"/>
  <c r="CH61" i="22"/>
  <c r="CI61" i="22"/>
  <c r="CJ61" i="22"/>
  <c r="CK61" i="22"/>
  <c r="CL61" i="22"/>
  <c r="CM61" i="22"/>
  <c r="CN61" i="22"/>
  <c r="CO61" i="22"/>
  <c r="CP61" i="22"/>
  <c r="CQ61" i="22"/>
  <c r="CR61" i="22"/>
  <c r="CS61" i="22"/>
  <c r="CT61" i="22"/>
  <c r="CU61" i="22"/>
  <c r="CV61" i="22"/>
  <c r="CW61" i="22"/>
  <c r="CX61" i="22"/>
  <c r="CY61" i="22"/>
  <c r="CZ61" i="22"/>
  <c r="DA61" i="22"/>
  <c r="DB61" i="22"/>
  <c r="DC61" i="22"/>
  <c r="DD61" i="22"/>
  <c r="DE61" i="22"/>
  <c r="DF61" i="22"/>
  <c r="DG61" i="22"/>
  <c r="DH61" i="22"/>
  <c r="DI61" i="22"/>
  <c r="DJ61" i="22"/>
  <c r="DK61" i="22"/>
  <c r="DL61" i="22"/>
  <c r="DM61" i="22"/>
  <c r="DN61" i="22"/>
  <c r="DO61" i="22"/>
  <c r="DP61" i="22"/>
  <c r="DQ61" i="22"/>
  <c r="DR61" i="22"/>
  <c r="DS61" i="22"/>
  <c r="DT61" i="22"/>
  <c r="DU61" i="22"/>
  <c r="DV61" i="22"/>
  <c r="DW61" i="22"/>
  <c r="DX61" i="22"/>
  <c r="DY61" i="22"/>
  <c r="DZ61" i="22"/>
  <c r="EA61" i="22"/>
  <c r="EB61" i="22"/>
  <c r="EC61" i="22"/>
  <c r="ED61" i="22"/>
  <c r="EE61" i="22"/>
  <c r="EF61" i="22"/>
  <c r="EG61" i="22"/>
  <c r="EH61" i="22"/>
  <c r="EI61" i="22"/>
  <c r="EJ61" i="22"/>
  <c r="EK61" i="22"/>
  <c r="EL61" i="22"/>
  <c r="EM61" i="22"/>
  <c r="EN61" i="22"/>
  <c r="EO61" i="22"/>
  <c r="EP61" i="22"/>
  <c r="EQ61" i="22"/>
  <c r="ER61" i="22"/>
  <c r="ES61" i="22"/>
  <c r="ET61" i="22"/>
  <c r="EU61" i="22"/>
  <c r="EV61" i="22"/>
  <c r="EW61" i="22"/>
  <c r="EX61" i="22"/>
  <c r="EY61" i="22"/>
  <c r="EZ61" i="22"/>
  <c r="FA61" i="22"/>
  <c r="FB61" i="22"/>
  <c r="FC61" i="22"/>
  <c r="FD61" i="22"/>
  <c r="FE61" i="22"/>
  <c r="FF61" i="22"/>
  <c r="FG61" i="22"/>
  <c r="FH61" i="22"/>
  <c r="FI61" i="22"/>
  <c r="FJ61" i="22"/>
  <c r="FK61" i="22"/>
  <c r="FL61" i="22"/>
  <c r="FM61" i="22"/>
  <c r="FN61" i="22"/>
  <c r="FO61" i="22"/>
  <c r="FP61" i="22"/>
  <c r="FQ61" i="22"/>
  <c r="FR61" i="22"/>
  <c r="FS61" i="22"/>
  <c r="FT61" i="22"/>
  <c r="FU61" i="22"/>
  <c r="FV61" i="22"/>
  <c r="FW61" i="22"/>
  <c r="FX61" i="22"/>
  <c r="FY61" i="22"/>
  <c r="FZ61" i="22"/>
  <c r="GA61" i="22"/>
  <c r="GB61" i="22"/>
  <c r="GC61" i="22"/>
  <c r="GD61" i="22"/>
  <c r="GE61" i="22"/>
  <c r="GF61" i="22"/>
  <c r="GG61" i="22"/>
  <c r="GH61" i="22"/>
  <c r="GI61" i="22"/>
  <c r="GJ61" i="22"/>
  <c r="GK61" i="22"/>
  <c r="GL61" i="22"/>
  <c r="GM61" i="22"/>
  <c r="GN61" i="22"/>
  <c r="GO61" i="22"/>
  <c r="GP61" i="22"/>
  <c r="GQ61" i="22"/>
  <c r="GR61" i="22"/>
  <c r="GS61" i="22"/>
  <c r="GT61" i="22"/>
  <c r="GU61" i="22"/>
  <c r="GV61" i="22"/>
  <c r="GW61" i="22"/>
  <c r="GX61" i="22"/>
  <c r="GY61" i="22"/>
  <c r="GZ61" i="22"/>
  <c r="HA61" i="22"/>
  <c r="HB61" i="22"/>
  <c r="HC61" i="22"/>
  <c r="HD61" i="22"/>
  <c r="HE61" i="22"/>
  <c r="HF61" i="22"/>
  <c r="HG61" i="22"/>
  <c r="HH61" i="22"/>
  <c r="HI61" i="22"/>
  <c r="HJ61" i="22"/>
  <c r="HK61" i="22"/>
  <c r="HL61" i="22"/>
  <c r="HM61" i="22"/>
  <c r="HN61" i="22"/>
  <c r="HO61" i="22"/>
  <c r="HP61" i="22"/>
  <c r="HQ61" i="22"/>
  <c r="HR61" i="22"/>
  <c r="HS61" i="22"/>
  <c r="HT61" i="22"/>
  <c r="HU61" i="22"/>
  <c r="HV61" i="22"/>
  <c r="HW61" i="22"/>
  <c r="HX61" i="22"/>
  <c r="HY61" i="22"/>
  <c r="HZ61" i="22"/>
  <c r="IA61" i="22"/>
  <c r="IB61" i="22"/>
  <c r="IC61" i="22"/>
  <c r="ID61" i="22"/>
  <c r="IE61" i="22"/>
  <c r="IF61" i="22"/>
  <c r="IG61" i="22"/>
  <c r="IH61" i="22"/>
  <c r="II61" i="22"/>
  <c r="IJ61" i="22"/>
  <c r="IK61" i="22"/>
  <c r="IL61" i="22"/>
  <c r="IM61" i="22"/>
  <c r="IN61" i="22"/>
  <c r="IO61" i="22"/>
  <c r="IP61" i="22"/>
  <c r="IQ61" i="22"/>
  <c r="IR61" i="22"/>
  <c r="IS61" i="22"/>
  <c r="IT61" i="22"/>
  <c r="IU61" i="22"/>
  <c r="IV61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M62" i="22"/>
  <c r="AN62" i="22"/>
  <c r="AO62" i="22"/>
  <c r="AP62" i="22"/>
  <c r="AQ62" i="22"/>
  <c r="AR62" i="22"/>
  <c r="AS62" i="22"/>
  <c r="AT62" i="22"/>
  <c r="AU62" i="22"/>
  <c r="AV62" i="22"/>
  <c r="AW62" i="22"/>
  <c r="AX62" i="22"/>
  <c r="AY62" i="22"/>
  <c r="AZ62" i="22"/>
  <c r="BA62" i="22"/>
  <c r="BB62" i="22"/>
  <c r="BC62" i="22"/>
  <c r="BD62" i="22"/>
  <c r="BE62" i="22"/>
  <c r="BF62" i="22"/>
  <c r="BG62" i="22"/>
  <c r="BH62" i="22"/>
  <c r="BI62" i="22"/>
  <c r="BJ62" i="22"/>
  <c r="BK62" i="22"/>
  <c r="BL62" i="22"/>
  <c r="BM62" i="22"/>
  <c r="BN62" i="22"/>
  <c r="BO62" i="22"/>
  <c r="BP62" i="22"/>
  <c r="BQ62" i="22"/>
  <c r="BR62" i="22"/>
  <c r="BS62" i="22"/>
  <c r="BT62" i="22"/>
  <c r="BU62" i="22"/>
  <c r="BV62" i="22"/>
  <c r="BW62" i="22"/>
  <c r="BX62" i="22"/>
  <c r="BY62" i="22"/>
  <c r="BZ62" i="22"/>
  <c r="CA62" i="22"/>
  <c r="CB62" i="22"/>
  <c r="CC62" i="22"/>
  <c r="CD62" i="22"/>
  <c r="CE62" i="22"/>
  <c r="CF62" i="22"/>
  <c r="CG62" i="22"/>
  <c r="CH62" i="22"/>
  <c r="CI62" i="22"/>
  <c r="CJ62" i="22"/>
  <c r="CK62" i="22"/>
  <c r="CL62" i="22"/>
  <c r="CM62" i="22"/>
  <c r="CN62" i="22"/>
  <c r="CO62" i="22"/>
  <c r="CP62" i="22"/>
  <c r="CQ62" i="22"/>
  <c r="CR62" i="22"/>
  <c r="CS62" i="22"/>
  <c r="CT62" i="22"/>
  <c r="CU62" i="22"/>
  <c r="CV62" i="22"/>
  <c r="CW62" i="22"/>
  <c r="CX62" i="22"/>
  <c r="CY62" i="22"/>
  <c r="CZ62" i="22"/>
  <c r="DA62" i="22"/>
  <c r="DB62" i="22"/>
  <c r="DC62" i="22"/>
  <c r="DD62" i="22"/>
  <c r="DE62" i="22"/>
  <c r="DF62" i="22"/>
  <c r="DG62" i="22"/>
  <c r="DH62" i="22"/>
  <c r="DI62" i="22"/>
  <c r="DJ62" i="22"/>
  <c r="DK62" i="22"/>
  <c r="DL62" i="22"/>
  <c r="DM62" i="22"/>
  <c r="DN62" i="22"/>
  <c r="DO62" i="22"/>
  <c r="DP62" i="22"/>
  <c r="DQ62" i="22"/>
  <c r="DR62" i="22"/>
  <c r="DS62" i="22"/>
  <c r="DT62" i="22"/>
  <c r="DU62" i="22"/>
  <c r="DV62" i="22"/>
  <c r="DW62" i="22"/>
  <c r="DX62" i="22"/>
  <c r="DY62" i="22"/>
  <c r="DZ62" i="22"/>
  <c r="EA62" i="22"/>
  <c r="EB62" i="22"/>
  <c r="EC62" i="22"/>
  <c r="ED62" i="22"/>
  <c r="EE62" i="22"/>
  <c r="EF62" i="22"/>
  <c r="EG62" i="22"/>
  <c r="EH62" i="22"/>
  <c r="EI62" i="22"/>
  <c r="EJ62" i="22"/>
  <c r="EK62" i="22"/>
  <c r="EL62" i="22"/>
  <c r="EM62" i="22"/>
  <c r="EN62" i="22"/>
  <c r="EO62" i="22"/>
  <c r="EP62" i="22"/>
  <c r="EQ62" i="22"/>
  <c r="ER62" i="22"/>
  <c r="ES62" i="22"/>
  <c r="ET62" i="22"/>
  <c r="EU62" i="22"/>
  <c r="EV62" i="22"/>
  <c r="EW62" i="22"/>
  <c r="EX62" i="22"/>
  <c r="EY62" i="22"/>
  <c r="EZ62" i="22"/>
  <c r="FA62" i="22"/>
  <c r="FB62" i="22"/>
  <c r="FC62" i="22"/>
  <c r="FD62" i="22"/>
  <c r="FE62" i="22"/>
  <c r="FF62" i="22"/>
  <c r="FG62" i="22"/>
  <c r="FH62" i="22"/>
  <c r="FI62" i="22"/>
  <c r="FJ62" i="22"/>
  <c r="FK62" i="22"/>
  <c r="FL62" i="22"/>
  <c r="FM62" i="22"/>
  <c r="FN62" i="22"/>
  <c r="FO62" i="22"/>
  <c r="FP62" i="22"/>
  <c r="FQ62" i="22"/>
  <c r="FR62" i="22"/>
  <c r="FS62" i="22"/>
  <c r="FT62" i="22"/>
  <c r="FU62" i="22"/>
  <c r="FV62" i="22"/>
  <c r="FW62" i="22"/>
  <c r="FX62" i="22"/>
  <c r="FY62" i="22"/>
  <c r="FZ62" i="22"/>
  <c r="GA62" i="22"/>
  <c r="GB62" i="22"/>
  <c r="GC62" i="22"/>
  <c r="GD62" i="22"/>
  <c r="GE62" i="22"/>
  <c r="GF62" i="22"/>
  <c r="GG62" i="22"/>
  <c r="GH62" i="22"/>
  <c r="GI62" i="22"/>
  <c r="GJ62" i="22"/>
  <c r="GK62" i="22"/>
  <c r="GL62" i="22"/>
  <c r="GM62" i="22"/>
  <c r="GN62" i="22"/>
  <c r="GO62" i="22"/>
  <c r="GP62" i="22"/>
  <c r="GQ62" i="22"/>
  <c r="GR62" i="22"/>
  <c r="GS62" i="22"/>
  <c r="GT62" i="22"/>
  <c r="GU62" i="22"/>
  <c r="GV62" i="22"/>
  <c r="GW62" i="22"/>
  <c r="GX62" i="22"/>
  <c r="GY62" i="22"/>
  <c r="GZ62" i="22"/>
  <c r="HA62" i="22"/>
  <c r="HB62" i="22"/>
  <c r="HC62" i="22"/>
  <c r="HD62" i="22"/>
  <c r="HE62" i="22"/>
  <c r="HF62" i="22"/>
  <c r="HG62" i="22"/>
  <c r="HH62" i="22"/>
  <c r="HI62" i="22"/>
  <c r="HJ62" i="22"/>
  <c r="HK62" i="22"/>
  <c r="HL62" i="22"/>
  <c r="HM62" i="22"/>
  <c r="HN62" i="22"/>
  <c r="HO62" i="22"/>
  <c r="HP62" i="22"/>
  <c r="HQ62" i="22"/>
  <c r="HR62" i="22"/>
  <c r="HS62" i="22"/>
  <c r="HT62" i="22"/>
  <c r="HU62" i="22"/>
  <c r="HV62" i="22"/>
  <c r="HW62" i="22"/>
  <c r="HX62" i="22"/>
  <c r="HY62" i="22"/>
  <c r="HZ62" i="22"/>
  <c r="IA62" i="22"/>
  <c r="IB62" i="22"/>
  <c r="IC62" i="22"/>
  <c r="ID62" i="22"/>
  <c r="IE62" i="22"/>
  <c r="IF62" i="22"/>
  <c r="IG62" i="22"/>
  <c r="IH62" i="22"/>
  <c r="II62" i="22"/>
  <c r="IJ62" i="22"/>
  <c r="IK62" i="22"/>
  <c r="IL62" i="22"/>
  <c r="IM62" i="22"/>
  <c r="IN62" i="22"/>
  <c r="IO62" i="22"/>
  <c r="IP62" i="22"/>
  <c r="IQ62" i="22"/>
  <c r="IR62" i="22"/>
  <c r="IS62" i="22"/>
  <c r="IT62" i="22"/>
  <c r="IU62" i="22"/>
  <c r="IV62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AB63" i="22"/>
  <c r="AC63" i="22"/>
  <c r="AD63" i="22"/>
  <c r="AE63" i="22"/>
  <c r="AF63" i="22"/>
  <c r="AG63" i="22"/>
  <c r="AH63" i="22"/>
  <c r="AI63" i="22"/>
  <c r="AJ63" i="22"/>
  <c r="AK63" i="22"/>
  <c r="AL63" i="22"/>
  <c r="AM63" i="22"/>
  <c r="AN63" i="22"/>
  <c r="AO63" i="22"/>
  <c r="AP63" i="22"/>
  <c r="AQ63" i="22"/>
  <c r="AR63" i="22"/>
  <c r="AS63" i="22"/>
  <c r="AT63" i="22"/>
  <c r="AU63" i="22"/>
  <c r="AV63" i="22"/>
  <c r="AW63" i="22"/>
  <c r="AX63" i="22"/>
  <c r="AY63" i="22"/>
  <c r="AZ63" i="22"/>
  <c r="BA63" i="22"/>
  <c r="BB63" i="22"/>
  <c r="BC63" i="22"/>
  <c r="BD63" i="22"/>
  <c r="BE63" i="22"/>
  <c r="BF63" i="22"/>
  <c r="BG63" i="22"/>
  <c r="BH63" i="22"/>
  <c r="BI63" i="22"/>
  <c r="BJ63" i="22"/>
  <c r="BK63" i="22"/>
  <c r="BL63" i="22"/>
  <c r="BM63" i="22"/>
  <c r="BN63" i="22"/>
  <c r="BO63" i="22"/>
  <c r="BP63" i="22"/>
  <c r="BQ63" i="22"/>
  <c r="BR63" i="22"/>
  <c r="BS63" i="22"/>
  <c r="BT63" i="22"/>
  <c r="BU63" i="22"/>
  <c r="BV63" i="22"/>
  <c r="BW63" i="22"/>
  <c r="BX63" i="22"/>
  <c r="BY63" i="22"/>
  <c r="BZ63" i="22"/>
  <c r="CA63" i="22"/>
  <c r="CB63" i="22"/>
  <c r="CC63" i="22"/>
  <c r="CD63" i="22"/>
  <c r="CE63" i="22"/>
  <c r="CF63" i="22"/>
  <c r="CG63" i="22"/>
  <c r="CH63" i="22"/>
  <c r="CI63" i="22"/>
  <c r="CJ63" i="22"/>
  <c r="CK63" i="22"/>
  <c r="CL63" i="22"/>
  <c r="CM63" i="22"/>
  <c r="CN63" i="22"/>
  <c r="CO63" i="22"/>
  <c r="CP63" i="22"/>
  <c r="CQ63" i="22"/>
  <c r="CR63" i="22"/>
  <c r="CS63" i="22"/>
  <c r="CT63" i="22"/>
  <c r="CU63" i="22"/>
  <c r="CV63" i="22"/>
  <c r="CW63" i="22"/>
  <c r="CX63" i="22"/>
  <c r="CY63" i="22"/>
  <c r="CZ63" i="22"/>
  <c r="DA63" i="22"/>
  <c r="DB63" i="22"/>
  <c r="DC63" i="22"/>
  <c r="DD63" i="22"/>
  <c r="DE63" i="22"/>
  <c r="DF63" i="22"/>
  <c r="DG63" i="22"/>
  <c r="DH63" i="22"/>
  <c r="DI63" i="22"/>
  <c r="DJ63" i="22"/>
  <c r="DK63" i="22"/>
  <c r="DL63" i="22"/>
  <c r="DM63" i="22"/>
  <c r="DN63" i="22"/>
  <c r="DO63" i="22"/>
  <c r="DP63" i="22"/>
  <c r="DQ63" i="22"/>
  <c r="DR63" i="22"/>
  <c r="DS63" i="22"/>
  <c r="DT63" i="22"/>
  <c r="DU63" i="22"/>
  <c r="DV63" i="22"/>
  <c r="DW63" i="22"/>
  <c r="DX63" i="22"/>
  <c r="DY63" i="22"/>
  <c r="DZ63" i="22"/>
  <c r="EA63" i="22"/>
  <c r="EB63" i="22"/>
  <c r="EC63" i="22"/>
  <c r="ED63" i="22"/>
  <c r="EE63" i="22"/>
  <c r="EF63" i="22"/>
  <c r="EG63" i="22"/>
  <c r="EH63" i="22"/>
  <c r="EI63" i="22"/>
  <c r="EJ63" i="22"/>
  <c r="EK63" i="22"/>
  <c r="EL63" i="22"/>
  <c r="EM63" i="22"/>
  <c r="EN63" i="22"/>
  <c r="EO63" i="22"/>
  <c r="EP63" i="22"/>
  <c r="EQ63" i="22"/>
  <c r="ER63" i="22"/>
  <c r="ES63" i="22"/>
  <c r="ET63" i="22"/>
  <c r="EU63" i="22"/>
  <c r="EV63" i="22"/>
  <c r="EW63" i="22"/>
  <c r="EX63" i="22"/>
  <c r="EY63" i="22"/>
  <c r="EZ63" i="22"/>
  <c r="FA63" i="22"/>
  <c r="FB63" i="22"/>
  <c r="FC63" i="22"/>
  <c r="FD63" i="22"/>
  <c r="FE63" i="22"/>
  <c r="FF63" i="22"/>
  <c r="FG63" i="22"/>
  <c r="FH63" i="22"/>
  <c r="FI63" i="22"/>
  <c r="FJ63" i="22"/>
  <c r="FK63" i="22"/>
  <c r="FL63" i="22"/>
  <c r="FM63" i="22"/>
  <c r="FN63" i="22"/>
  <c r="FO63" i="22"/>
  <c r="FP63" i="22"/>
  <c r="FQ63" i="22"/>
  <c r="FR63" i="22"/>
  <c r="FS63" i="22"/>
  <c r="FT63" i="22"/>
  <c r="FU63" i="22"/>
  <c r="FV63" i="22"/>
  <c r="FW63" i="22"/>
  <c r="FX63" i="22"/>
  <c r="FY63" i="22"/>
  <c r="FZ63" i="22"/>
  <c r="GA63" i="22"/>
  <c r="GB63" i="22"/>
  <c r="GC63" i="22"/>
  <c r="GD63" i="22"/>
  <c r="GE63" i="22"/>
  <c r="GF63" i="22"/>
  <c r="GG63" i="22"/>
  <c r="GH63" i="22"/>
  <c r="GI63" i="22"/>
  <c r="GJ63" i="22"/>
  <c r="GK63" i="22"/>
  <c r="GL63" i="22"/>
  <c r="GM63" i="22"/>
  <c r="GN63" i="22"/>
  <c r="GO63" i="22"/>
  <c r="GP63" i="22"/>
  <c r="GQ63" i="22"/>
  <c r="GR63" i="22"/>
  <c r="GS63" i="22"/>
  <c r="GT63" i="22"/>
  <c r="GU63" i="22"/>
  <c r="GV63" i="22"/>
  <c r="GW63" i="22"/>
  <c r="GX63" i="22"/>
  <c r="GY63" i="22"/>
  <c r="GZ63" i="22"/>
  <c r="HA63" i="22"/>
  <c r="HB63" i="22"/>
  <c r="HC63" i="22"/>
  <c r="HD63" i="22"/>
  <c r="HE63" i="22"/>
  <c r="HF63" i="22"/>
  <c r="HG63" i="22"/>
  <c r="HH63" i="22"/>
  <c r="HI63" i="22"/>
  <c r="HJ63" i="22"/>
  <c r="HK63" i="22"/>
  <c r="HL63" i="22"/>
  <c r="HM63" i="22"/>
  <c r="HN63" i="22"/>
  <c r="HO63" i="22"/>
  <c r="HP63" i="22"/>
  <c r="HQ63" i="22"/>
  <c r="HR63" i="22"/>
  <c r="HS63" i="22"/>
  <c r="HT63" i="22"/>
  <c r="HU63" i="22"/>
  <c r="HV63" i="22"/>
  <c r="HW63" i="22"/>
  <c r="HX63" i="22"/>
  <c r="HY63" i="22"/>
  <c r="HZ63" i="22"/>
  <c r="IA63" i="22"/>
  <c r="IB63" i="22"/>
  <c r="IC63" i="22"/>
  <c r="ID63" i="22"/>
  <c r="IE63" i="22"/>
  <c r="IF63" i="22"/>
  <c r="IG63" i="22"/>
  <c r="IH63" i="22"/>
  <c r="II63" i="22"/>
  <c r="IJ63" i="22"/>
  <c r="IK63" i="22"/>
  <c r="IL63" i="22"/>
  <c r="IM63" i="22"/>
  <c r="IN63" i="22"/>
  <c r="IO63" i="22"/>
  <c r="IP63" i="22"/>
  <c r="IQ63" i="22"/>
  <c r="IR63" i="22"/>
  <c r="IS63" i="22"/>
  <c r="IT63" i="22"/>
  <c r="IU63" i="22"/>
  <c r="IV63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AF64" i="22"/>
  <c r="AG64" i="22"/>
  <c r="AH64" i="22"/>
  <c r="AI64" i="22"/>
  <c r="AJ64" i="22"/>
  <c r="AK64" i="22"/>
  <c r="AL64" i="22"/>
  <c r="AM64" i="22"/>
  <c r="AN64" i="22"/>
  <c r="AO64" i="22"/>
  <c r="AP64" i="22"/>
  <c r="AQ64" i="22"/>
  <c r="AR64" i="22"/>
  <c r="AS64" i="22"/>
  <c r="AT64" i="22"/>
  <c r="AU64" i="22"/>
  <c r="AV64" i="22"/>
  <c r="AW64" i="22"/>
  <c r="AX64" i="22"/>
  <c r="AY64" i="22"/>
  <c r="AZ64" i="22"/>
  <c r="BA64" i="22"/>
  <c r="BB64" i="22"/>
  <c r="BC64" i="22"/>
  <c r="BD64" i="22"/>
  <c r="BE64" i="22"/>
  <c r="BF64" i="22"/>
  <c r="BG64" i="22"/>
  <c r="BH64" i="22"/>
  <c r="BI64" i="22"/>
  <c r="BJ64" i="22"/>
  <c r="BK64" i="22"/>
  <c r="BL64" i="22"/>
  <c r="BM64" i="22"/>
  <c r="BN64" i="22"/>
  <c r="BO64" i="22"/>
  <c r="BP64" i="22"/>
  <c r="BQ64" i="22"/>
  <c r="BR64" i="22"/>
  <c r="BS64" i="22"/>
  <c r="BT64" i="22"/>
  <c r="BU64" i="22"/>
  <c r="BV64" i="22"/>
  <c r="BW64" i="22"/>
  <c r="BX64" i="22"/>
  <c r="BY64" i="22"/>
  <c r="BZ64" i="22"/>
  <c r="CA64" i="22"/>
  <c r="CB64" i="22"/>
  <c r="CC64" i="22"/>
  <c r="CD64" i="22"/>
  <c r="CE64" i="22"/>
  <c r="CF64" i="22"/>
  <c r="CG64" i="22"/>
  <c r="CH64" i="22"/>
  <c r="CI64" i="22"/>
  <c r="CJ64" i="22"/>
  <c r="CK64" i="22"/>
  <c r="CL64" i="22"/>
  <c r="CM64" i="22"/>
  <c r="CN64" i="22"/>
  <c r="CO64" i="22"/>
  <c r="CP64" i="22"/>
  <c r="CQ64" i="22"/>
  <c r="CR64" i="22"/>
  <c r="CS64" i="22"/>
  <c r="CT64" i="22"/>
  <c r="CU64" i="22"/>
  <c r="CV64" i="22"/>
  <c r="CW64" i="22"/>
  <c r="CX64" i="22"/>
  <c r="CY64" i="22"/>
  <c r="CZ64" i="22"/>
  <c r="DA64" i="22"/>
  <c r="DB64" i="22"/>
  <c r="DC64" i="22"/>
  <c r="DD64" i="22"/>
  <c r="DE64" i="22"/>
  <c r="DF64" i="22"/>
  <c r="DG64" i="22"/>
  <c r="DH64" i="22"/>
  <c r="DI64" i="22"/>
  <c r="DJ64" i="22"/>
  <c r="DK64" i="22"/>
  <c r="DL64" i="22"/>
  <c r="DM64" i="22"/>
  <c r="DN64" i="22"/>
  <c r="DO64" i="22"/>
  <c r="DP64" i="22"/>
  <c r="DQ64" i="22"/>
  <c r="DR64" i="22"/>
  <c r="DS64" i="22"/>
  <c r="DT64" i="22"/>
  <c r="DU64" i="22"/>
  <c r="DV64" i="22"/>
  <c r="DW64" i="22"/>
  <c r="DX64" i="22"/>
  <c r="DY64" i="22"/>
  <c r="DZ64" i="22"/>
  <c r="EA64" i="22"/>
  <c r="EB64" i="22"/>
  <c r="EC64" i="22"/>
  <c r="ED64" i="22"/>
  <c r="EE64" i="22"/>
  <c r="EF64" i="22"/>
  <c r="EG64" i="22"/>
  <c r="EH64" i="22"/>
  <c r="EI64" i="22"/>
  <c r="EJ64" i="22"/>
  <c r="EK64" i="22"/>
  <c r="EL64" i="22"/>
  <c r="EM64" i="22"/>
  <c r="EN64" i="22"/>
  <c r="EO64" i="22"/>
  <c r="EP64" i="22"/>
  <c r="EQ64" i="22"/>
  <c r="ER64" i="22"/>
  <c r="ES64" i="22"/>
  <c r="ET64" i="22"/>
  <c r="EU64" i="22"/>
  <c r="EV64" i="22"/>
  <c r="EW64" i="22"/>
  <c r="EX64" i="22"/>
  <c r="EY64" i="22"/>
  <c r="EZ64" i="22"/>
  <c r="FA64" i="22"/>
  <c r="FB64" i="22"/>
  <c r="FC64" i="22"/>
  <c r="FD64" i="22"/>
  <c r="FE64" i="22"/>
  <c r="FF64" i="22"/>
  <c r="FG64" i="22"/>
  <c r="FH64" i="22"/>
  <c r="FI64" i="22"/>
  <c r="FJ64" i="22"/>
  <c r="FK64" i="22"/>
  <c r="FL64" i="22"/>
  <c r="FM64" i="22"/>
  <c r="FN64" i="22"/>
  <c r="FO64" i="22"/>
  <c r="FP64" i="22"/>
  <c r="FQ64" i="22"/>
  <c r="FR64" i="22"/>
  <c r="FS64" i="22"/>
  <c r="FT64" i="22"/>
  <c r="FU64" i="22"/>
  <c r="FV64" i="22"/>
  <c r="FW64" i="22"/>
  <c r="FX64" i="22"/>
  <c r="FY64" i="22"/>
  <c r="FZ64" i="22"/>
  <c r="GA64" i="22"/>
  <c r="GB64" i="22"/>
  <c r="GC64" i="22"/>
  <c r="GD64" i="22"/>
  <c r="GE64" i="22"/>
  <c r="GF64" i="22"/>
  <c r="GG64" i="22"/>
  <c r="GH64" i="22"/>
  <c r="GI64" i="22"/>
  <c r="GJ64" i="22"/>
  <c r="GK64" i="22"/>
  <c r="GL64" i="22"/>
  <c r="GM64" i="22"/>
  <c r="GN64" i="22"/>
  <c r="GO64" i="22"/>
  <c r="GP64" i="22"/>
  <c r="GQ64" i="22"/>
  <c r="GR64" i="22"/>
  <c r="GS64" i="22"/>
  <c r="GT64" i="22"/>
  <c r="GU64" i="22"/>
  <c r="GV64" i="22"/>
  <c r="GW64" i="22"/>
  <c r="GX64" i="22"/>
  <c r="GY64" i="22"/>
  <c r="GZ64" i="22"/>
  <c r="HA64" i="22"/>
  <c r="HB64" i="22"/>
  <c r="HC64" i="22"/>
  <c r="HD64" i="22"/>
  <c r="HE64" i="22"/>
  <c r="HF64" i="22"/>
  <c r="HG64" i="22"/>
  <c r="HH64" i="22"/>
  <c r="HI64" i="22"/>
  <c r="HJ64" i="22"/>
  <c r="HK64" i="22"/>
  <c r="HL64" i="22"/>
  <c r="HM64" i="22"/>
  <c r="HN64" i="22"/>
  <c r="HO64" i="22"/>
  <c r="HP64" i="22"/>
  <c r="HQ64" i="22"/>
  <c r="HR64" i="22"/>
  <c r="HS64" i="22"/>
  <c r="HT64" i="22"/>
  <c r="HU64" i="22"/>
  <c r="HV64" i="22"/>
  <c r="HW64" i="22"/>
  <c r="HX64" i="22"/>
  <c r="HY64" i="22"/>
  <c r="HZ64" i="22"/>
  <c r="IA64" i="22"/>
  <c r="IB64" i="22"/>
  <c r="IC64" i="22"/>
  <c r="ID64" i="22"/>
  <c r="IE64" i="22"/>
  <c r="IF64" i="22"/>
  <c r="IG64" i="22"/>
  <c r="IH64" i="22"/>
  <c r="II64" i="22"/>
  <c r="IJ64" i="22"/>
  <c r="IK64" i="22"/>
  <c r="IL64" i="22"/>
  <c r="IM64" i="22"/>
  <c r="IN64" i="22"/>
  <c r="IO64" i="22"/>
  <c r="IP64" i="22"/>
  <c r="IQ64" i="22"/>
  <c r="IR64" i="22"/>
  <c r="IS64" i="22"/>
  <c r="IT64" i="22"/>
  <c r="IU64" i="22"/>
  <c r="IV64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AF65" i="22"/>
  <c r="AG65" i="22"/>
  <c r="AH65" i="22"/>
  <c r="AI65" i="22"/>
  <c r="AJ65" i="22"/>
  <c r="AK65" i="22"/>
  <c r="AL65" i="22"/>
  <c r="AM65" i="22"/>
  <c r="AN65" i="22"/>
  <c r="AO65" i="22"/>
  <c r="AP65" i="22"/>
  <c r="AQ65" i="22"/>
  <c r="AR65" i="22"/>
  <c r="AS65" i="22"/>
  <c r="AT65" i="22"/>
  <c r="AU65" i="22"/>
  <c r="AV65" i="22"/>
  <c r="AW65" i="22"/>
  <c r="AX65" i="22"/>
  <c r="AY65" i="22"/>
  <c r="AZ65" i="22"/>
  <c r="BA65" i="22"/>
  <c r="BB65" i="22"/>
  <c r="BC65" i="22"/>
  <c r="BD65" i="22"/>
  <c r="BE65" i="22"/>
  <c r="BF65" i="22"/>
  <c r="BG65" i="22"/>
  <c r="BH65" i="22"/>
  <c r="BI65" i="22"/>
  <c r="BJ65" i="22"/>
  <c r="BK65" i="22"/>
  <c r="BL65" i="22"/>
  <c r="BM65" i="22"/>
  <c r="BN65" i="22"/>
  <c r="BO65" i="22"/>
  <c r="BP65" i="22"/>
  <c r="BQ65" i="22"/>
  <c r="BR65" i="22"/>
  <c r="BS65" i="22"/>
  <c r="BT65" i="22"/>
  <c r="BU65" i="22"/>
  <c r="BV65" i="22"/>
  <c r="BW65" i="22"/>
  <c r="BX65" i="22"/>
  <c r="BY65" i="22"/>
  <c r="BZ65" i="22"/>
  <c r="CA65" i="22"/>
  <c r="CB65" i="22"/>
  <c r="CC65" i="22"/>
  <c r="CD65" i="22"/>
  <c r="CE65" i="22"/>
  <c r="CF65" i="22"/>
  <c r="CG65" i="22"/>
  <c r="CH65" i="22"/>
  <c r="CI65" i="22"/>
  <c r="CJ65" i="22"/>
  <c r="CK65" i="22"/>
  <c r="CL65" i="22"/>
  <c r="CM65" i="22"/>
  <c r="CN65" i="22"/>
  <c r="CO65" i="22"/>
  <c r="CP65" i="22"/>
  <c r="CQ65" i="22"/>
  <c r="CR65" i="22"/>
  <c r="CS65" i="22"/>
  <c r="CT65" i="22"/>
  <c r="CU65" i="22"/>
  <c r="CV65" i="22"/>
  <c r="CW65" i="22"/>
  <c r="CX65" i="22"/>
  <c r="CY65" i="22"/>
  <c r="CZ65" i="22"/>
  <c r="DA65" i="22"/>
  <c r="DB65" i="22"/>
  <c r="DC65" i="22"/>
  <c r="DD65" i="22"/>
  <c r="DE65" i="22"/>
  <c r="DF65" i="22"/>
  <c r="DG65" i="22"/>
  <c r="DH65" i="22"/>
  <c r="DI65" i="22"/>
  <c r="DJ65" i="22"/>
  <c r="DK65" i="22"/>
  <c r="DL65" i="22"/>
  <c r="DM65" i="22"/>
  <c r="DN65" i="22"/>
  <c r="DO65" i="22"/>
  <c r="DP65" i="22"/>
  <c r="DQ65" i="22"/>
  <c r="DR65" i="22"/>
  <c r="DS65" i="22"/>
  <c r="DT65" i="22"/>
  <c r="DU65" i="22"/>
  <c r="DV65" i="22"/>
  <c r="DW65" i="22"/>
  <c r="DX65" i="22"/>
  <c r="DY65" i="22"/>
  <c r="DZ65" i="22"/>
  <c r="EA65" i="22"/>
  <c r="EB65" i="22"/>
  <c r="EC65" i="22"/>
  <c r="ED65" i="22"/>
  <c r="EE65" i="22"/>
  <c r="EF65" i="22"/>
  <c r="EG65" i="22"/>
  <c r="EH65" i="22"/>
  <c r="EI65" i="22"/>
  <c r="EJ65" i="22"/>
  <c r="EK65" i="22"/>
  <c r="EL65" i="22"/>
  <c r="EM65" i="22"/>
  <c r="EN65" i="22"/>
  <c r="EO65" i="22"/>
  <c r="EP65" i="22"/>
  <c r="EQ65" i="22"/>
  <c r="ER65" i="22"/>
  <c r="ES65" i="22"/>
  <c r="ET65" i="22"/>
  <c r="EU65" i="22"/>
  <c r="EV65" i="22"/>
  <c r="EW65" i="22"/>
  <c r="EX65" i="22"/>
  <c r="EY65" i="22"/>
  <c r="EZ65" i="22"/>
  <c r="FA65" i="22"/>
  <c r="FB65" i="22"/>
  <c r="FC65" i="22"/>
  <c r="FD65" i="22"/>
  <c r="FE65" i="22"/>
  <c r="FF65" i="22"/>
  <c r="FG65" i="22"/>
  <c r="FH65" i="22"/>
  <c r="FI65" i="22"/>
  <c r="FJ65" i="22"/>
  <c r="FK65" i="22"/>
  <c r="FL65" i="22"/>
  <c r="FM65" i="22"/>
  <c r="FN65" i="22"/>
  <c r="FO65" i="22"/>
  <c r="FP65" i="22"/>
  <c r="FQ65" i="22"/>
  <c r="FR65" i="22"/>
  <c r="FS65" i="22"/>
  <c r="FT65" i="22"/>
  <c r="FU65" i="22"/>
  <c r="FV65" i="22"/>
  <c r="FW65" i="22"/>
  <c r="FX65" i="22"/>
  <c r="FY65" i="22"/>
  <c r="FZ65" i="22"/>
  <c r="GA65" i="22"/>
  <c r="GB65" i="22"/>
  <c r="GC65" i="22"/>
  <c r="GD65" i="22"/>
  <c r="GE65" i="22"/>
  <c r="GF65" i="22"/>
  <c r="GG65" i="22"/>
  <c r="GH65" i="22"/>
  <c r="GI65" i="22"/>
  <c r="GJ65" i="22"/>
  <c r="GK65" i="22"/>
  <c r="GL65" i="22"/>
  <c r="GM65" i="22"/>
  <c r="GN65" i="22"/>
  <c r="GO65" i="22"/>
  <c r="GP65" i="22"/>
  <c r="GQ65" i="22"/>
  <c r="GR65" i="22"/>
  <c r="GS65" i="22"/>
  <c r="GT65" i="22"/>
  <c r="GU65" i="22"/>
  <c r="GV65" i="22"/>
  <c r="GW65" i="22"/>
  <c r="GX65" i="22"/>
  <c r="GY65" i="22"/>
  <c r="GZ65" i="22"/>
  <c r="HA65" i="22"/>
  <c r="HB65" i="22"/>
  <c r="HC65" i="22"/>
  <c r="HD65" i="22"/>
  <c r="HE65" i="22"/>
  <c r="HF65" i="22"/>
  <c r="HG65" i="22"/>
  <c r="HH65" i="22"/>
  <c r="HI65" i="22"/>
  <c r="HJ65" i="22"/>
  <c r="HK65" i="22"/>
  <c r="HL65" i="22"/>
  <c r="HM65" i="22"/>
  <c r="HN65" i="22"/>
  <c r="HO65" i="22"/>
  <c r="HP65" i="22"/>
  <c r="HQ65" i="22"/>
  <c r="HR65" i="22"/>
  <c r="HS65" i="22"/>
  <c r="HT65" i="22"/>
  <c r="HU65" i="22"/>
  <c r="HV65" i="22"/>
  <c r="HW65" i="22"/>
  <c r="HX65" i="22"/>
  <c r="HY65" i="22"/>
  <c r="HZ65" i="22"/>
  <c r="IA65" i="22"/>
  <c r="IB65" i="22"/>
  <c r="IC65" i="22"/>
  <c r="ID65" i="22"/>
  <c r="IE65" i="22"/>
  <c r="IF65" i="22"/>
  <c r="IG65" i="22"/>
  <c r="IH65" i="22"/>
  <c r="II65" i="22"/>
  <c r="IJ65" i="22"/>
  <c r="IK65" i="22"/>
  <c r="IL65" i="22"/>
  <c r="IM65" i="22"/>
  <c r="IN65" i="22"/>
  <c r="IO65" i="22"/>
  <c r="IP65" i="22"/>
  <c r="IQ65" i="22"/>
  <c r="IR65" i="22"/>
  <c r="IS65" i="22"/>
  <c r="IT65" i="22"/>
  <c r="IU65" i="22"/>
  <c r="IV65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B66" i="22"/>
  <c r="AC66" i="22"/>
  <c r="AD66" i="22"/>
  <c r="AE66" i="22"/>
  <c r="AF66" i="22"/>
  <c r="AG66" i="22"/>
  <c r="AH66" i="22"/>
  <c r="AI66" i="22"/>
  <c r="AJ66" i="22"/>
  <c r="AK66" i="22"/>
  <c r="AL66" i="22"/>
  <c r="AM66" i="22"/>
  <c r="AN66" i="22"/>
  <c r="AO66" i="22"/>
  <c r="AP66" i="22"/>
  <c r="AQ66" i="22"/>
  <c r="AR66" i="22"/>
  <c r="AS66" i="22"/>
  <c r="AT66" i="22"/>
  <c r="AU66" i="22"/>
  <c r="AV66" i="22"/>
  <c r="AW66" i="22"/>
  <c r="AX66" i="22"/>
  <c r="AY66" i="22"/>
  <c r="AZ66" i="22"/>
  <c r="BA66" i="22"/>
  <c r="BB66" i="22"/>
  <c r="BC66" i="22"/>
  <c r="BD66" i="22"/>
  <c r="BE66" i="22"/>
  <c r="BF66" i="22"/>
  <c r="BG66" i="22"/>
  <c r="BH66" i="22"/>
  <c r="BI66" i="22"/>
  <c r="BJ66" i="22"/>
  <c r="BK66" i="22"/>
  <c r="BL66" i="22"/>
  <c r="BM66" i="22"/>
  <c r="BN66" i="22"/>
  <c r="BO66" i="22"/>
  <c r="BP66" i="22"/>
  <c r="BQ66" i="22"/>
  <c r="BR66" i="22"/>
  <c r="BS66" i="22"/>
  <c r="BT66" i="22"/>
  <c r="BU66" i="22"/>
  <c r="BV66" i="22"/>
  <c r="BW66" i="22"/>
  <c r="BX66" i="22"/>
  <c r="BY66" i="22"/>
  <c r="BZ66" i="22"/>
  <c r="CA66" i="22"/>
  <c r="CB66" i="22"/>
  <c r="CC66" i="22"/>
  <c r="CD66" i="22"/>
  <c r="CE66" i="22"/>
  <c r="CF66" i="22"/>
  <c r="CG66" i="22"/>
  <c r="CH66" i="22"/>
  <c r="CI66" i="22"/>
  <c r="CJ66" i="22"/>
  <c r="CK66" i="22"/>
  <c r="CL66" i="22"/>
  <c r="CM66" i="22"/>
  <c r="CN66" i="22"/>
  <c r="CO66" i="22"/>
  <c r="CP66" i="22"/>
  <c r="CQ66" i="22"/>
  <c r="CR66" i="22"/>
  <c r="CS66" i="22"/>
  <c r="CT66" i="22"/>
  <c r="CU66" i="22"/>
  <c r="CV66" i="22"/>
  <c r="CW66" i="22"/>
  <c r="CX66" i="22"/>
  <c r="CY66" i="22"/>
  <c r="CZ66" i="22"/>
  <c r="DA66" i="22"/>
  <c r="DB66" i="22"/>
  <c r="DC66" i="22"/>
  <c r="DD66" i="22"/>
  <c r="DE66" i="22"/>
  <c r="DF66" i="22"/>
  <c r="DG66" i="22"/>
  <c r="DH66" i="22"/>
  <c r="DI66" i="22"/>
  <c r="DJ66" i="22"/>
  <c r="DK66" i="22"/>
  <c r="DL66" i="22"/>
  <c r="DM66" i="22"/>
  <c r="DN66" i="22"/>
  <c r="DO66" i="22"/>
  <c r="DP66" i="22"/>
  <c r="DQ66" i="22"/>
  <c r="DR66" i="22"/>
  <c r="DS66" i="22"/>
  <c r="DT66" i="22"/>
  <c r="DU66" i="22"/>
  <c r="DV66" i="22"/>
  <c r="DW66" i="22"/>
  <c r="DX66" i="22"/>
  <c r="DY66" i="22"/>
  <c r="DZ66" i="22"/>
  <c r="EA66" i="22"/>
  <c r="EB66" i="22"/>
  <c r="EC66" i="22"/>
  <c r="ED66" i="22"/>
  <c r="EE66" i="22"/>
  <c r="EF66" i="22"/>
  <c r="EG66" i="22"/>
  <c r="EH66" i="22"/>
  <c r="EI66" i="22"/>
  <c r="EJ66" i="22"/>
  <c r="EK66" i="22"/>
  <c r="EL66" i="22"/>
  <c r="EM66" i="22"/>
  <c r="EN66" i="22"/>
  <c r="EO66" i="22"/>
  <c r="EP66" i="22"/>
  <c r="EQ66" i="22"/>
  <c r="ER66" i="22"/>
  <c r="ES66" i="22"/>
  <c r="ET66" i="22"/>
  <c r="EU66" i="22"/>
  <c r="EV66" i="22"/>
  <c r="EW66" i="22"/>
  <c r="EX66" i="22"/>
  <c r="EY66" i="22"/>
  <c r="EZ66" i="22"/>
  <c r="FA66" i="22"/>
  <c r="FB66" i="22"/>
  <c r="FC66" i="22"/>
  <c r="FD66" i="22"/>
  <c r="FE66" i="22"/>
  <c r="FF66" i="22"/>
  <c r="FG66" i="22"/>
  <c r="FH66" i="22"/>
  <c r="FI66" i="22"/>
  <c r="FJ66" i="22"/>
  <c r="FK66" i="22"/>
  <c r="FL66" i="22"/>
  <c r="FM66" i="22"/>
  <c r="FN66" i="22"/>
  <c r="FO66" i="22"/>
  <c r="FP66" i="22"/>
  <c r="FQ66" i="22"/>
  <c r="FR66" i="22"/>
  <c r="FS66" i="22"/>
  <c r="FT66" i="22"/>
  <c r="FU66" i="22"/>
  <c r="FV66" i="22"/>
  <c r="FW66" i="22"/>
  <c r="FX66" i="22"/>
  <c r="FY66" i="22"/>
  <c r="FZ66" i="22"/>
  <c r="GA66" i="22"/>
  <c r="GB66" i="22"/>
  <c r="GC66" i="22"/>
  <c r="GD66" i="22"/>
  <c r="GE66" i="22"/>
  <c r="GF66" i="22"/>
  <c r="GG66" i="22"/>
  <c r="GH66" i="22"/>
  <c r="GI66" i="22"/>
  <c r="GJ66" i="22"/>
  <c r="GK66" i="22"/>
  <c r="GL66" i="22"/>
  <c r="GM66" i="22"/>
  <c r="GN66" i="22"/>
  <c r="GO66" i="22"/>
  <c r="GP66" i="22"/>
  <c r="GQ66" i="22"/>
  <c r="GR66" i="22"/>
  <c r="GS66" i="22"/>
  <c r="GT66" i="22"/>
  <c r="GU66" i="22"/>
  <c r="GV66" i="22"/>
  <c r="GW66" i="22"/>
  <c r="GX66" i="22"/>
  <c r="GY66" i="22"/>
  <c r="GZ66" i="22"/>
  <c r="HA66" i="22"/>
  <c r="HB66" i="22"/>
  <c r="HC66" i="22"/>
  <c r="HD66" i="22"/>
  <c r="HE66" i="22"/>
  <c r="HF66" i="22"/>
  <c r="HG66" i="22"/>
  <c r="HH66" i="22"/>
  <c r="HI66" i="22"/>
  <c r="HJ66" i="22"/>
  <c r="HK66" i="22"/>
  <c r="HL66" i="22"/>
  <c r="HM66" i="22"/>
  <c r="HN66" i="22"/>
  <c r="HO66" i="22"/>
  <c r="HP66" i="22"/>
  <c r="HQ66" i="22"/>
  <c r="HR66" i="22"/>
  <c r="HS66" i="22"/>
  <c r="HT66" i="22"/>
  <c r="HU66" i="22"/>
  <c r="HV66" i="22"/>
  <c r="HW66" i="22"/>
  <c r="HX66" i="22"/>
  <c r="HY66" i="22"/>
  <c r="HZ66" i="22"/>
  <c r="IA66" i="22"/>
  <c r="IB66" i="22"/>
  <c r="IC66" i="22"/>
  <c r="ID66" i="22"/>
  <c r="IE66" i="22"/>
  <c r="IF66" i="22"/>
  <c r="IG66" i="22"/>
  <c r="IH66" i="22"/>
  <c r="II66" i="22"/>
  <c r="IJ66" i="22"/>
  <c r="IK66" i="22"/>
  <c r="IL66" i="22"/>
  <c r="IM66" i="22"/>
  <c r="IN66" i="22"/>
  <c r="IO66" i="22"/>
  <c r="IP66" i="22"/>
  <c r="IQ66" i="22"/>
  <c r="IR66" i="22"/>
  <c r="IS66" i="22"/>
  <c r="IT66" i="22"/>
  <c r="IU66" i="22"/>
  <c r="IV66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B67" i="22"/>
  <c r="AC67" i="22"/>
  <c r="AD67" i="22"/>
  <c r="AE67" i="22"/>
  <c r="AF67" i="22"/>
  <c r="AG67" i="22"/>
  <c r="AH67" i="22"/>
  <c r="AI67" i="22"/>
  <c r="AJ67" i="22"/>
  <c r="AK67" i="22"/>
  <c r="AL67" i="22"/>
  <c r="AM67" i="22"/>
  <c r="AN67" i="22"/>
  <c r="AO67" i="22"/>
  <c r="AP67" i="22"/>
  <c r="AQ67" i="22"/>
  <c r="AR67" i="22"/>
  <c r="AS67" i="22"/>
  <c r="AT67" i="22"/>
  <c r="AU67" i="22"/>
  <c r="AV67" i="22"/>
  <c r="AW67" i="22"/>
  <c r="AX67" i="22"/>
  <c r="AY67" i="22"/>
  <c r="AZ67" i="22"/>
  <c r="BA67" i="22"/>
  <c r="BB67" i="22"/>
  <c r="BC67" i="22"/>
  <c r="BD67" i="22"/>
  <c r="BE67" i="22"/>
  <c r="BF67" i="22"/>
  <c r="BG67" i="22"/>
  <c r="BH67" i="22"/>
  <c r="BI67" i="22"/>
  <c r="BJ67" i="22"/>
  <c r="BK67" i="22"/>
  <c r="BL67" i="22"/>
  <c r="BM67" i="22"/>
  <c r="BN67" i="22"/>
  <c r="BO67" i="22"/>
  <c r="BP67" i="22"/>
  <c r="BQ67" i="22"/>
  <c r="BR67" i="22"/>
  <c r="BS67" i="22"/>
  <c r="BT67" i="22"/>
  <c r="BU67" i="22"/>
  <c r="BV67" i="22"/>
  <c r="BW67" i="22"/>
  <c r="BX67" i="22"/>
  <c r="BY67" i="22"/>
  <c r="BZ67" i="22"/>
  <c r="CA67" i="22"/>
  <c r="CB67" i="22"/>
  <c r="CC67" i="22"/>
  <c r="CD67" i="22"/>
  <c r="CE67" i="22"/>
  <c r="CF67" i="22"/>
  <c r="CG67" i="22"/>
  <c r="CH67" i="22"/>
  <c r="CI67" i="22"/>
  <c r="CJ67" i="22"/>
  <c r="CK67" i="22"/>
  <c r="CL67" i="22"/>
  <c r="CM67" i="22"/>
  <c r="CN67" i="22"/>
  <c r="CO67" i="22"/>
  <c r="CP67" i="22"/>
  <c r="CQ67" i="22"/>
  <c r="CR67" i="22"/>
  <c r="CS67" i="22"/>
  <c r="CT67" i="22"/>
  <c r="CU67" i="22"/>
  <c r="CV67" i="22"/>
  <c r="CW67" i="22"/>
  <c r="CX67" i="22"/>
  <c r="CY67" i="22"/>
  <c r="CZ67" i="22"/>
  <c r="DA67" i="22"/>
  <c r="DB67" i="22"/>
  <c r="DC67" i="22"/>
  <c r="DD67" i="22"/>
  <c r="DE67" i="22"/>
  <c r="DF67" i="22"/>
  <c r="DG67" i="22"/>
  <c r="DH67" i="22"/>
  <c r="DI67" i="22"/>
  <c r="DJ67" i="22"/>
  <c r="DK67" i="22"/>
  <c r="DL67" i="22"/>
  <c r="DM67" i="22"/>
  <c r="DN67" i="22"/>
  <c r="DO67" i="22"/>
  <c r="DP67" i="22"/>
  <c r="DQ67" i="22"/>
  <c r="DR67" i="22"/>
  <c r="DS67" i="22"/>
  <c r="DT67" i="22"/>
  <c r="DU67" i="22"/>
  <c r="DV67" i="22"/>
  <c r="DW67" i="22"/>
  <c r="DX67" i="22"/>
  <c r="DY67" i="22"/>
  <c r="DZ67" i="22"/>
  <c r="EA67" i="22"/>
  <c r="EB67" i="22"/>
  <c r="EC67" i="22"/>
  <c r="ED67" i="22"/>
  <c r="EE67" i="22"/>
  <c r="EF67" i="22"/>
  <c r="EG67" i="22"/>
  <c r="EH67" i="22"/>
  <c r="EI67" i="22"/>
  <c r="EJ67" i="22"/>
  <c r="EK67" i="22"/>
  <c r="EL67" i="22"/>
  <c r="EM67" i="22"/>
  <c r="EN67" i="22"/>
  <c r="EO67" i="22"/>
  <c r="EP67" i="22"/>
  <c r="EQ67" i="22"/>
  <c r="ER67" i="22"/>
  <c r="ES67" i="22"/>
  <c r="ET67" i="22"/>
  <c r="EU67" i="22"/>
  <c r="EV67" i="22"/>
  <c r="EW67" i="22"/>
  <c r="EX67" i="22"/>
  <c r="EY67" i="22"/>
  <c r="EZ67" i="22"/>
  <c r="FA67" i="22"/>
  <c r="FB67" i="22"/>
  <c r="FC67" i="22"/>
  <c r="FD67" i="22"/>
  <c r="FE67" i="22"/>
  <c r="FF67" i="22"/>
  <c r="FG67" i="22"/>
  <c r="FH67" i="22"/>
  <c r="FI67" i="22"/>
  <c r="FJ67" i="22"/>
  <c r="FK67" i="22"/>
  <c r="FL67" i="22"/>
  <c r="FM67" i="22"/>
  <c r="FN67" i="22"/>
  <c r="FO67" i="22"/>
  <c r="FP67" i="22"/>
  <c r="FQ67" i="22"/>
  <c r="FR67" i="22"/>
  <c r="FS67" i="22"/>
  <c r="FT67" i="22"/>
  <c r="FU67" i="22"/>
  <c r="FV67" i="22"/>
  <c r="FW67" i="22"/>
  <c r="FX67" i="22"/>
  <c r="FY67" i="22"/>
  <c r="FZ67" i="22"/>
  <c r="GA67" i="22"/>
  <c r="GB67" i="22"/>
  <c r="GC67" i="22"/>
  <c r="GD67" i="22"/>
  <c r="GE67" i="22"/>
  <c r="GF67" i="22"/>
  <c r="GG67" i="22"/>
  <c r="GH67" i="22"/>
  <c r="GI67" i="22"/>
  <c r="GJ67" i="22"/>
  <c r="GK67" i="22"/>
  <c r="GL67" i="22"/>
  <c r="GM67" i="22"/>
  <c r="GN67" i="22"/>
  <c r="GO67" i="22"/>
  <c r="GP67" i="22"/>
  <c r="GQ67" i="22"/>
  <c r="GR67" i="22"/>
  <c r="GS67" i="22"/>
  <c r="GT67" i="22"/>
  <c r="GU67" i="22"/>
  <c r="GV67" i="22"/>
  <c r="GW67" i="22"/>
  <c r="GX67" i="22"/>
  <c r="GY67" i="22"/>
  <c r="GZ67" i="22"/>
  <c r="HA67" i="22"/>
  <c r="HB67" i="22"/>
  <c r="HC67" i="22"/>
  <c r="HD67" i="22"/>
  <c r="HE67" i="22"/>
  <c r="HF67" i="22"/>
  <c r="HG67" i="22"/>
  <c r="HH67" i="22"/>
  <c r="HI67" i="22"/>
  <c r="HJ67" i="22"/>
  <c r="HK67" i="22"/>
  <c r="HL67" i="22"/>
  <c r="HM67" i="22"/>
  <c r="HN67" i="22"/>
  <c r="HO67" i="22"/>
  <c r="HP67" i="22"/>
  <c r="HQ67" i="22"/>
  <c r="HR67" i="22"/>
  <c r="HS67" i="22"/>
  <c r="HT67" i="22"/>
  <c r="HU67" i="22"/>
  <c r="HV67" i="22"/>
  <c r="HW67" i="22"/>
  <c r="HX67" i="22"/>
  <c r="HY67" i="22"/>
  <c r="HZ67" i="22"/>
  <c r="IA67" i="22"/>
  <c r="IB67" i="22"/>
  <c r="IC67" i="22"/>
  <c r="ID67" i="22"/>
  <c r="IE67" i="22"/>
  <c r="IF67" i="22"/>
  <c r="IG67" i="22"/>
  <c r="IH67" i="22"/>
  <c r="II67" i="22"/>
  <c r="IJ67" i="22"/>
  <c r="IK67" i="22"/>
  <c r="IL67" i="22"/>
  <c r="IM67" i="22"/>
  <c r="IN67" i="22"/>
  <c r="IO67" i="22"/>
  <c r="IP67" i="22"/>
  <c r="IQ67" i="22"/>
  <c r="IR67" i="22"/>
  <c r="IS67" i="22"/>
  <c r="IT67" i="22"/>
  <c r="IU67" i="22"/>
  <c r="IV67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B68" i="22"/>
  <c r="AC68" i="22"/>
  <c r="AD68" i="22"/>
  <c r="AE68" i="22"/>
  <c r="AF68" i="22"/>
  <c r="AG68" i="22"/>
  <c r="AH68" i="22"/>
  <c r="AI68" i="22"/>
  <c r="AJ68" i="22"/>
  <c r="AK68" i="22"/>
  <c r="AL68" i="22"/>
  <c r="AM68" i="22"/>
  <c r="AN68" i="22"/>
  <c r="AO68" i="22"/>
  <c r="AP68" i="22"/>
  <c r="AQ68" i="22"/>
  <c r="AR68" i="22"/>
  <c r="AS68" i="22"/>
  <c r="AT68" i="22"/>
  <c r="AU68" i="22"/>
  <c r="AV68" i="22"/>
  <c r="AW68" i="22"/>
  <c r="AX68" i="22"/>
  <c r="AY68" i="22"/>
  <c r="AZ68" i="22"/>
  <c r="BA68" i="22"/>
  <c r="BB68" i="22"/>
  <c r="BC68" i="22"/>
  <c r="BD68" i="22"/>
  <c r="BE68" i="22"/>
  <c r="BF68" i="22"/>
  <c r="BG68" i="22"/>
  <c r="BH68" i="22"/>
  <c r="BI68" i="22"/>
  <c r="BJ68" i="22"/>
  <c r="BK68" i="22"/>
  <c r="BL68" i="22"/>
  <c r="BM68" i="22"/>
  <c r="BN68" i="22"/>
  <c r="BO68" i="22"/>
  <c r="BP68" i="22"/>
  <c r="BQ68" i="22"/>
  <c r="BR68" i="22"/>
  <c r="BS68" i="22"/>
  <c r="BT68" i="22"/>
  <c r="BU68" i="22"/>
  <c r="BV68" i="22"/>
  <c r="BW68" i="22"/>
  <c r="BX68" i="22"/>
  <c r="BY68" i="22"/>
  <c r="BZ68" i="22"/>
  <c r="CA68" i="22"/>
  <c r="CB68" i="22"/>
  <c r="CC68" i="22"/>
  <c r="CD68" i="22"/>
  <c r="CE68" i="22"/>
  <c r="CF68" i="22"/>
  <c r="CG68" i="22"/>
  <c r="CH68" i="22"/>
  <c r="CI68" i="22"/>
  <c r="CJ68" i="22"/>
  <c r="CK68" i="22"/>
  <c r="CL68" i="22"/>
  <c r="CM68" i="22"/>
  <c r="CN68" i="22"/>
  <c r="CO68" i="22"/>
  <c r="CP68" i="22"/>
  <c r="CQ68" i="22"/>
  <c r="CR68" i="22"/>
  <c r="CS68" i="22"/>
  <c r="CT68" i="22"/>
  <c r="CU68" i="22"/>
  <c r="CV68" i="22"/>
  <c r="CW68" i="22"/>
  <c r="CX68" i="22"/>
  <c r="CY68" i="22"/>
  <c r="CZ68" i="22"/>
  <c r="DA68" i="22"/>
  <c r="DB68" i="22"/>
  <c r="DC68" i="22"/>
  <c r="DD68" i="22"/>
  <c r="DE68" i="22"/>
  <c r="DF68" i="22"/>
  <c r="DG68" i="22"/>
  <c r="DH68" i="22"/>
  <c r="DI68" i="22"/>
  <c r="DJ68" i="22"/>
  <c r="DK68" i="22"/>
  <c r="DL68" i="22"/>
  <c r="DM68" i="22"/>
  <c r="DN68" i="22"/>
  <c r="DO68" i="22"/>
  <c r="DP68" i="22"/>
  <c r="DQ68" i="22"/>
  <c r="DR68" i="22"/>
  <c r="DS68" i="22"/>
  <c r="DT68" i="22"/>
  <c r="DU68" i="22"/>
  <c r="DV68" i="22"/>
  <c r="DW68" i="22"/>
  <c r="DX68" i="22"/>
  <c r="DY68" i="22"/>
  <c r="DZ68" i="22"/>
  <c r="EA68" i="22"/>
  <c r="EB68" i="22"/>
  <c r="EC68" i="22"/>
  <c r="ED68" i="22"/>
  <c r="EE68" i="22"/>
  <c r="EF68" i="22"/>
  <c r="EG68" i="22"/>
  <c r="EH68" i="22"/>
  <c r="EI68" i="22"/>
  <c r="EJ68" i="22"/>
  <c r="EK68" i="22"/>
  <c r="EL68" i="22"/>
  <c r="EM68" i="22"/>
  <c r="EN68" i="22"/>
  <c r="EO68" i="22"/>
  <c r="EP68" i="22"/>
  <c r="EQ68" i="22"/>
  <c r="ER68" i="22"/>
  <c r="ES68" i="22"/>
  <c r="ET68" i="22"/>
  <c r="EU68" i="22"/>
  <c r="EV68" i="22"/>
  <c r="EW68" i="22"/>
  <c r="EX68" i="22"/>
  <c r="EY68" i="22"/>
  <c r="EZ68" i="22"/>
  <c r="FA68" i="22"/>
  <c r="FB68" i="22"/>
  <c r="FC68" i="22"/>
  <c r="FD68" i="22"/>
  <c r="FE68" i="22"/>
  <c r="FF68" i="22"/>
  <c r="FG68" i="22"/>
  <c r="FH68" i="22"/>
  <c r="FI68" i="22"/>
  <c r="FJ68" i="22"/>
  <c r="FK68" i="22"/>
  <c r="FL68" i="22"/>
  <c r="FM68" i="22"/>
  <c r="FN68" i="22"/>
  <c r="FO68" i="22"/>
  <c r="FP68" i="22"/>
  <c r="FQ68" i="22"/>
  <c r="FR68" i="22"/>
  <c r="FS68" i="22"/>
  <c r="FT68" i="22"/>
  <c r="FU68" i="22"/>
  <c r="FV68" i="22"/>
  <c r="FW68" i="22"/>
  <c r="FX68" i="22"/>
  <c r="FY68" i="22"/>
  <c r="FZ68" i="22"/>
  <c r="GA68" i="22"/>
  <c r="GB68" i="22"/>
  <c r="GC68" i="22"/>
  <c r="GD68" i="22"/>
  <c r="GE68" i="22"/>
  <c r="GF68" i="22"/>
  <c r="GG68" i="22"/>
  <c r="GH68" i="22"/>
  <c r="GI68" i="22"/>
  <c r="GJ68" i="22"/>
  <c r="GK68" i="22"/>
  <c r="GL68" i="22"/>
  <c r="GM68" i="22"/>
  <c r="GN68" i="22"/>
  <c r="GO68" i="22"/>
  <c r="GP68" i="22"/>
  <c r="GQ68" i="22"/>
  <c r="GR68" i="22"/>
  <c r="GS68" i="22"/>
  <c r="GT68" i="22"/>
  <c r="GU68" i="22"/>
  <c r="GV68" i="22"/>
  <c r="GW68" i="22"/>
  <c r="GX68" i="22"/>
  <c r="GY68" i="22"/>
  <c r="GZ68" i="22"/>
  <c r="HA68" i="22"/>
  <c r="HB68" i="22"/>
  <c r="HC68" i="22"/>
  <c r="HD68" i="22"/>
  <c r="HE68" i="22"/>
  <c r="HF68" i="22"/>
  <c r="HG68" i="22"/>
  <c r="HH68" i="22"/>
  <c r="HI68" i="22"/>
  <c r="HJ68" i="22"/>
  <c r="HK68" i="22"/>
  <c r="HL68" i="22"/>
  <c r="HM68" i="22"/>
  <c r="HN68" i="22"/>
  <c r="HO68" i="22"/>
  <c r="HP68" i="22"/>
  <c r="HQ68" i="22"/>
  <c r="HR68" i="22"/>
  <c r="HS68" i="22"/>
  <c r="HT68" i="22"/>
  <c r="HU68" i="22"/>
  <c r="HV68" i="22"/>
  <c r="HW68" i="22"/>
  <c r="HX68" i="22"/>
  <c r="HY68" i="22"/>
  <c r="HZ68" i="22"/>
  <c r="IA68" i="22"/>
  <c r="IB68" i="22"/>
  <c r="IC68" i="22"/>
  <c r="ID68" i="22"/>
  <c r="IE68" i="22"/>
  <c r="IF68" i="22"/>
  <c r="IG68" i="22"/>
  <c r="IH68" i="22"/>
  <c r="II68" i="22"/>
  <c r="IJ68" i="22"/>
  <c r="IK68" i="22"/>
  <c r="IL68" i="22"/>
  <c r="IM68" i="22"/>
  <c r="IN68" i="22"/>
  <c r="IO68" i="22"/>
  <c r="IP68" i="22"/>
  <c r="IQ68" i="22"/>
  <c r="IR68" i="22"/>
  <c r="IS68" i="22"/>
  <c r="IT68" i="22"/>
  <c r="IU68" i="22"/>
  <c r="IV68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AF69" i="22"/>
  <c r="AG69" i="22"/>
  <c r="AH69" i="22"/>
  <c r="AI69" i="22"/>
  <c r="AJ69" i="22"/>
  <c r="AK69" i="22"/>
  <c r="AL69" i="22"/>
  <c r="AM69" i="22"/>
  <c r="AN69" i="22"/>
  <c r="AO69" i="22"/>
  <c r="AP69" i="22"/>
  <c r="AQ69" i="22"/>
  <c r="AR69" i="22"/>
  <c r="AS69" i="22"/>
  <c r="AT69" i="22"/>
  <c r="AU69" i="22"/>
  <c r="AV69" i="22"/>
  <c r="AW69" i="22"/>
  <c r="AX69" i="22"/>
  <c r="AY69" i="22"/>
  <c r="AZ69" i="22"/>
  <c r="BA69" i="22"/>
  <c r="BB69" i="22"/>
  <c r="BC69" i="22"/>
  <c r="BD69" i="22"/>
  <c r="BE69" i="22"/>
  <c r="BF69" i="22"/>
  <c r="BG69" i="22"/>
  <c r="BH69" i="22"/>
  <c r="BI69" i="22"/>
  <c r="BJ69" i="22"/>
  <c r="BK69" i="22"/>
  <c r="BL69" i="22"/>
  <c r="BM69" i="22"/>
  <c r="BN69" i="22"/>
  <c r="BO69" i="22"/>
  <c r="BP69" i="22"/>
  <c r="BQ69" i="22"/>
  <c r="BR69" i="22"/>
  <c r="BS69" i="22"/>
  <c r="BT69" i="22"/>
  <c r="BU69" i="22"/>
  <c r="BV69" i="22"/>
  <c r="BW69" i="22"/>
  <c r="BX69" i="22"/>
  <c r="BY69" i="22"/>
  <c r="BZ69" i="22"/>
  <c r="CA69" i="22"/>
  <c r="CB69" i="22"/>
  <c r="CC69" i="22"/>
  <c r="CD69" i="22"/>
  <c r="CE69" i="22"/>
  <c r="CF69" i="22"/>
  <c r="CG69" i="22"/>
  <c r="CH69" i="22"/>
  <c r="CI69" i="22"/>
  <c r="CJ69" i="22"/>
  <c r="CK69" i="22"/>
  <c r="CL69" i="22"/>
  <c r="CM69" i="22"/>
  <c r="CN69" i="22"/>
  <c r="CO69" i="22"/>
  <c r="CP69" i="22"/>
  <c r="CQ69" i="22"/>
  <c r="CR69" i="22"/>
  <c r="CS69" i="22"/>
  <c r="CT69" i="22"/>
  <c r="CU69" i="22"/>
  <c r="CV69" i="22"/>
  <c r="CW69" i="22"/>
  <c r="CX69" i="22"/>
  <c r="CY69" i="22"/>
  <c r="CZ69" i="22"/>
  <c r="DA69" i="22"/>
  <c r="DB69" i="22"/>
  <c r="DC69" i="22"/>
  <c r="DD69" i="22"/>
  <c r="DE69" i="22"/>
  <c r="DF69" i="22"/>
  <c r="DG69" i="22"/>
  <c r="DH69" i="22"/>
  <c r="DI69" i="22"/>
  <c r="DJ69" i="22"/>
  <c r="DK69" i="22"/>
  <c r="DL69" i="22"/>
  <c r="DM69" i="22"/>
  <c r="DN69" i="22"/>
  <c r="DO69" i="22"/>
  <c r="DP69" i="22"/>
  <c r="DQ69" i="22"/>
  <c r="DR69" i="22"/>
  <c r="DS69" i="22"/>
  <c r="DT69" i="22"/>
  <c r="DU69" i="22"/>
  <c r="DV69" i="22"/>
  <c r="DW69" i="22"/>
  <c r="DX69" i="22"/>
  <c r="DY69" i="22"/>
  <c r="DZ69" i="22"/>
  <c r="EA69" i="22"/>
  <c r="EB69" i="22"/>
  <c r="EC69" i="22"/>
  <c r="ED69" i="22"/>
  <c r="EE69" i="22"/>
  <c r="EF69" i="22"/>
  <c r="EG69" i="22"/>
  <c r="EH69" i="22"/>
  <c r="EI69" i="22"/>
  <c r="EJ69" i="22"/>
  <c r="EK69" i="22"/>
  <c r="EL69" i="22"/>
  <c r="EM69" i="22"/>
  <c r="EN69" i="22"/>
  <c r="EO69" i="22"/>
  <c r="EP69" i="22"/>
  <c r="EQ69" i="22"/>
  <c r="ER69" i="22"/>
  <c r="ES69" i="22"/>
  <c r="ET69" i="22"/>
  <c r="EU69" i="22"/>
  <c r="EV69" i="22"/>
  <c r="EW69" i="22"/>
  <c r="EX69" i="22"/>
  <c r="EY69" i="22"/>
  <c r="EZ69" i="22"/>
  <c r="FA69" i="22"/>
  <c r="FB69" i="22"/>
  <c r="FC69" i="22"/>
  <c r="FD69" i="22"/>
  <c r="FE69" i="22"/>
  <c r="FF69" i="22"/>
  <c r="FG69" i="22"/>
  <c r="FH69" i="22"/>
  <c r="FI69" i="22"/>
  <c r="FJ69" i="22"/>
  <c r="FK69" i="22"/>
  <c r="FL69" i="22"/>
  <c r="FM69" i="22"/>
  <c r="FN69" i="22"/>
  <c r="FO69" i="22"/>
  <c r="FP69" i="22"/>
  <c r="FQ69" i="22"/>
  <c r="FR69" i="22"/>
  <c r="FS69" i="22"/>
  <c r="FT69" i="22"/>
  <c r="FU69" i="22"/>
  <c r="FV69" i="22"/>
  <c r="FW69" i="22"/>
  <c r="FX69" i="22"/>
  <c r="FY69" i="22"/>
  <c r="FZ69" i="22"/>
  <c r="GA69" i="22"/>
  <c r="GB69" i="22"/>
  <c r="GC69" i="22"/>
  <c r="GD69" i="22"/>
  <c r="GE69" i="22"/>
  <c r="GF69" i="22"/>
  <c r="GG69" i="22"/>
  <c r="GH69" i="22"/>
  <c r="GI69" i="22"/>
  <c r="GJ69" i="22"/>
  <c r="GK69" i="22"/>
  <c r="GL69" i="22"/>
  <c r="GM69" i="22"/>
  <c r="GN69" i="22"/>
  <c r="GO69" i="22"/>
  <c r="GP69" i="22"/>
  <c r="GQ69" i="22"/>
  <c r="GR69" i="22"/>
  <c r="GS69" i="22"/>
  <c r="GT69" i="22"/>
  <c r="GU69" i="22"/>
  <c r="GV69" i="22"/>
  <c r="GW69" i="22"/>
  <c r="GX69" i="22"/>
  <c r="GY69" i="22"/>
  <c r="GZ69" i="22"/>
  <c r="HA69" i="22"/>
  <c r="HB69" i="22"/>
  <c r="HC69" i="22"/>
  <c r="HD69" i="22"/>
  <c r="HE69" i="22"/>
  <c r="HF69" i="22"/>
  <c r="HG69" i="22"/>
  <c r="HH69" i="22"/>
  <c r="HI69" i="22"/>
  <c r="HJ69" i="22"/>
  <c r="HK69" i="22"/>
  <c r="HL69" i="22"/>
  <c r="HM69" i="22"/>
  <c r="HN69" i="22"/>
  <c r="HO69" i="22"/>
  <c r="HP69" i="22"/>
  <c r="HQ69" i="22"/>
  <c r="HR69" i="22"/>
  <c r="HS69" i="22"/>
  <c r="HT69" i="22"/>
  <c r="HU69" i="22"/>
  <c r="HV69" i="22"/>
  <c r="HW69" i="22"/>
  <c r="HX69" i="22"/>
  <c r="HY69" i="22"/>
  <c r="HZ69" i="22"/>
  <c r="IA69" i="22"/>
  <c r="IB69" i="22"/>
  <c r="IC69" i="22"/>
  <c r="ID69" i="22"/>
  <c r="IE69" i="22"/>
  <c r="IF69" i="22"/>
  <c r="IG69" i="22"/>
  <c r="IH69" i="22"/>
  <c r="II69" i="22"/>
  <c r="IJ69" i="22"/>
  <c r="IK69" i="22"/>
  <c r="IL69" i="22"/>
  <c r="IM69" i="22"/>
  <c r="IN69" i="22"/>
  <c r="IO69" i="22"/>
  <c r="IP69" i="22"/>
  <c r="IQ69" i="22"/>
  <c r="IR69" i="22"/>
  <c r="IS69" i="22"/>
  <c r="IT69" i="22"/>
  <c r="IU69" i="22"/>
  <c r="IV69" i="22"/>
  <c r="G70" i="22"/>
  <c r="H70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U70" i="22"/>
  <c r="V70" i="22"/>
  <c r="W70" i="22"/>
  <c r="X70" i="22"/>
  <c r="Y70" i="22"/>
  <c r="Z70" i="22"/>
  <c r="AA70" i="22"/>
  <c r="AB70" i="22"/>
  <c r="AC70" i="22"/>
  <c r="AD70" i="22"/>
  <c r="AE70" i="22"/>
  <c r="AF70" i="22"/>
  <c r="AG70" i="22"/>
  <c r="AH70" i="22"/>
  <c r="AI70" i="22"/>
  <c r="AJ70" i="22"/>
  <c r="AK70" i="22"/>
  <c r="AL70" i="22"/>
  <c r="AM70" i="22"/>
  <c r="AN70" i="22"/>
  <c r="AO70" i="22"/>
  <c r="AP70" i="22"/>
  <c r="AQ70" i="22"/>
  <c r="AR70" i="22"/>
  <c r="AS70" i="22"/>
  <c r="AT70" i="22"/>
  <c r="AU70" i="22"/>
  <c r="AV70" i="22"/>
  <c r="AW70" i="22"/>
  <c r="AX70" i="22"/>
  <c r="AY70" i="22"/>
  <c r="AZ70" i="22"/>
  <c r="BA70" i="22"/>
  <c r="BB70" i="22"/>
  <c r="BC70" i="22"/>
  <c r="BD70" i="22"/>
  <c r="BE70" i="22"/>
  <c r="BF70" i="22"/>
  <c r="BG70" i="22"/>
  <c r="BH70" i="22"/>
  <c r="BI70" i="22"/>
  <c r="BJ70" i="22"/>
  <c r="BK70" i="22"/>
  <c r="BL70" i="22"/>
  <c r="BM70" i="22"/>
  <c r="BN70" i="22"/>
  <c r="BO70" i="22"/>
  <c r="BP70" i="22"/>
  <c r="BQ70" i="22"/>
  <c r="BR70" i="22"/>
  <c r="BS70" i="22"/>
  <c r="BT70" i="22"/>
  <c r="BU70" i="22"/>
  <c r="BV70" i="22"/>
  <c r="BW70" i="22"/>
  <c r="BX70" i="22"/>
  <c r="BY70" i="22"/>
  <c r="BZ70" i="22"/>
  <c r="CA70" i="22"/>
  <c r="CB70" i="22"/>
  <c r="CC70" i="22"/>
  <c r="CD70" i="22"/>
  <c r="CE70" i="22"/>
  <c r="CF70" i="22"/>
  <c r="CG70" i="22"/>
  <c r="CH70" i="22"/>
  <c r="CI70" i="22"/>
  <c r="CJ70" i="22"/>
  <c r="CK70" i="22"/>
  <c r="CL70" i="22"/>
  <c r="CM70" i="22"/>
  <c r="CN70" i="22"/>
  <c r="CO70" i="22"/>
  <c r="CP70" i="22"/>
  <c r="CQ70" i="22"/>
  <c r="CR70" i="22"/>
  <c r="CS70" i="22"/>
  <c r="CT70" i="22"/>
  <c r="CU70" i="22"/>
  <c r="CV70" i="22"/>
  <c r="CW70" i="22"/>
  <c r="CX70" i="22"/>
  <c r="CY70" i="22"/>
  <c r="CZ70" i="22"/>
  <c r="DA70" i="22"/>
  <c r="DB70" i="22"/>
  <c r="DC70" i="22"/>
  <c r="DD70" i="22"/>
  <c r="DE70" i="22"/>
  <c r="DF70" i="22"/>
  <c r="DG70" i="22"/>
  <c r="DH70" i="22"/>
  <c r="DI70" i="22"/>
  <c r="DJ70" i="22"/>
  <c r="DK70" i="22"/>
  <c r="DL70" i="22"/>
  <c r="DM70" i="22"/>
  <c r="DN70" i="22"/>
  <c r="DO70" i="22"/>
  <c r="DP70" i="22"/>
  <c r="DQ70" i="22"/>
  <c r="DR70" i="22"/>
  <c r="DS70" i="22"/>
  <c r="DT70" i="22"/>
  <c r="DU70" i="22"/>
  <c r="DV70" i="22"/>
  <c r="DW70" i="22"/>
  <c r="DX70" i="22"/>
  <c r="DY70" i="22"/>
  <c r="DZ70" i="22"/>
  <c r="EA70" i="22"/>
  <c r="EB70" i="22"/>
  <c r="EC70" i="22"/>
  <c r="ED70" i="22"/>
  <c r="EE70" i="22"/>
  <c r="EF70" i="22"/>
  <c r="EG70" i="22"/>
  <c r="EH70" i="22"/>
  <c r="EI70" i="22"/>
  <c r="EJ70" i="22"/>
  <c r="EK70" i="22"/>
  <c r="EL70" i="22"/>
  <c r="EM70" i="22"/>
  <c r="EN70" i="22"/>
  <c r="EO70" i="22"/>
  <c r="EP70" i="22"/>
  <c r="EQ70" i="22"/>
  <c r="ER70" i="22"/>
  <c r="ES70" i="22"/>
  <c r="ET70" i="22"/>
  <c r="EU70" i="22"/>
  <c r="EV70" i="22"/>
  <c r="EW70" i="22"/>
  <c r="EX70" i="22"/>
  <c r="EY70" i="22"/>
  <c r="EZ70" i="22"/>
  <c r="FA70" i="22"/>
  <c r="FB70" i="22"/>
  <c r="FC70" i="22"/>
  <c r="FD70" i="22"/>
  <c r="FE70" i="22"/>
  <c r="FF70" i="22"/>
  <c r="FG70" i="22"/>
  <c r="FH70" i="22"/>
  <c r="FI70" i="22"/>
  <c r="FJ70" i="22"/>
  <c r="FK70" i="22"/>
  <c r="FL70" i="22"/>
  <c r="FM70" i="22"/>
  <c r="FN70" i="22"/>
  <c r="FO70" i="22"/>
  <c r="FP70" i="22"/>
  <c r="FQ70" i="22"/>
  <c r="FR70" i="22"/>
  <c r="FS70" i="22"/>
  <c r="FT70" i="22"/>
  <c r="FU70" i="22"/>
  <c r="FV70" i="22"/>
  <c r="FW70" i="22"/>
  <c r="FX70" i="22"/>
  <c r="FY70" i="22"/>
  <c r="FZ70" i="22"/>
  <c r="GA70" i="22"/>
  <c r="GB70" i="22"/>
  <c r="GC70" i="22"/>
  <c r="GD70" i="22"/>
  <c r="GE70" i="22"/>
  <c r="GF70" i="22"/>
  <c r="GG70" i="22"/>
  <c r="GH70" i="22"/>
  <c r="GI70" i="22"/>
  <c r="GJ70" i="22"/>
  <c r="GK70" i="22"/>
  <c r="GL70" i="22"/>
  <c r="GM70" i="22"/>
  <c r="GN70" i="22"/>
  <c r="GO70" i="22"/>
  <c r="GP70" i="22"/>
  <c r="GQ70" i="22"/>
  <c r="GR70" i="22"/>
  <c r="GS70" i="22"/>
  <c r="GT70" i="22"/>
  <c r="GU70" i="22"/>
  <c r="GV70" i="22"/>
  <c r="GW70" i="22"/>
  <c r="GX70" i="22"/>
  <c r="GY70" i="22"/>
  <c r="GZ70" i="22"/>
  <c r="HA70" i="22"/>
  <c r="HB70" i="22"/>
  <c r="HC70" i="22"/>
  <c r="HD70" i="22"/>
  <c r="HE70" i="22"/>
  <c r="HF70" i="22"/>
  <c r="HG70" i="22"/>
  <c r="HH70" i="22"/>
  <c r="HI70" i="22"/>
  <c r="HJ70" i="22"/>
  <c r="HK70" i="22"/>
  <c r="HL70" i="22"/>
  <c r="HM70" i="22"/>
  <c r="HN70" i="22"/>
  <c r="HO70" i="22"/>
  <c r="HP70" i="22"/>
  <c r="HQ70" i="22"/>
  <c r="HR70" i="22"/>
  <c r="HS70" i="22"/>
  <c r="HT70" i="22"/>
  <c r="HU70" i="22"/>
  <c r="HV70" i="22"/>
  <c r="HW70" i="22"/>
  <c r="HX70" i="22"/>
  <c r="HY70" i="22"/>
  <c r="HZ70" i="22"/>
  <c r="IA70" i="22"/>
  <c r="IB70" i="22"/>
  <c r="IC70" i="22"/>
  <c r="ID70" i="22"/>
  <c r="IE70" i="22"/>
  <c r="IF70" i="22"/>
  <c r="IG70" i="22"/>
  <c r="IH70" i="22"/>
  <c r="II70" i="22"/>
  <c r="IJ70" i="22"/>
  <c r="IK70" i="22"/>
  <c r="IL70" i="22"/>
  <c r="IM70" i="22"/>
  <c r="IN70" i="22"/>
  <c r="IO70" i="22"/>
  <c r="IP70" i="22"/>
  <c r="IQ70" i="22"/>
  <c r="IR70" i="22"/>
  <c r="IS70" i="22"/>
  <c r="IT70" i="22"/>
  <c r="IU70" i="22"/>
  <c r="IV70" i="22"/>
  <c r="G71" i="22"/>
  <c r="H71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U71" i="22"/>
  <c r="V71" i="22"/>
  <c r="W71" i="22"/>
  <c r="X71" i="22"/>
  <c r="Y71" i="22"/>
  <c r="Z71" i="22"/>
  <c r="AA71" i="22"/>
  <c r="AB71" i="22"/>
  <c r="AC71" i="22"/>
  <c r="AD71" i="22"/>
  <c r="AE71" i="22"/>
  <c r="AF71" i="22"/>
  <c r="AG71" i="22"/>
  <c r="AH71" i="22"/>
  <c r="AI71" i="22"/>
  <c r="AJ71" i="22"/>
  <c r="AK71" i="22"/>
  <c r="AL71" i="22"/>
  <c r="AM71" i="22"/>
  <c r="AN71" i="22"/>
  <c r="AO71" i="22"/>
  <c r="AP71" i="22"/>
  <c r="AQ71" i="22"/>
  <c r="AR71" i="22"/>
  <c r="AS71" i="22"/>
  <c r="AT71" i="22"/>
  <c r="AU71" i="22"/>
  <c r="AV71" i="22"/>
  <c r="AW71" i="22"/>
  <c r="AX71" i="22"/>
  <c r="AY71" i="22"/>
  <c r="AZ71" i="22"/>
  <c r="BA71" i="22"/>
  <c r="BB71" i="22"/>
  <c r="BC71" i="22"/>
  <c r="BD71" i="22"/>
  <c r="BE71" i="22"/>
  <c r="BF71" i="22"/>
  <c r="BG71" i="22"/>
  <c r="BH71" i="22"/>
  <c r="BI71" i="22"/>
  <c r="BJ71" i="22"/>
  <c r="BK71" i="22"/>
  <c r="BL71" i="22"/>
  <c r="BM71" i="22"/>
  <c r="BN71" i="22"/>
  <c r="BO71" i="22"/>
  <c r="BP71" i="22"/>
  <c r="BQ71" i="22"/>
  <c r="BR71" i="22"/>
  <c r="BS71" i="22"/>
  <c r="BT71" i="22"/>
  <c r="BU71" i="22"/>
  <c r="BV71" i="22"/>
  <c r="BW71" i="22"/>
  <c r="BX71" i="22"/>
  <c r="BY71" i="22"/>
  <c r="BZ71" i="22"/>
  <c r="CA71" i="22"/>
  <c r="CB71" i="22"/>
  <c r="CC71" i="22"/>
  <c r="CD71" i="22"/>
  <c r="CE71" i="22"/>
  <c r="CF71" i="22"/>
  <c r="CG71" i="22"/>
  <c r="CH71" i="22"/>
  <c r="CI71" i="22"/>
  <c r="CJ71" i="22"/>
  <c r="CK71" i="22"/>
  <c r="CL71" i="22"/>
  <c r="CM71" i="22"/>
  <c r="CN71" i="22"/>
  <c r="CO71" i="22"/>
  <c r="CP71" i="22"/>
  <c r="CQ71" i="22"/>
  <c r="CR71" i="22"/>
  <c r="CS71" i="22"/>
  <c r="CT71" i="22"/>
  <c r="CU71" i="22"/>
  <c r="CV71" i="22"/>
  <c r="CW71" i="22"/>
  <c r="CX71" i="22"/>
  <c r="CY71" i="22"/>
  <c r="CZ71" i="22"/>
  <c r="DA71" i="22"/>
  <c r="DB71" i="22"/>
  <c r="DC71" i="22"/>
  <c r="DD71" i="22"/>
  <c r="DE71" i="22"/>
  <c r="DF71" i="22"/>
  <c r="DG71" i="22"/>
  <c r="DH71" i="22"/>
  <c r="DI71" i="22"/>
  <c r="DJ71" i="22"/>
  <c r="DK71" i="22"/>
  <c r="DL71" i="22"/>
  <c r="DM71" i="22"/>
  <c r="DN71" i="22"/>
  <c r="DO71" i="22"/>
  <c r="DP71" i="22"/>
  <c r="DQ71" i="22"/>
  <c r="DR71" i="22"/>
  <c r="DS71" i="22"/>
  <c r="DT71" i="22"/>
  <c r="DU71" i="22"/>
  <c r="DV71" i="22"/>
  <c r="DW71" i="22"/>
  <c r="DX71" i="22"/>
  <c r="DY71" i="22"/>
  <c r="DZ71" i="22"/>
  <c r="EA71" i="22"/>
  <c r="EB71" i="22"/>
  <c r="EC71" i="22"/>
  <c r="ED71" i="22"/>
  <c r="EE71" i="22"/>
  <c r="EF71" i="22"/>
  <c r="EG71" i="22"/>
  <c r="EH71" i="22"/>
  <c r="EI71" i="22"/>
  <c r="EJ71" i="22"/>
  <c r="EK71" i="22"/>
  <c r="EL71" i="22"/>
  <c r="EM71" i="22"/>
  <c r="EN71" i="22"/>
  <c r="EO71" i="22"/>
  <c r="EP71" i="22"/>
  <c r="EQ71" i="22"/>
  <c r="ER71" i="22"/>
  <c r="ES71" i="22"/>
  <c r="ET71" i="22"/>
  <c r="EU71" i="22"/>
  <c r="EV71" i="22"/>
  <c r="EW71" i="22"/>
  <c r="EX71" i="22"/>
  <c r="EY71" i="22"/>
  <c r="EZ71" i="22"/>
  <c r="FA71" i="22"/>
  <c r="FB71" i="22"/>
  <c r="FC71" i="22"/>
  <c r="FD71" i="22"/>
  <c r="FE71" i="22"/>
  <c r="FF71" i="22"/>
  <c r="FG71" i="22"/>
  <c r="FH71" i="22"/>
  <c r="FI71" i="22"/>
  <c r="FJ71" i="22"/>
  <c r="FK71" i="22"/>
  <c r="FL71" i="22"/>
  <c r="FM71" i="22"/>
  <c r="FN71" i="22"/>
  <c r="FO71" i="22"/>
  <c r="FP71" i="22"/>
  <c r="FQ71" i="22"/>
  <c r="FR71" i="22"/>
  <c r="FS71" i="22"/>
  <c r="FT71" i="22"/>
  <c r="FU71" i="22"/>
  <c r="FV71" i="22"/>
  <c r="FW71" i="22"/>
  <c r="FX71" i="22"/>
  <c r="FY71" i="22"/>
  <c r="FZ71" i="22"/>
  <c r="GA71" i="22"/>
  <c r="GB71" i="22"/>
  <c r="GC71" i="22"/>
  <c r="GD71" i="22"/>
  <c r="GE71" i="22"/>
  <c r="GF71" i="22"/>
  <c r="GG71" i="22"/>
  <c r="GH71" i="22"/>
  <c r="GI71" i="22"/>
  <c r="GJ71" i="22"/>
  <c r="GK71" i="22"/>
  <c r="GL71" i="22"/>
  <c r="GM71" i="22"/>
  <c r="GN71" i="22"/>
  <c r="GO71" i="22"/>
  <c r="GP71" i="22"/>
  <c r="GQ71" i="22"/>
  <c r="GR71" i="22"/>
  <c r="GS71" i="22"/>
  <c r="GT71" i="22"/>
  <c r="GU71" i="22"/>
  <c r="GV71" i="22"/>
  <c r="GW71" i="22"/>
  <c r="GX71" i="22"/>
  <c r="GY71" i="22"/>
  <c r="GZ71" i="22"/>
  <c r="HA71" i="22"/>
  <c r="HB71" i="22"/>
  <c r="HC71" i="22"/>
  <c r="HD71" i="22"/>
  <c r="HE71" i="22"/>
  <c r="HF71" i="22"/>
  <c r="HG71" i="22"/>
  <c r="HH71" i="22"/>
  <c r="HI71" i="22"/>
  <c r="HJ71" i="22"/>
  <c r="HK71" i="22"/>
  <c r="HL71" i="22"/>
  <c r="HM71" i="22"/>
  <c r="HN71" i="22"/>
  <c r="HO71" i="22"/>
  <c r="HP71" i="22"/>
  <c r="HQ71" i="22"/>
  <c r="HR71" i="22"/>
  <c r="HS71" i="22"/>
  <c r="HT71" i="22"/>
  <c r="HU71" i="22"/>
  <c r="HV71" i="22"/>
  <c r="HW71" i="22"/>
  <c r="HX71" i="22"/>
  <c r="HY71" i="22"/>
  <c r="HZ71" i="22"/>
  <c r="IA71" i="22"/>
  <c r="IB71" i="22"/>
  <c r="IC71" i="22"/>
  <c r="ID71" i="22"/>
  <c r="IE71" i="22"/>
  <c r="IF71" i="22"/>
  <c r="IG71" i="22"/>
  <c r="IH71" i="22"/>
  <c r="II71" i="22"/>
  <c r="IJ71" i="22"/>
  <c r="IK71" i="22"/>
  <c r="IL71" i="22"/>
  <c r="IM71" i="22"/>
  <c r="IN71" i="22"/>
  <c r="IO71" i="22"/>
  <c r="IP71" i="22"/>
  <c r="IQ71" i="22"/>
  <c r="IR71" i="22"/>
  <c r="IS71" i="22"/>
  <c r="IT71" i="22"/>
  <c r="IU71" i="22"/>
  <c r="IV71" i="22"/>
  <c r="G72" i="22"/>
  <c r="H72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U72" i="22"/>
  <c r="V72" i="22"/>
  <c r="W72" i="22"/>
  <c r="X72" i="22"/>
  <c r="Y72" i="22"/>
  <c r="Z72" i="22"/>
  <c r="AA72" i="22"/>
  <c r="AB72" i="22"/>
  <c r="AC72" i="22"/>
  <c r="AD72" i="22"/>
  <c r="AE72" i="22"/>
  <c r="AF72" i="22"/>
  <c r="AG72" i="22"/>
  <c r="AH72" i="22"/>
  <c r="AI72" i="22"/>
  <c r="AJ72" i="22"/>
  <c r="AK72" i="22"/>
  <c r="AL72" i="22"/>
  <c r="AM72" i="22"/>
  <c r="AN72" i="22"/>
  <c r="AO72" i="22"/>
  <c r="AP72" i="22"/>
  <c r="AQ72" i="22"/>
  <c r="AR72" i="22"/>
  <c r="AS72" i="22"/>
  <c r="AT72" i="22"/>
  <c r="AU72" i="22"/>
  <c r="AV72" i="22"/>
  <c r="AW72" i="22"/>
  <c r="AX72" i="22"/>
  <c r="AY72" i="22"/>
  <c r="AZ72" i="22"/>
  <c r="BA72" i="22"/>
  <c r="BB72" i="22"/>
  <c r="BC72" i="22"/>
  <c r="BD72" i="22"/>
  <c r="BE72" i="22"/>
  <c r="BF72" i="22"/>
  <c r="BG72" i="22"/>
  <c r="BH72" i="22"/>
  <c r="BI72" i="22"/>
  <c r="BJ72" i="22"/>
  <c r="BK72" i="22"/>
  <c r="BL72" i="22"/>
  <c r="BM72" i="22"/>
  <c r="BN72" i="22"/>
  <c r="BO72" i="22"/>
  <c r="BP72" i="22"/>
  <c r="BQ72" i="22"/>
  <c r="BR72" i="22"/>
  <c r="BS72" i="22"/>
  <c r="BT72" i="22"/>
  <c r="BU72" i="22"/>
  <c r="BV72" i="22"/>
  <c r="BW72" i="22"/>
  <c r="BX72" i="22"/>
  <c r="BY72" i="22"/>
  <c r="BZ72" i="22"/>
  <c r="CA72" i="22"/>
  <c r="CB72" i="22"/>
  <c r="CC72" i="22"/>
  <c r="CD72" i="22"/>
  <c r="CE72" i="22"/>
  <c r="CF72" i="22"/>
  <c r="CG72" i="22"/>
  <c r="CH72" i="22"/>
  <c r="CI72" i="22"/>
  <c r="CJ72" i="22"/>
  <c r="CK72" i="22"/>
  <c r="CL72" i="22"/>
  <c r="CM72" i="22"/>
  <c r="CN72" i="22"/>
  <c r="CO72" i="22"/>
  <c r="CP72" i="22"/>
  <c r="CQ72" i="22"/>
  <c r="CR72" i="22"/>
  <c r="CS72" i="22"/>
  <c r="CT72" i="22"/>
  <c r="CU72" i="22"/>
  <c r="CV72" i="22"/>
  <c r="CW72" i="22"/>
  <c r="CX72" i="22"/>
  <c r="CY72" i="22"/>
  <c r="CZ72" i="22"/>
  <c r="DA72" i="22"/>
  <c r="DB72" i="22"/>
  <c r="DC72" i="22"/>
  <c r="DD72" i="22"/>
  <c r="DE72" i="22"/>
  <c r="DF72" i="22"/>
  <c r="DG72" i="22"/>
  <c r="DH72" i="22"/>
  <c r="DI72" i="22"/>
  <c r="DJ72" i="22"/>
  <c r="DK72" i="22"/>
  <c r="DL72" i="22"/>
  <c r="DM72" i="22"/>
  <c r="DN72" i="22"/>
  <c r="DO72" i="22"/>
  <c r="DP72" i="22"/>
  <c r="DQ72" i="22"/>
  <c r="DR72" i="22"/>
  <c r="DS72" i="22"/>
  <c r="DT72" i="22"/>
  <c r="DU72" i="22"/>
  <c r="DV72" i="22"/>
  <c r="DW72" i="22"/>
  <c r="DX72" i="22"/>
  <c r="DY72" i="22"/>
  <c r="DZ72" i="22"/>
  <c r="EA72" i="22"/>
  <c r="EB72" i="22"/>
  <c r="EC72" i="22"/>
  <c r="ED72" i="22"/>
  <c r="EE72" i="22"/>
  <c r="EF72" i="22"/>
  <c r="EG72" i="22"/>
  <c r="EH72" i="22"/>
  <c r="EI72" i="22"/>
  <c r="EJ72" i="22"/>
  <c r="EK72" i="22"/>
  <c r="EL72" i="22"/>
  <c r="EM72" i="22"/>
  <c r="EN72" i="22"/>
  <c r="EO72" i="22"/>
  <c r="EP72" i="22"/>
  <c r="EQ72" i="22"/>
  <c r="ER72" i="22"/>
  <c r="ES72" i="22"/>
  <c r="ET72" i="22"/>
  <c r="EU72" i="22"/>
  <c r="EV72" i="22"/>
  <c r="EW72" i="22"/>
  <c r="EX72" i="22"/>
  <c r="EY72" i="22"/>
  <c r="EZ72" i="22"/>
  <c r="FA72" i="22"/>
  <c r="FB72" i="22"/>
  <c r="FC72" i="22"/>
  <c r="FD72" i="22"/>
  <c r="FE72" i="22"/>
  <c r="FF72" i="22"/>
  <c r="FG72" i="22"/>
  <c r="FH72" i="22"/>
  <c r="FI72" i="22"/>
  <c r="FJ72" i="22"/>
  <c r="FK72" i="22"/>
  <c r="FL72" i="22"/>
  <c r="FM72" i="22"/>
  <c r="FN72" i="22"/>
  <c r="FO72" i="22"/>
  <c r="FP72" i="22"/>
  <c r="FQ72" i="22"/>
  <c r="FR72" i="22"/>
  <c r="FS72" i="22"/>
  <c r="FT72" i="22"/>
  <c r="FU72" i="22"/>
  <c r="FV72" i="22"/>
  <c r="FW72" i="22"/>
  <c r="FX72" i="22"/>
  <c r="FY72" i="22"/>
  <c r="FZ72" i="22"/>
  <c r="GA72" i="22"/>
  <c r="GB72" i="22"/>
  <c r="GC72" i="22"/>
  <c r="GD72" i="22"/>
  <c r="GE72" i="22"/>
  <c r="GF72" i="22"/>
  <c r="GG72" i="22"/>
  <c r="GH72" i="22"/>
  <c r="GI72" i="22"/>
  <c r="GJ72" i="22"/>
  <c r="GK72" i="22"/>
  <c r="GL72" i="22"/>
  <c r="GM72" i="22"/>
  <c r="GN72" i="22"/>
  <c r="GO72" i="22"/>
  <c r="GP72" i="22"/>
  <c r="GQ72" i="22"/>
  <c r="GR72" i="22"/>
  <c r="GS72" i="22"/>
  <c r="GT72" i="22"/>
  <c r="GU72" i="22"/>
  <c r="GV72" i="22"/>
  <c r="GW72" i="22"/>
  <c r="GX72" i="22"/>
  <c r="GY72" i="22"/>
  <c r="GZ72" i="22"/>
  <c r="HA72" i="22"/>
  <c r="HB72" i="22"/>
  <c r="HC72" i="22"/>
  <c r="HD72" i="22"/>
  <c r="HE72" i="22"/>
  <c r="HF72" i="22"/>
  <c r="HG72" i="22"/>
  <c r="HH72" i="22"/>
  <c r="HI72" i="22"/>
  <c r="HJ72" i="22"/>
  <c r="HK72" i="22"/>
  <c r="HL72" i="22"/>
  <c r="HM72" i="22"/>
  <c r="HN72" i="22"/>
  <c r="HO72" i="22"/>
  <c r="HP72" i="22"/>
  <c r="HQ72" i="22"/>
  <c r="HR72" i="22"/>
  <c r="HS72" i="22"/>
  <c r="HT72" i="22"/>
  <c r="HU72" i="22"/>
  <c r="HV72" i="22"/>
  <c r="HW72" i="22"/>
  <c r="HX72" i="22"/>
  <c r="HY72" i="22"/>
  <c r="HZ72" i="22"/>
  <c r="IA72" i="22"/>
  <c r="IB72" i="22"/>
  <c r="IC72" i="22"/>
  <c r="ID72" i="22"/>
  <c r="IE72" i="22"/>
  <c r="IF72" i="22"/>
  <c r="IG72" i="22"/>
  <c r="IH72" i="22"/>
  <c r="II72" i="22"/>
  <c r="IJ72" i="22"/>
  <c r="IK72" i="22"/>
  <c r="IL72" i="22"/>
  <c r="IM72" i="22"/>
  <c r="IN72" i="22"/>
  <c r="IO72" i="22"/>
  <c r="IP72" i="22"/>
  <c r="IQ72" i="22"/>
  <c r="IR72" i="22"/>
  <c r="IS72" i="22"/>
  <c r="IT72" i="22"/>
  <c r="IU72" i="22"/>
  <c r="IV72" i="22"/>
  <c r="G73" i="22"/>
  <c r="H73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U73" i="22"/>
  <c r="V73" i="22"/>
  <c r="W73" i="22"/>
  <c r="X73" i="22"/>
  <c r="Y73" i="22"/>
  <c r="Z73" i="22"/>
  <c r="AA73" i="22"/>
  <c r="AB73" i="22"/>
  <c r="AC73" i="22"/>
  <c r="AD73" i="22"/>
  <c r="AE73" i="22"/>
  <c r="AF73" i="22"/>
  <c r="AG73" i="22"/>
  <c r="AH73" i="22"/>
  <c r="AI73" i="22"/>
  <c r="AJ73" i="22"/>
  <c r="AK73" i="22"/>
  <c r="AL73" i="22"/>
  <c r="AM73" i="22"/>
  <c r="AN73" i="22"/>
  <c r="AO73" i="22"/>
  <c r="AP73" i="22"/>
  <c r="AQ73" i="22"/>
  <c r="AR73" i="22"/>
  <c r="AS73" i="22"/>
  <c r="AT73" i="22"/>
  <c r="AU73" i="22"/>
  <c r="AV73" i="22"/>
  <c r="AW73" i="22"/>
  <c r="AX73" i="22"/>
  <c r="AY73" i="22"/>
  <c r="AZ73" i="22"/>
  <c r="BA73" i="22"/>
  <c r="BB73" i="22"/>
  <c r="BC73" i="22"/>
  <c r="BD73" i="22"/>
  <c r="BE73" i="22"/>
  <c r="BF73" i="22"/>
  <c r="BG73" i="22"/>
  <c r="BH73" i="22"/>
  <c r="BI73" i="22"/>
  <c r="BJ73" i="22"/>
  <c r="BK73" i="22"/>
  <c r="BL73" i="22"/>
  <c r="BM73" i="22"/>
  <c r="BN73" i="22"/>
  <c r="BO73" i="22"/>
  <c r="BP73" i="22"/>
  <c r="BQ73" i="22"/>
  <c r="BR73" i="22"/>
  <c r="BS73" i="22"/>
  <c r="BT73" i="22"/>
  <c r="BU73" i="22"/>
  <c r="BV73" i="22"/>
  <c r="BW73" i="22"/>
  <c r="BX73" i="22"/>
  <c r="BY73" i="22"/>
  <c r="BZ73" i="22"/>
  <c r="CA73" i="22"/>
  <c r="CB73" i="22"/>
  <c r="CC73" i="22"/>
  <c r="CD73" i="22"/>
  <c r="CE73" i="22"/>
  <c r="CF73" i="22"/>
  <c r="CG73" i="22"/>
  <c r="CH73" i="22"/>
  <c r="CI73" i="22"/>
  <c r="CJ73" i="22"/>
  <c r="CK73" i="22"/>
  <c r="CL73" i="22"/>
  <c r="CM73" i="22"/>
  <c r="CN73" i="22"/>
  <c r="CO73" i="22"/>
  <c r="CP73" i="22"/>
  <c r="CQ73" i="22"/>
  <c r="CR73" i="22"/>
  <c r="CS73" i="22"/>
  <c r="CT73" i="22"/>
  <c r="CU73" i="22"/>
  <c r="CV73" i="22"/>
  <c r="CW73" i="22"/>
  <c r="CX73" i="22"/>
  <c r="CY73" i="22"/>
  <c r="CZ73" i="22"/>
  <c r="DA73" i="22"/>
  <c r="DB73" i="22"/>
  <c r="DC73" i="22"/>
  <c r="DD73" i="22"/>
  <c r="DE73" i="22"/>
  <c r="DF73" i="22"/>
  <c r="DG73" i="22"/>
  <c r="DH73" i="22"/>
  <c r="DI73" i="22"/>
  <c r="DJ73" i="22"/>
  <c r="DK73" i="22"/>
  <c r="DL73" i="22"/>
  <c r="DM73" i="22"/>
  <c r="DN73" i="22"/>
  <c r="DO73" i="22"/>
  <c r="DP73" i="22"/>
  <c r="DQ73" i="22"/>
  <c r="DR73" i="22"/>
  <c r="DS73" i="22"/>
  <c r="DT73" i="22"/>
  <c r="DU73" i="22"/>
  <c r="DV73" i="22"/>
  <c r="DW73" i="22"/>
  <c r="DX73" i="22"/>
  <c r="DY73" i="22"/>
  <c r="DZ73" i="22"/>
  <c r="EA73" i="22"/>
  <c r="EB73" i="22"/>
  <c r="EC73" i="22"/>
  <c r="ED73" i="22"/>
  <c r="EE73" i="22"/>
  <c r="EF73" i="22"/>
  <c r="EG73" i="22"/>
  <c r="EH73" i="22"/>
  <c r="EI73" i="22"/>
  <c r="EJ73" i="22"/>
  <c r="EK73" i="22"/>
  <c r="EL73" i="22"/>
  <c r="EM73" i="22"/>
  <c r="EN73" i="22"/>
  <c r="EO73" i="22"/>
  <c r="EP73" i="22"/>
  <c r="EQ73" i="22"/>
  <c r="ER73" i="22"/>
  <c r="ES73" i="22"/>
  <c r="ET73" i="22"/>
  <c r="EU73" i="22"/>
  <c r="EV73" i="22"/>
  <c r="EW73" i="22"/>
  <c r="EX73" i="22"/>
  <c r="EY73" i="22"/>
  <c r="EZ73" i="22"/>
  <c r="FA73" i="22"/>
  <c r="FB73" i="22"/>
  <c r="FC73" i="22"/>
  <c r="FD73" i="22"/>
  <c r="FE73" i="22"/>
  <c r="FF73" i="22"/>
  <c r="FG73" i="22"/>
  <c r="FH73" i="22"/>
  <c r="FI73" i="22"/>
  <c r="FJ73" i="22"/>
  <c r="FK73" i="22"/>
  <c r="FL73" i="22"/>
  <c r="FM73" i="22"/>
  <c r="FN73" i="22"/>
  <c r="FO73" i="22"/>
  <c r="FP73" i="22"/>
  <c r="FQ73" i="22"/>
  <c r="FR73" i="22"/>
  <c r="FS73" i="22"/>
  <c r="FT73" i="22"/>
  <c r="FU73" i="22"/>
  <c r="FV73" i="22"/>
  <c r="FW73" i="22"/>
  <c r="FX73" i="22"/>
  <c r="FY73" i="22"/>
  <c r="FZ73" i="22"/>
  <c r="GA73" i="22"/>
  <c r="GB73" i="22"/>
  <c r="GC73" i="22"/>
  <c r="GD73" i="22"/>
  <c r="GE73" i="22"/>
  <c r="GF73" i="22"/>
  <c r="GG73" i="22"/>
  <c r="GH73" i="22"/>
  <c r="GI73" i="22"/>
  <c r="GJ73" i="22"/>
  <c r="GK73" i="22"/>
  <c r="GL73" i="22"/>
  <c r="GM73" i="22"/>
  <c r="GN73" i="22"/>
  <c r="GO73" i="22"/>
  <c r="GP73" i="22"/>
  <c r="GQ73" i="22"/>
  <c r="GR73" i="22"/>
  <c r="GS73" i="22"/>
  <c r="GT73" i="22"/>
  <c r="GU73" i="22"/>
  <c r="GV73" i="22"/>
  <c r="GW73" i="22"/>
  <c r="GX73" i="22"/>
  <c r="GY73" i="22"/>
  <c r="GZ73" i="22"/>
  <c r="HA73" i="22"/>
  <c r="HB73" i="22"/>
  <c r="HC73" i="22"/>
  <c r="HD73" i="22"/>
  <c r="HE73" i="22"/>
  <c r="HF73" i="22"/>
  <c r="HG73" i="22"/>
  <c r="HH73" i="22"/>
  <c r="HI73" i="22"/>
  <c r="HJ73" i="22"/>
  <c r="HK73" i="22"/>
  <c r="HL73" i="22"/>
  <c r="HM73" i="22"/>
  <c r="HN73" i="22"/>
  <c r="HO73" i="22"/>
  <c r="HP73" i="22"/>
  <c r="HQ73" i="22"/>
  <c r="HR73" i="22"/>
  <c r="HS73" i="22"/>
  <c r="HT73" i="22"/>
  <c r="HU73" i="22"/>
  <c r="HV73" i="22"/>
  <c r="HW73" i="22"/>
  <c r="HX73" i="22"/>
  <c r="HY73" i="22"/>
  <c r="HZ73" i="22"/>
  <c r="IA73" i="22"/>
  <c r="IB73" i="22"/>
  <c r="IC73" i="22"/>
  <c r="ID73" i="22"/>
  <c r="IE73" i="22"/>
  <c r="IF73" i="22"/>
  <c r="IG73" i="22"/>
  <c r="IH73" i="22"/>
  <c r="II73" i="22"/>
  <c r="IJ73" i="22"/>
  <c r="IK73" i="22"/>
  <c r="IL73" i="22"/>
  <c r="IM73" i="22"/>
  <c r="IN73" i="22"/>
  <c r="IO73" i="22"/>
  <c r="IP73" i="22"/>
  <c r="IQ73" i="22"/>
  <c r="IR73" i="22"/>
  <c r="IS73" i="22"/>
  <c r="IT73" i="22"/>
  <c r="IU73" i="22"/>
  <c r="IV73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U74" i="22"/>
  <c r="V74" i="22"/>
  <c r="W74" i="22"/>
  <c r="X74" i="22"/>
  <c r="Y74" i="22"/>
  <c r="Z74" i="22"/>
  <c r="AA74" i="22"/>
  <c r="AB74" i="22"/>
  <c r="AC74" i="22"/>
  <c r="AD74" i="22"/>
  <c r="AE74" i="22"/>
  <c r="AF74" i="22"/>
  <c r="AG74" i="22"/>
  <c r="AH74" i="22"/>
  <c r="AI74" i="22"/>
  <c r="AJ74" i="22"/>
  <c r="AK74" i="22"/>
  <c r="AL74" i="22"/>
  <c r="AM74" i="22"/>
  <c r="AN74" i="22"/>
  <c r="AO74" i="22"/>
  <c r="AP74" i="22"/>
  <c r="AQ74" i="22"/>
  <c r="AR74" i="22"/>
  <c r="AS74" i="22"/>
  <c r="AT74" i="22"/>
  <c r="AU74" i="22"/>
  <c r="AV74" i="22"/>
  <c r="AW74" i="22"/>
  <c r="AX74" i="22"/>
  <c r="AY74" i="22"/>
  <c r="AZ74" i="22"/>
  <c r="BA74" i="22"/>
  <c r="BB74" i="22"/>
  <c r="BC74" i="22"/>
  <c r="BD74" i="22"/>
  <c r="BE74" i="22"/>
  <c r="BF74" i="22"/>
  <c r="BG74" i="22"/>
  <c r="BH74" i="22"/>
  <c r="BI74" i="22"/>
  <c r="BJ74" i="22"/>
  <c r="BK74" i="22"/>
  <c r="BL74" i="22"/>
  <c r="BM74" i="22"/>
  <c r="BN74" i="22"/>
  <c r="BO74" i="22"/>
  <c r="BP74" i="22"/>
  <c r="BQ74" i="22"/>
  <c r="BR74" i="22"/>
  <c r="BS74" i="22"/>
  <c r="BT74" i="22"/>
  <c r="BU74" i="22"/>
  <c r="BV74" i="22"/>
  <c r="BW74" i="22"/>
  <c r="BX74" i="22"/>
  <c r="BY74" i="22"/>
  <c r="BZ74" i="22"/>
  <c r="CA74" i="22"/>
  <c r="CB74" i="22"/>
  <c r="CC74" i="22"/>
  <c r="CD74" i="22"/>
  <c r="CE74" i="22"/>
  <c r="CF74" i="22"/>
  <c r="CG74" i="22"/>
  <c r="CH74" i="22"/>
  <c r="CI74" i="22"/>
  <c r="CJ74" i="22"/>
  <c r="CK74" i="22"/>
  <c r="CL74" i="22"/>
  <c r="CM74" i="22"/>
  <c r="CN74" i="22"/>
  <c r="CO74" i="22"/>
  <c r="CP74" i="22"/>
  <c r="CQ74" i="22"/>
  <c r="CR74" i="22"/>
  <c r="CS74" i="22"/>
  <c r="CT74" i="22"/>
  <c r="CU74" i="22"/>
  <c r="CV74" i="22"/>
  <c r="CW74" i="22"/>
  <c r="CX74" i="22"/>
  <c r="CY74" i="22"/>
  <c r="CZ74" i="22"/>
  <c r="DA74" i="22"/>
  <c r="DB74" i="22"/>
  <c r="DC74" i="22"/>
  <c r="DD74" i="22"/>
  <c r="DE74" i="22"/>
  <c r="DF74" i="22"/>
  <c r="DG74" i="22"/>
  <c r="DH74" i="22"/>
  <c r="DI74" i="22"/>
  <c r="DJ74" i="22"/>
  <c r="DK74" i="22"/>
  <c r="DL74" i="22"/>
  <c r="DM74" i="22"/>
  <c r="DN74" i="22"/>
  <c r="DO74" i="22"/>
  <c r="DP74" i="22"/>
  <c r="DQ74" i="22"/>
  <c r="DR74" i="22"/>
  <c r="DS74" i="22"/>
  <c r="DT74" i="22"/>
  <c r="DU74" i="22"/>
  <c r="DV74" i="22"/>
  <c r="DW74" i="22"/>
  <c r="DX74" i="22"/>
  <c r="DY74" i="22"/>
  <c r="DZ74" i="22"/>
  <c r="EA74" i="22"/>
  <c r="EB74" i="22"/>
  <c r="EC74" i="22"/>
  <c r="ED74" i="22"/>
  <c r="EE74" i="22"/>
  <c r="EF74" i="22"/>
  <c r="EG74" i="22"/>
  <c r="EH74" i="22"/>
  <c r="EI74" i="22"/>
  <c r="EJ74" i="22"/>
  <c r="EK74" i="22"/>
  <c r="EL74" i="22"/>
  <c r="EM74" i="22"/>
  <c r="EN74" i="22"/>
  <c r="EO74" i="22"/>
  <c r="EP74" i="22"/>
  <c r="EQ74" i="22"/>
  <c r="ER74" i="22"/>
  <c r="ES74" i="22"/>
  <c r="ET74" i="22"/>
  <c r="EU74" i="22"/>
  <c r="EV74" i="22"/>
  <c r="EW74" i="22"/>
  <c r="EX74" i="22"/>
  <c r="EY74" i="22"/>
  <c r="EZ74" i="22"/>
  <c r="FA74" i="22"/>
  <c r="FB74" i="22"/>
  <c r="FC74" i="22"/>
  <c r="FD74" i="22"/>
  <c r="FE74" i="22"/>
  <c r="FF74" i="22"/>
  <c r="FG74" i="22"/>
  <c r="FH74" i="22"/>
  <c r="FI74" i="22"/>
  <c r="FJ74" i="22"/>
  <c r="FK74" i="22"/>
  <c r="FL74" i="22"/>
  <c r="FM74" i="22"/>
  <c r="FN74" i="22"/>
  <c r="FO74" i="22"/>
  <c r="FP74" i="22"/>
  <c r="FQ74" i="22"/>
  <c r="FR74" i="22"/>
  <c r="FS74" i="22"/>
  <c r="FT74" i="22"/>
  <c r="FU74" i="22"/>
  <c r="FV74" i="22"/>
  <c r="FW74" i="22"/>
  <c r="FX74" i="22"/>
  <c r="FY74" i="22"/>
  <c r="FZ74" i="22"/>
  <c r="GA74" i="22"/>
  <c r="GB74" i="22"/>
  <c r="GC74" i="22"/>
  <c r="GD74" i="22"/>
  <c r="GE74" i="22"/>
  <c r="GF74" i="22"/>
  <c r="GG74" i="22"/>
  <c r="GH74" i="22"/>
  <c r="GI74" i="22"/>
  <c r="GJ74" i="22"/>
  <c r="GK74" i="22"/>
  <c r="GL74" i="22"/>
  <c r="GM74" i="22"/>
  <c r="GN74" i="22"/>
  <c r="GO74" i="22"/>
  <c r="GP74" i="22"/>
  <c r="GQ74" i="22"/>
  <c r="GR74" i="22"/>
  <c r="GS74" i="22"/>
  <c r="GT74" i="22"/>
  <c r="GU74" i="22"/>
  <c r="GV74" i="22"/>
  <c r="GW74" i="22"/>
  <c r="GX74" i="22"/>
  <c r="GY74" i="22"/>
  <c r="GZ74" i="22"/>
  <c r="HA74" i="22"/>
  <c r="HB74" i="22"/>
  <c r="HC74" i="22"/>
  <c r="HD74" i="22"/>
  <c r="HE74" i="22"/>
  <c r="HF74" i="22"/>
  <c r="HG74" i="22"/>
  <c r="HH74" i="22"/>
  <c r="HI74" i="22"/>
  <c r="HJ74" i="22"/>
  <c r="HK74" i="22"/>
  <c r="HL74" i="22"/>
  <c r="HM74" i="22"/>
  <c r="HN74" i="22"/>
  <c r="HO74" i="22"/>
  <c r="HP74" i="22"/>
  <c r="HQ74" i="22"/>
  <c r="HR74" i="22"/>
  <c r="HS74" i="22"/>
  <c r="HT74" i="22"/>
  <c r="HU74" i="22"/>
  <c r="HV74" i="22"/>
  <c r="HW74" i="22"/>
  <c r="HX74" i="22"/>
  <c r="HY74" i="22"/>
  <c r="HZ74" i="22"/>
  <c r="IA74" i="22"/>
  <c r="IB74" i="22"/>
  <c r="IC74" i="22"/>
  <c r="ID74" i="22"/>
  <c r="IE74" i="22"/>
  <c r="IF74" i="22"/>
  <c r="IG74" i="22"/>
  <c r="IH74" i="22"/>
  <c r="II74" i="22"/>
  <c r="IJ74" i="22"/>
  <c r="IK74" i="22"/>
  <c r="IL74" i="22"/>
  <c r="IM74" i="22"/>
  <c r="IN74" i="22"/>
  <c r="IO74" i="22"/>
  <c r="IO146" i="22" s="1"/>
  <c r="IP74" i="22"/>
  <c r="IQ74" i="22"/>
  <c r="IR74" i="22"/>
  <c r="IS74" i="22"/>
  <c r="IT74" i="22"/>
  <c r="IU74" i="22"/>
  <c r="IV74" i="22"/>
  <c r="G75" i="22"/>
  <c r="H75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U75" i="22"/>
  <c r="V75" i="22"/>
  <c r="W75" i="22"/>
  <c r="X75" i="22"/>
  <c r="Y75" i="22"/>
  <c r="Z75" i="22"/>
  <c r="AA75" i="22"/>
  <c r="AB75" i="22"/>
  <c r="AC75" i="22"/>
  <c r="AD75" i="22"/>
  <c r="AE75" i="22"/>
  <c r="AF75" i="22"/>
  <c r="AG75" i="22"/>
  <c r="AH75" i="22"/>
  <c r="AI75" i="22"/>
  <c r="AJ75" i="22"/>
  <c r="AK75" i="22"/>
  <c r="AL75" i="22"/>
  <c r="AM75" i="22"/>
  <c r="AN75" i="22"/>
  <c r="AO75" i="22"/>
  <c r="AP75" i="22"/>
  <c r="AQ75" i="22"/>
  <c r="AR75" i="22"/>
  <c r="AS75" i="22"/>
  <c r="AT75" i="22"/>
  <c r="AU75" i="22"/>
  <c r="AV75" i="22"/>
  <c r="AW75" i="22"/>
  <c r="AX75" i="22"/>
  <c r="AY75" i="22"/>
  <c r="AZ75" i="22"/>
  <c r="BA75" i="22"/>
  <c r="BB75" i="22"/>
  <c r="BC75" i="22"/>
  <c r="BD75" i="22"/>
  <c r="BE75" i="22"/>
  <c r="BF75" i="22"/>
  <c r="BG75" i="22"/>
  <c r="BH75" i="22"/>
  <c r="BI75" i="22"/>
  <c r="BJ75" i="22"/>
  <c r="BK75" i="22"/>
  <c r="BL75" i="22"/>
  <c r="BM75" i="22"/>
  <c r="BN75" i="22"/>
  <c r="BO75" i="22"/>
  <c r="BP75" i="22"/>
  <c r="BQ75" i="22"/>
  <c r="BR75" i="22"/>
  <c r="BS75" i="22"/>
  <c r="BT75" i="22"/>
  <c r="BU75" i="22"/>
  <c r="BV75" i="22"/>
  <c r="BW75" i="22"/>
  <c r="BX75" i="22"/>
  <c r="BY75" i="22"/>
  <c r="BZ75" i="22"/>
  <c r="CA75" i="22"/>
  <c r="CB75" i="22"/>
  <c r="CC75" i="22"/>
  <c r="CD75" i="22"/>
  <c r="CE75" i="22"/>
  <c r="CF75" i="22"/>
  <c r="CG75" i="22"/>
  <c r="CH75" i="22"/>
  <c r="CI75" i="22"/>
  <c r="CJ75" i="22"/>
  <c r="CK75" i="22"/>
  <c r="CL75" i="22"/>
  <c r="CM75" i="22"/>
  <c r="CN75" i="22"/>
  <c r="CO75" i="22"/>
  <c r="CP75" i="22"/>
  <c r="CQ75" i="22"/>
  <c r="CR75" i="22"/>
  <c r="CS75" i="22"/>
  <c r="CT75" i="22"/>
  <c r="CU75" i="22"/>
  <c r="CV75" i="22"/>
  <c r="CW75" i="22"/>
  <c r="CX75" i="22"/>
  <c r="CY75" i="22"/>
  <c r="CZ75" i="22"/>
  <c r="DA75" i="22"/>
  <c r="DB75" i="22"/>
  <c r="DC75" i="22"/>
  <c r="DD75" i="22"/>
  <c r="DE75" i="22"/>
  <c r="DF75" i="22"/>
  <c r="DG75" i="22"/>
  <c r="DH75" i="22"/>
  <c r="DI75" i="22"/>
  <c r="DJ75" i="22"/>
  <c r="DK75" i="22"/>
  <c r="DL75" i="22"/>
  <c r="DM75" i="22"/>
  <c r="DN75" i="22"/>
  <c r="DO75" i="22"/>
  <c r="DP75" i="22"/>
  <c r="DQ75" i="22"/>
  <c r="DR75" i="22"/>
  <c r="DS75" i="22"/>
  <c r="DT75" i="22"/>
  <c r="DU75" i="22"/>
  <c r="DV75" i="22"/>
  <c r="DW75" i="22"/>
  <c r="DX75" i="22"/>
  <c r="DY75" i="22"/>
  <c r="DZ75" i="22"/>
  <c r="EA75" i="22"/>
  <c r="EB75" i="22"/>
  <c r="EC75" i="22"/>
  <c r="ED75" i="22"/>
  <c r="EE75" i="22"/>
  <c r="EF75" i="22"/>
  <c r="EG75" i="22"/>
  <c r="EH75" i="22"/>
  <c r="EI75" i="22"/>
  <c r="EJ75" i="22"/>
  <c r="EK75" i="22"/>
  <c r="EL75" i="22"/>
  <c r="EM75" i="22"/>
  <c r="EN75" i="22"/>
  <c r="EO75" i="22"/>
  <c r="EP75" i="22"/>
  <c r="EQ75" i="22"/>
  <c r="ER75" i="22"/>
  <c r="ES75" i="22"/>
  <c r="ET75" i="22"/>
  <c r="EU75" i="22"/>
  <c r="EV75" i="22"/>
  <c r="EW75" i="22"/>
  <c r="EX75" i="22"/>
  <c r="EY75" i="22"/>
  <c r="EZ75" i="22"/>
  <c r="FA75" i="22"/>
  <c r="FB75" i="22"/>
  <c r="FC75" i="22"/>
  <c r="FD75" i="22"/>
  <c r="FE75" i="22"/>
  <c r="FF75" i="22"/>
  <c r="FG75" i="22"/>
  <c r="FH75" i="22"/>
  <c r="FI75" i="22"/>
  <c r="FJ75" i="22"/>
  <c r="FK75" i="22"/>
  <c r="FL75" i="22"/>
  <c r="FM75" i="22"/>
  <c r="FN75" i="22"/>
  <c r="FO75" i="22"/>
  <c r="FP75" i="22"/>
  <c r="FQ75" i="22"/>
  <c r="FR75" i="22"/>
  <c r="FS75" i="22"/>
  <c r="FT75" i="22"/>
  <c r="FU75" i="22"/>
  <c r="FV75" i="22"/>
  <c r="FW75" i="22"/>
  <c r="FX75" i="22"/>
  <c r="FY75" i="22"/>
  <c r="FZ75" i="22"/>
  <c r="GA75" i="22"/>
  <c r="GB75" i="22"/>
  <c r="GC75" i="22"/>
  <c r="GD75" i="22"/>
  <c r="GE75" i="22"/>
  <c r="GF75" i="22"/>
  <c r="GG75" i="22"/>
  <c r="GH75" i="22"/>
  <c r="GI75" i="22"/>
  <c r="GJ75" i="22"/>
  <c r="GK75" i="22"/>
  <c r="GL75" i="22"/>
  <c r="GM75" i="22"/>
  <c r="GN75" i="22"/>
  <c r="GO75" i="22"/>
  <c r="GP75" i="22"/>
  <c r="GQ75" i="22"/>
  <c r="GR75" i="22"/>
  <c r="GS75" i="22"/>
  <c r="GT75" i="22"/>
  <c r="GU75" i="22"/>
  <c r="GV75" i="22"/>
  <c r="GW75" i="22"/>
  <c r="GX75" i="22"/>
  <c r="GY75" i="22"/>
  <c r="GZ75" i="22"/>
  <c r="HA75" i="22"/>
  <c r="HB75" i="22"/>
  <c r="HC75" i="22"/>
  <c r="HD75" i="22"/>
  <c r="HE75" i="22"/>
  <c r="HF75" i="22"/>
  <c r="HG75" i="22"/>
  <c r="HH75" i="22"/>
  <c r="HI75" i="22"/>
  <c r="HJ75" i="22"/>
  <c r="HK75" i="22"/>
  <c r="HL75" i="22"/>
  <c r="HM75" i="22"/>
  <c r="HN75" i="22"/>
  <c r="HO75" i="22"/>
  <c r="HP75" i="22"/>
  <c r="HQ75" i="22"/>
  <c r="HR75" i="22"/>
  <c r="HS75" i="22"/>
  <c r="HT75" i="22"/>
  <c r="HU75" i="22"/>
  <c r="HV75" i="22"/>
  <c r="HW75" i="22"/>
  <c r="HX75" i="22"/>
  <c r="HY75" i="22"/>
  <c r="HZ75" i="22"/>
  <c r="IA75" i="22"/>
  <c r="IB75" i="22"/>
  <c r="IC75" i="22"/>
  <c r="ID75" i="22"/>
  <c r="IE75" i="22"/>
  <c r="IF75" i="22"/>
  <c r="IG75" i="22"/>
  <c r="IH75" i="22"/>
  <c r="II75" i="22"/>
  <c r="IJ75" i="22"/>
  <c r="IK75" i="22"/>
  <c r="IL75" i="22"/>
  <c r="IM75" i="22"/>
  <c r="IN75" i="22"/>
  <c r="IO75" i="22"/>
  <c r="IP75" i="22"/>
  <c r="IQ75" i="22"/>
  <c r="IR75" i="22"/>
  <c r="IS75" i="22"/>
  <c r="IT75" i="22"/>
  <c r="IU75" i="22"/>
  <c r="IV75" i="22"/>
  <c r="G76" i="22"/>
  <c r="H76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U76" i="22"/>
  <c r="V76" i="22"/>
  <c r="W76" i="22"/>
  <c r="X76" i="22"/>
  <c r="Y76" i="22"/>
  <c r="Z76" i="22"/>
  <c r="AA76" i="22"/>
  <c r="AB76" i="22"/>
  <c r="AC76" i="22"/>
  <c r="AD76" i="22"/>
  <c r="AE76" i="22"/>
  <c r="AF76" i="22"/>
  <c r="AG76" i="22"/>
  <c r="AH76" i="22"/>
  <c r="AI76" i="22"/>
  <c r="AJ76" i="22"/>
  <c r="AK76" i="22"/>
  <c r="AL76" i="22"/>
  <c r="AM76" i="22"/>
  <c r="AN76" i="22"/>
  <c r="AO76" i="22"/>
  <c r="AP76" i="22"/>
  <c r="AQ76" i="22"/>
  <c r="AR76" i="22"/>
  <c r="AS76" i="22"/>
  <c r="AT76" i="22"/>
  <c r="AU76" i="22"/>
  <c r="AV76" i="22"/>
  <c r="AW76" i="22"/>
  <c r="AX76" i="22"/>
  <c r="AY76" i="22"/>
  <c r="AZ76" i="22"/>
  <c r="BA76" i="22"/>
  <c r="BB76" i="22"/>
  <c r="BC76" i="22"/>
  <c r="BD76" i="22"/>
  <c r="BE76" i="22"/>
  <c r="BF76" i="22"/>
  <c r="BG76" i="22"/>
  <c r="BH76" i="22"/>
  <c r="BI76" i="22"/>
  <c r="BJ76" i="22"/>
  <c r="BK76" i="22"/>
  <c r="BL76" i="22"/>
  <c r="BM76" i="22"/>
  <c r="BN76" i="22"/>
  <c r="BO76" i="22"/>
  <c r="BP76" i="22"/>
  <c r="BQ76" i="22"/>
  <c r="BR76" i="22"/>
  <c r="BS76" i="22"/>
  <c r="BT76" i="22"/>
  <c r="BU76" i="22"/>
  <c r="BV76" i="22"/>
  <c r="BW76" i="22"/>
  <c r="BX76" i="22"/>
  <c r="BY76" i="22"/>
  <c r="BZ76" i="22"/>
  <c r="CA76" i="22"/>
  <c r="CB76" i="22"/>
  <c r="CC76" i="22"/>
  <c r="CD76" i="22"/>
  <c r="CE76" i="22"/>
  <c r="CF76" i="22"/>
  <c r="CG76" i="22"/>
  <c r="CH76" i="22"/>
  <c r="CI76" i="22"/>
  <c r="CJ76" i="22"/>
  <c r="CK76" i="22"/>
  <c r="CL76" i="22"/>
  <c r="CM76" i="22"/>
  <c r="CN76" i="22"/>
  <c r="CO76" i="22"/>
  <c r="CP76" i="22"/>
  <c r="CQ76" i="22"/>
  <c r="CR76" i="22"/>
  <c r="CS76" i="22"/>
  <c r="CT76" i="22"/>
  <c r="CU76" i="22"/>
  <c r="CV76" i="22"/>
  <c r="CW76" i="22"/>
  <c r="CX76" i="22"/>
  <c r="CY76" i="22"/>
  <c r="CZ76" i="22"/>
  <c r="DA76" i="22"/>
  <c r="DB76" i="22"/>
  <c r="DC76" i="22"/>
  <c r="DD76" i="22"/>
  <c r="DE76" i="22"/>
  <c r="DF76" i="22"/>
  <c r="DG76" i="22"/>
  <c r="DH76" i="22"/>
  <c r="DI76" i="22"/>
  <c r="DJ76" i="22"/>
  <c r="DK76" i="22"/>
  <c r="DL76" i="22"/>
  <c r="DM76" i="22"/>
  <c r="DN76" i="22"/>
  <c r="DO76" i="22"/>
  <c r="DP76" i="22"/>
  <c r="DQ76" i="22"/>
  <c r="DR76" i="22"/>
  <c r="DS76" i="22"/>
  <c r="DT76" i="22"/>
  <c r="DU76" i="22"/>
  <c r="DV76" i="22"/>
  <c r="DW76" i="22"/>
  <c r="DX76" i="22"/>
  <c r="DY76" i="22"/>
  <c r="DZ76" i="22"/>
  <c r="EA76" i="22"/>
  <c r="EB76" i="22"/>
  <c r="EC76" i="22"/>
  <c r="ED76" i="22"/>
  <c r="EE76" i="22"/>
  <c r="EF76" i="22"/>
  <c r="EG76" i="22"/>
  <c r="EH76" i="22"/>
  <c r="EI76" i="22"/>
  <c r="EJ76" i="22"/>
  <c r="EK76" i="22"/>
  <c r="EL76" i="22"/>
  <c r="EM76" i="22"/>
  <c r="EN76" i="22"/>
  <c r="EO76" i="22"/>
  <c r="EP76" i="22"/>
  <c r="EQ76" i="22"/>
  <c r="ER76" i="22"/>
  <c r="ES76" i="22"/>
  <c r="ET76" i="22"/>
  <c r="EU76" i="22"/>
  <c r="EV76" i="22"/>
  <c r="EW76" i="22"/>
  <c r="EX76" i="22"/>
  <c r="EY76" i="22"/>
  <c r="EZ76" i="22"/>
  <c r="FA76" i="22"/>
  <c r="FB76" i="22"/>
  <c r="FC76" i="22"/>
  <c r="FD76" i="22"/>
  <c r="FE76" i="22"/>
  <c r="FF76" i="22"/>
  <c r="FG76" i="22"/>
  <c r="FH76" i="22"/>
  <c r="FI76" i="22"/>
  <c r="FJ76" i="22"/>
  <c r="FK76" i="22"/>
  <c r="FL76" i="22"/>
  <c r="FM76" i="22"/>
  <c r="FN76" i="22"/>
  <c r="FO76" i="22"/>
  <c r="FP76" i="22"/>
  <c r="FQ76" i="22"/>
  <c r="FR76" i="22"/>
  <c r="FS76" i="22"/>
  <c r="FT76" i="22"/>
  <c r="FU76" i="22"/>
  <c r="FV76" i="22"/>
  <c r="FW76" i="22"/>
  <c r="FX76" i="22"/>
  <c r="FY76" i="22"/>
  <c r="FZ76" i="22"/>
  <c r="GA76" i="22"/>
  <c r="GB76" i="22"/>
  <c r="GC76" i="22"/>
  <c r="GD76" i="22"/>
  <c r="GE76" i="22"/>
  <c r="GF76" i="22"/>
  <c r="GG76" i="22"/>
  <c r="GH76" i="22"/>
  <c r="GI76" i="22"/>
  <c r="GJ76" i="22"/>
  <c r="GK76" i="22"/>
  <c r="GL76" i="22"/>
  <c r="GM76" i="22"/>
  <c r="GN76" i="22"/>
  <c r="GO76" i="22"/>
  <c r="GP76" i="22"/>
  <c r="GQ76" i="22"/>
  <c r="GR76" i="22"/>
  <c r="GS76" i="22"/>
  <c r="GT76" i="22"/>
  <c r="GU76" i="22"/>
  <c r="GV76" i="22"/>
  <c r="GW76" i="22"/>
  <c r="GX76" i="22"/>
  <c r="GY76" i="22"/>
  <c r="GZ76" i="22"/>
  <c r="HA76" i="22"/>
  <c r="HB76" i="22"/>
  <c r="HC76" i="22"/>
  <c r="HD76" i="22"/>
  <c r="HE76" i="22"/>
  <c r="HF76" i="22"/>
  <c r="HG76" i="22"/>
  <c r="HH76" i="22"/>
  <c r="HI76" i="22"/>
  <c r="HJ76" i="22"/>
  <c r="HK76" i="22"/>
  <c r="HL76" i="22"/>
  <c r="HM76" i="22"/>
  <c r="HN76" i="22"/>
  <c r="HO76" i="22"/>
  <c r="HP76" i="22"/>
  <c r="HQ76" i="22"/>
  <c r="HR76" i="22"/>
  <c r="HS76" i="22"/>
  <c r="HT76" i="22"/>
  <c r="HU76" i="22"/>
  <c r="HV76" i="22"/>
  <c r="HW76" i="22"/>
  <c r="HX76" i="22"/>
  <c r="HY76" i="22"/>
  <c r="HZ76" i="22"/>
  <c r="IA76" i="22"/>
  <c r="IB76" i="22"/>
  <c r="IC76" i="22"/>
  <c r="ID76" i="22"/>
  <c r="IE76" i="22"/>
  <c r="IF76" i="22"/>
  <c r="IG76" i="22"/>
  <c r="IH76" i="22"/>
  <c r="II76" i="22"/>
  <c r="IJ76" i="22"/>
  <c r="IK76" i="22"/>
  <c r="IL76" i="22"/>
  <c r="IM76" i="22"/>
  <c r="IN76" i="22"/>
  <c r="IO76" i="22"/>
  <c r="IP76" i="22"/>
  <c r="IQ76" i="22"/>
  <c r="IR76" i="22"/>
  <c r="IS76" i="22"/>
  <c r="IT76" i="22"/>
  <c r="IU76" i="22"/>
  <c r="IV76" i="22"/>
  <c r="G77" i="22"/>
  <c r="H77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U77" i="22"/>
  <c r="V77" i="22"/>
  <c r="W77" i="22"/>
  <c r="X77" i="22"/>
  <c r="Y77" i="22"/>
  <c r="Z77" i="22"/>
  <c r="AA77" i="22"/>
  <c r="AB77" i="22"/>
  <c r="AC77" i="22"/>
  <c r="AD77" i="22"/>
  <c r="AE77" i="22"/>
  <c r="AF77" i="22"/>
  <c r="AG77" i="22"/>
  <c r="AH77" i="22"/>
  <c r="AI77" i="22"/>
  <c r="AJ77" i="22"/>
  <c r="AK77" i="22"/>
  <c r="AL77" i="22"/>
  <c r="AM77" i="22"/>
  <c r="AN77" i="22"/>
  <c r="AO77" i="22"/>
  <c r="AP77" i="22"/>
  <c r="AQ77" i="22"/>
  <c r="AR77" i="22"/>
  <c r="AS77" i="22"/>
  <c r="AT77" i="22"/>
  <c r="AU77" i="22"/>
  <c r="AV77" i="22"/>
  <c r="AW77" i="22"/>
  <c r="AX77" i="22"/>
  <c r="AY77" i="22"/>
  <c r="AZ77" i="22"/>
  <c r="BA77" i="22"/>
  <c r="BB77" i="22"/>
  <c r="BC77" i="22"/>
  <c r="BD77" i="22"/>
  <c r="BE77" i="22"/>
  <c r="BF77" i="22"/>
  <c r="BG77" i="22"/>
  <c r="BH77" i="22"/>
  <c r="BI77" i="22"/>
  <c r="BJ77" i="22"/>
  <c r="BK77" i="22"/>
  <c r="BL77" i="22"/>
  <c r="BM77" i="22"/>
  <c r="BN77" i="22"/>
  <c r="BO77" i="22"/>
  <c r="BP77" i="22"/>
  <c r="BQ77" i="22"/>
  <c r="BR77" i="22"/>
  <c r="BS77" i="22"/>
  <c r="BT77" i="22"/>
  <c r="BU77" i="22"/>
  <c r="BV77" i="22"/>
  <c r="BW77" i="22"/>
  <c r="BX77" i="22"/>
  <c r="BY77" i="22"/>
  <c r="BZ77" i="22"/>
  <c r="CA77" i="22"/>
  <c r="CB77" i="22"/>
  <c r="CC77" i="22"/>
  <c r="CD77" i="22"/>
  <c r="CE77" i="22"/>
  <c r="CF77" i="22"/>
  <c r="CG77" i="22"/>
  <c r="CH77" i="22"/>
  <c r="CI77" i="22"/>
  <c r="CJ77" i="22"/>
  <c r="CK77" i="22"/>
  <c r="CL77" i="22"/>
  <c r="CM77" i="22"/>
  <c r="CN77" i="22"/>
  <c r="CO77" i="22"/>
  <c r="CP77" i="22"/>
  <c r="CQ77" i="22"/>
  <c r="CR77" i="22"/>
  <c r="CS77" i="22"/>
  <c r="CT77" i="22"/>
  <c r="CU77" i="22"/>
  <c r="CV77" i="22"/>
  <c r="CW77" i="22"/>
  <c r="CX77" i="22"/>
  <c r="CY77" i="22"/>
  <c r="CZ77" i="22"/>
  <c r="DA77" i="22"/>
  <c r="DB77" i="22"/>
  <c r="DC77" i="22"/>
  <c r="DD77" i="22"/>
  <c r="DE77" i="22"/>
  <c r="DF77" i="22"/>
  <c r="DG77" i="22"/>
  <c r="DH77" i="22"/>
  <c r="DI77" i="22"/>
  <c r="DJ77" i="22"/>
  <c r="DK77" i="22"/>
  <c r="DL77" i="22"/>
  <c r="DM77" i="22"/>
  <c r="DN77" i="22"/>
  <c r="DO77" i="22"/>
  <c r="DP77" i="22"/>
  <c r="DQ77" i="22"/>
  <c r="DR77" i="22"/>
  <c r="DS77" i="22"/>
  <c r="DT77" i="22"/>
  <c r="DU77" i="22"/>
  <c r="DV77" i="22"/>
  <c r="DW77" i="22"/>
  <c r="DX77" i="22"/>
  <c r="DY77" i="22"/>
  <c r="DZ77" i="22"/>
  <c r="EA77" i="22"/>
  <c r="EB77" i="22"/>
  <c r="EC77" i="22"/>
  <c r="ED77" i="22"/>
  <c r="EE77" i="22"/>
  <c r="EF77" i="22"/>
  <c r="EG77" i="22"/>
  <c r="EH77" i="22"/>
  <c r="EI77" i="22"/>
  <c r="EJ77" i="22"/>
  <c r="EK77" i="22"/>
  <c r="EL77" i="22"/>
  <c r="EM77" i="22"/>
  <c r="EN77" i="22"/>
  <c r="EO77" i="22"/>
  <c r="EP77" i="22"/>
  <c r="EQ77" i="22"/>
  <c r="ER77" i="22"/>
  <c r="ES77" i="22"/>
  <c r="ET77" i="22"/>
  <c r="EU77" i="22"/>
  <c r="EV77" i="22"/>
  <c r="EW77" i="22"/>
  <c r="EX77" i="22"/>
  <c r="EY77" i="22"/>
  <c r="EZ77" i="22"/>
  <c r="FA77" i="22"/>
  <c r="FB77" i="22"/>
  <c r="FC77" i="22"/>
  <c r="FD77" i="22"/>
  <c r="FE77" i="22"/>
  <c r="FF77" i="22"/>
  <c r="FG77" i="22"/>
  <c r="FH77" i="22"/>
  <c r="FI77" i="22"/>
  <c r="FJ77" i="22"/>
  <c r="FK77" i="22"/>
  <c r="FL77" i="22"/>
  <c r="FM77" i="22"/>
  <c r="FN77" i="22"/>
  <c r="FO77" i="22"/>
  <c r="FP77" i="22"/>
  <c r="FQ77" i="22"/>
  <c r="FR77" i="22"/>
  <c r="FS77" i="22"/>
  <c r="FT77" i="22"/>
  <c r="FU77" i="22"/>
  <c r="FV77" i="22"/>
  <c r="FW77" i="22"/>
  <c r="FX77" i="22"/>
  <c r="FY77" i="22"/>
  <c r="FZ77" i="22"/>
  <c r="GA77" i="22"/>
  <c r="GB77" i="22"/>
  <c r="GC77" i="22"/>
  <c r="GD77" i="22"/>
  <c r="GE77" i="22"/>
  <c r="GF77" i="22"/>
  <c r="GG77" i="22"/>
  <c r="GH77" i="22"/>
  <c r="GI77" i="22"/>
  <c r="GJ77" i="22"/>
  <c r="GK77" i="22"/>
  <c r="GL77" i="22"/>
  <c r="GM77" i="22"/>
  <c r="GN77" i="22"/>
  <c r="GO77" i="22"/>
  <c r="GP77" i="22"/>
  <c r="GQ77" i="22"/>
  <c r="GR77" i="22"/>
  <c r="GS77" i="22"/>
  <c r="GT77" i="22"/>
  <c r="GU77" i="22"/>
  <c r="GV77" i="22"/>
  <c r="GW77" i="22"/>
  <c r="GX77" i="22"/>
  <c r="GY77" i="22"/>
  <c r="GZ77" i="22"/>
  <c r="HA77" i="22"/>
  <c r="HB77" i="22"/>
  <c r="HC77" i="22"/>
  <c r="HD77" i="22"/>
  <c r="HE77" i="22"/>
  <c r="HF77" i="22"/>
  <c r="HG77" i="22"/>
  <c r="HH77" i="22"/>
  <c r="HI77" i="22"/>
  <c r="HJ77" i="22"/>
  <c r="HK77" i="22"/>
  <c r="HL77" i="22"/>
  <c r="HM77" i="22"/>
  <c r="HN77" i="22"/>
  <c r="HO77" i="22"/>
  <c r="HP77" i="22"/>
  <c r="HQ77" i="22"/>
  <c r="HR77" i="22"/>
  <c r="HS77" i="22"/>
  <c r="HT77" i="22"/>
  <c r="HU77" i="22"/>
  <c r="HV77" i="22"/>
  <c r="HW77" i="22"/>
  <c r="HX77" i="22"/>
  <c r="HY77" i="22"/>
  <c r="HZ77" i="22"/>
  <c r="IA77" i="22"/>
  <c r="IB77" i="22"/>
  <c r="IC77" i="22"/>
  <c r="ID77" i="22"/>
  <c r="IE77" i="22"/>
  <c r="IF77" i="22"/>
  <c r="IG77" i="22"/>
  <c r="IH77" i="22"/>
  <c r="II77" i="22"/>
  <c r="IJ77" i="22"/>
  <c r="IK77" i="22"/>
  <c r="IL77" i="22"/>
  <c r="IM77" i="22"/>
  <c r="IN77" i="22"/>
  <c r="IO77" i="22"/>
  <c r="IP77" i="22"/>
  <c r="IQ77" i="22"/>
  <c r="IR77" i="22"/>
  <c r="IS77" i="22"/>
  <c r="IT77" i="22"/>
  <c r="IU77" i="22"/>
  <c r="IV77" i="22"/>
  <c r="G78" i="22"/>
  <c r="H78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U78" i="22"/>
  <c r="V78" i="22"/>
  <c r="W78" i="22"/>
  <c r="X78" i="22"/>
  <c r="Y78" i="22"/>
  <c r="Z78" i="22"/>
  <c r="AA78" i="22"/>
  <c r="AB78" i="22"/>
  <c r="AC78" i="22"/>
  <c r="AD78" i="22"/>
  <c r="AE78" i="22"/>
  <c r="AF78" i="22"/>
  <c r="AG78" i="22"/>
  <c r="AH78" i="22"/>
  <c r="AI78" i="22"/>
  <c r="AJ78" i="22"/>
  <c r="AK78" i="22"/>
  <c r="AL78" i="22"/>
  <c r="AM78" i="22"/>
  <c r="AN78" i="22"/>
  <c r="AO78" i="22"/>
  <c r="AP78" i="22"/>
  <c r="AQ78" i="22"/>
  <c r="AR78" i="22"/>
  <c r="AS78" i="22"/>
  <c r="AT78" i="22"/>
  <c r="AU78" i="22"/>
  <c r="AV78" i="22"/>
  <c r="AW78" i="22"/>
  <c r="AX78" i="22"/>
  <c r="AY78" i="22"/>
  <c r="AZ78" i="22"/>
  <c r="BA78" i="22"/>
  <c r="BB78" i="22"/>
  <c r="BC78" i="22"/>
  <c r="BD78" i="22"/>
  <c r="BE78" i="22"/>
  <c r="BF78" i="22"/>
  <c r="BG78" i="22"/>
  <c r="BH78" i="22"/>
  <c r="BI78" i="22"/>
  <c r="BJ78" i="22"/>
  <c r="BK78" i="22"/>
  <c r="BL78" i="22"/>
  <c r="BM78" i="22"/>
  <c r="BN78" i="22"/>
  <c r="BO78" i="22"/>
  <c r="BP78" i="22"/>
  <c r="BQ78" i="22"/>
  <c r="BR78" i="22"/>
  <c r="BS78" i="22"/>
  <c r="BT78" i="22"/>
  <c r="BU78" i="22"/>
  <c r="BV78" i="22"/>
  <c r="BW78" i="22"/>
  <c r="BX78" i="22"/>
  <c r="BY78" i="22"/>
  <c r="BZ78" i="22"/>
  <c r="CA78" i="22"/>
  <c r="CB78" i="22"/>
  <c r="CC78" i="22"/>
  <c r="CD78" i="22"/>
  <c r="CE78" i="22"/>
  <c r="CF78" i="22"/>
  <c r="CG78" i="22"/>
  <c r="CH78" i="22"/>
  <c r="CI78" i="22"/>
  <c r="CJ78" i="22"/>
  <c r="CK78" i="22"/>
  <c r="CL78" i="22"/>
  <c r="CM78" i="22"/>
  <c r="CN78" i="22"/>
  <c r="CO78" i="22"/>
  <c r="CP78" i="22"/>
  <c r="CQ78" i="22"/>
  <c r="CR78" i="22"/>
  <c r="CS78" i="22"/>
  <c r="CT78" i="22"/>
  <c r="CU78" i="22"/>
  <c r="CV78" i="22"/>
  <c r="CW78" i="22"/>
  <c r="CX78" i="22"/>
  <c r="CY78" i="22"/>
  <c r="CZ78" i="22"/>
  <c r="DA78" i="22"/>
  <c r="DB78" i="22"/>
  <c r="DC78" i="22"/>
  <c r="DD78" i="22"/>
  <c r="DE78" i="22"/>
  <c r="DF78" i="22"/>
  <c r="DG78" i="22"/>
  <c r="DH78" i="22"/>
  <c r="DI78" i="22"/>
  <c r="DJ78" i="22"/>
  <c r="DK78" i="22"/>
  <c r="DL78" i="22"/>
  <c r="DM78" i="22"/>
  <c r="DN78" i="22"/>
  <c r="DO78" i="22"/>
  <c r="DP78" i="22"/>
  <c r="DQ78" i="22"/>
  <c r="DR78" i="22"/>
  <c r="DS78" i="22"/>
  <c r="DT78" i="22"/>
  <c r="DU78" i="22"/>
  <c r="DV78" i="22"/>
  <c r="DW78" i="22"/>
  <c r="DX78" i="22"/>
  <c r="DY78" i="22"/>
  <c r="DZ78" i="22"/>
  <c r="EA78" i="22"/>
  <c r="EB78" i="22"/>
  <c r="EC78" i="22"/>
  <c r="ED78" i="22"/>
  <c r="EE78" i="22"/>
  <c r="EF78" i="22"/>
  <c r="EG78" i="22"/>
  <c r="EH78" i="22"/>
  <c r="EI78" i="22"/>
  <c r="EJ78" i="22"/>
  <c r="EK78" i="22"/>
  <c r="EL78" i="22"/>
  <c r="EM78" i="22"/>
  <c r="EN78" i="22"/>
  <c r="EO78" i="22"/>
  <c r="EP78" i="22"/>
  <c r="EQ78" i="22"/>
  <c r="ER78" i="22"/>
  <c r="ES78" i="22"/>
  <c r="ET78" i="22"/>
  <c r="EU78" i="22"/>
  <c r="EV78" i="22"/>
  <c r="EW78" i="22"/>
  <c r="EX78" i="22"/>
  <c r="EY78" i="22"/>
  <c r="EZ78" i="22"/>
  <c r="FA78" i="22"/>
  <c r="FB78" i="22"/>
  <c r="FC78" i="22"/>
  <c r="FD78" i="22"/>
  <c r="FE78" i="22"/>
  <c r="FF78" i="22"/>
  <c r="FG78" i="22"/>
  <c r="FH78" i="22"/>
  <c r="FI78" i="22"/>
  <c r="FJ78" i="22"/>
  <c r="FK78" i="22"/>
  <c r="FL78" i="22"/>
  <c r="FM78" i="22"/>
  <c r="FN78" i="22"/>
  <c r="FO78" i="22"/>
  <c r="FP78" i="22"/>
  <c r="FQ78" i="22"/>
  <c r="FR78" i="22"/>
  <c r="FS78" i="22"/>
  <c r="FT78" i="22"/>
  <c r="FU78" i="22"/>
  <c r="FV78" i="22"/>
  <c r="FW78" i="22"/>
  <c r="FX78" i="22"/>
  <c r="FY78" i="22"/>
  <c r="FZ78" i="22"/>
  <c r="GA78" i="22"/>
  <c r="GB78" i="22"/>
  <c r="GC78" i="22"/>
  <c r="GD78" i="22"/>
  <c r="GE78" i="22"/>
  <c r="GF78" i="22"/>
  <c r="GG78" i="22"/>
  <c r="GH78" i="22"/>
  <c r="GI78" i="22"/>
  <c r="GJ78" i="22"/>
  <c r="GK78" i="22"/>
  <c r="GL78" i="22"/>
  <c r="GM78" i="22"/>
  <c r="GN78" i="22"/>
  <c r="GO78" i="22"/>
  <c r="GP78" i="22"/>
  <c r="GQ78" i="22"/>
  <c r="GR78" i="22"/>
  <c r="GS78" i="22"/>
  <c r="GT78" i="22"/>
  <c r="GU78" i="22"/>
  <c r="GV78" i="22"/>
  <c r="GW78" i="22"/>
  <c r="GX78" i="22"/>
  <c r="GY78" i="22"/>
  <c r="GZ78" i="22"/>
  <c r="HA78" i="22"/>
  <c r="HB78" i="22"/>
  <c r="HC78" i="22"/>
  <c r="HD78" i="22"/>
  <c r="HE78" i="22"/>
  <c r="HF78" i="22"/>
  <c r="HG78" i="22"/>
  <c r="HH78" i="22"/>
  <c r="HI78" i="22"/>
  <c r="HJ78" i="22"/>
  <c r="HK78" i="22"/>
  <c r="HL78" i="22"/>
  <c r="HM78" i="22"/>
  <c r="HN78" i="22"/>
  <c r="HO78" i="22"/>
  <c r="HP78" i="22"/>
  <c r="HQ78" i="22"/>
  <c r="HR78" i="22"/>
  <c r="HS78" i="22"/>
  <c r="HT78" i="22"/>
  <c r="HU78" i="22"/>
  <c r="HV78" i="22"/>
  <c r="HW78" i="22"/>
  <c r="HX78" i="22"/>
  <c r="HY78" i="22"/>
  <c r="HY146" i="22" s="1"/>
  <c r="HZ78" i="22"/>
  <c r="IA78" i="22"/>
  <c r="IB78" i="22"/>
  <c r="IC78" i="22"/>
  <c r="ID78" i="22"/>
  <c r="IE78" i="22"/>
  <c r="IF78" i="22"/>
  <c r="IG78" i="22"/>
  <c r="IG146" i="22" s="1"/>
  <c r="IH78" i="22"/>
  <c r="II78" i="22"/>
  <c r="IJ78" i="22"/>
  <c r="IK78" i="22"/>
  <c r="IL78" i="22"/>
  <c r="IM78" i="22"/>
  <c r="IN78" i="22"/>
  <c r="IO78" i="22"/>
  <c r="IP78" i="22"/>
  <c r="IQ78" i="22"/>
  <c r="IR78" i="22"/>
  <c r="IS78" i="22"/>
  <c r="IT78" i="22"/>
  <c r="IU78" i="22"/>
  <c r="IV78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U79" i="22"/>
  <c r="V79" i="22"/>
  <c r="W79" i="22"/>
  <c r="X79" i="22"/>
  <c r="Y79" i="22"/>
  <c r="Z79" i="22"/>
  <c r="AA79" i="22"/>
  <c r="AB79" i="22"/>
  <c r="AC79" i="22"/>
  <c r="AD79" i="22"/>
  <c r="AE79" i="22"/>
  <c r="AF79" i="22"/>
  <c r="AG79" i="22"/>
  <c r="AH79" i="22"/>
  <c r="AI79" i="22"/>
  <c r="AJ79" i="22"/>
  <c r="AK79" i="22"/>
  <c r="AL79" i="22"/>
  <c r="AM79" i="22"/>
  <c r="AN79" i="22"/>
  <c r="AO79" i="22"/>
  <c r="AP79" i="22"/>
  <c r="AQ79" i="22"/>
  <c r="AR79" i="22"/>
  <c r="AS79" i="22"/>
  <c r="AT79" i="22"/>
  <c r="AU79" i="22"/>
  <c r="AV79" i="22"/>
  <c r="AW79" i="22"/>
  <c r="AX79" i="22"/>
  <c r="AY79" i="22"/>
  <c r="AZ79" i="22"/>
  <c r="BA79" i="22"/>
  <c r="BB79" i="22"/>
  <c r="BC79" i="22"/>
  <c r="BD79" i="22"/>
  <c r="BE79" i="22"/>
  <c r="BF79" i="22"/>
  <c r="BG79" i="22"/>
  <c r="BH79" i="22"/>
  <c r="BI79" i="22"/>
  <c r="BJ79" i="22"/>
  <c r="BK79" i="22"/>
  <c r="BL79" i="22"/>
  <c r="BM79" i="22"/>
  <c r="BN79" i="22"/>
  <c r="BO79" i="22"/>
  <c r="BP79" i="22"/>
  <c r="BQ79" i="22"/>
  <c r="BR79" i="22"/>
  <c r="BS79" i="22"/>
  <c r="BT79" i="22"/>
  <c r="BU79" i="22"/>
  <c r="BV79" i="22"/>
  <c r="BW79" i="22"/>
  <c r="BX79" i="22"/>
  <c r="BY79" i="22"/>
  <c r="BZ79" i="22"/>
  <c r="CA79" i="22"/>
  <c r="CB79" i="22"/>
  <c r="CC79" i="22"/>
  <c r="CD79" i="22"/>
  <c r="CE79" i="22"/>
  <c r="CF79" i="22"/>
  <c r="CG79" i="22"/>
  <c r="CH79" i="22"/>
  <c r="CI79" i="22"/>
  <c r="CJ79" i="22"/>
  <c r="CK79" i="22"/>
  <c r="CL79" i="22"/>
  <c r="CM79" i="22"/>
  <c r="CN79" i="22"/>
  <c r="CO79" i="22"/>
  <c r="CP79" i="22"/>
  <c r="CQ79" i="22"/>
  <c r="CR79" i="22"/>
  <c r="CS79" i="22"/>
  <c r="CT79" i="22"/>
  <c r="CU79" i="22"/>
  <c r="CV79" i="22"/>
  <c r="CW79" i="22"/>
  <c r="CX79" i="22"/>
  <c r="CY79" i="22"/>
  <c r="CZ79" i="22"/>
  <c r="DA79" i="22"/>
  <c r="DB79" i="22"/>
  <c r="DC79" i="22"/>
  <c r="DD79" i="22"/>
  <c r="DE79" i="22"/>
  <c r="DF79" i="22"/>
  <c r="DG79" i="22"/>
  <c r="DH79" i="22"/>
  <c r="DI79" i="22"/>
  <c r="DJ79" i="22"/>
  <c r="DK79" i="22"/>
  <c r="DL79" i="22"/>
  <c r="DM79" i="22"/>
  <c r="DN79" i="22"/>
  <c r="DO79" i="22"/>
  <c r="DP79" i="22"/>
  <c r="DQ79" i="22"/>
  <c r="DR79" i="22"/>
  <c r="DS79" i="22"/>
  <c r="DT79" i="22"/>
  <c r="DU79" i="22"/>
  <c r="DV79" i="22"/>
  <c r="DW79" i="22"/>
  <c r="DX79" i="22"/>
  <c r="DY79" i="22"/>
  <c r="DZ79" i="22"/>
  <c r="EA79" i="22"/>
  <c r="EB79" i="22"/>
  <c r="EC79" i="22"/>
  <c r="ED79" i="22"/>
  <c r="EE79" i="22"/>
  <c r="EF79" i="22"/>
  <c r="EG79" i="22"/>
  <c r="EH79" i="22"/>
  <c r="EI79" i="22"/>
  <c r="EJ79" i="22"/>
  <c r="EK79" i="22"/>
  <c r="EL79" i="22"/>
  <c r="EM79" i="22"/>
  <c r="EN79" i="22"/>
  <c r="EO79" i="22"/>
  <c r="EP79" i="22"/>
  <c r="EQ79" i="22"/>
  <c r="ER79" i="22"/>
  <c r="ES79" i="22"/>
  <c r="ET79" i="22"/>
  <c r="EU79" i="22"/>
  <c r="EV79" i="22"/>
  <c r="EW79" i="22"/>
  <c r="EX79" i="22"/>
  <c r="EY79" i="22"/>
  <c r="EZ79" i="22"/>
  <c r="FA79" i="22"/>
  <c r="FB79" i="22"/>
  <c r="FC79" i="22"/>
  <c r="FD79" i="22"/>
  <c r="FE79" i="22"/>
  <c r="FF79" i="22"/>
  <c r="FG79" i="22"/>
  <c r="FH79" i="22"/>
  <c r="FI79" i="22"/>
  <c r="FJ79" i="22"/>
  <c r="FK79" i="22"/>
  <c r="FL79" i="22"/>
  <c r="FM79" i="22"/>
  <c r="FN79" i="22"/>
  <c r="FO79" i="22"/>
  <c r="FP79" i="22"/>
  <c r="FQ79" i="22"/>
  <c r="FR79" i="22"/>
  <c r="FS79" i="22"/>
  <c r="FT79" i="22"/>
  <c r="FU79" i="22"/>
  <c r="FV79" i="22"/>
  <c r="FW79" i="22"/>
  <c r="FX79" i="22"/>
  <c r="FY79" i="22"/>
  <c r="FZ79" i="22"/>
  <c r="GA79" i="22"/>
  <c r="GB79" i="22"/>
  <c r="GC79" i="22"/>
  <c r="GD79" i="22"/>
  <c r="GE79" i="22"/>
  <c r="GF79" i="22"/>
  <c r="GG79" i="22"/>
  <c r="GH79" i="22"/>
  <c r="GI79" i="22"/>
  <c r="GJ79" i="22"/>
  <c r="GK79" i="22"/>
  <c r="GL79" i="22"/>
  <c r="GM79" i="22"/>
  <c r="GN79" i="22"/>
  <c r="GO79" i="22"/>
  <c r="GP79" i="22"/>
  <c r="GQ79" i="22"/>
  <c r="GR79" i="22"/>
  <c r="GS79" i="22"/>
  <c r="GT79" i="22"/>
  <c r="GU79" i="22"/>
  <c r="GV79" i="22"/>
  <c r="GW79" i="22"/>
  <c r="GX79" i="22"/>
  <c r="GY79" i="22"/>
  <c r="GZ79" i="22"/>
  <c r="HA79" i="22"/>
  <c r="HB79" i="22"/>
  <c r="HC79" i="22"/>
  <c r="HD79" i="22"/>
  <c r="HE79" i="22"/>
  <c r="HF79" i="22"/>
  <c r="HG79" i="22"/>
  <c r="HH79" i="22"/>
  <c r="HI79" i="22"/>
  <c r="HJ79" i="22"/>
  <c r="HK79" i="22"/>
  <c r="HL79" i="22"/>
  <c r="HM79" i="22"/>
  <c r="HN79" i="22"/>
  <c r="HO79" i="22"/>
  <c r="HP79" i="22"/>
  <c r="HQ79" i="22"/>
  <c r="HR79" i="22"/>
  <c r="HS79" i="22"/>
  <c r="HT79" i="22"/>
  <c r="HU79" i="22"/>
  <c r="HV79" i="22"/>
  <c r="HW79" i="22"/>
  <c r="HX79" i="22"/>
  <c r="HY79" i="22"/>
  <c r="HZ79" i="22"/>
  <c r="IA79" i="22"/>
  <c r="IB79" i="22"/>
  <c r="IC79" i="22"/>
  <c r="ID79" i="22"/>
  <c r="IE79" i="22"/>
  <c r="IF79" i="22"/>
  <c r="IG79" i="22"/>
  <c r="IH79" i="22"/>
  <c r="II79" i="22"/>
  <c r="IJ79" i="22"/>
  <c r="IK79" i="22"/>
  <c r="IL79" i="22"/>
  <c r="IM79" i="22"/>
  <c r="IN79" i="22"/>
  <c r="IO79" i="22"/>
  <c r="IP79" i="22"/>
  <c r="IQ79" i="22"/>
  <c r="IR79" i="22"/>
  <c r="IS79" i="22"/>
  <c r="IT79" i="22"/>
  <c r="IU79" i="22"/>
  <c r="IV79" i="22"/>
  <c r="G80" i="22"/>
  <c r="H80" i="22"/>
  <c r="I80" i="22"/>
  <c r="J80" i="22"/>
  <c r="K80" i="22"/>
  <c r="L80" i="22"/>
  <c r="M80" i="22"/>
  <c r="N80" i="22"/>
  <c r="O80" i="22"/>
  <c r="P80" i="22"/>
  <c r="Q80" i="22"/>
  <c r="R80" i="22"/>
  <c r="S80" i="22"/>
  <c r="T80" i="22"/>
  <c r="U80" i="22"/>
  <c r="V80" i="22"/>
  <c r="W80" i="22"/>
  <c r="X80" i="22"/>
  <c r="Y80" i="22"/>
  <c r="Z80" i="22"/>
  <c r="AA80" i="22"/>
  <c r="AB80" i="22"/>
  <c r="AC80" i="22"/>
  <c r="AD80" i="22"/>
  <c r="AE80" i="22"/>
  <c r="AF80" i="22"/>
  <c r="AG80" i="22"/>
  <c r="AH80" i="22"/>
  <c r="AI80" i="22"/>
  <c r="AJ80" i="22"/>
  <c r="AK80" i="22"/>
  <c r="AL80" i="22"/>
  <c r="AM80" i="22"/>
  <c r="AN80" i="22"/>
  <c r="AO80" i="22"/>
  <c r="AP80" i="22"/>
  <c r="AQ80" i="22"/>
  <c r="AR80" i="22"/>
  <c r="AS80" i="22"/>
  <c r="AT80" i="22"/>
  <c r="AU80" i="22"/>
  <c r="AV80" i="22"/>
  <c r="AW80" i="22"/>
  <c r="AX80" i="22"/>
  <c r="AY80" i="22"/>
  <c r="AZ80" i="22"/>
  <c r="BA80" i="22"/>
  <c r="BB80" i="22"/>
  <c r="BC80" i="22"/>
  <c r="BD80" i="22"/>
  <c r="BE80" i="22"/>
  <c r="BF80" i="22"/>
  <c r="BG80" i="22"/>
  <c r="BH80" i="22"/>
  <c r="BI80" i="22"/>
  <c r="BJ80" i="22"/>
  <c r="BK80" i="22"/>
  <c r="BL80" i="22"/>
  <c r="BM80" i="22"/>
  <c r="BN80" i="22"/>
  <c r="BO80" i="22"/>
  <c r="BP80" i="22"/>
  <c r="BQ80" i="22"/>
  <c r="BR80" i="22"/>
  <c r="BS80" i="22"/>
  <c r="BT80" i="22"/>
  <c r="BU80" i="22"/>
  <c r="BV80" i="22"/>
  <c r="BW80" i="22"/>
  <c r="BX80" i="22"/>
  <c r="BY80" i="22"/>
  <c r="BZ80" i="22"/>
  <c r="CA80" i="22"/>
  <c r="CB80" i="22"/>
  <c r="CC80" i="22"/>
  <c r="CD80" i="22"/>
  <c r="CE80" i="22"/>
  <c r="CF80" i="22"/>
  <c r="CG80" i="22"/>
  <c r="CH80" i="22"/>
  <c r="CI80" i="22"/>
  <c r="CJ80" i="22"/>
  <c r="CK80" i="22"/>
  <c r="CL80" i="22"/>
  <c r="CM80" i="22"/>
  <c r="CN80" i="22"/>
  <c r="CO80" i="22"/>
  <c r="CP80" i="22"/>
  <c r="CQ80" i="22"/>
  <c r="CR80" i="22"/>
  <c r="CS80" i="22"/>
  <c r="CT80" i="22"/>
  <c r="CU80" i="22"/>
  <c r="CV80" i="22"/>
  <c r="CW80" i="22"/>
  <c r="CX80" i="22"/>
  <c r="CY80" i="22"/>
  <c r="CZ80" i="22"/>
  <c r="DA80" i="22"/>
  <c r="DB80" i="22"/>
  <c r="DC80" i="22"/>
  <c r="DD80" i="22"/>
  <c r="DE80" i="22"/>
  <c r="DF80" i="22"/>
  <c r="DG80" i="22"/>
  <c r="DH80" i="22"/>
  <c r="DI80" i="22"/>
  <c r="DJ80" i="22"/>
  <c r="DK80" i="22"/>
  <c r="DL80" i="22"/>
  <c r="DM80" i="22"/>
  <c r="DN80" i="22"/>
  <c r="DO80" i="22"/>
  <c r="DP80" i="22"/>
  <c r="DQ80" i="22"/>
  <c r="DR80" i="22"/>
  <c r="DS80" i="22"/>
  <c r="DT80" i="22"/>
  <c r="DU80" i="22"/>
  <c r="DV80" i="22"/>
  <c r="DW80" i="22"/>
  <c r="DX80" i="22"/>
  <c r="DY80" i="22"/>
  <c r="DZ80" i="22"/>
  <c r="EA80" i="22"/>
  <c r="EB80" i="22"/>
  <c r="EC80" i="22"/>
  <c r="ED80" i="22"/>
  <c r="EE80" i="22"/>
  <c r="EF80" i="22"/>
  <c r="EG80" i="22"/>
  <c r="EH80" i="22"/>
  <c r="EI80" i="22"/>
  <c r="EJ80" i="22"/>
  <c r="EK80" i="22"/>
  <c r="EL80" i="22"/>
  <c r="EM80" i="22"/>
  <c r="EN80" i="22"/>
  <c r="EO80" i="22"/>
  <c r="EP80" i="22"/>
  <c r="EQ80" i="22"/>
  <c r="ER80" i="22"/>
  <c r="ES80" i="22"/>
  <c r="ET80" i="22"/>
  <c r="EU80" i="22"/>
  <c r="EV80" i="22"/>
  <c r="EW80" i="22"/>
  <c r="EX80" i="22"/>
  <c r="EY80" i="22"/>
  <c r="EZ80" i="22"/>
  <c r="FA80" i="22"/>
  <c r="FB80" i="22"/>
  <c r="FC80" i="22"/>
  <c r="FD80" i="22"/>
  <c r="FE80" i="22"/>
  <c r="FF80" i="22"/>
  <c r="FG80" i="22"/>
  <c r="FH80" i="22"/>
  <c r="FI80" i="22"/>
  <c r="FJ80" i="22"/>
  <c r="FK80" i="22"/>
  <c r="FL80" i="22"/>
  <c r="FM80" i="22"/>
  <c r="FN80" i="22"/>
  <c r="FO80" i="22"/>
  <c r="FP80" i="22"/>
  <c r="FQ80" i="22"/>
  <c r="FR80" i="22"/>
  <c r="FS80" i="22"/>
  <c r="FT80" i="22"/>
  <c r="FU80" i="22"/>
  <c r="FV80" i="22"/>
  <c r="FW80" i="22"/>
  <c r="FX80" i="22"/>
  <c r="FY80" i="22"/>
  <c r="FZ80" i="22"/>
  <c r="GA80" i="22"/>
  <c r="GB80" i="22"/>
  <c r="GC80" i="22"/>
  <c r="GD80" i="22"/>
  <c r="GE80" i="22"/>
  <c r="GF80" i="22"/>
  <c r="GG80" i="22"/>
  <c r="GH80" i="22"/>
  <c r="GI80" i="22"/>
  <c r="GJ80" i="22"/>
  <c r="GK80" i="22"/>
  <c r="GL80" i="22"/>
  <c r="GM80" i="22"/>
  <c r="GN80" i="22"/>
  <c r="GO80" i="22"/>
  <c r="GP80" i="22"/>
  <c r="GQ80" i="22"/>
  <c r="GR80" i="22"/>
  <c r="GS80" i="22"/>
  <c r="GT80" i="22"/>
  <c r="GU80" i="22"/>
  <c r="GV80" i="22"/>
  <c r="GW80" i="22"/>
  <c r="GX80" i="22"/>
  <c r="GY80" i="22"/>
  <c r="GZ80" i="22"/>
  <c r="HA80" i="22"/>
  <c r="HB80" i="22"/>
  <c r="HC80" i="22"/>
  <c r="HD80" i="22"/>
  <c r="HE80" i="22"/>
  <c r="HF80" i="22"/>
  <c r="HG80" i="22"/>
  <c r="HH80" i="22"/>
  <c r="HI80" i="22"/>
  <c r="HJ80" i="22"/>
  <c r="HK80" i="22"/>
  <c r="HL80" i="22"/>
  <c r="HM80" i="22"/>
  <c r="HN80" i="22"/>
  <c r="HO80" i="22"/>
  <c r="HP80" i="22"/>
  <c r="HQ80" i="22"/>
  <c r="HR80" i="22"/>
  <c r="HS80" i="22"/>
  <c r="HT80" i="22"/>
  <c r="HU80" i="22"/>
  <c r="HV80" i="22"/>
  <c r="HW80" i="22"/>
  <c r="HX80" i="22"/>
  <c r="HY80" i="22"/>
  <c r="HZ80" i="22"/>
  <c r="IA80" i="22"/>
  <c r="IB80" i="22"/>
  <c r="IC80" i="22"/>
  <c r="ID80" i="22"/>
  <c r="IE80" i="22"/>
  <c r="IF80" i="22"/>
  <c r="IG80" i="22"/>
  <c r="IH80" i="22"/>
  <c r="II80" i="22"/>
  <c r="IJ80" i="22"/>
  <c r="IK80" i="22"/>
  <c r="IL80" i="22"/>
  <c r="IM80" i="22"/>
  <c r="IN80" i="22"/>
  <c r="IO80" i="22"/>
  <c r="IP80" i="22"/>
  <c r="IQ80" i="22"/>
  <c r="IR80" i="22"/>
  <c r="IS80" i="22"/>
  <c r="IT80" i="22"/>
  <c r="IU80" i="22"/>
  <c r="IV80" i="22"/>
  <c r="G81" i="22"/>
  <c r="H81" i="22"/>
  <c r="I81" i="22"/>
  <c r="J81" i="22"/>
  <c r="K81" i="22"/>
  <c r="L81" i="22"/>
  <c r="M81" i="22"/>
  <c r="N81" i="22"/>
  <c r="O81" i="22"/>
  <c r="P81" i="22"/>
  <c r="Q81" i="22"/>
  <c r="R81" i="22"/>
  <c r="S81" i="22"/>
  <c r="T81" i="22"/>
  <c r="U81" i="22"/>
  <c r="V81" i="22"/>
  <c r="W81" i="22"/>
  <c r="X81" i="22"/>
  <c r="Y81" i="22"/>
  <c r="Z81" i="22"/>
  <c r="AA81" i="22"/>
  <c r="AB81" i="22"/>
  <c r="AC81" i="22"/>
  <c r="AD81" i="22"/>
  <c r="AE81" i="22"/>
  <c r="AF81" i="22"/>
  <c r="AG81" i="22"/>
  <c r="AH81" i="22"/>
  <c r="AI81" i="22"/>
  <c r="AJ81" i="22"/>
  <c r="AK81" i="22"/>
  <c r="AL81" i="22"/>
  <c r="AM81" i="22"/>
  <c r="AN81" i="22"/>
  <c r="AO81" i="22"/>
  <c r="AP81" i="22"/>
  <c r="AQ81" i="22"/>
  <c r="AR81" i="22"/>
  <c r="AS81" i="22"/>
  <c r="AT81" i="22"/>
  <c r="AU81" i="22"/>
  <c r="AV81" i="22"/>
  <c r="AW81" i="22"/>
  <c r="AX81" i="22"/>
  <c r="AY81" i="22"/>
  <c r="AZ81" i="22"/>
  <c r="BA81" i="22"/>
  <c r="BB81" i="22"/>
  <c r="BC81" i="22"/>
  <c r="BD81" i="22"/>
  <c r="BE81" i="22"/>
  <c r="BF81" i="22"/>
  <c r="BG81" i="22"/>
  <c r="BH81" i="22"/>
  <c r="BI81" i="22"/>
  <c r="BJ81" i="22"/>
  <c r="BK81" i="22"/>
  <c r="BL81" i="22"/>
  <c r="BM81" i="22"/>
  <c r="BN81" i="22"/>
  <c r="BO81" i="22"/>
  <c r="BP81" i="22"/>
  <c r="BQ81" i="22"/>
  <c r="BR81" i="22"/>
  <c r="BS81" i="22"/>
  <c r="BT81" i="22"/>
  <c r="BU81" i="22"/>
  <c r="BV81" i="22"/>
  <c r="BW81" i="22"/>
  <c r="BX81" i="22"/>
  <c r="BY81" i="22"/>
  <c r="BZ81" i="22"/>
  <c r="CA81" i="22"/>
  <c r="CB81" i="22"/>
  <c r="CC81" i="22"/>
  <c r="CD81" i="22"/>
  <c r="CE81" i="22"/>
  <c r="CF81" i="22"/>
  <c r="CG81" i="22"/>
  <c r="CH81" i="22"/>
  <c r="CI81" i="22"/>
  <c r="CJ81" i="22"/>
  <c r="CK81" i="22"/>
  <c r="CL81" i="22"/>
  <c r="CM81" i="22"/>
  <c r="CN81" i="22"/>
  <c r="CO81" i="22"/>
  <c r="CP81" i="22"/>
  <c r="CQ81" i="22"/>
  <c r="CR81" i="22"/>
  <c r="CS81" i="22"/>
  <c r="CT81" i="22"/>
  <c r="CU81" i="22"/>
  <c r="CV81" i="22"/>
  <c r="CW81" i="22"/>
  <c r="CX81" i="22"/>
  <c r="CY81" i="22"/>
  <c r="CZ81" i="22"/>
  <c r="DA81" i="22"/>
  <c r="DB81" i="22"/>
  <c r="DC81" i="22"/>
  <c r="DD81" i="22"/>
  <c r="DE81" i="22"/>
  <c r="DF81" i="22"/>
  <c r="DG81" i="22"/>
  <c r="DH81" i="22"/>
  <c r="DI81" i="22"/>
  <c r="DJ81" i="22"/>
  <c r="DK81" i="22"/>
  <c r="DL81" i="22"/>
  <c r="DM81" i="22"/>
  <c r="DN81" i="22"/>
  <c r="DO81" i="22"/>
  <c r="DP81" i="22"/>
  <c r="DQ81" i="22"/>
  <c r="DR81" i="22"/>
  <c r="DS81" i="22"/>
  <c r="DT81" i="22"/>
  <c r="DU81" i="22"/>
  <c r="DV81" i="22"/>
  <c r="DW81" i="22"/>
  <c r="DX81" i="22"/>
  <c r="DY81" i="22"/>
  <c r="DZ81" i="22"/>
  <c r="EA81" i="22"/>
  <c r="EB81" i="22"/>
  <c r="EC81" i="22"/>
  <c r="ED81" i="22"/>
  <c r="EE81" i="22"/>
  <c r="EF81" i="22"/>
  <c r="EG81" i="22"/>
  <c r="EH81" i="22"/>
  <c r="EI81" i="22"/>
  <c r="EJ81" i="22"/>
  <c r="EK81" i="22"/>
  <c r="EL81" i="22"/>
  <c r="EM81" i="22"/>
  <c r="EN81" i="22"/>
  <c r="EO81" i="22"/>
  <c r="EP81" i="22"/>
  <c r="EQ81" i="22"/>
  <c r="ER81" i="22"/>
  <c r="ES81" i="22"/>
  <c r="ET81" i="22"/>
  <c r="EU81" i="22"/>
  <c r="EV81" i="22"/>
  <c r="EW81" i="22"/>
  <c r="EX81" i="22"/>
  <c r="EY81" i="22"/>
  <c r="EZ81" i="22"/>
  <c r="FA81" i="22"/>
  <c r="FB81" i="22"/>
  <c r="FC81" i="22"/>
  <c r="FD81" i="22"/>
  <c r="FE81" i="22"/>
  <c r="FF81" i="22"/>
  <c r="FG81" i="22"/>
  <c r="FH81" i="22"/>
  <c r="FI81" i="22"/>
  <c r="FJ81" i="22"/>
  <c r="FK81" i="22"/>
  <c r="FL81" i="22"/>
  <c r="FM81" i="22"/>
  <c r="FN81" i="22"/>
  <c r="FO81" i="22"/>
  <c r="FP81" i="22"/>
  <c r="FQ81" i="22"/>
  <c r="FR81" i="22"/>
  <c r="FS81" i="22"/>
  <c r="FT81" i="22"/>
  <c r="FU81" i="22"/>
  <c r="FV81" i="22"/>
  <c r="FW81" i="22"/>
  <c r="FX81" i="22"/>
  <c r="FY81" i="22"/>
  <c r="FZ81" i="22"/>
  <c r="GA81" i="22"/>
  <c r="GB81" i="22"/>
  <c r="GC81" i="22"/>
  <c r="GD81" i="22"/>
  <c r="GE81" i="22"/>
  <c r="GF81" i="22"/>
  <c r="GG81" i="22"/>
  <c r="GH81" i="22"/>
  <c r="GI81" i="22"/>
  <c r="GJ81" i="22"/>
  <c r="GK81" i="22"/>
  <c r="GL81" i="22"/>
  <c r="GM81" i="22"/>
  <c r="GN81" i="22"/>
  <c r="GO81" i="22"/>
  <c r="GP81" i="22"/>
  <c r="GQ81" i="22"/>
  <c r="GR81" i="22"/>
  <c r="GS81" i="22"/>
  <c r="GT81" i="22"/>
  <c r="GU81" i="22"/>
  <c r="GV81" i="22"/>
  <c r="GW81" i="22"/>
  <c r="GX81" i="22"/>
  <c r="GY81" i="22"/>
  <c r="GZ81" i="22"/>
  <c r="HA81" i="22"/>
  <c r="HB81" i="22"/>
  <c r="HC81" i="22"/>
  <c r="HD81" i="22"/>
  <c r="HE81" i="22"/>
  <c r="HF81" i="22"/>
  <c r="HG81" i="22"/>
  <c r="HH81" i="22"/>
  <c r="HI81" i="22"/>
  <c r="HJ81" i="22"/>
  <c r="HK81" i="22"/>
  <c r="HL81" i="22"/>
  <c r="HM81" i="22"/>
  <c r="HN81" i="22"/>
  <c r="HO81" i="22"/>
  <c r="HP81" i="22"/>
  <c r="HQ81" i="22"/>
  <c r="HR81" i="22"/>
  <c r="HS81" i="22"/>
  <c r="HT81" i="22"/>
  <c r="HU81" i="22"/>
  <c r="HV81" i="22"/>
  <c r="HW81" i="22"/>
  <c r="HX81" i="22"/>
  <c r="HY81" i="22"/>
  <c r="HZ81" i="22"/>
  <c r="IA81" i="22"/>
  <c r="IB81" i="22"/>
  <c r="IC81" i="22"/>
  <c r="ID81" i="22"/>
  <c r="IE81" i="22"/>
  <c r="IF81" i="22"/>
  <c r="IG81" i="22"/>
  <c r="IH81" i="22"/>
  <c r="II81" i="22"/>
  <c r="IJ81" i="22"/>
  <c r="IK81" i="22"/>
  <c r="IL81" i="22"/>
  <c r="IM81" i="22"/>
  <c r="IN81" i="22"/>
  <c r="IO81" i="22"/>
  <c r="IP81" i="22"/>
  <c r="IQ81" i="22"/>
  <c r="IR81" i="22"/>
  <c r="IS81" i="22"/>
  <c r="IT81" i="22"/>
  <c r="IU81" i="22"/>
  <c r="IV81" i="22"/>
  <c r="G82" i="22"/>
  <c r="H82" i="22"/>
  <c r="I82" i="22"/>
  <c r="J82" i="22"/>
  <c r="K82" i="22"/>
  <c r="L82" i="22"/>
  <c r="M82" i="22"/>
  <c r="N82" i="22"/>
  <c r="O82" i="22"/>
  <c r="P82" i="22"/>
  <c r="Q82" i="22"/>
  <c r="R82" i="22"/>
  <c r="S82" i="22"/>
  <c r="T82" i="22"/>
  <c r="U82" i="22"/>
  <c r="V82" i="22"/>
  <c r="W82" i="22"/>
  <c r="X82" i="22"/>
  <c r="Y82" i="22"/>
  <c r="Z82" i="22"/>
  <c r="AA82" i="22"/>
  <c r="AB82" i="22"/>
  <c r="AC82" i="22"/>
  <c r="AD82" i="22"/>
  <c r="AE82" i="22"/>
  <c r="AF82" i="22"/>
  <c r="AG82" i="22"/>
  <c r="AH82" i="22"/>
  <c r="AI82" i="22"/>
  <c r="AJ82" i="22"/>
  <c r="AK82" i="22"/>
  <c r="AL82" i="22"/>
  <c r="AM82" i="22"/>
  <c r="AN82" i="22"/>
  <c r="AO82" i="22"/>
  <c r="AP82" i="22"/>
  <c r="AQ82" i="22"/>
  <c r="AR82" i="22"/>
  <c r="AS82" i="22"/>
  <c r="AT82" i="22"/>
  <c r="AU82" i="22"/>
  <c r="AV82" i="22"/>
  <c r="AW82" i="22"/>
  <c r="AX82" i="22"/>
  <c r="AY82" i="22"/>
  <c r="AZ82" i="22"/>
  <c r="BA82" i="22"/>
  <c r="BB82" i="22"/>
  <c r="BC82" i="22"/>
  <c r="BD82" i="22"/>
  <c r="BE82" i="22"/>
  <c r="BF82" i="22"/>
  <c r="BG82" i="22"/>
  <c r="BH82" i="22"/>
  <c r="BI82" i="22"/>
  <c r="BJ82" i="22"/>
  <c r="BK82" i="22"/>
  <c r="BL82" i="22"/>
  <c r="BM82" i="22"/>
  <c r="BN82" i="22"/>
  <c r="BO82" i="22"/>
  <c r="BP82" i="22"/>
  <c r="BQ82" i="22"/>
  <c r="BR82" i="22"/>
  <c r="BS82" i="22"/>
  <c r="BT82" i="22"/>
  <c r="BU82" i="22"/>
  <c r="BV82" i="22"/>
  <c r="BW82" i="22"/>
  <c r="BX82" i="22"/>
  <c r="BY82" i="22"/>
  <c r="BZ82" i="22"/>
  <c r="CA82" i="22"/>
  <c r="CB82" i="22"/>
  <c r="CC82" i="22"/>
  <c r="CD82" i="22"/>
  <c r="CE82" i="22"/>
  <c r="CF82" i="22"/>
  <c r="CG82" i="22"/>
  <c r="CH82" i="22"/>
  <c r="CI82" i="22"/>
  <c r="CJ82" i="22"/>
  <c r="CK82" i="22"/>
  <c r="CL82" i="22"/>
  <c r="CM82" i="22"/>
  <c r="CN82" i="22"/>
  <c r="CO82" i="22"/>
  <c r="CP82" i="22"/>
  <c r="CQ82" i="22"/>
  <c r="CR82" i="22"/>
  <c r="CS82" i="22"/>
  <c r="CT82" i="22"/>
  <c r="CU82" i="22"/>
  <c r="CV82" i="22"/>
  <c r="CW82" i="22"/>
  <c r="CX82" i="22"/>
  <c r="CY82" i="22"/>
  <c r="CZ82" i="22"/>
  <c r="DA82" i="22"/>
  <c r="DB82" i="22"/>
  <c r="DC82" i="22"/>
  <c r="DD82" i="22"/>
  <c r="DE82" i="22"/>
  <c r="DF82" i="22"/>
  <c r="DG82" i="22"/>
  <c r="DH82" i="22"/>
  <c r="DI82" i="22"/>
  <c r="DJ82" i="22"/>
  <c r="DK82" i="22"/>
  <c r="DL82" i="22"/>
  <c r="DM82" i="22"/>
  <c r="DN82" i="22"/>
  <c r="DO82" i="22"/>
  <c r="DP82" i="22"/>
  <c r="DQ82" i="22"/>
  <c r="DR82" i="22"/>
  <c r="DS82" i="22"/>
  <c r="DT82" i="22"/>
  <c r="DU82" i="22"/>
  <c r="DV82" i="22"/>
  <c r="DW82" i="22"/>
  <c r="DX82" i="22"/>
  <c r="DY82" i="22"/>
  <c r="DZ82" i="22"/>
  <c r="EA82" i="22"/>
  <c r="EB82" i="22"/>
  <c r="EC82" i="22"/>
  <c r="ED82" i="22"/>
  <c r="EE82" i="22"/>
  <c r="EF82" i="22"/>
  <c r="EG82" i="22"/>
  <c r="EH82" i="22"/>
  <c r="EI82" i="22"/>
  <c r="EJ82" i="22"/>
  <c r="EK82" i="22"/>
  <c r="EL82" i="22"/>
  <c r="EM82" i="22"/>
  <c r="EN82" i="22"/>
  <c r="EO82" i="22"/>
  <c r="EP82" i="22"/>
  <c r="EQ82" i="22"/>
  <c r="ER82" i="22"/>
  <c r="ES82" i="22"/>
  <c r="ET82" i="22"/>
  <c r="EU82" i="22"/>
  <c r="EV82" i="22"/>
  <c r="EW82" i="22"/>
  <c r="EX82" i="22"/>
  <c r="EY82" i="22"/>
  <c r="EZ82" i="22"/>
  <c r="FA82" i="22"/>
  <c r="FB82" i="22"/>
  <c r="FC82" i="22"/>
  <c r="FD82" i="22"/>
  <c r="FE82" i="22"/>
  <c r="FF82" i="22"/>
  <c r="FG82" i="22"/>
  <c r="FH82" i="22"/>
  <c r="FI82" i="22"/>
  <c r="FJ82" i="22"/>
  <c r="FK82" i="22"/>
  <c r="FL82" i="22"/>
  <c r="FM82" i="22"/>
  <c r="FN82" i="22"/>
  <c r="FO82" i="22"/>
  <c r="FP82" i="22"/>
  <c r="FQ82" i="22"/>
  <c r="FR82" i="22"/>
  <c r="FS82" i="22"/>
  <c r="FT82" i="22"/>
  <c r="FU82" i="22"/>
  <c r="FV82" i="22"/>
  <c r="FW82" i="22"/>
  <c r="FX82" i="22"/>
  <c r="FY82" i="22"/>
  <c r="FZ82" i="22"/>
  <c r="GA82" i="22"/>
  <c r="GB82" i="22"/>
  <c r="GC82" i="22"/>
  <c r="GD82" i="22"/>
  <c r="GE82" i="22"/>
  <c r="GF82" i="22"/>
  <c r="GG82" i="22"/>
  <c r="GH82" i="22"/>
  <c r="GI82" i="22"/>
  <c r="GJ82" i="22"/>
  <c r="GK82" i="22"/>
  <c r="GL82" i="22"/>
  <c r="GM82" i="22"/>
  <c r="GN82" i="22"/>
  <c r="GO82" i="22"/>
  <c r="GP82" i="22"/>
  <c r="GQ82" i="22"/>
  <c r="GR82" i="22"/>
  <c r="GS82" i="22"/>
  <c r="GT82" i="22"/>
  <c r="GU82" i="22"/>
  <c r="GV82" i="22"/>
  <c r="GW82" i="22"/>
  <c r="GX82" i="22"/>
  <c r="GY82" i="22"/>
  <c r="GZ82" i="22"/>
  <c r="HA82" i="22"/>
  <c r="HA146" i="22" s="1"/>
  <c r="HB82" i="22"/>
  <c r="HC82" i="22"/>
  <c r="HD82" i="22"/>
  <c r="HE82" i="22"/>
  <c r="HF82" i="22"/>
  <c r="HG82" i="22"/>
  <c r="HH82" i="22"/>
  <c r="HI82" i="22"/>
  <c r="HI146" i="22" s="1"/>
  <c r="HJ82" i="22"/>
  <c r="HK82" i="22"/>
  <c r="HL82" i="22"/>
  <c r="HM82" i="22"/>
  <c r="HN82" i="22"/>
  <c r="HO82" i="22"/>
  <c r="HP82" i="22"/>
  <c r="HQ82" i="22"/>
  <c r="HQ146" i="22" s="1"/>
  <c r="HR82" i="22"/>
  <c r="HS82" i="22"/>
  <c r="HT82" i="22"/>
  <c r="HU82" i="22"/>
  <c r="HV82" i="22"/>
  <c r="HW82" i="22"/>
  <c r="HX82" i="22"/>
  <c r="HY82" i="22"/>
  <c r="HZ82" i="22"/>
  <c r="IA82" i="22"/>
  <c r="IB82" i="22"/>
  <c r="IC82" i="22"/>
  <c r="ID82" i="22"/>
  <c r="IE82" i="22"/>
  <c r="IF82" i="22"/>
  <c r="IG82" i="22"/>
  <c r="IH82" i="22"/>
  <c r="II82" i="22"/>
  <c r="IJ82" i="22"/>
  <c r="IK82" i="22"/>
  <c r="IL82" i="22"/>
  <c r="IM82" i="22"/>
  <c r="IN82" i="22"/>
  <c r="IO82" i="22"/>
  <c r="IP82" i="22"/>
  <c r="IQ82" i="22"/>
  <c r="IR82" i="22"/>
  <c r="IS82" i="22"/>
  <c r="IT82" i="22"/>
  <c r="IU82" i="22"/>
  <c r="IV82" i="22"/>
  <c r="G83" i="22"/>
  <c r="H83" i="22"/>
  <c r="I83" i="22"/>
  <c r="J83" i="22"/>
  <c r="K83" i="22"/>
  <c r="L83" i="22"/>
  <c r="M83" i="22"/>
  <c r="N83" i="22"/>
  <c r="O83" i="22"/>
  <c r="P83" i="22"/>
  <c r="Q83" i="22"/>
  <c r="R83" i="22"/>
  <c r="S83" i="22"/>
  <c r="T83" i="22"/>
  <c r="U83" i="22"/>
  <c r="V83" i="22"/>
  <c r="W83" i="22"/>
  <c r="X83" i="22"/>
  <c r="Y83" i="22"/>
  <c r="Z83" i="22"/>
  <c r="AA83" i="22"/>
  <c r="AB83" i="22"/>
  <c r="AC83" i="22"/>
  <c r="AD83" i="22"/>
  <c r="AE83" i="22"/>
  <c r="AF83" i="22"/>
  <c r="AG83" i="22"/>
  <c r="AH83" i="22"/>
  <c r="AI83" i="22"/>
  <c r="AJ83" i="22"/>
  <c r="AK83" i="22"/>
  <c r="AL83" i="22"/>
  <c r="AM83" i="22"/>
  <c r="AN83" i="22"/>
  <c r="AO83" i="22"/>
  <c r="AP83" i="22"/>
  <c r="AQ83" i="22"/>
  <c r="AR83" i="22"/>
  <c r="AS83" i="22"/>
  <c r="AT83" i="22"/>
  <c r="AU83" i="22"/>
  <c r="AV83" i="22"/>
  <c r="AW83" i="22"/>
  <c r="AX83" i="22"/>
  <c r="AY83" i="22"/>
  <c r="AZ83" i="22"/>
  <c r="BA83" i="22"/>
  <c r="BB83" i="22"/>
  <c r="BC83" i="22"/>
  <c r="BD83" i="22"/>
  <c r="BE83" i="22"/>
  <c r="BF83" i="22"/>
  <c r="BG83" i="22"/>
  <c r="BH83" i="22"/>
  <c r="BI83" i="22"/>
  <c r="BJ83" i="22"/>
  <c r="BK83" i="22"/>
  <c r="BL83" i="22"/>
  <c r="BM83" i="22"/>
  <c r="BN83" i="22"/>
  <c r="BO83" i="22"/>
  <c r="BP83" i="22"/>
  <c r="BQ83" i="22"/>
  <c r="BR83" i="22"/>
  <c r="BS83" i="22"/>
  <c r="BT83" i="22"/>
  <c r="BU83" i="22"/>
  <c r="BV83" i="22"/>
  <c r="BW83" i="22"/>
  <c r="BX83" i="22"/>
  <c r="BY83" i="22"/>
  <c r="BZ83" i="22"/>
  <c r="CA83" i="22"/>
  <c r="CB83" i="22"/>
  <c r="CC83" i="22"/>
  <c r="CD83" i="22"/>
  <c r="CE83" i="22"/>
  <c r="CF83" i="22"/>
  <c r="CG83" i="22"/>
  <c r="CH83" i="22"/>
  <c r="CI83" i="22"/>
  <c r="CJ83" i="22"/>
  <c r="CK83" i="22"/>
  <c r="CL83" i="22"/>
  <c r="CM83" i="22"/>
  <c r="CN83" i="22"/>
  <c r="CO83" i="22"/>
  <c r="CP83" i="22"/>
  <c r="CQ83" i="22"/>
  <c r="CR83" i="22"/>
  <c r="CS83" i="22"/>
  <c r="CT83" i="22"/>
  <c r="CU83" i="22"/>
  <c r="CV83" i="22"/>
  <c r="CW83" i="22"/>
  <c r="CX83" i="22"/>
  <c r="CY83" i="22"/>
  <c r="CZ83" i="22"/>
  <c r="DA83" i="22"/>
  <c r="DB83" i="22"/>
  <c r="DC83" i="22"/>
  <c r="DD83" i="22"/>
  <c r="DE83" i="22"/>
  <c r="DF83" i="22"/>
  <c r="DG83" i="22"/>
  <c r="DH83" i="22"/>
  <c r="DI83" i="22"/>
  <c r="DJ83" i="22"/>
  <c r="DK83" i="22"/>
  <c r="DL83" i="22"/>
  <c r="DM83" i="22"/>
  <c r="DN83" i="22"/>
  <c r="DO83" i="22"/>
  <c r="DP83" i="22"/>
  <c r="DQ83" i="22"/>
  <c r="DR83" i="22"/>
  <c r="DS83" i="22"/>
  <c r="DT83" i="22"/>
  <c r="DU83" i="22"/>
  <c r="DV83" i="22"/>
  <c r="DW83" i="22"/>
  <c r="DX83" i="22"/>
  <c r="DY83" i="22"/>
  <c r="DZ83" i="22"/>
  <c r="EA83" i="22"/>
  <c r="EB83" i="22"/>
  <c r="EC83" i="22"/>
  <c r="ED83" i="22"/>
  <c r="EE83" i="22"/>
  <c r="EF83" i="22"/>
  <c r="EG83" i="22"/>
  <c r="EH83" i="22"/>
  <c r="EI83" i="22"/>
  <c r="EJ83" i="22"/>
  <c r="EK83" i="22"/>
  <c r="EL83" i="22"/>
  <c r="EM83" i="22"/>
  <c r="EN83" i="22"/>
  <c r="EO83" i="22"/>
  <c r="EP83" i="22"/>
  <c r="EQ83" i="22"/>
  <c r="ER83" i="22"/>
  <c r="ES83" i="22"/>
  <c r="ET83" i="22"/>
  <c r="EU83" i="22"/>
  <c r="EV83" i="22"/>
  <c r="EW83" i="22"/>
  <c r="EX83" i="22"/>
  <c r="EY83" i="22"/>
  <c r="EZ83" i="22"/>
  <c r="FA83" i="22"/>
  <c r="FB83" i="22"/>
  <c r="FC83" i="22"/>
  <c r="FD83" i="22"/>
  <c r="FE83" i="22"/>
  <c r="FF83" i="22"/>
  <c r="FG83" i="22"/>
  <c r="FH83" i="22"/>
  <c r="FI83" i="22"/>
  <c r="FJ83" i="22"/>
  <c r="FK83" i="22"/>
  <c r="FL83" i="22"/>
  <c r="FM83" i="22"/>
  <c r="FN83" i="22"/>
  <c r="FO83" i="22"/>
  <c r="FP83" i="22"/>
  <c r="FQ83" i="22"/>
  <c r="FR83" i="22"/>
  <c r="FS83" i="22"/>
  <c r="FT83" i="22"/>
  <c r="FU83" i="22"/>
  <c r="FV83" i="22"/>
  <c r="FW83" i="22"/>
  <c r="FX83" i="22"/>
  <c r="FY83" i="22"/>
  <c r="FZ83" i="22"/>
  <c r="GA83" i="22"/>
  <c r="GB83" i="22"/>
  <c r="GC83" i="22"/>
  <c r="GD83" i="22"/>
  <c r="GE83" i="22"/>
  <c r="GF83" i="22"/>
  <c r="GG83" i="22"/>
  <c r="GH83" i="22"/>
  <c r="GI83" i="22"/>
  <c r="GJ83" i="22"/>
  <c r="GK83" i="22"/>
  <c r="GL83" i="22"/>
  <c r="GM83" i="22"/>
  <c r="GN83" i="22"/>
  <c r="GO83" i="22"/>
  <c r="GP83" i="22"/>
  <c r="GQ83" i="22"/>
  <c r="GR83" i="22"/>
  <c r="GS83" i="22"/>
  <c r="GT83" i="22"/>
  <c r="GU83" i="22"/>
  <c r="GV83" i="22"/>
  <c r="GW83" i="22"/>
  <c r="GX83" i="22"/>
  <c r="GY83" i="22"/>
  <c r="GZ83" i="22"/>
  <c r="HA83" i="22"/>
  <c r="HB83" i="22"/>
  <c r="HC83" i="22"/>
  <c r="HD83" i="22"/>
  <c r="HE83" i="22"/>
  <c r="HF83" i="22"/>
  <c r="HG83" i="22"/>
  <c r="HH83" i="22"/>
  <c r="HI83" i="22"/>
  <c r="HJ83" i="22"/>
  <c r="HK83" i="22"/>
  <c r="HL83" i="22"/>
  <c r="HM83" i="22"/>
  <c r="HN83" i="22"/>
  <c r="HO83" i="22"/>
  <c r="HP83" i="22"/>
  <c r="HQ83" i="22"/>
  <c r="HR83" i="22"/>
  <c r="HS83" i="22"/>
  <c r="HT83" i="22"/>
  <c r="HU83" i="22"/>
  <c r="HV83" i="22"/>
  <c r="HW83" i="22"/>
  <c r="HX83" i="22"/>
  <c r="HY83" i="22"/>
  <c r="HZ83" i="22"/>
  <c r="IA83" i="22"/>
  <c r="IB83" i="22"/>
  <c r="IC83" i="22"/>
  <c r="ID83" i="22"/>
  <c r="IE83" i="22"/>
  <c r="IF83" i="22"/>
  <c r="IG83" i="22"/>
  <c r="IH83" i="22"/>
  <c r="II83" i="22"/>
  <c r="IJ83" i="22"/>
  <c r="IK83" i="22"/>
  <c r="IL83" i="22"/>
  <c r="IM83" i="22"/>
  <c r="IN83" i="22"/>
  <c r="IO83" i="22"/>
  <c r="IP83" i="22"/>
  <c r="IQ83" i="22"/>
  <c r="IR83" i="22"/>
  <c r="IS83" i="22"/>
  <c r="IT83" i="22"/>
  <c r="IU83" i="22"/>
  <c r="IV83" i="22"/>
  <c r="G84" i="22"/>
  <c r="H84" i="22"/>
  <c r="I84" i="22"/>
  <c r="J84" i="22"/>
  <c r="K84" i="22"/>
  <c r="L84" i="22"/>
  <c r="M84" i="22"/>
  <c r="N84" i="22"/>
  <c r="O84" i="22"/>
  <c r="P84" i="22"/>
  <c r="Q84" i="22"/>
  <c r="R84" i="22"/>
  <c r="S84" i="22"/>
  <c r="T84" i="22"/>
  <c r="U84" i="22"/>
  <c r="V84" i="22"/>
  <c r="W84" i="22"/>
  <c r="X84" i="22"/>
  <c r="Y84" i="22"/>
  <c r="Z84" i="22"/>
  <c r="AA84" i="22"/>
  <c r="AB84" i="22"/>
  <c r="AC84" i="22"/>
  <c r="AD84" i="22"/>
  <c r="AE84" i="22"/>
  <c r="AF84" i="22"/>
  <c r="AG84" i="22"/>
  <c r="AH84" i="22"/>
  <c r="AI84" i="22"/>
  <c r="AJ84" i="22"/>
  <c r="AK84" i="22"/>
  <c r="AL84" i="22"/>
  <c r="AM84" i="22"/>
  <c r="AN84" i="22"/>
  <c r="AO84" i="22"/>
  <c r="AP84" i="22"/>
  <c r="AQ84" i="22"/>
  <c r="AR84" i="22"/>
  <c r="AS84" i="22"/>
  <c r="AT84" i="22"/>
  <c r="AU84" i="22"/>
  <c r="AV84" i="22"/>
  <c r="AW84" i="22"/>
  <c r="AX84" i="22"/>
  <c r="AY84" i="22"/>
  <c r="AZ84" i="22"/>
  <c r="BA84" i="22"/>
  <c r="BB84" i="22"/>
  <c r="BC84" i="22"/>
  <c r="BD84" i="22"/>
  <c r="BE84" i="22"/>
  <c r="BF84" i="22"/>
  <c r="BG84" i="22"/>
  <c r="BH84" i="22"/>
  <c r="BI84" i="22"/>
  <c r="BJ84" i="22"/>
  <c r="BK84" i="22"/>
  <c r="BL84" i="22"/>
  <c r="BM84" i="22"/>
  <c r="BN84" i="22"/>
  <c r="BO84" i="22"/>
  <c r="BP84" i="22"/>
  <c r="BQ84" i="22"/>
  <c r="BR84" i="22"/>
  <c r="BS84" i="22"/>
  <c r="BT84" i="22"/>
  <c r="BU84" i="22"/>
  <c r="BV84" i="22"/>
  <c r="BW84" i="22"/>
  <c r="BX84" i="22"/>
  <c r="BY84" i="22"/>
  <c r="BZ84" i="22"/>
  <c r="CA84" i="22"/>
  <c r="CB84" i="22"/>
  <c r="CC84" i="22"/>
  <c r="CD84" i="22"/>
  <c r="CE84" i="22"/>
  <c r="CF84" i="22"/>
  <c r="CG84" i="22"/>
  <c r="CH84" i="22"/>
  <c r="CI84" i="22"/>
  <c r="CJ84" i="22"/>
  <c r="CK84" i="22"/>
  <c r="CL84" i="22"/>
  <c r="CM84" i="22"/>
  <c r="CN84" i="22"/>
  <c r="CO84" i="22"/>
  <c r="CP84" i="22"/>
  <c r="CQ84" i="22"/>
  <c r="CR84" i="22"/>
  <c r="CS84" i="22"/>
  <c r="CT84" i="22"/>
  <c r="CU84" i="22"/>
  <c r="CV84" i="22"/>
  <c r="CW84" i="22"/>
  <c r="CX84" i="22"/>
  <c r="CY84" i="22"/>
  <c r="CZ84" i="22"/>
  <c r="DA84" i="22"/>
  <c r="DB84" i="22"/>
  <c r="DC84" i="22"/>
  <c r="DD84" i="22"/>
  <c r="DE84" i="22"/>
  <c r="DF84" i="22"/>
  <c r="DG84" i="22"/>
  <c r="DH84" i="22"/>
  <c r="DI84" i="22"/>
  <c r="DJ84" i="22"/>
  <c r="DK84" i="22"/>
  <c r="DL84" i="22"/>
  <c r="DM84" i="22"/>
  <c r="DN84" i="22"/>
  <c r="DO84" i="22"/>
  <c r="DP84" i="22"/>
  <c r="DQ84" i="22"/>
  <c r="DR84" i="22"/>
  <c r="DS84" i="22"/>
  <c r="DT84" i="22"/>
  <c r="DU84" i="22"/>
  <c r="DV84" i="22"/>
  <c r="DW84" i="22"/>
  <c r="DX84" i="22"/>
  <c r="DY84" i="22"/>
  <c r="DZ84" i="22"/>
  <c r="EA84" i="22"/>
  <c r="EB84" i="22"/>
  <c r="EC84" i="22"/>
  <c r="ED84" i="22"/>
  <c r="EE84" i="22"/>
  <c r="EF84" i="22"/>
  <c r="EG84" i="22"/>
  <c r="EH84" i="22"/>
  <c r="EI84" i="22"/>
  <c r="EJ84" i="22"/>
  <c r="EK84" i="22"/>
  <c r="EL84" i="22"/>
  <c r="EM84" i="22"/>
  <c r="EN84" i="22"/>
  <c r="EO84" i="22"/>
  <c r="EP84" i="22"/>
  <c r="EQ84" i="22"/>
  <c r="ER84" i="22"/>
  <c r="ES84" i="22"/>
  <c r="ET84" i="22"/>
  <c r="EU84" i="22"/>
  <c r="EV84" i="22"/>
  <c r="EW84" i="22"/>
  <c r="EX84" i="22"/>
  <c r="EY84" i="22"/>
  <c r="EZ84" i="22"/>
  <c r="FA84" i="22"/>
  <c r="FB84" i="22"/>
  <c r="FC84" i="22"/>
  <c r="FD84" i="22"/>
  <c r="FE84" i="22"/>
  <c r="FF84" i="22"/>
  <c r="FG84" i="22"/>
  <c r="FH84" i="22"/>
  <c r="FI84" i="22"/>
  <c r="FJ84" i="22"/>
  <c r="FK84" i="22"/>
  <c r="FL84" i="22"/>
  <c r="FM84" i="22"/>
  <c r="FN84" i="22"/>
  <c r="FO84" i="22"/>
  <c r="FP84" i="22"/>
  <c r="FQ84" i="22"/>
  <c r="FR84" i="22"/>
  <c r="FS84" i="22"/>
  <c r="FT84" i="22"/>
  <c r="FU84" i="22"/>
  <c r="FV84" i="22"/>
  <c r="FW84" i="22"/>
  <c r="FX84" i="22"/>
  <c r="FY84" i="22"/>
  <c r="FZ84" i="22"/>
  <c r="GA84" i="22"/>
  <c r="GB84" i="22"/>
  <c r="GC84" i="22"/>
  <c r="GD84" i="22"/>
  <c r="GE84" i="22"/>
  <c r="GF84" i="22"/>
  <c r="GG84" i="22"/>
  <c r="GH84" i="22"/>
  <c r="GI84" i="22"/>
  <c r="GJ84" i="22"/>
  <c r="GK84" i="22"/>
  <c r="GL84" i="22"/>
  <c r="GM84" i="22"/>
  <c r="GN84" i="22"/>
  <c r="GO84" i="22"/>
  <c r="GP84" i="22"/>
  <c r="GQ84" i="22"/>
  <c r="GR84" i="22"/>
  <c r="GS84" i="22"/>
  <c r="GT84" i="22"/>
  <c r="GU84" i="22"/>
  <c r="GV84" i="22"/>
  <c r="GW84" i="22"/>
  <c r="GX84" i="22"/>
  <c r="GY84" i="22"/>
  <c r="GZ84" i="22"/>
  <c r="HA84" i="22"/>
  <c r="HB84" i="22"/>
  <c r="HC84" i="22"/>
  <c r="HD84" i="22"/>
  <c r="HE84" i="22"/>
  <c r="HF84" i="22"/>
  <c r="HG84" i="22"/>
  <c r="HH84" i="22"/>
  <c r="HI84" i="22"/>
  <c r="HJ84" i="22"/>
  <c r="HK84" i="22"/>
  <c r="HL84" i="22"/>
  <c r="HM84" i="22"/>
  <c r="HN84" i="22"/>
  <c r="HO84" i="22"/>
  <c r="HP84" i="22"/>
  <c r="HQ84" i="22"/>
  <c r="HR84" i="22"/>
  <c r="HS84" i="22"/>
  <c r="HT84" i="22"/>
  <c r="HU84" i="22"/>
  <c r="HV84" i="22"/>
  <c r="HW84" i="22"/>
  <c r="HX84" i="22"/>
  <c r="HY84" i="22"/>
  <c r="HZ84" i="22"/>
  <c r="IA84" i="22"/>
  <c r="IB84" i="22"/>
  <c r="IC84" i="22"/>
  <c r="ID84" i="22"/>
  <c r="IE84" i="22"/>
  <c r="IF84" i="22"/>
  <c r="IG84" i="22"/>
  <c r="IH84" i="22"/>
  <c r="II84" i="22"/>
  <c r="IJ84" i="22"/>
  <c r="IK84" i="22"/>
  <c r="IL84" i="22"/>
  <c r="IM84" i="22"/>
  <c r="IN84" i="22"/>
  <c r="IO84" i="22"/>
  <c r="IP84" i="22"/>
  <c r="IQ84" i="22"/>
  <c r="IR84" i="22"/>
  <c r="IS84" i="22"/>
  <c r="IT84" i="22"/>
  <c r="IU84" i="22"/>
  <c r="IV84" i="22"/>
  <c r="G85" i="22"/>
  <c r="H85" i="22"/>
  <c r="I85" i="22"/>
  <c r="J85" i="22"/>
  <c r="K85" i="22"/>
  <c r="L85" i="22"/>
  <c r="M85" i="22"/>
  <c r="N85" i="22"/>
  <c r="O85" i="22"/>
  <c r="P85" i="22"/>
  <c r="Q85" i="22"/>
  <c r="R85" i="22"/>
  <c r="S85" i="22"/>
  <c r="T85" i="22"/>
  <c r="U85" i="22"/>
  <c r="V85" i="22"/>
  <c r="W85" i="22"/>
  <c r="X85" i="22"/>
  <c r="Y85" i="22"/>
  <c r="Z85" i="22"/>
  <c r="AA85" i="22"/>
  <c r="AB85" i="22"/>
  <c r="AC85" i="22"/>
  <c r="AD85" i="22"/>
  <c r="AE85" i="22"/>
  <c r="AF85" i="22"/>
  <c r="AG85" i="22"/>
  <c r="AH85" i="22"/>
  <c r="AI85" i="22"/>
  <c r="AJ85" i="22"/>
  <c r="AK85" i="22"/>
  <c r="AL85" i="22"/>
  <c r="AM85" i="22"/>
  <c r="AN85" i="22"/>
  <c r="AO85" i="22"/>
  <c r="AP85" i="22"/>
  <c r="AQ85" i="22"/>
  <c r="AR85" i="22"/>
  <c r="AS85" i="22"/>
  <c r="AT85" i="22"/>
  <c r="AU85" i="22"/>
  <c r="AV85" i="22"/>
  <c r="AW85" i="22"/>
  <c r="AX85" i="22"/>
  <c r="AY85" i="22"/>
  <c r="AZ85" i="22"/>
  <c r="BA85" i="22"/>
  <c r="BB85" i="22"/>
  <c r="BC85" i="22"/>
  <c r="BD85" i="22"/>
  <c r="BE85" i="22"/>
  <c r="BF85" i="22"/>
  <c r="BG85" i="22"/>
  <c r="BH85" i="22"/>
  <c r="BI85" i="22"/>
  <c r="BJ85" i="22"/>
  <c r="BK85" i="22"/>
  <c r="BL85" i="22"/>
  <c r="BM85" i="22"/>
  <c r="BN85" i="22"/>
  <c r="BO85" i="22"/>
  <c r="BP85" i="22"/>
  <c r="BQ85" i="22"/>
  <c r="BR85" i="22"/>
  <c r="BS85" i="22"/>
  <c r="BT85" i="22"/>
  <c r="BU85" i="22"/>
  <c r="BV85" i="22"/>
  <c r="BW85" i="22"/>
  <c r="BX85" i="22"/>
  <c r="BY85" i="22"/>
  <c r="BZ85" i="22"/>
  <c r="CA85" i="22"/>
  <c r="CB85" i="22"/>
  <c r="CC85" i="22"/>
  <c r="CD85" i="22"/>
  <c r="CE85" i="22"/>
  <c r="CF85" i="22"/>
  <c r="CG85" i="22"/>
  <c r="CH85" i="22"/>
  <c r="CI85" i="22"/>
  <c r="CJ85" i="22"/>
  <c r="CK85" i="22"/>
  <c r="CL85" i="22"/>
  <c r="CM85" i="22"/>
  <c r="CN85" i="22"/>
  <c r="CO85" i="22"/>
  <c r="CP85" i="22"/>
  <c r="CQ85" i="22"/>
  <c r="CR85" i="22"/>
  <c r="CS85" i="22"/>
  <c r="CT85" i="22"/>
  <c r="CU85" i="22"/>
  <c r="CV85" i="22"/>
  <c r="CW85" i="22"/>
  <c r="CX85" i="22"/>
  <c r="CY85" i="22"/>
  <c r="CZ85" i="22"/>
  <c r="DA85" i="22"/>
  <c r="DB85" i="22"/>
  <c r="DC85" i="22"/>
  <c r="DD85" i="22"/>
  <c r="DE85" i="22"/>
  <c r="DF85" i="22"/>
  <c r="DG85" i="22"/>
  <c r="DH85" i="22"/>
  <c r="DI85" i="22"/>
  <c r="DJ85" i="22"/>
  <c r="DK85" i="22"/>
  <c r="DL85" i="22"/>
  <c r="DM85" i="22"/>
  <c r="DN85" i="22"/>
  <c r="DO85" i="22"/>
  <c r="DP85" i="22"/>
  <c r="DQ85" i="22"/>
  <c r="DR85" i="22"/>
  <c r="DS85" i="22"/>
  <c r="DT85" i="22"/>
  <c r="DU85" i="22"/>
  <c r="DV85" i="22"/>
  <c r="DW85" i="22"/>
  <c r="DX85" i="22"/>
  <c r="DY85" i="22"/>
  <c r="DZ85" i="22"/>
  <c r="EA85" i="22"/>
  <c r="EB85" i="22"/>
  <c r="EC85" i="22"/>
  <c r="ED85" i="22"/>
  <c r="EE85" i="22"/>
  <c r="EF85" i="22"/>
  <c r="EG85" i="22"/>
  <c r="EH85" i="22"/>
  <c r="EI85" i="22"/>
  <c r="EJ85" i="22"/>
  <c r="EK85" i="22"/>
  <c r="EL85" i="22"/>
  <c r="EM85" i="22"/>
  <c r="EN85" i="22"/>
  <c r="EO85" i="22"/>
  <c r="EP85" i="22"/>
  <c r="EQ85" i="22"/>
  <c r="ER85" i="22"/>
  <c r="ES85" i="22"/>
  <c r="ET85" i="22"/>
  <c r="EU85" i="22"/>
  <c r="EV85" i="22"/>
  <c r="EW85" i="22"/>
  <c r="EX85" i="22"/>
  <c r="EY85" i="22"/>
  <c r="EZ85" i="22"/>
  <c r="FA85" i="22"/>
  <c r="FB85" i="22"/>
  <c r="FC85" i="22"/>
  <c r="FD85" i="22"/>
  <c r="FE85" i="22"/>
  <c r="FF85" i="22"/>
  <c r="FG85" i="22"/>
  <c r="FH85" i="22"/>
  <c r="FI85" i="22"/>
  <c r="FJ85" i="22"/>
  <c r="FK85" i="22"/>
  <c r="FL85" i="22"/>
  <c r="FM85" i="22"/>
  <c r="FN85" i="22"/>
  <c r="FO85" i="22"/>
  <c r="FP85" i="22"/>
  <c r="FQ85" i="22"/>
  <c r="FR85" i="22"/>
  <c r="FS85" i="22"/>
  <c r="FT85" i="22"/>
  <c r="FU85" i="22"/>
  <c r="FV85" i="22"/>
  <c r="FW85" i="22"/>
  <c r="FX85" i="22"/>
  <c r="FY85" i="22"/>
  <c r="FZ85" i="22"/>
  <c r="GA85" i="22"/>
  <c r="GB85" i="22"/>
  <c r="GC85" i="22"/>
  <c r="GD85" i="22"/>
  <c r="GE85" i="22"/>
  <c r="GF85" i="22"/>
  <c r="GG85" i="22"/>
  <c r="GH85" i="22"/>
  <c r="GI85" i="22"/>
  <c r="GJ85" i="22"/>
  <c r="GK85" i="22"/>
  <c r="GL85" i="22"/>
  <c r="GM85" i="22"/>
  <c r="GN85" i="22"/>
  <c r="GO85" i="22"/>
  <c r="GP85" i="22"/>
  <c r="GQ85" i="22"/>
  <c r="GR85" i="22"/>
  <c r="GS85" i="22"/>
  <c r="GT85" i="22"/>
  <c r="GU85" i="22"/>
  <c r="GV85" i="22"/>
  <c r="GW85" i="22"/>
  <c r="GX85" i="22"/>
  <c r="GY85" i="22"/>
  <c r="GZ85" i="22"/>
  <c r="HA85" i="22"/>
  <c r="HB85" i="22"/>
  <c r="HC85" i="22"/>
  <c r="HD85" i="22"/>
  <c r="HE85" i="22"/>
  <c r="HF85" i="22"/>
  <c r="HG85" i="22"/>
  <c r="HH85" i="22"/>
  <c r="HI85" i="22"/>
  <c r="HJ85" i="22"/>
  <c r="HK85" i="22"/>
  <c r="HL85" i="22"/>
  <c r="HM85" i="22"/>
  <c r="HN85" i="22"/>
  <c r="HO85" i="22"/>
  <c r="HP85" i="22"/>
  <c r="HQ85" i="22"/>
  <c r="HR85" i="22"/>
  <c r="HS85" i="22"/>
  <c r="HT85" i="22"/>
  <c r="HU85" i="22"/>
  <c r="HV85" i="22"/>
  <c r="HW85" i="22"/>
  <c r="HX85" i="22"/>
  <c r="HY85" i="22"/>
  <c r="HZ85" i="22"/>
  <c r="IA85" i="22"/>
  <c r="IB85" i="22"/>
  <c r="IC85" i="22"/>
  <c r="ID85" i="22"/>
  <c r="IE85" i="22"/>
  <c r="IF85" i="22"/>
  <c r="IG85" i="22"/>
  <c r="IH85" i="22"/>
  <c r="II85" i="22"/>
  <c r="IJ85" i="22"/>
  <c r="IK85" i="22"/>
  <c r="IL85" i="22"/>
  <c r="IM85" i="22"/>
  <c r="IN85" i="22"/>
  <c r="IO85" i="22"/>
  <c r="IP85" i="22"/>
  <c r="IQ85" i="22"/>
  <c r="IR85" i="22"/>
  <c r="IS85" i="22"/>
  <c r="IT85" i="22"/>
  <c r="IU85" i="22"/>
  <c r="IV85" i="22"/>
  <c r="G86" i="22"/>
  <c r="H86" i="22"/>
  <c r="I86" i="22"/>
  <c r="J86" i="22"/>
  <c r="K86" i="22"/>
  <c r="L86" i="22"/>
  <c r="M86" i="22"/>
  <c r="N86" i="22"/>
  <c r="O86" i="22"/>
  <c r="P86" i="22"/>
  <c r="Q86" i="22"/>
  <c r="R86" i="22"/>
  <c r="S86" i="22"/>
  <c r="T86" i="22"/>
  <c r="U86" i="22"/>
  <c r="V86" i="22"/>
  <c r="W86" i="22"/>
  <c r="X86" i="22"/>
  <c r="Y86" i="22"/>
  <c r="Z86" i="22"/>
  <c r="AA86" i="22"/>
  <c r="AB86" i="22"/>
  <c r="AC86" i="22"/>
  <c r="AD86" i="22"/>
  <c r="AE86" i="22"/>
  <c r="AF86" i="22"/>
  <c r="AG86" i="22"/>
  <c r="AH86" i="22"/>
  <c r="AI86" i="22"/>
  <c r="AJ86" i="22"/>
  <c r="AK86" i="22"/>
  <c r="AL86" i="22"/>
  <c r="AM86" i="22"/>
  <c r="AN86" i="22"/>
  <c r="AO86" i="22"/>
  <c r="AP86" i="22"/>
  <c r="AQ86" i="22"/>
  <c r="AR86" i="22"/>
  <c r="AS86" i="22"/>
  <c r="AT86" i="22"/>
  <c r="AU86" i="22"/>
  <c r="AV86" i="22"/>
  <c r="AW86" i="22"/>
  <c r="AX86" i="22"/>
  <c r="AY86" i="22"/>
  <c r="AZ86" i="22"/>
  <c r="BA86" i="22"/>
  <c r="BB86" i="22"/>
  <c r="BC86" i="22"/>
  <c r="BD86" i="22"/>
  <c r="BE86" i="22"/>
  <c r="BF86" i="22"/>
  <c r="BG86" i="22"/>
  <c r="BH86" i="22"/>
  <c r="BI86" i="22"/>
  <c r="BJ86" i="22"/>
  <c r="BK86" i="22"/>
  <c r="BL86" i="22"/>
  <c r="BM86" i="22"/>
  <c r="BN86" i="22"/>
  <c r="BO86" i="22"/>
  <c r="BP86" i="22"/>
  <c r="BQ86" i="22"/>
  <c r="BR86" i="22"/>
  <c r="BS86" i="22"/>
  <c r="BT86" i="22"/>
  <c r="BU86" i="22"/>
  <c r="BV86" i="22"/>
  <c r="BW86" i="22"/>
  <c r="BX86" i="22"/>
  <c r="BY86" i="22"/>
  <c r="BZ86" i="22"/>
  <c r="CA86" i="22"/>
  <c r="CB86" i="22"/>
  <c r="CC86" i="22"/>
  <c r="CD86" i="22"/>
  <c r="CE86" i="22"/>
  <c r="CF86" i="22"/>
  <c r="CG86" i="22"/>
  <c r="CH86" i="22"/>
  <c r="CI86" i="22"/>
  <c r="CJ86" i="22"/>
  <c r="CK86" i="22"/>
  <c r="CL86" i="22"/>
  <c r="CM86" i="22"/>
  <c r="CN86" i="22"/>
  <c r="CO86" i="22"/>
  <c r="CP86" i="22"/>
  <c r="CQ86" i="22"/>
  <c r="CR86" i="22"/>
  <c r="CS86" i="22"/>
  <c r="CT86" i="22"/>
  <c r="CU86" i="22"/>
  <c r="CV86" i="22"/>
  <c r="CW86" i="22"/>
  <c r="CX86" i="22"/>
  <c r="CY86" i="22"/>
  <c r="CZ86" i="22"/>
  <c r="DA86" i="22"/>
  <c r="DB86" i="22"/>
  <c r="DC86" i="22"/>
  <c r="DD86" i="22"/>
  <c r="DE86" i="22"/>
  <c r="DF86" i="22"/>
  <c r="DG86" i="22"/>
  <c r="DH86" i="22"/>
  <c r="DI86" i="22"/>
  <c r="DJ86" i="22"/>
  <c r="DK86" i="22"/>
  <c r="DL86" i="22"/>
  <c r="DM86" i="22"/>
  <c r="DN86" i="22"/>
  <c r="DO86" i="22"/>
  <c r="DP86" i="22"/>
  <c r="DQ86" i="22"/>
  <c r="DR86" i="22"/>
  <c r="DS86" i="22"/>
  <c r="DT86" i="22"/>
  <c r="DU86" i="22"/>
  <c r="DV86" i="22"/>
  <c r="DW86" i="22"/>
  <c r="DX86" i="22"/>
  <c r="DY86" i="22"/>
  <c r="DZ86" i="22"/>
  <c r="EA86" i="22"/>
  <c r="EB86" i="22"/>
  <c r="EC86" i="22"/>
  <c r="ED86" i="22"/>
  <c r="EE86" i="22"/>
  <c r="EF86" i="22"/>
  <c r="EG86" i="22"/>
  <c r="EH86" i="22"/>
  <c r="EI86" i="22"/>
  <c r="EJ86" i="22"/>
  <c r="EK86" i="22"/>
  <c r="EL86" i="22"/>
  <c r="EM86" i="22"/>
  <c r="EN86" i="22"/>
  <c r="EO86" i="22"/>
  <c r="EP86" i="22"/>
  <c r="EQ86" i="22"/>
  <c r="ER86" i="22"/>
  <c r="ES86" i="22"/>
  <c r="ET86" i="22"/>
  <c r="EU86" i="22"/>
  <c r="EV86" i="22"/>
  <c r="EW86" i="22"/>
  <c r="EX86" i="22"/>
  <c r="EY86" i="22"/>
  <c r="EZ86" i="22"/>
  <c r="FA86" i="22"/>
  <c r="FB86" i="22"/>
  <c r="FC86" i="22"/>
  <c r="FD86" i="22"/>
  <c r="FE86" i="22"/>
  <c r="FF86" i="22"/>
  <c r="FG86" i="22"/>
  <c r="FH86" i="22"/>
  <c r="FI86" i="22"/>
  <c r="FJ86" i="22"/>
  <c r="FK86" i="22"/>
  <c r="FL86" i="22"/>
  <c r="FM86" i="22"/>
  <c r="FN86" i="22"/>
  <c r="FO86" i="22"/>
  <c r="FP86" i="22"/>
  <c r="FQ86" i="22"/>
  <c r="FR86" i="22"/>
  <c r="FS86" i="22"/>
  <c r="FT86" i="22"/>
  <c r="FU86" i="22"/>
  <c r="FV86" i="22"/>
  <c r="FW86" i="22"/>
  <c r="FX86" i="22"/>
  <c r="FY86" i="22"/>
  <c r="FZ86" i="22"/>
  <c r="GA86" i="22"/>
  <c r="GB86" i="22"/>
  <c r="GC86" i="22"/>
  <c r="GD86" i="22"/>
  <c r="GE86" i="22"/>
  <c r="GF86" i="22"/>
  <c r="GG86" i="22"/>
  <c r="GH86" i="22"/>
  <c r="GI86" i="22"/>
  <c r="GJ86" i="22"/>
  <c r="GK86" i="22"/>
  <c r="GK146" i="22" s="1"/>
  <c r="GL86" i="22"/>
  <c r="GM86" i="22"/>
  <c r="GN86" i="22"/>
  <c r="GO86" i="22"/>
  <c r="GP86" i="22"/>
  <c r="GQ86" i="22"/>
  <c r="GR86" i="22"/>
  <c r="GS86" i="22"/>
  <c r="GS146" i="22" s="1"/>
  <c r="GT86" i="22"/>
  <c r="GU86" i="22"/>
  <c r="GV86" i="22"/>
  <c r="GW86" i="22"/>
  <c r="GX86" i="22"/>
  <c r="GY86" i="22"/>
  <c r="GZ86" i="22"/>
  <c r="HA86" i="22"/>
  <c r="HB86" i="22"/>
  <c r="HC86" i="22"/>
  <c r="HD86" i="22"/>
  <c r="HE86" i="22"/>
  <c r="HF86" i="22"/>
  <c r="HG86" i="22"/>
  <c r="HH86" i="22"/>
  <c r="HI86" i="22"/>
  <c r="HJ86" i="22"/>
  <c r="HK86" i="22"/>
  <c r="HL86" i="22"/>
  <c r="HM86" i="22"/>
  <c r="HN86" i="22"/>
  <c r="HO86" i="22"/>
  <c r="HP86" i="22"/>
  <c r="HQ86" i="22"/>
  <c r="HR86" i="22"/>
  <c r="HS86" i="22"/>
  <c r="HT86" i="22"/>
  <c r="HU86" i="22"/>
  <c r="HV86" i="22"/>
  <c r="HW86" i="22"/>
  <c r="HX86" i="22"/>
  <c r="HY86" i="22"/>
  <c r="HZ86" i="22"/>
  <c r="IA86" i="22"/>
  <c r="IB86" i="22"/>
  <c r="IC86" i="22"/>
  <c r="ID86" i="22"/>
  <c r="IE86" i="22"/>
  <c r="IF86" i="22"/>
  <c r="IG86" i="22"/>
  <c r="IH86" i="22"/>
  <c r="II86" i="22"/>
  <c r="IJ86" i="22"/>
  <c r="IK86" i="22"/>
  <c r="IL86" i="22"/>
  <c r="IM86" i="22"/>
  <c r="IN86" i="22"/>
  <c r="IO86" i="22"/>
  <c r="IP86" i="22"/>
  <c r="IQ86" i="22"/>
  <c r="IR86" i="22"/>
  <c r="IS86" i="22"/>
  <c r="IT86" i="22"/>
  <c r="IU86" i="22"/>
  <c r="IV86" i="22"/>
  <c r="G87" i="22"/>
  <c r="H87" i="22"/>
  <c r="I87" i="22"/>
  <c r="J87" i="22"/>
  <c r="K87" i="22"/>
  <c r="L87" i="22"/>
  <c r="M87" i="22"/>
  <c r="N87" i="22"/>
  <c r="O87" i="22"/>
  <c r="P87" i="22"/>
  <c r="Q87" i="22"/>
  <c r="R87" i="22"/>
  <c r="S87" i="22"/>
  <c r="T87" i="22"/>
  <c r="U87" i="22"/>
  <c r="V87" i="22"/>
  <c r="W87" i="22"/>
  <c r="X87" i="22"/>
  <c r="Y87" i="22"/>
  <c r="Z87" i="22"/>
  <c r="AA87" i="22"/>
  <c r="AB87" i="22"/>
  <c r="AC87" i="22"/>
  <c r="AD87" i="22"/>
  <c r="AE87" i="22"/>
  <c r="AF87" i="22"/>
  <c r="AG87" i="22"/>
  <c r="AH87" i="22"/>
  <c r="AI87" i="22"/>
  <c r="AJ87" i="22"/>
  <c r="AK87" i="22"/>
  <c r="AL87" i="22"/>
  <c r="AM87" i="22"/>
  <c r="AN87" i="22"/>
  <c r="AO87" i="22"/>
  <c r="AP87" i="22"/>
  <c r="AQ87" i="22"/>
  <c r="AR87" i="22"/>
  <c r="AS87" i="22"/>
  <c r="AT87" i="22"/>
  <c r="AU87" i="22"/>
  <c r="AV87" i="22"/>
  <c r="AW87" i="22"/>
  <c r="AX87" i="22"/>
  <c r="AY87" i="22"/>
  <c r="AZ87" i="22"/>
  <c r="BA87" i="22"/>
  <c r="BB87" i="22"/>
  <c r="BC87" i="22"/>
  <c r="BD87" i="22"/>
  <c r="BE87" i="22"/>
  <c r="BF87" i="22"/>
  <c r="BG87" i="22"/>
  <c r="BH87" i="22"/>
  <c r="BI87" i="22"/>
  <c r="BJ87" i="22"/>
  <c r="BK87" i="22"/>
  <c r="BL87" i="22"/>
  <c r="BM87" i="22"/>
  <c r="BN87" i="22"/>
  <c r="BO87" i="22"/>
  <c r="BP87" i="22"/>
  <c r="BQ87" i="22"/>
  <c r="BR87" i="22"/>
  <c r="BS87" i="22"/>
  <c r="BT87" i="22"/>
  <c r="BU87" i="22"/>
  <c r="BV87" i="22"/>
  <c r="BW87" i="22"/>
  <c r="BX87" i="22"/>
  <c r="BY87" i="22"/>
  <c r="BZ87" i="22"/>
  <c r="CA87" i="22"/>
  <c r="CB87" i="22"/>
  <c r="CC87" i="22"/>
  <c r="CD87" i="22"/>
  <c r="CE87" i="22"/>
  <c r="CF87" i="22"/>
  <c r="CG87" i="22"/>
  <c r="CH87" i="22"/>
  <c r="CI87" i="22"/>
  <c r="CJ87" i="22"/>
  <c r="CK87" i="22"/>
  <c r="CL87" i="22"/>
  <c r="CM87" i="22"/>
  <c r="CN87" i="22"/>
  <c r="CO87" i="22"/>
  <c r="CP87" i="22"/>
  <c r="CQ87" i="22"/>
  <c r="CR87" i="22"/>
  <c r="CS87" i="22"/>
  <c r="CT87" i="22"/>
  <c r="CU87" i="22"/>
  <c r="CV87" i="22"/>
  <c r="CW87" i="22"/>
  <c r="CX87" i="22"/>
  <c r="CY87" i="22"/>
  <c r="CZ87" i="22"/>
  <c r="DA87" i="22"/>
  <c r="DB87" i="22"/>
  <c r="DC87" i="22"/>
  <c r="DD87" i="22"/>
  <c r="DE87" i="22"/>
  <c r="DF87" i="22"/>
  <c r="DG87" i="22"/>
  <c r="DH87" i="22"/>
  <c r="DI87" i="22"/>
  <c r="DJ87" i="22"/>
  <c r="DK87" i="22"/>
  <c r="DL87" i="22"/>
  <c r="DM87" i="22"/>
  <c r="DN87" i="22"/>
  <c r="DO87" i="22"/>
  <c r="DP87" i="22"/>
  <c r="DQ87" i="22"/>
  <c r="DR87" i="22"/>
  <c r="DS87" i="22"/>
  <c r="DT87" i="22"/>
  <c r="DU87" i="22"/>
  <c r="DV87" i="22"/>
  <c r="DW87" i="22"/>
  <c r="DX87" i="22"/>
  <c r="DY87" i="22"/>
  <c r="DZ87" i="22"/>
  <c r="EA87" i="22"/>
  <c r="EB87" i="22"/>
  <c r="EC87" i="22"/>
  <c r="ED87" i="22"/>
  <c r="EE87" i="22"/>
  <c r="EF87" i="22"/>
  <c r="EG87" i="22"/>
  <c r="EH87" i="22"/>
  <c r="EI87" i="22"/>
  <c r="EJ87" i="22"/>
  <c r="EK87" i="22"/>
  <c r="EL87" i="22"/>
  <c r="EM87" i="22"/>
  <c r="EN87" i="22"/>
  <c r="EO87" i="22"/>
  <c r="EP87" i="22"/>
  <c r="EQ87" i="22"/>
  <c r="ER87" i="22"/>
  <c r="ES87" i="22"/>
  <c r="ET87" i="22"/>
  <c r="EU87" i="22"/>
  <c r="EV87" i="22"/>
  <c r="EW87" i="22"/>
  <c r="EX87" i="22"/>
  <c r="EY87" i="22"/>
  <c r="EZ87" i="22"/>
  <c r="FA87" i="22"/>
  <c r="FB87" i="22"/>
  <c r="FC87" i="22"/>
  <c r="FD87" i="22"/>
  <c r="FE87" i="22"/>
  <c r="FF87" i="22"/>
  <c r="FG87" i="22"/>
  <c r="FH87" i="22"/>
  <c r="FI87" i="22"/>
  <c r="FJ87" i="22"/>
  <c r="FK87" i="22"/>
  <c r="FL87" i="22"/>
  <c r="FM87" i="22"/>
  <c r="FN87" i="22"/>
  <c r="FO87" i="22"/>
  <c r="FP87" i="22"/>
  <c r="FQ87" i="22"/>
  <c r="FR87" i="22"/>
  <c r="FS87" i="22"/>
  <c r="FT87" i="22"/>
  <c r="FU87" i="22"/>
  <c r="FV87" i="22"/>
  <c r="FW87" i="22"/>
  <c r="FX87" i="22"/>
  <c r="FY87" i="22"/>
  <c r="FZ87" i="22"/>
  <c r="GA87" i="22"/>
  <c r="GB87" i="22"/>
  <c r="GC87" i="22"/>
  <c r="GD87" i="22"/>
  <c r="GE87" i="22"/>
  <c r="GF87" i="22"/>
  <c r="GG87" i="22"/>
  <c r="GH87" i="22"/>
  <c r="GI87" i="22"/>
  <c r="GJ87" i="22"/>
  <c r="GK87" i="22"/>
  <c r="GL87" i="22"/>
  <c r="GM87" i="22"/>
  <c r="GN87" i="22"/>
  <c r="GO87" i="22"/>
  <c r="GP87" i="22"/>
  <c r="GQ87" i="22"/>
  <c r="GR87" i="22"/>
  <c r="GS87" i="22"/>
  <c r="GT87" i="22"/>
  <c r="GU87" i="22"/>
  <c r="GV87" i="22"/>
  <c r="GW87" i="22"/>
  <c r="GX87" i="22"/>
  <c r="GY87" i="22"/>
  <c r="GZ87" i="22"/>
  <c r="HA87" i="22"/>
  <c r="HB87" i="22"/>
  <c r="HC87" i="22"/>
  <c r="HD87" i="22"/>
  <c r="HE87" i="22"/>
  <c r="HF87" i="22"/>
  <c r="HG87" i="22"/>
  <c r="HH87" i="22"/>
  <c r="HI87" i="22"/>
  <c r="HJ87" i="22"/>
  <c r="HK87" i="22"/>
  <c r="HL87" i="22"/>
  <c r="HM87" i="22"/>
  <c r="HN87" i="22"/>
  <c r="HO87" i="22"/>
  <c r="HP87" i="22"/>
  <c r="HQ87" i="22"/>
  <c r="HR87" i="22"/>
  <c r="HS87" i="22"/>
  <c r="HT87" i="22"/>
  <c r="HU87" i="22"/>
  <c r="HV87" i="22"/>
  <c r="HW87" i="22"/>
  <c r="HX87" i="22"/>
  <c r="HY87" i="22"/>
  <c r="HZ87" i="22"/>
  <c r="IA87" i="22"/>
  <c r="IB87" i="22"/>
  <c r="IC87" i="22"/>
  <c r="ID87" i="22"/>
  <c r="IE87" i="22"/>
  <c r="IF87" i="22"/>
  <c r="IG87" i="22"/>
  <c r="IH87" i="22"/>
  <c r="II87" i="22"/>
  <c r="IJ87" i="22"/>
  <c r="IK87" i="22"/>
  <c r="IL87" i="22"/>
  <c r="IM87" i="22"/>
  <c r="IN87" i="22"/>
  <c r="IO87" i="22"/>
  <c r="IP87" i="22"/>
  <c r="IQ87" i="22"/>
  <c r="IR87" i="22"/>
  <c r="IS87" i="22"/>
  <c r="IT87" i="22"/>
  <c r="IU87" i="22"/>
  <c r="IV87" i="22"/>
  <c r="G88" i="22"/>
  <c r="H88" i="22"/>
  <c r="I88" i="22"/>
  <c r="J88" i="22"/>
  <c r="K88" i="22"/>
  <c r="L88" i="22"/>
  <c r="M88" i="22"/>
  <c r="N88" i="22"/>
  <c r="O88" i="22"/>
  <c r="P88" i="22"/>
  <c r="Q88" i="22"/>
  <c r="R88" i="22"/>
  <c r="S88" i="22"/>
  <c r="T88" i="22"/>
  <c r="U88" i="22"/>
  <c r="V88" i="22"/>
  <c r="W88" i="22"/>
  <c r="X88" i="22"/>
  <c r="Y88" i="22"/>
  <c r="Z88" i="22"/>
  <c r="AA88" i="22"/>
  <c r="AB88" i="22"/>
  <c r="AC88" i="22"/>
  <c r="AD88" i="22"/>
  <c r="AE88" i="22"/>
  <c r="AF88" i="22"/>
  <c r="AG88" i="22"/>
  <c r="AH88" i="22"/>
  <c r="AI88" i="22"/>
  <c r="AJ88" i="22"/>
  <c r="AK88" i="22"/>
  <c r="AL88" i="22"/>
  <c r="AM88" i="22"/>
  <c r="AN88" i="22"/>
  <c r="AO88" i="22"/>
  <c r="AP88" i="22"/>
  <c r="AQ88" i="22"/>
  <c r="AR88" i="22"/>
  <c r="AS88" i="22"/>
  <c r="AT88" i="22"/>
  <c r="AU88" i="22"/>
  <c r="AV88" i="22"/>
  <c r="AW88" i="22"/>
  <c r="AX88" i="22"/>
  <c r="AY88" i="22"/>
  <c r="AZ88" i="22"/>
  <c r="BA88" i="22"/>
  <c r="BB88" i="22"/>
  <c r="BC88" i="22"/>
  <c r="BD88" i="22"/>
  <c r="BE88" i="22"/>
  <c r="BF88" i="22"/>
  <c r="BG88" i="22"/>
  <c r="BH88" i="22"/>
  <c r="BI88" i="22"/>
  <c r="BJ88" i="22"/>
  <c r="BK88" i="22"/>
  <c r="BL88" i="22"/>
  <c r="BM88" i="22"/>
  <c r="BN88" i="22"/>
  <c r="BO88" i="22"/>
  <c r="BP88" i="22"/>
  <c r="BQ88" i="22"/>
  <c r="BR88" i="22"/>
  <c r="BS88" i="22"/>
  <c r="BT88" i="22"/>
  <c r="BU88" i="22"/>
  <c r="BV88" i="22"/>
  <c r="BW88" i="22"/>
  <c r="BX88" i="22"/>
  <c r="BY88" i="22"/>
  <c r="BZ88" i="22"/>
  <c r="CA88" i="22"/>
  <c r="CB88" i="22"/>
  <c r="CC88" i="22"/>
  <c r="CD88" i="22"/>
  <c r="CE88" i="22"/>
  <c r="CF88" i="22"/>
  <c r="CG88" i="22"/>
  <c r="CH88" i="22"/>
  <c r="CI88" i="22"/>
  <c r="CJ88" i="22"/>
  <c r="CK88" i="22"/>
  <c r="CL88" i="22"/>
  <c r="CM88" i="22"/>
  <c r="CN88" i="22"/>
  <c r="CO88" i="22"/>
  <c r="CP88" i="22"/>
  <c r="CQ88" i="22"/>
  <c r="CR88" i="22"/>
  <c r="CS88" i="22"/>
  <c r="CT88" i="22"/>
  <c r="CU88" i="22"/>
  <c r="CV88" i="22"/>
  <c r="CW88" i="22"/>
  <c r="CX88" i="22"/>
  <c r="CY88" i="22"/>
  <c r="CZ88" i="22"/>
  <c r="DA88" i="22"/>
  <c r="DB88" i="22"/>
  <c r="DC88" i="22"/>
  <c r="DD88" i="22"/>
  <c r="DE88" i="22"/>
  <c r="DF88" i="22"/>
  <c r="DG88" i="22"/>
  <c r="DH88" i="22"/>
  <c r="DI88" i="22"/>
  <c r="DJ88" i="22"/>
  <c r="DK88" i="22"/>
  <c r="DL88" i="22"/>
  <c r="DM88" i="22"/>
  <c r="DN88" i="22"/>
  <c r="DO88" i="22"/>
  <c r="DP88" i="22"/>
  <c r="DQ88" i="22"/>
  <c r="DR88" i="22"/>
  <c r="DS88" i="22"/>
  <c r="DT88" i="22"/>
  <c r="DU88" i="22"/>
  <c r="DV88" i="22"/>
  <c r="DW88" i="22"/>
  <c r="DX88" i="22"/>
  <c r="DY88" i="22"/>
  <c r="DZ88" i="22"/>
  <c r="EA88" i="22"/>
  <c r="EB88" i="22"/>
  <c r="EC88" i="22"/>
  <c r="ED88" i="22"/>
  <c r="EE88" i="22"/>
  <c r="EF88" i="22"/>
  <c r="EG88" i="22"/>
  <c r="EH88" i="22"/>
  <c r="EI88" i="22"/>
  <c r="EJ88" i="22"/>
  <c r="EK88" i="22"/>
  <c r="EL88" i="22"/>
  <c r="EM88" i="22"/>
  <c r="EN88" i="22"/>
  <c r="EO88" i="22"/>
  <c r="EP88" i="22"/>
  <c r="EQ88" i="22"/>
  <c r="ER88" i="22"/>
  <c r="ES88" i="22"/>
  <c r="ET88" i="22"/>
  <c r="EU88" i="22"/>
  <c r="EV88" i="22"/>
  <c r="EW88" i="22"/>
  <c r="EX88" i="22"/>
  <c r="EY88" i="22"/>
  <c r="EZ88" i="22"/>
  <c r="FA88" i="22"/>
  <c r="FB88" i="22"/>
  <c r="FC88" i="22"/>
  <c r="FD88" i="22"/>
  <c r="FE88" i="22"/>
  <c r="FF88" i="22"/>
  <c r="FG88" i="22"/>
  <c r="FH88" i="22"/>
  <c r="FI88" i="22"/>
  <c r="FJ88" i="22"/>
  <c r="FK88" i="22"/>
  <c r="FL88" i="22"/>
  <c r="FM88" i="22"/>
  <c r="FN88" i="22"/>
  <c r="FO88" i="22"/>
  <c r="FP88" i="22"/>
  <c r="FQ88" i="22"/>
  <c r="FR88" i="22"/>
  <c r="FS88" i="22"/>
  <c r="FT88" i="22"/>
  <c r="FU88" i="22"/>
  <c r="FV88" i="22"/>
  <c r="FW88" i="22"/>
  <c r="FX88" i="22"/>
  <c r="FY88" i="22"/>
  <c r="FZ88" i="22"/>
  <c r="GA88" i="22"/>
  <c r="GB88" i="22"/>
  <c r="GC88" i="22"/>
  <c r="GD88" i="22"/>
  <c r="GE88" i="22"/>
  <c r="GF88" i="22"/>
  <c r="GG88" i="22"/>
  <c r="GH88" i="22"/>
  <c r="GI88" i="22"/>
  <c r="GJ88" i="22"/>
  <c r="GK88" i="22"/>
  <c r="GL88" i="22"/>
  <c r="GM88" i="22"/>
  <c r="GN88" i="22"/>
  <c r="GO88" i="22"/>
  <c r="GP88" i="22"/>
  <c r="GQ88" i="22"/>
  <c r="GR88" i="22"/>
  <c r="GS88" i="22"/>
  <c r="GT88" i="22"/>
  <c r="GU88" i="22"/>
  <c r="GV88" i="22"/>
  <c r="GW88" i="22"/>
  <c r="GX88" i="22"/>
  <c r="GY88" i="22"/>
  <c r="GZ88" i="22"/>
  <c r="HA88" i="22"/>
  <c r="HB88" i="22"/>
  <c r="HC88" i="22"/>
  <c r="HD88" i="22"/>
  <c r="HE88" i="22"/>
  <c r="HF88" i="22"/>
  <c r="HG88" i="22"/>
  <c r="HH88" i="22"/>
  <c r="HI88" i="22"/>
  <c r="HJ88" i="22"/>
  <c r="HK88" i="22"/>
  <c r="HL88" i="22"/>
  <c r="HM88" i="22"/>
  <c r="HN88" i="22"/>
  <c r="HO88" i="22"/>
  <c r="HP88" i="22"/>
  <c r="HQ88" i="22"/>
  <c r="HR88" i="22"/>
  <c r="HS88" i="22"/>
  <c r="HT88" i="22"/>
  <c r="HU88" i="22"/>
  <c r="HV88" i="22"/>
  <c r="HW88" i="22"/>
  <c r="HX88" i="22"/>
  <c r="HY88" i="22"/>
  <c r="HZ88" i="22"/>
  <c r="IA88" i="22"/>
  <c r="IB88" i="22"/>
  <c r="IC88" i="22"/>
  <c r="ID88" i="22"/>
  <c r="IE88" i="22"/>
  <c r="IF88" i="22"/>
  <c r="IG88" i="22"/>
  <c r="IH88" i="22"/>
  <c r="II88" i="22"/>
  <c r="IJ88" i="22"/>
  <c r="IK88" i="22"/>
  <c r="IL88" i="22"/>
  <c r="IM88" i="22"/>
  <c r="IN88" i="22"/>
  <c r="IO88" i="22"/>
  <c r="IP88" i="22"/>
  <c r="IQ88" i="22"/>
  <c r="IR88" i="22"/>
  <c r="IS88" i="22"/>
  <c r="IT88" i="22"/>
  <c r="IU88" i="22"/>
  <c r="IV88" i="22"/>
  <c r="G89" i="22"/>
  <c r="H89" i="22"/>
  <c r="I89" i="22"/>
  <c r="J89" i="22"/>
  <c r="K89" i="22"/>
  <c r="L89" i="22"/>
  <c r="M89" i="22"/>
  <c r="N89" i="22"/>
  <c r="O89" i="22"/>
  <c r="P89" i="22"/>
  <c r="Q89" i="22"/>
  <c r="R89" i="22"/>
  <c r="S89" i="22"/>
  <c r="T89" i="22"/>
  <c r="U89" i="22"/>
  <c r="V89" i="22"/>
  <c r="W89" i="22"/>
  <c r="X89" i="22"/>
  <c r="Y89" i="22"/>
  <c r="Z89" i="22"/>
  <c r="AA89" i="22"/>
  <c r="AB89" i="22"/>
  <c r="AC89" i="22"/>
  <c r="AD89" i="22"/>
  <c r="AE89" i="22"/>
  <c r="AF89" i="22"/>
  <c r="AG89" i="22"/>
  <c r="AH89" i="22"/>
  <c r="AI89" i="22"/>
  <c r="AJ89" i="22"/>
  <c r="AK89" i="22"/>
  <c r="AL89" i="22"/>
  <c r="AM89" i="22"/>
  <c r="AN89" i="22"/>
  <c r="AO89" i="22"/>
  <c r="AP89" i="22"/>
  <c r="AQ89" i="22"/>
  <c r="AR89" i="22"/>
  <c r="AS89" i="22"/>
  <c r="AT89" i="22"/>
  <c r="AU89" i="22"/>
  <c r="AV89" i="22"/>
  <c r="AW89" i="22"/>
  <c r="AX89" i="22"/>
  <c r="AY89" i="22"/>
  <c r="AZ89" i="22"/>
  <c r="BA89" i="22"/>
  <c r="BB89" i="22"/>
  <c r="BC89" i="22"/>
  <c r="BD89" i="22"/>
  <c r="BE89" i="22"/>
  <c r="BF89" i="22"/>
  <c r="BG89" i="22"/>
  <c r="BH89" i="22"/>
  <c r="BI89" i="22"/>
  <c r="BJ89" i="22"/>
  <c r="BK89" i="22"/>
  <c r="BL89" i="22"/>
  <c r="BM89" i="22"/>
  <c r="BN89" i="22"/>
  <c r="BO89" i="22"/>
  <c r="BP89" i="22"/>
  <c r="BQ89" i="22"/>
  <c r="BR89" i="22"/>
  <c r="BS89" i="22"/>
  <c r="BT89" i="22"/>
  <c r="BU89" i="22"/>
  <c r="BV89" i="22"/>
  <c r="BW89" i="22"/>
  <c r="BX89" i="22"/>
  <c r="BY89" i="22"/>
  <c r="BZ89" i="22"/>
  <c r="CA89" i="22"/>
  <c r="CB89" i="22"/>
  <c r="CC89" i="22"/>
  <c r="CD89" i="22"/>
  <c r="CE89" i="22"/>
  <c r="CF89" i="22"/>
  <c r="CG89" i="22"/>
  <c r="CH89" i="22"/>
  <c r="CI89" i="22"/>
  <c r="CJ89" i="22"/>
  <c r="CK89" i="22"/>
  <c r="CL89" i="22"/>
  <c r="CM89" i="22"/>
  <c r="CN89" i="22"/>
  <c r="CO89" i="22"/>
  <c r="CP89" i="22"/>
  <c r="CQ89" i="22"/>
  <c r="CR89" i="22"/>
  <c r="CS89" i="22"/>
  <c r="CT89" i="22"/>
  <c r="CU89" i="22"/>
  <c r="CV89" i="22"/>
  <c r="CW89" i="22"/>
  <c r="CX89" i="22"/>
  <c r="CY89" i="22"/>
  <c r="CZ89" i="22"/>
  <c r="DA89" i="22"/>
  <c r="DB89" i="22"/>
  <c r="DC89" i="22"/>
  <c r="DD89" i="22"/>
  <c r="DE89" i="22"/>
  <c r="DF89" i="22"/>
  <c r="DG89" i="22"/>
  <c r="DH89" i="22"/>
  <c r="DI89" i="22"/>
  <c r="DJ89" i="22"/>
  <c r="DK89" i="22"/>
  <c r="DL89" i="22"/>
  <c r="DM89" i="22"/>
  <c r="DN89" i="22"/>
  <c r="DO89" i="22"/>
  <c r="DP89" i="22"/>
  <c r="DQ89" i="22"/>
  <c r="DR89" i="22"/>
  <c r="DS89" i="22"/>
  <c r="DT89" i="22"/>
  <c r="DU89" i="22"/>
  <c r="DV89" i="22"/>
  <c r="DW89" i="22"/>
  <c r="DX89" i="22"/>
  <c r="DY89" i="22"/>
  <c r="DZ89" i="22"/>
  <c r="EA89" i="22"/>
  <c r="EB89" i="22"/>
  <c r="EC89" i="22"/>
  <c r="ED89" i="22"/>
  <c r="EE89" i="22"/>
  <c r="EF89" i="22"/>
  <c r="EG89" i="22"/>
  <c r="EH89" i="22"/>
  <c r="EI89" i="22"/>
  <c r="EJ89" i="22"/>
  <c r="EK89" i="22"/>
  <c r="EL89" i="22"/>
  <c r="EM89" i="22"/>
  <c r="EN89" i="22"/>
  <c r="EO89" i="22"/>
  <c r="EP89" i="22"/>
  <c r="EQ89" i="22"/>
  <c r="ER89" i="22"/>
  <c r="ES89" i="22"/>
  <c r="ET89" i="22"/>
  <c r="EU89" i="22"/>
  <c r="EV89" i="22"/>
  <c r="EW89" i="22"/>
  <c r="EX89" i="22"/>
  <c r="EY89" i="22"/>
  <c r="EZ89" i="22"/>
  <c r="FA89" i="22"/>
  <c r="FB89" i="22"/>
  <c r="FC89" i="22"/>
  <c r="FD89" i="22"/>
  <c r="FE89" i="22"/>
  <c r="FF89" i="22"/>
  <c r="FG89" i="22"/>
  <c r="FH89" i="22"/>
  <c r="FI89" i="22"/>
  <c r="FJ89" i="22"/>
  <c r="FK89" i="22"/>
  <c r="FL89" i="22"/>
  <c r="FM89" i="22"/>
  <c r="FN89" i="22"/>
  <c r="FO89" i="22"/>
  <c r="FP89" i="22"/>
  <c r="FQ89" i="22"/>
  <c r="FR89" i="22"/>
  <c r="FS89" i="22"/>
  <c r="FT89" i="22"/>
  <c r="FU89" i="22"/>
  <c r="FV89" i="22"/>
  <c r="FW89" i="22"/>
  <c r="FX89" i="22"/>
  <c r="FY89" i="22"/>
  <c r="FZ89" i="22"/>
  <c r="GA89" i="22"/>
  <c r="GB89" i="22"/>
  <c r="GC89" i="22"/>
  <c r="GD89" i="22"/>
  <c r="GE89" i="22"/>
  <c r="GF89" i="22"/>
  <c r="GG89" i="22"/>
  <c r="GH89" i="22"/>
  <c r="GI89" i="22"/>
  <c r="GJ89" i="22"/>
  <c r="GK89" i="22"/>
  <c r="GL89" i="22"/>
  <c r="GM89" i="22"/>
  <c r="GN89" i="22"/>
  <c r="GO89" i="22"/>
  <c r="GP89" i="22"/>
  <c r="GQ89" i="22"/>
  <c r="GR89" i="22"/>
  <c r="GS89" i="22"/>
  <c r="GT89" i="22"/>
  <c r="GU89" i="22"/>
  <c r="GV89" i="22"/>
  <c r="GW89" i="22"/>
  <c r="GX89" i="22"/>
  <c r="GY89" i="22"/>
  <c r="GZ89" i="22"/>
  <c r="HA89" i="22"/>
  <c r="HB89" i="22"/>
  <c r="HC89" i="22"/>
  <c r="HD89" i="22"/>
  <c r="HE89" i="22"/>
  <c r="HF89" i="22"/>
  <c r="HG89" i="22"/>
  <c r="HH89" i="22"/>
  <c r="HI89" i="22"/>
  <c r="HJ89" i="22"/>
  <c r="HK89" i="22"/>
  <c r="HL89" i="22"/>
  <c r="HM89" i="22"/>
  <c r="HN89" i="22"/>
  <c r="HO89" i="22"/>
  <c r="HP89" i="22"/>
  <c r="HQ89" i="22"/>
  <c r="HR89" i="22"/>
  <c r="HS89" i="22"/>
  <c r="HT89" i="22"/>
  <c r="HU89" i="22"/>
  <c r="HV89" i="22"/>
  <c r="HW89" i="22"/>
  <c r="HX89" i="22"/>
  <c r="HY89" i="22"/>
  <c r="HZ89" i="22"/>
  <c r="IA89" i="22"/>
  <c r="IB89" i="22"/>
  <c r="IC89" i="22"/>
  <c r="ID89" i="22"/>
  <c r="IE89" i="22"/>
  <c r="IF89" i="22"/>
  <c r="IG89" i="22"/>
  <c r="IH89" i="22"/>
  <c r="II89" i="22"/>
  <c r="IJ89" i="22"/>
  <c r="IK89" i="22"/>
  <c r="IL89" i="22"/>
  <c r="IM89" i="22"/>
  <c r="IN89" i="22"/>
  <c r="IO89" i="22"/>
  <c r="IP89" i="22"/>
  <c r="IQ89" i="22"/>
  <c r="IR89" i="22"/>
  <c r="IS89" i="22"/>
  <c r="IT89" i="22"/>
  <c r="IU89" i="22"/>
  <c r="IV89" i="22"/>
  <c r="G90" i="22"/>
  <c r="H90" i="22"/>
  <c r="I90" i="22"/>
  <c r="J90" i="22"/>
  <c r="K90" i="22"/>
  <c r="L90" i="22"/>
  <c r="M90" i="22"/>
  <c r="N90" i="22"/>
  <c r="O90" i="22"/>
  <c r="P90" i="22"/>
  <c r="Q90" i="22"/>
  <c r="R90" i="22"/>
  <c r="S90" i="22"/>
  <c r="T90" i="22"/>
  <c r="U90" i="22"/>
  <c r="V90" i="22"/>
  <c r="W90" i="22"/>
  <c r="X90" i="22"/>
  <c r="Y90" i="22"/>
  <c r="Z90" i="22"/>
  <c r="AA90" i="22"/>
  <c r="AB90" i="22"/>
  <c r="AC90" i="22"/>
  <c r="AD90" i="22"/>
  <c r="AE90" i="22"/>
  <c r="AF90" i="22"/>
  <c r="AG90" i="22"/>
  <c r="AH90" i="22"/>
  <c r="AI90" i="22"/>
  <c r="AJ90" i="22"/>
  <c r="AK90" i="22"/>
  <c r="AL90" i="22"/>
  <c r="AM90" i="22"/>
  <c r="AN90" i="22"/>
  <c r="AO90" i="22"/>
  <c r="AP90" i="22"/>
  <c r="AQ90" i="22"/>
  <c r="AR90" i="22"/>
  <c r="AS90" i="22"/>
  <c r="AT90" i="22"/>
  <c r="AU90" i="22"/>
  <c r="AV90" i="22"/>
  <c r="AW90" i="22"/>
  <c r="AX90" i="22"/>
  <c r="AY90" i="22"/>
  <c r="AZ90" i="22"/>
  <c r="BA90" i="22"/>
  <c r="BB90" i="22"/>
  <c r="BC90" i="22"/>
  <c r="BD90" i="22"/>
  <c r="BE90" i="22"/>
  <c r="BF90" i="22"/>
  <c r="BG90" i="22"/>
  <c r="BH90" i="22"/>
  <c r="BI90" i="22"/>
  <c r="BJ90" i="22"/>
  <c r="BK90" i="22"/>
  <c r="BL90" i="22"/>
  <c r="BM90" i="22"/>
  <c r="BN90" i="22"/>
  <c r="BO90" i="22"/>
  <c r="BP90" i="22"/>
  <c r="BQ90" i="22"/>
  <c r="BR90" i="22"/>
  <c r="BS90" i="22"/>
  <c r="BT90" i="22"/>
  <c r="BU90" i="22"/>
  <c r="BV90" i="22"/>
  <c r="BW90" i="22"/>
  <c r="BX90" i="22"/>
  <c r="BY90" i="22"/>
  <c r="BZ90" i="22"/>
  <c r="CA90" i="22"/>
  <c r="CB90" i="22"/>
  <c r="CC90" i="22"/>
  <c r="CD90" i="22"/>
  <c r="CE90" i="22"/>
  <c r="CF90" i="22"/>
  <c r="CG90" i="22"/>
  <c r="CH90" i="22"/>
  <c r="CI90" i="22"/>
  <c r="CJ90" i="22"/>
  <c r="CK90" i="22"/>
  <c r="CL90" i="22"/>
  <c r="CM90" i="22"/>
  <c r="CN90" i="22"/>
  <c r="CO90" i="22"/>
  <c r="CP90" i="22"/>
  <c r="CQ90" i="22"/>
  <c r="CR90" i="22"/>
  <c r="CS90" i="22"/>
  <c r="CT90" i="22"/>
  <c r="CU90" i="22"/>
  <c r="CV90" i="22"/>
  <c r="CW90" i="22"/>
  <c r="CX90" i="22"/>
  <c r="CY90" i="22"/>
  <c r="CZ90" i="22"/>
  <c r="DA90" i="22"/>
  <c r="DB90" i="22"/>
  <c r="DC90" i="22"/>
  <c r="DD90" i="22"/>
  <c r="DE90" i="22"/>
  <c r="DF90" i="22"/>
  <c r="DG90" i="22"/>
  <c r="DH90" i="22"/>
  <c r="DI90" i="22"/>
  <c r="DJ90" i="22"/>
  <c r="DK90" i="22"/>
  <c r="DL90" i="22"/>
  <c r="DM90" i="22"/>
  <c r="DN90" i="22"/>
  <c r="DO90" i="22"/>
  <c r="DP90" i="22"/>
  <c r="DQ90" i="22"/>
  <c r="DR90" i="22"/>
  <c r="DS90" i="22"/>
  <c r="DT90" i="22"/>
  <c r="DU90" i="22"/>
  <c r="DV90" i="22"/>
  <c r="DW90" i="22"/>
  <c r="DX90" i="22"/>
  <c r="DY90" i="22"/>
  <c r="DZ90" i="22"/>
  <c r="EA90" i="22"/>
  <c r="EB90" i="22"/>
  <c r="EC90" i="22"/>
  <c r="ED90" i="22"/>
  <c r="EE90" i="22"/>
  <c r="EF90" i="22"/>
  <c r="EG90" i="22"/>
  <c r="EH90" i="22"/>
  <c r="EI90" i="22"/>
  <c r="EJ90" i="22"/>
  <c r="EK90" i="22"/>
  <c r="EL90" i="22"/>
  <c r="EM90" i="22"/>
  <c r="EN90" i="22"/>
  <c r="EO90" i="22"/>
  <c r="EP90" i="22"/>
  <c r="EQ90" i="22"/>
  <c r="ER90" i="22"/>
  <c r="ES90" i="22"/>
  <c r="ET90" i="22"/>
  <c r="EU90" i="22"/>
  <c r="EV90" i="22"/>
  <c r="EW90" i="22"/>
  <c r="EX90" i="22"/>
  <c r="EY90" i="22"/>
  <c r="EZ90" i="22"/>
  <c r="FA90" i="22"/>
  <c r="FB90" i="22"/>
  <c r="FC90" i="22"/>
  <c r="FD90" i="22"/>
  <c r="FE90" i="22"/>
  <c r="FF90" i="22"/>
  <c r="FG90" i="22"/>
  <c r="FH90" i="22"/>
  <c r="FI90" i="22"/>
  <c r="FJ90" i="22"/>
  <c r="FK90" i="22"/>
  <c r="FL90" i="22"/>
  <c r="FM90" i="22"/>
  <c r="FN90" i="22"/>
  <c r="FO90" i="22"/>
  <c r="FP90" i="22"/>
  <c r="FQ90" i="22"/>
  <c r="FR90" i="22"/>
  <c r="FS90" i="22"/>
  <c r="FT90" i="22"/>
  <c r="FU90" i="22"/>
  <c r="FU146" i="22" s="1"/>
  <c r="FV90" i="22"/>
  <c r="FW90" i="22"/>
  <c r="FX90" i="22"/>
  <c r="FY90" i="22"/>
  <c r="FZ90" i="22"/>
  <c r="GA90" i="22"/>
  <c r="GB90" i="22"/>
  <c r="GC90" i="22"/>
  <c r="GC146" i="22" s="1"/>
  <c r="GD90" i="22"/>
  <c r="GE90" i="22"/>
  <c r="GF90" i="22"/>
  <c r="GG90" i="22"/>
  <c r="GH90" i="22"/>
  <c r="GI90" i="22"/>
  <c r="GJ90" i="22"/>
  <c r="GK90" i="22"/>
  <c r="GL90" i="22"/>
  <c r="GM90" i="22"/>
  <c r="GN90" i="22"/>
  <c r="GO90" i="22"/>
  <c r="GP90" i="22"/>
  <c r="GQ90" i="22"/>
  <c r="GR90" i="22"/>
  <c r="GS90" i="22"/>
  <c r="GT90" i="22"/>
  <c r="GU90" i="22"/>
  <c r="GV90" i="22"/>
  <c r="GW90" i="22"/>
  <c r="GX90" i="22"/>
  <c r="GY90" i="22"/>
  <c r="GZ90" i="22"/>
  <c r="HA90" i="22"/>
  <c r="HB90" i="22"/>
  <c r="HC90" i="22"/>
  <c r="HD90" i="22"/>
  <c r="HE90" i="22"/>
  <c r="HF90" i="22"/>
  <c r="HG90" i="22"/>
  <c r="HH90" i="22"/>
  <c r="HI90" i="22"/>
  <c r="HJ90" i="22"/>
  <c r="HK90" i="22"/>
  <c r="HL90" i="22"/>
  <c r="HM90" i="22"/>
  <c r="HN90" i="22"/>
  <c r="HO90" i="22"/>
  <c r="HP90" i="22"/>
  <c r="HQ90" i="22"/>
  <c r="HR90" i="22"/>
  <c r="HS90" i="22"/>
  <c r="HT90" i="22"/>
  <c r="HU90" i="22"/>
  <c r="HV90" i="22"/>
  <c r="HW90" i="22"/>
  <c r="HX90" i="22"/>
  <c r="HY90" i="22"/>
  <c r="HZ90" i="22"/>
  <c r="IA90" i="22"/>
  <c r="IB90" i="22"/>
  <c r="IC90" i="22"/>
  <c r="ID90" i="22"/>
  <c r="IE90" i="22"/>
  <c r="IF90" i="22"/>
  <c r="IG90" i="22"/>
  <c r="IH90" i="22"/>
  <c r="II90" i="22"/>
  <c r="IJ90" i="22"/>
  <c r="IK90" i="22"/>
  <c r="IL90" i="22"/>
  <c r="IM90" i="22"/>
  <c r="IN90" i="22"/>
  <c r="IO90" i="22"/>
  <c r="IP90" i="22"/>
  <c r="IQ90" i="22"/>
  <c r="IR90" i="22"/>
  <c r="IS90" i="22"/>
  <c r="IT90" i="22"/>
  <c r="IU90" i="22"/>
  <c r="IV90" i="22"/>
  <c r="G91" i="22"/>
  <c r="H91" i="22"/>
  <c r="I91" i="22"/>
  <c r="J91" i="22"/>
  <c r="K91" i="22"/>
  <c r="L91" i="22"/>
  <c r="M91" i="22"/>
  <c r="N91" i="22"/>
  <c r="O91" i="22"/>
  <c r="P91" i="22"/>
  <c r="Q91" i="22"/>
  <c r="R91" i="22"/>
  <c r="S91" i="22"/>
  <c r="T91" i="22"/>
  <c r="U91" i="22"/>
  <c r="V91" i="22"/>
  <c r="W91" i="22"/>
  <c r="X91" i="22"/>
  <c r="Y91" i="22"/>
  <c r="Z91" i="22"/>
  <c r="AA91" i="22"/>
  <c r="AB91" i="22"/>
  <c r="AC91" i="22"/>
  <c r="AD91" i="22"/>
  <c r="AE91" i="22"/>
  <c r="AF91" i="22"/>
  <c r="AG91" i="22"/>
  <c r="AH91" i="22"/>
  <c r="AI91" i="22"/>
  <c r="AJ91" i="22"/>
  <c r="AK91" i="22"/>
  <c r="AL91" i="22"/>
  <c r="AM91" i="22"/>
  <c r="AN91" i="22"/>
  <c r="AO91" i="22"/>
  <c r="AP91" i="22"/>
  <c r="AQ91" i="22"/>
  <c r="AR91" i="22"/>
  <c r="AS91" i="22"/>
  <c r="AT91" i="22"/>
  <c r="AU91" i="22"/>
  <c r="AV91" i="22"/>
  <c r="AW91" i="22"/>
  <c r="AX91" i="22"/>
  <c r="AY91" i="22"/>
  <c r="AZ91" i="22"/>
  <c r="BA91" i="22"/>
  <c r="BB91" i="22"/>
  <c r="BC91" i="22"/>
  <c r="BD91" i="22"/>
  <c r="BE91" i="22"/>
  <c r="BF91" i="22"/>
  <c r="BG91" i="22"/>
  <c r="BH91" i="22"/>
  <c r="BI91" i="22"/>
  <c r="BJ91" i="22"/>
  <c r="BK91" i="22"/>
  <c r="BL91" i="22"/>
  <c r="BM91" i="22"/>
  <c r="BN91" i="22"/>
  <c r="BO91" i="22"/>
  <c r="BP91" i="22"/>
  <c r="BQ91" i="22"/>
  <c r="BR91" i="22"/>
  <c r="BS91" i="22"/>
  <c r="BT91" i="22"/>
  <c r="BU91" i="22"/>
  <c r="BV91" i="22"/>
  <c r="BW91" i="22"/>
  <c r="BX91" i="22"/>
  <c r="BY91" i="22"/>
  <c r="BZ91" i="22"/>
  <c r="CA91" i="22"/>
  <c r="CB91" i="22"/>
  <c r="CC91" i="22"/>
  <c r="CD91" i="22"/>
  <c r="CE91" i="22"/>
  <c r="CF91" i="22"/>
  <c r="CG91" i="22"/>
  <c r="CH91" i="22"/>
  <c r="CI91" i="22"/>
  <c r="CJ91" i="22"/>
  <c r="CK91" i="22"/>
  <c r="CL91" i="22"/>
  <c r="CM91" i="22"/>
  <c r="CN91" i="22"/>
  <c r="CO91" i="22"/>
  <c r="CP91" i="22"/>
  <c r="CQ91" i="22"/>
  <c r="CR91" i="22"/>
  <c r="CS91" i="22"/>
  <c r="CT91" i="22"/>
  <c r="CU91" i="22"/>
  <c r="CV91" i="22"/>
  <c r="CW91" i="22"/>
  <c r="CX91" i="22"/>
  <c r="CY91" i="22"/>
  <c r="CZ91" i="22"/>
  <c r="DA91" i="22"/>
  <c r="DB91" i="22"/>
  <c r="DC91" i="22"/>
  <c r="DD91" i="22"/>
  <c r="DE91" i="22"/>
  <c r="DF91" i="22"/>
  <c r="DG91" i="22"/>
  <c r="DH91" i="22"/>
  <c r="DI91" i="22"/>
  <c r="DJ91" i="22"/>
  <c r="DK91" i="22"/>
  <c r="DL91" i="22"/>
  <c r="DM91" i="22"/>
  <c r="DN91" i="22"/>
  <c r="DO91" i="22"/>
  <c r="DP91" i="22"/>
  <c r="DQ91" i="22"/>
  <c r="DR91" i="22"/>
  <c r="DS91" i="22"/>
  <c r="DT91" i="22"/>
  <c r="DU91" i="22"/>
  <c r="DV91" i="22"/>
  <c r="DW91" i="22"/>
  <c r="DX91" i="22"/>
  <c r="DY91" i="22"/>
  <c r="DZ91" i="22"/>
  <c r="EA91" i="22"/>
  <c r="EB91" i="22"/>
  <c r="EC91" i="22"/>
  <c r="ED91" i="22"/>
  <c r="EE91" i="22"/>
  <c r="EF91" i="22"/>
  <c r="EG91" i="22"/>
  <c r="EH91" i="22"/>
  <c r="EI91" i="22"/>
  <c r="EJ91" i="22"/>
  <c r="EK91" i="22"/>
  <c r="EL91" i="22"/>
  <c r="EM91" i="22"/>
  <c r="EN91" i="22"/>
  <c r="EO91" i="22"/>
  <c r="EP91" i="22"/>
  <c r="EQ91" i="22"/>
  <c r="ER91" i="22"/>
  <c r="ES91" i="22"/>
  <c r="ET91" i="22"/>
  <c r="EU91" i="22"/>
  <c r="EV91" i="22"/>
  <c r="EW91" i="22"/>
  <c r="EX91" i="22"/>
  <c r="EY91" i="22"/>
  <c r="EZ91" i="22"/>
  <c r="FA91" i="22"/>
  <c r="FB91" i="22"/>
  <c r="FC91" i="22"/>
  <c r="FD91" i="22"/>
  <c r="FE91" i="22"/>
  <c r="FF91" i="22"/>
  <c r="FG91" i="22"/>
  <c r="FH91" i="22"/>
  <c r="FI91" i="22"/>
  <c r="FJ91" i="22"/>
  <c r="FK91" i="22"/>
  <c r="FL91" i="22"/>
  <c r="FM91" i="22"/>
  <c r="FN91" i="22"/>
  <c r="FO91" i="22"/>
  <c r="FP91" i="22"/>
  <c r="FQ91" i="22"/>
  <c r="FR91" i="22"/>
  <c r="FS91" i="22"/>
  <c r="FT91" i="22"/>
  <c r="FU91" i="22"/>
  <c r="FV91" i="22"/>
  <c r="FW91" i="22"/>
  <c r="FX91" i="22"/>
  <c r="FY91" i="22"/>
  <c r="FZ91" i="22"/>
  <c r="GA91" i="22"/>
  <c r="GB91" i="22"/>
  <c r="GC91" i="22"/>
  <c r="GD91" i="22"/>
  <c r="GE91" i="22"/>
  <c r="GF91" i="22"/>
  <c r="GG91" i="22"/>
  <c r="GH91" i="22"/>
  <c r="GI91" i="22"/>
  <c r="GJ91" i="22"/>
  <c r="GK91" i="22"/>
  <c r="GL91" i="22"/>
  <c r="GM91" i="22"/>
  <c r="GN91" i="22"/>
  <c r="GO91" i="22"/>
  <c r="GP91" i="22"/>
  <c r="GQ91" i="22"/>
  <c r="GR91" i="22"/>
  <c r="GS91" i="22"/>
  <c r="GT91" i="22"/>
  <c r="GU91" i="22"/>
  <c r="GV91" i="22"/>
  <c r="GW91" i="22"/>
  <c r="GX91" i="22"/>
  <c r="GY91" i="22"/>
  <c r="GZ91" i="22"/>
  <c r="HA91" i="22"/>
  <c r="HB91" i="22"/>
  <c r="HC91" i="22"/>
  <c r="HD91" i="22"/>
  <c r="HE91" i="22"/>
  <c r="HF91" i="22"/>
  <c r="HG91" i="22"/>
  <c r="HH91" i="22"/>
  <c r="HI91" i="22"/>
  <c r="HJ91" i="22"/>
  <c r="HK91" i="22"/>
  <c r="HL91" i="22"/>
  <c r="HM91" i="22"/>
  <c r="HN91" i="22"/>
  <c r="HO91" i="22"/>
  <c r="HP91" i="22"/>
  <c r="HQ91" i="22"/>
  <c r="HR91" i="22"/>
  <c r="HS91" i="22"/>
  <c r="HT91" i="22"/>
  <c r="HU91" i="22"/>
  <c r="HV91" i="22"/>
  <c r="HW91" i="22"/>
  <c r="HX91" i="22"/>
  <c r="HY91" i="22"/>
  <c r="HZ91" i="22"/>
  <c r="IA91" i="22"/>
  <c r="IB91" i="22"/>
  <c r="IC91" i="22"/>
  <c r="ID91" i="22"/>
  <c r="IE91" i="22"/>
  <c r="IF91" i="22"/>
  <c r="IG91" i="22"/>
  <c r="IH91" i="22"/>
  <c r="II91" i="22"/>
  <c r="IJ91" i="22"/>
  <c r="IK91" i="22"/>
  <c r="IL91" i="22"/>
  <c r="IM91" i="22"/>
  <c r="IN91" i="22"/>
  <c r="IO91" i="22"/>
  <c r="IP91" i="22"/>
  <c r="IQ91" i="22"/>
  <c r="IR91" i="22"/>
  <c r="IS91" i="22"/>
  <c r="IT91" i="22"/>
  <c r="IU91" i="22"/>
  <c r="IV91" i="22"/>
  <c r="G92" i="22"/>
  <c r="H92" i="22"/>
  <c r="I92" i="22"/>
  <c r="J92" i="22"/>
  <c r="K92" i="22"/>
  <c r="L92" i="22"/>
  <c r="M92" i="22"/>
  <c r="N92" i="22"/>
  <c r="O92" i="22"/>
  <c r="P92" i="22"/>
  <c r="Q92" i="22"/>
  <c r="R92" i="22"/>
  <c r="S92" i="22"/>
  <c r="T92" i="22"/>
  <c r="U92" i="22"/>
  <c r="V92" i="22"/>
  <c r="W92" i="22"/>
  <c r="X92" i="22"/>
  <c r="Y92" i="22"/>
  <c r="Z92" i="22"/>
  <c r="AA92" i="22"/>
  <c r="AB92" i="22"/>
  <c r="AC92" i="22"/>
  <c r="AD92" i="22"/>
  <c r="AE92" i="22"/>
  <c r="AF92" i="22"/>
  <c r="AG92" i="22"/>
  <c r="AH92" i="22"/>
  <c r="AI92" i="22"/>
  <c r="AJ92" i="22"/>
  <c r="AK92" i="22"/>
  <c r="AL92" i="22"/>
  <c r="AM92" i="22"/>
  <c r="AN92" i="22"/>
  <c r="AO92" i="22"/>
  <c r="AP92" i="22"/>
  <c r="AQ92" i="22"/>
  <c r="AR92" i="22"/>
  <c r="AS92" i="22"/>
  <c r="AT92" i="22"/>
  <c r="AU92" i="22"/>
  <c r="AV92" i="22"/>
  <c r="AW92" i="22"/>
  <c r="AX92" i="22"/>
  <c r="AY92" i="22"/>
  <c r="AZ92" i="22"/>
  <c r="BA92" i="22"/>
  <c r="BB92" i="22"/>
  <c r="BC92" i="22"/>
  <c r="BD92" i="22"/>
  <c r="BE92" i="22"/>
  <c r="BF92" i="22"/>
  <c r="BG92" i="22"/>
  <c r="BH92" i="22"/>
  <c r="BI92" i="22"/>
  <c r="BJ92" i="22"/>
  <c r="BK92" i="22"/>
  <c r="BL92" i="22"/>
  <c r="BM92" i="22"/>
  <c r="BN92" i="22"/>
  <c r="BO92" i="22"/>
  <c r="BP92" i="22"/>
  <c r="BQ92" i="22"/>
  <c r="BR92" i="22"/>
  <c r="BS92" i="22"/>
  <c r="BT92" i="22"/>
  <c r="BU92" i="22"/>
  <c r="BV92" i="22"/>
  <c r="BW92" i="22"/>
  <c r="BX92" i="22"/>
  <c r="BY92" i="22"/>
  <c r="BZ92" i="22"/>
  <c r="CA92" i="22"/>
  <c r="CB92" i="22"/>
  <c r="CC92" i="22"/>
  <c r="CD92" i="22"/>
  <c r="CE92" i="22"/>
  <c r="CF92" i="22"/>
  <c r="CG92" i="22"/>
  <c r="CH92" i="22"/>
  <c r="CI92" i="22"/>
  <c r="CJ92" i="22"/>
  <c r="CK92" i="22"/>
  <c r="CL92" i="22"/>
  <c r="CM92" i="22"/>
  <c r="CN92" i="22"/>
  <c r="CO92" i="22"/>
  <c r="CP92" i="22"/>
  <c r="CQ92" i="22"/>
  <c r="CR92" i="22"/>
  <c r="CS92" i="22"/>
  <c r="CT92" i="22"/>
  <c r="CU92" i="22"/>
  <c r="CV92" i="22"/>
  <c r="CW92" i="22"/>
  <c r="CX92" i="22"/>
  <c r="CY92" i="22"/>
  <c r="CZ92" i="22"/>
  <c r="DA92" i="22"/>
  <c r="DB92" i="22"/>
  <c r="DC92" i="22"/>
  <c r="DD92" i="22"/>
  <c r="DE92" i="22"/>
  <c r="DF92" i="22"/>
  <c r="DG92" i="22"/>
  <c r="DH92" i="22"/>
  <c r="DI92" i="22"/>
  <c r="DJ92" i="22"/>
  <c r="DK92" i="22"/>
  <c r="DL92" i="22"/>
  <c r="DM92" i="22"/>
  <c r="DN92" i="22"/>
  <c r="DO92" i="22"/>
  <c r="DP92" i="22"/>
  <c r="DQ92" i="22"/>
  <c r="DR92" i="22"/>
  <c r="DS92" i="22"/>
  <c r="DT92" i="22"/>
  <c r="DU92" i="22"/>
  <c r="DV92" i="22"/>
  <c r="DW92" i="22"/>
  <c r="DX92" i="22"/>
  <c r="DY92" i="22"/>
  <c r="DZ92" i="22"/>
  <c r="EA92" i="22"/>
  <c r="EB92" i="22"/>
  <c r="EC92" i="22"/>
  <c r="ED92" i="22"/>
  <c r="EE92" i="22"/>
  <c r="EF92" i="22"/>
  <c r="EG92" i="22"/>
  <c r="EH92" i="22"/>
  <c r="EI92" i="22"/>
  <c r="EJ92" i="22"/>
  <c r="EK92" i="22"/>
  <c r="EL92" i="22"/>
  <c r="EM92" i="22"/>
  <c r="EN92" i="22"/>
  <c r="EO92" i="22"/>
  <c r="EP92" i="22"/>
  <c r="EQ92" i="22"/>
  <c r="ER92" i="22"/>
  <c r="ES92" i="22"/>
  <c r="ET92" i="22"/>
  <c r="EU92" i="22"/>
  <c r="EV92" i="22"/>
  <c r="EW92" i="22"/>
  <c r="EX92" i="22"/>
  <c r="EY92" i="22"/>
  <c r="EZ92" i="22"/>
  <c r="FA92" i="22"/>
  <c r="FB92" i="22"/>
  <c r="FC92" i="22"/>
  <c r="FD92" i="22"/>
  <c r="FE92" i="22"/>
  <c r="FF92" i="22"/>
  <c r="FG92" i="22"/>
  <c r="FH92" i="22"/>
  <c r="FI92" i="22"/>
  <c r="FJ92" i="22"/>
  <c r="FK92" i="22"/>
  <c r="FL92" i="22"/>
  <c r="FM92" i="22"/>
  <c r="FN92" i="22"/>
  <c r="FO92" i="22"/>
  <c r="FP92" i="22"/>
  <c r="FQ92" i="22"/>
  <c r="FR92" i="22"/>
  <c r="FS92" i="22"/>
  <c r="FT92" i="22"/>
  <c r="FU92" i="22"/>
  <c r="FV92" i="22"/>
  <c r="FW92" i="22"/>
  <c r="FX92" i="22"/>
  <c r="FY92" i="22"/>
  <c r="FZ92" i="22"/>
  <c r="GA92" i="22"/>
  <c r="GB92" i="22"/>
  <c r="GC92" i="22"/>
  <c r="GD92" i="22"/>
  <c r="GE92" i="22"/>
  <c r="GF92" i="22"/>
  <c r="GG92" i="22"/>
  <c r="GH92" i="22"/>
  <c r="GI92" i="22"/>
  <c r="GJ92" i="22"/>
  <c r="GK92" i="22"/>
  <c r="GL92" i="22"/>
  <c r="GM92" i="22"/>
  <c r="GN92" i="22"/>
  <c r="GO92" i="22"/>
  <c r="GP92" i="22"/>
  <c r="GQ92" i="22"/>
  <c r="GR92" i="22"/>
  <c r="GS92" i="22"/>
  <c r="GT92" i="22"/>
  <c r="GU92" i="22"/>
  <c r="GV92" i="22"/>
  <c r="GW92" i="22"/>
  <c r="GX92" i="22"/>
  <c r="GY92" i="22"/>
  <c r="GZ92" i="22"/>
  <c r="HA92" i="22"/>
  <c r="HB92" i="22"/>
  <c r="HC92" i="22"/>
  <c r="HD92" i="22"/>
  <c r="HE92" i="22"/>
  <c r="HF92" i="22"/>
  <c r="HG92" i="22"/>
  <c r="HH92" i="22"/>
  <c r="HI92" i="22"/>
  <c r="HJ92" i="22"/>
  <c r="HK92" i="22"/>
  <c r="HL92" i="22"/>
  <c r="HM92" i="22"/>
  <c r="HN92" i="22"/>
  <c r="HO92" i="22"/>
  <c r="HP92" i="22"/>
  <c r="HQ92" i="22"/>
  <c r="HR92" i="22"/>
  <c r="HS92" i="22"/>
  <c r="HT92" i="22"/>
  <c r="HU92" i="22"/>
  <c r="HV92" i="22"/>
  <c r="HW92" i="22"/>
  <c r="HX92" i="22"/>
  <c r="HY92" i="22"/>
  <c r="HZ92" i="22"/>
  <c r="IA92" i="22"/>
  <c r="IB92" i="22"/>
  <c r="IC92" i="22"/>
  <c r="ID92" i="22"/>
  <c r="IE92" i="22"/>
  <c r="IF92" i="22"/>
  <c r="IG92" i="22"/>
  <c r="IH92" i="22"/>
  <c r="II92" i="22"/>
  <c r="IJ92" i="22"/>
  <c r="IK92" i="22"/>
  <c r="IL92" i="22"/>
  <c r="IM92" i="22"/>
  <c r="IN92" i="22"/>
  <c r="IO92" i="22"/>
  <c r="IP92" i="22"/>
  <c r="IQ92" i="22"/>
  <c r="IR92" i="22"/>
  <c r="IS92" i="22"/>
  <c r="IT92" i="22"/>
  <c r="IU92" i="22"/>
  <c r="IV92" i="22"/>
  <c r="G93" i="22"/>
  <c r="H93" i="22"/>
  <c r="I93" i="22"/>
  <c r="J93" i="22"/>
  <c r="K93" i="22"/>
  <c r="L93" i="22"/>
  <c r="M93" i="22"/>
  <c r="N93" i="22"/>
  <c r="O93" i="22"/>
  <c r="P93" i="22"/>
  <c r="Q93" i="22"/>
  <c r="R93" i="22"/>
  <c r="S93" i="22"/>
  <c r="T93" i="22"/>
  <c r="U93" i="22"/>
  <c r="V93" i="22"/>
  <c r="W93" i="22"/>
  <c r="X93" i="22"/>
  <c r="Y93" i="22"/>
  <c r="Z93" i="22"/>
  <c r="AA93" i="22"/>
  <c r="AB93" i="22"/>
  <c r="AC93" i="22"/>
  <c r="AD93" i="22"/>
  <c r="AE93" i="22"/>
  <c r="AF93" i="22"/>
  <c r="AG93" i="22"/>
  <c r="AH93" i="22"/>
  <c r="AI93" i="22"/>
  <c r="AJ93" i="22"/>
  <c r="AK93" i="22"/>
  <c r="AL93" i="22"/>
  <c r="AM93" i="22"/>
  <c r="AN93" i="22"/>
  <c r="AO93" i="22"/>
  <c r="AP93" i="22"/>
  <c r="AQ93" i="22"/>
  <c r="AR93" i="22"/>
  <c r="AS93" i="22"/>
  <c r="AT93" i="22"/>
  <c r="AU93" i="22"/>
  <c r="AV93" i="22"/>
  <c r="AW93" i="22"/>
  <c r="AX93" i="22"/>
  <c r="AY93" i="22"/>
  <c r="AZ93" i="22"/>
  <c r="BA93" i="22"/>
  <c r="BB93" i="22"/>
  <c r="BC93" i="22"/>
  <c r="BD93" i="22"/>
  <c r="BE93" i="22"/>
  <c r="BF93" i="22"/>
  <c r="BG93" i="22"/>
  <c r="BH93" i="22"/>
  <c r="BI93" i="22"/>
  <c r="BJ93" i="22"/>
  <c r="BK93" i="22"/>
  <c r="BL93" i="22"/>
  <c r="BM93" i="22"/>
  <c r="BN93" i="22"/>
  <c r="BO93" i="22"/>
  <c r="BP93" i="22"/>
  <c r="BQ93" i="22"/>
  <c r="BR93" i="22"/>
  <c r="BS93" i="22"/>
  <c r="BT93" i="22"/>
  <c r="BU93" i="22"/>
  <c r="BV93" i="22"/>
  <c r="BW93" i="22"/>
  <c r="BX93" i="22"/>
  <c r="BY93" i="22"/>
  <c r="BZ93" i="22"/>
  <c r="CA93" i="22"/>
  <c r="CB93" i="22"/>
  <c r="CC93" i="22"/>
  <c r="CD93" i="22"/>
  <c r="CE93" i="22"/>
  <c r="CF93" i="22"/>
  <c r="CG93" i="22"/>
  <c r="CH93" i="22"/>
  <c r="CI93" i="22"/>
  <c r="CJ93" i="22"/>
  <c r="CK93" i="22"/>
  <c r="CL93" i="22"/>
  <c r="CM93" i="22"/>
  <c r="CN93" i="22"/>
  <c r="CO93" i="22"/>
  <c r="CP93" i="22"/>
  <c r="CQ93" i="22"/>
  <c r="CR93" i="22"/>
  <c r="CS93" i="22"/>
  <c r="CT93" i="22"/>
  <c r="CU93" i="22"/>
  <c r="CV93" i="22"/>
  <c r="CW93" i="22"/>
  <c r="CX93" i="22"/>
  <c r="CY93" i="22"/>
  <c r="CZ93" i="22"/>
  <c r="DA93" i="22"/>
  <c r="DB93" i="22"/>
  <c r="DC93" i="22"/>
  <c r="DD93" i="22"/>
  <c r="DE93" i="22"/>
  <c r="DF93" i="22"/>
  <c r="DG93" i="22"/>
  <c r="DH93" i="22"/>
  <c r="DI93" i="22"/>
  <c r="DJ93" i="22"/>
  <c r="DK93" i="22"/>
  <c r="DL93" i="22"/>
  <c r="DM93" i="22"/>
  <c r="DN93" i="22"/>
  <c r="DO93" i="22"/>
  <c r="DP93" i="22"/>
  <c r="DQ93" i="22"/>
  <c r="DR93" i="22"/>
  <c r="DS93" i="22"/>
  <c r="DT93" i="22"/>
  <c r="DU93" i="22"/>
  <c r="DV93" i="22"/>
  <c r="DW93" i="22"/>
  <c r="DX93" i="22"/>
  <c r="DY93" i="22"/>
  <c r="DZ93" i="22"/>
  <c r="EA93" i="22"/>
  <c r="EB93" i="22"/>
  <c r="EC93" i="22"/>
  <c r="ED93" i="22"/>
  <c r="EE93" i="22"/>
  <c r="EF93" i="22"/>
  <c r="EG93" i="22"/>
  <c r="EH93" i="22"/>
  <c r="EI93" i="22"/>
  <c r="EJ93" i="22"/>
  <c r="EK93" i="22"/>
  <c r="EL93" i="22"/>
  <c r="EM93" i="22"/>
  <c r="EN93" i="22"/>
  <c r="EO93" i="22"/>
  <c r="EP93" i="22"/>
  <c r="EQ93" i="22"/>
  <c r="ER93" i="22"/>
  <c r="ES93" i="22"/>
  <c r="ET93" i="22"/>
  <c r="EU93" i="22"/>
  <c r="EV93" i="22"/>
  <c r="EW93" i="22"/>
  <c r="EX93" i="22"/>
  <c r="EY93" i="22"/>
  <c r="EZ93" i="22"/>
  <c r="FA93" i="22"/>
  <c r="FB93" i="22"/>
  <c r="FC93" i="22"/>
  <c r="FD93" i="22"/>
  <c r="FE93" i="22"/>
  <c r="FF93" i="22"/>
  <c r="FG93" i="22"/>
  <c r="FH93" i="22"/>
  <c r="FI93" i="22"/>
  <c r="FJ93" i="22"/>
  <c r="FK93" i="22"/>
  <c r="FL93" i="22"/>
  <c r="FM93" i="22"/>
  <c r="FN93" i="22"/>
  <c r="FO93" i="22"/>
  <c r="FP93" i="22"/>
  <c r="FQ93" i="22"/>
  <c r="FR93" i="22"/>
  <c r="FS93" i="22"/>
  <c r="FT93" i="22"/>
  <c r="FU93" i="22"/>
  <c r="FV93" i="22"/>
  <c r="FW93" i="22"/>
  <c r="FX93" i="22"/>
  <c r="FY93" i="22"/>
  <c r="FZ93" i="22"/>
  <c r="GA93" i="22"/>
  <c r="GB93" i="22"/>
  <c r="GC93" i="22"/>
  <c r="GD93" i="22"/>
  <c r="GE93" i="22"/>
  <c r="GF93" i="22"/>
  <c r="GG93" i="22"/>
  <c r="GH93" i="22"/>
  <c r="GI93" i="22"/>
  <c r="GJ93" i="22"/>
  <c r="GK93" i="22"/>
  <c r="GL93" i="22"/>
  <c r="GM93" i="22"/>
  <c r="GN93" i="22"/>
  <c r="GO93" i="22"/>
  <c r="GP93" i="22"/>
  <c r="GQ93" i="22"/>
  <c r="GR93" i="22"/>
  <c r="GS93" i="22"/>
  <c r="GT93" i="22"/>
  <c r="GU93" i="22"/>
  <c r="GV93" i="22"/>
  <c r="GW93" i="22"/>
  <c r="GX93" i="22"/>
  <c r="GY93" i="22"/>
  <c r="GZ93" i="22"/>
  <c r="HA93" i="22"/>
  <c r="HB93" i="22"/>
  <c r="HC93" i="22"/>
  <c r="HD93" i="22"/>
  <c r="HE93" i="22"/>
  <c r="HF93" i="22"/>
  <c r="HG93" i="22"/>
  <c r="HH93" i="22"/>
  <c r="HI93" i="22"/>
  <c r="HJ93" i="22"/>
  <c r="HK93" i="22"/>
  <c r="HL93" i="22"/>
  <c r="HM93" i="22"/>
  <c r="HN93" i="22"/>
  <c r="HO93" i="22"/>
  <c r="HP93" i="22"/>
  <c r="HQ93" i="22"/>
  <c r="HR93" i="22"/>
  <c r="HS93" i="22"/>
  <c r="HT93" i="22"/>
  <c r="HU93" i="22"/>
  <c r="HV93" i="22"/>
  <c r="HW93" i="22"/>
  <c r="HX93" i="22"/>
  <c r="HY93" i="22"/>
  <c r="HZ93" i="22"/>
  <c r="IA93" i="22"/>
  <c r="IB93" i="22"/>
  <c r="IC93" i="22"/>
  <c r="ID93" i="22"/>
  <c r="IE93" i="22"/>
  <c r="IF93" i="22"/>
  <c r="IG93" i="22"/>
  <c r="IH93" i="22"/>
  <c r="II93" i="22"/>
  <c r="IJ93" i="22"/>
  <c r="IK93" i="22"/>
  <c r="IL93" i="22"/>
  <c r="IM93" i="22"/>
  <c r="IN93" i="22"/>
  <c r="IO93" i="22"/>
  <c r="IP93" i="22"/>
  <c r="IQ93" i="22"/>
  <c r="IR93" i="22"/>
  <c r="IS93" i="22"/>
  <c r="IT93" i="22"/>
  <c r="IU93" i="22"/>
  <c r="IV93" i="22"/>
  <c r="G94" i="22"/>
  <c r="H94" i="22"/>
  <c r="I94" i="22"/>
  <c r="J94" i="22"/>
  <c r="K94" i="22"/>
  <c r="L94" i="22"/>
  <c r="M94" i="22"/>
  <c r="N94" i="22"/>
  <c r="O94" i="22"/>
  <c r="P94" i="22"/>
  <c r="Q94" i="22"/>
  <c r="R94" i="22"/>
  <c r="S94" i="22"/>
  <c r="T94" i="22"/>
  <c r="U94" i="22"/>
  <c r="V94" i="22"/>
  <c r="W94" i="22"/>
  <c r="X94" i="22"/>
  <c r="Y94" i="22"/>
  <c r="Z94" i="22"/>
  <c r="AA94" i="22"/>
  <c r="AB94" i="22"/>
  <c r="AC94" i="22"/>
  <c r="AD94" i="22"/>
  <c r="AE94" i="22"/>
  <c r="AF94" i="22"/>
  <c r="AG94" i="22"/>
  <c r="AH94" i="22"/>
  <c r="AI94" i="22"/>
  <c r="AJ94" i="22"/>
  <c r="AK94" i="22"/>
  <c r="AL94" i="22"/>
  <c r="AM94" i="22"/>
  <c r="AN94" i="22"/>
  <c r="AO94" i="22"/>
  <c r="AP94" i="22"/>
  <c r="AQ94" i="22"/>
  <c r="AR94" i="22"/>
  <c r="AS94" i="22"/>
  <c r="AT94" i="22"/>
  <c r="AU94" i="22"/>
  <c r="AV94" i="22"/>
  <c r="AW94" i="22"/>
  <c r="AX94" i="22"/>
  <c r="AY94" i="22"/>
  <c r="AZ94" i="22"/>
  <c r="BA94" i="22"/>
  <c r="BB94" i="22"/>
  <c r="BC94" i="22"/>
  <c r="BD94" i="22"/>
  <c r="BE94" i="22"/>
  <c r="BF94" i="22"/>
  <c r="BG94" i="22"/>
  <c r="BH94" i="22"/>
  <c r="BI94" i="22"/>
  <c r="BJ94" i="22"/>
  <c r="BK94" i="22"/>
  <c r="BL94" i="22"/>
  <c r="BM94" i="22"/>
  <c r="BN94" i="22"/>
  <c r="BO94" i="22"/>
  <c r="BP94" i="22"/>
  <c r="BQ94" i="22"/>
  <c r="BR94" i="22"/>
  <c r="BS94" i="22"/>
  <c r="BT94" i="22"/>
  <c r="BU94" i="22"/>
  <c r="BV94" i="22"/>
  <c r="BW94" i="22"/>
  <c r="BX94" i="22"/>
  <c r="BY94" i="22"/>
  <c r="BZ94" i="22"/>
  <c r="CA94" i="22"/>
  <c r="CB94" i="22"/>
  <c r="CC94" i="22"/>
  <c r="CD94" i="22"/>
  <c r="CE94" i="22"/>
  <c r="CF94" i="22"/>
  <c r="CG94" i="22"/>
  <c r="CH94" i="22"/>
  <c r="CI94" i="22"/>
  <c r="CJ94" i="22"/>
  <c r="CK94" i="22"/>
  <c r="CL94" i="22"/>
  <c r="CM94" i="22"/>
  <c r="CN94" i="22"/>
  <c r="CO94" i="22"/>
  <c r="CP94" i="22"/>
  <c r="CQ94" i="22"/>
  <c r="CR94" i="22"/>
  <c r="CS94" i="22"/>
  <c r="CT94" i="22"/>
  <c r="CU94" i="22"/>
  <c r="CV94" i="22"/>
  <c r="CW94" i="22"/>
  <c r="CX94" i="22"/>
  <c r="CY94" i="22"/>
  <c r="CZ94" i="22"/>
  <c r="DA94" i="22"/>
  <c r="DB94" i="22"/>
  <c r="DC94" i="22"/>
  <c r="DD94" i="22"/>
  <c r="DE94" i="22"/>
  <c r="DF94" i="22"/>
  <c r="DG94" i="22"/>
  <c r="DH94" i="22"/>
  <c r="DI94" i="22"/>
  <c r="DJ94" i="22"/>
  <c r="DK94" i="22"/>
  <c r="DL94" i="22"/>
  <c r="DM94" i="22"/>
  <c r="DN94" i="22"/>
  <c r="DO94" i="22"/>
  <c r="DP94" i="22"/>
  <c r="DQ94" i="22"/>
  <c r="DR94" i="22"/>
  <c r="DS94" i="22"/>
  <c r="DT94" i="22"/>
  <c r="DU94" i="22"/>
  <c r="DV94" i="22"/>
  <c r="DW94" i="22"/>
  <c r="DX94" i="22"/>
  <c r="DY94" i="22"/>
  <c r="DZ94" i="22"/>
  <c r="EA94" i="22"/>
  <c r="EB94" i="22"/>
  <c r="EC94" i="22"/>
  <c r="ED94" i="22"/>
  <c r="EE94" i="22"/>
  <c r="EF94" i="22"/>
  <c r="EG94" i="22"/>
  <c r="EH94" i="22"/>
  <c r="EI94" i="22"/>
  <c r="EJ94" i="22"/>
  <c r="EK94" i="22"/>
  <c r="EL94" i="22"/>
  <c r="EM94" i="22"/>
  <c r="EN94" i="22"/>
  <c r="EO94" i="22"/>
  <c r="EP94" i="22"/>
  <c r="EQ94" i="22"/>
  <c r="ER94" i="22"/>
  <c r="ES94" i="22"/>
  <c r="ET94" i="22"/>
  <c r="EU94" i="22"/>
  <c r="EV94" i="22"/>
  <c r="EW94" i="22"/>
  <c r="EW146" i="22" s="1"/>
  <c r="EX94" i="22"/>
  <c r="EY94" i="22"/>
  <c r="EZ94" i="22"/>
  <c r="FA94" i="22"/>
  <c r="FB94" i="22"/>
  <c r="FC94" i="22"/>
  <c r="FD94" i="22"/>
  <c r="FE94" i="22"/>
  <c r="FE146" i="22" s="1"/>
  <c r="FF94" i="22"/>
  <c r="FG94" i="22"/>
  <c r="FH94" i="22"/>
  <c r="FI94" i="22"/>
  <c r="FJ94" i="22"/>
  <c r="FK94" i="22"/>
  <c r="FL94" i="22"/>
  <c r="FM94" i="22"/>
  <c r="FM146" i="22" s="1"/>
  <c r="FN94" i="22"/>
  <c r="FO94" i="22"/>
  <c r="FP94" i="22"/>
  <c r="FQ94" i="22"/>
  <c r="FR94" i="22"/>
  <c r="FS94" i="22"/>
  <c r="FT94" i="22"/>
  <c r="FU94" i="22"/>
  <c r="FV94" i="22"/>
  <c r="FW94" i="22"/>
  <c r="FX94" i="22"/>
  <c r="FY94" i="22"/>
  <c r="FZ94" i="22"/>
  <c r="GA94" i="22"/>
  <c r="GB94" i="22"/>
  <c r="GC94" i="22"/>
  <c r="GD94" i="22"/>
  <c r="GE94" i="22"/>
  <c r="GF94" i="22"/>
  <c r="GG94" i="22"/>
  <c r="GH94" i="22"/>
  <c r="GI94" i="22"/>
  <c r="GJ94" i="22"/>
  <c r="GK94" i="22"/>
  <c r="GL94" i="22"/>
  <c r="GM94" i="22"/>
  <c r="GN94" i="22"/>
  <c r="GO94" i="22"/>
  <c r="GP94" i="22"/>
  <c r="GQ94" i="22"/>
  <c r="GR94" i="22"/>
  <c r="GS94" i="22"/>
  <c r="GT94" i="22"/>
  <c r="GU94" i="22"/>
  <c r="GV94" i="22"/>
  <c r="GW94" i="22"/>
  <c r="GX94" i="22"/>
  <c r="GY94" i="22"/>
  <c r="GZ94" i="22"/>
  <c r="HA94" i="22"/>
  <c r="HB94" i="22"/>
  <c r="HC94" i="22"/>
  <c r="HD94" i="22"/>
  <c r="HE94" i="22"/>
  <c r="HF94" i="22"/>
  <c r="HG94" i="22"/>
  <c r="HH94" i="22"/>
  <c r="HI94" i="22"/>
  <c r="HJ94" i="22"/>
  <c r="HK94" i="22"/>
  <c r="HL94" i="22"/>
  <c r="HM94" i="22"/>
  <c r="HN94" i="22"/>
  <c r="HO94" i="22"/>
  <c r="HP94" i="22"/>
  <c r="HQ94" i="22"/>
  <c r="HR94" i="22"/>
  <c r="HS94" i="22"/>
  <c r="HT94" i="22"/>
  <c r="HU94" i="22"/>
  <c r="HV94" i="22"/>
  <c r="HW94" i="22"/>
  <c r="HX94" i="22"/>
  <c r="HY94" i="22"/>
  <c r="HZ94" i="22"/>
  <c r="IA94" i="22"/>
  <c r="IB94" i="22"/>
  <c r="IC94" i="22"/>
  <c r="ID94" i="22"/>
  <c r="IE94" i="22"/>
  <c r="IF94" i="22"/>
  <c r="IG94" i="22"/>
  <c r="IH94" i="22"/>
  <c r="II94" i="22"/>
  <c r="IJ94" i="22"/>
  <c r="IK94" i="22"/>
  <c r="IL94" i="22"/>
  <c r="IM94" i="22"/>
  <c r="IN94" i="22"/>
  <c r="IO94" i="22"/>
  <c r="IP94" i="22"/>
  <c r="IQ94" i="22"/>
  <c r="IR94" i="22"/>
  <c r="IS94" i="22"/>
  <c r="IT94" i="22"/>
  <c r="IU94" i="22"/>
  <c r="IV94" i="22"/>
  <c r="G95" i="22"/>
  <c r="H95" i="22"/>
  <c r="I95" i="22"/>
  <c r="J95" i="22"/>
  <c r="K95" i="22"/>
  <c r="L95" i="22"/>
  <c r="M95" i="22"/>
  <c r="N95" i="22"/>
  <c r="O95" i="22"/>
  <c r="P95" i="22"/>
  <c r="Q95" i="22"/>
  <c r="R95" i="22"/>
  <c r="S95" i="22"/>
  <c r="T95" i="22"/>
  <c r="U95" i="22"/>
  <c r="V95" i="22"/>
  <c r="W95" i="22"/>
  <c r="X95" i="22"/>
  <c r="Y95" i="22"/>
  <c r="Z95" i="22"/>
  <c r="AA95" i="22"/>
  <c r="AB95" i="22"/>
  <c r="AC95" i="22"/>
  <c r="AD95" i="22"/>
  <c r="AE95" i="22"/>
  <c r="AF95" i="22"/>
  <c r="AG95" i="22"/>
  <c r="AH95" i="22"/>
  <c r="AI95" i="22"/>
  <c r="AJ95" i="22"/>
  <c r="AK95" i="22"/>
  <c r="AL95" i="22"/>
  <c r="AM95" i="22"/>
  <c r="AN95" i="22"/>
  <c r="AO95" i="22"/>
  <c r="AP95" i="22"/>
  <c r="AQ95" i="22"/>
  <c r="AR95" i="22"/>
  <c r="AS95" i="22"/>
  <c r="AT95" i="22"/>
  <c r="AU95" i="22"/>
  <c r="AV95" i="22"/>
  <c r="AW95" i="22"/>
  <c r="AX95" i="22"/>
  <c r="AY95" i="22"/>
  <c r="AZ95" i="22"/>
  <c r="BA95" i="22"/>
  <c r="BB95" i="22"/>
  <c r="BC95" i="22"/>
  <c r="BD95" i="22"/>
  <c r="BE95" i="22"/>
  <c r="BF95" i="22"/>
  <c r="BG95" i="22"/>
  <c r="BH95" i="22"/>
  <c r="BI95" i="22"/>
  <c r="BJ95" i="22"/>
  <c r="BK95" i="22"/>
  <c r="BL95" i="22"/>
  <c r="BM95" i="22"/>
  <c r="BN95" i="22"/>
  <c r="BO95" i="22"/>
  <c r="BP95" i="22"/>
  <c r="BQ95" i="22"/>
  <c r="BR95" i="22"/>
  <c r="BS95" i="22"/>
  <c r="BT95" i="22"/>
  <c r="BU95" i="22"/>
  <c r="BV95" i="22"/>
  <c r="BW95" i="22"/>
  <c r="BX95" i="22"/>
  <c r="BY95" i="22"/>
  <c r="BZ95" i="22"/>
  <c r="CA95" i="22"/>
  <c r="CB95" i="22"/>
  <c r="CC95" i="22"/>
  <c r="CD95" i="22"/>
  <c r="CE95" i="22"/>
  <c r="CF95" i="22"/>
  <c r="CG95" i="22"/>
  <c r="CH95" i="22"/>
  <c r="CI95" i="22"/>
  <c r="CJ95" i="22"/>
  <c r="CK95" i="22"/>
  <c r="CL95" i="22"/>
  <c r="CM95" i="22"/>
  <c r="CN95" i="22"/>
  <c r="CO95" i="22"/>
  <c r="CP95" i="22"/>
  <c r="CQ95" i="22"/>
  <c r="CR95" i="22"/>
  <c r="CS95" i="22"/>
  <c r="CT95" i="22"/>
  <c r="CU95" i="22"/>
  <c r="CV95" i="22"/>
  <c r="CW95" i="22"/>
  <c r="CX95" i="22"/>
  <c r="CY95" i="22"/>
  <c r="CZ95" i="22"/>
  <c r="DA95" i="22"/>
  <c r="DB95" i="22"/>
  <c r="DC95" i="22"/>
  <c r="DD95" i="22"/>
  <c r="DE95" i="22"/>
  <c r="DF95" i="22"/>
  <c r="DG95" i="22"/>
  <c r="DH95" i="22"/>
  <c r="DI95" i="22"/>
  <c r="DJ95" i="22"/>
  <c r="DK95" i="22"/>
  <c r="DL95" i="22"/>
  <c r="DM95" i="22"/>
  <c r="DN95" i="22"/>
  <c r="DO95" i="22"/>
  <c r="DP95" i="22"/>
  <c r="DQ95" i="22"/>
  <c r="DR95" i="22"/>
  <c r="DS95" i="22"/>
  <c r="DT95" i="22"/>
  <c r="DU95" i="22"/>
  <c r="DV95" i="22"/>
  <c r="DW95" i="22"/>
  <c r="DX95" i="22"/>
  <c r="DY95" i="22"/>
  <c r="DZ95" i="22"/>
  <c r="EA95" i="22"/>
  <c r="EB95" i="22"/>
  <c r="EC95" i="22"/>
  <c r="ED95" i="22"/>
  <c r="EE95" i="22"/>
  <c r="EF95" i="22"/>
  <c r="EG95" i="22"/>
  <c r="EH95" i="22"/>
  <c r="EI95" i="22"/>
  <c r="EJ95" i="22"/>
  <c r="EK95" i="22"/>
  <c r="EL95" i="22"/>
  <c r="EM95" i="22"/>
  <c r="EN95" i="22"/>
  <c r="EO95" i="22"/>
  <c r="EP95" i="22"/>
  <c r="EQ95" i="22"/>
  <c r="ER95" i="22"/>
  <c r="ES95" i="22"/>
  <c r="ET95" i="22"/>
  <c r="EU95" i="22"/>
  <c r="EV95" i="22"/>
  <c r="EW95" i="22"/>
  <c r="EX95" i="22"/>
  <c r="EY95" i="22"/>
  <c r="EZ95" i="22"/>
  <c r="FA95" i="22"/>
  <c r="FB95" i="22"/>
  <c r="FC95" i="22"/>
  <c r="FD95" i="22"/>
  <c r="FE95" i="22"/>
  <c r="FF95" i="22"/>
  <c r="FG95" i="22"/>
  <c r="FH95" i="22"/>
  <c r="FI95" i="22"/>
  <c r="FJ95" i="22"/>
  <c r="FK95" i="22"/>
  <c r="FL95" i="22"/>
  <c r="FM95" i="22"/>
  <c r="FN95" i="22"/>
  <c r="FO95" i="22"/>
  <c r="FP95" i="22"/>
  <c r="FQ95" i="22"/>
  <c r="FR95" i="22"/>
  <c r="FS95" i="22"/>
  <c r="FT95" i="22"/>
  <c r="FU95" i="22"/>
  <c r="FV95" i="22"/>
  <c r="FW95" i="22"/>
  <c r="FX95" i="22"/>
  <c r="FY95" i="22"/>
  <c r="FZ95" i="22"/>
  <c r="GA95" i="22"/>
  <c r="GB95" i="22"/>
  <c r="GC95" i="22"/>
  <c r="GD95" i="22"/>
  <c r="GE95" i="22"/>
  <c r="GF95" i="22"/>
  <c r="GG95" i="22"/>
  <c r="GH95" i="22"/>
  <c r="GI95" i="22"/>
  <c r="GJ95" i="22"/>
  <c r="GK95" i="22"/>
  <c r="GL95" i="22"/>
  <c r="GM95" i="22"/>
  <c r="GN95" i="22"/>
  <c r="GO95" i="22"/>
  <c r="GP95" i="22"/>
  <c r="GQ95" i="22"/>
  <c r="GR95" i="22"/>
  <c r="GS95" i="22"/>
  <c r="GT95" i="22"/>
  <c r="GU95" i="22"/>
  <c r="GV95" i="22"/>
  <c r="GW95" i="22"/>
  <c r="GX95" i="22"/>
  <c r="GY95" i="22"/>
  <c r="GZ95" i="22"/>
  <c r="HA95" i="22"/>
  <c r="HB95" i="22"/>
  <c r="HC95" i="22"/>
  <c r="HD95" i="22"/>
  <c r="HE95" i="22"/>
  <c r="HF95" i="22"/>
  <c r="HG95" i="22"/>
  <c r="HH95" i="22"/>
  <c r="HI95" i="22"/>
  <c r="HJ95" i="22"/>
  <c r="HK95" i="22"/>
  <c r="HL95" i="22"/>
  <c r="HM95" i="22"/>
  <c r="HN95" i="22"/>
  <c r="HO95" i="22"/>
  <c r="HP95" i="22"/>
  <c r="HQ95" i="22"/>
  <c r="HR95" i="22"/>
  <c r="HS95" i="22"/>
  <c r="HT95" i="22"/>
  <c r="HU95" i="22"/>
  <c r="HV95" i="22"/>
  <c r="HW95" i="22"/>
  <c r="HX95" i="22"/>
  <c r="HY95" i="22"/>
  <c r="HZ95" i="22"/>
  <c r="IA95" i="22"/>
  <c r="IB95" i="22"/>
  <c r="IC95" i="22"/>
  <c r="ID95" i="22"/>
  <c r="IE95" i="22"/>
  <c r="IF95" i="22"/>
  <c r="IG95" i="22"/>
  <c r="IH95" i="22"/>
  <c r="II95" i="22"/>
  <c r="IJ95" i="22"/>
  <c r="IK95" i="22"/>
  <c r="IL95" i="22"/>
  <c r="IM95" i="22"/>
  <c r="IN95" i="22"/>
  <c r="IO95" i="22"/>
  <c r="IP95" i="22"/>
  <c r="IQ95" i="22"/>
  <c r="IR95" i="22"/>
  <c r="IS95" i="22"/>
  <c r="IT95" i="22"/>
  <c r="IU95" i="22"/>
  <c r="IV95" i="22"/>
  <c r="G96" i="22"/>
  <c r="H96" i="22"/>
  <c r="I96" i="22"/>
  <c r="J96" i="22"/>
  <c r="K96" i="22"/>
  <c r="L96" i="22"/>
  <c r="M96" i="22"/>
  <c r="N96" i="22"/>
  <c r="O96" i="22"/>
  <c r="P96" i="22"/>
  <c r="Q96" i="22"/>
  <c r="R96" i="22"/>
  <c r="S96" i="22"/>
  <c r="T96" i="22"/>
  <c r="U96" i="22"/>
  <c r="V96" i="22"/>
  <c r="W96" i="22"/>
  <c r="X96" i="22"/>
  <c r="Y96" i="22"/>
  <c r="Z96" i="22"/>
  <c r="AA96" i="22"/>
  <c r="AB96" i="22"/>
  <c r="AC96" i="22"/>
  <c r="AD96" i="22"/>
  <c r="AE96" i="22"/>
  <c r="AF96" i="22"/>
  <c r="AG96" i="22"/>
  <c r="AH96" i="22"/>
  <c r="AI96" i="22"/>
  <c r="AJ96" i="22"/>
  <c r="AK96" i="22"/>
  <c r="AL96" i="22"/>
  <c r="AM96" i="22"/>
  <c r="AN96" i="22"/>
  <c r="AO96" i="22"/>
  <c r="AP96" i="22"/>
  <c r="AQ96" i="22"/>
  <c r="AR96" i="22"/>
  <c r="AS96" i="22"/>
  <c r="AT96" i="22"/>
  <c r="AU96" i="22"/>
  <c r="AV96" i="22"/>
  <c r="AW96" i="22"/>
  <c r="AX96" i="22"/>
  <c r="AY96" i="22"/>
  <c r="AZ96" i="22"/>
  <c r="BA96" i="22"/>
  <c r="BB96" i="22"/>
  <c r="BC96" i="22"/>
  <c r="BD96" i="22"/>
  <c r="BE96" i="22"/>
  <c r="BF96" i="22"/>
  <c r="BG96" i="22"/>
  <c r="BH96" i="22"/>
  <c r="BI96" i="22"/>
  <c r="BJ96" i="22"/>
  <c r="BK96" i="22"/>
  <c r="BL96" i="22"/>
  <c r="BM96" i="22"/>
  <c r="BN96" i="22"/>
  <c r="BO96" i="22"/>
  <c r="BP96" i="22"/>
  <c r="BQ96" i="22"/>
  <c r="BR96" i="22"/>
  <c r="BS96" i="22"/>
  <c r="BT96" i="22"/>
  <c r="BU96" i="22"/>
  <c r="BV96" i="22"/>
  <c r="BW96" i="22"/>
  <c r="BX96" i="22"/>
  <c r="BY96" i="22"/>
  <c r="BZ96" i="22"/>
  <c r="CA96" i="22"/>
  <c r="CB96" i="22"/>
  <c r="CC96" i="22"/>
  <c r="CD96" i="22"/>
  <c r="CE96" i="22"/>
  <c r="CF96" i="22"/>
  <c r="CG96" i="22"/>
  <c r="CH96" i="22"/>
  <c r="CI96" i="22"/>
  <c r="CJ96" i="22"/>
  <c r="CK96" i="22"/>
  <c r="CL96" i="22"/>
  <c r="CM96" i="22"/>
  <c r="CN96" i="22"/>
  <c r="CO96" i="22"/>
  <c r="CP96" i="22"/>
  <c r="CQ96" i="22"/>
  <c r="CR96" i="22"/>
  <c r="CS96" i="22"/>
  <c r="CT96" i="22"/>
  <c r="CU96" i="22"/>
  <c r="CV96" i="22"/>
  <c r="CW96" i="22"/>
  <c r="CX96" i="22"/>
  <c r="CY96" i="22"/>
  <c r="CZ96" i="22"/>
  <c r="DA96" i="22"/>
  <c r="DB96" i="22"/>
  <c r="DC96" i="22"/>
  <c r="DD96" i="22"/>
  <c r="DE96" i="22"/>
  <c r="DF96" i="22"/>
  <c r="DG96" i="22"/>
  <c r="DH96" i="22"/>
  <c r="DI96" i="22"/>
  <c r="DJ96" i="22"/>
  <c r="DK96" i="22"/>
  <c r="DL96" i="22"/>
  <c r="DM96" i="22"/>
  <c r="DN96" i="22"/>
  <c r="DO96" i="22"/>
  <c r="DP96" i="22"/>
  <c r="DQ96" i="22"/>
  <c r="DR96" i="22"/>
  <c r="DS96" i="22"/>
  <c r="DT96" i="22"/>
  <c r="DU96" i="22"/>
  <c r="DV96" i="22"/>
  <c r="DW96" i="22"/>
  <c r="DX96" i="22"/>
  <c r="DY96" i="22"/>
  <c r="DZ96" i="22"/>
  <c r="EA96" i="22"/>
  <c r="EB96" i="22"/>
  <c r="EC96" i="22"/>
  <c r="ED96" i="22"/>
  <c r="EE96" i="22"/>
  <c r="EF96" i="22"/>
  <c r="EG96" i="22"/>
  <c r="EH96" i="22"/>
  <c r="EI96" i="22"/>
  <c r="EJ96" i="22"/>
  <c r="EK96" i="22"/>
  <c r="EL96" i="22"/>
  <c r="EM96" i="22"/>
  <c r="EN96" i="22"/>
  <c r="EO96" i="22"/>
  <c r="EP96" i="22"/>
  <c r="EQ96" i="22"/>
  <c r="ER96" i="22"/>
  <c r="ES96" i="22"/>
  <c r="ET96" i="22"/>
  <c r="EU96" i="22"/>
  <c r="EV96" i="22"/>
  <c r="EW96" i="22"/>
  <c r="EX96" i="22"/>
  <c r="EY96" i="22"/>
  <c r="EZ96" i="22"/>
  <c r="FA96" i="22"/>
  <c r="FB96" i="22"/>
  <c r="FC96" i="22"/>
  <c r="FD96" i="22"/>
  <c r="FE96" i="22"/>
  <c r="FF96" i="22"/>
  <c r="FG96" i="22"/>
  <c r="FH96" i="22"/>
  <c r="FI96" i="22"/>
  <c r="FJ96" i="22"/>
  <c r="FK96" i="22"/>
  <c r="FL96" i="22"/>
  <c r="FM96" i="22"/>
  <c r="FN96" i="22"/>
  <c r="FO96" i="22"/>
  <c r="FP96" i="22"/>
  <c r="FQ96" i="22"/>
  <c r="FR96" i="22"/>
  <c r="FS96" i="22"/>
  <c r="FT96" i="22"/>
  <c r="FU96" i="22"/>
  <c r="FV96" i="22"/>
  <c r="FW96" i="22"/>
  <c r="FX96" i="22"/>
  <c r="FY96" i="22"/>
  <c r="FZ96" i="22"/>
  <c r="GA96" i="22"/>
  <c r="GB96" i="22"/>
  <c r="GC96" i="22"/>
  <c r="GD96" i="22"/>
  <c r="GE96" i="22"/>
  <c r="GF96" i="22"/>
  <c r="GG96" i="22"/>
  <c r="GH96" i="22"/>
  <c r="GI96" i="22"/>
  <c r="GJ96" i="22"/>
  <c r="GK96" i="22"/>
  <c r="GL96" i="22"/>
  <c r="GM96" i="22"/>
  <c r="GN96" i="22"/>
  <c r="GO96" i="22"/>
  <c r="GP96" i="22"/>
  <c r="GQ96" i="22"/>
  <c r="GR96" i="22"/>
  <c r="GS96" i="22"/>
  <c r="GT96" i="22"/>
  <c r="GU96" i="22"/>
  <c r="GV96" i="22"/>
  <c r="GW96" i="22"/>
  <c r="GX96" i="22"/>
  <c r="GY96" i="22"/>
  <c r="GZ96" i="22"/>
  <c r="HA96" i="22"/>
  <c r="HB96" i="22"/>
  <c r="HC96" i="22"/>
  <c r="HD96" i="22"/>
  <c r="HE96" i="22"/>
  <c r="HF96" i="22"/>
  <c r="HG96" i="22"/>
  <c r="HH96" i="22"/>
  <c r="HI96" i="22"/>
  <c r="HJ96" i="22"/>
  <c r="HK96" i="22"/>
  <c r="HL96" i="22"/>
  <c r="HM96" i="22"/>
  <c r="HN96" i="22"/>
  <c r="HO96" i="22"/>
  <c r="HP96" i="22"/>
  <c r="HQ96" i="22"/>
  <c r="HR96" i="22"/>
  <c r="HS96" i="22"/>
  <c r="HT96" i="22"/>
  <c r="HU96" i="22"/>
  <c r="HV96" i="22"/>
  <c r="HW96" i="22"/>
  <c r="HX96" i="22"/>
  <c r="HY96" i="22"/>
  <c r="HZ96" i="22"/>
  <c r="IA96" i="22"/>
  <c r="IB96" i="22"/>
  <c r="IC96" i="22"/>
  <c r="ID96" i="22"/>
  <c r="IE96" i="22"/>
  <c r="IF96" i="22"/>
  <c r="IG96" i="22"/>
  <c r="IH96" i="22"/>
  <c r="II96" i="22"/>
  <c r="IJ96" i="22"/>
  <c r="IK96" i="22"/>
  <c r="IL96" i="22"/>
  <c r="IM96" i="22"/>
  <c r="IN96" i="22"/>
  <c r="IO96" i="22"/>
  <c r="IP96" i="22"/>
  <c r="IQ96" i="22"/>
  <c r="IR96" i="22"/>
  <c r="IS96" i="22"/>
  <c r="IT96" i="22"/>
  <c r="IU96" i="22"/>
  <c r="IV96" i="22"/>
  <c r="B175" i="22" l="1"/>
  <c r="C173" i="22"/>
  <c r="F174" i="22"/>
  <c r="M173" i="22"/>
  <c r="B208" i="22"/>
  <c r="C207" i="22"/>
  <c r="F207" i="22"/>
  <c r="L205" i="22"/>
  <c r="N202" i="22"/>
  <c r="B176" i="22"/>
  <c r="C175" i="22"/>
  <c r="F175" i="22"/>
  <c r="M183" i="22"/>
  <c r="B207" i="22"/>
  <c r="C205" i="22"/>
  <c r="F206" i="22"/>
  <c r="L195" i="22"/>
  <c r="N192" i="22"/>
  <c r="B198" i="22"/>
  <c r="C196" i="22"/>
  <c r="F197" i="22"/>
  <c r="L183" i="22"/>
  <c r="N181" i="22"/>
  <c r="B196" i="22"/>
  <c r="C195" i="22"/>
  <c r="F196" i="22"/>
  <c r="L173" i="22"/>
  <c r="N170" i="22"/>
  <c r="B186" i="22"/>
  <c r="C186" i="22"/>
  <c r="F186" i="22"/>
  <c r="M205" i="22"/>
  <c r="B185" i="22"/>
  <c r="C185" i="22"/>
  <c r="F184" i="22"/>
  <c r="N176" i="22"/>
  <c r="N186" i="22"/>
  <c r="N197" i="22"/>
  <c r="N208" i="22"/>
  <c r="M177" i="22"/>
  <c r="M189" i="22"/>
  <c r="M199" i="22"/>
  <c r="M209" i="22"/>
  <c r="L179" i="22"/>
  <c r="L189" i="22"/>
  <c r="L199" i="22"/>
  <c r="F170" i="22"/>
  <c r="F181" i="22"/>
  <c r="F191" i="22"/>
  <c r="F202" i="22"/>
  <c r="C170" i="22"/>
  <c r="C180" i="22"/>
  <c r="C191" i="22"/>
  <c r="C202" i="22"/>
  <c r="B170" i="22"/>
  <c r="B182" i="22"/>
  <c r="B192" i="22"/>
  <c r="B202" i="22"/>
  <c r="A168" i="22"/>
  <c r="R181" i="22" s="1" a="1"/>
  <c r="R181" i="22" s="1"/>
  <c r="N177" i="22"/>
  <c r="N187" i="22"/>
  <c r="N199" i="22"/>
  <c r="N209" i="22"/>
  <c r="M179" i="22"/>
  <c r="M190" i="22"/>
  <c r="M200" i="22"/>
  <c r="L169" i="22"/>
  <c r="L180" i="22"/>
  <c r="L190" i="22"/>
  <c r="L201" i="22"/>
  <c r="F172" i="22"/>
  <c r="F182" i="22"/>
  <c r="F192" i="22"/>
  <c r="F204" i="22"/>
  <c r="C171" i="22"/>
  <c r="C181" i="22"/>
  <c r="C193" i="22"/>
  <c r="C203" i="22"/>
  <c r="B172" i="22"/>
  <c r="B183" i="22"/>
  <c r="B193" i="22"/>
  <c r="B204" i="22"/>
  <c r="N178" i="22"/>
  <c r="N189" i="22"/>
  <c r="N200" i="22"/>
  <c r="M169" i="22"/>
  <c r="M181" i="22"/>
  <c r="M191" i="22"/>
  <c r="M201" i="22"/>
  <c r="L171" i="22"/>
  <c r="L181" i="22"/>
  <c r="L191" i="22"/>
  <c r="L203" i="22"/>
  <c r="F173" i="22"/>
  <c r="F183" i="22"/>
  <c r="F194" i="22"/>
  <c r="F205" i="22"/>
  <c r="C172" i="22"/>
  <c r="C183" i="22"/>
  <c r="C194" i="22"/>
  <c r="C204" i="22"/>
  <c r="B174" i="22"/>
  <c r="B184" i="22"/>
  <c r="B194" i="22"/>
  <c r="B206" i="22"/>
  <c r="N169" i="22"/>
  <c r="O169" i="22" s="1"/>
  <c r="N179" i="22"/>
  <c r="O179" i="22" s="1"/>
  <c r="AA179" i="22" s="1"/>
  <c r="N191" i="22"/>
  <c r="N201" i="22"/>
  <c r="M171" i="22"/>
  <c r="M182" i="22"/>
  <c r="M192" i="22"/>
  <c r="M203" i="22"/>
  <c r="L172" i="22"/>
  <c r="L182" i="22"/>
  <c r="L193" i="22"/>
  <c r="L204" i="22"/>
  <c r="N171" i="22"/>
  <c r="N183" i="22"/>
  <c r="N193" i="22"/>
  <c r="O193" i="22" s="1"/>
  <c r="AA193" i="22" s="1"/>
  <c r="N203" i="22"/>
  <c r="M174" i="22"/>
  <c r="M184" i="22"/>
  <c r="M195" i="22"/>
  <c r="M206" i="22"/>
  <c r="L174" i="22"/>
  <c r="L185" i="22"/>
  <c r="L196" i="22"/>
  <c r="L206" i="22"/>
  <c r="F176" i="22"/>
  <c r="F188" i="22"/>
  <c r="F198" i="22"/>
  <c r="F208" i="22"/>
  <c r="C177" i="22"/>
  <c r="C187" i="22"/>
  <c r="C197" i="22"/>
  <c r="C209" i="22"/>
  <c r="B177" i="22"/>
  <c r="B188" i="22"/>
  <c r="B199" i="22"/>
  <c r="B209" i="22"/>
  <c r="N173" i="22"/>
  <c r="O173" i="22" s="1"/>
  <c r="N184" i="22"/>
  <c r="N194" i="22"/>
  <c r="N205" i="22"/>
  <c r="M175" i="22"/>
  <c r="M185" i="22"/>
  <c r="M197" i="22"/>
  <c r="M207" i="22"/>
  <c r="L175" i="22"/>
  <c r="L187" i="22"/>
  <c r="O187" i="22" s="1"/>
  <c r="L197" i="22"/>
  <c r="L207" i="22"/>
  <c r="F178" i="22"/>
  <c r="F189" i="22"/>
  <c r="F199" i="22"/>
  <c r="F210" i="22"/>
  <c r="C178" i="22"/>
  <c r="C188" i="22"/>
  <c r="C199" i="22"/>
  <c r="C210" i="22"/>
  <c r="B178" i="22"/>
  <c r="B190" i="22"/>
  <c r="B200" i="22"/>
  <c r="B210" i="22"/>
  <c r="N175" i="22"/>
  <c r="N185" i="22"/>
  <c r="N195" i="22"/>
  <c r="O195" i="22" s="1"/>
  <c r="N207" i="22"/>
  <c r="M176" i="22"/>
  <c r="M187" i="22"/>
  <c r="M198" i="22"/>
  <c r="M208" i="22"/>
  <c r="L177" i="22"/>
  <c r="O177" i="22" s="1"/>
  <c r="L188" i="22"/>
  <c r="L198" i="22"/>
  <c r="L209" i="22"/>
  <c r="F180" i="22"/>
  <c r="F190" i="22"/>
  <c r="F200" i="22"/>
  <c r="C169" i="22"/>
  <c r="C179" i="22"/>
  <c r="C189" i="22"/>
  <c r="C201" i="22"/>
  <c r="B169" i="22"/>
  <c r="B180" i="22"/>
  <c r="B191" i="22"/>
  <c r="B201" i="22"/>
  <c r="L159" i="22"/>
  <c r="L157" i="22"/>
  <c r="L158" i="22"/>
  <c r="L153" i="22"/>
  <c r="L156" i="22"/>
  <c r="L155" i="22"/>
  <c r="L160" i="22" s="1"/>
  <c r="L154" i="22"/>
  <c r="EP159" i="22"/>
  <c r="EP157" i="22"/>
  <c r="EP156" i="22"/>
  <c r="EP158" i="22"/>
  <c r="EP155" i="22"/>
  <c r="EP160" i="22" s="1"/>
  <c r="EP154" i="22"/>
  <c r="EP153" i="22"/>
  <c r="HJ159" i="22"/>
  <c r="HJ158" i="22"/>
  <c r="HJ157" i="22"/>
  <c r="HJ156" i="22"/>
  <c r="HJ155" i="22"/>
  <c r="HJ160" i="22" s="1"/>
  <c r="HJ154" i="22"/>
  <c r="HJ153" i="22"/>
  <c r="EN147" i="22"/>
  <c r="FT147" i="22"/>
  <c r="GL147" i="22"/>
  <c r="GV147" i="22"/>
  <c r="IO147" i="22"/>
  <c r="I148" i="22"/>
  <c r="AB148" i="22"/>
  <c r="BE148" i="22"/>
  <c r="EZ148" i="22"/>
  <c r="GV148" i="22"/>
  <c r="IB148" i="22"/>
  <c r="R149" i="22"/>
  <c r="AX149" i="22"/>
  <c r="CD149" i="22"/>
  <c r="DJ149" i="22"/>
  <c r="EP149" i="22"/>
  <c r="FV149" i="22"/>
  <c r="HB149" i="22"/>
  <c r="IH149" i="22"/>
  <c r="R150" i="22"/>
  <c r="AX150" i="22"/>
  <c r="CD150" i="22"/>
  <c r="DJ150" i="22"/>
  <c r="EO150" i="22"/>
  <c r="FU150" i="22"/>
  <c r="Q151" i="22"/>
  <c r="AW151" i="22"/>
  <c r="CC151" i="22"/>
  <c r="DI151" i="22"/>
  <c r="AL158" i="22"/>
  <c r="AL159" i="22"/>
  <c r="AL157" i="22"/>
  <c r="AL156" i="22"/>
  <c r="AL155" i="22"/>
  <c r="AL160" i="22" s="1"/>
  <c r="AL154" i="22"/>
  <c r="AL153" i="22"/>
  <c r="FL159" i="22"/>
  <c r="FL158" i="22"/>
  <c r="FL157" i="22"/>
  <c r="FL156" i="22"/>
  <c r="FL155" i="22"/>
  <c r="FL160" i="22" s="1"/>
  <c r="FL154" i="22"/>
  <c r="FL153" i="22"/>
  <c r="BJ159" i="22"/>
  <c r="BJ157" i="22"/>
  <c r="BJ156" i="22"/>
  <c r="BJ155" i="22"/>
  <c r="BJ160" i="22" s="1"/>
  <c r="BJ154" i="22"/>
  <c r="BJ158" i="22"/>
  <c r="BJ153" i="22"/>
  <c r="GJ159" i="22"/>
  <c r="GJ158" i="22"/>
  <c r="GJ157" i="22"/>
  <c r="GJ155" i="22"/>
  <c r="GJ160" i="22" s="1"/>
  <c r="GJ154" i="22"/>
  <c r="GJ153" i="22"/>
  <c r="GJ156" i="22"/>
  <c r="HD152" i="22"/>
  <c r="HD151" i="22"/>
  <c r="HD150" i="22"/>
  <c r="HD149" i="22"/>
  <c r="ER152" i="22"/>
  <c r="ER151" i="22"/>
  <c r="ER150" i="22"/>
  <c r="ER149" i="22"/>
  <c r="BP152" i="22"/>
  <c r="BP151" i="22"/>
  <c r="BP150" i="22"/>
  <c r="BP149" i="22"/>
  <c r="GK159" i="22"/>
  <c r="GK158" i="22"/>
  <c r="GK157" i="22"/>
  <c r="GK155" i="22"/>
  <c r="GK160" i="22" s="1"/>
  <c r="GK154" i="22"/>
  <c r="GK153" i="22"/>
  <c r="GK156" i="22"/>
  <c r="DA159" i="22"/>
  <c r="DA158" i="22"/>
  <c r="DA157" i="22"/>
  <c r="DA155" i="22"/>
  <c r="DA160" i="22" s="1"/>
  <c r="DA154" i="22"/>
  <c r="DA156" i="22"/>
  <c r="DA153" i="22"/>
  <c r="DC157" i="22"/>
  <c r="DC159" i="22"/>
  <c r="DC154" i="22"/>
  <c r="DC156" i="22"/>
  <c r="DC153" i="22"/>
  <c r="DC158" i="22"/>
  <c r="DC155" i="22"/>
  <c r="DC160" i="22" s="1"/>
  <c r="IC158" i="22"/>
  <c r="IC157" i="22"/>
  <c r="IC156" i="22"/>
  <c r="IC159" i="22"/>
  <c r="IC155" i="22"/>
  <c r="IC160" i="22" s="1"/>
  <c r="IC154" i="22"/>
  <c r="IC153" i="22"/>
  <c r="IE159" i="22"/>
  <c r="IE158" i="22"/>
  <c r="IE155" i="22"/>
  <c r="IE160" i="22" s="1"/>
  <c r="IE154" i="22"/>
  <c r="IE157" i="22"/>
  <c r="IE156" i="22"/>
  <c r="IE153" i="22"/>
  <c r="IG159" i="22"/>
  <c r="IG158" i="22"/>
  <c r="IG157" i="22"/>
  <c r="IG156" i="22"/>
  <c r="IG155" i="22"/>
  <c r="IG160" i="22" s="1"/>
  <c r="IG154" i="22"/>
  <c r="IG153" i="22"/>
  <c r="IQ159" i="22"/>
  <c r="IQ158" i="22"/>
  <c r="IQ157" i="22"/>
  <c r="IQ156" i="22"/>
  <c r="IQ154" i="22"/>
  <c r="IQ153" i="22"/>
  <c r="IQ152" i="22"/>
  <c r="IQ151" i="22"/>
  <c r="IQ147" i="22"/>
  <c r="IQ155" i="22"/>
  <c r="IQ160" i="22" s="1"/>
  <c r="IQ150" i="22"/>
  <c r="II152" i="22"/>
  <c r="II151" i="22"/>
  <c r="II147" i="22"/>
  <c r="II150" i="22"/>
  <c r="IA152" i="22"/>
  <c r="IA147" i="22"/>
  <c r="IA151" i="22"/>
  <c r="IA150" i="22"/>
  <c r="HS152" i="22"/>
  <c r="HS147" i="22"/>
  <c r="HS151" i="22"/>
  <c r="HS150" i="22"/>
  <c r="HK152" i="22"/>
  <c r="HK147" i="22"/>
  <c r="HK151" i="22"/>
  <c r="HK150" i="22"/>
  <c r="HC152" i="22"/>
  <c r="HC147" i="22"/>
  <c r="HC151" i="22"/>
  <c r="HC150" i="22"/>
  <c r="GU152" i="22"/>
  <c r="GU147" i="22"/>
  <c r="GU151" i="22"/>
  <c r="GU150" i="22"/>
  <c r="GM152" i="22"/>
  <c r="GM147" i="22"/>
  <c r="GM151" i="22"/>
  <c r="GM150" i="22"/>
  <c r="GE152" i="22"/>
  <c r="GE147" i="22"/>
  <c r="GE151" i="22"/>
  <c r="GE150" i="22"/>
  <c r="FW152" i="22"/>
  <c r="FW147" i="22"/>
  <c r="FW151" i="22"/>
  <c r="FW150" i="22"/>
  <c r="FO152" i="22"/>
  <c r="FO151" i="22"/>
  <c r="FO150" i="22"/>
  <c r="FG152" i="22"/>
  <c r="FG151" i="22"/>
  <c r="FG150" i="22"/>
  <c r="EY152" i="22"/>
  <c r="EY151" i="22"/>
  <c r="EY150" i="22"/>
  <c r="EQ152" i="22"/>
  <c r="EQ151" i="22"/>
  <c r="EQ150" i="22"/>
  <c r="EI152" i="22"/>
  <c r="EI151" i="22"/>
  <c r="EI150" i="22"/>
  <c r="DS159" i="22"/>
  <c r="DS158" i="22"/>
  <c r="DS157" i="22"/>
  <c r="DS154" i="22"/>
  <c r="DS153" i="22"/>
  <c r="DS152" i="22"/>
  <c r="DS156" i="22"/>
  <c r="DS155" i="22"/>
  <c r="DS160" i="22" s="1"/>
  <c r="DS151" i="22"/>
  <c r="DS150" i="22"/>
  <c r="DK152" i="22"/>
  <c r="DK151" i="22"/>
  <c r="DK150" i="22"/>
  <c r="DC152" i="22"/>
  <c r="DC151" i="22"/>
  <c r="DC150" i="22"/>
  <c r="CU152" i="22"/>
  <c r="CU151" i="22"/>
  <c r="CU150" i="22"/>
  <c r="CM152" i="22"/>
  <c r="CM151" i="22"/>
  <c r="CM150" i="22"/>
  <c r="CE152" i="22"/>
  <c r="CE151" i="22"/>
  <c r="CE150" i="22"/>
  <c r="BW152" i="22"/>
  <c r="BW151" i="22"/>
  <c r="BW150" i="22"/>
  <c r="BO152" i="22"/>
  <c r="BO151" i="22"/>
  <c r="BO150" i="22"/>
  <c r="BG152" i="22"/>
  <c r="BG151" i="22"/>
  <c r="BG150" i="22"/>
  <c r="AY152" i="22"/>
  <c r="AY151" i="22"/>
  <c r="AY150" i="22"/>
  <c r="AQ152" i="22"/>
  <c r="AQ151" i="22"/>
  <c r="AQ150" i="22"/>
  <c r="AI152" i="22"/>
  <c r="AI151" i="22"/>
  <c r="AI150" i="22"/>
  <c r="AA152" i="22"/>
  <c r="AA151" i="22"/>
  <c r="AA150" i="22"/>
  <c r="S152" i="22"/>
  <c r="S151" i="22"/>
  <c r="S150" i="22"/>
  <c r="K152" i="22"/>
  <c r="K151" i="22"/>
  <c r="K150" i="22"/>
  <c r="G159" i="22"/>
  <c r="G151" i="22"/>
  <c r="GD146" i="22"/>
  <c r="IP146" i="22"/>
  <c r="Y147" i="22"/>
  <c r="BE147" i="22"/>
  <c r="CK147" i="22"/>
  <c r="DQ147" i="22"/>
  <c r="GN147" i="22"/>
  <c r="IG147" i="22"/>
  <c r="K148" i="22"/>
  <c r="T148" i="22"/>
  <c r="BG148" i="22"/>
  <c r="CF148" i="22"/>
  <c r="CV148" i="22"/>
  <c r="EI148" i="22"/>
  <c r="HC148" i="22"/>
  <c r="II148" i="22"/>
  <c r="S149" i="22"/>
  <c r="AY149" i="22"/>
  <c r="CE149" i="22"/>
  <c r="DK149" i="22"/>
  <c r="EQ149" i="22"/>
  <c r="FW149" i="22"/>
  <c r="HC149" i="22"/>
  <c r="II149" i="22"/>
  <c r="DF152" i="22"/>
  <c r="GX152" i="22"/>
  <c r="N158" i="22"/>
  <c r="N159" i="22"/>
  <c r="N156" i="22"/>
  <c r="N155" i="22"/>
  <c r="N160" i="22" s="1"/>
  <c r="N154" i="22"/>
  <c r="N157" i="22"/>
  <c r="EN159" i="22"/>
  <c r="EN157" i="22"/>
  <c r="EN155" i="22"/>
  <c r="EN160" i="22" s="1"/>
  <c r="EN158" i="22"/>
  <c r="EN154" i="22"/>
  <c r="EN153" i="22"/>
  <c r="EN156" i="22"/>
  <c r="AH159" i="22"/>
  <c r="AH157" i="22"/>
  <c r="AH155" i="22"/>
  <c r="AH160" i="22" s="1"/>
  <c r="AH154" i="22"/>
  <c r="AH153" i="22"/>
  <c r="AH158" i="22"/>
  <c r="AH156" i="22"/>
  <c r="HI159" i="22"/>
  <c r="HI158" i="22"/>
  <c r="HI157" i="22"/>
  <c r="HI155" i="22"/>
  <c r="HI160" i="22" s="1"/>
  <c r="HI154" i="22"/>
  <c r="HI153" i="22"/>
  <c r="HI156" i="22"/>
  <c r="CY159" i="22"/>
  <c r="CY158" i="22"/>
  <c r="CY157" i="22"/>
  <c r="CY155" i="22"/>
  <c r="CY160" i="22" s="1"/>
  <c r="CY154" i="22"/>
  <c r="CY156" i="22"/>
  <c r="CY153" i="22"/>
  <c r="H159" i="22"/>
  <c r="H157" i="22"/>
  <c r="H158" i="22"/>
  <c r="H156" i="22"/>
  <c r="H155" i="22"/>
  <c r="H160" i="22" s="1"/>
  <c r="H154" i="22"/>
  <c r="H153" i="22"/>
  <c r="EH159" i="22"/>
  <c r="EH157" i="22"/>
  <c r="EH158" i="22"/>
  <c r="EH156" i="22"/>
  <c r="EH155" i="22"/>
  <c r="EH160" i="22" s="1"/>
  <c r="EH154" i="22"/>
  <c r="EH153" i="22"/>
  <c r="EJ159" i="22"/>
  <c r="EJ157" i="22"/>
  <c r="EJ158" i="22"/>
  <c r="EJ153" i="22"/>
  <c r="EJ156" i="22"/>
  <c r="EJ155" i="22"/>
  <c r="EJ160" i="22" s="1"/>
  <c r="EJ154" i="22"/>
  <c r="EL156" i="22"/>
  <c r="EL159" i="22"/>
  <c r="EL158" i="22"/>
  <c r="EL155" i="22"/>
  <c r="EL160" i="22" s="1"/>
  <c r="EL154" i="22"/>
  <c r="EL157" i="22"/>
  <c r="EL153" i="22"/>
  <c r="AB159" i="22"/>
  <c r="AB157" i="22"/>
  <c r="AB158" i="22"/>
  <c r="AB153" i="22"/>
  <c r="AB156" i="22"/>
  <c r="AB155" i="22"/>
  <c r="AB160" i="22" s="1"/>
  <c r="AB154" i="22"/>
  <c r="AD159" i="22"/>
  <c r="AD158" i="22"/>
  <c r="AD157" i="22"/>
  <c r="AD156" i="22"/>
  <c r="AD155" i="22"/>
  <c r="AD160" i="22" s="1"/>
  <c r="AD154" i="22"/>
  <c r="AD153" i="22"/>
  <c r="AF159" i="22"/>
  <c r="AF158" i="22"/>
  <c r="AF157" i="22"/>
  <c r="AF156" i="22"/>
  <c r="AF155" i="22"/>
  <c r="AF160" i="22" s="1"/>
  <c r="AF154" i="22"/>
  <c r="AF153" i="22"/>
  <c r="FF159" i="22"/>
  <c r="FF157" i="22"/>
  <c r="FF156" i="22"/>
  <c r="FF155" i="22"/>
  <c r="FF160" i="22" s="1"/>
  <c r="FF154" i="22"/>
  <c r="FF153" i="22"/>
  <c r="FF158" i="22"/>
  <c r="FH159" i="22"/>
  <c r="FH157" i="22"/>
  <c r="FH156" i="22"/>
  <c r="FH158" i="22"/>
  <c r="FH153" i="22"/>
  <c r="FH155" i="22"/>
  <c r="FH160" i="22" s="1"/>
  <c r="FH154" i="22"/>
  <c r="FJ159" i="22"/>
  <c r="FJ156" i="22"/>
  <c r="FJ158" i="22"/>
  <c r="FJ157" i="22"/>
  <c r="FJ155" i="22"/>
  <c r="FJ160" i="22" s="1"/>
  <c r="FJ154" i="22"/>
  <c r="AZ159" i="22"/>
  <c r="AZ157" i="22"/>
  <c r="AZ158" i="22"/>
  <c r="AZ153" i="22"/>
  <c r="AZ156" i="22"/>
  <c r="AZ155" i="22"/>
  <c r="AZ160" i="22" s="1"/>
  <c r="AZ154" i="22"/>
  <c r="BB159" i="22"/>
  <c r="BB156" i="22"/>
  <c r="BB155" i="22"/>
  <c r="BB160" i="22" s="1"/>
  <c r="BB157" i="22"/>
  <c r="BB154" i="22"/>
  <c r="BB158" i="22"/>
  <c r="BB153" i="22"/>
  <c r="BD158" i="22"/>
  <c r="BD159" i="22"/>
  <c r="BD157" i="22"/>
  <c r="BD156" i="22"/>
  <c r="BD155" i="22"/>
  <c r="BD160" i="22" s="1"/>
  <c r="BD154" i="22"/>
  <c r="BD153" i="22"/>
  <c r="GD158" i="22"/>
  <c r="GD159" i="22"/>
  <c r="GD157" i="22"/>
  <c r="GD156" i="22"/>
  <c r="GD155" i="22"/>
  <c r="GD160" i="22" s="1"/>
  <c r="GD154" i="22"/>
  <c r="GD153" i="22"/>
  <c r="GF159" i="22"/>
  <c r="GF158" i="22"/>
  <c r="GF157" i="22"/>
  <c r="GF156" i="22"/>
  <c r="GF153" i="22"/>
  <c r="GF155" i="22"/>
  <c r="GF160" i="22" s="1"/>
  <c r="GF154" i="22"/>
  <c r="GH159" i="22"/>
  <c r="GH156" i="22"/>
  <c r="GH158" i="22"/>
  <c r="GH157" i="22"/>
  <c r="GH155" i="22"/>
  <c r="GH160" i="22" s="1"/>
  <c r="GH154" i="22"/>
  <c r="GH153" i="22"/>
  <c r="BX159" i="22"/>
  <c r="BX157" i="22"/>
  <c r="BX158" i="22"/>
  <c r="BX153" i="22"/>
  <c r="BX156" i="22"/>
  <c r="BX155" i="22"/>
  <c r="BX160" i="22" s="1"/>
  <c r="BX154" i="22"/>
  <c r="BZ159" i="22"/>
  <c r="BZ158" i="22"/>
  <c r="BZ156" i="22"/>
  <c r="BZ155" i="22"/>
  <c r="BZ160" i="22" s="1"/>
  <c r="BZ154" i="22"/>
  <c r="BZ157" i="22"/>
  <c r="CB159" i="22"/>
  <c r="CB157" i="22"/>
  <c r="CB156" i="22"/>
  <c r="CB158" i="22"/>
  <c r="CB155" i="22"/>
  <c r="CB160" i="22" s="1"/>
  <c r="CB154" i="22"/>
  <c r="CB153" i="22"/>
  <c r="HB159" i="22"/>
  <c r="HB157" i="22"/>
  <c r="HB156" i="22"/>
  <c r="HB155" i="22"/>
  <c r="HB160" i="22" s="1"/>
  <c r="HB154" i="22"/>
  <c r="HB153" i="22"/>
  <c r="HB158" i="22"/>
  <c r="HD159" i="22"/>
  <c r="HD157" i="22"/>
  <c r="HD156" i="22"/>
  <c r="HD158" i="22"/>
  <c r="HD153" i="22"/>
  <c r="HD155" i="22"/>
  <c r="HD160" i="22" s="1"/>
  <c r="HD154" i="22"/>
  <c r="HF159" i="22"/>
  <c r="HF156" i="22"/>
  <c r="HF158" i="22"/>
  <c r="HF157" i="22"/>
  <c r="HF155" i="22"/>
  <c r="HF160" i="22" s="1"/>
  <c r="HF154" i="22"/>
  <c r="HF153" i="22"/>
  <c r="CV159" i="22"/>
  <c r="CV157" i="22"/>
  <c r="CV158" i="22"/>
  <c r="CV153" i="22"/>
  <c r="CV155" i="22"/>
  <c r="CV160" i="22" s="1"/>
  <c r="CV154" i="22"/>
  <c r="CV156" i="22"/>
  <c r="CX159" i="22"/>
  <c r="CX156" i="22"/>
  <c r="CX158" i="22"/>
  <c r="CX157" i="22"/>
  <c r="CX155" i="22"/>
  <c r="CX160" i="22" s="1"/>
  <c r="CX154" i="22"/>
  <c r="CX153" i="22"/>
  <c r="CZ159" i="22"/>
  <c r="CZ158" i="22"/>
  <c r="CZ157" i="22"/>
  <c r="CZ155" i="22"/>
  <c r="CZ160" i="22" s="1"/>
  <c r="CZ154" i="22"/>
  <c r="CZ156" i="22"/>
  <c r="CZ153" i="22"/>
  <c r="HZ159" i="22"/>
  <c r="HZ157" i="22"/>
  <c r="HZ156" i="22"/>
  <c r="HZ158" i="22"/>
  <c r="HZ155" i="22"/>
  <c r="HZ160" i="22" s="1"/>
  <c r="HZ154" i="22"/>
  <c r="HZ153" i="22"/>
  <c r="IB159" i="22"/>
  <c r="IB158" i="22"/>
  <c r="IB157" i="22"/>
  <c r="IB156" i="22"/>
  <c r="IB153" i="22"/>
  <c r="IB155" i="22"/>
  <c r="IB160" i="22" s="1"/>
  <c r="IB154" i="22"/>
  <c r="ID159" i="22"/>
  <c r="ID156" i="22"/>
  <c r="ID158" i="22"/>
  <c r="ID155" i="22"/>
  <c r="ID160" i="22" s="1"/>
  <c r="ID154" i="22"/>
  <c r="ID157" i="22"/>
  <c r="ID153" i="22"/>
  <c r="IP159" i="22"/>
  <c r="IP158" i="22"/>
  <c r="IP157" i="22"/>
  <c r="IP156" i="22"/>
  <c r="IP155" i="22"/>
  <c r="IP160" i="22" s="1"/>
  <c r="IP154" i="22"/>
  <c r="IP153" i="22"/>
  <c r="IP152" i="22"/>
  <c r="IP151" i="22"/>
  <c r="IP148" i="22"/>
  <c r="IH152" i="22"/>
  <c r="IH151" i="22"/>
  <c r="IH148" i="22"/>
  <c r="HZ152" i="22"/>
  <c r="HZ151" i="22"/>
  <c r="HZ148" i="22"/>
  <c r="HR152" i="22"/>
  <c r="HR148" i="22"/>
  <c r="HR151" i="22"/>
  <c r="HJ152" i="22"/>
  <c r="HJ148" i="22"/>
  <c r="HJ151" i="22"/>
  <c r="HB152" i="22"/>
  <c r="HB148" i="22"/>
  <c r="HB151" i="22"/>
  <c r="GT152" i="22"/>
  <c r="GT148" i="22"/>
  <c r="GT151" i="22"/>
  <c r="GL152" i="22"/>
  <c r="GL148" i="22"/>
  <c r="GL151" i="22"/>
  <c r="GD152" i="22"/>
  <c r="GD148" i="22"/>
  <c r="GD151" i="22"/>
  <c r="FV152" i="22"/>
  <c r="FV148" i="22"/>
  <c r="FV151" i="22"/>
  <c r="FN152" i="22"/>
  <c r="FN148" i="22"/>
  <c r="FN151" i="22"/>
  <c r="FF152" i="22"/>
  <c r="FF148" i="22"/>
  <c r="FF151" i="22"/>
  <c r="EX152" i="22"/>
  <c r="EX148" i="22"/>
  <c r="EX151" i="22"/>
  <c r="EP152" i="22"/>
  <c r="EP148" i="22"/>
  <c r="EP151" i="22"/>
  <c r="EH152" i="22"/>
  <c r="EH148" i="22"/>
  <c r="EH151" i="22"/>
  <c r="DZ158" i="22"/>
  <c r="DZ157" i="22"/>
  <c r="DZ156" i="22"/>
  <c r="DZ155" i="22"/>
  <c r="DZ160" i="22" s="1"/>
  <c r="DZ161" i="22" s="1"/>
  <c r="DZ162" i="22" s="1"/>
  <c r="DZ154" i="22"/>
  <c r="DZ153" i="22"/>
  <c r="DZ152" i="22"/>
  <c r="DZ159" i="22"/>
  <c r="DZ148" i="22"/>
  <c r="DZ151" i="22"/>
  <c r="DR159" i="22"/>
  <c r="DR158" i="22"/>
  <c r="DR157" i="22"/>
  <c r="DR156" i="22"/>
  <c r="DR155" i="22"/>
  <c r="DR160" i="22" s="1"/>
  <c r="DR154" i="22"/>
  <c r="DR153" i="22"/>
  <c r="DR152" i="22"/>
  <c r="DR148" i="22"/>
  <c r="DR151" i="22"/>
  <c r="DJ152" i="22"/>
  <c r="DJ148" i="22"/>
  <c r="DJ151" i="22"/>
  <c r="DB152" i="22"/>
  <c r="DB148" i="22"/>
  <c r="DB151" i="22"/>
  <c r="CT152" i="22"/>
  <c r="CT148" i="22"/>
  <c r="CT151" i="22"/>
  <c r="CL152" i="22"/>
  <c r="CL148" i="22"/>
  <c r="CL151" i="22"/>
  <c r="CD152" i="22"/>
  <c r="CD148" i="22"/>
  <c r="CD151" i="22"/>
  <c r="BV152" i="22"/>
  <c r="BV148" i="22"/>
  <c r="BV151" i="22"/>
  <c r="BN152" i="22"/>
  <c r="BN148" i="22"/>
  <c r="BN151" i="22"/>
  <c r="BF152" i="22"/>
  <c r="BF148" i="22"/>
  <c r="BF151" i="22"/>
  <c r="AX152" i="22"/>
  <c r="AX148" i="22"/>
  <c r="AX151" i="22"/>
  <c r="AP152" i="22"/>
  <c r="AP148" i="22"/>
  <c r="AP151" i="22"/>
  <c r="AH152" i="22"/>
  <c r="AH148" i="22"/>
  <c r="AH151" i="22"/>
  <c r="Z152" i="22"/>
  <c r="Z148" i="22"/>
  <c r="Z151" i="22"/>
  <c r="R152" i="22"/>
  <c r="R148" i="22"/>
  <c r="R151" i="22"/>
  <c r="J152" i="22"/>
  <c r="J148" i="22"/>
  <c r="J151" i="22"/>
  <c r="G158" i="22"/>
  <c r="G150" i="22"/>
  <c r="K146" i="22"/>
  <c r="S146" i="22"/>
  <c r="AA146" i="22"/>
  <c r="AI146" i="22"/>
  <c r="AQ146" i="22"/>
  <c r="AY146" i="22"/>
  <c r="BG146" i="22"/>
  <c r="BO146" i="22"/>
  <c r="BW146" i="22"/>
  <c r="CE146" i="22"/>
  <c r="CM146" i="22"/>
  <c r="CU146" i="22"/>
  <c r="DC146" i="22"/>
  <c r="DK146" i="22"/>
  <c r="DS146" i="22"/>
  <c r="EI146" i="22"/>
  <c r="EQ146" i="22"/>
  <c r="EY146" i="22"/>
  <c r="FG146" i="22"/>
  <c r="FO146" i="22"/>
  <c r="FW146" i="22"/>
  <c r="GE146" i="22"/>
  <c r="GM146" i="22"/>
  <c r="GU146" i="22"/>
  <c r="HC146" i="22"/>
  <c r="HK146" i="22"/>
  <c r="HS146" i="22"/>
  <c r="IA146" i="22"/>
  <c r="II146" i="22"/>
  <c r="IQ146" i="22"/>
  <c r="J147" i="22"/>
  <c r="R147" i="22"/>
  <c r="Z147" i="22"/>
  <c r="AH147" i="22"/>
  <c r="AP147" i="22"/>
  <c r="AX147" i="22"/>
  <c r="BF147" i="22"/>
  <c r="BN147" i="22"/>
  <c r="BV147" i="22"/>
  <c r="CD147" i="22"/>
  <c r="CL147" i="22"/>
  <c r="CT147" i="22"/>
  <c r="DB147" i="22"/>
  <c r="DJ147" i="22"/>
  <c r="DR147" i="22"/>
  <c r="DZ147" i="22"/>
  <c r="EH147" i="22"/>
  <c r="EP147" i="22"/>
  <c r="EX147" i="22"/>
  <c r="FF147" i="22"/>
  <c r="FN147" i="22"/>
  <c r="FV147" i="22"/>
  <c r="GF147" i="22"/>
  <c r="GO147" i="22"/>
  <c r="GX147" i="22"/>
  <c r="IH147" i="22"/>
  <c r="IR147" i="22"/>
  <c r="U148" i="22"/>
  <c r="AD148" i="22"/>
  <c r="BH148" i="22"/>
  <c r="CG148" i="22"/>
  <c r="CW148" i="22"/>
  <c r="DM148" i="22"/>
  <c r="EJ148" i="22"/>
  <c r="FG148" i="22"/>
  <c r="FY148" i="22"/>
  <c r="HD148" i="22"/>
  <c r="IJ148" i="22"/>
  <c r="Z149" i="22"/>
  <c r="BF149" i="22"/>
  <c r="CL149" i="22"/>
  <c r="DR149" i="22"/>
  <c r="EX149" i="22"/>
  <c r="GD149" i="22"/>
  <c r="HJ149" i="22"/>
  <c r="IP149" i="22"/>
  <c r="Z150" i="22"/>
  <c r="BF150" i="22"/>
  <c r="CL150" i="22"/>
  <c r="DR150" i="22"/>
  <c r="HH151" i="22"/>
  <c r="BZ153" i="22"/>
  <c r="BF158" i="22"/>
  <c r="BF159" i="22"/>
  <c r="BF157" i="22"/>
  <c r="BF155" i="22"/>
  <c r="BF160" i="22" s="1"/>
  <c r="BF154" i="22"/>
  <c r="BF153" i="22"/>
  <c r="BF156" i="22"/>
  <c r="HT152" i="22"/>
  <c r="HT151" i="22"/>
  <c r="HT150" i="22"/>
  <c r="HT149" i="22"/>
  <c r="FX152" i="22"/>
  <c r="FX151" i="22"/>
  <c r="FX150" i="22"/>
  <c r="FX149" i="22"/>
  <c r="FP152" i="22"/>
  <c r="FP151" i="22"/>
  <c r="FP150" i="22"/>
  <c r="FP149" i="22"/>
  <c r="DL152" i="22"/>
  <c r="DL151" i="22"/>
  <c r="DL150" i="22"/>
  <c r="DL149" i="22"/>
  <c r="CN152" i="22"/>
  <c r="CN151" i="22"/>
  <c r="CN150" i="22"/>
  <c r="CN149" i="22"/>
  <c r="AR152" i="22"/>
  <c r="AR151" i="22"/>
  <c r="AR150" i="22"/>
  <c r="AR149" i="22"/>
  <c r="L152" i="22"/>
  <c r="L151" i="22"/>
  <c r="L150" i="22"/>
  <c r="L149" i="22"/>
  <c r="K157" i="22"/>
  <c r="K158" i="22"/>
  <c r="K159" i="22"/>
  <c r="K154" i="22"/>
  <c r="K153" i="22"/>
  <c r="K156" i="22"/>
  <c r="K155" i="22"/>
  <c r="K160" i="22" s="1"/>
  <c r="EK158" i="22"/>
  <c r="EK157" i="22"/>
  <c r="EK156" i="22"/>
  <c r="EK159" i="22"/>
  <c r="EK155" i="22"/>
  <c r="EK160" i="22" s="1"/>
  <c r="EK154" i="22"/>
  <c r="EE159" i="22"/>
  <c r="EE155" i="22"/>
  <c r="EE160" i="22" s="1"/>
  <c r="EE154" i="22"/>
  <c r="EE158" i="22"/>
  <c r="EE156" i="22"/>
  <c r="EE153" i="22"/>
  <c r="EE157" i="22"/>
  <c r="EG159" i="22"/>
  <c r="EG157" i="22"/>
  <c r="EG158" i="22"/>
  <c r="EG155" i="22"/>
  <c r="EG160" i="22" s="1"/>
  <c r="EG154" i="22"/>
  <c r="EG156" i="22"/>
  <c r="EG153" i="22"/>
  <c r="EI157" i="22"/>
  <c r="EI159" i="22"/>
  <c r="EI158" i="22"/>
  <c r="EI154" i="22"/>
  <c r="EI153" i="22"/>
  <c r="EI156" i="22"/>
  <c r="EI155" i="22"/>
  <c r="EI160" i="22" s="1"/>
  <c r="Y157" i="22"/>
  <c r="Y159" i="22"/>
  <c r="Y156" i="22"/>
  <c r="Y155" i="22"/>
  <c r="Y160" i="22" s="1"/>
  <c r="Y154" i="22"/>
  <c r="Y153" i="22"/>
  <c r="Y158" i="22"/>
  <c r="AA159" i="22"/>
  <c r="AA157" i="22"/>
  <c r="AA158" i="22"/>
  <c r="AA154" i="22"/>
  <c r="AA153" i="22"/>
  <c r="AA156" i="22"/>
  <c r="AA155" i="22"/>
  <c r="AA160" i="22" s="1"/>
  <c r="AC158" i="22"/>
  <c r="AC157" i="22"/>
  <c r="AC159" i="22"/>
  <c r="AC156" i="22"/>
  <c r="AC155" i="22"/>
  <c r="AC160" i="22" s="1"/>
  <c r="AC154" i="22"/>
  <c r="AC153" i="22"/>
  <c r="FC159" i="22"/>
  <c r="FC158" i="22"/>
  <c r="FC157" i="22"/>
  <c r="FC155" i="22"/>
  <c r="FC160" i="22" s="1"/>
  <c r="FC154" i="22"/>
  <c r="FC153" i="22"/>
  <c r="FC156" i="22"/>
  <c r="FE158" i="22"/>
  <c r="FE159" i="22"/>
  <c r="FE157" i="22"/>
  <c r="FE155" i="22"/>
  <c r="FE160" i="22" s="1"/>
  <c r="FE154" i="22"/>
  <c r="FE153" i="22"/>
  <c r="FE156" i="22"/>
  <c r="FG159" i="22"/>
  <c r="FG157" i="22"/>
  <c r="FG154" i="22"/>
  <c r="FG153" i="22"/>
  <c r="FG156" i="22"/>
  <c r="FG155" i="22"/>
  <c r="FG160" i="22" s="1"/>
  <c r="FG158" i="22"/>
  <c r="AW159" i="22"/>
  <c r="AW158" i="22"/>
  <c r="AW157" i="22"/>
  <c r="AW156" i="22"/>
  <c r="AW155" i="22"/>
  <c r="AW160" i="22" s="1"/>
  <c r="AW154" i="22"/>
  <c r="AW153" i="22"/>
  <c r="AY159" i="22"/>
  <c r="AY158" i="22"/>
  <c r="AY157" i="22"/>
  <c r="AY154" i="22"/>
  <c r="AY153" i="22"/>
  <c r="AY156" i="22"/>
  <c r="AY155" i="22"/>
  <c r="AY160" i="22" s="1"/>
  <c r="BA158" i="22"/>
  <c r="BA157" i="22"/>
  <c r="BA156" i="22"/>
  <c r="BA159" i="22"/>
  <c r="BA155" i="22"/>
  <c r="BA160" i="22" s="1"/>
  <c r="BA154" i="22"/>
  <c r="BA153" i="22"/>
  <c r="GA159" i="22"/>
  <c r="GA158" i="22"/>
  <c r="GA157" i="22"/>
  <c r="GA156" i="22"/>
  <c r="GA155" i="22"/>
  <c r="GA160" i="22" s="1"/>
  <c r="GA154" i="22"/>
  <c r="GA153" i="22"/>
  <c r="GC159" i="22"/>
  <c r="GC158" i="22"/>
  <c r="GC157" i="22"/>
  <c r="GC156" i="22"/>
  <c r="GC155" i="22"/>
  <c r="GC160" i="22" s="1"/>
  <c r="GC154" i="22"/>
  <c r="GC153" i="22"/>
  <c r="GE158" i="22"/>
  <c r="GE159" i="22"/>
  <c r="GE157" i="22"/>
  <c r="GE156" i="22"/>
  <c r="GE154" i="22"/>
  <c r="GE153" i="22"/>
  <c r="GE155" i="22"/>
  <c r="GE160" i="22" s="1"/>
  <c r="BU159" i="22"/>
  <c r="BU157" i="22"/>
  <c r="BU158" i="22"/>
  <c r="BU156" i="22"/>
  <c r="BU155" i="22"/>
  <c r="BU160" i="22" s="1"/>
  <c r="BU154" i="22"/>
  <c r="BU153" i="22"/>
  <c r="BW157" i="22"/>
  <c r="BW159" i="22"/>
  <c r="BW158" i="22"/>
  <c r="BW154" i="22"/>
  <c r="BW153" i="22"/>
  <c r="BW156" i="22"/>
  <c r="BW155" i="22"/>
  <c r="BW160" i="22" s="1"/>
  <c r="BY158" i="22"/>
  <c r="BY157" i="22"/>
  <c r="BY159" i="22"/>
  <c r="BY156" i="22"/>
  <c r="BY155" i="22"/>
  <c r="BY160" i="22" s="1"/>
  <c r="BY154" i="22"/>
  <c r="GY159" i="22"/>
  <c r="GY158" i="22"/>
  <c r="GY156" i="22"/>
  <c r="GY155" i="22"/>
  <c r="GY160" i="22" s="1"/>
  <c r="GY154" i="22"/>
  <c r="GY157" i="22"/>
  <c r="GY153" i="22"/>
  <c r="HA159" i="22"/>
  <c r="HA158" i="22"/>
  <c r="HA157" i="22"/>
  <c r="HA155" i="22"/>
  <c r="HA160" i="22" s="1"/>
  <c r="HA154" i="22"/>
  <c r="HA153" i="22"/>
  <c r="HA156" i="22"/>
  <c r="HC158" i="22"/>
  <c r="HC157" i="22"/>
  <c r="HC159" i="22"/>
  <c r="HC156" i="22"/>
  <c r="HC154" i="22"/>
  <c r="HC153" i="22"/>
  <c r="HC155" i="22"/>
  <c r="HC160" i="22" s="1"/>
  <c r="CS158" i="22"/>
  <c r="CS159" i="22"/>
  <c r="CS157" i="22"/>
  <c r="CS155" i="22"/>
  <c r="CS160" i="22" s="1"/>
  <c r="CS156" i="22"/>
  <c r="CS154" i="22"/>
  <c r="CS153" i="22"/>
  <c r="CU159" i="22"/>
  <c r="CU157" i="22"/>
  <c r="CU156" i="22"/>
  <c r="CU154" i="22"/>
  <c r="CU153" i="22"/>
  <c r="CU158" i="22"/>
  <c r="CU155" i="22"/>
  <c r="CU160" i="22" s="1"/>
  <c r="CW158" i="22"/>
  <c r="CW159" i="22"/>
  <c r="CW157" i="22"/>
  <c r="CW155" i="22"/>
  <c r="CW160" i="22" s="1"/>
  <c r="CW154" i="22"/>
  <c r="CW156" i="22"/>
  <c r="CW153" i="22"/>
  <c r="HW159" i="22"/>
  <c r="HW158" i="22"/>
  <c r="HW156" i="22"/>
  <c r="HW155" i="22"/>
  <c r="HW160" i="22" s="1"/>
  <c r="HW154" i="22"/>
  <c r="HW153" i="22"/>
  <c r="HW157" i="22"/>
  <c r="HY159" i="22"/>
  <c r="HY157" i="22"/>
  <c r="HY158" i="22"/>
  <c r="HY155" i="22"/>
  <c r="HY160" i="22" s="1"/>
  <c r="HY154" i="22"/>
  <c r="HY153" i="22"/>
  <c r="HY156" i="22"/>
  <c r="IA159" i="22"/>
  <c r="IA157" i="22"/>
  <c r="IA156" i="22"/>
  <c r="IA158" i="22"/>
  <c r="IA154" i="22"/>
  <c r="IA153" i="22"/>
  <c r="IA155" i="22"/>
  <c r="IA160" i="22" s="1"/>
  <c r="IO159" i="22"/>
  <c r="IO158" i="22"/>
  <c r="IO157" i="22"/>
  <c r="IO156" i="22"/>
  <c r="IO155" i="22"/>
  <c r="IO160" i="22" s="1"/>
  <c r="IO154" i="22"/>
  <c r="IO153" i="22"/>
  <c r="IO152" i="22"/>
  <c r="IO149" i="22"/>
  <c r="IO148" i="22"/>
  <c r="IG152" i="22"/>
  <c r="IG149" i="22"/>
  <c r="IG148" i="22"/>
  <c r="IG151" i="22"/>
  <c r="HY152" i="22"/>
  <c r="HY149" i="22"/>
  <c r="HY148" i="22"/>
  <c r="HQ152" i="22"/>
  <c r="HQ149" i="22"/>
  <c r="HQ148" i="22"/>
  <c r="HI152" i="22"/>
  <c r="HI149" i="22"/>
  <c r="HI148" i="22"/>
  <c r="HA152" i="22"/>
  <c r="HA149" i="22"/>
  <c r="HA148" i="22"/>
  <c r="GS152" i="22"/>
  <c r="GS149" i="22"/>
  <c r="GS148" i="22"/>
  <c r="GK152" i="22"/>
  <c r="GK149" i="22"/>
  <c r="GK148" i="22"/>
  <c r="GC152" i="22"/>
  <c r="GC149" i="22"/>
  <c r="GC148" i="22"/>
  <c r="FU152" i="22"/>
  <c r="FU149" i="22"/>
  <c r="FU148" i="22"/>
  <c r="FM152" i="22"/>
  <c r="FM149" i="22"/>
  <c r="FM148" i="22"/>
  <c r="FE152" i="22"/>
  <c r="FE149" i="22"/>
  <c r="FE148" i="22"/>
  <c r="EW152" i="22"/>
  <c r="EW149" i="22"/>
  <c r="EW148" i="22"/>
  <c r="EO152" i="22"/>
  <c r="EO149" i="22"/>
  <c r="EO148" i="22"/>
  <c r="EG152" i="22"/>
  <c r="EG149" i="22"/>
  <c r="EG148" i="22"/>
  <c r="DY158" i="22"/>
  <c r="DY157" i="22"/>
  <c r="DY156" i="22"/>
  <c r="DY155" i="22"/>
  <c r="DY160" i="22" s="1"/>
  <c r="DY154" i="22"/>
  <c r="DY153" i="22"/>
  <c r="DY152" i="22"/>
  <c r="DY159" i="22"/>
  <c r="DY149" i="22"/>
  <c r="DY148" i="22"/>
  <c r="DQ159" i="22"/>
  <c r="DQ158" i="22"/>
  <c r="DQ157" i="22"/>
  <c r="DQ155" i="22"/>
  <c r="DQ160" i="22" s="1"/>
  <c r="DQ154" i="22"/>
  <c r="DQ153" i="22"/>
  <c r="DQ152" i="22"/>
  <c r="DQ149" i="22"/>
  <c r="DQ148" i="22"/>
  <c r="DQ156" i="22"/>
  <c r="DI152" i="22"/>
  <c r="DI149" i="22"/>
  <c r="DI148" i="22"/>
  <c r="DA152" i="22"/>
  <c r="DA149" i="22"/>
  <c r="DA148" i="22"/>
  <c r="CS152" i="22"/>
  <c r="CS149" i="22"/>
  <c r="CS148" i="22"/>
  <c r="CK152" i="22"/>
  <c r="CK149" i="22"/>
  <c r="CK148" i="22"/>
  <c r="CC152" i="22"/>
  <c r="CC149" i="22"/>
  <c r="BU152" i="22"/>
  <c r="BU149" i="22"/>
  <c r="BM152" i="22"/>
  <c r="BM149" i="22"/>
  <c r="BE152" i="22"/>
  <c r="BE149" i="22"/>
  <c r="AW152" i="22"/>
  <c r="AW149" i="22"/>
  <c r="AO152" i="22"/>
  <c r="AO149" i="22"/>
  <c r="AG152" i="22"/>
  <c r="AG149" i="22"/>
  <c r="Y152" i="22"/>
  <c r="Y149" i="22"/>
  <c r="Q152" i="22"/>
  <c r="Q149" i="22"/>
  <c r="I152" i="22"/>
  <c r="I149" i="22"/>
  <c r="G157" i="22"/>
  <c r="G149" i="22"/>
  <c r="L146" i="22"/>
  <c r="T146" i="22"/>
  <c r="AJ146" i="22"/>
  <c r="AR146" i="22"/>
  <c r="BH146" i="22"/>
  <c r="BP146" i="22"/>
  <c r="BX146" i="22"/>
  <c r="CF146" i="22"/>
  <c r="CN146" i="22"/>
  <c r="DD146" i="22"/>
  <c r="DL146" i="22"/>
  <c r="EB146" i="22"/>
  <c r="EJ146" i="22"/>
  <c r="ER146" i="22"/>
  <c r="FH146" i="22"/>
  <c r="FP146" i="22"/>
  <c r="FX146" i="22"/>
  <c r="HD146" i="22"/>
  <c r="HL146" i="22"/>
  <c r="HT146" i="22"/>
  <c r="IJ146" i="22"/>
  <c r="IR146" i="22"/>
  <c r="K147" i="22"/>
  <c r="S147" i="22"/>
  <c r="AA147" i="22"/>
  <c r="AI147" i="22"/>
  <c r="AQ147" i="22"/>
  <c r="AY147" i="22"/>
  <c r="BG147" i="22"/>
  <c r="BO147" i="22"/>
  <c r="BW147" i="22"/>
  <c r="CE147" i="22"/>
  <c r="CM147" i="22"/>
  <c r="CU147" i="22"/>
  <c r="DC147" i="22"/>
  <c r="DK147" i="22"/>
  <c r="DS147" i="22"/>
  <c r="EI147" i="22"/>
  <c r="EQ147" i="22"/>
  <c r="EY147" i="22"/>
  <c r="FG147" i="22"/>
  <c r="FO147" i="22"/>
  <c r="FX147" i="22"/>
  <c r="GG147" i="22"/>
  <c r="GP147" i="22"/>
  <c r="HQ147" i="22"/>
  <c r="HZ147" i="22"/>
  <c r="IS147" i="22"/>
  <c r="M148" i="22"/>
  <c r="V148" i="22"/>
  <c r="AW148" i="22"/>
  <c r="BI148" i="22"/>
  <c r="BW148" i="22"/>
  <c r="DS148" i="22"/>
  <c r="EK148" i="22"/>
  <c r="FH148" i="22"/>
  <c r="GE148" i="22"/>
  <c r="HK148" i="22"/>
  <c r="IQ148" i="22"/>
  <c r="AA149" i="22"/>
  <c r="BG149" i="22"/>
  <c r="CM149" i="22"/>
  <c r="DS149" i="22"/>
  <c r="EY149" i="22"/>
  <c r="GE149" i="22"/>
  <c r="HK149" i="22"/>
  <c r="IQ149" i="22"/>
  <c r="AG150" i="22"/>
  <c r="BM150" i="22"/>
  <c r="CS150" i="22"/>
  <c r="DY150" i="22"/>
  <c r="EX150" i="22"/>
  <c r="GD150" i="22"/>
  <c r="HJ150" i="22"/>
  <c r="IP150" i="22"/>
  <c r="EW151" i="22"/>
  <c r="GC151" i="22"/>
  <c r="HI151" i="22"/>
  <c r="W152" i="22"/>
  <c r="ID152" i="22"/>
  <c r="BH159" i="22"/>
  <c r="BH158" i="22"/>
  <c r="BH157" i="22"/>
  <c r="BH153" i="22"/>
  <c r="BH156" i="22"/>
  <c r="BH155" i="22"/>
  <c r="BH160" i="22" s="1"/>
  <c r="BH154" i="22"/>
  <c r="CD159" i="22"/>
  <c r="CD157" i="22"/>
  <c r="CD158" i="22"/>
  <c r="CD155" i="22"/>
  <c r="CD160" i="22" s="1"/>
  <c r="CD154" i="22"/>
  <c r="CD153" i="22"/>
  <c r="CD156" i="22"/>
  <c r="DD159" i="22"/>
  <c r="DD157" i="22"/>
  <c r="DD156" i="22"/>
  <c r="DD153" i="22"/>
  <c r="DD158" i="22"/>
  <c r="DD155" i="22"/>
  <c r="DD160" i="22" s="1"/>
  <c r="DD154" i="22"/>
  <c r="DF156" i="22"/>
  <c r="DF159" i="22"/>
  <c r="DF158" i="22"/>
  <c r="DF155" i="22"/>
  <c r="DF160" i="22" s="1"/>
  <c r="DF154" i="22"/>
  <c r="DF157" i="22"/>
  <c r="IB152" i="22"/>
  <c r="IB151" i="22"/>
  <c r="IB150" i="22"/>
  <c r="IB149" i="22"/>
  <c r="GF152" i="22"/>
  <c r="GF151" i="22"/>
  <c r="GF150" i="22"/>
  <c r="GF149" i="22"/>
  <c r="EZ152" i="22"/>
  <c r="EZ151" i="22"/>
  <c r="EZ150" i="22"/>
  <c r="EZ149" i="22"/>
  <c r="DT159" i="22"/>
  <c r="DT158" i="22"/>
  <c r="DT157" i="22"/>
  <c r="DT153" i="22"/>
  <c r="DT152" i="22"/>
  <c r="DT156" i="22"/>
  <c r="DT155" i="22"/>
  <c r="DT160" i="22" s="1"/>
  <c r="DT154" i="22"/>
  <c r="DT151" i="22"/>
  <c r="DT150" i="22"/>
  <c r="DT149" i="22"/>
  <c r="CV152" i="22"/>
  <c r="CV151" i="22"/>
  <c r="CV150" i="22"/>
  <c r="CV149" i="22"/>
  <c r="AZ152" i="22"/>
  <c r="AZ151" i="22"/>
  <c r="AZ150" i="22"/>
  <c r="AZ149" i="22"/>
  <c r="AB152" i="22"/>
  <c r="AB151" i="22"/>
  <c r="AB150" i="22"/>
  <c r="AB149" i="22"/>
  <c r="FI158" i="22"/>
  <c r="FI159" i="22"/>
  <c r="FI157" i="22"/>
  <c r="FI156" i="22"/>
  <c r="FI155" i="22"/>
  <c r="FI160" i="22" s="1"/>
  <c r="FI153" i="22"/>
  <c r="FI154" i="22"/>
  <c r="FK159" i="22"/>
  <c r="FK158" i="22"/>
  <c r="FK156" i="22"/>
  <c r="FK155" i="22"/>
  <c r="FK160" i="22" s="1"/>
  <c r="FK154" i="22"/>
  <c r="FK153" i="22"/>
  <c r="FK157" i="22"/>
  <c r="FM159" i="22"/>
  <c r="FM158" i="22"/>
  <c r="FM157" i="22"/>
  <c r="FM156" i="22"/>
  <c r="FM155" i="22"/>
  <c r="FM160" i="22" s="1"/>
  <c r="FM154" i="22"/>
  <c r="FM153" i="22"/>
  <c r="BC159" i="22"/>
  <c r="BC158" i="22"/>
  <c r="BC156" i="22"/>
  <c r="BC155" i="22"/>
  <c r="BC160" i="22" s="1"/>
  <c r="BC157" i="22"/>
  <c r="BC154" i="22"/>
  <c r="BC153" i="22"/>
  <c r="GG158" i="22"/>
  <c r="GG157" i="22"/>
  <c r="GG159" i="22"/>
  <c r="GG156" i="22"/>
  <c r="GG155" i="22"/>
  <c r="GG160" i="22" s="1"/>
  <c r="GG154" i="22"/>
  <c r="GG153" i="22"/>
  <c r="EB159" i="22"/>
  <c r="EB158" i="22"/>
  <c r="EB157" i="22"/>
  <c r="EB153" i="22"/>
  <c r="EB155" i="22"/>
  <c r="EB160" i="22" s="1"/>
  <c r="EB154" i="22"/>
  <c r="EB156" i="22"/>
  <c r="ED159" i="22"/>
  <c r="ED158" i="22"/>
  <c r="ED156" i="22"/>
  <c r="ED157" i="22"/>
  <c r="ED155" i="22"/>
  <c r="ED160" i="22" s="1"/>
  <c r="ED154" i="22"/>
  <c r="EF159" i="22"/>
  <c r="EF157" i="22"/>
  <c r="EF155" i="22"/>
  <c r="EF160" i="22" s="1"/>
  <c r="EF154" i="22"/>
  <c r="EF158" i="22"/>
  <c r="EF156" i="22"/>
  <c r="EF153" i="22"/>
  <c r="V158" i="22"/>
  <c r="V159" i="22"/>
  <c r="V156" i="22"/>
  <c r="V155" i="22"/>
  <c r="V160" i="22" s="1"/>
  <c r="V157" i="22"/>
  <c r="V154" i="22"/>
  <c r="V153" i="22"/>
  <c r="X159" i="22"/>
  <c r="X158" i="22"/>
  <c r="X157" i="22"/>
  <c r="X156" i="22"/>
  <c r="X155" i="22"/>
  <c r="X160" i="22" s="1"/>
  <c r="X154" i="22"/>
  <c r="X153" i="22"/>
  <c r="Z159" i="22"/>
  <c r="Z157" i="22"/>
  <c r="Z155" i="22"/>
  <c r="Z160" i="22" s="1"/>
  <c r="Z154" i="22"/>
  <c r="Z153" i="22"/>
  <c r="Z158" i="22"/>
  <c r="Z156" i="22"/>
  <c r="EZ159" i="22"/>
  <c r="EZ157" i="22"/>
  <c r="EZ156" i="22"/>
  <c r="EZ158" i="22"/>
  <c r="EZ153" i="22"/>
  <c r="EZ155" i="22"/>
  <c r="EZ160" i="22" s="1"/>
  <c r="EZ154" i="22"/>
  <c r="FB159" i="22"/>
  <c r="FB156" i="22"/>
  <c r="FB158" i="22"/>
  <c r="FB157" i="22"/>
  <c r="FB155" i="22"/>
  <c r="FB160" i="22" s="1"/>
  <c r="FB154" i="22"/>
  <c r="FB153" i="22"/>
  <c r="FD159" i="22"/>
  <c r="FD158" i="22"/>
  <c r="FD157" i="22"/>
  <c r="FD155" i="22"/>
  <c r="FD160" i="22" s="1"/>
  <c r="FD154" i="22"/>
  <c r="FD153" i="22"/>
  <c r="FD156" i="22"/>
  <c r="AT159" i="22"/>
  <c r="AT158" i="22"/>
  <c r="AT156" i="22"/>
  <c r="AT155" i="22"/>
  <c r="AT160" i="22" s="1"/>
  <c r="AT154" i="22"/>
  <c r="AT157" i="22"/>
  <c r="AV159" i="22"/>
  <c r="AV158" i="22"/>
  <c r="AV157" i="22"/>
  <c r="AV156" i="22"/>
  <c r="AV155" i="22"/>
  <c r="AV160" i="22" s="1"/>
  <c r="AV154" i="22"/>
  <c r="AV153" i="22"/>
  <c r="AX158" i="22"/>
  <c r="AX157" i="22"/>
  <c r="AX155" i="22"/>
  <c r="AX160" i="22" s="1"/>
  <c r="AX154" i="22"/>
  <c r="AX153" i="22"/>
  <c r="AX159" i="22"/>
  <c r="AX156" i="22"/>
  <c r="FX159" i="22"/>
  <c r="FX157" i="22"/>
  <c r="FX156" i="22"/>
  <c r="FX153" i="22"/>
  <c r="FX158" i="22"/>
  <c r="FX155" i="22"/>
  <c r="FX160" i="22" s="1"/>
  <c r="FX154" i="22"/>
  <c r="FZ159" i="22"/>
  <c r="FZ156" i="22"/>
  <c r="FZ158" i="22"/>
  <c r="FZ157" i="22"/>
  <c r="FZ155" i="22"/>
  <c r="FZ160" i="22" s="1"/>
  <c r="FZ154" i="22"/>
  <c r="FZ153" i="22"/>
  <c r="GB159" i="22"/>
  <c r="GB158" i="22"/>
  <c r="GB157" i="22"/>
  <c r="GB156" i="22"/>
  <c r="GB155" i="22"/>
  <c r="GB160" i="22" s="1"/>
  <c r="GB154" i="22"/>
  <c r="GB153" i="22"/>
  <c r="BR159" i="22"/>
  <c r="BR158" i="22"/>
  <c r="BR157" i="22"/>
  <c r="BR156" i="22"/>
  <c r="BR155" i="22"/>
  <c r="BR160" i="22" s="1"/>
  <c r="BR154" i="22"/>
  <c r="BR153" i="22"/>
  <c r="BT159" i="22"/>
  <c r="BT157" i="22"/>
  <c r="BT156" i="22"/>
  <c r="BT155" i="22"/>
  <c r="BT160" i="22" s="1"/>
  <c r="BT158" i="22"/>
  <c r="BT154" i="22"/>
  <c r="BT153" i="22"/>
  <c r="BV159" i="22"/>
  <c r="BV157" i="22"/>
  <c r="BV158" i="22"/>
  <c r="BV155" i="22"/>
  <c r="BV160" i="22" s="1"/>
  <c r="BV154" i="22"/>
  <c r="BV153" i="22"/>
  <c r="BV156" i="22"/>
  <c r="GV159" i="22"/>
  <c r="GV157" i="22"/>
  <c r="GV158" i="22"/>
  <c r="GV156" i="22"/>
  <c r="GV153" i="22"/>
  <c r="GV155" i="22"/>
  <c r="GV160" i="22" s="1"/>
  <c r="GV154" i="22"/>
  <c r="GX159" i="22"/>
  <c r="GX156" i="22"/>
  <c r="GX158" i="22"/>
  <c r="GX155" i="22"/>
  <c r="GX160" i="22" s="1"/>
  <c r="GX154" i="22"/>
  <c r="GX153" i="22"/>
  <c r="GX157" i="22"/>
  <c r="GZ159" i="22"/>
  <c r="GZ157" i="22"/>
  <c r="GZ156" i="22"/>
  <c r="GZ155" i="22"/>
  <c r="GZ160" i="22" s="1"/>
  <c r="GZ154" i="22"/>
  <c r="GZ153" i="22"/>
  <c r="GZ158" i="22"/>
  <c r="CP159" i="22"/>
  <c r="CP156" i="22"/>
  <c r="CP158" i="22"/>
  <c r="CP157" i="22"/>
  <c r="CP155" i="22"/>
  <c r="CP160" i="22" s="1"/>
  <c r="CP154" i="22"/>
  <c r="CP153" i="22"/>
  <c r="CR159" i="22"/>
  <c r="CR158" i="22"/>
  <c r="CR157" i="22"/>
  <c r="CR155" i="22"/>
  <c r="CR160" i="22" s="1"/>
  <c r="CR156" i="22"/>
  <c r="CR154" i="22"/>
  <c r="CR153" i="22"/>
  <c r="CT159" i="22"/>
  <c r="CT157" i="22"/>
  <c r="CT155" i="22"/>
  <c r="CT160" i="22" s="1"/>
  <c r="CT156" i="22"/>
  <c r="CT154" i="22"/>
  <c r="CT153" i="22"/>
  <c r="CT158" i="22"/>
  <c r="HT159" i="22"/>
  <c r="HT157" i="22"/>
  <c r="HT158" i="22"/>
  <c r="HT156" i="22"/>
  <c r="HT153" i="22"/>
  <c r="HT155" i="22"/>
  <c r="HT160" i="22" s="1"/>
  <c r="HT154" i="22"/>
  <c r="HV159" i="22"/>
  <c r="HV158" i="22"/>
  <c r="HV156" i="22"/>
  <c r="HV157" i="22"/>
  <c r="HV155" i="22"/>
  <c r="HV160" i="22" s="1"/>
  <c r="HV154" i="22"/>
  <c r="HV153" i="22"/>
  <c r="HX159" i="22"/>
  <c r="HX158" i="22"/>
  <c r="HX157" i="22"/>
  <c r="HX155" i="22"/>
  <c r="HX160" i="22" s="1"/>
  <c r="HX154" i="22"/>
  <c r="HX153" i="22"/>
  <c r="HX156" i="22"/>
  <c r="DN156" i="22"/>
  <c r="DN159" i="22"/>
  <c r="DN158" i="22"/>
  <c r="DN155" i="22"/>
  <c r="DN160" i="22" s="1"/>
  <c r="DN157" i="22"/>
  <c r="DN154" i="22"/>
  <c r="DN153" i="22"/>
  <c r="IN159" i="22"/>
  <c r="IN158" i="22"/>
  <c r="IN156" i="22"/>
  <c r="IN155" i="22"/>
  <c r="IN160" i="22" s="1"/>
  <c r="IN157" i="22"/>
  <c r="IN154" i="22"/>
  <c r="IN153" i="22"/>
  <c r="IN152" i="22"/>
  <c r="IN151" i="22"/>
  <c r="IN150" i="22"/>
  <c r="IN149" i="22"/>
  <c r="IN148" i="22"/>
  <c r="IF152" i="22"/>
  <c r="IF150" i="22"/>
  <c r="IF149" i="22"/>
  <c r="IF148" i="22"/>
  <c r="IF151" i="22"/>
  <c r="HX152" i="22"/>
  <c r="HX150" i="22"/>
  <c r="HX149" i="22"/>
  <c r="HX148" i="22"/>
  <c r="HP152" i="22"/>
  <c r="HP150" i="22"/>
  <c r="HP149" i="22"/>
  <c r="HP148" i="22"/>
  <c r="HH152" i="22"/>
  <c r="HH150" i="22"/>
  <c r="HH149" i="22"/>
  <c r="HH148" i="22"/>
  <c r="GZ152" i="22"/>
  <c r="GZ150" i="22"/>
  <c r="GZ149" i="22"/>
  <c r="GZ148" i="22"/>
  <c r="GR152" i="22"/>
  <c r="GR150" i="22"/>
  <c r="GR149" i="22"/>
  <c r="GR148" i="22"/>
  <c r="GJ152" i="22"/>
  <c r="GJ150" i="22"/>
  <c r="GJ149" i="22"/>
  <c r="GJ148" i="22"/>
  <c r="GB152" i="22"/>
  <c r="GB150" i="22"/>
  <c r="GB149" i="22"/>
  <c r="GB148" i="22"/>
  <c r="FT152" i="22"/>
  <c r="FT150" i="22"/>
  <c r="FT149" i="22"/>
  <c r="FT148" i="22"/>
  <c r="FL152" i="22"/>
  <c r="FL150" i="22"/>
  <c r="FL149" i="22"/>
  <c r="FL148" i="22"/>
  <c r="FD152" i="22"/>
  <c r="FD150" i="22"/>
  <c r="FD149" i="22"/>
  <c r="FD148" i="22"/>
  <c r="EV152" i="22"/>
  <c r="EV150" i="22"/>
  <c r="EV149" i="22"/>
  <c r="EV148" i="22"/>
  <c r="EN152" i="22"/>
  <c r="EN150" i="22"/>
  <c r="EN149" i="22"/>
  <c r="EN148" i="22"/>
  <c r="EF152" i="22"/>
  <c r="EF150" i="22"/>
  <c r="EF149" i="22"/>
  <c r="EF148" i="22"/>
  <c r="DX159" i="22"/>
  <c r="DX158" i="22"/>
  <c r="DX157" i="22"/>
  <c r="DX156" i="22"/>
  <c r="DX155" i="22"/>
  <c r="DX160" i="22" s="1"/>
  <c r="DX154" i="22"/>
  <c r="DX153" i="22"/>
  <c r="DX152" i="22"/>
  <c r="DX150" i="22"/>
  <c r="DX149" i="22"/>
  <c r="DX148" i="22"/>
  <c r="DP159" i="22"/>
  <c r="DP158" i="22"/>
  <c r="DP157" i="22"/>
  <c r="DP155" i="22"/>
  <c r="DP160" i="22" s="1"/>
  <c r="DP154" i="22"/>
  <c r="DP153" i="22"/>
  <c r="DP152" i="22"/>
  <c r="DP150" i="22"/>
  <c r="DP149" i="22"/>
  <c r="DP148" i="22"/>
  <c r="DP156" i="22"/>
  <c r="DH152" i="22"/>
  <c r="DH150" i="22"/>
  <c r="DH149" i="22"/>
  <c r="DH148" i="22"/>
  <c r="CZ152" i="22"/>
  <c r="CZ150" i="22"/>
  <c r="CZ149" i="22"/>
  <c r="CZ148" i="22"/>
  <c r="CR152" i="22"/>
  <c r="CR150" i="22"/>
  <c r="CR149" i="22"/>
  <c r="CR148" i="22"/>
  <c r="CJ152" i="22"/>
  <c r="CJ150" i="22"/>
  <c r="CJ149" i="22"/>
  <c r="CJ148" i="22"/>
  <c r="CB152" i="22"/>
  <c r="CB150" i="22"/>
  <c r="CB149" i="22"/>
  <c r="CB148" i="22"/>
  <c r="BT152" i="22"/>
  <c r="BT150" i="22"/>
  <c r="BT149" i="22"/>
  <c r="BT148" i="22"/>
  <c r="BL152" i="22"/>
  <c r="BL150" i="22"/>
  <c r="BL149" i="22"/>
  <c r="BL148" i="22"/>
  <c r="BD152" i="22"/>
  <c r="BD150" i="22"/>
  <c r="BD149" i="22"/>
  <c r="BD148" i="22"/>
  <c r="AV152" i="22"/>
  <c r="AV150" i="22"/>
  <c r="AV149" i="22"/>
  <c r="AN152" i="22"/>
  <c r="AN150" i="22"/>
  <c r="AN149" i="22"/>
  <c r="AF150" i="22"/>
  <c r="AF149" i="22"/>
  <c r="AF152" i="22"/>
  <c r="X150" i="22"/>
  <c r="X149" i="22"/>
  <c r="P150" i="22"/>
  <c r="P152" i="22"/>
  <c r="P149" i="22"/>
  <c r="H150" i="22"/>
  <c r="H149" i="22"/>
  <c r="H152" i="22"/>
  <c r="G156" i="22"/>
  <c r="BQ146" i="22"/>
  <c r="BY146" i="22"/>
  <c r="CG146" i="22"/>
  <c r="CO146" i="22"/>
  <c r="CW146" i="22"/>
  <c r="DE146" i="22"/>
  <c r="DM146" i="22"/>
  <c r="DU146" i="22"/>
  <c r="EC146" i="22"/>
  <c r="EK146" i="22"/>
  <c r="ES146" i="22"/>
  <c r="FA146" i="22"/>
  <c r="FI146" i="22"/>
  <c r="FQ146" i="22"/>
  <c r="FY146" i="22"/>
  <c r="HU146" i="22"/>
  <c r="IC146" i="22"/>
  <c r="IK146" i="22"/>
  <c r="L147" i="22"/>
  <c r="AB147" i="22"/>
  <c r="AR147" i="22"/>
  <c r="AZ147" i="22"/>
  <c r="BP147" i="22"/>
  <c r="BX147" i="22"/>
  <c r="CN147" i="22"/>
  <c r="CV147" i="22"/>
  <c r="DL147" i="22"/>
  <c r="DT147" i="22"/>
  <c r="ER147" i="22"/>
  <c r="EZ147" i="22"/>
  <c r="FP147" i="22"/>
  <c r="GH147" i="22"/>
  <c r="GZ147" i="22"/>
  <c r="HI147" i="22"/>
  <c r="HR147" i="22"/>
  <c r="IB147" i="22"/>
  <c r="IT147" i="22"/>
  <c r="N148" i="22"/>
  <c r="AF148" i="22"/>
  <c r="AO148" i="22"/>
  <c r="AY148" i="22"/>
  <c r="CM148" i="22"/>
  <c r="DC148" i="22"/>
  <c r="DT148" i="22"/>
  <c r="EQ148" i="22"/>
  <c r="FI148" i="22"/>
  <c r="GF148" i="22"/>
  <c r="AH149" i="22"/>
  <c r="BN149" i="22"/>
  <c r="CT149" i="22"/>
  <c r="DZ149" i="22"/>
  <c r="FF149" i="22"/>
  <c r="GL149" i="22"/>
  <c r="HR149" i="22"/>
  <c r="AH150" i="22"/>
  <c r="BN150" i="22"/>
  <c r="CT150" i="22"/>
  <c r="DZ150" i="22"/>
  <c r="FE150" i="22"/>
  <c r="GK150" i="22"/>
  <c r="HQ150" i="22"/>
  <c r="AG151" i="22"/>
  <c r="BM151" i="22"/>
  <c r="CS151" i="22"/>
  <c r="DY151" i="22"/>
  <c r="FD151" i="22"/>
  <c r="GJ151" i="22"/>
  <c r="HP151" i="22"/>
  <c r="X152" i="22"/>
  <c r="DF153" i="22"/>
  <c r="J157" i="22"/>
  <c r="J158" i="22"/>
  <c r="J155" i="22"/>
  <c r="J160" i="22" s="1"/>
  <c r="J154" i="22"/>
  <c r="J153" i="22"/>
  <c r="J159" i="22"/>
  <c r="J156" i="22"/>
  <c r="ER159" i="22"/>
  <c r="ER157" i="22"/>
  <c r="ER158" i="22"/>
  <c r="ER153" i="22"/>
  <c r="ER156" i="22"/>
  <c r="ER155" i="22"/>
  <c r="ER160" i="22" s="1"/>
  <c r="ER154" i="22"/>
  <c r="CF159" i="22"/>
  <c r="CF157" i="22"/>
  <c r="CF158" i="22"/>
  <c r="CF153" i="22"/>
  <c r="CF156" i="22"/>
  <c r="CF155" i="22"/>
  <c r="CF160" i="22" s="1"/>
  <c r="CF154" i="22"/>
  <c r="CH156" i="22"/>
  <c r="CH158" i="22"/>
  <c r="CH159" i="22"/>
  <c r="CH155" i="22"/>
  <c r="CH160" i="22" s="1"/>
  <c r="CH157" i="22"/>
  <c r="CH154" i="22"/>
  <c r="CH153" i="22"/>
  <c r="IJ159" i="22"/>
  <c r="IJ157" i="22"/>
  <c r="IJ156" i="22"/>
  <c r="IJ153" i="22"/>
  <c r="IJ152" i="22"/>
  <c r="IJ151" i="22"/>
  <c r="IJ158" i="22"/>
  <c r="IJ155" i="22"/>
  <c r="IJ160" i="22" s="1"/>
  <c r="IJ154" i="22"/>
  <c r="IJ150" i="22"/>
  <c r="IJ149" i="22"/>
  <c r="GN152" i="22"/>
  <c r="GN151" i="22"/>
  <c r="GN150" i="22"/>
  <c r="GN149" i="22"/>
  <c r="FH152" i="22"/>
  <c r="FH151" i="22"/>
  <c r="FH150" i="22"/>
  <c r="FH149" i="22"/>
  <c r="DD152" i="22"/>
  <c r="DD151" i="22"/>
  <c r="DD150" i="22"/>
  <c r="DD149" i="22"/>
  <c r="CF152" i="22"/>
  <c r="CF151" i="22"/>
  <c r="CF150" i="22"/>
  <c r="CF149" i="22"/>
  <c r="AJ152" i="22"/>
  <c r="AJ151" i="22"/>
  <c r="AJ150" i="22"/>
  <c r="AJ149" i="22"/>
  <c r="T152" i="22"/>
  <c r="T151" i="22"/>
  <c r="T150" i="22"/>
  <c r="T149" i="22"/>
  <c r="I157" i="22"/>
  <c r="I158" i="22"/>
  <c r="I156" i="22"/>
  <c r="I155" i="22"/>
  <c r="I160" i="22" s="1"/>
  <c r="I154" i="22"/>
  <c r="I153" i="22"/>
  <c r="I159" i="22"/>
  <c r="AG159" i="22"/>
  <c r="AG158" i="22"/>
  <c r="AG157" i="22"/>
  <c r="AG156" i="22"/>
  <c r="AG155" i="22"/>
  <c r="AG160" i="22" s="1"/>
  <c r="AG154" i="22"/>
  <c r="AG153" i="22"/>
  <c r="AI159" i="22"/>
  <c r="AI157" i="22"/>
  <c r="AI154" i="22"/>
  <c r="AI153" i="22"/>
  <c r="AI158" i="22"/>
  <c r="AI156" i="22"/>
  <c r="AI155" i="22"/>
  <c r="AI160" i="22" s="1"/>
  <c r="BG158" i="22"/>
  <c r="BG159" i="22"/>
  <c r="BG157" i="22"/>
  <c r="BG154" i="22"/>
  <c r="BG153" i="22"/>
  <c r="BG156" i="22"/>
  <c r="BG155" i="22"/>
  <c r="BG160" i="22" s="1"/>
  <c r="GI159" i="22"/>
  <c r="GI158" i="22"/>
  <c r="GI157" i="22"/>
  <c r="GI155" i="22"/>
  <c r="GI160" i="22" s="1"/>
  <c r="GI154" i="22"/>
  <c r="GI153" i="22"/>
  <c r="GI156" i="22"/>
  <c r="CE159" i="22"/>
  <c r="CE157" i="22"/>
  <c r="CE158" i="22"/>
  <c r="CE154" i="22"/>
  <c r="CE153" i="22"/>
  <c r="CE156" i="22"/>
  <c r="CE155" i="22"/>
  <c r="CE160" i="22" s="1"/>
  <c r="HG159" i="22"/>
  <c r="HG158" i="22"/>
  <c r="HG157" i="22"/>
  <c r="HG155" i="22"/>
  <c r="HG160" i="22" s="1"/>
  <c r="HG154" i="22"/>
  <c r="HG153" i="22"/>
  <c r="HG156" i="22"/>
  <c r="EC158" i="22"/>
  <c r="EC157" i="22"/>
  <c r="EC156" i="22"/>
  <c r="EC159" i="22"/>
  <c r="EC155" i="22"/>
  <c r="EC160" i="22" s="1"/>
  <c r="EC153" i="22"/>
  <c r="EC154" i="22"/>
  <c r="S159" i="22"/>
  <c r="S157" i="22"/>
  <c r="S158" i="22"/>
  <c r="S154" i="22"/>
  <c r="S153" i="22"/>
  <c r="S156" i="22"/>
  <c r="S155" i="22"/>
  <c r="S160" i="22" s="1"/>
  <c r="U158" i="22"/>
  <c r="U159" i="22"/>
  <c r="U157" i="22"/>
  <c r="U156" i="22"/>
  <c r="U155" i="22"/>
  <c r="U160" i="22" s="1"/>
  <c r="U154" i="22"/>
  <c r="U153" i="22"/>
  <c r="W158" i="22"/>
  <c r="W159" i="22"/>
  <c r="W156" i="22"/>
  <c r="W155" i="22"/>
  <c r="W160" i="22" s="1"/>
  <c r="W157" i="22"/>
  <c r="W154" i="22"/>
  <c r="W153" i="22"/>
  <c r="EW157" i="22"/>
  <c r="EW159" i="22"/>
  <c r="EW158" i="22"/>
  <c r="EW156" i="22"/>
  <c r="EW155" i="22"/>
  <c r="EW160" i="22" s="1"/>
  <c r="EW154" i="22"/>
  <c r="EW153" i="22"/>
  <c r="EY159" i="22"/>
  <c r="EY157" i="22"/>
  <c r="EY158" i="22"/>
  <c r="EY156" i="22"/>
  <c r="EY154" i="22"/>
  <c r="EY153" i="22"/>
  <c r="EY155" i="22"/>
  <c r="EY160" i="22" s="1"/>
  <c r="FA158" i="22"/>
  <c r="FA159" i="22"/>
  <c r="FA157" i="22"/>
  <c r="FA156" i="22"/>
  <c r="FA155" i="22"/>
  <c r="FA160" i="22" s="1"/>
  <c r="FA154" i="22"/>
  <c r="FA153" i="22"/>
  <c r="AQ157" i="22"/>
  <c r="AQ159" i="22"/>
  <c r="AQ154" i="22"/>
  <c r="AQ153" i="22"/>
  <c r="AQ158" i="22"/>
  <c r="AQ156" i="22"/>
  <c r="AQ155" i="22"/>
  <c r="AQ160" i="22" s="1"/>
  <c r="AS158" i="22"/>
  <c r="AS159" i="22"/>
  <c r="AS157" i="22"/>
  <c r="AS156" i="22"/>
  <c r="AS155" i="22"/>
  <c r="AS160" i="22" s="1"/>
  <c r="AS154" i="22"/>
  <c r="AU159" i="22"/>
  <c r="AU158" i="22"/>
  <c r="AU156" i="22"/>
  <c r="AU155" i="22"/>
  <c r="AU160" i="22" s="1"/>
  <c r="AU154" i="22"/>
  <c r="AU153" i="22"/>
  <c r="AU157" i="22"/>
  <c r="FU158" i="22"/>
  <c r="FU157" i="22"/>
  <c r="FU159" i="22"/>
  <c r="FU155" i="22"/>
  <c r="FU160" i="22" s="1"/>
  <c r="FU154" i="22"/>
  <c r="FU153" i="22"/>
  <c r="FU156" i="22"/>
  <c r="FW159" i="22"/>
  <c r="FW158" i="22"/>
  <c r="FW157" i="22"/>
  <c r="FW154" i="22"/>
  <c r="FW153" i="22"/>
  <c r="FW156" i="22"/>
  <c r="FW155" i="22"/>
  <c r="FW160" i="22" s="1"/>
  <c r="FY158" i="22"/>
  <c r="FY159" i="22"/>
  <c r="FY157" i="22"/>
  <c r="FY156" i="22"/>
  <c r="FY155" i="22"/>
  <c r="FY160" i="22" s="1"/>
  <c r="FY154" i="22"/>
  <c r="FY153" i="22"/>
  <c r="BO158" i="22"/>
  <c r="BO157" i="22"/>
  <c r="BO154" i="22"/>
  <c r="BO153" i="22"/>
  <c r="BO159" i="22"/>
  <c r="BO156" i="22"/>
  <c r="BO155" i="22"/>
  <c r="BO160" i="22" s="1"/>
  <c r="BQ158" i="22"/>
  <c r="BQ157" i="22"/>
  <c r="BQ159" i="22"/>
  <c r="BQ156" i="22"/>
  <c r="BQ155" i="22"/>
  <c r="BQ160" i="22" s="1"/>
  <c r="BQ154" i="22"/>
  <c r="BQ153" i="22"/>
  <c r="BS159" i="22"/>
  <c r="BS157" i="22"/>
  <c r="BS156" i="22"/>
  <c r="BS155" i="22"/>
  <c r="BS160" i="22" s="1"/>
  <c r="BS158" i="22"/>
  <c r="BS154" i="22"/>
  <c r="BS153" i="22"/>
  <c r="GS157" i="22"/>
  <c r="GS158" i="22"/>
  <c r="GS155" i="22"/>
  <c r="GS160" i="22" s="1"/>
  <c r="GS156" i="22"/>
  <c r="GS154" i="22"/>
  <c r="GS153" i="22"/>
  <c r="GS159" i="22"/>
  <c r="GU157" i="22"/>
  <c r="GU158" i="22"/>
  <c r="GU156" i="22"/>
  <c r="GU159" i="22"/>
  <c r="GU154" i="22"/>
  <c r="GU153" i="22"/>
  <c r="GU155" i="22"/>
  <c r="GU160" i="22" s="1"/>
  <c r="GW158" i="22"/>
  <c r="GW159" i="22"/>
  <c r="GW157" i="22"/>
  <c r="GW156" i="22"/>
  <c r="GW155" i="22"/>
  <c r="GW160" i="22" s="1"/>
  <c r="GW154" i="22"/>
  <c r="CM159" i="22"/>
  <c r="CM157" i="22"/>
  <c r="CM158" i="22"/>
  <c r="CM154" i="22"/>
  <c r="CM153" i="22"/>
  <c r="CM155" i="22"/>
  <c r="CM160" i="22" s="1"/>
  <c r="CM156" i="22"/>
  <c r="CO158" i="22"/>
  <c r="CO159" i="22"/>
  <c r="CO157" i="22"/>
  <c r="CO156" i="22"/>
  <c r="CO155" i="22"/>
  <c r="CO160" i="22" s="1"/>
  <c r="CO154" i="22"/>
  <c r="CO153" i="22"/>
  <c r="CQ159" i="22"/>
  <c r="CQ158" i="22"/>
  <c r="CQ157" i="22"/>
  <c r="CQ155" i="22"/>
  <c r="CQ160" i="22" s="1"/>
  <c r="CQ156" i="22"/>
  <c r="CQ154" i="22"/>
  <c r="CQ153" i="22"/>
  <c r="HQ158" i="22"/>
  <c r="HQ157" i="22"/>
  <c r="HQ156" i="22"/>
  <c r="HQ155" i="22"/>
  <c r="HQ160" i="22" s="1"/>
  <c r="HQ154" i="22"/>
  <c r="HQ153" i="22"/>
  <c r="HQ159" i="22"/>
  <c r="HS158" i="22"/>
  <c r="HS157" i="22"/>
  <c r="HS156" i="22"/>
  <c r="HS159" i="22"/>
  <c r="HS154" i="22"/>
  <c r="HS153" i="22"/>
  <c r="HS155" i="22"/>
  <c r="HS160" i="22" s="1"/>
  <c r="HU158" i="22"/>
  <c r="HU159" i="22"/>
  <c r="HU157" i="22"/>
  <c r="HU156" i="22"/>
  <c r="HU155" i="22"/>
  <c r="HU160" i="22" s="1"/>
  <c r="HU153" i="22"/>
  <c r="HU154" i="22"/>
  <c r="DK159" i="22"/>
  <c r="DK158" i="22"/>
  <c r="DK157" i="22"/>
  <c r="DK154" i="22"/>
  <c r="DK153" i="22"/>
  <c r="DK156" i="22"/>
  <c r="DK155" i="22"/>
  <c r="DK160" i="22" s="1"/>
  <c r="DM158" i="22"/>
  <c r="DM159" i="22"/>
  <c r="DM157" i="22"/>
  <c r="DM156" i="22"/>
  <c r="DM155" i="22"/>
  <c r="DM160" i="22" s="1"/>
  <c r="DM154" i="22"/>
  <c r="DM153" i="22"/>
  <c r="IU159" i="22"/>
  <c r="IU158" i="22"/>
  <c r="IU157" i="22"/>
  <c r="IU156" i="22"/>
  <c r="IU155" i="22"/>
  <c r="IU160" i="22" s="1"/>
  <c r="IU161" i="22" s="1"/>
  <c r="IU162" i="22" s="1"/>
  <c r="IU154" i="22"/>
  <c r="IU153" i="22"/>
  <c r="IU152" i="22"/>
  <c r="IU150" i="22"/>
  <c r="IU149" i="22"/>
  <c r="IU148" i="22"/>
  <c r="IM159" i="22"/>
  <c r="IM156" i="22"/>
  <c r="IM155" i="22"/>
  <c r="IM160" i="22" s="1"/>
  <c r="IM157" i="22"/>
  <c r="IM154" i="22"/>
  <c r="IM153" i="22"/>
  <c r="IM158" i="22"/>
  <c r="IM151" i="22"/>
  <c r="IM150" i="22"/>
  <c r="IM149" i="22"/>
  <c r="IM152" i="22"/>
  <c r="IM148" i="22"/>
  <c r="IE150" i="22"/>
  <c r="IE149" i="22"/>
  <c r="IE148" i="22"/>
  <c r="IE151" i="22"/>
  <c r="IE152" i="22"/>
  <c r="HW151" i="22"/>
  <c r="HW150" i="22"/>
  <c r="HW149" i="22"/>
  <c r="HW148" i="22"/>
  <c r="HO151" i="22"/>
  <c r="HO152" i="22"/>
  <c r="HO150" i="22"/>
  <c r="HO149" i="22"/>
  <c r="HO148" i="22"/>
  <c r="HG151" i="22"/>
  <c r="HG150" i="22"/>
  <c r="HG149" i="22"/>
  <c r="HG152" i="22"/>
  <c r="HG148" i="22"/>
  <c r="GY151" i="22"/>
  <c r="GY150" i="22"/>
  <c r="GY149" i="22"/>
  <c r="GY148" i="22"/>
  <c r="GY152" i="22"/>
  <c r="GQ151" i="22"/>
  <c r="GQ150" i="22"/>
  <c r="GQ149" i="22"/>
  <c r="GQ148" i="22"/>
  <c r="GI151" i="22"/>
  <c r="GI152" i="22"/>
  <c r="GI150" i="22"/>
  <c r="GI149" i="22"/>
  <c r="GI148" i="22"/>
  <c r="GA151" i="22"/>
  <c r="GA150" i="22"/>
  <c r="GA149" i="22"/>
  <c r="GA152" i="22"/>
  <c r="GA148" i="22"/>
  <c r="FS151" i="22"/>
  <c r="FS150" i="22"/>
  <c r="FS149" i="22"/>
  <c r="FS148" i="22"/>
  <c r="FS152" i="22"/>
  <c r="FK151" i="22"/>
  <c r="FK150" i="22"/>
  <c r="FK149" i="22"/>
  <c r="FK148" i="22"/>
  <c r="FC151" i="22"/>
  <c r="FC152" i="22"/>
  <c r="FC150" i="22"/>
  <c r="FC149" i="22"/>
  <c r="FC148" i="22"/>
  <c r="EU151" i="22"/>
  <c r="EU150" i="22"/>
  <c r="EU149" i="22"/>
  <c r="EU152" i="22"/>
  <c r="EU148" i="22"/>
  <c r="EM151" i="22"/>
  <c r="EM150" i="22"/>
  <c r="EM149" i="22"/>
  <c r="EM148" i="22"/>
  <c r="EM152" i="22"/>
  <c r="EE151" i="22"/>
  <c r="EE150" i="22"/>
  <c r="EE149" i="22"/>
  <c r="EE148" i="22"/>
  <c r="DW159" i="22"/>
  <c r="DW157" i="22"/>
  <c r="DW156" i="22"/>
  <c r="DW155" i="22"/>
  <c r="DW160" i="22" s="1"/>
  <c r="DW154" i="22"/>
  <c r="DW153" i="22"/>
  <c r="DW151" i="22"/>
  <c r="DW150" i="22"/>
  <c r="DW152" i="22"/>
  <c r="DW149" i="22"/>
  <c r="DW148" i="22"/>
  <c r="DW158" i="22"/>
  <c r="DO159" i="22"/>
  <c r="DO158" i="22"/>
  <c r="DO156" i="22"/>
  <c r="DO155" i="22"/>
  <c r="DO160" i="22" s="1"/>
  <c r="DO157" i="22"/>
  <c r="DO154" i="22"/>
  <c r="DO153" i="22"/>
  <c r="DO151" i="22"/>
  <c r="DO150" i="22"/>
  <c r="DO149" i="22"/>
  <c r="DO148" i="22"/>
  <c r="DO152" i="22"/>
  <c r="DG151" i="22"/>
  <c r="DG150" i="22"/>
  <c r="DG149" i="22"/>
  <c r="CY152" i="22"/>
  <c r="CY151" i="22"/>
  <c r="CY150" i="22"/>
  <c r="CY149" i="22"/>
  <c r="CQ151" i="22"/>
  <c r="CQ150" i="22"/>
  <c r="CQ152" i="22"/>
  <c r="CQ149" i="22"/>
  <c r="CI151" i="22"/>
  <c r="CI150" i="22"/>
  <c r="CI149" i="22"/>
  <c r="CI152" i="22"/>
  <c r="CA151" i="22"/>
  <c r="CA150" i="22"/>
  <c r="CA149" i="22"/>
  <c r="BS152" i="22"/>
  <c r="BS151" i="22"/>
  <c r="BS150" i="22"/>
  <c r="BS149" i="22"/>
  <c r="BK151" i="22"/>
  <c r="BK150" i="22"/>
  <c r="BK152" i="22"/>
  <c r="BK149" i="22"/>
  <c r="BC151" i="22"/>
  <c r="BC150" i="22"/>
  <c r="BC149" i="22"/>
  <c r="BC152" i="22"/>
  <c r="AU151" i="22"/>
  <c r="AU150" i="22"/>
  <c r="AU149" i="22"/>
  <c r="AM151" i="22"/>
  <c r="AM152" i="22"/>
  <c r="AM150" i="22"/>
  <c r="AM149" i="22"/>
  <c r="AE151" i="22"/>
  <c r="AE150" i="22"/>
  <c r="AE149" i="22"/>
  <c r="AE152" i="22"/>
  <c r="W151" i="22"/>
  <c r="W150" i="22"/>
  <c r="W149" i="22"/>
  <c r="O151" i="22"/>
  <c r="O150" i="22"/>
  <c r="O152" i="22"/>
  <c r="O149" i="22"/>
  <c r="G155" i="22"/>
  <c r="G160" i="22" s="1"/>
  <c r="AT146" i="22"/>
  <c r="EL146" i="22"/>
  <c r="FZ146" i="22"/>
  <c r="IL146" i="22"/>
  <c r="BA147" i="22"/>
  <c r="BY147" i="22"/>
  <c r="CO147" i="22"/>
  <c r="DE147" i="22"/>
  <c r="DU147" i="22"/>
  <c r="ES147" i="22"/>
  <c r="GI147" i="22"/>
  <c r="GR147" i="22"/>
  <c r="HA147" i="22"/>
  <c r="HJ147" i="22"/>
  <c r="HT147" i="22"/>
  <c r="IU147" i="22"/>
  <c r="O148" i="22"/>
  <c r="X148" i="22"/>
  <c r="AG148" i="22"/>
  <c r="AQ148" i="22"/>
  <c r="AZ148" i="22"/>
  <c r="BM148" i="22"/>
  <c r="CN148" i="22"/>
  <c r="DD148" i="22"/>
  <c r="ER148" i="22"/>
  <c r="FO148" i="22"/>
  <c r="GM148" i="22"/>
  <c r="HS148" i="22"/>
  <c r="AI149" i="22"/>
  <c r="BO149" i="22"/>
  <c r="CU149" i="22"/>
  <c r="FG149" i="22"/>
  <c r="GM149" i="22"/>
  <c r="HS149" i="22"/>
  <c r="I150" i="22"/>
  <c r="AO150" i="22"/>
  <c r="BU150" i="22"/>
  <c r="DA150" i="22"/>
  <c r="FF150" i="22"/>
  <c r="GL150" i="22"/>
  <c r="HR150" i="22"/>
  <c r="H151" i="22"/>
  <c r="AN151" i="22"/>
  <c r="BT151" i="22"/>
  <c r="CZ151" i="22"/>
  <c r="FE151" i="22"/>
  <c r="GK151" i="22"/>
  <c r="HQ151" i="22"/>
  <c r="AJ159" i="22"/>
  <c r="AJ157" i="22"/>
  <c r="AJ158" i="22"/>
  <c r="AJ153" i="22"/>
  <c r="AJ156" i="22"/>
  <c r="AJ155" i="22"/>
  <c r="AJ160" i="22" s="1"/>
  <c r="AJ154" i="22"/>
  <c r="HL152" i="22"/>
  <c r="HL151" i="22"/>
  <c r="HL150" i="22"/>
  <c r="HL149" i="22"/>
  <c r="EJ152" i="22"/>
  <c r="EJ151" i="22"/>
  <c r="EJ150" i="22"/>
  <c r="EJ149" i="22"/>
  <c r="BX152" i="22"/>
  <c r="BX151" i="22"/>
  <c r="BX150" i="22"/>
  <c r="BX149" i="22"/>
  <c r="EM159" i="22"/>
  <c r="EM158" i="22"/>
  <c r="EM156" i="22"/>
  <c r="EM155" i="22"/>
  <c r="EM160" i="22" s="1"/>
  <c r="EM154" i="22"/>
  <c r="EM157" i="22"/>
  <c r="EM153" i="22"/>
  <c r="AE159" i="22"/>
  <c r="AE158" i="22"/>
  <c r="AE157" i="22"/>
  <c r="AE156" i="22"/>
  <c r="AE155" i="22"/>
  <c r="AE160" i="22" s="1"/>
  <c r="AE154" i="22"/>
  <c r="AE153" i="22"/>
  <c r="CC159" i="22"/>
  <c r="CC157" i="22"/>
  <c r="CC156" i="22"/>
  <c r="CC158" i="22"/>
  <c r="CC155" i="22"/>
  <c r="CC160" i="22" s="1"/>
  <c r="CC154" i="22"/>
  <c r="CC153" i="22"/>
  <c r="HE158" i="22"/>
  <c r="HE157" i="22"/>
  <c r="HE156" i="22"/>
  <c r="HE159" i="22"/>
  <c r="HE155" i="22"/>
  <c r="HE160" i="22" s="1"/>
  <c r="HE154" i="22"/>
  <c r="HE153" i="22"/>
  <c r="P159" i="22"/>
  <c r="P157" i="22"/>
  <c r="P158" i="22"/>
  <c r="P156" i="22"/>
  <c r="P155" i="22"/>
  <c r="P160" i="22" s="1"/>
  <c r="P154" i="22"/>
  <c r="P153" i="22"/>
  <c r="R159" i="22"/>
  <c r="R157" i="22"/>
  <c r="R158" i="22"/>
  <c r="R155" i="22"/>
  <c r="R160" i="22" s="1"/>
  <c r="R154" i="22"/>
  <c r="R153" i="22"/>
  <c r="R156" i="22"/>
  <c r="T159" i="22"/>
  <c r="T157" i="22"/>
  <c r="T158" i="22"/>
  <c r="T153" i="22"/>
  <c r="T156" i="22"/>
  <c r="T155" i="22"/>
  <c r="T160" i="22" s="1"/>
  <c r="T154" i="22"/>
  <c r="ET156" i="22"/>
  <c r="ET158" i="22"/>
  <c r="ET159" i="22"/>
  <c r="ET157" i="22"/>
  <c r="ET155" i="22"/>
  <c r="ET160" i="22" s="1"/>
  <c r="ET154" i="22"/>
  <c r="ET153" i="22"/>
  <c r="EV158" i="22"/>
  <c r="EV157" i="22"/>
  <c r="EV159" i="22"/>
  <c r="EV156" i="22"/>
  <c r="EV155" i="22"/>
  <c r="EV160" i="22" s="1"/>
  <c r="EV154" i="22"/>
  <c r="EV153" i="22"/>
  <c r="EX157" i="22"/>
  <c r="EX159" i="22"/>
  <c r="EX156" i="22"/>
  <c r="EX158" i="22"/>
  <c r="EX155" i="22"/>
  <c r="EX160" i="22" s="1"/>
  <c r="EX154" i="22"/>
  <c r="EX153" i="22"/>
  <c r="AN158" i="22"/>
  <c r="AN159" i="22"/>
  <c r="AN157" i="22"/>
  <c r="AN156" i="22"/>
  <c r="AN155" i="22"/>
  <c r="AN160" i="22" s="1"/>
  <c r="AN154" i="22"/>
  <c r="AN153" i="22"/>
  <c r="AP159" i="22"/>
  <c r="AP158" i="22"/>
  <c r="AP157" i="22"/>
  <c r="AP155" i="22"/>
  <c r="AP160" i="22" s="1"/>
  <c r="AP154" i="22"/>
  <c r="AP153" i="22"/>
  <c r="AP156" i="22"/>
  <c r="AR159" i="22"/>
  <c r="AR157" i="22"/>
  <c r="AR153" i="22"/>
  <c r="AR158" i="22"/>
  <c r="AR156" i="22"/>
  <c r="AR155" i="22"/>
  <c r="AR160" i="22" s="1"/>
  <c r="AR154" i="22"/>
  <c r="FR159" i="22"/>
  <c r="FR156" i="22"/>
  <c r="FR158" i="22"/>
  <c r="FR155" i="22"/>
  <c r="FR160" i="22" s="1"/>
  <c r="FR154" i="22"/>
  <c r="FR157" i="22"/>
  <c r="FR153" i="22"/>
  <c r="FT158" i="22"/>
  <c r="FT157" i="22"/>
  <c r="FT159" i="22"/>
  <c r="FT155" i="22"/>
  <c r="FT160" i="22" s="1"/>
  <c r="FT154" i="22"/>
  <c r="FT153" i="22"/>
  <c r="FT156" i="22"/>
  <c r="FV158" i="22"/>
  <c r="FV157" i="22"/>
  <c r="FV159" i="22"/>
  <c r="FV156" i="22"/>
  <c r="FV155" i="22"/>
  <c r="FV160" i="22" s="1"/>
  <c r="FV154" i="22"/>
  <c r="FV153" i="22"/>
  <c r="BL159" i="22"/>
  <c r="BL158" i="22"/>
  <c r="BL157" i="22"/>
  <c r="BL156" i="22"/>
  <c r="BL155" i="22"/>
  <c r="BL160" i="22" s="1"/>
  <c r="BL154" i="22"/>
  <c r="BL153" i="22"/>
  <c r="BN158" i="22"/>
  <c r="BN157" i="22"/>
  <c r="BN155" i="22"/>
  <c r="BN160" i="22" s="1"/>
  <c r="BN154" i="22"/>
  <c r="BN153" i="22"/>
  <c r="BN159" i="22"/>
  <c r="BN156" i="22"/>
  <c r="BP159" i="22"/>
  <c r="BP158" i="22"/>
  <c r="BP157" i="22"/>
  <c r="BP153" i="22"/>
  <c r="BP156" i="22"/>
  <c r="BP155" i="22"/>
  <c r="BP160" i="22" s="1"/>
  <c r="BP154" i="22"/>
  <c r="GP159" i="22"/>
  <c r="GP158" i="22"/>
  <c r="GP156" i="22"/>
  <c r="GP157" i="22"/>
  <c r="GP155" i="22"/>
  <c r="GP160" i="22" s="1"/>
  <c r="GP154" i="22"/>
  <c r="GR157" i="22"/>
  <c r="GR155" i="22"/>
  <c r="GR160" i="22" s="1"/>
  <c r="GR156" i="22"/>
  <c r="GR154" i="22"/>
  <c r="GR153" i="22"/>
  <c r="GR159" i="22"/>
  <c r="GR158" i="22"/>
  <c r="GT157" i="22"/>
  <c r="GT158" i="22"/>
  <c r="GT156" i="22"/>
  <c r="GT159" i="22"/>
  <c r="GT155" i="22"/>
  <c r="GT160" i="22" s="1"/>
  <c r="GT154" i="22"/>
  <c r="GT153" i="22"/>
  <c r="CJ158" i="22"/>
  <c r="CJ157" i="22"/>
  <c r="CJ159" i="22"/>
  <c r="CJ156" i="22"/>
  <c r="CJ155" i="22"/>
  <c r="CJ160" i="22" s="1"/>
  <c r="CJ154" i="22"/>
  <c r="CJ153" i="22"/>
  <c r="CL157" i="22"/>
  <c r="CL159" i="22"/>
  <c r="CL156" i="22"/>
  <c r="CL155" i="22"/>
  <c r="CL160" i="22" s="1"/>
  <c r="CL154" i="22"/>
  <c r="CL153" i="22"/>
  <c r="CL158" i="22"/>
  <c r="CN159" i="22"/>
  <c r="CN157" i="22"/>
  <c r="CN158" i="22"/>
  <c r="CN153" i="22"/>
  <c r="CN155" i="22"/>
  <c r="CN160" i="22" s="1"/>
  <c r="CN156" i="22"/>
  <c r="CN154" i="22"/>
  <c r="HN159" i="22"/>
  <c r="HN156" i="22"/>
  <c r="HN157" i="22"/>
  <c r="HN158" i="22"/>
  <c r="HN155" i="22"/>
  <c r="HN160" i="22" s="1"/>
  <c r="HN154" i="22"/>
  <c r="HN153" i="22"/>
  <c r="HP159" i="22"/>
  <c r="HP158" i="22"/>
  <c r="HP157" i="22"/>
  <c r="HP156" i="22"/>
  <c r="HP155" i="22"/>
  <c r="HP160" i="22" s="1"/>
  <c r="HP154" i="22"/>
  <c r="HP153" i="22"/>
  <c r="HR158" i="22"/>
  <c r="HR157" i="22"/>
  <c r="HR156" i="22"/>
  <c r="HR155" i="22"/>
  <c r="HR160" i="22" s="1"/>
  <c r="HR154" i="22"/>
  <c r="HR153" i="22"/>
  <c r="HR159" i="22"/>
  <c r="DH158" i="22"/>
  <c r="DH159" i="22"/>
  <c r="DH157" i="22"/>
  <c r="DH155" i="22"/>
  <c r="DH160" i="22" s="1"/>
  <c r="DH154" i="22"/>
  <c r="DH153" i="22"/>
  <c r="DH156" i="22"/>
  <c r="DJ159" i="22"/>
  <c r="DJ158" i="22"/>
  <c r="DJ157" i="22"/>
  <c r="DJ156" i="22"/>
  <c r="DJ155" i="22"/>
  <c r="DJ160" i="22" s="1"/>
  <c r="DJ154" i="22"/>
  <c r="DJ153" i="22"/>
  <c r="DL159" i="22"/>
  <c r="DL157" i="22"/>
  <c r="DL153" i="22"/>
  <c r="DL158" i="22"/>
  <c r="DL156" i="22"/>
  <c r="DL155" i="22"/>
  <c r="DL160" i="22" s="1"/>
  <c r="DL154" i="22"/>
  <c r="IT159" i="22"/>
  <c r="IT157" i="22"/>
  <c r="IT156" i="22"/>
  <c r="IT158" i="22"/>
  <c r="IT151" i="22"/>
  <c r="IT155" i="22"/>
  <c r="IT160" i="22" s="1"/>
  <c r="IT154" i="22"/>
  <c r="IT153" i="22"/>
  <c r="IT152" i="22"/>
  <c r="IT150" i="22"/>
  <c r="IT149" i="22"/>
  <c r="IT148" i="22"/>
  <c r="IL159" i="22"/>
  <c r="IL157" i="22"/>
  <c r="IL158" i="22"/>
  <c r="IL156" i="22"/>
  <c r="IL151" i="22"/>
  <c r="IL155" i="22"/>
  <c r="IL160" i="22" s="1"/>
  <c r="IL154" i="22"/>
  <c r="IL150" i="22"/>
  <c r="IL153" i="22"/>
  <c r="IL149" i="22"/>
  <c r="IL152" i="22"/>
  <c r="IL148" i="22"/>
  <c r="ID151" i="22"/>
  <c r="ID150" i="22"/>
  <c r="ID149" i="22"/>
  <c r="ID148" i="22"/>
  <c r="HV152" i="22"/>
  <c r="HV151" i="22"/>
  <c r="HV150" i="22"/>
  <c r="HV149" i="22"/>
  <c r="HV148" i="22"/>
  <c r="HN151" i="22"/>
  <c r="HN152" i="22"/>
  <c r="HN150" i="22"/>
  <c r="HN149" i="22"/>
  <c r="HN148" i="22"/>
  <c r="HF151" i="22"/>
  <c r="HF150" i="22"/>
  <c r="HF149" i="22"/>
  <c r="HF152" i="22"/>
  <c r="HF148" i="22"/>
  <c r="GX151" i="22"/>
  <c r="GX150" i="22"/>
  <c r="GX149" i="22"/>
  <c r="GX148" i="22"/>
  <c r="GP152" i="22"/>
  <c r="GP151" i="22"/>
  <c r="GP150" i="22"/>
  <c r="GP149" i="22"/>
  <c r="GP148" i="22"/>
  <c r="GH151" i="22"/>
  <c r="GH152" i="22"/>
  <c r="GH150" i="22"/>
  <c r="GH149" i="22"/>
  <c r="GH148" i="22"/>
  <c r="FZ151" i="22"/>
  <c r="FZ150" i="22"/>
  <c r="FZ149" i="22"/>
  <c r="FZ152" i="22"/>
  <c r="FZ148" i="22"/>
  <c r="FR151" i="22"/>
  <c r="FR150" i="22"/>
  <c r="FR149" i="22"/>
  <c r="FR148" i="22"/>
  <c r="FJ152" i="22"/>
  <c r="FJ151" i="22"/>
  <c r="FJ150" i="22"/>
  <c r="FJ149" i="22"/>
  <c r="FJ148" i="22"/>
  <c r="FB151" i="22"/>
  <c r="FB152" i="22"/>
  <c r="FB150" i="22"/>
  <c r="FB149" i="22"/>
  <c r="FB148" i="22"/>
  <c r="ET151" i="22"/>
  <c r="ET150" i="22"/>
  <c r="ET149" i="22"/>
  <c r="ET152" i="22"/>
  <c r="ET148" i="22"/>
  <c r="EL151" i="22"/>
  <c r="EL150" i="22"/>
  <c r="EL149" i="22"/>
  <c r="EL148" i="22"/>
  <c r="ED152" i="22"/>
  <c r="ED151" i="22"/>
  <c r="ED150" i="22"/>
  <c r="ED149" i="22"/>
  <c r="ED148" i="22"/>
  <c r="DV159" i="22"/>
  <c r="DV156" i="22"/>
  <c r="DV158" i="22"/>
  <c r="DV157" i="22"/>
  <c r="DV155" i="22"/>
  <c r="DV160" i="22" s="1"/>
  <c r="DV154" i="22"/>
  <c r="DV151" i="22"/>
  <c r="DV153" i="22"/>
  <c r="DV150" i="22"/>
  <c r="DV152" i="22"/>
  <c r="DV149" i="22"/>
  <c r="DV148" i="22"/>
  <c r="DN151" i="22"/>
  <c r="DN150" i="22"/>
  <c r="DN149" i="22"/>
  <c r="DN148" i="22"/>
  <c r="DN152" i="22"/>
  <c r="DF151" i="22"/>
  <c r="DF150" i="22"/>
  <c r="DF149" i="22"/>
  <c r="DF148" i="22"/>
  <c r="CX152" i="22"/>
  <c r="CX151" i="22"/>
  <c r="CX150" i="22"/>
  <c r="CX149" i="22"/>
  <c r="CX148" i="22"/>
  <c r="CP151" i="22"/>
  <c r="CP150" i="22"/>
  <c r="CP152" i="22"/>
  <c r="CP149" i="22"/>
  <c r="CP148" i="22"/>
  <c r="CH151" i="22"/>
  <c r="CH150" i="22"/>
  <c r="CH149" i="22"/>
  <c r="CH148" i="22"/>
  <c r="CH152" i="22"/>
  <c r="BZ151" i="22"/>
  <c r="BZ150" i="22"/>
  <c r="BZ149" i="22"/>
  <c r="BZ148" i="22"/>
  <c r="BR152" i="22"/>
  <c r="BR151" i="22"/>
  <c r="BR150" i="22"/>
  <c r="BR149" i="22"/>
  <c r="BR148" i="22"/>
  <c r="BJ151" i="22"/>
  <c r="BJ150" i="22"/>
  <c r="BJ152" i="22"/>
  <c r="BJ149" i="22"/>
  <c r="BJ148" i="22"/>
  <c r="BB151" i="22"/>
  <c r="BB150" i="22"/>
  <c r="BB149" i="22"/>
  <c r="BB148" i="22"/>
  <c r="BB152" i="22"/>
  <c r="AT151" i="22"/>
  <c r="AT150" i="22"/>
  <c r="AT149" i="22"/>
  <c r="AL151" i="22"/>
  <c r="AL152" i="22"/>
  <c r="AL150" i="22"/>
  <c r="AL149" i="22"/>
  <c r="AD151" i="22"/>
  <c r="AD150" i="22"/>
  <c r="AD149" i="22"/>
  <c r="AD152" i="22"/>
  <c r="V152" i="22"/>
  <c r="V151" i="22"/>
  <c r="V150" i="22"/>
  <c r="V149" i="22"/>
  <c r="N151" i="22"/>
  <c r="N150" i="22"/>
  <c r="N152" i="22"/>
  <c r="N149" i="22"/>
  <c r="G154" i="22"/>
  <c r="BK146" i="22"/>
  <c r="BS146" i="22"/>
  <c r="CA146" i="22"/>
  <c r="CI146" i="22"/>
  <c r="CQ146" i="22"/>
  <c r="CY146" i="22"/>
  <c r="DG146" i="22"/>
  <c r="DO146" i="22"/>
  <c r="DW146" i="22"/>
  <c r="EE146" i="22"/>
  <c r="EM146" i="22"/>
  <c r="EU146" i="22"/>
  <c r="FC146" i="22"/>
  <c r="FK146" i="22"/>
  <c r="FS146" i="22"/>
  <c r="GA146" i="22"/>
  <c r="GI146" i="22"/>
  <c r="GQ146" i="22"/>
  <c r="GY146" i="22"/>
  <c r="HG146" i="22"/>
  <c r="HO146" i="22"/>
  <c r="HW146" i="22"/>
  <c r="IE146" i="22"/>
  <c r="IM146" i="22"/>
  <c r="IU146" i="22"/>
  <c r="N147" i="22"/>
  <c r="V147" i="22"/>
  <c r="AD147" i="22"/>
  <c r="AL147" i="22"/>
  <c r="AT147" i="22"/>
  <c r="BB147" i="22"/>
  <c r="BJ147" i="22"/>
  <c r="BR147" i="22"/>
  <c r="BZ147" i="22"/>
  <c r="CH147" i="22"/>
  <c r="CP147" i="22"/>
  <c r="CX147" i="22"/>
  <c r="DF147" i="22"/>
  <c r="DN147" i="22"/>
  <c r="DV147" i="22"/>
  <c r="ED147" i="22"/>
  <c r="EL147" i="22"/>
  <c r="ET147" i="22"/>
  <c r="FB147" i="22"/>
  <c r="FJ147" i="22"/>
  <c r="FR147" i="22"/>
  <c r="GA147" i="22"/>
  <c r="GJ147" i="22"/>
  <c r="GS147" i="22"/>
  <c r="HB147" i="22"/>
  <c r="HL147" i="22"/>
  <c r="ID147" i="22"/>
  <c r="IM147" i="22"/>
  <c r="P148" i="22"/>
  <c r="Y148" i="22"/>
  <c r="AI148" i="22"/>
  <c r="AR148" i="22"/>
  <c r="BO148" i="22"/>
  <c r="CA148" i="22"/>
  <c r="FP148" i="22"/>
  <c r="GN148" i="22"/>
  <c r="HT148" i="22"/>
  <c r="J149" i="22"/>
  <c r="AP149" i="22"/>
  <c r="BV149" i="22"/>
  <c r="DB149" i="22"/>
  <c r="EH149" i="22"/>
  <c r="FN149" i="22"/>
  <c r="GT149" i="22"/>
  <c r="HZ149" i="22"/>
  <c r="J150" i="22"/>
  <c r="AP150" i="22"/>
  <c r="BV150" i="22"/>
  <c r="DB150" i="22"/>
  <c r="EG150" i="22"/>
  <c r="FM150" i="22"/>
  <c r="GS150" i="22"/>
  <c r="HY150" i="22"/>
  <c r="I151" i="22"/>
  <c r="AO151" i="22"/>
  <c r="BU151" i="22"/>
  <c r="DA151" i="22"/>
  <c r="EF151" i="22"/>
  <c r="FL151" i="22"/>
  <c r="GR151" i="22"/>
  <c r="HX151" i="22"/>
  <c r="AU152" i="22"/>
  <c r="FK152" i="22"/>
  <c r="N153" i="22"/>
  <c r="ED153" i="22"/>
  <c r="FN159" i="22"/>
  <c r="FN158" i="22"/>
  <c r="FN157" i="22"/>
  <c r="FN156" i="22"/>
  <c r="FN155" i="22"/>
  <c r="FN160" i="22" s="1"/>
  <c r="FN154" i="22"/>
  <c r="FN153" i="22"/>
  <c r="FP159" i="22"/>
  <c r="FP157" i="22"/>
  <c r="FP156" i="22"/>
  <c r="FP153" i="22"/>
  <c r="FP158" i="22"/>
  <c r="FP155" i="22"/>
  <c r="FP160" i="22" s="1"/>
  <c r="FP154" i="22"/>
  <c r="GL159" i="22"/>
  <c r="GL158" i="22"/>
  <c r="GL157" i="22"/>
  <c r="GL156" i="22"/>
  <c r="GL155" i="22"/>
  <c r="GL160" i="22" s="1"/>
  <c r="GL154" i="22"/>
  <c r="GL153" i="22"/>
  <c r="GN159" i="22"/>
  <c r="GN158" i="22"/>
  <c r="GN157" i="22"/>
  <c r="GN156" i="22"/>
  <c r="GN153" i="22"/>
  <c r="GN155" i="22"/>
  <c r="GN160" i="22" s="1"/>
  <c r="GN154" i="22"/>
  <c r="HH159" i="22"/>
  <c r="HH158" i="22"/>
  <c r="HH157" i="22"/>
  <c r="HH155" i="22"/>
  <c r="HH160" i="22" s="1"/>
  <c r="HH154" i="22"/>
  <c r="HH153" i="22"/>
  <c r="HH156" i="22"/>
  <c r="HL159" i="22"/>
  <c r="HL158" i="22"/>
  <c r="HL157" i="22"/>
  <c r="HL156" i="22"/>
  <c r="HL153" i="22"/>
  <c r="HL155" i="22"/>
  <c r="HL160" i="22" s="1"/>
  <c r="HL154" i="22"/>
  <c r="DB159" i="22"/>
  <c r="DB158" i="22"/>
  <c r="DB157" i="22"/>
  <c r="DB155" i="22"/>
  <c r="DB160" i="22" s="1"/>
  <c r="DB154" i="22"/>
  <c r="DB156" i="22"/>
  <c r="DB153" i="22"/>
  <c r="IF159" i="22"/>
  <c r="IF158" i="22"/>
  <c r="IF157" i="22"/>
  <c r="IF155" i="22"/>
  <c r="IF160" i="22" s="1"/>
  <c r="IF154" i="22"/>
  <c r="IF156" i="22"/>
  <c r="IF153" i="22"/>
  <c r="IH159" i="22"/>
  <c r="IH158" i="22"/>
  <c r="IH157" i="22"/>
  <c r="IH156" i="22"/>
  <c r="IH155" i="22"/>
  <c r="IH160" i="22" s="1"/>
  <c r="IH154" i="22"/>
  <c r="IH153" i="22"/>
  <c r="IR159" i="22"/>
  <c r="IR158" i="22"/>
  <c r="IR157" i="22"/>
  <c r="IR156" i="22"/>
  <c r="IR153" i="22"/>
  <c r="IR152" i="22"/>
  <c r="IR151" i="22"/>
  <c r="IR155" i="22"/>
  <c r="IR160" i="22" s="1"/>
  <c r="IR154" i="22"/>
  <c r="IR150" i="22"/>
  <c r="IR149" i="22"/>
  <c r="GV152" i="22"/>
  <c r="GV151" i="22"/>
  <c r="GV150" i="22"/>
  <c r="GV149" i="22"/>
  <c r="EB152" i="22"/>
  <c r="EB151" i="22"/>
  <c r="EB150" i="22"/>
  <c r="EB149" i="22"/>
  <c r="BH152" i="22"/>
  <c r="BH151" i="22"/>
  <c r="BH150" i="22"/>
  <c r="BH149" i="22"/>
  <c r="EO159" i="22"/>
  <c r="EO157" i="22"/>
  <c r="EO155" i="22"/>
  <c r="EO160" i="22" s="1"/>
  <c r="EO158" i="22"/>
  <c r="EO154" i="22"/>
  <c r="EO153" i="22"/>
  <c r="EO156" i="22"/>
  <c r="BE158" i="22"/>
  <c r="BE159" i="22"/>
  <c r="BE157" i="22"/>
  <c r="BE156" i="22"/>
  <c r="BE155" i="22"/>
  <c r="BE160" i="22" s="1"/>
  <c r="BE154" i="22"/>
  <c r="BE153" i="22"/>
  <c r="CA159" i="22"/>
  <c r="CA158" i="22"/>
  <c r="CA156" i="22"/>
  <c r="CA155" i="22"/>
  <c r="CA160" i="22" s="1"/>
  <c r="CA154" i="22"/>
  <c r="CA153" i="22"/>
  <c r="CA157" i="22"/>
  <c r="M158" i="22"/>
  <c r="M157" i="22"/>
  <c r="M159" i="22"/>
  <c r="M156" i="22"/>
  <c r="M155" i="22"/>
  <c r="M160" i="22" s="1"/>
  <c r="M154" i="22"/>
  <c r="O159" i="22"/>
  <c r="O158" i="22"/>
  <c r="O156" i="22"/>
  <c r="O155" i="22"/>
  <c r="O160" i="22" s="1"/>
  <c r="O154" i="22"/>
  <c r="O153" i="22"/>
  <c r="O157" i="22"/>
  <c r="Q159" i="22"/>
  <c r="Q157" i="22"/>
  <c r="Q156" i="22"/>
  <c r="Q155" i="22"/>
  <c r="Q160" i="22" s="1"/>
  <c r="Q154" i="22"/>
  <c r="Q153" i="22"/>
  <c r="Q158" i="22"/>
  <c r="EQ159" i="22"/>
  <c r="EQ157" i="22"/>
  <c r="EQ158" i="22"/>
  <c r="EQ154" i="22"/>
  <c r="EQ153" i="22"/>
  <c r="EQ156" i="22"/>
  <c r="EQ155" i="22"/>
  <c r="EQ160" i="22" s="1"/>
  <c r="ES158" i="22"/>
  <c r="ES159" i="22"/>
  <c r="ES157" i="22"/>
  <c r="ES156" i="22"/>
  <c r="ES155" i="22"/>
  <c r="ES160" i="22" s="1"/>
  <c r="ES154" i="22"/>
  <c r="ES153" i="22"/>
  <c r="EU159" i="22"/>
  <c r="EU158" i="22"/>
  <c r="EU157" i="22"/>
  <c r="EU156" i="22"/>
  <c r="EU155" i="22"/>
  <c r="EU160" i="22" s="1"/>
  <c r="EU154" i="22"/>
  <c r="EU153" i="22"/>
  <c r="AK158" i="22"/>
  <c r="AK159" i="22"/>
  <c r="AK157" i="22"/>
  <c r="AK156" i="22"/>
  <c r="AK155" i="22"/>
  <c r="AK160" i="22" s="1"/>
  <c r="AK154" i="22"/>
  <c r="AK153" i="22"/>
  <c r="AM158" i="22"/>
  <c r="AM157" i="22"/>
  <c r="AM156" i="22"/>
  <c r="AM155" i="22"/>
  <c r="AM160" i="22" s="1"/>
  <c r="AM154" i="22"/>
  <c r="AM153" i="22"/>
  <c r="AM159" i="22"/>
  <c r="AO158" i="22"/>
  <c r="AO159" i="22"/>
  <c r="AO157" i="22"/>
  <c r="AO156" i="22"/>
  <c r="AO155" i="22"/>
  <c r="AO160" i="22" s="1"/>
  <c r="AO154" i="22"/>
  <c r="AO153" i="22"/>
  <c r="FO159" i="22"/>
  <c r="FO157" i="22"/>
  <c r="FO156" i="22"/>
  <c r="FO154" i="22"/>
  <c r="FO153" i="22"/>
  <c r="FO158" i="22"/>
  <c r="FO155" i="22"/>
  <c r="FO160" i="22" s="1"/>
  <c r="FQ158" i="22"/>
  <c r="FQ157" i="22"/>
  <c r="FQ156" i="22"/>
  <c r="FQ159" i="22"/>
  <c r="FQ155" i="22"/>
  <c r="FQ160" i="22" s="1"/>
  <c r="FQ154" i="22"/>
  <c r="FS159" i="22"/>
  <c r="FS158" i="22"/>
  <c r="FS155" i="22"/>
  <c r="FS160" i="22" s="1"/>
  <c r="FS154" i="22"/>
  <c r="FS157" i="22"/>
  <c r="FS153" i="22"/>
  <c r="FS156" i="22"/>
  <c r="BI158" i="22"/>
  <c r="BI159" i="22"/>
  <c r="BI157" i="22"/>
  <c r="BI156" i="22"/>
  <c r="BI155" i="22"/>
  <c r="BI160" i="22" s="1"/>
  <c r="BI154" i="22"/>
  <c r="BI153" i="22"/>
  <c r="BK159" i="22"/>
  <c r="BK157" i="22"/>
  <c r="BK156" i="22"/>
  <c r="BK155" i="22"/>
  <c r="BK160" i="22" s="1"/>
  <c r="BK154" i="22"/>
  <c r="BK158" i="22"/>
  <c r="BK153" i="22"/>
  <c r="BM159" i="22"/>
  <c r="BM158" i="22"/>
  <c r="BM157" i="22"/>
  <c r="BM156" i="22"/>
  <c r="BM155" i="22"/>
  <c r="BM160" i="22" s="1"/>
  <c r="BM154" i="22"/>
  <c r="BM153" i="22"/>
  <c r="GM159" i="22"/>
  <c r="GM158" i="22"/>
  <c r="GM157" i="22"/>
  <c r="GM156" i="22"/>
  <c r="GM154" i="22"/>
  <c r="GM153" i="22"/>
  <c r="GM155" i="22"/>
  <c r="GM160" i="22" s="1"/>
  <c r="GO158" i="22"/>
  <c r="GO159" i="22"/>
  <c r="GO157" i="22"/>
  <c r="GO156" i="22"/>
  <c r="GO155" i="22"/>
  <c r="GO160" i="22" s="1"/>
  <c r="GO153" i="22"/>
  <c r="GO154" i="22"/>
  <c r="GQ159" i="22"/>
  <c r="GQ155" i="22"/>
  <c r="GQ160" i="22" s="1"/>
  <c r="GQ156" i="22"/>
  <c r="GQ154" i="22"/>
  <c r="GQ153" i="22"/>
  <c r="GQ158" i="22"/>
  <c r="GQ157" i="22"/>
  <c r="CG158" i="22"/>
  <c r="CG159" i="22"/>
  <c r="CG157" i="22"/>
  <c r="CG156" i="22"/>
  <c r="CG155" i="22"/>
  <c r="CG160" i="22" s="1"/>
  <c r="CG154" i="22"/>
  <c r="CG153" i="22"/>
  <c r="CI159" i="22"/>
  <c r="CI158" i="22"/>
  <c r="CI156" i="22"/>
  <c r="CI155" i="22"/>
  <c r="CI160" i="22" s="1"/>
  <c r="CI157" i="22"/>
  <c r="CI154" i="22"/>
  <c r="CI153" i="22"/>
  <c r="CK157" i="22"/>
  <c r="CK159" i="22"/>
  <c r="CK158" i="22"/>
  <c r="CK156" i="22"/>
  <c r="CK155" i="22"/>
  <c r="CK160" i="22" s="1"/>
  <c r="CK154" i="22"/>
  <c r="CK153" i="22"/>
  <c r="HK159" i="22"/>
  <c r="HK158" i="22"/>
  <c r="HK157" i="22"/>
  <c r="HK156" i="22"/>
  <c r="HK154" i="22"/>
  <c r="HK153" i="22"/>
  <c r="HK155" i="22"/>
  <c r="HK160" i="22" s="1"/>
  <c r="HM158" i="22"/>
  <c r="HM159" i="22"/>
  <c r="HM157" i="22"/>
  <c r="HM156" i="22"/>
  <c r="HM155" i="22"/>
  <c r="HM160" i="22" s="1"/>
  <c r="HM154" i="22"/>
  <c r="HM153" i="22"/>
  <c r="HO159" i="22"/>
  <c r="HO157" i="22"/>
  <c r="HO158" i="22"/>
  <c r="HO156" i="22"/>
  <c r="HO155" i="22"/>
  <c r="HO160" i="22" s="1"/>
  <c r="HO154" i="22"/>
  <c r="HO153" i="22"/>
  <c r="DE158" i="22"/>
  <c r="DE157" i="22"/>
  <c r="DE155" i="22"/>
  <c r="DE160" i="22" s="1"/>
  <c r="DE159" i="22"/>
  <c r="DE156" i="22"/>
  <c r="DE154" i="22"/>
  <c r="DG159" i="22"/>
  <c r="DG158" i="22"/>
  <c r="DG155" i="22"/>
  <c r="DG160" i="22" s="1"/>
  <c r="DG154" i="22"/>
  <c r="DG153" i="22"/>
  <c r="DG157" i="22"/>
  <c r="DG156" i="22"/>
  <c r="DI159" i="22"/>
  <c r="DI158" i="22"/>
  <c r="DI157" i="22"/>
  <c r="DI155" i="22"/>
  <c r="DI160" i="22" s="1"/>
  <c r="DI154" i="22"/>
  <c r="DI153" i="22"/>
  <c r="DI156" i="22"/>
  <c r="II159" i="22"/>
  <c r="II158" i="22"/>
  <c r="II157" i="22"/>
  <c r="II156" i="22"/>
  <c r="II154" i="22"/>
  <c r="II153" i="22"/>
  <c r="II155" i="22"/>
  <c r="II160" i="22" s="1"/>
  <c r="IS158" i="22"/>
  <c r="IS157" i="22"/>
  <c r="IS156" i="22"/>
  <c r="IS152" i="22"/>
  <c r="IS151" i="22"/>
  <c r="IS159" i="22"/>
  <c r="IS155" i="22"/>
  <c r="IS160" i="22" s="1"/>
  <c r="IS154" i="22"/>
  <c r="IS153" i="22"/>
  <c r="IS150" i="22"/>
  <c r="IS149" i="22"/>
  <c r="IS148" i="22"/>
  <c r="IK158" i="22"/>
  <c r="IK159" i="22"/>
  <c r="IK157" i="22"/>
  <c r="IK156" i="22"/>
  <c r="IK152" i="22"/>
  <c r="IK151" i="22"/>
  <c r="IK155" i="22"/>
  <c r="IK160" i="22" s="1"/>
  <c r="IK154" i="22"/>
  <c r="IK150" i="22"/>
  <c r="IK153" i="22"/>
  <c r="IK149" i="22"/>
  <c r="IK148" i="22"/>
  <c r="IC152" i="22"/>
  <c r="IC151" i="22"/>
  <c r="IC150" i="22"/>
  <c r="IC149" i="22"/>
  <c r="IC148" i="22"/>
  <c r="HU152" i="22"/>
  <c r="HU151" i="22"/>
  <c r="HU150" i="22"/>
  <c r="HU149" i="22"/>
  <c r="HU148" i="22"/>
  <c r="HM152" i="22"/>
  <c r="HM151" i="22"/>
  <c r="HM150" i="22"/>
  <c r="HM149" i="22"/>
  <c r="HM148" i="22"/>
  <c r="HE152" i="22"/>
  <c r="HE151" i="22"/>
  <c r="HE150" i="22"/>
  <c r="HE149" i="22"/>
  <c r="HE148" i="22"/>
  <c r="GW152" i="22"/>
  <c r="GW151" i="22"/>
  <c r="GW150" i="22"/>
  <c r="GW149" i="22"/>
  <c r="GW148" i="22"/>
  <c r="GO152" i="22"/>
  <c r="GO151" i="22"/>
  <c r="GO150" i="22"/>
  <c r="GO149" i="22"/>
  <c r="GO148" i="22"/>
  <c r="GG152" i="22"/>
  <c r="GG151" i="22"/>
  <c r="GG150" i="22"/>
  <c r="GG149" i="22"/>
  <c r="GG148" i="22"/>
  <c r="FY152" i="22"/>
  <c r="FY151" i="22"/>
  <c r="FY150" i="22"/>
  <c r="FY149" i="22"/>
  <c r="FQ152" i="22"/>
  <c r="FQ151" i="22"/>
  <c r="FQ150" i="22"/>
  <c r="FQ149" i="22"/>
  <c r="FI152" i="22"/>
  <c r="FI151" i="22"/>
  <c r="FI150" i="22"/>
  <c r="FI149" i="22"/>
  <c r="FA152" i="22"/>
  <c r="FA151" i="22"/>
  <c r="FA150" i="22"/>
  <c r="FA149" i="22"/>
  <c r="ES152" i="22"/>
  <c r="ES151" i="22"/>
  <c r="ES150" i="22"/>
  <c r="ES149" i="22"/>
  <c r="EK152" i="22"/>
  <c r="EK151" i="22"/>
  <c r="EK150" i="22"/>
  <c r="EK149" i="22"/>
  <c r="EC152" i="22"/>
  <c r="EC151" i="22"/>
  <c r="EC150" i="22"/>
  <c r="EC149" i="22"/>
  <c r="DU158" i="22"/>
  <c r="DU159" i="22"/>
  <c r="DU157" i="22"/>
  <c r="DU152" i="22"/>
  <c r="DU156" i="22"/>
  <c r="DU155" i="22"/>
  <c r="DU160" i="22" s="1"/>
  <c r="DU154" i="22"/>
  <c r="DU151" i="22"/>
  <c r="DU153" i="22"/>
  <c r="DU150" i="22"/>
  <c r="DU149" i="22"/>
  <c r="DM152" i="22"/>
  <c r="DM151" i="22"/>
  <c r="DM150" i="22"/>
  <c r="DM149" i="22"/>
  <c r="DE152" i="22"/>
  <c r="DE151" i="22"/>
  <c r="DE150" i="22"/>
  <c r="DE149" i="22"/>
  <c r="CW152" i="22"/>
  <c r="CW151" i="22"/>
  <c r="CW150" i="22"/>
  <c r="CW149" i="22"/>
  <c r="CO152" i="22"/>
  <c r="CO151" i="22"/>
  <c r="CO150" i="22"/>
  <c r="CO149" i="22"/>
  <c r="CG152" i="22"/>
  <c r="CG151" i="22"/>
  <c r="CG150" i="22"/>
  <c r="CG149" i="22"/>
  <c r="BY152" i="22"/>
  <c r="BY151" i="22"/>
  <c r="BY150" i="22"/>
  <c r="BY149" i="22"/>
  <c r="BQ152" i="22"/>
  <c r="BQ151" i="22"/>
  <c r="BQ150" i="22"/>
  <c r="BQ149" i="22"/>
  <c r="BI152" i="22"/>
  <c r="BI151" i="22"/>
  <c r="BI150" i="22"/>
  <c r="BI149" i="22"/>
  <c r="BA152" i="22"/>
  <c r="BA151" i="22"/>
  <c r="BA150" i="22"/>
  <c r="BA149" i="22"/>
  <c r="AS152" i="22"/>
  <c r="AS151" i="22"/>
  <c r="AS150" i="22"/>
  <c r="AS149" i="22"/>
  <c r="AK152" i="22"/>
  <c r="AK151" i="22"/>
  <c r="AK150" i="22"/>
  <c r="AK149" i="22"/>
  <c r="AC152" i="22"/>
  <c r="AC151" i="22"/>
  <c r="AC150" i="22"/>
  <c r="AC149" i="22"/>
  <c r="U152" i="22"/>
  <c r="U151" i="22"/>
  <c r="U150" i="22"/>
  <c r="U149" i="22"/>
  <c r="M152" i="22"/>
  <c r="M151" i="22"/>
  <c r="M150" i="22"/>
  <c r="M149" i="22"/>
  <c r="H146" i="22"/>
  <c r="P146" i="22"/>
  <c r="X146" i="22"/>
  <c r="AF146" i="22"/>
  <c r="AN146" i="22"/>
  <c r="AV146" i="22"/>
  <c r="BD146" i="22"/>
  <c r="BL146" i="22"/>
  <c r="BT146" i="22"/>
  <c r="CB146" i="22"/>
  <c r="CJ146" i="22"/>
  <c r="CR146" i="22"/>
  <c r="CZ146" i="22"/>
  <c r="DH146" i="22"/>
  <c r="DP146" i="22"/>
  <c r="DX146" i="22"/>
  <c r="EF146" i="22"/>
  <c r="EN146" i="22"/>
  <c r="EV146" i="22"/>
  <c r="FD146" i="22"/>
  <c r="FL146" i="22"/>
  <c r="FT146" i="22"/>
  <c r="GB146" i="22"/>
  <c r="GJ146" i="22"/>
  <c r="GR146" i="22"/>
  <c r="GZ146" i="22"/>
  <c r="HH146" i="22"/>
  <c r="HP146" i="22"/>
  <c r="HX146" i="22"/>
  <c r="IF146" i="22"/>
  <c r="IN146" i="22"/>
  <c r="O147" i="22"/>
  <c r="W147" i="22"/>
  <c r="AE147" i="22"/>
  <c r="AM147" i="22"/>
  <c r="AU147" i="22"/>
  <c r="BC147" i="22"/>
  <c r="BK147" i="22"/>
  <c r="BS147" i="22"/>
  <c r="CA147" i="22"/>
  <c r="CI147" i="22"/>
  <c r="CQ147" i="22"/>
  <c r="CY147" i="22"/>
  <c r="DG147" i="22"/>
  <c r="DO147" i="22"/>
  <c r="DW147" i="22"/>
  <c r="EE147" i="22"/>
  <c r="EM147" i="22"/>
  <c r="EU147" i="22"/>
  <c r="FC147" i="22"/>
  <c r="FK147" i="22"/>
  <c r="FS147" i="22"/>
  <c r="GB147" i="22"/>
  <c r="GK147" i="22"/>
  <c r="GT147" i="22"/>
  <c r="HD147" i="22"/>
  <c r="HM147" i="22"/>
  <c r="HV147" i="22"/>
  <c r="IE147" i="22"/>
  <c r="IN147" i="22"/>
  <c r="H148" i="22"/>
  <c r="Q148" i="22"/>
  <c r="AA148" i="22"/>
  <c r="AJ148" i="22"/>
  <c r="AS148" i="22"/>
  <c r="BC148" i="22"/>
  <c r="BP148" i="22"/>
  <c r="CC148" i="22"/>
  <c r="CQ148" i="22"/>
  <c r="DG148" i="22"/>
  <c r="EB148" i="22"/>
  <c r="EY148" i="22"/>
  <c r="FQ148" i="22"/>
  <c r="GU148" i="22"/>
  <c r="IA148" i="22"/>
  <c r="K149" i="22"/>
  <c r="AQ149" i="22"/>
  <c r="BW149" i="22"/>
  <c r="DC149" i="22"/>
  <c r="EI149" i="22"/>
  <c r="FO149" i="22"/>
  <c r="GU149" i="22"/>
  <c r="IA149" i="22"/>
  <c r="Q150" i="22"/>
  <c r="AW150" i="22"/>
  <c r="CC150" i="22"/>
  <c r="DI150" i="22"/>
  <c r="EH150" i="22"/>
  <c r="FN150" i="22"/>
  <c r="GT150" i="22"/>
  <c r="HZ150" i="22"/>
  <c r="P151" i="22"/>
  <c r="AV151" i="22"/>
  <c r="CB151" i="22"/>
  <c r="DH151" i="22"/>
  <c r="EG151" i="22"/>
  <c r="FM151" i="22"/>
  <c r="GS151" i="22"/>
  <c r="HY151" i="22"/>
  <c r="BZ152" i="22"/>
  <c r="FR152" i="22"/>
  <c r="AS153" i="22"/>
  <c r="EK153" i="22"/>
  <c r="R169" i="22" a="1"/>
  <c r="R169" i="22" s="1"/>
  <c r="R173" i="22" a="1"/>
  <c r="R173" i="22" s="1"/>
  <c r="R177" i="22" a="1"/>
  <c r="R177" i="22" s="1"/>
  <c r="R185" i="22" a="1"/>
  <c r="R185" i="22" s="1"/>
  <c r="R189" i="22" a="1"/>
  <c r="R189" i="22" s="1"/>
  <c r="R193" i="22" a="1"/>
  <c r="R193" i="22" s="1"/>
  <c r="R197" i="22" a="1"/>
  <c r="R197" i="22" s="1"/>
  <c r="R201" i="22" a="1"/>
  <c r="R201" i="22" s="1"/>
  <c r="R205" i="22" a="1"/>
  <c r="R205" i="22" s="1"/>
  <c r="Q168" i="22" a="1"/>
  <c r="Q168" i="22" s="1"/>
  <c r="Q176" i="22" a="1"/>
  <c r="Q176" i="22" s="1"/>
  <c r="Q180" i="22" a="1"/>
  <c r="Q180" i="22" s="1"/>
  <c r="S181" i="22" s="1"/>
  <c r="Q184" i="22" a="1"/>
  <c r="Q184" i="22" s="1"/>
  <c r="Q188" i="22" a="1"/>
  <c r="Q188" i="22" s="1"/>
  <c r="Q192" i="22" a="1"/>
  <c r="Q192" i="22" s="1"/>
  <c r="Q196" i="22" a="1"/>
  <c r="Q196" i="22" s="1"/>
  <c r="S197" i="22" s="1"/>
  <c r="Q200" i="22" a="1"/>
  <c r="Q200" i="22" s="1"/>
  <c r="Q208" i="22" a="1"/>
  <c r="Q208" i="22" s="1"/>
  <c r="L168" i="22"/>
  <c r="R170" i="22" a="1"/>
  <c r="R170" i="22" s="1"/>
  <c r="R174" i="22" a="1"/>
  <c r="R174" i="22" s="1"/>
  <c r="R178" i="22" a="1"/>
  <c r="R178" i="22" s="1"/>
  <c r="R182" i="22" a="1"/>
  <c r="R182" i="22" s="1"/>
  <c r="R186" i="22" a="1"/>
  <c r="R186" i="22" s="1"/>
  <c r="R194" i="22" a="1"/>
  <c r="R194" i="22" s="1"/>
  <c r="R198" i="22" a="1"/>
  <c r="R198" i="22" s="1"/>
  <c r="R202" i="22" a="1"/>
  <c r="R202" i="22" s="1"/>
  <c r="R206" i="22" a="1"/>
  <c r="R206" i="22" s="1"/>
  <c r="Q169" i="22" a="1"/>
  <c r="Q169" i="22" s="1"/>
  <c r="S170" i="22" s="1"/>
  <c r="Q173" i="22" a="1"/>
  <c r="Q173" i="22" s="1"/>
  <c r="Q177" i="22" a="1"/>
  <c r="Q177" i="22" s="1"/>
  <c r="Q185" i="22" a="1"/>
  <c r="Q185" i="22" s="1"/>
  <c r="Q189" i="22" a="1"/>
  <c r="Q189" i="22" s="1"/>
  <c r="S190" i="22" s="1"/>
  <c r="Q193" i="22" a="1"/>
  <c r="Q193" i="22" s="1"/>
  <c r="S194" i="22" s="1"/>
  <c r="Q197" i="22" a="1"/>
  <c r="Q197" i="22" s="1"/>
  <c r="Q201" i="22" a="1"/>
  <c r="Q201" i="22" s="1"/>
  <c r="S202" i="22" s="1"/>
  <c r="Q205" i="22" a="1"/>
  <c r="Q205" i="22" s="1"/>
  <c r="S206" i="22" s="1"/>
  <c r="C168" i="22"/>
  <c r="R180" i="22" a="1"/>
  <c r="R180" i="22" s="1"/>
  <c r="R191" i="22" a="1"/>
  <c r="R191" i="22" s="1"/>
  <c r="R196" i="22" a="1"/>
  <c r="R196" i="22" s="1"/>
  <c r="R207" i="22" a="1"/>
  <c r="R207" i="22" s="1"/>
  <c r="Q171" i="22" a="1"/>
  <c r="Q171" i="22" s="1"/>
  <c r="S172" i="22" s="1"/>
  <c r="Q182" i="22" a="1"/>
  <c r="Q182" i="22" s="1"/>
  <c r="S183" i="22" s="1"/>
  <c r="Q187" i="22" a="1"/>
  <c r="Q187" i="22" s="1"/>
  <c r="Q203" i="22" a="1"/>
  <c r="Q203" i="22" s="1"/>
  <c r="S204" i="22" s="1"/>
  <c r="N168" i="22"/>
  <c r="M168" i="22"/>
  <c r="R171" i="22" a="1"/>
  <c r="R171" i="22" s="1"/>
  <c r="R176" i="22" a="1"/>
  <c r="R176" i="22" s="1"/>
  <c r="R187" i="22" a="1"/>
  <c r="R187" i="22" s="1"/>
  <c r="R192" i="22" a="1"/>
  <c r="R192" i="22" s="1"/>
  <c r="R208" i="22" a="1"/>
  <c r="R208" i="22" s="1"/>
  <c r="Q178" i="22" a="1"/>
  <c r="Q178" i="22" s="1"/>
  <c r="Q183" i="22" a="1"/>
  <c r="Q183" i="22" s="1"/>
  <c r="S184" i="22" s="1"/>
  <c r="Q194" i="22" a="1"/>
  <c r="Q194" i="22" s="1"/>
  <c r="Q199" i="22" a="1"/>
  <c r="Q199" i="22" s="1"/>
  <c r="S200" i="22" s="1"/>
  <c r="R172" i="22" a="1"/>
  <c r="R172" i="22" s="1"/>
  <c r="Q174" i="22" a="1"/>
  <c r="Q174" i="22" s="1"/>
  <c r="S175" i="22" s="1"/>
  <c r="R199" i="22" a="1"/>
  <c r="R199" i="22" s="1"/>
  <c r="Q191" i="22" a="1"/>
  <c r="Q191" i="22" s="1"/>
  <c r="S192" i="22" s="1"/>
  <c r="F168" i="22"/>
  <c r="B168" i="22"/>
  <c r="R183" i="22" a="1"/>
  <c r="R183" i="22" s="1"/>
  <c r="Q175" i="22" a="1"/>
  <c r="Q175" i="22" s="1"/>
  <c r="S176" i="22" s="1"/>
  <c r="R200" i="22" a="1"/>
  <c r="R200" i="22" s="1"/>
  <c r="R184" i="22" a="1"/>
  <c r="R184" i="22" s="1"/>
  <c r="Q186" i="22" a="1"/>
  <c r="Q186" i="22" s="1"/>
  <c r="Q195" i="22" a="1"/>
  <c r="Q195" i="22" s="1"/>
  <c r="S196" i="22" s="1"/>
  <c r="R168" i="22" a="1"/>
  <c r="R168" i="22" s="1"/>
  <c r="Q170" i="22" a="1"/>
  <c r="Q170" i="22" s="1"/>
  <c r="Q179" i="22" a="1"/>
  <c r="Q179" i="22" s="1"/>
  <c r="S180" i="22" s="1"/>
  <c r="R195" i="22" a="1"/>
  <c r="R195" i="22" s="1"/>
  <c r="Q206" i="22" a="1"/>
  <c r="Q206" i="22" s="1"/>
  <c r="S207" i="22" s="1"/>
  <c r="R179" i="22" a="1"/>
  <c r="R179" i="22" s="1"/>
  <c r="R188" i="22" a="1"/>
  <c r="R188" i="22" s="1"/>
  <c r="Q190" i="22" a="1"/>
  <c r="Q190" i="22" s="1"/>
  <c r="S191" i="22" s="1"/>
  <c r="AG193" i="22"/>
  <c r="S174" i="22"/>
  <c r="O191" i="22"/>
  <c r="O203" i="22"/>
  <c r="O197" i="22"/>
  <c r="O199" i="22"/>
  <c r="B205" i="22"/>
  <c r="B197" i="22"/>
  <c r="B189" i="22"/>
  <c r="B181" i="22"/>
  <c r="B173" i="22"/>
  <c r="C208" i="22"/>
  <c r="C200" i="22"/>
  <c r="C192" i="22"/>
  <c r="C184" i="22"/>
  <c r="C176" i="22"/>
  <c r="F203" i="22"/>
  <c r="F195" i="22"/>
  <c r="F187" i="22"/>
  <c r="F179" i="22"/>
  <c r="F171" i="22"/>
  <c r="L202" i="22"/>
  <c r="L194" i="22"/>
  <c r="L186" i="22"/>
  <c r="L178" i="22"/>
  <c r="L170" i="22"/>
  <c r="M204" i="22"/>
  <c r="M196" i="22"/>
  <c r="M188" i="22"/>
  <c r="M180" i="22"/>
  <c r="M172" i="22"/>
  <c r="N206" i="22"/>
  <c r="O206" i="22" s="1"/>
  <c r="N198" i="22"/>
  <c r="O198" i="22" s="1"/>
  <c r="N190" i="22"/>
  <c r="O190" i="22" s="1"/>
  <c r="N182" i="22"/>
  <c r="N174" i="22"/>
  <c r="O174" i="22" s="1"/>
  <c r="B203" i="22"/>
  <c r="B195" i="22"/>
  <c r="B187" i="22"/>
  <c r="B179" i="22"/>
  <c r="B171" i="22"/>
  <c r="C206" i="22"/>
  <c r="C198" i="22"/>
  <c r="C190" i="22"/>
  <c r="C182" i="22"/>
  <c r="C174" i="22"/>
  <c r="F209" i="22"/>
  <c r="F201" i="22"/>
  <c r="F193" i="22"/>
  <c r="F185" i="22"/>
  <c r="F177" i="22"/>
  <c r="F169" i="22"/>
  <c r="L208" i="22"/>
  <c r="O208" i="22" s="1"/>
  <c r="L200" i="22"/>
  <c r="L192" i="22"/>
  <c r="L184" i="22"/>
  <c r="L176" i="22"/>
  <c r="M202" i="22"/>
  <c r="M194" i="22"/>
  <c r="M186" i="22"/>
  <c r="M178" i="22"/>
  <c r="M170" i="22"/>
  <c r="N204" i="22"/>
  <c r="O204" i="22" s="1"/>
  <c r="N196" i="22"/>
  <c r="O196" i="22" s="1"/>
  <c r="N188" i="22"/>
  <c r="O188" i="22" s="1"/>
  <c r="N180" i="22"/>
  <c r="N172" i="22"/>
  <c r="D256" i="22"/>
  <c r="O183" i="22" l="1"/>
  <c r="O181" i="22"/>
  <c r="O205" i="22"/>
  <c r="AG179" i="22"/>
  <c r="O209" i="22"/>
  <c r="O172" i="22"/>
  <c r="AA172" i="22" s="1"/>
  <c r="O182" i="22"/>
  <c r="AA182" i="22" s="1"/>
  <c r="S186" i="22"/>
  <c r="O180" i="22"/>
  <c r="AA180" i="22" s="1"/>
  <c r="R204" i="22" a="1"/>
  <c r="R204" i="22" s="1"/>
  <c r="Q202" i="22" a="1"/>
  <c r="Q202" i="22" s="1"/>
  <c r="S203" i="22" s="1"/>
  <c r="Q207" i="22" a="1"/>
  <c r="Q207" i="22" s="1"/>
  <c r="S208" i="22" s="1"/>
  <c r="R203" i="22" a="1"/>
  <c r="R203" i="22" s="1"/>
  <c r="Q198" i="22" a="1"/>
  <c r="Q198" i="22" s="1"/>
  <c r="R175" i="22" a="1"/>
  <c r="R175" i="22" s="1"/>
  <c r="Q181" i="22" a="1"/>
  <c r="Q181" i="22" s="1"/>
  <c r="S182" i="22" s="1"/>
  <c r="R190" i="22" a="1"/>
  <c r="R190" i="22" s="1"/>
  <c r="Q204" i="22" a="1"/>
  <c r="Q204" i="22" s="1"/>
  <c r="S205" i="22" s="1"/>
  <c r="Q172" i="22" a="1"/>
  <c r="Q172" i="22" s="1"/>
  <c r="S173" i="22" s="1"/>
  <c r="O201" i="22"/>
  <c r="IT161" i="22"/>
  <c r="IT162" i="22" s="1"/>
  <c r="S199" i="22"/>
  <c r="O185" i="22"/>
  <c r="AG185" i="22" s="1"/>
  <c r="AH185" i="22" s="1"/>
  <c r="AI185" i="22" s="1"/>
  <c r="S189" i="22"/>
  <c r="S178" i="22"/>
  <c r="S188" i="22"/>
  <c r="AG205" i="22"/>
  <c r="AH205" i="22" s="1"/>
  <c r="AI205" i="22" s="1"/>
  <c r="AA205" i="22"/>
  <c r="AG173" i="22"/>
  <c r="AH173" i="22" s="1"/>
  <c r="AI173" i="22" s="1"/>
  <c r="AA173" i="22"/>
  <c r="AA169" i="22"/>
  <c r="AG169" i="22"/>
  <c r="AH169" i="22" s="1"/>
  <c r="AI169" i="22" s="1"/>
  <c r="O207" i="22"/>
  <c r="O175" i="22"/>
  <c r="O171" i="22"/>
  <c r="O189" i="22"/>
  <c r="S198" i="22"/>
  <c r="DY161" i="22"/>
  <c r="DY162" i="22" s="1"/>
  <c r="AA196" i="22"/>
  <c r="AG196" i="22"/>
  <c r="AH196" i="22" s="1"/>
  <c r="AI196" i="22" s="1"/>
  <c r="AA206" i="22"/>
  <c r="AG206" i="22"/>
  <c r="AH206" i="22" s="1"/>
  <c r="AI206" i="22" s="1"/>
  <c r="AA174" i="22"/>
  <c r="AG174" i="22"/>
  <c r="AH174" i="22" s="1"/>
  <c r="AI174" i="22" s="1"/>
  <c r="AG182" i="22"/>
  <c r="AH182" i="22" s="1"/>
  <c r="AI182" i="22" s="1"/>
  <c r="AG188" i="22"/>
  <c r="AH188" i="22" s="1"/>
  <c r="AI188" i="22" s="1"/>
  <c r="AA188" i="22"/>
  <c r="AG198" i="22"/>
  <c r="AH198" i="22" s="1"/>
  <c r="AI198" i="22" s="1"/>
  <c r="AA198" i="22"/>
  <c r="O184" i="22"/>
  <c r="S185" i="22"/>
  <c r="O170" i="22"/>
  <c r="S171" i="22"/>
  <c r="AA187" i="22"/>
  <c r="AG187" i="22"/>
  <c r="AH187" i="22" s="1"/>
  <c r="AI187" i="22" s="1"/>
  <c r="S179" i="22"/>
  <c r="O178" i="22"/>
  <c r="AG177" i="22"/>
  <c r="AH177" i="22" s="1"/>
  <c r="AI177" i="22" s="1"/>
  <c r="AA177" i="22"/>
  <c r="O192" i="22"/>
  <c r="S193" i="22"/>
  <c r="O186" i="22"/>
  <c r="S187" i="22"/>
  <c r="AG197" i="22"/>
  <c r="AH197" i="22" s="1"/>
  <c r="AI197" i="22" s="1"/>
  <c r="AA197" i="22"/>
  <c r="AG191" i="22"/>
  <c r="AH191" i="22" s="1"/>
  <c r="AI191" i="22" s="1"/>
  <c r="AA191" i="22"/>
  <c r="AH179" i="22"/>
  <c r="AI179" i="22" s="1"/>
  <c r="O168" i="22"/>
  <c r="S169" i="22"/>
  <c r="AA190" i="22"/>
  <c r="AG190" i="22"/>
  <c r="AH190" i="22" s="1"/>
  <c r="AI190" i="22" s="1"/>
  <c r="O200" i="22"/>
  <c r="S201" i="22"/>
  <c r="S195" i="22"/>
  <c r="O194" i="22"/>
  <c r="S177" i="22"/>
  <c r="O176" i="22"/>
  <c r="AA195" i="22"/>
  <c r="AG195" i="22"/>
  <c r="AH195" i="22" s="1"/>
  <c r="AI195" i="22" s="1"/>
  <c r="AA204" i="22"/>
  <c r="AG204" i="22"/>
  <c r="AH204" i="22" s="1"/>
  <c r="AI204" i="22" s="1"/>
  <c r="O202" i="22"/>
  <c r="AG199" i="22"/>
  <c r="AH199" i="22" s="1"/>
  <c r="AI199" i="22" s="1"/>
  <c r="AA199" i="22"/>
  <c r="AA183" i="22"/>
  <c r="AG183" i="22"/>
  <c r="AH183" i="22" s="1"/>
  <c r="AI183" i="22" s="1"/>
  <c r="AA203" i="22"/>
  <c r="AG203" i="22"/>
  <c r="AH203" i="22" s="1"/>
  <c r="AI203" i="22" s="1"/>
  <c r="AH193" i="22"/>
  <c r="AI193" i="22" s="1"/>
  <c r="AG208" i="22"/>
  <c r="AH208" i="22" s="1"/>
  <c r="AI208" i="22" s="1"/>
  <c r="AA208" i="22"/>
  <c r="ALM224" i="22"/>
  <c r="ALN224" i="22"/>
  <c r="ALO224" i="22"/>
  <c r="ALP224" i="22"/>
  <c r="ALQ224" i="22"/>
  <c r="ALR224" i="22"/>
  <c r="ALS224" i="22"/>
  <c r="ALT224" i="22"/>
  <c r="ALU224" i="22"/>
  <c r="ALV224" i="22"/>
  <c r="ALW224" i="22"/>
  <c r="ALX224" i="22"/>
  <c r="ALY224" i="22"/>
  <c r="ALZ224" i="22"/>
  <c r="AMA224" i="22"/>
  <c r="AMB224" i="22"/>
  <c r="AMC224" i="22"/>
  <c r="AMD224" i="22"/>
  <c r="AME224" i="22"/>
  <c r="AMF224" i="22"/>
  <c r="AMG224" i="22"/>
  <c r="AMH224" i="22"/>
  <c r="AMI224" i="22"/>
  <c r="AMJ224" i="22"/>
  <c r="AMK224" i="22"/>
  <c r="AML224" i="22"/>
  <c r="AMM224" i="22"/>
  <c r="AMN224" i="22"/>
  <c r="AMO224" i="22"/>
  <c r="AMP224" i="22"/>
  <c r="AMQ224" i="22"/>
  <c r="AMR224" i="22"/>
  <c r="AMS224" i="22"/>
  <c r="AMT224" i="22"/>
  <c r="AMU224" i="22"/>
  <c r="AMV224" i="22"/>
  <c r="AMW224" i="22"/>
  <c r="AMX224" i="22"/>
  <c r="AMY224" i="22"/>
  <c r="AMZ224" i="22"/>
  <c r="ANA224" i="22"/>
  <c r="ANB224" i="22"/>
  <c r="ANC224" i="22"/>
  <c r="AND224" i="22"/>
  <c r="ANE224" i="22"/>
  <c r="ANF224" i="22"/>
  <c r="ANG224" i="22"/>
  <c r="ANH224" i="22"/>
  <c r="ANI224" i="22"/>
  <c r="ANJ224" i="22"/>
  <c r="ANK224" i="22"/>
  <c r="ANL224" i="22"/>
  <c r="ANM224" i="22"/>
  <c r="ANN224" i="22"/>
  <c r="ANO224" i="22"/>
  <c r="ANP224" i="22"/>
  <c r="ANQ224" i="22"/>
  <c r="ANR224" i="22"/>
  <c r="ANS224" i="22"/>
  <c r="ANT224" i="22"/>
  <c r="ANU224" i="22"/>
  <c r="ANV224" i="22"/>
  <c r="ANW224" i="22"/>
  <c r="ANX224" i="22"/>
  <c r="ANY224" i="22"/>
  <c r="ANZ224" i="22"/>
  <c r="AOA224" i="22"/>
  <c r="AOB224" i="22"/>
  <c r="AOC224" i="22"/>
  <c r="AOD224" i="22"/>
  <c r="AOE224" i="22"/>
  <c r="AOF224" i="22"/>
  <c r="AOG224" i="22"/>
  <c r="AOH224" i="22"/>
  <c r="AOI224" i="22"/>
  <c r="AOJ224" i="22"/>
  <c r="AOK224" i="22"/>
  <c r="AOL224" i="22"/>
  <c r="AOM224" i="22"/>
  <c r="AON224" i="22"/>
  <c r="AOO224" i="22"/>
  <c r="AOP224" i="22"/>
  <c r="AOQ224" i="22"/>
  <c r="AOR224" i="22"/>
  <c r="AOS224" i="22"/>
  <c r="AOT224" i="22"/>
  <c r="AOU224" i="22"/>
  <c r="AOV224" i="22"/>
  <c r="AOW224" i="22"/>
  <c r="AOX224" i="22"/>
  <c r="AOY224" i="22"/>
  <c r="AOZ224" i="22"/>
  <c r="APA224" i="22"/>
  <c r="APB224" i="22"/>
  <c r="APC224" i="22"/>
  <c r="APD224" i="22"/>
  <c r="APE224" i="22"/>
  <c r="APF224" i="22"/>
  <c r="APG224" i="22"/>
  <c r="APH224" i="22"/>
  <c r="API224" i="22"/>
  <c r="APJ224" i="22"/>
  <c r="APK224" i="22"/>
  <c r="APL224" i="22"/>
  <c r="APM224" i="22"/>
  <c r="APN224" i="22"/>
  <c r="APO224" i="22"/>
  <c r="APP224" i="22"/>
  <c r="APQ224" i="22"/>
  <c r="APR224" i="22"/>
  <c r="APS224" i="22"/>
  <c r="APT224" i="22"/>
  <c r="APU224" i="22"/>
  <c r="APV224" i="22"/>
  <c r="APW224" i="22"/>
  <c r="APX224" i="22"/>
  <c r="APY224" i="22"/>
  <c r="APZ224" i="22"/>
  <c r="AQA224" i="22"/>
  <c r="AQB224" i="22"/>
  <c r="AQC224" i="22"/>
  <c r="AQD224" i="22"/>
  <c r="AQE224" i="22"/>
  <c r="AQF224" i="22"/>
  <c r="AQG224" i="22"/>
  <c r="AQH224" i="22"/>
  <c r="AQI224" i="22"/>
  <c r="AQJ224" i="22"/>
  <c r="AQK224" i="22"/>
  <c r="AQL224" i="22"/>
  <c r="AQM224" i="22"/>
  <c r="AQN224" i="22"/>
  <c r="AQO224" i="22"/>
  <c r="AQP224" i="22"/>
  <c r="AQQ224" i="22"/>
  <c r="AQR224" i="22"/>
  <c r="AQS224" i="22"/>
  <c r="AQT224" i="22"/>
  <c r="AQU224" i="22"/>
  <c r="AQV224" i="22"/>
  <c r="AQW224" i="22"/>
  <c r="AQX224" i="22"/>
  <c r="AQY224" i="22"/>
  <c r="AQZ224" i="22"/>
  <c r="ARA224" i="22"/>
  <c r="ARB224" i="22"/>
  <c r="ARC224" i="22"/>
  <c r="ARD224" i="22"/>
  <c r="ARE224" i="22"/>
  <c r="ARF224" i="22"/>
  <c r="ARG224" i="22"/>
  <c r="ARH224" i="22"/>
  <c r="ARI224" i="22"/>
  <c r="ARJ224" i="22"/>
  <c r="ARK224" i="22"/>
  <c r="ARL224" i="22"/>
  <c r="ARM224" i="22"/>
  <c r="ARN224" i="22"/>
  <c r="ARO224" i="22"/>
  <c r="ARP224" i="22"/>
  <c r="ARQ224" i="22"/>
  <c r="ARR224" i="22"/>
  <c r="ARS224" i="22"/>
  <c r="ART224" i="22"/>
  <c r="ARU224" i="22"/>
  <c r="ARV224" i="22"/>
  <c r="ARW224" i="22"/>
  <c r="ARX224" i="22"/>
  <c r="ARY224" i="22"/>
  <c r="ARZ224" i="22"/>
  <c r="ASA224" i="22"/>
  <c r="ASB224" i="22"/>
  <c r="ASC224" i="22"/>
  <c r="ASD224" i="22"/>
  <c r="ASE224" i="22"/>
  <c r="ASF224" i="22"/>
  <c r="ASG224" i="22"/>
  <c r="ASH224" i="22"/>
  <c r="ASI224" i="22"/>
  <c r="ASJ224" i="22"/>
  <c r="ASK224" i="22"/>
  <c r="ASL224" i="22"/>
  <c r="ASM224" i="22"/>
  <c r="ASN224" i="22"/>
  <c r="ASO224" i="22"/>
  <c r="ASP224" i="22"/>
  <c r="ASQ224" i="22"/>
  <c r="ASR224" i="22"/>
  <c r="ASS224" i="22"/>
  <c r="AST224" i="22"/>
  <c r="ASU224" i="22"/>
  <c r="ASV224" i="22"/>
  <c r="ASW224" i="22"/>
  <c r="ASX224" i="22"/>
  <c r="ASY224" i="22"/>
  <c r="ASZ224" i="22"/>
  <c r="ATA224" i="22"/>
  <c r="ATB224" i="22"/>
  <c r="ATC224" i="22"/>
  <c r="ATD224" i="22"/>
  <c r="ATE224" i="22"/>
  <c r="ATF224" i="22"/>
  <c r="ATG224" i="22"/>
  <c r="ATH224" i="22"/>
  <c r="ATI224" i="22"/>
  <c r="ATJ224" i="22"/>
  <c r="ATK224" i="22"/>
  <c r="ATL224" i="22"/>
  <c r="ATM224" i="22"/>
  <c r="ATN224" i="22"/>
  <c r="ATO224" i="22"/>
  <c r="ATP224" i="22"/>
  <c r="ATQ224" i="22"/>
  <c r="ATR224" i="22"/>
  <c r="ATS224" i="22"/>
  <c r="ATT224" i="22"/>
  <c r="ATU224" i="22"/>
  <c r="ATV224" i="22"/>
  <c r="ATW224" i="22"/>
  <c r="ATX224" i="22"/>
  <c r="ATY224" i="22"/>
  <c r="ATZ224" i="22"/>
  <c r="AUA224" i="22"/>
  <c r="AUB224" i="22"/>
  <c r="AUC224" i="22"/>
  <c r="AUD224" i="22"/>
  <c r="AUE224" i="22"/>
  <c r="AUF224" i="22"/>
  <c r="AUG224" i="22"/>
  <c r="AUH224" i="22"/>
  <c r="AUI224" i="22"/>
  <c r="AUJ224" i="22"/>
  <c r="AUK224" i="22"/>
  <c r="AUL224" i="22"/>
  <c r="AUM224" i="22"/>
  <c r="AUN224" i="22"/>
  <c r="AUO224" i="22"/>
  <c r="AUP224" i="22"/>
  <c r="AUQ224" i="22"/>
  <c r="AUR224" i="22"/>
  <c r="AUS224" i="22"/>
  <c r="AUT224" i="22"/>
  <c r="AUU224" i="22"/>
  <c r="AUV224" i="22"/>
  <c r="AUW224" i="22"/>
  <c r="AUX224" i="22"/>
  <c r="AUY224" i="22"/>
  <c r="AUZ224" i="22"/>
  <c r="AVA224" i="22"/>
  <c r="AVB224" i="22"/>
  <c r="AVC224" i="22"/>
  <c r="AVD224" i="22"/>
  <c r="AVE224" i="22"/>
  <c r="AVF224" i="22"/>
  <c r="AVG224" i="22"/>
  <c r="AVH224" i="22"/>
  <c r="AVI224" i="22"/>
  <c r="AVJ224" i="22"/>
  <c r="AVK224" i="22"/>
  <c r="AVL224" i="22"/>
  <c r="AVM224" i="22"/>
  <c r="AVN224" i="22"/>
  <c r="AVO224" i="22"/>
  <c r="AVP224" i="22"/>
  <c r="AVQ224" i="22"/>
  <c r="AVR224" i="22"/>
  <c r="AVS224" i="22"/>
  <c r="AVT224" i="22"/>
  <c r="AVU224" i="22"/>
  <c r="AVV224" i="22"/>
  <c r="AVW224" i="22"/>
  <c r="AVX224" i="22"/>
  <c r="AVY224" i="22"/>
  <c r="AVZ224" i="22"/>
  <c r="AWA224" i="22"/>
  <c r="AWB224" i="22"/>
  <c r="AWC224" i="22"/>
  <c r="AWD224" i="22"/>
  <c r="AWE224" i="22"/>
  <c r="AWF224" i="22"/>
  <c r="AWG224" i="22"/>
  <c r="AWH224" i="22"/>
  <c r="AWI224" i="22"/>
  <c r="AWJ224" i="22"/>
  <c r="AWK224" i="22"/>
  <c r="AWL224" i="22"/>
  <c r="AWM224" i="22"/>
  <c r="AWN224" i="22"/>
  <c r="AWO224" i="22"/>
  <c r="AWP224" i="22"/>
  <c r="AWQ224" i="22"/>
  <c r="AWR224" i="22"/>
  <c r="AWS224" i="22"/>
  <c r="AWT224" i="22"/>
  <c r="AWU224" i="22"/>
  <c r="AWV224" i="22"/>
  <c r="AWW224" i="22"/>
  <c r="AWX224" i="22"/>
  <c r="AWY224" i="22"/>
  <c r="AWZ224" i="22"/>
  <c r="AXA224" i="22"/>
  <c r="AXB224" i="22"/>
  <c r="AXC224" i="22"/>
  <c r="AXD224" i="22"/>
  <c r="AXE224" i="22"/>
  <c r="AXF224" i="22"/>
  <c r="AXG224" i="22"/>
  <c r="AXH224" i="22"/>
  <c r="AXI224" i="22"/>
  <c r="AXJ224" i="22"/>
  <c r="AXK224" i="22"/>
  <c r="AXL224" i="22"/>
  <c r="AXM224" i="22"/>
  <c r="AXN224" i="22"/>
  <c r="AXO224" i="22"/>
  <c r="AXP224" i="22"/>
  <c r="AXQ224" i="22"/>
  <c r="AXR224" i="22"/>
  <c r="AXS224" i="22"/>
  <c r="AXT224" i="22"/>
  <c r="AXU224" i="22"/>
  <c r="AXV224" i="22"/>
  <c r="AXW224" i="22"/>
  <c r="AXX224" i="22"/>
  <c r="AXY224" i="22"/>
  <c r="AXZ224" i="22"/>
  <c r="AYA224" i="22"/>
  <c r="AYB224" i="22"/>
  <c r="AYC224" i="22"/>
  <c r="AYD224" i="22"/>
  <c r="AYE224" i="22"/>
  <c r="AYF224" i="22"/>
  <c r="AYG224" i="22"/>
  <c r="AYH224" i="22"/>
  <c r="AYI224" i="22"/>
  <c r="AYJ224" i="22"/>
  <c r="AYK224" i="22"/>
  <c r="AYL224" i="22"/>
  <c r="AYM224" i="22"/>
  <c r="AYN224" i="22"/>
  <c r="AYO224" i="22"/>
  <c r="AYP224" i="22"/>
  <c r="AYQ224" i="22"/>
  <c r="AYR224" i="22"/>
  <c r="AYS224" i="22"/>
  <c r="AYT224" i="22"/>
  <c r="AYU224" i="22"/>
  <c r="AYV224" i="22"/>
  <c r="AYW224" i="22"/>
  <c r="AYX224" i="22"/>
  <c r="AYY224" i="22"/>
  <c r="AYZ224" i="22"/>
  <c r="AZA224" i="22"/>
  <c r="AZB224" i="22"/>
  <c r="AZC224" i="22"/>
  <c r="AZD224" i="22"/>
  <c r="AZE224" i="22"/>
  <c r="AZF224" i="22"/>
  <c r="AZG224" i="22"/>
  <c r="AZH224" i="22"/>
  <c r="AZI224" i="22"/>
  <c r="AZJ224" i="22"/>
  <c r="AZK224" i="22"/>
  <c r="AZL224" i="22"/>
  <c r="AZM224" i="22"/>
  <c r="AZN224" i="22"/>
  <c r="AZO224" i="22"/>
  <c r="AZP224" i="22"/>
  <c r="AZQ224" i="22"/>
  <c r="AZR224" i="22"/>
  <c r="AZS224" i="22"/>
  <c r="AZT224" i="22"/>
  <c r="AZU224" i="22"/>
  <c r="AZV224" i="22"/>
  <c r="AZW224" i="22"/>
  <c r="AZX224" i="22"/>
  <c r="AZY224" i="22"/>
  <c r="AZZ224" i="22"/>
  <c r="BAA224" i="22"/>
  <c r="BAB224" i="22"/>
  <c r="BAC224" i="22"/>
  <c r="BAD224" i="22"/>
  <c r="BAE224" i="22"/>
  <c r="BAF224" i="22"/>
  <c r="BAG224" i="22"/>
  <c r="BAH224" i="22"/>
  <c r="BAI224" i="22"/>
  <c r="BAJ224" i="22"/>
  <c r="BAK224" i="22"/>
  <c r="BAL224" i="22"/>
  <c r="BAM224" i="22"/>
  <c r="BAN224" i="22"/>
  <c r="BAO224" i="22"/>
  <c r="BAP224" i="22"/>
  <c r="BAQ224" i="22"/>
  <c r="BAR224" i="22"/>
  <c r="BAS224" i="22"/>
  <c r="BAT224" i="22"/>
  <c r="BAU224" i="22"/>
  <c r="BAV224" i="22"/>
  <c r="BAW224" i="22"/>
  <c r="BAX224" i="22"/>
  <c r="BAY224" i="22"/>
  <c r="BAZ224" i="22"/>
  <c r="BBA224" i="22"/>
  <c r="BBB224" i="22"/>
  <c r="BBC224" i="22"/>
  <c r="BBD224" i="22"/>
  <c r="BBE224" i="22"/>
  <c r="BBF224" i="22"/>
  <c r="BBG224" i="22"/>
  <c r="BBH224" i="22"/>
  <c r="BBI224" i="22"/>
  <c r="BBJ224" i="22"/>
  <c r="BBK224" i="22"/>
  <c r="BBL224" i="22"/>
  <c r="BBM224" i="22"/>
  <c r="BBN224" i="22"/>
  <c r="BBO224" i="22"/>
  <c r="BBP224" i="22"/>
  <c r="BBQ224" i="22"/>
  <c r="BBR224" i="22"/>
  <c r="BBS224" i="22"/>
  <c r="BBT224" i="22"/>
  <c r="BBU224" i="22"/>
  <c r="BBV224" i="22"/>
  <c r="BBW224" i="22"/>
  <c r="BBX224" i="22"/>
  <c r="BBY224" i="22"/>
  <c r="BBZ224" i="22"/>
  <c r="BCA224" i="22"/>
  <c r="BCB224" i="22"/>
  <c r="BCC224" i="22"/>
  <c r="BCD224" i="22"/>
  <c r="BCE224" i="22"/>
  <c r="BCF224" i="22"/>
  <c r="BCG224" i="22"/>
  <c r="BCH224" i="22"/>
  <c r="BCI224" i="22"/>
  <c r="BCJ224" i="22"/>
  <c r="BCK224" i="22"/>
  <c r="BCL224" i="22"/>
  <c r="BCM224" i="22"/>
  <c r="BCN224" i="22"/>
  <c r="BCO224" i="22"/>
  <c r="BCP224" i="22"/>
  <c r="BCQ224" i="22"/>
  <c r="BCR224" i="22"/>
  <c r="BCS224" i="22"/>
  <c r="BCT224" i="22"/>
  <c r="BCU224" i="22"/>
  <c r="BCV224" i="22"/>
  <c r="BCW224" i="22"/>
  <c r="BCX224" i="22"/>
  <c r="BCY224" i="22"/>
  <c r="BCZ224" i="22"/>
  <c r="BDA224" i="22"/>
  <c r="BDB224" i="22"/>
  <c r="BDC224" i="22"/>
  <c r="BDD224" i="22"/>
  <c r="BDE224" i="22"/>
  <c r="BDF224" i="22"/>
  <c r="BDG224" i="22"/>
  <c r="BDH224" i="22"/>
  <c r="BDI224" i="22"/>
  <c r="BDJ224" i="22"/>
  <c r="BDK224" i="22"/>
  <c r="BDL224" i="22"/>
  <c r="BDM224" i="22"/>
  <c r="BDN224" i="22"/>
  <c r="BDO224" i="22"/>
  <c r="BDP224" i="22"/>
  <c r="BDQ224" i="22"/>
  <c r="BDR224" i="22"/>
  <c r="BDS224" i="22"/>
  <c r="BDT224" i="22"/>
  <c r="BDU224" i="22"/>
  <c r="BDV224" i="22"/>
  <c r="BDW224" i="22"/>
  <c r="BDX224" i="22"/>
  <c r="BDY224" i="22"/>
  <c r="BDZ224" i="22"/>
  <c r="BEA224" i="22"/>
  <c r="BEB224" i="22"/>
  <c r="BEC224" i="22"/>
  <c r="BED224" i="22"/>
  <c r="BEE224" i="22"/>
  <c r="BEF224" i="22"/>
  <c r="BEG224" i="22"/>
  <c r="BEH224" i="22"/>
  <c r="BEI224" i="22"/>
  <c r="BEJ224" i="22"/>
  <c r="BEK224" i="22"/>
  <c r="BEL224" i="22"/>
  <c r="BEM224" i="22"/>
  <c r="BEN224" i="22"/>
  <c r="BEO224" i="22"/>
  <c r="BEP224" i="22"/>
  <c r="BEQ224" i="22"/>
  <c r="BER224" i="22"/>
  <c r="BES224" i="22"/>
  <c r="BET224" i="22"/>
  <c r="BEU224" i="22"/>
  <c r="BEV224" i="22"/>
  <c r="BEW224" i="22"/>
  <c r="BEX224" i="22"/>
  <c r="BEY224" i="22"/>
  <c r="BEZ224" i="22"/>
  <c r="BFA224" i="22"/>
  <c r="BFB224" i="22"/>
  <c r="BFC224" i="22"/>
  <c r="BFD224" i="22"/>
  <c r="BFE224" i="22"/>
  <c r="BFF224" i="22"/>
  <c r="BFG224" i="22"/>
  <c r="BFH224" i="22"/>
  <c r="BFI224" i="22"/>
  <c r="BFJ224" i="22"/>
  <c r="BFK224" i="22"/>
  <c r="BFL224" i="22"/>
  <c r="BFM224" i="22"/>
  <c r="BFN224" i="22"/>
  <c r="BFO224" i="22"/>
  <c r="BFP224" i="22"/>
  <c r="BFQ224" i="22"/>
  <c r="BFR224" i="22"/>
  <c r="BFS224" i="22"/>
  <c r="BFT224" i="22"/>
  <c r="BFU224" i="22"/>
  <c r="BFV224" i="22"/>
  <c r="BFW224" i="22"/>
  <c r="BFX224" i="22"/>
  <c r="BFY224" i="22"/>
  <c r="BFZ224" i="22"/>
  <c r="BGA224" i="22"/>
  <c r="BGB224" i="22"/>
  <c r="BGC224" i="22"/>
  <c r="BGD224" i="22"/>
  <c r="BGE224" i="22"/>
  <c r="BGF224" i="22"/>
  <c r="BGG224" i="22"/>
  <c r="BGH224" i="22"/>
  <c r="BGI224" i="22"/>
  <c r="BGJ224" i="22"/>
  <c r="BGK224" i="22"/>
  <c r="BGL224" i="22"/>
  <c r="BGM224" i="22"/>
  <c r="BGN224" i="22"/>
  <c r="BGO224" i="22"/>
  <c r="BGP224" i="22"/>
  <c r="BGQ224" i="22"/>
  <c r="BGR224" i="22"/>
  <c r="BGS224" i="22"/>
  <c r="BGT224" i="22"/>
  <c r="BGU224" i="22"/>
  <c r="BGV224" i="22"/>
  <c r="BGW224" i="22"/>
  <c r="BGX224" i="22"/>
  <c r="BGY224" i="22"/>
  <c r="BGZ224" i="22"/>
  <c r="BHA224" i="22"/>
  <c r="BHB224" i="22"/>
  <c r="BHC224" i="22"/>
  <c r="BHD224" i="22"/>
  <c r="BHE224" i="22"/>
  <c r="BHF224" i="22"/>
  <c r="BHG224" i="22"/>
  <c r="BHH224" i="22"/>
  <c r="BHI224" i="22"/>
  <c r="BHJ224" i="22"/>
  <c r="BHK224" i="22"/>
  <c r="BHL224" i="22"/>
  <c r="BHM224" i="22"/>
  <c r="BHN224" i="22"/>
  <c r="BHO224" i="22"/>
  <c r="BHP224" i="22"/>
  <c r="BHQ224" i="22"/>
  <c r="BHR224" i="22"/>
  <c r="BHS224" i="22"/>
  <c r="BHT224" i="22"/>
  <c r="BHU224" i="22"/>
  <c r="BHV224" i="22"/>
  <c r="BHW224" i="22"/>
  <c r="BHX224" i="22"/>
  <c r="BHY224" i="22"/>
  <c r="BHZ224" i="22"/>
  <c r="BIA224" i="22"/>
  <c r="BIB224" i="22"/>
  <c r="BIC224" i="22"/>
  <c r="BID224" i="22"/>
  <c r="BIE224" i="22"/>
  <c r="BIF224" i="22"/>
  <c r="BIG224" i="22"/>
  <c r="BIH224" i="22"/>
  <c r="BII224" i="22"/>
  <c r="BIJ224" i="22"/>
  <c r="BIK224" i="22"/>
  <c r="BIL224" i="22"/>
  <c r="BIM224" i="22"/>
  <c r="BIN224" i="22"/>
  <c r="BIO224" i="22"/>
  <c r="BIP224" i="22"/>
  <c r="BIQ224" i="22"/>
  <c r="BIR224" i="22"/>
  <c r="BIS224" i="22"/>
  <c r="BIT224" i="22"/>
  <c r="BIU224" i="22"/>
  <c r="BIV224" i="22"/>
  <c r="BIW224" i="22"/>
  <c r="BIX224" i="22"/>
  <c r="BIY224" i="22"/>
  <c r="BIZ224" i="22"/>
  <c r="BJA224" i="22"/>
  <c r="BJB224" i="22"/>
  <c r="BJC224" i="22"/>
  <c r="BJD224" i="22"/>
  <c r="BJE224" i="22"/>
  <c r="BJF224" i="22"/>
  <c r="BJG224" i="22"/>
  <c r="BJH224" i="22"/>
  <c r="BJI224" i="22"/>
  <c r="BJJ224" i="22"/>
  <c r="BJK224" i="22"/>
  <c r="BJL224" i="22"/>
  <c r="BJM224" i="22"/>
  <c r="BJN224" i="22"/>
  <c r="BJO224" i="22"/>
  <c r="BJP224" i="22"/>
  <c r="BJQ224" i="22"/>
  <c r="BJR224" i="22"/>
  <c r="BJS224" i="22"/>
  <c r="BJT224" i="22"/>
  <c r="BJU224" i="22"/>
  <c r="BJV224" i="22"/>
  <c r="BJW224" i="22"/>
  <c r="BJX224" i="22"/>
  <c r="BJY224" i="22"/>
  <c r="BJZ224" i="22"/>
  <c r="BKA224" i="22"/>
  <c r="BKB224" i="22"/>
  <c r="BKC224" i="22"/>
  <c r="BKD224" i="22"/>
  <c r="BKE224" i="22"/>
  <c r="BKF224" i="22"/>
  <c r="BKG224" i="22"/>
  <c r="BKH224" i="22"/>
  <c r="BKI224" i="22"/>
  <c r="BKJ224" i="22"/>
  <c r="BKK224" i="22"/>
  <c r="BKL224" i="22"/>
  <c r="BKM224" i="22"/>
  <c r="BKN224" i="22"/>
  <c r="BKO224" i="22"/>
  <c r="BKP224" i="22"/>
  <c r="BKQ224" i="22"/>
  <c r="BKR224" i="22"/>
  <c r="BKS224" i="22"/>
  <c r="BKT224" i="22"/>
  <c r="BKU224" i="22"/>
  <c r="BKV224" i="22"/>
  <c r="BKW224" i="22"/>
  <c r="BKX224" i="22"/>
  <c r="BKY224" i="22"/>
  <c r="BKZ224" i="22"/>
  <c r="BLA224" i="22"/>
  <c r="BLB224" i="22"/>
  <c r="BLC224" i="22"/>
  <c r="BLD224" i="22"/>
  <c r="BLE224" i="22"/>
  <c r="BLF224" i="22"/>
  <c r="BLG224" i="22"/>
  <c r="BLH224" i="22"/>
  <c r="BLI224" i="22"/>
  <c r="BLJ224" i="22"/>
  <c r="BLK224" i="22"/>
  <c r="BLL224" i="22"/>
  <c r="BLM224" i="22"/>
  <c r="BLN224" i="22"/>
  <c r="BLO224" i="22"/>
  <c r="BLP224" i="22"/>
  <c r="BLQ224" i="22"/>
  <c r="BLR224" i="22"/>
  <c r="BLS224" i="22"/>
  <c r="BLT224" i="22"/>
  <c r="BLU224" i="22"/>
  <c r="BLV224" i="22"/>
  <c r="BLW224" i="22"/>
  <c r="BLX224" i="22"/>
  <c r="BLY224" i="22"/>
  <c r="BLZ224" i="22"/>
  <c r="BMA224" i="22"/>
  <c r="BMB224" i="22"/>
  <c r="BMC224" i="22"/>
  <c r="BMD224" i="22"/>
  <c r="BME224" i="22"/>
  <c r="BMF224" i="22"/>
  <c r="BMG224" i="22"/>
  <c r="BMH224" i="22"/>
  <c r="BMI224" i="22"/>
  <c r="BMJ224" i="22"/>
  <c r="BMK224" i="22"/>
  <c r="BML224" i="22"/>
  <c r="BMM224" i="22"/>
  <c r="BMN224" i="22"/>
  <c r="BMO224" i="22"/>
  <c r="BMP224" i="22"/>
  <c r="BMQ224" i="22"/>
  <c r="BMR224" i="22"/>
  <c r="BMS224" i="22"/>
  <c r="BMT224" i="22"/>
  <c r="BMU224" i="22"/>
  <c r="BMV224" i="22"/>
  <c r="BMW224" i="22"/>
  <c r="BMX224" i="22"/>
  <c r="BMY224" i="22"/>
  <c r="BMZ224" i="22"/>
  <c r="BNA224" i="22"/>
  <c r="BNB224" i="22"/>
  <c r="BNC224" i="22"/>
  <c r="BND224" i="22"/>
  <c r="BNE224" i="22"/>
  <c r="BNF224" i="22"/>
  <c r="BNG224" i="22"/>
  <c r="BNH224" i="22"/>
  <c r="BNI224" i="22"/>
  <c r="BNJ224" i="22"/>
  <c r="BNK224" i="22"/>
  <c r="BNL224" i="22"/>
  <c r="BNM224" i="22"/>
  <c r="BNN224" i="22"/>
  <c r="BNO224" i="22"/>
  <c r="BNP224" i="22"/>
  <c r="BNQ224" i="22"/>
  <c r="BNR224" i="22"/>
  <c r="BNS224" i="22"/>
  <c r="BNT224" i="22"/>
  <c r="BNU224" i="22"/>
  <c r="BNV224" i="22"/>
  <c r="BNW224" i="22"/>
  <c r="BNX224" i="22"/>
  <c r="BNY224" i="22"/>
  <c r="BNZ224" i="22"/>
  <c r="BOA224" i="22"/>
  <c r="BOB224" i="22"/>
  <c r="BOC224" i="22"/>
  <c r="BOD224" i="22"/>
  <c r="BOE224" i="22"/>
  <c r="BOF224" i="22"/>
  <c r="BOG224" i="22"/>
  <c r="BOH224" i="22"/>
  <c r="BOI224" i="22"/>
  <c r="BOJ224" i="22"/>
  <c r="BOK224" i="22"/>
  <c r="BOL224" i="22"/>
  <c r="BOM224" i="22"/>
  <c r="BON224" i="22"/>
  <c r="BOO224" i="22"/>
  <c r="BOP224" i="22"/>
  <c r="BOQ224" i="22"/>
  <c r="BOR224" i="22"/>
  <c r="BOS224" i="22"/>
  <c r="BOT224" i="22"/>
  <c r="BOU224" i="22"/>
  <c r="BOV224" i="22"/>
  <c r="BOW224" i="22"/>
  <c r="BOX224" i="22"/>
  <c r="BOY224" i="22"/>
  <c r="BOZ224" i="22"/>
  <c r="BPA224" i="22"/>
  <c r="BPB224" i="22"/>
  <c r="BPC224" i="22"/>
  <c r="BPD224" i="22"/>
  <c r="BPE224" i="22"/>
  <c r="BPF224" i="22"/>
  <c r="BPG224" i="22"/>
  <c r="BPH224" i="22"/>
  <c r="BPI224" i="22"/>
  <c r="BPJ224" i="22"/>
  <c r="BPK224" i="22"/>
  <c r="BPL224" i="22"/>
  <c r="BPM224" i="22"/>
  <c r="BPN224" i="22"/>
  <c r="BPO224" i="22"/>
  <c r="BPP224" i="22"/>
  <c r="BPQ224" i="22"/>
  <c r="BPR224" i="22"/>
  <c r="BPS224" i="22"/>
  <c r="BPT224" i="22"/>
  <c r="BPU224" i="22"/>
  <c r="BPV224" i="22"/>
  <c r="BPW224" i="22"/>
  <c r="BPX224" i="22"/>
  <c r="BPY224" i="22"/>
  <c r="BPZ224" i="22"/>
  <c r="BQA224" i="22"/>
  <c r="BQB224" i="22"/>
  <c r="BQC224" i="22"/>
  <c r="BQD224" i="22"/>
  <c r="BQE224" i="22"/>
  <c r="BQF224" i="22"/>
  <c r="BQG224" i="22"/>
  <c r="BQH224" i="22"/>
  <c r="BQI224" i="22"/>
  <c r="BQJ224" i="22"/>
  <c r="BQK224" i="22"/>
  <c r="BQL224" i="22"/>
  <c r="BQM224" i="22"/>
  <c r="BQN224" i="22"/>
  <c r="BQO224" i="22"/>
  <c r="BQP224" i="22"/>
  <c r="BQQ224" i="22"/>
  <c r="BQR224" i="22"/>
  <c r="BQS224" i="22"/>
  <c r="BQT224" i="22"/>
  <c r="BQU224" i="22"/>
  <c r="BQV224" i="22"/>
  <c r="BQW224" i="22"/>
  <c r="BQX224" i="22"/>
  <c r="BQY224" i="22"/>
  <c r="BQZ224" i="22"/>
  <c r="BRA224" i="22"/>
  <c r="BRB224" i="22"/>
  <c r="BRC224" i="22"/>
  <c r="BRD224" i="22"/>
  <c r="BRE224" i="22"/>
  <c r="BRF224" i="22"/>
  <c r="BRG224" i="22"/>
  <c r="BRH224" i="22"/>
  <c r="BRI224" i="22"/>
  <c r="BRJ224" i="22"/>
  <c r="BRK224" i="22"/>
  <c r="BRL224" i="22"/>
  <c r="BRM224" i="22"/>
  <c r="BRN224" i="22"/>
  <c r="BRO224" i="22"/>
  <c r="BRP224" i="22"/>
  <c r="BRQ224" i="22"/>
  <c r="BRR224" i="22"/>
  <c r="BRS224" i="22"/>
  <c r="BRT224" i="22"/>
  <c r="BRU224" i="22"/>
  <c r="BRV224" i="22"/>
  <c r="BRW224" i="22"/>
  <c r="BRX224" i="22"/>
  <c r="BRY224" i="22"/>
  <c r="BRZ224" i="22"/>
  <c r="BSA224" i="22"/>
  <c r="BSB224" i="22"/>
  <c r="BSC224" i="22"/>
  <c r="BSD224" i="22"/>
  <c r="BSE224" i="22"/>
  <c r="BSF224" i="22"/>
  <c r="BSG224" i="22"/>
  <c r="BSH224" i="22"/>
  <c r="BSI224" i="22"/>
  <c r="BSJ224" i="22"/>
  <c r="BSK224" i="22"/>
  <c r="BSL224" i="22"/>
  <c r="BSM224" i="22"/>
  <c r="BSN224" i="22"/>
  <c r="BSO224" i="22"/>
  <c r="BSP224" i="22"/>
  <c r="BSQ224" i="22"/>
  <c r="BSR224" i="22"/>
  <c r="BSS224" i="22"/>
  <c r="BST224" i="22"/>
  <c r="BSU224" i="22"/>
  <c r="BSV224" i="22"/>
  <c r="BSW224" i="22"/>
  <c r="BSX224" i="22"/>
  <c r="BSY224" i="22"/>
  <c r="BSZ224" i="22"/>
  <c r="BTA224" i="22"/>
  <c r="BTB224" i="22"/>
  <c r="BTC224" i="22"/>
  <c r="BTD224" i="22"/>
  <c r="BTE224" i="22"/>
  <c r="BTF224" i="22"/>
  <c r="BTG224" i="22"/>
  <c r="BTH224" i="22"/>
  <c r="BTI224" i="22"/>
  <c r="BTJ224" i="22"/>
  <c r="BTK224" i="22"/>
  <c r="BTL224" i="22"/>
  <c r="BTM224" i="22"/>
  <c r="BTN224" i="22"/>
  <c r="BTO224" i="22"/>
  <c r="BTP224" i="22"/>
  <c r="BTQ224" i="22"/>
  <c r="BTR224" i="22"/>
  <c r="BTS224" i="22"/>
  <c r="BTT224" i="22"/>
  <c r="BTU224" i="22"/>
  <c r="BTV224" i="22"/>
  <c r="BTW224" i="22"/>
  <c r="BTX224" i="22"/>
  <c r="BTY224" i="22"/>
  <c r="BTZ224" i="22"/>
  <c r="BUA224" i="22"/>
  <c r="BUB224" i="22"/>
  <c r="BUC224" i="22"/>
  <c r="BUD224" i="22"/>
  <c r="BUE224" i="22"/>
  <c r="BUF224" i="22"/>
  <c r="BUG224" i="22"/>
  <c r="BUH224" i="22"/>
  <c r="BUI224" i="22"/>
  <c r="BUJ224" i="22"/>
  <c r="BUK224" i="22"/>
  <c r="BUL224" i="22"/>
  <c r="BUM224" i="22"/>
  <c r="BUN224" i="22"/>
  <c r="BUO224" i="22"/>
  <c r="BUP224" i="22"/>
  <c r="BUQ224" i="22"/>
  <c r="BUR224" i="22"/>
  <c r="BUS224" i="22"/>
  <c r="BUT224" i="22"/>
  <c r="BUU224" i="22"/>
  <c r="BUV224" i="22"/>
  <c r="BUW224" i="22"/>
  <c r="BUX224" i="22"/>
  <c r="BUY224" i="22"/>
  <c r="BUZ224" i="22"/>
  <c r="BVA224" i="22"/>
  <c r="BVB224" i="22"/>
  <c r="BVC224" i="22"/>
  <c r="BVD224" i="22"/>
  <c r="BVE224" i="22"/>
  <c r="BVF224" i="22"/>
  <c r="BVG224" i="22"/>
  <c r="BVH224" i="22"/>
  <c r="BVI224" i="22"/>
  <c r="BVJ224" i="22"/>
  <c r="BVK224" i="22"/>
  <c r="BVL224" i="22"/>
  <c r="BVM224" i="22"/>
  <c r="BVN224" i="22"/>
  <c r="BVO224" i="22"/>
  <c r="BVP224" i="22"/>
  <c r="BVQ224" i="22"/>
  <c r="BVR224" i="22"/>
  <c r="BVS224" i="22"/>
  <c r="BVT224" i="22"/>
  <c r="BVU224" i="22"/>
  <c r="BVV224" i="22"/>
  <c r="BVW224" i="22"/>
  <c r="BVX224" i="22"/>
  <c r="BVY224" i="22"/>
  <c r="BVZ224" i="22"/>
  <c r="BWA224" i="22"/>
  <c r="BWB224" i="22"/>
  <c r="BWC224" i="22"/>
  <c r="BWD224" i="22"/>
  <c r="BWE224" i="22"/>
  <c r="BWF224" i="22"/>
  <c r="BWG224" i="22"/>
  <c r="BWH224" i="22"/>
  <c r="BWI224" i="22"/>
  <c r="BWJ224" i="22"/>
  <c r="BWK224" i="22"/>
  <c r="BWL224" i="22"/>
  <c r="BWM224" i="22"/>
  <c r="BWN224" i="22"/>
  <c r="BWO224" i="22"/>
  <c r="BWP224" i="22"/>
  <c r="BWQ224" i="22"/>
  <c r="BWR224" i="22"/>
  <c r="BWS224" i="22"/>
  <c r="BWT224" i="22"/>
  <c r="BWU224" i="22"/>
  <c r="BWV224" i="22"/>
  <c r="BWW224" i="22"/>
  <c r="BWX224" i="22"/>
  <c r="BWY224" i="22"/>
  <c r="BWZ224" i="22"/>
  <c r="BXA224" i="22"/>
  <c r="BXB224" i="22"/>
  <c r="BXC224" i="22"/>
  <c r="BXD224" i="22"/>
  <c r="BXE224" i="22"/>
  <c r="BXF224" i="22"/>
  <c r="BXG224" i="22"/>
  <c r="BXH224" i="22"/>
  <c r="BXI224" i="22"/>
  <c r="BXJ224" i="22"/>
  <c r="BXK224" i="22"/>
  <c r="BXL224" i="22"/>
  <c r="BXM224" i="22"/>
  <c r="BXN224" i="22"/>
  <c r="BXO224" i="22"/>
  <c r="BXP224" i="22"/>
  <c r="BXQ224" i="22"/>
  <c r="BXR224" i="22"/>
  <c r="BXS224" i="22"/>
  <c r="BXT224" i="22"/>
  <c r="BXU224" i="22"/>
  <c r="BXV224" i="22"/>
  <c r="BXW224" i="22"/>
  <c r="BXX224" i="22"/>
  <c r="BXY224" i="22"/>
  <c r="BXZ224" i="22"/>
  <c r="BYA224" i="22"/>
  <c r="BYB224" i="22"/>
  <c r="BYC224" i="22"/>
  <c r="BYD224" i="22"/>
  <c r="BYE224" i="22"/>
  <c r="BYF224" i="22"/>
  <c r="BYG224" i="22"/>
  <c r="BYH224" i="22"/>
  <c r="BYI224" i="22"/>
  <c r="BYJ224" i="22"/>
  <c r="BYK224" i="22"/>
  <c r="BYL224" i="22"/>
  <c r="BYM224" i="22"/>
  <c r="BYN224" i="22"/>
  <c r="BYO224" i="22"/>
  <c r="BYP224" i="22"/>
  <c r="BYQ224" i="22"/>
  <c r="BYR224" i="22"/>
  <c r="BYS224" i="22"/>
  <c r="BYT224" i="22"/>
  <c r="BYU224" i="22"/>
  <c r="BYV224" i="22"/>
  <c r="BYW224" i="22"/>
  <c r="BYX224" i="22"/>
  <c r="BYY224" i="22"/>
  <c r="BYZ224" i="22"/>
  <c r="BZA224" i="22"/>
  <c r="BZB224" i="22"/>
  <c r="BZC224" i="22"/>
  <c r="BZD224" i="22"/>
  <c r="BZE224" i="22"/>
  <c r="BZF224" i="22"/>
  <c r="BZG224" i="22"/>
  <c r="BZH224" i="22"/>
  <c r="BZI224" i="22"/>
  <c r="BZJ224" i="22"/>
  <c r="BZK224" i="22"/>
  <c r="BZL224" i="22"/>
  <c r="BZM224" i="22"/>
  <c r="BZN224" i="22"/>
  <c r="BZO224" i="22"/>
  <c r="BZP224" i="22"/>
  <c r="BZQ224" i="22"/>
  <c r="BZR224" i="22"/>
  <c r="BZS224" i="22"/>
  <c r="BZT224" i="22"/>
  <c r="BZU224" i="22"/>
  <c r="BZV224" i="22"/>
  <c r="BZW224" i="22"/>
  <c r="BZX224" i="22"/>
  <c r="BZY224" i="22"/>
  <c r="BZZ224" i="22"/>
  <c r="CAA224" i="22"/>
  <c r="CAB224" i="22"/>
  <c r="CAC224" i="22"/>
  <c r="CAD224" i="22"/>
  <c r="CAE224" i="22"/>
  <c r="CAF224" i="22"/>
  <c r="CAG224" i="22"/>
  <c r="CAH224" i="22"/>
  <c r="CAI224" i="22"/>
  <c r="CAJ224" i="22"/>
  <c r="CAK224" i="22"/>
  <c r="CAL224" i="22"/>
  <c r="CAM224" i="22"/>
  <c r="CAN224" i="22"/>
  <c r="CAO224" i="22"/>
  <c r="CAP224" i="22"/>
  <c r="CAQ224" i="22"/>
  <c r="CAR224" i="22"/>
  <c r="CAS224" i="22"/>
  <c r="CAT224" i="22"/>
  <c r="CAU224" i="22"/>
  <c r="CAV224" i="22"/>
  <c r="CAW224" i="22"/>
  <c r="CAX224" i="22"/>
  <c r="CAY224" i="22"/>
  <c r="CAZ224" i="22"/>
  <c r="CBA224" i="22"/>
  <c r="CBB224" i="22"/>
  <c r="CBC224" i="22"/>
  <c r="CBD224" i="22"/>
  <c r="CBE224" i="22"/>
  <c r="CBF224" i="22"/>
  <c r="CBG224" i="22"/>
  <c r="CBH224" i="22"/>
  <c r="CBI224" i="22"/>
  <c r="CBJ224" i="22"/>
  <c r="CBK224" i="22"/>
  <c r="CBL224" i="22"/>
  <c r="CBM224" i="22"/>
  <c r="CBN224" i="22"/>
  <c r="CBO224" i="22"/>
  <c r="CBP224" i="22"/>
  <c r="CBQ224" i="22"/>
  <c r="CBR224" i="22"/>
  <c r="CBS224" i="22"/>
  <c r="CBT224" i="22"/>
  <c r="CBU224" i="22"/>
  <c r="CBV224" i="22"/>
  <c r="CBW224" i="22"/>
  <c r="CBX224" i="22"/>
  <c r="CBY224" i="22"/>
  <c r="CBZ224" i="22"/>
  <c r="CCA224" i="22"/>
  <c r="CCB224" i="22"/>
  <c r="CCC224" i="22"/>
  <c r="CCD224" i="22"/>
  <c r="CCE224" i="22"/>
  <c r="CCF224" i="22"/>
  <c r="CCG224" i="22"/>
  <c r="CCH224" i="22"/>
  <c r="CCI224" i="22"/>
  <c r="CCJ224" i="22"/>
  <c r="CCK224" i="22"/>
  <c r="CCL224" i="22"/>
  <c r="CCM224" i="22"/>
  <c r="CCN224" i="22"/>
  <c r="CCO224" i="22"/>
  <c r="CCP224" i="22"/>
  <c r="CCQ224" i="22"/>
  <c r="CCR224" i="22"/>
  <c r="CCS224" i="22"/>
  <c r="CCT224" i="22"/>
  <c r="CCU224" i="22"/>
  <c r="CCV224" i="22"/>
  <c r="CCW224" i="22"/>
  <c r="CCX224" i="22"/>
  <c r="CCY224" i="22"/>
  <c r="CCZ224" i="22"/>
  <c r="CDA224" i="22"/>
  <c r="CDB224" i="22"/>
  <c r="CDC224" i="22"/>
  <c r="CDD224" i="22"/>
  <c r="CDE224" i="22"/>
  <c r="CDF224" i="22"/>
  <c r="CDG224" i="22"/>
  <c r="CDH224" i="22"/>
  <c r="CDI224" i="22"/>
  <c r="CDJ224" i="22"/>
  <c r="CDK224" i="22"/>
  <c r="CDL224" i="22"/>
  <c r="CDM224" i="22"/>
  <c r="CDN224" i="22"/>
  <c r="CDO224" i="22"/>
  <c r="CDP224" i="22"/>
  <c r="CDQ224" i="22"/>
  <c r="CDR224" i="22"/>
  <c r="CDS224" i="22"/>
  <c r="CDT224" i="22"/>
  <c r="CDU224" i="22"/>
  <c r="CDV224" i="22"/>
  <c r="CDW224" i="22"/>
  <c r="CDX224" i="22"/>
  <c r="CDY224" i="22"/>
  <c r="CDZ224" i="22"/>
  <c r="CEA224" i="22"/>
  <c r="CEB224" i="22"/>
  <c r="CEC224" i="22"/>
  <c r="CED224" i="22"/>
  <c r="CEE224" i="22"/>
  <c r="CEF224" i="22"/>
  <c r="CEG224" i="22"/>
  <c r="CEH224" i="22"/>
  <c r="CEI224" i="22"/>
  <c r="CEJ224" i="22"/>
  <c r="CEK224" i="22"/>
  <c r="CEL224" i="22"/>
  <c r="CEM224" i="22"/>
  <c r="CEN224" i="22"/>
  <c r="CEO224" i="22"/>
  <c r="CEP224" i="22"/>
  <c r="CEQ224" i="22"/>
  <c r="CER224" i="22"/>
  <c r="CES224" i="22"/>
  <c r="CET224" i="22"/>
  <c r="CEU224" i="22"/>
  <c r="CEV224" i="22"/>
  <c r="CEW224" i="22"/>
  <c r="CEX224" i="22"/>
  <c r="CEY224" i="22"/>
  <c r="CEZ224" i="22"/>
  <c r="CFA224" i="22"/>
  <c r="CFB224" i="22"/>
  <c r="CFC224" i="22"/>
  <c r="CFD224" i="22"/>
  <c r="CFE224" i="22"/>
  <c r="CFF224" i="22"/>
  <c r="CFG224" i="22"/>
  <c r="CFH224" i="22"/>
  <c r="CFI224" i="22"/>
  <c r="CFJ224" i="22"/>
  <c r="CFK224" i="22"/>
  <c r="CFL224" i="22"/>
  <c r="CFM224" i="22"/>
  <c r="CFN224" i="22"/>
  <c r="CFO224" i="22"/>
  <c r="CFP224" i="22"/>
  <c r="CFQ224" i="22"/>
  <c r="CFR224" i="22"/>
  <c r="CFS224" i="22"/>
  <c r="CFT224" i="22"/>
  <c r="CFU224" i="22"/>
  <c r="CFV224" i="22"/>
  <c r="CFW224" i="22"/>
  <c r="CFX224" i="22"/>
  <c r="CFY224" i="22"/>
  <c r="CFZ224" i="22"/>
  <c r="CGA224" i="22"/>
  <c r="CGB224" i="22"/>
  <c r="CGC224" i="22"/>
  <c r="CGD224" i="22"/>
  <c r="CGE224" i="22"/>
  <c r="CGF224" i="22"/>
  <c r="CGG224" i="22"/>
  <c r="CGH224" i="22"/>
  <c r="CGI224" i="22"/>
  <c r="CGJ224" i="22"/>
  <c r="CGK224" i="22"/>
  <c r="CGL224" i="22"/>
  <c r="CGM224" i="22"/>
  <c r="CGN224" i="22"/>
  <c r="CGO224" i="22"/>
  <c r="CGP224" i="22"/>
  <c r="CGQ224" i="22"/>
  <c r="CGR224" i="22"/>
  <c r="CGS224" i="22"/>
  <c r="CGT224" i="22"/>
  <c r="CGU224" i="22"/>
  <c r="CGV224" i="22"/>
  <c r="CGW224" i="22"/>
  <c r="CGX224" i="22"/>
  <c r="CGY224" i="22"/>
  <c r="CGZ224" i="22"/>
  <c r="CHA224" i="22"/>
  <c r="CHB224" i="22"/>
  <c r="CHC224" i="22"/>
  <c r="CHD224" i="22"/>
  <c r="CHE224" i="22"/>
  <c r="CHF224" i="22"/>
  <c r="CHG224" i="22"/>
  <c r="CHH224" i="22"/>
  <c r="CHI224" i="22"/>
  <c r="CHJ224" i="22"/>
  <c r="CHK224" i="22"/>
  <c r="CHL224" i="22"/>
  <c r="CHM224" i="22"/>
  <c r="CHN224" i="22"/>
  <c r="CHO224" i="22"/>
  <c r="CHP224" i="22"/>
  <c r="CHQ224" i="22"/>
  <c r="CHR224" i="22"/>
  <c r="CHS224" i="22"/>
  <c r="CHT224" i="22"/>
  <c r="CHU224" i="22"/>
  <c r="CHV224" i="22"/>
  <c r="CHW224" i="22"/>
  <c r="CHX224" i="22"/>
  <c r="CHY224" i="22"/>
  <c r="CHZ224" i="22"/>
  <c r="CIA224" i="22"/>
  <c r="CIB224" i="22"/>
  <c r="CIC224" i="22"/>
  <c r="CID224" i="22"/>
  <c r="CIE224" i="22"/>
  <c r="CIF224" i="22"/>
  <c r="CIG224" i="22"/>
  <c r="CIH224" i="22"/>
  <c r="CII224" i="22"/>
  <c r="CIJ224" i="22"/>
  <c r="CIK224" i="22"/>
  <c r="CIL224" i="22"/>
  <c r="CIM224" i="22"/>
  <c r="CIN224" i="22"/>
  <c r="CIO224" i="22"/>
  <c r="CIP224" i="22"/>
  <c r="CIQ224" i="22"/>
  <c r="CIR224" i="22"/>
  <c r="CIS224" i="22"/>
  <c r="CIT224" i="22"/>
  <c r="CIU224" i="22"/>
  <c r="CIV224" i="22"/>
  <c r="CIW224" i="22"/>
  <c r="CIX224" i="22"/>
  <c r="CIY224" i="22"/>
  <c r="CIZ224" i="22"/>
  <c r="CJA224" i="22"/>
  <c r="CJB224" i="22"/>
  <c r="CJC224" i="22"/>
  <c r="CJD224" i="22"/>
  <c r="CJE224" i="22"/>
  <c r="CJF224" i="22"/>
  <c r="CJG224" i="22"/>
  <c r="CJH224" i="22"/>
  <c r="CJI224" i="22"/>
  <c r="CJJ224" i="22"/>
  <c r="CJK224" i="22"/>
  <c r="CJL224" i="22"/>
  <c r="CJM224" i="22"/>
  <c r="CJN224" i="22"/>
  <c r="CJO224" i="22"/>
  <c r="CJP224" i="22"/>
  <c r="CJQ224" i="22"/>
  <c r="CJR224" i="22"/>
  <c r="CJS224" i="22"/>
  <c r="CJT224" i="22"/>
  <c r="CJU224" i="22"/>
  <c r="CJV224" i="22"/>
  <c r="CJW224" i="22"/>
  <c r="CJX224" i="22"/>
  <c r="CJY224" i="22"/>
  <c r="CJZ224" i="22"/>
  <c r="CKA224" i="22"/>
  <c r="CKB224" i="22"/>
  <c r="CKC224" i="22"/>
  <c r="CKD224" i="22"/>
  <c r="CKE224" i="22"/>
  <c r="CKF224" i="22"/>
  <c r="CKG224" i="22"/>
  <c r="CKH224" i="22"/>
  <c r="CKI224" i="22"/>
  <c r="CKJ224" i="22"/>
  <c r="CKK224" i="22"/>
  <c r="CKL224" i="22"/>
  <c r="CKM224" i="22"/>
  <c r="CKN224" i="22"/>
  <c r="CKO224" i="22"/>
  <c r="CKP224" i="22"/>
  <c r="CKQ224" i="22"/>
  <c r="CKR224" i="22"/>
  <c r="CKS224" i="22"/>
  <c r="CKT224" i="22"/>
  <c r="CKU224" i="22"/>
  <c r="CKV224" i="22"/>
  <c r="CKW224" i="22"/>
  <c r="CKX224" i="22"/>
  <c r="CKY224" i="22"/>
  <c r="CKZ224" i="22"/>
  <c r="CLA224" i="22"/>
  <c r="CLB224" i="22"/>
  <c r="CLC224" i="22"/>
  <c r="CLD224" i="22"/>
  <c r="CLE224" i="22"/>
  <c r="CLF224" i="22"/>
  <c r="CLG224" i="22"/>
  <c r="CLH224" i="22"/>
  <c r="CLI224" i="22"/>
  <c r="CLJ224" i="22"/>
  <c r="CLK224" i="22"/>
  <c r="CLL224" i="22"/>
  <c r="CLM224" i="22"/>
  <c r="CLN224" i="22"/>
  <c r="CLO224" i="22"/>
  <c r="CLP224" i="22"/>
  <c r="CLQ224" i="22"/>
  <c r="CLR224" i="22"/>
  <c r="CLS224" i="22"/>
  <c r="CLT224" i="22"/>
  <c r="CLU224" i="22"/>
  <c r="CLV224" i="22"/>
  <c r="CLW224" i="22"/>
  <c r="CLX224" i="22"/>
  <c r="CLY224" i="22"/>
  <c r="CLZ224" i="22"/>
  <c r="CMA224" i="22"/>
  <c r="CMB224" i="22"/>
  <c r="CMC224" i="22"/>
  <c r="CMD224" i="22"/>
  <c r="CME224" i="22"/>
  <c r="CMF224" i="22"/>
  <c r="CMG224" i="22"/>
  <c r="CMH224" i="22"/>
  <c r="CMI224" i="22"/>
  <c r="CMJ224" i="22"/>
  <c r="CMK224" i="22"/>
  <c r="CML224" i="22"/>
  <c r="CMM224" i="22"/>
  <c r="CMN224" i="22"/>
  <c r="CMO224" i="22"/>
  <c r="CMP224" i="22"/>
  <c r="CMQ224" i="22"/>
  <c r="CMR224" i="22"/>
  <c r="CMS224" i="22"/>
  <c r="CMT224" i="22"/>
  <c r="CMU224" i="22"/>
  <c r="CMV224" i="22"/>
  <c r="CMW224" i="22"/>
  <c r="CMX224" i="22"/>
  <c r="CMY224" i="22"/>
  <c r="CMZ224" i="22"/>
  <c r="CNA224" i="22"/>
  <c r="CNB224" i="22"/>
  <c r="CNC224" i="22"/>
  <c r="CND224" i="22"/>
  <c r="CNE224" i="22"/>
  <c r="CNF224" i="22"/>
  <c r="CNG224" i="22"/>
  <c r="CNH224" i="22"/>
  <c r="CNI224" i="22"/>
  <c r="CNJ224" i="22"/>
  <c r="CNK224" i="22"/>
  <c r="CNL224" i="22"/>
  <c r="CNM224" i="22"/>
  <c r="CNN224" i="22"/>
  <c r="CNO224" i="22"/>
  <c r="CNP224" i="22"/>
  <c r="CNQ224" i="22"/>
  <c r="CNR224" i="22"/>
  <c r="CNS224" i="22"/>
  <c r="CNT224" i="22"/>
  <c r="CNU224" i="22"/>
  <c r="CNV224" i="22"/>
  <c r="CNW224" i="22"/>
  <c r="CNX224" i="22"/>
  <c r="CNY224" i="22"/>
  <c r="CNZ224" i="22"/>
  <c r="COA224" i="22"/>
  <c r="COB224" i="22"/>
  <c r="COC224" i="22"/>
  <c r="COD224" i="22"/>
  <c r="COE224" i="22"/>
  <c r="COF224" i="22"/>
  <c r="COG224" i="22"/>
  <c r="COH224" i="22"/>
  <c r="COI224" i="22"/>
  <c r="COJ224" i="22"/>
  <c r="COK224" i="22"/>
  <c r="COL224" i="22"/>
  <c r="COM224" i="22"/>
  <c r="CON224" i="22"/>
  <c r="COO224" i="22"/>
  <c r="COP224" i="22"/>
  <c r="COQ224" i="22"/>
  <c r="COR224" i="22"/>
  <c r="COS224" i="22"/>
  <c r="COT224" i="22"/>
  <c r="COU224" i="22"/>
  <c r="COV224" i="22"/>
  <c r="COW224" i="22"/>
  <c r="COX224" i="22"/>
  <c r="COY224" i="22"/>
  <c r="COZ224" i="22"/>
  <c r="CPA224" i="22"/>
  <c r="CPB224" i="22"/>
  <c r="CPC224" i="22"/>
  <c r="CPD224" i="22"/>
  <c r="CPE224" i="22"/>
  <c r="CPF224" i="22"/>
  <c r="CPG224" i="22"/>
  <c r="CPH224" i="22"/>
  <c r="CPI224" i="22"/>
  <c r="CPJ224" i="22"/>
  <c r="CPK224" i="22"/>
  <c r="CPL224" i="22"/>
  <c r="CPM224" i="22"/>
  <c r="CPN224" i="22"/>
  <c r="CPO224" i="22"/>
  <c r="CPP224" i="22"/>
  <c r="CPQ224" i="22"/>
  <c r="CPR224" i="22"/>
  <c r="CPS224" i="22"/>
  <c r="CPT224" i="22"/>
  <c r="CPU224" i="22"/>
  <c r="CPV224" i="22"/>
  <c r="CPW224" i="22"/>
  <c r="CPX224" i="22"/>
  <c r="CPY224" i="22"/>
  <c r="CPZ224" i="22"/>
  <c r="CQA224" i="22"/>
  <c r="CQB224" i="22"/>
  <c r="CQC224" i="22"/>
  <c r="CQD224" i="22"/>
  <c r="CQE224" i="22"/>
  <c r="CQF224" i="22"/>
  <c r="CQG224" i="22"/>
  <c r="CQH224" i="22"/>
  <c r="CQI224" i="22"/>
  <c r="CQJ224" i="22"/>
  <c r="CQK224" i="22"/>
  <c r="CQL224" i="22"/>
  <c r="CQM224" i="22"/>
  <c r="CQN224" i="22"/>
  <c r="CQO224" i="22"/>
  <c r="CQP224" i="22"/>
  <c r="CQQ224" i="22"/>
  <c r="CQR224" i="22"/>
  <c r="CQS224" i="22"/>
  <c r="CQT224" i="22"/>
  <c r="CQU224" i="22"/>
  <c r="CQV224" i="22"/>
  <c r="CQW224" i="22"/>
  <c r="CQX224" i="22"/>
  <c r="CQY224" i="22"/>
  <c r="CQZ224" i="22"/>
  <c r="CRA224" i="22"/>
  <c r="CRB224" i="22"/>
  <c r="CRC224" i="22"/>
  <c r="CRD224" i="22"/>
  <c r="CRE224" i="22"/>
  <c r="CRF224" i="22"/>
  <c r="CRG224" i="22"/>
  <c r="CRH224" i="22"/>
  <c r="CRI224" i="22"/>
  <c r="CRJ224" i="22"/>
  <c r="CRK224" i="22"/>
  <c r="CRL224" i="22"/>
  <c r="CRM224" i="22"/>
  <c r="CRN224" i="22"/>
  <c r="CRO224" i="22"/>
  <c r="CRP224" i="22"/>
  <c r="CRQ224" i="22"/>
  <c r="CRR224" i="22"/>
  <c r="CRS224" i="22"/>
  <c r="CRT224" i="22"/>
  <c r="CRU224" i="22"/>
  <c r="CRV224" i="22"/>
  <c r="CRW224" i="22"/>
  <c r="CRX224" i="22"/>
  <c r="CRY224" i="22"/>
  <c r="CRZ224" i="22"/>
  <c r="CSA224" i="22"/>
  <c r="CSB224" i="22"/>
  <c r="CSC224" i="22"/>
  <c r="CSD224" i="22"/>
  <c r="CSE224" i="22"/>
  <c r="CSF224" i="22"/>
  <c r="CSG224" i="22"/>
  <c r="CSH224" i="22"/>
  <c r="CSI224" i="22"/>
  <c r="CSJ224" i="22"/>
  <c r="CSK224" i="22"/>
  <c r="CSL224" i="22"/>
  <c r="CSM224" i="22"/>
  <c r="CSN224" i="22"/>
  <c r="CSO224" i="22"/>
  <c r="CSP224" i="22"/>
  <c r="CSQ224" i="22"/>
  <c r="CSR224" i="22"/>
  <c r="CSS224" i="22"/>
  <c r="CST224" i="22"/>
  <c r="CSU224" i="22"/>
  <c r="CSV224" i="22"/>
  <c r="CSW224" i="22"/>
  <c r="CSX224" i="22"/>
  <c r="CSY224" i="22"/>
  <c r="CSZ224" i="22"/>
  <c r="CTA224" i="22"/>
  <c r="CTB224" i="22"/>
  <c r="CTC224" i="22"/>
  <c r="CTD224" i="22"/>
  <c r="CTE224" i="22"/>
  <c r="CTF224" i="22"/>
  <c r="CTG224" i="22"/>
  <c r="CTH224" i="22"/>
  <c r="CTI224" i="22"/>
  <c r="CTJ224" i="22"/>
  <c r="CTK224" i="22"/>
  <c r="CTL224" i="22"/>
  <c r="CTM224" i="22"/>
  <c r="CTN224" i="22"/>
  <c r="CTO224" i="22"/>
  <c r="CTP224" i="22"/>
  <c r="CTQ224" i="22"/>
  <c r="CTR224" i="22"/>
  <c r="CTS224" i="22"/>
  <c r="CTT224" i="22"/>
  <c r="CTU224" i="22"/>
  <c r="CTV224" i="22"/>
  <c r="CTW224" i="22"/>
  <c r="CTX224" i="22"/>
  <c r="CTY224" i="22"/>
  <c r="CTZ224" i="22"/>
  <c r="CUA224" i="22"/>
  <c r="CUB224" i="22"/>
  <c r="CUC224" i="22"/>
  <c r="CUD224" i="22"/>
  <c r="CUE224" i="22"/>
  <c r="CUF224" i="22"/>
  <c r="CUG224" i="22"/>
  <c r="CUH224" i="22"/>
  <c r="CUI224" i="22"/>
  <c r="CUJ224" i="22"/>
  <c r="CUK224" i="22"/>
  <c r="CUL224" i="22"/>
  <c r="CUM224" i="22"/>
  <c r="CUN224" i="22"/>
  <c r="CUO224" i="22"/>
  <c r="CUP224" i="22"/>
  <c r="CUQ224" i="22"/>
  <c r="CUR224" i="22"/>
  <c r="CUS224" i="22"/>
  <c r="CUT224" i="22"/>
  <c r="CUU224" i="22"/>
  <c r="CUV224" i="22"/>
  <c r="CUW224" i="22"/>
  <c r="CUX224" i="22"/>
  <c r="CUY224" i="22"/>
  <c r="CUZ224" i="22"/>
  <c r="CVA224" i="22"/>
  <c r="CVB224" i="22"/>
  <c r="CVC224" i="22"/>
  <c r="CVD224" i="22"/>
  <c r="CVE224" i="22"/>
  <c r="CVF224" i="22"/>
  <c r="CVG224" i="22"/>
  <c r="CVH224" i="22"/>
  <c r="CVI224" i="22"/>
  <c r="CVJ224" i="22"/>
  <c r="CVK224" i="22"/>
  <c r="CVL224" i="22"/>
  <c r="CVM224" i="22"/>
  <c r="CVN224" i="22"/>
  <c r="CVO224" i="22"/>
  <c r="CVP224" i="22"/>
  <c r="CVQ224" i="22"/>
  <c r="CVR224" i="22"/>
  <c r="CVS224" i="22"/>
  <c r="CVT224" i="22"/>
  <c r="CVU224" i="22"/>
  <c r="CVV224" i="22"/>
  <c r="CVW224" i="22"/>
  <c r="CVX224" i="22"/>
  <c r="CVY224" i="22"/>
  <c r="CVZ224" i="22"/>
  <c r="CWA224" i="22"/>
  <c r="CWB224" i="22"/>
  <c r="CWC224" i="22"/>
  <c r="CWD224" i="22"/>
  <c r="CWE224" i="22"/>
  <c r="CWF224" i="22"/>
  <c r="CWG224" i="22"/>
  <c r="CWH224" i="22"/>
  <c r="CWI224" i="22"/>
  <c r="CWJ224" i="22"/>
  <c r="CWK224" i="22"/>
  <c r="CWL224" i="22"/>
  <c r="CWM224" i="22"/>
  <c r="CWN224" i="22"/>
  <c r="CWO224" i="22"/>
  <c r="CWP224" i="22"/>
  <c r="CWQ224" i="22"/>
  <c r="CWR224" i="22"/>
  <c r="CWS224" i="22"/>
  <c r="CWT224" i="22"/>
  <c r="CWU224" i="22"/>
  <c r="CWV224" i="22"/>
  <c r="CWW224" i="22"/>
  <c r="CWX224" i="22"/>
  <c r="CWY224" i="22"/>
  <c r="CWZ224" i="22"/>
  <c r="CXA224" i="22"/>
  <c r="CXB224" i="22"/>
  <c r="CXC224" i="22"/>
  <c r="CXD224" i="22"/>
  <c r="CXE224" i="22"/>
  <c r="CXF224" i="22"/>
  <c r="CXG224" i="22"/>
  <c r="CXH224" i="22"/>
  <c r="CXI224" i="22"/>
  <c r="CXJ224" i="22"/>
  <c r="CXK224" i="22"/>
  <c r="CXL224" i="22"/>
  <c r="CXM224" i="22"/>
  <c r="CXN224" i="22"/>
  <c r="CXO224" i="22"/>
  <c r="CXP224" i="22"/>
  <c r="CXQ224" i="22"/>
  <c r="CXR224" i="22"/>
  <c r="CXS224" i="22"/>
  <c r="CXT224" i="22"/>
  <c r="CXU224" i="22"/>
  <c r="CXV224" i="22"/>
  <c r="CXW224" i="22"/>
  <c r="CXX224" i="22"/>
  <c r="CXY224" i="22"/>
  <c r="CXZ224" i="22"/>
  <c r="CYA224" i="22"/>
  <c r="CYB224" i="22"/>
  <c r="CYC224" i="22"/>
  <c r="CYD224" i="22"/>
  <c r="CYE224" i="22"/>
  <c r="CYF224" i="22"/>
  <c r="CYG224" i="22"/>
  <c r="CYH224" i="22"/>
  <c r="CYI224" i="22"/>
  <c r="CYJ224" i="22"/>
  <c r="CYK224" i="22"/>
  <c r="CYL224" i="22"/>
  <c r="CYM224" i="22"/>
  <c r="CYN224" i="22"/>
  <c r="CYO224" i="22"/>
  <c r="CYP224" i="22"/>
  <c r="CYQ224" i="22"/>
  <c r="CYR224" i="22"/>
  <c r="CYS224" i="22"/>
  <c r="CYT224" i="22"/>
  <c r="CYU224" i="22"/>
  <c r="CYV224" i="22"/>
  <c r="CYW224" i="22"/>
  <c r="CYX224" i="22"/>
  <c r="CYY224" i="22"/>
  <c r="CYZ224" i="22"/>
  <c r="CZA224" i="22"/>
  <c r="CZB224" i="22"/>
  <c r="CZC224" i="22"/>
  <c r="CZD224" i="22"/>
  <c r="CZE224" i="22"/>
  <c r="CZF224" i="22"/>
  <c r="CZG224" i="22"/>
  <c r="CZH224" i="22"/>
  <c r="CZI224" i="22"/>
  <c r="CZJ224" i="22"/>
  <c r="CZK224" i="22"/>
  <c r="CZL224" i="22"/>
  <c r="CZM224" i="22"/>
  <c r="CZN224" i="22"/>
  <c r="CZO224" i="22"/>
  <c r="CZP224" i="22"/>
  <c r="CZQ224" i="22"/>
  <c r="CZR224" i="22"/>
  <c r="CZS224" i="22"/>
  <c r="CZT224" i="22"/>
  <c r="CZU224" i="22"/>
  <c r="CZV224" i="22"/>
  <c r="CZW224" i="22"/>
  <c r="CZX224" i="22"/>
  <c r="CZY224" i="22"/>
  <c r="CZZ224" i="22"/>
  <c r="DAA224" i="22"/>
  <c r="DAB224" i="22"/>
  <c r="DAC224" i="22"/>
  <c r="DAD224" i="22"/>
  <c r="DAE224" i="22"/>
  <c r="DAF224" i="22"/>
  <c r="DAG224" i="22"/>
  <c r="DAH224" i="22"/>
  <c r="DAI224" i="22"/>
  <c r="DAJ224" i="22"/>
  <c r="DAK224" i="22"/>
  <c r="DAL224" i="22"/>
  <c r="DAM224" i="22"/>
  <c r="DAN224" i="22"/>
  <c r="DAO224" i="22"/>
  <c r="DAP224" i="22"/>
  <c r="DAQ224" i="22"/>
  <c r="DAR224" i="22"/>
  <c r="DAS224" i="22"/>
  <c r="DAT224" i="22"/>
  <c r="DAU224" i="22"/>
  <c r="DAV224" i="22"/>
  <c r="DAW224" i="22"/>
  <c r="DAX224" i="22"/>
  <c r="DAY224" i="22"/>
  <c r="DAZ224" i="22"/>
  <c r="DBA224" i="22"/>
  <c r="DBB224" i="22"/>
  <c r="DBC224" i="22"/>
  <c r="DBD224" i="22"/>
  <c r="DBE224" i="22"/>
  <c r="DBF224" i="22"/>
  <c r="DBG224" i="22"/>
  <c r="DBH224" i="22"/>
  <c r="DBI224" i="22"/>
  <c r="DBJ224" i="22"/>
  <c r="DBK224" i="22"/>
  <c r="DBL224" i="22"/>
  <c r="DBM224" i="22"/>
  <c r="DBN224" i="22"/>
  <c r="DBO224" i="22"/>
  <c r="DBP224" i="22"/>
  <c r="DBQ224" i="22"/>
  <c r="DBR224" i="22"/>
  <c r="DBS224" i="22"/>
  <c r="DBT224" i="22"/>
  <c r="DBU224" i="22"/>
  <c r="DBV224" i="22"/>
  <c r="DBW224" i="22"/>
  <c r="DBX224" i="22"/>
  <c r="DBY224" i="22"/>
  <c r="DBZ224" i="22"/>
  <c r="DCA224" i="22"/>
  <c r="DCB224" i="22"/>
  <c r="DCC224" i="22"/>
  <c r="DCD224" i="22"/>
  <c r="DCE224" i="22"/>
  <c r="DCF224" i="22"/>
  <c r="DCG224" i="22"/>
  <c r="DCH224" i="22"/>
  <c r="DCI224" i="22"/>
  <c r="DCJ224" i="22"/>
  <c r="DCK224" i="22"/>
  <c r="DCL224" i="22"/>
  <c r="DCM224" i="22"/>
  <c r="DCN224" i="22"/>
  <c r="DCO224" i="22"/>
  <c r="DCP224" i="22"/>
  <c r="DCQ224" i="22"/>
  <c r="DCR224" i="22"/>
  <c r="DCS224" i="22"/>
  <c r="DCT224" i="22"/>
  <c r="DCU224" i="22"/>
  <c r="DCV224" i="22"/>
  <c r="DCW224" i="22"/>
  <c r="DCX224" i="22"/>
  <c r="DCY224" i="22"/>
  <c r="DCZ224" i="22"/>
  <c r="DDA224" i="22"/>
  <c r="DDB224" i="22"/>
  <c r="DDC224" i="22"/>
  <c r="DDD224" i="22"/>
  <c r="DDE224" i="22"/>
  <c r="DDF224" i="22"/>
  <c r="DDG224" i="22"/>
  <c r="DDH224" i="22"/>
  <c r="DDI224" i="22"/>
  <c r="DDJ224" i="22"/>
  <c r="DDK224" i="22"/>
  <c r="DDL224" i="22"/>
  <c r="DDM224" i="22"/>
  <c r="DDN224" i="22"/>
  <c r="DDO224" i="22"/>
  <c r="DDP224" i="22"/>
  <c r="DDQ224" i="22"/>
  <c r="DDR224" i="22"/>
  <c r="DDS224" i="22"/>
  <c r="DDT224" i="22"/>
  <c r="DDU224" i="22"/>
  <c r="DDV224" i="22"/>
  <c r="DDW224" i="22"/>
  <c r="DDX224" i="22"/>
  <c r="DDY224" i="22"/>
  <c r="DDZ224" i="22"/>
  <c r="DEA224" i="22"/>
  <c r="DEB224" i="22"/>
  <c r="DEC224" i="22"/>
  <c r="DED224" i="22"/>
  <c r="DEE224" i="22"/>
  <c r="DEF224" i="22"/>
  <c r="DEG224" i="22"/>
  <c r="DEH224" i="22"/>
  <c r="DEI224" i="22"/>
  <c r="DEJ224" i="22"/>
  <c r="DEK224" i="22"/>
  <c r="DEL224" i="22"/>
  <c r="DEM224" i="22"/>
  <c r="DEN224" i="22"/>
  <c r="DEO224" i="22"/>
  <c r="DEP224" i="22"/>
  <c r="DEQ224" i="22"/>
  <c r="DER224" i="22"/>
  <c r="DES224" i="22"/>
  <c r="DET224" i="22"/>
  <c r="DEU224" i="22"/>
  <c r="DEV224" i="22"/>
  <c r="DEW224" i="22"/>
  <c r="DEX224" i="22"/>
  <c r="DEY224" i="22"/>
  <c r="DEZ224" i="22"/>
  <c r="DFA224" i="22"/>
  <c r="DFB224" i="22"/>
  <c r="DFC224" i="22"/>
  <c r="DFD224" i="22"/>
  <c r="DFE224" i="22"/>
  <c r="DFF224" i="22"/>
  <c r="DFG224" i="22"/>
  <c r="DFH224" i="22"/>
  <c r="DFI224" i="22"/>
  <c r="DFJ224" i="22"/>
  <c r="DFK224" i="22"/>
  <c r="DFL224" i="22"/>
  <c r="DFM224" i="22"/>
  <c r="DFN224" i="22"/>
  <c r="DFO224" i="22"/>
  <c r="DFP224" i="22"/>
  <c r="DFQ224" i="22"/>
  <c r="DFR224" i="22"/>
  <c r="DFS224" i="22"/>
  <c r="DFT224" i="22"/>
  <c r="DFU224" i="22"/>
  <c r="DFV224" i="22"/>
  <c r="DFW224" i="22"/>
  <c r="DFX224" i="22"/>
  <c r="DFY224" i="22"/>
  <c r="DFZ224" i="22"/>
  <c r="DGA224" i="22"/>
  <c r="DGB224" i="22"/>
  <c r="DGC224" i="22"/>
  <c r="DGD224" i="22"/>
  <c r="DGE224" i="22"/>
  <c r="DGF224" i="22"/>
  <c r="DGG224" i="22"/>
  <c r="DGH224" i="22"/>
  <c r="DGI224" i="22"/>
  <c r="DGJ224" i="22"/>
  <c r="DGK224" i="22"/>
  <c r="DGL224" i="22"/>
  <c r="DGM224" i="22"/>
  <c r="DGN224" i="22"/>
  <c r="DGO224" i="22"/>
  <c r="DGP224" i="22"/>
  <c r="DGQ224" i="22"/>
  <c r="DGR224" i="22"/>
  <c r="DGS224" i="22"/>
  <c r="DGT224" i="22"/>
  <c r="DGU224" i="22"/>
  <c r="DGV224" i="22"/>
  <c r="DGW224" i="22"/>
  <c r="DGX224" i="22"/>
  <c r="DGY224" i="22"/>
  <c r="DGZ224" i="22"/>
  <c r="DHA224" i="22"/>
  <c r="DHB224" i="22"/>
  <c r="DHC224" i="22"/>
  <c r="DHD224" i="22"/>
  <c r="DHE224" i="22"/>
  <c r="DHF224" i="22"/>
  <c r="DHG224" i="22"/>
  <c r="DHH224" i="22"/>
  <c r="DHI224" i="22"/>
  <c r="DHJ224" i="22"/>
  <c r="DHK224" i="22"/>
  <c r="DHL224" i="22"/>
  <c r="DHM224" i="22"/>
  <c r="DHN224" i="22"/>
  <c r="DHO224" i="22"/>
  <c r="DHP224" i="22"/>
  <c r="DHQ224" i="22"/>
  <c r="DHR224" i="22"/>
  <c r="DHS224" i="22"/>
  <c r="DHT224" i="22"/>
  <c r="DHU224" i="22"/>
  <c r="DHV224" i="22"/>
  <c r="DHW224" i="22"/>
  <c r="DHX224" i="22"/>
  <c r="DHY224" i="22"/>
  <c r="DHZ224" i="22"/>
  <c r="DIA224" i="22"/>
  <c r="DIB224" i="22"/>
  <c r="DIC224" i="22"/>
  <c r="DID224" i="22"/>
  <c r="DIE224" i="22"/>
  <c r="DIF224" i="22"/>
  <c r="DIG224" i="22"/>
  <c r="DIH224" i="22"/>
  <c r="DII224" i="22"/>
  <c r="DIJ224" i="22"/>
  <c r="DIK224" i="22"/>
  <c r="DIL224" i="22"/>
  <c r="DIM224" i="22"/>
  <c r="DIN224" i="22"/>
  <c r="DIO224" i="22"/>
  <c r="DIP224" i="22"/>
  <c r="DIQ224" i="22"/>
  <c r="DIR224" i="22"/>
  <c r="DIS224" i="22"/>
  <c r="DIT224" i="22"/>
  <c r="DIU224" i="22"/>
  <c r="DIV224" i="22"/>
  <c r="DIW224" i="22"/>
  <c r="DIX224" i="22"/>
  <c r="DIY224" i="22"/>
  <c r="DIZ224" i="22"/>
  <c r="DJA224" i="22"/>
  <c r="DJB224" i="22"/>
  <c r="DJC224" i="22"/>
  <c r="DJD224" i="22"/>
  <c r="DJE224" i="22"/>
  <c r="DJF224" i="22"/>
  <c r="DJG224" i="22"/>
  <c r="DJH224" i="22"/>
  <c r="DJI224" i="22"/>
  <c r="DJJ224" i="22"/>
  <c r="DJK224" i="22"/>
  <c r="DJL224" i="22"/>
  <c r="DJM224" i="22"/>
  <c r="DJN224" i="22"/>
  <c r="DJO224" i="22"/>
  <c r="DJP224" i="22"/>
  <c r="DJQ224" i="22"/>
  <c r="DJR224" i="22"/>
  <c r="DJS224" i="22"/>
  <c r="DJT224" i="22"/>
  <c r="DJU224" i="22"/>
  <c r="DJV224" i="22"/>
  <c r="DJW224" i="22"/>
  <c r="DJX224" i="22"/>
  <c r="DJY224" i="22"/>
  <c r="DJZ224" i="22"/>
  <c r="DKA224" i="22"/>
  <c r="DKB224" i="22"/>
  <c r="DKC224" i="22"/>
  <c r="DKD224" i="22"/>
  <c r="DKE224" i="22"/>
  <c r="DKF224" i="22"/>
  <c r="DKG224" i="22"/>
  <c r="DKH224" i="22"/>
  <c r="DKI224" i="22"/>
  <c r="DKJ224" i="22"/>
  <c r="DKK224" i="22"/>
  <c r="DKL224" i="22"/>
  <c r="DKM224" i="22"/>
  <c r="DKN224" i="22"/>
  <c r="DKO224" i="22"/>
  <c r="DKP224" i="22"/>
  <c r="DKQ224" i="22"/>
  <c r="DKR224" i="22"/>
  <c r="DKS224" i="22"/>
  <c r="DKT224" i="22"/>
  <c r="DKU224" i="22"/>
  <c r="DKV224" i="22"/>
  <c r="DKW224" i="22"/>
  <c r="DKX224" i="22"/>
  <c r="DKY224" i="22"/>
  <c r="DKZ224" i="22"/>
  <c r="DLA224" i="22"/>
  <c r="DLB224" i="22"/>
  <c r="DLC224" i="22"/>
  <c r="DLD224" i="22"/>
  <c r="DLE224" i="22"/>
  <c r="DLF224" i="22"/>
  <c r="DLG224" i="22"/>
  <c r="DLH224" i="22"/>
  <c r="DLI224" i="22"/>
  <c r="DLJ224" i="22"/>
  <c r="DLK224" i="22"/>
  <c r="DLL224" i="22"/>
  <c r="DLM224" i="22"/>
  <c r="DLN224" i="22"/>
  <c r="DLO224" i="22"/>
  <c r="DLP224" i="22"/>
  <c r="DLQ224" i="22"/>
  <c r="DLR224" i="22"/>
  <c r="DLS224" i="22"/>
  <c r="DLT224" i="22"/>
  <c r="DLU224" i="22"/>
  <c r="DLV224" i="22"/>
  <c r="DLW224" i="22"/>
  <c r="DLX224" i="22"/>
  <c r="DLY224" i="22"/>
  <c r="DLZ224" i="22"/>
  <c r="DMA224" i="22"/>
  <c r="DMB224" i="22"/>
  <c r="DMC224" i="22"/>
  <c r="DMD224" i="22"/>
  <c r="DME224" i="22"/>
  <c r="DMF224" i="22"/>
  <c r="DMG224" i="22"/>
  <c r="DMH224" i="22"/>
  <c r="DMI224" i="22"/>
  <c r="DMJ224" i="22"/>
  <c r="DMK224" i="22"/>
  <c r="DML224" i="22"/>
  <c r="DMM224" i="22"/>
  <c r="DMN224" i="22"/>
  <c r="DMO224" i="22"/>
  <c r="DMP224" i="22"/>
  <c r="DMQ224" i="22"/>
  <c r="DMR224" i="22"/>
  <c r="DMS224" i="22"/>
  <c r="DMT224" i="22"/>
  <c r="DMU224" i="22"/>
  <c r="DMV224" i="22"/>
  <c r="DMW224" i="22"/>
  <c r="DMX224" i="22"/>
  <c r="DMY224" i="22"/>
  <c r="DMZ224" i="22"/>
  <c r="DNA224" i="22"/>
  <c r="DNB224" i="22"/>
  <c r="DNC224" i="22"/>
  <c r="DND224" i="22"/>
  <c r="DNE224" i="22"/>
  <c r="DNF224" i="22"/>
  <c r="DNG224" i="22"/>
  <c r="DNH224" i="22"/>
  <c r="DNI224" i="22"/>
  <c r="DNJ224" i="22"/>
  <c r="DNK224" i="22"/>
  <c r="DNL224" i="22"/>
  <c r="DNM224" i="22"/>
  <c r="DNN224" i="22"/>
  <c r="DNO224" i="22"/>
  <c r="DNP224" i="22"/>
  <c r="DNQ224" i="22"/>
  <c r="DNR224" i="22"/>
  <c r="DNS224" i="22"/>
  <c r="DNT224" i="22"/>
  <c r="DNU224" i="22"/>
  <c r="DNV224" i="22"/>
  <c r="DNW224" i="22"/>
  <c r="DNX224" i="22"/>
  <c r="DNY224" i="22"/>
  <c r="DNZ224" i="22"/>
  <c r="DOA224" i="22"/>
  <c r="DOB224" i="22"/>
  <c r="DOC224" i="22"/>
  <c r="DOD224" i="22"/>
  <c r="DOE224" i="22"/>
  <c r="DOF224" i="22"/>
  <c r="DOG224" i="22"/>
  <c r="DOH224" i="22"/>
  <c r="DOI224" i="22"/>
  <c r="DOJ224" i="22"/>
  <c r="DOK224" i="22"/>
  <c r="DOL224" i="22"/>
  <c r="DOM224" i="22"/>
  <c r="DON224" i="22"/>
  <c r="DOO224" i="22"/>
  <c r="DOP224" i="22"/>
  <c r="DOQ224" i="22"/>
  <c r="DOR224" i="22"/>
  <c r="DOS224" i="22"/>
  <c r="DOT224" i="22"/>
  <c r="DOU224" i="22"/>
  <c r="DOV224" i="22"/>
  <c r="DOW224" i="22"/>
  <c r="DOX224" i="22"/>
  <c r="DOY224" i="22"/>
  <c r="DOZ224" i="22"/>
  <c r="DPA224" i="22"/>
  <c r="DPB224" i="22"/>
  <c r="DPC224" i="22"/>
  <c r="DPD224" i="22"/>
  <c r="DPE224" i="22"/>
  <c r="DPF224" i="22"/>
  <c r="DPG224" i="22"/>
  <c r="DPH224" i="22"/>
  <c r="DPI224" i="22"/>
  <c r="DPJ224" i="22"/>
  <c r="DPK224" i="22"/>
  <c r="DPL224" i="22"/>
  <c r="DPM224" i="22"/>
  <c r="DPN224" i="22"/>
  <c r="DPO224" i="22"/>
  <c r="DPP224" i="22"/>
  <c r="DPQ224" i="22"/>
  <c r="DPR224" i="22"/>
  <c r="DPS224" i="22"/>
  <c r="DPT224" i="22"/>
  <c r="DPU224" i="22"/>
  <c r="DPV224" i="22"/>
  <c r="DPW224" i="22"/>
  <c r="DPX224" i="22"/>
  <c r="DPY224" i="22"/>
  <c r="DPZ224" i="22"/>
  <c r="DQA224" i="22"/>
  <c r="DQB224" i="22"/>
  <c r="DQC224" i="22"/>
  <c r="DQD224" i="22"/>
  <c r="DQE224" i="22"/>
  <c r="DQF224" i="22"/>
  <c r="DQG224" i="22"/>
  <c r="DQH224" i="22"/>
  <c r="DQI224" i="22"/>
  <c r="DQJ224" i="22"/>
  <c r="DQK224" i="22"/>
  <c r="DQL224" i="22"/>
  <c r="DQM224" i="22"/>
  <c r="DQN224" i="22"/>
  <c r="DQO224" i="22"/>
  <c r="DQP224" i="22"/>
  <c r="DQQ224" i="22"/>
  <c r="DQR224" i="22"/>
  <c r="DQS224" i="22"/>
  <c r="DQT224" i="22"/>
  <c r="DQU224" i="22"/>
  <c r="DQV224" i="22"/>
  <c r="DQW224" i="22"/>
  <c r="DQX224" i="22"/>
  <c r="DQY224" i="22"/>
  <c r="DQZ224" i="22"/>
  <c r="DRA224" i="22"/>
  <c r="DRB224" i="22"/>
  <c r="DRC224" i="22"/>
  <c r="DRD224" i="22"/>
  <c r="DRE224" i="22"/>
  <c r="DRF224" i="22"/>
  <c r="DRG224" i="22"/>
  <c r="DRH224" i="22"/>
  <c r="DRI224" i="22"/>
  <c r="DRJ224" i="22"/>
  <c r="DRK224" i="22"/>
  <c r="DRL224" i="22"/>
  <c r="DRM224" i="22"/>
  <c r="DRN224" i="22"/>
  <c r="DRO224" i="22"/>
  <c r="DRP224" i="22"/>
  <c r="DRQ224" i="22"/>
  <c r="DRR224" i="22"/>
  <c r="DRS224" i="22"/>
  <c r="DRT224" i="22"/>
  <c r="DRU224" i="22"/>
  <c r="DRV224" i="22"/>
  <c r="DRW224" i="22"/>
  <c r="DRX224" i="22"/>
  <c r="DRY224" i="22"/>
  <c r="DRZ224" i="22"/>
  <c r="DSA224" i="22"/>
  <c r="DSB224" i="22"/>
  <c r="DSC224" i="22"/>
  <c r="DSD224" i="22"/>
  <c r="DSE224" i="22"/>
  <c r="DSF224" i="22"/>
  <c r="DSG224" i="22"/>
  <c r="DSH224" i="22"/>
  <c r="DSI224" i="22"/>
  <c r="DSJ224" i="22"/>
  <c r="DSK224" i="22"/>
  <c r="DSL224" i="22"/>
  <c r="DSM224" i="22"/>
  <c r="DSN224" i="22"/>
  <c r="DSO224" i="22"/>
  <c r="DSP224" i="22"/>
  <c r="DSQ224" i="22"/>
  <c r="DSR224" i="22"/>
  <c r="DSS224" i="22"/>
  <c r="DST224" i="22"/>
  <c r="DSU224" i="22"/>
  <c r="DSV224" i="22"/>
  <c r="DSW224" i="22"/>
  <c r="DSX224" i="22"/>
  <c r="DSY224" i="22"/>
  <c r="DSZ224" i="22"/>
  <c r="DTA224" i="22"/>
  <c r="DTB224" i="22"/>
  <c r="DTC224" i="22"/>
  <c r="DTD224" i="22"/>
  <c r="DTE224" i="22"/>
  <c r="DTF224" i="22"/>
  <c r="DTG224" i="22"/>
  <c r="DTH224" i="22"/>
  <c r="DTI224" i="22"/>
  <c r="DTJ224" i="22"/>
  <c r="DTK224" i="22"/>
  <c r="DTL224" i="22"/>
  <c r="DTM224" i="22"/>
  <c r="DTN224" i="22"/>
  <c r="DTO224" i="22"/>
  <c r="DTP224" i="22"/>
  <c r="DTQ224" i="22"/>
  <c r="DTR224" i="22"/>
  <c r="DTS224" i="22"/>
  <c r="DTT224" i="22"/>
  <c r="DTU224" i="22"/>
  <c r="DTV224" i="22"/>
  <c r="DTW224" i="22"/>
  <c r="DTX224" i="22"/>
  <c r="DTY224" i="22"/>
  <c r="DTZ224" i="22"/>
  <c r="DUA224" i="22"/>
  <c r="DUB224" i="22"/>
  <c r="DUC224" i="22"/>
  <c r="DUD224" i="22"/>
  <c r="DUE224" i="22"/>
  <c r="DUF224" i="22"/>
  <c r="DUG224" i="22"/>
  <c r="DUH224" i="22"/>
  <c r="DUI224" i="22"/>
  <c r="DUJ224" i="22"/>
  <c r="DUK224" i="22"/>
  <c r="DUL224" i="22"/>
  <c r="DUM224" i="22"/>
  <c r="DUN224" i="22"/>
  <c r="DUO224" i="22"/>
  <c r="DUP224" i="22"/>
  <c r="DUQ224" i="22"/>
  <c r="DUR224" i="22"/>
  <c r="DUS224" i="22"/>
  <c r="DUT224" i="22"/>
  <c r="DUU224" i="22"/>
  <c r="DUV224" i="22"/>
  <c r="DUW224" i="22"/>
  <c r="DUX224" i="22"/>
  <c r="DUY224" i="22"/>
  <c r="DUZ224" i="22"/>
  <c r="DVA224" i="22"/>
  <c r="DVB224" i="22"/>
  <c r="DVC224" i="22"/>
  <c r="DVD224" i="22"/>
  <c r="DVE224" i="22"/>
  <c r="DVF224" i="22"/>
  <c r="DVG224" i="22"/>
  <c r="DVH224" i="22"/>
  <c r="DVI224" i="22"/>
  <c r="DVJ224" i="22"/>
  <c r="DVK224" i="22"/>
  <c r="DVL224" i="22"/>
  <c r="DVM224" i="22"/>
  <c r="DVN224" i="22"/>
  <c r="DVO224" i="22"/>
  <c r="DVP224" i="22"/>
  <c r="DVQ224" i="22"/>
  <c r="DVR224" i="22"/>
  <c r="DVS224" i="22"/>
  <c r="DVT224" i="22"/>
  <c r="DVU224" i="22"/>
  <c r="DVV224" i="22"/>
  <c r="DVW224" i="22"/>
  <c r="DVX224" i="22"/>
  <c r="DVY224" i="22"/>
  <c r="DVZ224" i="22"/>
  <c r="DWA224" i="22"/>
  <c r="DWB224" i="22"/>
  <c r="DWC224" i="22"/>
  <c r="DWD224" i="22"/>
  <c r="DWE224" i="22"/>
  <c r="DWF224" i="22"/>
  <c r="DWG224" i="22"/>
  <c r="DWH224" i="22"/>
  <c r="DWI224" i="22"/>
  <c r="DWJ224" i="22"/>
  <c r="DWK224" i="22"/>
  <c r="DWL224" i="22"/>
  <c r="DWM224" i="22"/>
  <c r="DWN224" i="22"/>
  <c r="DWO224" i="22"/>
  <c r="DWP224" i="22"/>
  <c r="DWQ224" i="22"/>
  <c r="DWR224" i="22"/>
  <c r="DWS224" i="22"/>
  <c r="DWT224" i="22"/>
  <c r="DWU224" i="22"/>
  <c r="DWV224" i="22"/>
  <c r="DWW224" i="22"/>
  <c r="DWX224" i="22"/>
  <c r="DWY224" i="22"/>
  <c r="DWZ224" i="22"/>
  <c r="DXA224" i="22"/>
  <c r="DXB224" i="22"/>
  <c r="DXC224" i="22"/>
  <c r="DXD224" i="22"/>
  <c r="DXE224" i="22"/>
  <c r="DXF224" i="22"/>
  <c r="DXG224" i="22"/>
  <c r="DXH224" i="22"/>
  <c r="DXI224" i="22"/>
  <c r="DXJ224" i="22"/>
  <c r="DXK224" i="22"/>
  <c r="DXL224" i="22"/>
  <c r="DXM224" i="22"/>
  <c r="DXN224" i="22"/>
  <c r="DXO224" i="22"/>
  <c r="DXP224" i="22"/>
  <c r="DXQ224" i="22"/>
  <c r="DXR224" i="22"/>
  <c r="DXS224" i="22"/>
  <c r="DXT224" i="22"/>
  <c r="DXU224" i="22"/>
  <c r="DXV224" i="22"/>
  <c r="DXW224" i="22"/>
  <c r="DXX224" i="22"/>
  <c r="DXY224" i="22"/>
  <c r="DXZ224" i="22"/>
  <c r="DYA224" i="22"/>
  <c r="DYB224" i="22"/>
  <c r="DYC224" i="22"/>
  <c r="DYD224" i="22"/>
  <c r="DYE224" i="22"/>
  <c r="DYF224" i="22"/>
  <c r="DYG224" i="22"/>
  <c r="DYH224" i="22"/>
  <c r="DYI224" i="22"/>
  <c r="DYJ224" i="22"/>
  <c r="DYK224" i="22"/>
  <c r="DYL224" i="22"/>
  <c r="DYM224" i="22"/>
  <c r="DYN224" i="22"/>
  <c r="DYO224" i="22"/>
  <c r="DYP224" i="22"/>
  <c r="DYQ224" i="22"/>
  <c r="DYR224" i="22"/>
  <c r="DYS224" i="22"/>
  <c r="DYT224" i="22"/>
  <c r="DYU224" i="22"/>
  <c r="DYV224" i="22"/>
  <c r="DYW224" i="22"/>
  <c r="DYX224" i="22"/>
  <c r="DYY224" i="22"/>
  <c r="DYZ224" i="22"/>
  <c r="DZA224" i="22"/>
  <c r="DZB224" i="22"/>
  <c r="DZC224" i="22"/>
  <c r="DZD224" i="22"/>
  <c r="DZE224" i="22"/>
  <c r="DZF224" i="22"/>
  <c r="DZG224" i="22"/>
  <c r="DZH224" i="22"/>
  <c r="DZI224" i="22"/>
  <c r="DZJ224" i="22"/>
  <c r="DZK224" i="22"/>
  <c r="DZL224" i="22"/>
  <c r="DZM224" i="22"/>
  <c r="DZN224" i="22"/>
  <c r="DZO224" i="22"/>
  <c r="DZP224" i="22"/>
  <c r="DZQ224" i="22"/>
  <c r="DZR224" i="22"/>
  <c r="DZS224" i="22"/>
  <c r="DZT224" i="22"/>
  <c r="DZU224" i="22"/>
  <c r="DZV224" i="22"/>
  <c r="DZW224" i="22"/>
  <c r="DZX224" i="22"/>
  <c r="DZY224" i="22"/>
  <c r="DZZ224" i="22"/>
  <c r="EAA224" i="22"/>
  <c r="EAB224" i="22"/>
  <c r="EAC224" i="22"/>
  <c r="EAD224" i="22"/>
  <c r="EAE224" i="22"/>
  <c r="EAF224" i="22"/>
  <c r="EAG224" i="22"/>
  <c r="EAH224" i="22"/>
  <c r="EAI224" i="22"/>
  <c r="EAJ224" i="22"/>
  <c r="EAK224" i="22"/>
  <c r="EAL224" i="22"/>
  <c r="EAM224" i="22"/>
  <c r="EAN224" i="22"/>
  <c r="EAO224" i="22"/>
  <c r="EAP224" i="22"/>
  <c r="EAQ224" i="22"/>
  <c r="EAR224" i="22"/>
  <c r="EAS224" i="22"/>
  <c r="EAT224" i="22"/>
  <c r="EAU224" i="22"/>
  <c r="EAV224" i="22"/>
  <c r="EAW224" i="22"/>
  <c r="EAX224" i="22"/>
  <c r="EAY224" i="22"/>
  <c r="EAZ224" i="22"/>
  <c r="EBA224" i="22"/>
  <c r="EBB224" i="22"/>
  <c r="EBC224" i="22"/>
  <c r="EBD224" i="22"/>
  <c r="EBE224" i="22"/>
  <c r="EBF224" i="22"/>
  <c r="EBG224" i="22"/>
  <c r="EBH224" i="22"/>
  <c r="EBI224" i="22"/>
  <c r="EBJ224" i="22"/>
  <c r="EBK224" i="22"/>
  <c r="EBL224" i="22"/>
  <c r="EBM224" i="22"/>
  <c r="EBN224" i="22"/>
  <c r="EBO224" i="22"/>
  <c r="EBP224" i="22"/>
  <c r="EBQ224" i="22"/>
  <c r="EBR224" i="22"/>
  <c r="EBS224" i="22"/>
  <c r="EBT224" i="22"/>
  <c r="EBU224" i="22"/>
  <c r="EBV224" i="22"/>
  <c r="EBW224" i="22"/>
  <c r="EBX224" i="22"/>
  <c r="EBY224" i="22"/>
  <c r="EBZ224" i="22"/>
  <c r="ECA224" i="22"/>
  <c r="ECB224" i="22"/>
  <c r="ECC224" i="22"/>
  <c r="ECD224" i="22"/>
  <c r="ECE224" i="22"/>
  <c r="ECF224" i="22"/>
  <c r="ECG224" i="22"/>
  <c r="ECH224" i="22"/>
  <c r="ECI224" i="22"/>
  <c r="ECJ224" i="22"/>
  <c r="ECK224" i="22"/>
  <c r="ECL224" i="22"/>
  <c r="ECM224" i="22"/>
  <c r="ECN224" i="22"/>
  <c r="ECO224" i="22"/>
  <c r="ECP224" i="22"/>
  <c r="ECQ224" i="22"/>
  <c r="ECR224" i="22"/>
  <c r="ECS224" i="22"/>
  <c r="ECT224" i="22"/>
  <c r="ECU224" i="22"/>
  <c r="ECV224" i="22"/>
  <c r="ECW224" i="22"/>
  <c r="ECX224" i="22"/>
  <c r="ECY224" i="22"/>
  <c r="ECZ224" i="22"/>
  <c r="EDA224" i="22"/>
  <c r="EDB224" i="22"/>
  <c r="EDC224" i="22"/>
  <c r="EDD224" i="22"/>
  <c r="EDE224" i="22"/>
  <c r="EDF224" i="22"/>
  <c r="EDG224" i="22"/>
  <c r="EDH224" i="22"/>
  <c r="EDI224" i="22"/>
  <c r="EDJ224" i="22"/>
  <c r="EDK224" i="22"/>
  <c r="EDL224" i="22"/>
  <c r="EDM224" i="22"/>
  <c r="EDN224" i="22"/>
  <c r="EDO224" i="22"/>
  <c r="EDP224" i="22"/>
  <c r="EDQ224" i="22"/>
  <c r="EDR224" i="22"/>
  <c r="EDS224" i="22"/>
  <c r="EDT224" i="22"/>
  <c r="EDU224" i="22"/>
  <c r="EDV224" i="22"/>
  <c r="EDW224" i="22"/>
  <c r="EDX224" i="22"/>
  <c r="EDY224" i="22"/>
  <c r="EDZ224" i="22"/>
  <c r="EEA224" i="22"/>
  <c r="EEB224" i="22"/>
  <c r="EEC224" i="22"/>
  <c r="EED224" i="22"/>
  <c r="EEE224" i="22"/>
  <c r="EEF224" i="22"/>
  <c r="EEG224" i="22"/>
  <c r="EEH224" i="22"/>
  <c r="EEI224" i="22"/>
  <c r="EEJ224" i="22"/>
  <c r="EEK224" i="22"/>
  <c r="EEL224" i="22"/>
  <c r="EEM224" i="22"/>
  <c r="EEN224" i="22"/>
  <c r="EEO224" i="22"/>
  <c r="EEP224" i="22"/>
  <c r="EEQ224" i="22"/>
  <c r="EER224" i="22"/>
  <c r="EES224" i="22"/>
  <c r="EET224" i="22"/>
  <c r="EEU224" i="22"/>
  <c r="EEV224" i="22"/>
  <c r="EEW224" i="22"/>
  <c r="EEX224" i="22"/>
  <c r="EEY224" i="22"/>
  <c r="EEZ224" i="22"/>
  <c r="EFA224" i="22"/>
  <c r="EFB224" i="22"/>
  <c r="EFC224" i="22"/>
  <c r="EFD224" i="22"/>
  <c r="EFE224" i="22"/>
  <c r="EFF224" i="22"/>
  <c r="EFG224" i="22"/>
  <c r="EFH224" i="22"/>
  <c r="EFI224" i="22"/>
  <c r="EFJ224" i="22"/>
  <c r="EFK224" i="22"/>
  <c r="EFL224" i="22"/>
  <c r="EFM224" i="22"/>
  <c r="EFN224" i="22"/>
  <c r="EFO224" i="22"/>
  <c r="EFP224" i="22"/>
  <c r="EFQ224" i="22"/>
  <c r="EFR224" i="22"/>
  <c r="EFS224" i="22"/>
  <c r="EFT224" i="22"/>
  <c r="EFU224" i="22"/>
  <c r="EFV224" i="22"/>
  <c r="EFW224" i="22"/>
  <c r="EFX224" i="22"/>
  <c r="EFY224" i="22"/>
  <c r="EFZ224" i="22"/>
  <c r="EGA224" i="22"/>
  <c r="EGB224" i="22"/>
  <c r="EGC224" i="22"/>
  <c r="EGD224" i="22"/>
  <c r="EGE224" i="22"/>
  <c r="EGF224" i="22"/>
  <c r="EGG224" i="22"/>
  <c r="EGH224" i="22"/>
  <c r="EGI224" i="22"/>
  <c r="EGJ224" i="22"/>
  <c r="EGK224" i="22"/>
  <c r="EGL224" i="22"/>
  <c r="EGM224" i="22"/>
  <c r="EGN224" i="22"/>
  <c r="EGO224" i="22"/>
  <c r="EGP224" i="22"/>
  <c r="EGQ224" i="22"/>
  <c r="EGR224" i="22"/>
  <c r="EGS224" i="22"/>
  <c r="EGT224" i="22"/>
  <c r="EGU224" i="22"/>
  <c r="EGV224" i="22"/>
  <c r="EGW224" i="22"/>
  <c r="EGX224" i="22"/>
  <c r="EGY224" i="22"/>
  <c r="EGZ224" i="22"/>
  <c r="EHA224" i="22"/>
  <c r="EHB224" i="22"/>
  <c r="EHC224" i="22"/>
  <c r="EHD224" i="22"/>
  <c r="EHE224" i="22"/>
  <c r="EHF224" i="22"/>
  <c r="EHG224" i="22"/>
  <c r="EHH224" i="22"/>
  <c r="EHI224" i="22"/>
  <c r="EHJ224" i="22"/>
  <c r="EHK224" i="22"/>
  <c r="EHL224" i="22"/>
  <c r="EHM224" i="22"/>
  <c r="EHN224" i="22"/>
  <c r="EHO224" i="22"/>
  <c r="EHP224" i="22"/>
  <c r="EHQ224" i="22"/>
  <c r="EHR224" i="22"/>
  <c r="EHS224" i="22"/>
  <c r="EHT224" i="22"/>
  <c r="EHU224" i="22"/>
  <c r="EHV224" i="22"/>
  <c r="EHW224" i="22"/>
  <c r="EHX224" i="22"/>
  <c r="EHY224" i="22"/>
  <c r="EHZ224" i="22"/>
  <c r="EIA224" i="22"/>
  <c r="EIB224" i="22"/>
  <c r="EIC224" i="22"/>
  <c r="EID224" i="22"/>
  <c r="EIE224" i="22"/>
  <c r="EIF224" i="22"/>
  <c r="EIG224" i="22"/>
  <c r="EIH224" i="22"/>
  <c r="EII224" i="22"/>
  <c r="EIJ224" i="22"/>
  <c r="EIK224" i="22"/>
  <c r="EIL224" i="22"/>
  <c r="EIM224" i="22"/>
  <c r="EIN224" i="22"/>
  <c r="EIO224" i="22"/>
  <c r="EIP224" i="22"/>
  <c r="EIQ224" i="22"/>
  <c r="EIR224" i="22"/>
  <c r="EIS224" i="22"/>
  <c r="EIT224" i="22"/>
  <c r="EIU224" i="22"/>
  <c r="EIV224" i="22"/>
  <c r="EIW224" i="22"/>
  <c r="EIX224" i="22"/>
  <c r="EIY224" i="22"/>
  <c r="EIZ224" i="22"/>
  <c r="EJA224" i="22"/>
  <c r="EJB224" i="22"/>
  <c r="EJC224" i="22"/>
  <c r="EJD224" i="22"/>
  <c r="EJE224" i="22"/>
  <c r="EJF224" i="22"/>
  <c r="EJG224" i="22"/>
  <c r="EJH224" i="22"/>
  <c r="EJI224" i="22"/>
  <c r="EJJ224" i="22"/>
  <c r="EJK224" i="22"/>
  <c r="EJL224" i="22"/>
  <c r="EJM224" i="22"/>
  <c r="EJN224" i="22"/>
  <c r="EJO224" i="22"/>
  <c r="EJP224" i="22"/>
  <c r="EJQ224" i="22"/>
  <c r="EJR224" i="22"/>
  <c r="EJS224" i="22"/>
  <c r="EJT224" i="22"/>
  <c r="EJU224" i="22"/>
  <c r="EJV224" i="22"/>
  <c r="EJW224" i="22"/>
  <c r="EJX224" i="22"/>
  <c r="EJY224" i="22"/>
  <c r="EJZ224" i="22"/>
  <c r="EKA224" i="22"/>
  <c r="EKB224" i="22"/>
  <c r="EKC224" i="22"/>
  <c r="EKD224" i="22"/>
  <c r="EKE224" i="22"/>
  <c r="EKF224" i="22"/>
  <c r="EKG224" i="22"/>
  <c r="EKH224" i="22"/>
  <c r="EKI224" i="22"/>
  <c r="EKJ224" i="22"/>
  <c r="EKK224" i="22"/>
  <c r="EKL224" i="22"/>
  <c r="EKM224" i="22"/>
  <c r="EKN224" i="22"/>
  <c r="EKO224" i="22"/>
  <c r="EKP224" i="22"/>
  <c r="EKQ224" i="22"/>
  <c r="EKR224" i="22"/>
  <c r="EKS224" i="22"/>
  <c r="EKT224" i="22"/>
  <c r="EKU224" i="22"/>
  <c r="EKV224" i="22"/>
  <c r="EKW224" i="22"/>
  <c r="EKX224" i="22"/>
  <c r="EKY224" i="22"/>
  <c r="EKZ224" i="22"/>
  <c r="ELA224" i="22"/>
  <c r="ELB224" i="22"/>
  <c r="ELC224" i="22"/>
  <c r="ELD224" i="22"/>
  <c r="ELE224" i="22"/>
  <c r="ELF224" i="22"/>
  <c r="ELG224" i="22"/>
  <c r="ELH224" i="22"/>
  <c r="ELI224" i="22"/>
  <c r="ELJ224" i="22"/>
  <c r="ELK224" i="22"/>
  <c r="ELL224" i="22"/>
  <c r="ELM224" i="22"/>
  <c r="ELN224" i="22"/>
  <c r="ELO224" i="22"/>
  <c r="ELP224" i="22"/>
  <c r="ELQ224" i="22"/>
  <c r="ELR224" i="22"/>
  <c r="ELS224" i="22"/>
  <c r="ELT224" i="22"/>
  <c r="ELU224" i="22"/>
  <c r="ELV224" i="22"/>
  <c r="ELW224" i="22"/>
  <c r="ELX224" i="22"/>
  <c r="ELY224" i="22"/>
  <c r="ELZ224" i="22"/>
  <c r="EMA224" i="22"/>
  <c r="EMB224" i="22"/>
  <c r="EMC224" i="22"/>
  <c r="EMD224" i="22"/>
  <c r="EME224" i="22"/>
  <c r="EMF224" i="22"/>
  <c r="EMG224" i="22"/>
  <c r="EMH224" i="22"/>
  <c r="EMI224" i="22"/>
  <c r="EMJ224" i="22"/>
  <c r="EMK224" i="22"/>
  <c r="EML224" i="22"/>
  <c r="EMM224" i="22"/>
  <c r="EMN224" i="22"/>
  <c r="EMO224" i="22"/>
  <c r="EMP224" i="22"/>
  <c r="EMQ224" i="22"/>
  <c r="EMR224" i="22"/>
  <c r="EMS224" i="22"/>
  <c r="EMT224" i="22"/>
  <c r="EMU224" i="22"/>
  <c r="EMV224" i="22"/>
  <c r="EMW224" i="22"/>
  <c r="EMX224" i="22"/>
  <c r="EMY224" i="22"/>
  <c r="EMZ224" i="22"/>
  <c r="ENA224" i="22"/>
  <c r="ENB224" i="22"/>
  <c r="ENC224" i="22"/>
  <c r="END224" i="22"/>
  <c r="ENE224" i="22"/>
  <c r="ENF224" i="22"/>
  <c r="ENG224" i="22"/>
  <c r="ENH224" i="22"/>
  <c r="ENI224" i="22"/>
  <c r="ENJ224" i="22"/>
  <c r="ENK224" i="22"/>
  <c r="ENL224" i="22"/>
  <c r="ENM224" i="22"/>
  <c r="ENN224" i="22"/>
  <c r="ENO224" i="22"/>
  <c r="ENP224" i="22"/>
  <c r="ENQ224" i="22"/>
  <c r="ENR224" i="22"/>
  <c r="ENS224" i="22"/>
  <c r="ENT224" i="22"/>
  <c r="ENU224" i="22"/>
  <c r="ENV224" i="22"/>
  <c r="ENW224" i="22"/>
  <c r="ENX224" i="22"/>
  <c r="ENY224" i="22"/>
  <c r="ENZ224" i="22"/>
  <c r="EOA224" i="22"/>
  <c r="EOB224" i="22"/>
  <c r="EOC224" i="22"/>
  <c r="EOD224" i="22"/>
  <c r="EOE224" i="22"/>
  <c r="EOF224" i="22"/>
  <c r="EOG224" i="22"/>
  <c r="EOH224" i="22"/>
  <c r="EOI224" i="22"/>
  <c r="EOJ224" i="22"/>
  <c r="EOK224" i="22"/>
  <c r="EOL224" i="22"/>
  <c r="EOM224" i="22"/>
  <c r="EON224" i="22"/>
  <c r="EOO224" i="22"/>
  <c r="EOP224" i="22"/>
  <c r="EOQ224" i="22"/>
  <c r="EOR224" i="22"/>
  <c r="EOS224" i="22"/>
  <c r="EOT224" i="22"/>
  <c r="EOU224" i="22"/>
  <c r="EOV224" i="22"/>
  <c r="EOW224" i="22"/>
  <c r="EOX224" i="22"/>
  <c r="EOY224" i="22"/>
  <c r="EOZ224" i="22"/>
  <c r="EPA224" i="22"/>
  <c r="EPB224" i="22"/>
  <c r="EPC224" i="22"/>
  <c r="EPD224" i="22"/>
  <c r="EPE224" i="22"/>
  <c r="EPF224" i="22"/>
  <c r="EPG224" i="22"/>
  <c r="EPH224" i="22"/>
  <c r="EPI224" i="22"/>
  <c r="EPJ224" i="22"/>
  <c r="EPK224" i="22"/>
  <c r="EPL224" i="22"/>
  <c r="EPM224" i="22"/>
  <c r="EPN224" i="22"/>
  <c r="EPO224" i="22"/>
  <c r="EPP224" i="22"/>
  <c r="EPQ224" i="22"/>
  <c r="EPR224" i="22"/>
  <c r="EPS224" i="22"/>
  <c r="EPT224" i="22"/>
  <c r="EPU224" i="22"/>
  <c r="EPV224" i="22"/>
  <c r="EPW224" i="22"/>
  <c r="EPX224" i="22"/>
  <c r="EPY224" i="22"/>
  <c r="EPZ224" i="22"/>
  <c r="EQA224" i="22"/>
  <c r="EQB224" i="22"/>
  <c r="EQC224" i="22"/>
  <c r="EQD224" i="22"/>
  <c r="EQE224" i="22"/>
  <c r="EQF224" i="22"/>
  <c r="EQG224" i="22"/>
  <c r="EQH224" i="22"/>
  <c r="EQI224" i="22"/>
  <c r="EQJ224" i="22"/>
  <c r="EQK224" i="22"/>
  <c r="EQL224" i="22"/>
  <c r="EQM224" i="22"/>
  <c r="EQN224" i="22"/>
  <c r="EQO224" i="22"/>
  <c r="EQP224" i="22"/>
  <c r="EQQ224" i="22"/>
  <c r="EQR224" i="22"/>
  <c r="EQS224" i="22"/>
  <c r="EQT224" i="22"/>
  <c r="EQU224" i="22"/>
  <c r="EQV224" i="22"/>
  <c r="EQW224" i="22"/>
  <c r="EQX224" i="22"/>
  <c r="EQY224" i="22"/>
  <c r="EQZ224" i="22"/>
  <c r="ERA224" i="22"/>
  <c r="ERB224" i="22"/>
  <c r="ERC224" i="22"/>
  <c r="ERD224" i="22"/>
  <c r="ERE224" i="22"/>
  <c r="ERF224" i="22"/>
  <c r="ERG224" i="22"/>
  <c r="ERH224" i="22"/>
  <c r="ERI224" i="22"/>
  <c r="ERJ224" i="22"/>
  <c r="ERK224" i="22"/>
  <c r="ERL224" i="22"/>
  <c r="ERM224" i="22"/>
  <c r="ERN224" i="22"/>
  <c r="ERO224" i="22"/>
  <c r="ERP224" i="22"/>
  <c r="ERQ224" i="22"/>
  <c r="ERR224" i="22"/>
  <c r="ERS224" i="22"/>
  <c r="ERT224" i="22"/>
  <c r="ERU224" i="22"/>
  <c r="ERV224" i="22"/>
  <c r="ERW224" i="22"/>
  <c r="ERX224" i="22"/>
  <c r="ERY224" i="22"/>
  <c r="ERZ224" i="22"/>
  <c r="ESA224" i="22"/>
  <c r="ESB224" i="22"/>
  <c r="ESC224" i="22"/>
  <c r="ESD224" i="22"/>
  <c r="ESE224" i="22"/>
  <c r="ESF224" i="22"/>
  <c r="ESG224" i="22"/>
  <c r="ESH224" i="22"/>
  <c r="ESI224" i="22"/>
  <c r="ESJ224" i="22"/>
  <c r="ESK224" i="22"/>
  <c r="ESL224" i="22"/>
  <c r="ESM224" i="22"/>
  <c r="ESN224" i="22"/>
  <c r="ESO224" i="22"/>
  <c r="ESP224" i="22"/>
  <c r="ESQ224" i="22"/>
  <c r="ESR224" i="22"/>
  <c r="ESS224" i="22"/>
  <c r="EST224" i="22"/>
  <c r="ESU224" i="22"/>
  <c r="ESV224" i="22"/>
  <c r="ESW224" i="22"/>
  <c r="ESX224" i="22"/>
  <c r="ESY224" i="22"/>
  <c r="ESZ224" i="22"/>
  <c r="ETA224" i="22"/>
  <c r="ETB224" i="22"/>
  <c r="ETC224" i="22"/>
  <c r="ETD224" i="22"/>
  <c r="ETE224" i="22"/>
  <c r="ETF224" i="22"/>
  <c r="ETG224" i="22"/>
  <c r="ETH224" i="22"/>
  <c r="ETI224" i="22"/>
  <c r="ETJ224" i="22"/>
  <c r="ETK224" i="22"/>
  <c r="ETL224" i="22"/>
  <c r="ETM224" i="22"/>
  <c r="ETN224" i="22"/>
  <c r="ETO224" i="22"/>
  <c r="ETP224" i="22"/>
  <c r="ETQ224" i="22"/>
  <c r="ETR224" i="22"/>
  <c r="ETS224" i="22"/>
  <c r="ETT224" i="22"/>
  <c r="ETU224" i="22"/>
  <c r="ETV224" i="22"/>
  <c r="ETW224" i="22"/>
  <c r="ETX224" i="22"/>
  <c r="ETY224" i="22"/>
  <c r="ETZ224" i="22"/>
  <c r="EUA224" i="22"/>
  <c r="EUB224" i="22"/>
  <c r="EUC224" i="22"/>
  <c r="EUD224" i="22"/>
  <c r="EUE224" i="22"/>
  <c r="EUF224" i="22"/>
  <c r="EUG224" i="22"/>
  <c r="EUH224" i="22"/>
  <c r="EUI224" i="22"/>
  <c r="EUJ224" i="22"/>
  <c r="EUK224" i="22"/>
  <c r="EUL224" i="22"/>
  <c r="EUM224" i="22"/>
  <c r="EUN224" i="22"/>
  <c r="EUO224" i="22"/>
  <c r="EUP224" i="22"/>
  <c r="EUQ224" i="22"/>
  <c r="EUR224" i="22"/>
  <c r="EUS224" i="22"/>
  <c r="EUT224" i="22"/>
  <c r="EUU224" i="22"/>
  <c r="EUV224" i="22"/>
  <c r="EUW224" i="22"/>
  <c r="EUX224" i="22"/>
  <c r="EUY224" i="22"/>
  <c r="EUZ224" i="22"/>
  <c r="EVA224" i="22"/>
  <c r="EVB224" i="22"/>
  <c r="EVC224" i="22"/>
  <c r="EVD224" i="22"/>
  <c r="EVE224" i="22"/>
  <c r="EVF224" i="22"/>
  <c r="EVG224" i="22"/>
  <c r="EVH224" i="22"/>
  <c r="EVI224" i="22"/>
  <c r="EVJ224" i="22"/>
  <c r="EVK224" i="22"/>
  <c r="EVL224" i="22"/>
  <c r="EVM224" i="22"/>
  <c r="EVN224" i="22"/>
  <c r="EVO224" i="22"/>
  <c r="EVP224" i="22"/>
  <c r="EVQ224" i="22"/>
  <c r="EVR224" i="22"/>
  <c r="EVS224" i="22"/>
  <c r="EVT224" i="22"/>
  <c r="EVU224" i="22"/>
  <c r="EVV224" i="22"/>
  <c r="EVW224" i="22"/>
  <c r="EVX224" i="22"/>
  <c r="EVY224" i="22"/>
  <c r="EVZ224" i="22"/>
  <c r="EWA224" i="22"/>
  <c r="EWB224" i="22"/>
  <c r="EWC224" i="22"/>
  <c r="EWD224" i="22"/>
  <c r="EWE224" i="22"/>
  <c r="EWF224" i="22"/>
  <c r="EWG224" i="22"/>
  <c r="EWH224" i="22"/>
  <c r="EWI224" i="22"/>
  <c r="EWJ224" i="22"/>
  <c r="EWK224" i="22"/>
  <c r="EWL224" i="22"/>
  <c r="EWM224" i="22"/>
  <c r="EWN224" i="22"/>
  <c r="EWO224" i="22"/>
  <c r="EWP224" i="22"/>
  <c r="EWQ224" i="22"/>
  <c r="EWR224" i="22"/>
  <c r="EWS224" i="22"/>
  <c r="EWT224" i="22"/>
  <c r="EWU224" i="22"/>
  <c r="EWV224" i="22"/>
  <c r="EWW224" i="22"/>
  <c r="EWX224" i="22"/>
  <c r="EWY224" i="22"/>
  <c r="EWZ224" i="22"/>
  <c r="EXA224" i="22"/>
  <c r="EXB224" i="22"/>
  <c r="EXC224" i="22"/>
  <c r="EXD224" i="22"/>
  <c r="EXE224" i="22"/>
  <c r="EXF224" i="22"/>
  <c r="EXG224" i="22"/>
  <c r="EXH224" i="22"/>
  <c r="EXI224" i="22"/>
  <c r="EXJ224" i="22"/>
  <c r="EXK224" i="22"/>
  <c r="EXL224" i="22"/>
  <c r="EXM224" i="22"/>
  <c r="EXN224" i="22"/>
  <c r="EXO224" i="22"/>
  <c r="EXP224" i="22"/>
  <c r="EXQ224" i="22"/>
  <c r="EXR224" i="22"/>
  <c r="EXS224" i="22"/>
  <c r="EXT224" i="22"/>
  <c r="EXU224" i="22"/>
  <c r="EXV224" i="22"/>
  <c r="EXW224" i="22"/>
  <c r="EXX224" i="22"/>
  <c r="EXY224" i="22"/>
  <c r="EXZ224" i="22"/>
  <c r="EYA224" i="22"/>
  <c r="EYB224" i="22"/>
  <c r="EYC224" i="22"/>
  <c r="EYD224" i="22"/>
  <c r="EYE224" i="22"/>
  <c r="EYF224" i="22"/>
  <c r="EYG224" i="22"/>
  <c r="EYH224" i="22"/>
  <c r="EYI224" i="22"/>
  <c r="EYJ224" i="22"/>
  <c r="EYK224" i="22"/>
  <c r="EYL224" i="22"/>
  <c r="EYM224" i="22"/>
  <c r="EYN224" i="22"/>
  <c r="EYO224" i="22"/>
  <c r="EYP224" i="22"/>
  <c r="EYQ224" i="22"/>
  <c r="EYR224" i="22"/>
  <c r="EYS224" i="22"/>
  <c r="EYT224" i="22"/>
  <c r="EYU224" i="22"/>
  <c r="EYV224" i="22"/>
  <c r="EYW224" i="22"/>
  <c r="EYX224" i="22"/>
  <c r="EYY224" i="22"/>
  <c r="EYZ224" i="22"/>
  <c r="EZA224" i="22"/>
  <c r="EZB224" i="22"/>
  <c r="EZC224" i="22"/>
  <c r="EZD224" i="22"/>
  <c r="EZE224" i="22"/>
  <c r="EZF224" i="22"/>
  <c r="EZG224" i="22"/>
  <c r="EZH224" i="22"/>
  <c r="EZI224" i="22"/>
  <c r="EZJ224" i="22"/>
  <c r="EZK224" i="22"/>
  <c r="EZL224" i="22"/>
  <c r="EZM224" i="22"/>
  <c r="EZN224" i="22"/>
  <c r="EZO224" i="22"/>
  <c r="EZP224" i="22"/>
  <c r="EZQ224" i="22"/>
  <c r="EZR224" i="22"/>
  <c r="EZS224" i="22"/>
  <c r="EZT224" i="22"/>
  <c r="EZU224" i="22"/>
  <c r="EZV224" i="22"/>
  <c r="EZW224" i="22"/>
  <c r="EZX224" i="22"/>
  <c r="EZY224" i="22"/>
  <c r="EZZ224" i="22"/>
  <c r="FAA224" i="22"/>
  <c r="FAB224" i="22"/>
  <c r="FAC224" i="22"/>
  <c r="FAD224" i="22"/>
  <c r="FAE224" i="22"/>
  <c r="FAF224" i="22"/>
  <c r="FAG224" i="22"/>
  <c r="FAH224" i="22"/>
  <c r="FAI224" i="22"/>
  <c r="FAJ224" i="22"/>
  <c r="FAK224" i="22"/>
  <c r="FAL224" i="22"/>
  <c r="FAM224" i="22"/>
  <c r="FAN224" i="22"/>
  <c r="FAO224" i="22"/>
  <c r="FAP224" i="22"/>
  <c r="FAQ224" i="22"/>
  <c r="FAR224" i="22"/>
  <c r="FAS224" i="22"/>
  <c r="FAT224" i="22"/>
  <c r="FAU224" i="22"/>
  <c r="FAV224" i="22"/>
  <c r="FAW224" i="22"/>
  <c r="FAX224" i="22"/>
  <c r="FAY224" i="22"/>
  <c r="FAZ224" i="22"/>
  <c r="FBA224" i="22"/>
  <c r="FBB224" i="22"/>
  <c r="FBC224" i="22"/>
  <c r="FBD224" i="22"/>
  <c r="FBE224" i="22"/>
  <c r="FBF224" i="22"/>
  <c r="FBG224" i="22"/>
  <c r="FBH224" i="22"/>
  <c r="FBI224" i="22"/>
  <c r="FBJ224" i="22"/>
  <c r="FBK224" i="22"/>
  <c r="FBL224" i="22"/>
  <c r="FBM224" i="22"/>
  <c r="FBN224" i="22"/>
  <c r="FBO224" i="22"/>
  <c r="FBP224" i="22"/>
  <c r="FBQ224" i="22"/>
  <c r="FBR224" i="22"/>
  <c r="FBS224" i="22"/>
  <c r="FBT224" i="22"/>
  <c r="FBU224" i="22"/>
  <c r="FBV224" i="22"/>
  <c r="FBW224" i="22"/>
  <c r="FBX224" i="22"/>
  <c r="FBY224" i="22"/>
  <c r="FBZ224" i="22"/>
  <c r="FCA224" i="22"/>
  <c r="FCB224" i="22"/>
  <c r="FCC224" i="22"/>
  <c r="FCD224" i="22"/>
  <c r="FCE224" i="22"/>
  <c r="FCF224" i="22"/>
  <c r="FCG224" i="22"/>
  <c r="FCH224" i="22"/>
  <c r="FCI224" i="22"/>
  <c r="FCJ224" i="22"/>
  <c r="FCK224" i="22"/>
  <c r="FCL224" i="22"/>
  <c r="FCM224" i="22"/>
  <c r="FCN224" i="22"/>
  <c r="FCO224" i="22"/>
  <c r="FCP224" i="22"/>
  <c r="FCQ224" i="22"/>
  <c r="FCR224" i="22"/>
  <c r="FCS224" i="22"/>
  <c r="FCT224" i="22"/>
  <c r="FCU224" i="22"/>
  <c r="FCV224" i="22"/>
  <c r="FCW224" i="22"/>
  <c r="FCX224" i="22"/>
  <c r="FCY224" i="22"/>
  <c r="FCZ224" i="22"/>
  <c r="FDA224" i="22"/>
  <c r="FDB224" i="22"/>
  <c r="FDC224" i="22"/>
  <c r="FDD224" i="22"/>
  <c r="FDE224" i="22"/>
  <c r="FDF224" i="22"/>
  <c r="FDG224" i="22"/>
  <c r="FDH224" i="22"/>
  <c r="FDI224" i="22"/>
  <c r="FDJ224" i="22"/>
  <c r="FDK224" i="22"/>
  <c r="FDL224" i="22"/>
  <c r="FDM224" i="22"/>
  <c r="FDN224" i="22"/>
  <c r="FDO224" i="22"/>
  <c r="FDP224" i="22"/>
  <c r="FDQ224" i="22"/>
  <c r="FDR224" i="22"/>
  <c r="FDS224" i="22"/>
  <c r="FDT224" i="22"/>
  <c r="FDU224" i="22"/>
  <c r="FDV224" i="22"/>
  <c r="FDW224" i="22"/>
  <c r="FDX224" i="22"/>
  <c r="FDY224" i="22"/>
  <c r="FDZ224" i="22"/>
  <c r="FEA224" i="22"/>
  <c r="FEB224" i="22"/>
  <c r="FEC224" i="22"/>
  <c r="FED224" i="22"/>
  <c r="FEE224" i="22"/>
  <c r="FEF224" i="22"/>
  <c r="FEG224" i="22"/>
  <c r="FEH224" i="22"/>
  <c r="FEI224" i="22"/>
  <c r="FEJ224" i="22"/>
  <c r="FEK224" i="22"/>
  <c r="FEL224" i="22"/>
  <c r="FEM224" i="22"/>
  <c r="FEN224" i="22"/>
  <c r="FEO224" i="22"/>
  <c r="FEP224" i="22"/>
  <c r="FEQ224" i="22"/>
  <c r="FER224" i="22"/>
  <c r="FES224" i="22"/>
  <c r="FET224" i="22"/>
  <c r="FEU224" i="22"/>
  <c r="FEV224" i="22"/>
  <c r="FEW224" i="22"/>
  <c r="FEX224" i="22"/>
  <c r="FEY224" i="22"/>
  <c r="FEZ224" i="22"/>
  <c r="FFA224" i="22"/>
  <c r="FFB224" i="22"/>
  <c r="FFC224" i="22"/>
  <c r="FFD224" i="22"/>
  <c r="FFE224" i="22"/>
  <c r="FFF224" i="22"/>
  <c r="FFG224" i="22"/>
  <c r="FFH224" i="22"/>
  <c r="FFI224" i="22"/>
  <c r="FFJ224" i="22"/>
  <c r="FFK224" i="22"/>
  <c r="FFL224" i="22"/>
  <c r="FFM224" i="22"/>
  <c r="FFN224" i="22"/>
  <c r="FFO224" i="22"/>
  <c r="FFP224" i="22"/>
  <c r="FFQ224" i="22"/>
  <c r="FFR224" i="22"/>
  <c r="FFS224" i="22"/>
  <c r="FFT224" i="22"/>
  <c r="FFU224" i="22"/>
  <c r="FFV224" i="22"/>
  <c r="FFW224" i="22"/>
  <c r="FFX224" i="22"/>
  <c r="FFY224" i="22"/>
  <c r="FFZ224" i="22"/>
  <c r="FGA224" i="22"/>
  <c r="FGB224" i="22"/>
  <c r="FGC224" i="22"/>
  <c r="FGD224" i="22"/>
  <c r="FGE224" i="22"/>
  <c r="FGF224" i="22"/>
  <c r="FGG224" i="22"/>
  <c r="FGH224" i="22"/>
  <c r="FGI224" i="22"/>
  <c r="FGJ224" i="22"/>
  <c r="FGK224" i="22"/>
  <c r="FGL224" i="22"/>
  <c r="FGM224" i="22"/>
  <c r="FGN224" i="22"/>
  <c r="FGO224" i="22"/>
  <c r="FGP224" i="22"/>
  <c r="FGQ224" i="22"/>
  <c r="FGR224" i="22"/>
  <c r="FGS224" i="22"/>
  <c r="FGT224" i="22"/>
  <c r="FGU224" i="22"/>
  <c r="FGV224" i="22"/>
  <c r="FGW224" i="22"/>
  <c r="FGX224" i="22"/>
  <c r="FGY224" i="22"/>
  <c r="FGZ224" i="22"/>
  <c r="FHA224" i="22"/>
  <c r="FHB224" i="22"/>
  <c r="FHC224" i="22"/>
  <c r="FHD224" i="22"/>
  <c r="FHE224" i="22"/>
  <c r="FHF224" i="22"/>
  <c r="FHG224" i="22"/>
  <c r="FHH224" i="22"/>
  <c r="FHI224" i="22"/>
  <c r="FHJ224" i="22"/>
  <c r="FHK224" i="22"/>
  <c r="FHL224" i="22"/>
  <c r="FHM224" i="22"/>
  <c r="FHN224" i="22"/>
  <c r="FHO224" i="22"/>
  <c r="FHP224" i="22"/>
  <c r="FHQ224" i="22"/>
  <c r="FHR224" i="22"/>
  <c r="FHS224" i="22"/>
  <c r="FHT224" i="22"/>
  <c r="FHU224" i="22"/>
  <c r="FHV224" i="22"/>
  <c r="FHW224" i="22"/>
  <c r="FHX224" i="22"/>
  <c r="FHY224" i="22"/>
  <c r="FHZ224" i="22"/>
  <c r="FIA224" i="22"/>
  <c r="FIB224" i="22"/>
  <c r="FIC224" i="22"/>
  <c r="FID224" i="22"/>
  <c r="FIE224" i="22"/>
  <c r="FIF224" i="22"/>
  <c r="FIG224" i="22"/>
  <c r="FIH224" i="22"/>
  <c r="FII224" i="22"/>
  <c r="FIJ224" i="22"/>
  <c r="FIK224" i="22"/>
  <c r="FIL224" i="22"/>
  <c r="FIM224" i="22"/>
  <c r="FIN224" i="22"/>
  <c r="FIO224" i="22"/>
  <c r="FIP224" i="22"/>
  <c r="FIQ224" i="22"/>
  <c r="FIR224" i="22"/>
  <c r="FIS224" i="22"/>
  <c r="FIT224" i="22"/>
  <c r="FIU224" i="22"/>
  <c r="FIV224" i="22"/>
  <c r="FIW224" i="22"/>
  <c r="FIX224" i="22"/>
  <c r="FIY224" i="22"/>
  <c r="FIZ224" i="22"/>
  <c r="FJA224" i="22"/>
  <c r="FJB224" i="22"/>
  <c r="FJC224" i="22"/>
  <c r="FJD224" i="22"/>
  <c r="FJE224" i="22"/>
  <c r="FJF224" i="22"/>
  <c r="FJG224" i="22"/>
  <c r="FJH224" i="22"/>
  <c r="FJI224" i="22"/>
  <c r="FJJ224" i="22"/>
  <c r="FJK224" i="22"/>
  <c r="FJL224" i="22"/>
  <c r="FJM224" i="22"/>
  <c r="FJN224" i="22"/>
  <c r="FJO224" i="22"/>
  <c r="FJP224" i="22"/>
  <c r="FJQ224" i="22"/>
  <c r="FJR224" i="22"/>
  <c r="FJS224" i="22"/>
  <c r="FJT224" i="22"/>
  <c r="FJU224" i="22"/>
  <c r="FJV224" i="22"/>
  <c r="FJW224" i="22"/>
  <c r="FJX224" i="22"/>
  <c r="FJY224" i="22"/>
  <c r="FJZ224" i="22"/>
  <c r="FKA224" i="22"/>
  <c r="FKB224" i="22"/>
  <c r="FKC224" i="22"/>
  <c r="FKD224" i="22"/>
  <c r="FKE224" i="22"/>
  <c r="FKF224" i="22"/>
  <c r="FKG224" i="22"/>
  <c r="FKH224" i="22"/>
  <c r="FKI224" i="22"/>
  <c r="FKJ224" i="22"/>
  <c r="FKK224" i="22"/>
  <c r="FKL224" i="22"/>
  <c r="FKM224" i="22"/>
  <c r="FKN224" i="22"/>
  <c r="FKO224" i="22"/>
  <c r="FKP224" i="22"/>
  <c r="FKQ224" i="22"/>
  <c r="FKR224" i="22"/>
  <c r="FKS224" i="22"/>
  <c r="FKT224" i="22"/>
  <c r="FKU224" i="22"/>
  <c r="FKV224" i="22"/>
  <c r="FKW224" i="22"/>
  <c r="FKX224" i="22"/>
  <c r="FKY224" i="22"/>
  <c r="FKZ224" i="22"/>
  <c r="FLA224" i="22"/>
  <c r="FLB224" i="22"/>
  <c r="FLC224" i="22"/>
  <c r="FLD224" i="22"/>
  <c r="FLE224" i="22"/>
  <c r="FLF224" i="22"/>
  <c r="FLG224" i="22"/>
  <c r="FLH224" i="22"/>
  <c r="FLI224" i="22"/>
  <c r="FLJ224" i="22"/>
  <c r="FLK224" i="22"/>
  <c r="FLL224" i="22"/>
  <c r="FLM224" i="22"/>
  <c r="FLN224" i="22"/>
  <c r="FLO224" i="22"/>
  <c r="FLP224" i="22"/>
  <c r="FLQ224" i="22"/>
  <c r="FLR224" i="22"/>
  <c r="FLS224" i="22"/>
  <c r="FLT224" i="22"/>
  <c r="FLU224" i="22"/>
  <c r="FLV224" i="22"/>
  <c r="FLW224" i="22"/>
  <c r="FLX224" i="22"/>
  <c r="FLY224" i="22"/>
  <c r="FLZ224" i="22"/>
  <c r="FMA224" i="22"/>
  <c r="FMB224" i="22"/>
  <c r="FMC224" i="22"/>
  <c r="FMD224" i="22"/>
  <c r="FME224" i="22"/>
  <c r="FMF224" i="22"/>
  <c r="FMG224" i="22"/>
  <c r="FMH224" i="22"/>
  <c r="FMI224" i="22"/>
  <c r="FMJ224" i="22"/>
  <c r="FMK224" i="22"/>
  <c r="FML224" i="22"/>
  <c r="FMM224" i="22"/>
  <c r="FMN224" i="22"/>
  <c r="FMO224" i="22"/>
  <c r="FMP224" i="22"/>
  <c r="FMQ224" i="22"/>
  <c r="FMR224" i="22"/>
  <c r="FMS224" i="22"/>
  <c r="FMT224" i="22"/>
  <c r="FMU224" i="22"/>
  <c r="FMV224" i="22"/>
  <c r="FMW224" i="22"/>
  <c r="FMX224" i="22"/>
  <c r="FMY224" i="22"/>
  <c r="FMZ224" i="22"/>
  <c r="FNA224" i="22"/>
  <c r="FNB224" i="22"/>
  <c r="FNC224" i="22"/>
  <c r="FND224" i="22"/>
  <c r="FNE224" i="22"/>
  <c r="FNF224" i="22"/>
  <c r="FNG224" i="22"/>
  <c r="FNH224" i="22"/>
  <c r="FNI224" i="22"/>
  <c r="FNJ224" i="22"/>
  <c r="FNK224" i="22"/>
  <c r="FNL224" i="22"/>
  <c r="FNM224" i="22"/>
  <c r="FNN224" i="22"/>
  <c r="FNO224" i="22"/>
  <c r="FNP224" i="22"/>
  <c r="FNQ224" i="22"/>
  <c r="FNR224" i="22"/>
  <c r="FNS224" i="22"/>
  <c r="FNT224" i="22"/>
  <c r="FNU224" i="22"/>
  <c r="FNV224" i="22"/>
  <c r="FNW224" i="22"/>
  <c r="FNX224" i="22"/>
  <c r="FNY224" i="22"/>
  <c r="FNZ224" i="22"/>
  <c r="FOA224" i="22"/>
  <c r="FOB224" i="22"/>
  <c r="FOC224" i="22"/>
  <c r="FOD224" i="22"/>
  <c r="FOE224" i="22"/>
  <c r="FOF224" i="22"/>
  <c r="FOG224" i="22"/>
  <c r="FOH224" i="22"/>
  <c r="FOI224" i="22"/>
  <c r="FOJ224" i="22"/>
  <c r="FOK224" i="22"/>
  <c r="FOL224" i="22"/>
  <c r="FOM224" i="22"/>
  <c r="FON224" i="22"/>
  <c r="FOO224" i="22"/>
  <c r="FOP224" i="22"/>
  <c r="FOQ224" i="22"/>
  <c r="FOR224" i="22"/>
  <c r="FOS224" i="22"/>
  <c r="FOT224" i="22"/>
  <c r="FOU224" i="22"/>
  <c r="FOV224" i="22"/>
  <c r="FOW224" i="22"/>
  <c r="FOX224" i="22"/>
  <c r="FOY224" i="22"/>
  <c r="FOZ224" i="22"/>
  <c r="FPA224" i="22"/>
  <c r="FPB224" i="22"/>
  <c r="FPC224" i="22"/>
  <c r="FPD224" i="22"/>
  <c r="FPE224" i="22"/>
  <c r="FPF224" i="22"/>
  <c r="FPG224" i="22"/>
  <c r="FPH224" i="22"/>
  <c r="FPI224" i="22"/>
  <c r="FPJ224" i="22"/>
  <c r="FPK224" i="22"/>
  <c r="FPL224" i="22"/>
  <c r="FPM224" i="22"/>
  <c r="FPN224" i="22"/>
  <c r="FPO224" i="22"/>
  <c r="FPP224" i="22"/>
  <c r="FPQ224" i="22"/>
  <c r="FPR224" i="22"/>
  <c r="FPS224" i="22"/>
  <c r="FPT224" i="22"/>
  <c r="FPU224" i="22"/>
  <c r="FPV224" i="22"/>
  <c r="FPW224" i="22"/>
  <c r="FPX224" i="22"/>
  <c r="FPY224" i="22"/>
  <c r="FPZ224" i="22"/>
  <c r="FQA224" i="22"/>
  <c r="FQB224" i="22"/>
  <c r="FQC224" i="22"/>
  <c r="FQD224" i="22"/>
  <c r="FQE224" i="22"/>
  <c r="FQF224" i="22"/>
  <c r="FQG224" i="22"/>
  <c r="FQH224" i="22"/>
  <c r="FQI224" i="22"/>
  <c r="FQJ224" i="22"/>
  <c r="FQK224" i="22"/>
  <c r="FQL224" i="22"/>
  <c r="FQM224" i="22"/>
  <c r="FQN224" i="22"/>
  <c r="FQO224" i="22"/>
  <c r="FQP224" i="22"/>
  <c r="FQQ224" i="22"/>
  <c r="FQR224" i="22"/>
  <c r="FQS224" i="22"/>
  <c r="FQT224" i="22"/>
  <c r="FQU224" i="22"/>
  <c r="FQV224" i="22"/>
  <c r="FQW224" i="22"/>
  <c r="FQX224" i="22"/>
  <c r="FQY224" i="22"/>
  <c r="FQZ224" i="22"/>
  <c r="FRA224" i="22"/>
  <c r="FRB224" i="22"/>
  <c r="FRC224" i="22"/>
  <c r="FRD224" i="22"/>
  <c r="FRE224" i="22"/>
  <c r="FRF224" i="22"/>
  <c r="FRG224" i="22"/>
  <c r="FRH224" i="22"/>
  <c r="FRI224" i="22"/>
  <c r="FRJ224" i="22"/>
  <c r="FRK224" i="22"/>
  <c r="FRL224" i="22"/>
  <c r="FRM224" i="22"/>
  <c r="FRN224" i="22"/>
  <c r="FRO224" i="22"/>
  <c r="FRP224" i="22"/>
  <c r="FRQ224" i="22"/>
  <c r="FRR224" i="22"/>
  <c r="FRS224" i="22"/>
  <c r="FRT224" i="22"/>
  <c r="FRU224" i="22"/>
  <c r="FRV224" i="22"/>
  <c r="FRW224" i="22"/>
  <c r="FRX224" i="22"/>
  <c r="FRY224" i="22"/>
  <c r="FRZ224" i="22"/>
  <c r="FSA224" i="22"/>
  <c r="FSB224" i="22"/>
  <c r="FSC224" i="22"/>
  <c r="FSD224" i="22"/>
  <c r="FSE224" i="22"/>
  <c r="FSF224" i="22"/>
  <c r="FSG224" i="22"/>
  <c r="FSH224" i="22"/>
  <c r="FSI224" i="22"/>
  <c r="FSJ224" i="22"/>
  <c r="FSK224" i="22"/>
  <c r="FSL224" i="22"/>
  <c r="FSM224" i="22"/>
  <c r="FSN224" i="22"/>
  <c r="FSO224" i="22"/>
  <c r="FSP224" i="22"/>
  <c r="FSQ224" i="22"/>
  <c r="FSR224" i="22"/>
  <c r="FSS224" i="22"/>
  <c r="FST224" i="22"/>
  <c r="FSU224" i="22"/>
  <c r="FSV224" i="22"/>
  <c r="FSW224" i="22"/>
  <c r="FSX224" i="22"/>
  <c r="FSY224" i="22"/>
  <c r="FSZ224" i="22"/>
  <c r="FTA224" i="22"/>
  <c r="FTB224" i="22"/>
  <c r="FTC224" i="22"/>
  <c r="FTD224" i="22"/>
  <c r="FTE224" i="22"/>
  <c r="FTF224" i="22"/>
  <c r="FTG224" i="22"/>
  <c r="FTH224" i="22"/>
  <c r="FTI224" i="22"/>
  <c r="FTJ224" i="22"/>
  <c r="FTK224" i="22"/>
  <c r="FTL224" i="22"/>
  <c r="FTM224" i="22"/>
  <c r="FTN224" i="22"/>
  <c r="FTO224" i="22"/>
  <c r="FTP224" i="22"/>
  <c r="FTQ224" i="22"/>
  <c r="FTR224" i="22"/>
  <c r="FTS224" i="22"/>
  <c r="FTT224" i="22"/>
  <c r="FTU224" i="22"/>
  <c r="FTV224" i="22"/>
  <c r="FTW224" i="22"/>
  <c r="FTX224" i="22"/>
  <c r="FTY224" i="22"/>
  <c r="FTZ224" i="22"/>
  <c r="FUA224" i="22"/>
  <c r="FUB224" i="22"/>
  <c r="FUC224" i="22"/>
  <c r="FUD224" i="22"/>
  <c r="FUE224" i="22"/>
  <c r="FUF224" i="22"/>
  <c r="FUG224" i="22"/>
  <c r="FUH224" i="22"/>
  <c r="FUI224" i="22"/>
  <c r="FUJ224" i="22"/>
  <c r="FUK224" i="22"/>
  <c r="FUL224" i="22"/>
  <c r="FUM224" i="22"/>
  <c r="FUN224" i="22"/>
  <c r="FUO224" i="22"/>
  <c r="FUP224" i="22"/>
  <c r="FUQ224" i="22"/>
  <c r="FUR224" i="22"/>
  <c r="FUS224" i="22"/>
  <c r="FUT224" i="22"/>
  <c r="FUU224" i="22"/>
  <c r="FUV224" i="22"/>
  <c r="FUW224" i="22"/>
  <c r="FUX224" i="22"/>
  <c r="FUY224" i="22"/>
  <c r="FUZ224" i="22"/>
  <c r="FVA224" i="22"/>
  <c r="FVB224" i="22"/>
  <c r="FVC224" i="22"/>
  <c r="FVD224" i="22"/>
  <c r="FVE224" i="22"/>
  <c r="FVF224" i="22"/>
  <c r="FVG224" i="22"/>
  <c r="FVH224" i="22"/>
  <c r="FVI224" i="22"/>
  <c r="FVJ224" i="22"/>
  <c r="FVK224" i="22"/>
  <c r="FVL224" i="22"/>
  <c r="FVM224" i="22"/>
  <c r="FVN224" i="22"/>
  <c r="FVO224" i="22"/>
  <c r="FVP224" i="22"/>
  <c r="FVQ224" i="22"/>
  <c r="FVR224" i="22"/>
  <c r="FVS224" i="22"/>
  <c r="FVT224" i="22"/>
  <c r="FVU224" i="22"/>
  <c r="FVV224" i="22"/>
  <c r="FVW224" i="22"/>
  <c r="FVX224" i="22"/>
  <c r="FVY224" i="22"/>
  <c r="FVZ224" i="22"/>
  <c r="FWA224" i="22"/>
  <c r="FWB224" i="22"/>
  <c r="FWC224" i="22"/>
  <c r="FWD224" i="22"/>
  <c r="FWE224" i="22"/>
  <c r="FWF224" i="22"/>
  <c r="FWG224" i="22"/>
  <c r="FWH224" i="22"/>
  <c r="FWI224" i="22"/>
  <c r="FWJ224" i="22"/>
  <c r="FWK224" i="22"/>
  <c r="FWL224" i="22"/>
  <c r="FWM224" i="22"/>
  <c r="FWN224" i="22"/>
  <c r="FWO224" i="22"/>
  <c r="FWP224" i="22"/>
  <c r="FWQ224" i="22"/>
  <c r="FWR224" i="22"/>
  <c r="FWS224" i="22"/>
  <c r="FWT224" i="22"/>
  <c r="FWU224" i="22"/>
  <c r="FWV224" i="22"/>
  <c r="FWW224" i="22"/>
  <c r="FWX224" i="22"/>
  <c r="FWY224" i="22"/>
  <c r="FWZ224" i="22"/>
  <c r="FXA224" i="22"/>
  <c r="FXB224" i="22"/>
  <c r="FXC224" i="22"/>
  <c r="FXD224" i="22"/>
  <c r="FXE224" i="22"/>
  <c r="FXF224" i="22"/>
  <c r="FXG224" i="22"/>
  <c r="FXH224" i="22"/>
  <c r="FXI224" i="22"/>
  <c r="FXJ224" i="22"/>
  <c r="FXK224" i="22"/>
  <c r="FXL224" i="22"/>
  <c r="FXM224" i="22"/>
  <c r="FXN224" i="22"/>
  <c r="FXO224" i="22"/>
  <c r="FXP224" i="22"/>
  <c r="FXQ224" i="22"/>
  <c r="FXR224" i="22"/>
  <c r="FXS224" i="22"/>
  <c r="FXT224" i="22"/>
  <c r="FXU224" i="22"/>
  <c r="FXV224" i="22"/>
  <c r="FXW224" i="22"/>
  <c r="FXX224" i="22"/>
  <c r="FXY224" i="22"/>
  <c r="FXZ224" i="22"/>
  <c r="FYA224" i="22"/>
  <c r="FYB224" i="22"/>
  <c r="FYC224" i="22"/>
  <c r="FYD224" i="22"/>
  <c r="FYE224" i="22"/>
  <c r="FYF224" i="22"/>
  <c r="FYG224" i="22"/>
  <c r="FYH224" i="22"/>
  <c r="FYI224" i="22"/>
  <c r="FYJ224" i="22"/>
  <c r="FYK224" i="22"/>
  <c r="FYL224" i="22"/>
  <c r="FYM224" i="22"/>
  <c r="FYN224" i="22"/>
  <c r="FYO224" i="22"/>
  <c r="FYP224" i="22"/>
  <c r="FYQ224" i="22"/>
  <c r="FYR224" i="22"/>
  <c r="FYS224" i="22"/>
  <c r="FYT224" i="22"/>
  <c r="FYU224" i="22"/>
  <c r="FYV224" i="22"/>
  <c r="FYW224" i="22"/>
  <c r="FYX224" i="22"/>
  <c r="FYY224" i="22"/>
  <c r="FYZ224" i="22"/>
  <c r="FZA224" i="22"/>
  <c r="FZB224" i="22"/>
  <c r="FZC224" i="22"/>
  <c r="FZD224" i="22"/>
  <c r="FZE224" i="22"/>
  <c r="FZF224" i="22"/>
  <c r="FZG224" i="22"/>
  <c r="FZH224" i="22"/>
  <c r="FZI224" i="22"/>
  <c r="FZJ224" i="22"/>
  <c r="FZK224" i="22"/>
  <c r="FZL224" i="22"/>
  <c r="FZM224" i="22"/>
  <c r="FZN224" i="22"/>
  <c r="FZO224" i="22"/>
  <c r="FZP224" i="22"/>
  <c r="FZQ224" i="22"/>
  <c r="FZR224" i="22"/>
  <c r="FZS224" i="22"/>
  <c r="FZT224" i="22"/>
  <c r="FZU224" i="22"/>
  <c r="FZV224" i="22"/>
  <c r="FZW224" i="22"/>
  <c r="FZX224" i="22"/>
  <c r="FZY224" i="22"/>
  <c r="FZZ224" i="22"/>
  <c r="GAA224" i="22"/>
  <c r="GAB224" i="22"/>
  <c r="GAC224" i="22"/>
  <c r="GAD224" i="22"/>
  <c r="GAE224" i="22"/>
  <c r="GAF224" i="22"/>
  <c r="GAG224" i="22"/>
  <c r="GAH224" i="22"/>
  <c r="GAI224" i="22"/>
  <c r="GAJ224" i="22"/>
  <c r="GAK224" i="22"/>
  <c r="GAL224" i="22"/>
  <c r="GAM224" i="22"/>
  <c r="GAN224" i="22"/>
  <c r="GAO224" i="22"/>
  <c r="GAP224" i="22"/>
  <c r="GAQ224" i="22"/>
  <c r="GAR224" i="22"/>
  <c r="GAS224" i="22"/>
  <c r="GAT224" i="22"/>
  <c r="GAU224" i="22"/>
  <c r="GAV224" i="22"/>
  <c r="GAW224" i="22"/>
  <c r="GAX224" i="22"/>
  <c r="GAY224" i="22"/>
  <c r="GAZ224" i="22"/>
  <c r="GBA224" i="22"/>
  <c r="GBB224" i="22"/>
  <c r="GBC224" i="22"/>
  <c r="GBD224" i="22"/>
  <c r="GBE224" i="22"/>
  <c r="GBF224" i="22"/>
  <c r="GBG224" i="22"/>
  <c r="GBH224" i="22"/>
  <c r="GBI224" i="22"/>
  <c r="GBJ224" i="22"/>
  <c r="GBK224" i="22"/>
  <c r="GBL224" i="22"/>
  <c r="GBM224" i="22"/>
  <c r="GBN224" i="22"/>
  <c r="GBO224" i="22"/>
  <c r="GBP224" i="22"/>
  <c r="GBQ224" i="22"/>
  <c r="GBR224" i="22"/>
  <c r="GBS224" i="22"/>
  <c r="GBT224" i="22"/>
  <c r="GBU224" i="22"/>
  <c r="GBV224" i="22"/>
  <c r="GBW224" i="22"/>
  <c r="GBX224" i="22"/>
  <c r="GBY224" i="22"/>
  <c r="GBZ224" i="22"/>
  <c r="GCA224" i="22"/>
  <c r="GCB224" i="22"/>
  <c r="GCC224" i="22"/>
  <c r="GCD224" i="22"/>
  <c r="GCE224" i="22"/>
  <c r="GCF224" i="22"/>
  <c r="GCG224" i="22"/>
  <c r="GCH224" i="22"/>
  <c r="GCI224" i="22"/>
  <c r="GCJ224" i="22"/>
  <c r="GCK224" i="22"/>
  <c r="GCL224" i="22"/>
  <c r="GCM224" i="22"/>
  <c r="GCN224" i="22"/>
  <c r="GCO224" i="22"/>
  <c r="GCP224" i="22"/>
  <c r="GCQ224" i="22"/>
  <c r="GCR224" i="22"/>
  <c r="GCS224" i="22"/>
  <c r="GCT224" i="22"/>
  <c r="GCU224" i="22"/>
  <c r="GCV224" i="22"/>
  <c r="GCW224" i="22"/>
  <c r="GCX224" i="22"/>
  <c r="GCY224" i="22"/>
  <c r="GCZ224" i="22"/>
  <c r="GDA224" i="22"/>
  <c r="GDB224" i="22"/>
  <c r="GDC224" i="22"/>
  <c r="GDD224" i="22"/>
  <c r="GDE224" i="22"/>
  <c r="GDF224" i="22"/>
  <c r="GDG224" i="22"/>
  <c r="GDH224" i="22"/>
  <c r="GDI224" i="22"/>
  <c r="GDJ224" i="22"/>
  <c r="GDK224" i="22"/>
  <c r="GDL224" i="22"/>
  <c r="GDM224" i="22"/>
  <c r="GDN224" i="22"/>
  <c r="GDO224" i="22"/>
  <c r="GDP224" i="22"/>
  <c r="GDQ224" i="22"/>
  <c r="GDR224" i="22"/>
  <c r="GDS224" i="22"/>
  <c r="GDT224" i="22"/>
  <c r="GDU224" i="22"/>
  <c r="GDV224" i="22"/>
  <c r="GDW224" i="22"/>
  <c r="GDX224" i="22"/>
  <c r="GDY224" i="22"/>
  <c r="GDZ224" i="22"/>
  <c r="GEA224" i="22"/>
  <c r="GEB224" i="22"/>
  <c r="GEC224" i="22"/>
  <c r="GED224" i="22"/>
  <c r="GEE224" i="22"/>
  <c r="GEF224" i="22"/>
  <c r="GEG224" i="22"/>
  <c r="GEH224" i="22"/>
  <c r="GEI224" i="22"/>
  <c r="GEJ224" i="22"/>
  <c r="GEK224" i="22"/>
  <c r="GEL224" i="22"/>
  <c r="GEM224" i="22"/>
  <c r="GEN224" i="22"/>
  <c r="GEO224" i="22"/>
  <c r="GEP224" i="22"/>
  <c r="GEQ224" i="22"/>
  <c r="GER224" i="22"/>
  <c r="GES224" i="22"/>
  <c r="GET224" i="22"/>
  <c r="GEU224" i="22"/>
  <c r="GEV224" i="22"/>
  <c r="GEW224" i="22"/>
  <c r="GEX224" i="22"/>
  <c r="GEY224" i="22"/>
  <c r="GEZ224" i="22"/>
  <c r="GFA224" i="22"/>
  <c r="GFB224" i="22"/>
  <c r="GFC224" i="22"/>
  <c r="GFD224" i="22"/>
  <c r="GFE224" i="22"/>
  <c r="GFF224" i="22"/>
  <c r="GFG224" i="22"/>
  <c r="GFH224" i="22"/>
  <c r="GFI224" i="22"/>
  <c r="GFJ224" i="22"/>
  <c r="GFK224" i="22"/>
  <c r="GFL224" i="22"/>
  <c r="GFM224" i="22"/>
  <c r="GFN224" i="22"/>
  <c r="GFO224" i="22"/>
  <c r="GFP224" i="22"/>
  <c r="GFQ224" i="22"/>
  <c r="GFR224" i="22"/>
  <c r="GFS224" i="22"/>
  <c r="GFT224" i="22"/>
  <c r="GFU224" i="22"/>
  <c r="GFV224" i="22"/>
  <c r="GFW224" i="22"/>
  <c r="GFX224" i="22"/>
  <c r="GFY224" i="22"/>
  <c r="GFZ224" i="22"/>
  <c r="GGA224" i="22"/>
  <c r="GGB224" i="22"/>
  <c r="GGC224" i="22"/>
  <c r="GGD224" i="22"/>
  <c r="GGE224" i="22"/>
  <c r="GGF224" i="22"/>
  <c r="GGG224" i="22"/>
  <c r="GGH224" i="22"/>
  <c r="GGI224" i="22"/>
  <c r="GGJ224" i="22"/>
  <c r="GGK224" i="22"/>
  <c r="GGL224" i="22"/>
  <c r="GGM224" i="22"/>
  <c r="GGN224" i="22"/>
  <c r="GGO224" i="22"/>
  <c r="GGP224" i="22"/>
  <c r="GGQ224" i="22"/>
  <c r="GGR224" i="22"/>
  <c r="GGS224" i="22"/>
  <c r="GGT224" i="22"/>
  <c r="GGU224" i="22"/>
  <c r="GGV224" i="22"/>
  <c r="GGW224" i="22"/>
  <c r="GGX224" i="22"/>
  <c r="GGY224" i="22"/>
  <c r="GGZ224" i="22"/>
  <c r="GHA224" i="22"/>
  <c r="GHB224" i="22"/>
  <c r="GHC224" i="22"/>
  <c r="GHD224" i="22"/>
  <c r="GHE224" i="22"/>
  <c r="GHF224" i="22"/>
  <c r="GHG224" i="22"/>
  <c r="GHH224" i="22"/>
  <c r="GHI224" i="22"/>
  <c r="GHJ224" i="22"/>
  <c r="GHK224" i="22"/>
  <c r="GHL224" i="22"/>
  <c r="GHM224" i="22"/>
  <c r="GHN224" i="22"/>
  <c r="GHO224" i="22"/>
  <c r="GHP224" i="22"/>
  <c r="GHQ224" i="22"/>
  <c r="GHR224" i="22"/>
  <c r="GHS224" i="22"/>
  <c r="GHT224" i="22"/>
  <c r="GHU224" i="22"/>
  <c r="GHV224" i="22"/>
  <c r="GHW224" i="22"/>
  <c r="GHX224" i="22"/>
  <c r="GHY224" i="22"/>
  <c r="GHZ224" i="22"/>
  <c r="GIA224" i="22"/>
  <c r="GIB224" i="22"/>
  <c r="GIC224" i="22"/>
  <c r="GID224" i="22"/>
  <c r="GIE224" i="22"/>
  <c r="GIF224" i="22"/>
  <c r="GIG224" i="22"/>
  <c r="GIH224" i="22"/>
  <c r="GII224" i="22"/>
  <c r="GIJ224" i="22"/>
  <c r="GIK224" i="22"/>
  <c r="GIL224" i="22"/>
  <c r="GIM224" i="22"/>
  <c r="GIN224" i="22"/>
  <c r="GIO224" i="22"/>
  <c r="GIP224" i="22"/>
  <c r="GIQ224" i="22"/>
  <c r="GIR224" i="22"/>
  <c r="GIS224" i="22"/>
  <c r="GIT224" i="22"/>
  <c r="GIU224" i="22"/>
  <c r="GIV224" i="22"/>
  <c r="GIW224" i="22"/>
  <c r="GIX224" i="22"/>
  <c r="GIY224" i="22"/>
  <c r="GIZ224" i="22"/>
  <c r="GJA224" i="22"/>
  <c r="GJB224" i="22"/>
  <c r="GJC224" i="22"/>
  <c r="GJD224" i="22"/>
  <c r="GJE224" i="22"/>
  <c r="GJF224" i="22"/>
  <c r="GJG224" i="22"/>
  <c r="GJH224" i="22"/>
  <c r="GJI224" i="22"/>
  <c r="GJJ224" i="22"/>
  <c r="GJK224" i="22"/>
  <c r="GJL224" i="22"/>
  <c r="GJM224" i="22"/>
  <c r="GJN224" i="22"/>
  <c r="GJO224" i="22"/>
  <c r="GJP224" i="22"/>
  <c r="GJQ224" i="22"/>
  <c r="GJR224" i="22"/>
  <c r="GJS224" i="22"/>
  <c r="GJT224" i="22"/>
  <c r="GJU224" i="22"/>
  <c r="GJV224" i="22"/>
  <c r="GJW224" i="22"/>
  <c r="GJX224" i="22"/>
  <c r="GJY224" i="22"/>
  <c r="GJZ224" i="22"/>
  <c r="GKA224" i="22"/>
  <c r="GKB224" i="22"/>
  <c r="GKC224" i="22"/>
  <c r="GKD224" i="22"/>
  <c r="GKE224" i="22"/>
  <c r="GKF224" i="22"/>
  <c r="GKG224" i="22"/>
  <c r="GKH224" i="22"/>
  <c r="GKI224" i="22"/>
  <c r="GKJ224" i="22"/>
  <c r="GKK224" i="22"/>
  <c r="GKL224" i="22"/>
  <c r="GKM224" i="22"/>
  <c r="GKN224" i="22"/>
  <c r="GKO224" i="22"/>
  <c r="GKP224" i="22"/>
  <c r="GKQ224" i="22"/>
  <c r="GKR224" i="22"/>
  <c r="GKS224" i="22"/>
  <c r="GKT224" i="22"/>
  <c r="GKU224" i="22"/>
  <c r="GKV224" i="22"/>
  <c r="GKW224" i="22"/>
  <c r="GKX224" i="22"/>
  <c r="GKY224" i="22"/>
  <c r="GKZ224" i="22"/>
  <c r="GLA224" i="22"/>
  <c r="GLB224" i="22"/>
  <c r="GLC224" i="22"/>
  <c r="GLD224" i="22"/>
  <c r="GLE224" i="22"/>
  <c r="GLF224" i="22"/>
  <c r="GLG224" i="22"/>
  <c r="GLH224" i="22"/>
  <c r="GLI224" i="22"/>
  <c r="GLJ224" i="22"/>
  <c r="GLK224" i="22"/>
  <c r="GLL224" i="22"/>
  <c r="GLM224" i="22"/>
  <c r="GLN224" i="22"/>
  <c r="GLO224" i="22"/>
  <c r="GLP224" i="22"/>
  <c r="GLQ224" i="22"/>
  <c r="GLR224" i="22"/>
  <c r="GLS224" i="22"/>
  <c r="GLT224" i="22"/>
  <c r="GLU224" i="22"/>
  <c r="GLV224" i="22"/>
  <c r="GLW224" i="22"/>
  <c r="GLX224" i="22"/>
  <c r="GLY224" i="22"/>
  <c r="GLZ224" i="22"/>
  <c r="GMA224" i="22"/>
  <c r="GMB224" i="22"/>
  <c r="GMC224" i="22"/>
  <c r="GMD224" i="22"/>
  <c r="GME224" i="22"/>
  <c r="GMF224" i="22"/>
  <c r="GMG224" i="22"/>
  <c r="GMH224" i="22"/>
  <c r="GMI224" i="22"/>
  <c r="GMJ224" i="22"/>
  <c r="GMK224" i="22"/>
  <c r="GML224" i="22"/>
  <c r="GMM224" i="22"/>
  <c r="GMN224" i="22"/>
  <c r="GMO224" i="22"/>
  <c r="GMP224" i="22"/>
  <c r="GMQ224" i="22"/>
  <c r="GMR224" i="22"/>
  <c r="GMS224" i="22"/>
  <c r="GMT224" i="22"/>
  <c r="GMU224" i="22"/>
  <c r="GMV224" i="22"/>
  <c r="GMW224" i="22"/>
  <c r="GMX224" i="22"/>
  <c r="GMY224" i="22"/>
  <c r="GMZ224" i="22"/>
  <c r="GNA224" i="22"/>
  <c r="GNB224" i="22"/>
  <c r="GNC224" i="22"/>
  <c r="GND224" i="22"/>
  <c r="GNE224" i="22"/>
  <c r="GNF224" i="22"/>
  <c r="GNG224" i="22"/>
  <c r="GNH224" i="22"/>
  <c r="GNI224" i="22"/>
  <c r="GNJ224" i="22"/>
  <c r="GNK224" i="22"/>
  <c r="GNL224" i="22"/>
  <c r="GNM224" i="22"/>
  <c r="GNN224" i="22"/>
  <c r="GNO224" i="22"/>
  <c r="GNP224" i="22"/>
  <c r="GNQ224" i="22"/>
  <c r="GNR224" i="22"/>
  <c r="GNS224" i="22"/>
  <c r="GNT224" i="22"/>
  <c r="GNU224" i="22"/>
  <c r="GNV224" i="22"/>
  <c r="GNW224" i="22"/>
  <c r="GNX224" i="22"/>
  <c r="GNY224" i="22"/>
  <c r="GNZ224" i="22"/>
  <c r="GOA224" i="22"/>
  <c r="GOB224" i="22"/>
  <c r="GOC224" i="22"/>
  <c r="GOD224" i="22"/>
  <c r="GOE224" i="22"/>
  <c r="GOF224" i="22"/>
  <c r="GOG224" i="22"/>
  <c r="GOH224" i="22"/>
  <c r="GOI224" i="22"/>
  <c r="GOJ224" i="22"/>
  <c r="GOK224" i="22"/>
  <c r="GOL224" i="22"/>
  <c r="GOM224" i="22"/>
  <c r="GON224" i="22"/>
  <c r="GOO224" i="22"/>
  <c r="GOP224" i="22"/>
  <c r="GOQ224" i="22"/>
  <c r="GOR224" i="22"/>
  <c r="GOS224" i="22"/>
  <c r="GOT224" i="22"/>
  <c r="GOU224" i="22"/>
  <c r="GOV224" i="22"/>
  <c r="GOW224" i="22"/>
  <c r="GOX224" i="22"/>
  <c r="GOY224" i="22"/>
  <c r="GOZ224" i="22"/>
  <c r="GPA224" i="22"/>
  <c r="GPB224" i="22"/>
  <c r="GPC224" i="22"/>
  <c r="GPD224" i="22"/>
  <c r="GPE224" i="22"/>
  <c r="GPF224" i="22"/>
  <c r="GPG224" i="22"/>
  <c r="GPH224" i="22"/>
  <c r="GPI224" i="22"/>
  <c r="GPJ224" i="22"/>
  <c r="GPK224" i="22"/>
  <c r="GPL224" i="22"/>
  <c r="GPM224" i="22"/>
  <c r="GPN224" i="22"/>
  <c r="GPO224" i="22"/>
  <c r="GPP224" i="22"/>
  <c r="GPQ224" i="22"/>
  <c r="GPR224" i="22"/>
  <c r="GPS224" i="22"/>
  <c r="GPT224" i="22"/>
  <c r="GPU224" i="22"/>
  <c r="GPV224" i="22"/>
  <c r="GPW224" i="22"/>
  <c r="GPX224" i="22"/>
  <c r="GPY224" i="22"/>
  <c r="GPZ224" i="22"/>
  <c r="GQA224" i="22"/>
  <c r="GQB224" i="22"/>
  <c r="GQC224" i="22"/>
  <c r="GQD224" i="22"/>
  <c r="GQE224" i="22"/>
  <c r="GQF224" i="22"/>
  <c r="GQG224" i="22"/>
  <c r="GQH224" i="22"/>
  <c r="GQI224" i="22"/>
  <c r="GQJ224" i="22"/>
  <c r="GQK224" i="22"/>
  <c r="GQL224" i="22"/>
  <c r="GQM224" i="22"/>
  <c r="GQN224" i="22"/>
  <c r="GQO224" i="22"/>
  <c r="GQP224" i="22"/>
  <c r="GQQ224" i="22"/>
  <c r="GQR224" i="22"/>
  <c r="GQS224" i="22"/>
  <c r="GQT224" i="22"/>
  <c r="GQU224" i="22"/>
  <c r="GQV224" i="22"/>
  <c r="GQW224" i="22"/>
  <c r="GQX224" i="22"/>
  <c r="GQY224" i="22"/>
  <c r="GQZ224" i="22"/>
  <c r="GRA224" i="22"/>
  <c r="GRB224" i="22"/>
  <c r="GRC224" i="22"/>
  <c r="GRD224" i="22"/>
  <c r="GRE224" i="22"/>
  <c r="GRF224" i="22"/>
  <c r="GRG224" i="22"/>
  <c r="GRH224" i="22"/>
  <c r="GRI224" i="22"/>
  <c r="GRJ224" i="22"/>
  <c r="GRK224" i="22"/>
  <c r="GRL224" i="22"/>
  <c r="GRM224" i="22"/>
  <c r="GRN224" i="22"/>
  <c r="GRO224" i="22"/>
  <c r="GRP224" i="22"/>
  <c r="GRQ224" i="22"/>
  <c r="GRR224" i="22"/>
  <c r="GRS224" i="22"/>
  <c r="GRT224" i="22"/>
  <c r="GRU224" i="22"/>
  <c r="GRV224" i="22"/>
  <c r="GRW224" i="22"/>
  <c r="GRX224" i="22"/>
  <c r="GRY224" i="22"/>
  <c r="GRZ224" i="22"/>
  <c r="GSA224" i="22"/>
  <c r="GSB224" i="22"/>
  <c r="GSC224" i="22"/>
  <c r="GSD224" i="22"/>
  <c r="GSE224" i="22"/>
  <c r="GSF224" i="22"/>
  <c r="GSG224" i="22"/>
  <c r="GSH224" i="22"/>
  <c r="GSI224" i="22"/>
  <c r="GSJ224" i="22"/>
  <c r="GSK224" i="22"/>
  <c r="GSL224" i="22"/>
  <c r="GSM224" i="22"/>
  <c r="GSN224" i="22"/>
  <c r="GSO224" i="22"/>
  <c r="GSP224" i="22"/>
  <c r="GSQ224" i="22"/>
  <c r="GSR224" i="22"/>
  <c r="GSS224" i="22"/>
  <c r="GST224" i="22"/>
  <c r="GSU224" i="22"/>
  <c r="GSV224" i="22"/>
  <c r="GSW224" i="22"/>
  <c r="GSX224" i="22"/>
  <c r="GSY224" i="22"/>
  <c r="GSZ224" i="22"/>
  <c r="GTA224" i="22"/>
  <c r="GTB224" i="22"/>
  <c r="GTC224" i="22"/>
  <c r="GTD224" i="22"/>
  <c r="GTE224" i="22"/>
  <c r="GTF224" i="22"/>
  <c r="GTG224" i="22"/>
  <c r="GTH224" i="22"/>
  <c r="GTI224" i="22"/>
  <c r="GTJ224" i="22"/>
  <c r="GTK224" i="22"/>
  <c r="GTL224" i="22"/>
  <c r="GTM224" i="22"/>
  <c r="GTN224" i="22"/>
  <c r="GTO224" i="22"/>
  <c r="GTP224" i="22"/>
  <c r="GTQ224" i="22"/>
  <c r="GTR224" i="22"/>
  <c r="GTS224" i="22"/>
  <c r="GTT224" i="22"/>
  <c r="GTU224" i="22"/>
  <c r="GTV224" i="22"/>
  <c r="GTW224" i="22"/>
  <c r="GTX224" i="22"/>
  <c r="GTY224" i="22"/>
  <c r="GTZ224" i="22"/>
  <c r="GUA224" i="22"/>
  <c r="GUB224" i="22"/>
  <c r="GUC224" i="22"/>
  <c r="GUD224" i="22"/>
  <c r="GUE224" i="22"/>
  <c r="GUF224" i="22"/>
  <c r="GUG224" i="22"/>
  <c r="GUH224" i="22"/>
  <c r="GUI224" i="22"/>
  <c r="GUJ224" i="22"/>
  <c r="GUK224" i="22"/>
  <c r="GUL224" i="22"/>
  <c r="GUM224" i="22"/>
  <c r="GUN224" i="22"/>
  <c r="GUO224" i="22"/>
  <c r="GUP224" i="22"/>
  <c r="GUQ224" i="22"/>
  <c r="GUR224" i="22"/>
  <c r="GUS224" i="22"/>
  <c r="GUT224" i="22"/>
  <c r="GUU224" i="22"/>
  <c r="GUV224" i="22"/>
  <c r="GUW224" i="22"/>
  <c r="GUX224" i="22"/>
  <c r="GUY224" i="22"/>
  <c r="GUZ224" i="22"/>
  <c r="GVA224" i="22"/>
  <c r="GVB224" i="22"/>
  <c r="GVC224" i="22"/>
  <c r="GVD224" i="22"/>
  <c r="GVE224" i="22"/>
  <c r="GVF224" i="22"/>
  <c r="GVG224" i="22"/>
  <c r="GVH224" i="22"/>
  <c r="GVI224" i="22"/>
  <c r="GVJ224" i="22"/>
  <c r="GVK224" i="22"/>
  <c r="GVL224" i="22"/>
  <c r="GVM224" i="22"/>
  <c r="GVN224" i="22"/>
  <c r="GVO224" i="22"/>
  <c r="GVP224" i="22"/>
  <c r="GVQ224" i="22"/>
  <c r="GVR224" i="22"/>
  <c r="GVS224" i="22"/>
  <c r="GVT224" i="22"/>
  <c r="GVU224" i="22"/>
  <c r="GVV224" i="22"/>
  <c r="GVW224" i="22"/>
  <c r="GVX224" i="22"/>
  <c r="GVY224" i="22"/>
  <c r="GVZ224" i="22"/>
  <c r="GWA224" i="22"/>
  <c r="GWB224" i="22"/>
  <c r="GWC224" i="22"/>
  <c r="GWD224" i="22"/>
  <c r="GWE224" i="22"/>
  <c r="GWF224" i="22"/>
  <c r="GWG224" i="22"/>
  <c r="GWH224" i="22"/>
  <c r="GWI224" i="22"/>
  <c r="GWJ224" i="22"/>
  <c r="GWK224" i="22"/>
  <c r="GWL224" i="22"/>
  <c r="GWM224" i="22"/>
  <c r="GWN224" i="22"/>
  <c r="GWO224" i="22"/>
  <c r="GWP224" i="22"/>
  <c r="GWQ224" i="22"/>
  <c r="GWR224" i="22"/>
  <c r="GWS224" i="22"/>
  <c r="GWT224" i="22"/>
  <c r="GWU224" i="22"/>
  <c r="GWV224" i="22"/>
  <c r="GWW224" i="22"/>
  <c r="GWX224" i="22"/>
  <c r="GWY224" i="22"/>
  <c r="GWZ224" i="22"/>
  <c r="GXA224" i="22"/>
  <c r="GXB224" i="22"/>
  <c r="GXC224" i="22"/>
  <c r="GXD224" i="22"/>
  <c r="GXE224" i="22"/>
  <c r="GXF224" i="22"/>
  <c r="GXG224" i="22"/>
  <c r="GXH224" i="22"/>
  <c r="GXI224" i="22"/>
  <c r="GXJ224" i="22"/>
  <c r="GXK224" i="22"/>
  <c r="GXL224" i="22"/>
  <c r="GXM224" i="22"/>
  <c r="GXN224" i="22"/>
  <c r="GXO224" i="22"/>
  <c r="GXP224" i="22"/>
  <c r="GXQ224" i="22"/>
  <c r="GXR224" i="22"/>
  <c r="GXS224" i="22"/>
  <c r="GXT224" i="22"/>
  <c r="GXU224" i="22"/>
  <c r="GXV224" i="22"/>
  <c r="GXW224" i="22"/>
  <c r="GXX224" i="22"/>
  <c r="GXY224" i="22"/>
  <c r="GXZ224" i="22"/>
  <c r="GYA224" i="22"/>
  <c r="GYB224" i="22"/>
  <c r="GYC224" i="22"/>
  <c r="GYD224" i="22"/>
  <c r="GYE224" i="22"/>
  <c r="GYF224" i="22"/>
  <c r="GYG224" i="22"/>
  <c r="GYH224" i="22"/>
  <c r="GYI224" i="22"/>
  <c r="GYJ224" i="22"/>
  <c r="GYK224" i="22"/>
  <c r="GYL224" i="22"/>
  <c r="GYM224" i="22"/>
  <c r="GYN224" i="22"/>
  <c r="GYO224" i="22"/>
  <c r="GYP224" i="22"/>
  <c r="GYQ224" i="22"/>
  <c r="GYR224" i="22"/>
  <c r="GYS224" i="22"/>
  <c r="GYT224" i="22"/>
  <c r="GYU224" i="22"/>
  <c r="GYV224" i="22"/>
  <c r="GYW224" i="22"/>
  <c r="GYX224" i="22"/>
  <c r="GYY224" i="22"/>
  <c r="GYZ224" i="22"/>
  <c r="GZA224" i="22"/>
  <c r="GZB224" i="22"/>
  <c r="GZC224" i="22"/>
  <c r="GZD224" i="22"/>
  <c r="GZE224" i="22"/>
  <c r="GZF224" i="22"/>
  <c r="GZG224" i="22"/>
  <c r="GZH224" i="22"/>
  <c r="GZI224" i="22"/>
  <c r="GZJ224" i="22"/>
  <c r="GZK224" i="22"/>
  <c r="GZL224" i="22"/>
  <c r="GZM224" i="22"/>
  <c r="GZN224" i="22"/>
  <c r="GZO224" i="22"/>
  <c r="GZP224" i="22"/>
  <c r="GZQ224" i="22"/>
  <c r="GZR224" i="22"/>
  <c r="GZS224" i="22"/>
  <c r="GZT224" i="22"/>
  <c r="GZU224" i="22"/>
  <c r="GZV224" i="22"/>
  <c r="GZW224" i="22"/>
  <c r="GZX224" i="22"/>
  <c r="GZY224" i="22"/>
  <c r="GZZ224" i="22"/>
  <c r="HAA224" i="22"/>
  <c r="HAB224" i="22"/>
  <c r="HAC224" i="22"/>
  <c r="HAD224" i="22"/>
  <c r="HAE224" i="22"/>
  <c r="HAF224" i="22"/>
  <c r="HAG224" i="22"/>
  <c r="HAH224" i="22"/>
  <c r="HAI224" i="22"/>
  <c r="HAJ224" i="22"/>
  <c r="HAK224" i="22"/>
  <c r="HAL224" i="22"/>
  <c r="HAM224" i="22"/>
  <c r="HAN224" i="22"/>
  <c r="HAO224" i="22"/>
  <c r="HAP224" i="22"/>
  <c r="HAQ224" i="22"/>
  <c r="HAR224" i="22"/>
  <c r="HAS224" i="22"/>
  <c r="HAT224" i="22"/>
  <c r="HAU224" i="22"/>
  <c r="HAV224" i="22"/>
  <c r="HAW224" i="22"/>
  <c r="HAX224" i="22"/>
  <c r="HAY224" i="22"/>
  <c r="HAZ224" i="22"/>
  <c r="HBA224" i="22"/>
  <c r="HBB224" i="22"/>
  <c r="HBC224" i="22"/>
  <c r="HBD224" i="22"/>
  <c r="HBE224" i="22"/>
  <c r="HBF224" i="22"/>
  <c r="HBG224" i="22"/>
  <c r="HBH224" i="22"/>
  <c r="HBI224" i="22"/>
  <c r="HBJ224" i="22"/>
  <c r="HBK224" i="22"/>
  <c r="HBL224" i="22"/>
  <c r="HBM224" i="22"/>
  <c r="HBN224" i="22"/>
  <c r="HBO224" i="22"/>
  <c r="HBP224" i="22"/>
  <c r="HBQ224" i="22"/>
  <c r="HBR224" i="22"/>
  <c r="HBS224" i="22"/>
  <c r="HBT224" i="22"/>
  <c r="HBU224" i="22"/>
  <c r="HBV224" i="22"/>
  <c r="HBW224" i="22"/>
  <c r="HBX224" i="22"/>
  <c r="HBY224" i="22"/>
  <c r="HBZ224" i="22"/>
  <c r="HCA224" i="22"/>
  <c r="HCB224" i="22"/>
  <c r="HCC224" i="22"/>
  <c r="HCD224" i="22"/>
  <c r="HCE224" i="22"/>
  <c r="HCF224" i="22"/>
  <c r="HCG224" i="22"/>
  <c r="HCH224" i="22"/>
  <c r="HCI224" i="22"/>
  <c r="HCJ224" i="22"/>
  <c r="HCK224" i="22"/>
  <c r="HCL224" i="22"/>
  <c r="HCM224" i="22"/>
  <c r="HCN224" i="22"/>
  <c r="HCO224" i="22"/>
  <c r="HCP224" i="22"/>
  <c r="HCQ224" i="22"/>
  <c r="HCR224" i="22"/>
  <c r="HCS224" i="22"/>
  <c r="HCT224" i="22"/>
  <c r="HCU224" i="22"/>
  <c r="HCV224" i="22"/>
  <c r="HCW224" i="22"/>
  <c r="HCX224" i="22"/>
  <c r="HCY224" i="22"/>
  <c r="HCZ224" i="22"/>
  <c r="HDA224" i="22"/>
  <c r="HDB224" i="22"/>
  <c r="HDC224" i="22"/>
  <c r="HDD224" i="22"/>
  <c r="HDE224" i="22"/>
  <c r="HDF224" i="22"/>
  <c r="HDG224" i="22"/>
  <c r="HDH224" i="22"/>
  <c r="HDI224" i="22"/>
  <c r="HDJ224" i="22"/>
  <c r="HDK224" i="22"/>
  <c r="HDL224" i="22"/>
  <c r="HDM224" i="22"/>
  <c r="HDN224" i="22"/>
  <c r="HDO224" i="22"/>
  <c r="HDP224" i="22"/>
  <c r="HDQ224" i="22"/>
  <c r="HDR224" i="22"/>
  <c r="HDS224" i="22"/>
  <c r="HDT224" i="22"/>
  <c r="HDU224" i="22"/>
  <c r="HDV224" i="22"/>
  <c r="HDW224" i="22"/>
  <c r="HDX224" i="22"/>
  <c r="HDY224" i="22"/>
  <c r="HDZ224" i="22"/>
  <c r="HEA224" i="22"/>
  <c r="HEB224" i="22"/>
  <c r="HEC224" i="22"/>
  <c r="HED224" i="22"/>
  <c r="HEE224" i="22"/>
  <c r="HEF224" i="22"/>
  <c r="HEG224" i="22"/>
  <c r="HEH224" i="22"/>
  <c r="HEI224" i="22"/>
  <c r="HEJ224" i="22"/>
  <c r="HEK224" i="22"/>
  <c r="HEL224" i="22"/>
  <c r="HEM224" i="22"/>
  <c r="HEN224" i="22"/>
  <c r="HEO224" i="22"/>
  <c r="HEP224" i="22"/>
  <c r="HEQ224" i="22"/>
  <c r="HER224" i="22"/>
  <c r="HES224" i="22"/>
  <c r="HET224" i="22"/>
  <c r="HEU224" i="22"/>
  <c r="HEV224" i="22"/>
  <c r="HEW224" i="22"/>
  <c r="HEX224" i="22"/>
  <c r="HEY224" i="22"/>
  <c r="HEZ224" i="22"/>
  <c r="HFA224" i="22"/>
  <c r="HFB224" i="22"/>
  <c r="HFC224" i="22"/>
  <c r="HFD224" i="22"/>
  <c r="HFE224" i="22"/>
  <c r="HFF224" i="22"/>
  <c r="HFG224" i="22"/>
  <c r="HFH224" i="22"/>
  <c r="HFI224" i="22"/>
  <c r="HFJ224" i="22"/>
  <c r="HFK224" i="22"/>
  <c r="HFL224" i="22"/>
  <c r="HFM224" i="22"/>
  <c r="HFN224" i="22"/>
  <c r="HFO224" i="22"/>
  <c r="HFP224" i="22"/>
  <c r="HFQ224" i="22"/>
  <c r="HFR224" i="22"/>
  <c r="HFS224" i="22"/>
  <c r="HFT224" i="22"/>
  <c r="HFU224" i="22"/>
  <c r="HFV224" i="22"/>
  <c r="HFW224" i="22"/>
  <c r="HFX224" i="22"/>
  <c r="HFY224" i="22"/>
  <c r="HFZ224" i="22"/>
  <c r="HGA224" i="22"/>
  <c r="HGB224" i="22"/>
  <c r="HGC224" i="22"/>
  <c r="HGD224" i="22"/>
  <c r="HGE224" i="22"/>
  <c r="HGF224" i="22"/>
  <c r="HGG224" i="22"/>
  <c r="HGH224" i="22"/>
  <c r="HGI224" i="22"/>
  <c r="HGJ224" i="22"/>
  <c r="HGK224" i="22"/>
  <c r="HGL224" i="22"/>
  <c r="HGM224" i="22"/>
  <c r="HGN224" i="22"/>
  <c r="HGO224" i="22"/>
  <c r="HGP224" i="22"/>
  <c r="HGQ224" i="22"/>
  <c r="HGR224" i="22"/>
  <c r="HGS224" i="22"/>
  <c r="HGT224" i="22"/>
  <c r="HGU224" i="22"/>
  <c r="HGV224" i="22"/>
  <c r="HGW224" i="22"/>
  <c r="HGX224" i="22"/>
  <c r="HGY224" i="22"/>
  <c r="HGZ224" i="22"/>
  <c r="HHA224" i="22"/>
  <c r="HHB224" i="22"/>
  <c r="HHC224" i="22"/>
  <c r="HHD224" i="22"/>
  <c r="HHE224" i="22"/>
  <c r="HHF224" i="22"/>
  <c r="HHG224" i="22"/>
  <c r="HHH224" i="22"/>
  <c r="HHI224" i="22"/>
  <c r="HHJ224" i="22"/>
  <c r="HHK224" i="22"/>
  <c r="HHL224" i="22"/>
  <c r="HHM224" i="22"/>
  <c r="HHN224" i="22"/>
  <c r="HHO224" i="22"/>
  <c r="HHP224" i="22"/>
  <c r="HHQ224" i="22"/>
  <c r="HHR224" i="22"/>
  <c r="HHS224" i="22"/>
  <c r="HHT224" i="22"/>
  <c r="HHU224" i="22"/>
  <c r="HHV224" i="22"/>
  <c r="HHW224" i="22"/>
  <c r="HHX224" i="22"/>
  <c r="HHY224" i="22"/>
  <c r="HHZ224" i="22"/>
  <c r="HIA224" i="22"/>
  <c r="HIB224" i="22"/>
  <c r="HIC224" i="22"/>
  <c r="HID224" i="22"/>
  <c r="HIE224" i="22"/>
  <c r="HIF224" i="22"/>
  <c r="HIG224" i="22"/>
  <c r="HIH224" i="22"/>
  <c r="HII224" i="22"/>
  <c r="HIJ224" i="22"/>
  <c r="HIK224" i="22"/>
  <c r="HIL224" i="22"/>
  <c r="HIM224" i="22"/>
  <c r="HIN224" i="22"/>
  <c r="HIO224" i="22"/>
  <c r="HIP224" i="22"/>
  <c r="HIQ224" i="22"/>
  <c r="HIR224" i="22"/>
  <c r="HIS224" i="22"/>
  <c r="HIT224" i="22"/>
  <c r="HIU224" i="22"/>
  <c r="HIV224" i="22"/>
  <c r="HIW224" i="22"/>
  <c r="HIX224" i="22"/>
  <c r="HIY224" i="22"/>
  <c r="HIZ224" i="22"/>
  <c r="HJA224" i="22"/>
  <c r="HJB224" i="22"/>
  <c r="HJC224" i="22"/>
  <c r="HJD224" i="22"/>
  <c r="HJE224" i="22"/>
  <c r="HJF224" i="22"/>
  <c r="HJG224" i="22"/>
  <c r="HJH224" i="22"/>
  <c r="HJI224" i="22"/>
  <c r="HJJ224" i="22"/>
  <c r="HJK224" i="22"/>
  <c r="HJL224" i="22"/>
  <c r="HJM224" i="22"/>
  <c r="HJN224" i="22"/>
  <c r="HJO224" i="22"/>
  <c r="HJP224" i="22"/>
  <c r="HJQ224" i="22"/>
  <c r="HJR224" i="22"/>
  <c r="HJS224" i="22"/>
  <c r="HJT224" i="22"/>
  <c r="HJU224" i="22"/>
  <c r="HJV224" i="22"/>
  <c r="HJW224" i="22"/>
  <c r="HJX224" i="22"/>
  <c r="HJY224" i="22"/>
  <c r="HJZ224" i="22"/>
  <c r="HKA224" i="22"/>
  <c r="HKB224" i="22"/>
  <c r="HKC224" i="22"/>
  <c r="HKD224" i="22"/>
  <c r="HKE224" i="22"/>
  <c r="HKF224" i="22"/>
  <c r="HKG224" i="22"/>
  <c r="HKH224" i="22"/>
  <c r="HKI224" i="22"/>
  <c r="HKJ224" i="22"/>
  <c r="HKK224" i="22"/>
  <c r="HKL224" i="22"/>
  <c r="HKM224" i="22"/>
  <c r="HKN224" i="22"/>
  <c r="HKO224" i="22"/>
  <c r="HKP224" i="22"/>
  <c r="HKQ224" i="22"/>
  <c r="HKR224" i="22"/>
  <c r="HKS224" i="22"/>
  <c r="HKT224" i="22"/>
  <c r="HKU224" i="22"/>
  <c r="HKV224" i="22"/>
  <c r="HKW224" i="22"/>
  <c r="HKX224" i="22"/>
  <c r="HKY224" i="22"/>
  <c r="HKZ224" i="22"/>
  <c r="HLA224" i="22"/>
  <c r="HLB224" i="22"/>
  <c r="HLC224" i="22"/>
  <c r="HLD224" i="22"/>
  <c r="HLE224" i="22"/>
  <c r="HLF224" i="22"/>
  <c r="HLG224" i="22"/>
  <c r="HLH224" i="22"/>
  <c r="HLI224" i="22"/>
  <c r="HLJ224" i="22"/>
  <c r="HLK224" i="22"/>
  <c r="HLL224" i="22"/>
  <c r="HLM224" i="22"/>
  <c r="HLN224" i="22"/>
  <c r="HLO224" i="22"/>
  <c r="HLP224" i="22"/>
  <c r="HLQ224" i="22"/>
  <c r="HLR224" i="22"/>
  <c r="HLS224" i="22"/>
  <c r="HLT224" i="22"/>
  <c r="HLU224" i="22"/>
  <c r="HLV224" i="22"/>
  <c r="HLW224" i="22"/>
  <c r="HLX224" i="22"/>
  <c r="HLY224" i="22"/>
  <c r="HLZ224" i="22"/>
  <c r="HMA224" i="22"/>
  <c r="HMB224" i="22"/>
  <c r="HMC224" i="22"/>
  <c r="HMD224" i="22"/>
  <c r="HME224" i="22"/>
  <c r="HMF224" i="22"/>
  <c r="HMG224" i="22"/>
  <c r="HMH224" i="22"/>
  <c r="HMI224" i="22"/>
  <c r="HMJ224" i="22"/>
  <c r="HMK224" i="22"/>
  <c r="HML224" i="22"/>
  <c r="HMM224" i="22"/>
  <c r="HMN224" i="22"/>
  <c r="HMO224" i="22"/>
  <c r="HMP224" i="22"/>
  <c r="HMQ224" i="22"/>
  <c r="HMR224" i="22"/>
  <c r="HMS224" i="22"/>
  <c r="HMT224" i="22"/>
  <c r="HMU224" i="22"/>
  <c r="HMV224" i="22"/>
  <c r="HMW224" i="22"/>
  <c r="HMX224" i="22"/>
  <c r="HMY224" i="22"/>
  <c r="HMZ224" i="22"/>
  <c r="HNA224" i="22"/>
  <c r="HNB224" i="22"/>
  <c r="HNC224" i="22"/>
  <c r="HND224" i="22"/>
  <c r="HNE224" i="22"/>
  <c r="HNF224" i="22"/>
  <c r="HNG224" i="22"/>
  <c r="HNH224" i="22"/>
  <c r="HNI224" i="22"/>
  <c r="HNJ224" i="22"/>
  <c r="HNK224" i="22"/>
  <c r="HNL224" i="22"/>
  <c r="HNM224" i="22"/>
  <c r="HNN224" i="22"/>
  <c r="HNO224" i="22"/>
  <c r="HNP224" i="22"/>
  <c r="HNQ224" i="22"/>
  <c r="HNR224" i="22"/>
  <c r="HNS224" i="22"/>
  <c r="HNT224" i="22"/>
  <c r="HNU224" i="22"/>
  <c r="HNV224" i="22"/>
  <c r="HNW224" i="22"/>
  <c r="HNX224" i="22"/>
  <c r="HNY224" i="22"/>
  <c r="HNZ224" i="22"/>
  <c r="HOA224" i="22"/>
  <c r="HOB224" i="22"/>
  <c r="HOC224" i="22"/>
  <c r="HOD224" i="22"/>
  <c r="HOE224" i="22"/>
  <c r="HOF224" i="22"/>
  <c r="HOG224" i="22"/>
  <c r="HOH224" i="22"/>
  <c r="HOI224" i="22"/>
  <c r="HOJ224" i="22"/>
  <c r="HOK224" i="22"/>
  <c r="HOL224" i="22"/>
  <c r="HOM224" i="22"/>
  <c r="HON224" i="22"/>
  <c r="HOO224" i="22"/>
  <c r="HOP224" i="22"/>
  <c r="HOQ224" i="22"/>
  <c r="HOR224" i="22"/>
  <c r="HOS224" i="22"/>
  <c r="HOT224" i="22"/>
  <c r="HOU224" i="22"/>
  <c r="HOV224" i="22"/>
  <c r="HOW224" i="22"/>
  <c r="HOX224" i="22"/>
  <c r="HOY224" i="22"/>
  <c r="HOZ224" i="22"/>
  <c r="HPA224" i="22"/>
  <c r="HPB224" i="22"/>
  <c r="HPC224" i="22"/>
  <c r="HPD224" i="22"/>
  <c r="HPE224" i="22"/>
  <c r="HPF224" i="22"/>
  <c r="HPG224" i="22"/>
  <c r="HPH224" i="22"/>
  <c r="HPI224" i="22"/>
  <c r="HPJ224" i="22"/>
  <c r="HPK224" i="22"/>
  <c r="HPL224" i="22"/>
  <c r="HPM224" i="22"/>
  <c r="HPN224" i="22"/>
  <c r="HPO224" i="22"/>
  <c r="HPP224" i="22"/>
  <c r="HPQ224" i="22"/>
  <c r="HPR224" i="22"/>
  <c r="HPS224" i="22"/>
  <c r="HPT224" i="22"/>
  <c r="HPU224" i="22"/>
  <c r="HPV224" i="22"/>
  <c r="HPW224" i="22"/>
  <c r="HPX224" i="22"/>
  <c r="HPY224" i="22"/>
  <c r="HPZ224" i="22"/>
  <c r="HQA224" i="22"/>
  <c r="HQB224" i="22"/>
  <c r="HQC224" i="22"/>
  <c r="HQD224" i="22"/>
  <c r="HQE224" i="22"/>
  <c r="HQF224" i="22"/>
  <c r="HQG224" i="22"/>
  <c r="HQH224" i="22"/>
  <c r="HQI224" i="22"/>
  <c r="HQJ224" i="22"/>
  <c r="HQK224" i="22"/>
  <c r="HQL224" i="22"/>
  <c r="HQM224" i="22"/>
  <c r="HQN224" i="22"/>
  <c r="HQO224" i="22"/>
  <c r="HQP224" i="22"/>
  <c r="HQQ224" i="22"/>
  <c r="HQR224" i="22"/>
  <c r="HQS224" i="22"/>
  <c r="HQT224" i="22"/>
  <c r="HQU224" i="22"/>
  <c r="HQV224" i="22"/>
  <c r="HQW224" i="22"/>
  <c r="HQX224" i="22"/>
  <c r="HQY224" i="22"/>
  <c r="HQZ224" i="22"/>
  <c r="HRA224" i="22"/>
  <c r="HRB224" i="22"/>
  <c r="HRC224" i="22"/>
  <c r="HRD224" i="22"/>
  <c r="HRE224" i="22"/>
  <c r="HRF224" i="22"/>
  <c r="HRG224" i="22"/>
  <c r="HRH224" i="22"/>
  <c r="HRI224" i="22"/>
  <c r="HRJ224" i="22"/>
  <c r="HRK224" i="22"/>
  <c r="HRL224" i="22"/>
  <c r="HRM224" i="22"/>
  <c r="HRN224" i="22"/>
  <c r="HRO224" i="22"/>
  <c r="HRP224" i="22"/>
  <c r="HRQ224" i="22"/>
  <c r="HRR224" i="22"/>
  <c r="HRS224" i="22"/>
  <c r="HRT224" i="22"/>
  <c r="HRU224" i="22"/>
  <c r="HRV224" i="22"/>
  <c r="HRW224" i="22"/>
  <c r="HRX224" i="22"/>
  <c r="HRY224" i="22"/>
  <c r="HRZ224" i="22"/>
  <c r="HSA224" i="22"/>
  <c r="HSB224" i="22"/>
  <c r="HSC224" i="22"/>
  <c r="HSD224" i="22"/>
  <c r="HSE224" i="22"/>
  <c r="HSF224" i="22"/>
  <c r="HSG224" i="22"/>
  <c r="HSH224" i="22"/>
  <c r="HSI224" i="22"/>
  <c r="HSJ224" i="22"/>
  <c r="HSK224" i="22"/>
  <c r="HSL224" i="22"/>
  <c r="HSM224" i="22"/>
  <c r="HSN224" i="22"/>
  <c r="HSO224" i="22"/>
  <c r="HSP224" i="22"/>
  <c r="HSQ224" i="22"/>
  <c r="HSR224" i="22"/>
  <c r="HSS224" i="22"/>
  <c r="HST224" i="22"/>
  <c r="HSU224" i="22"/>
  <c r="HSV224" i="22"/>
  <c r="HSW224" i="22"/>
  <c r="HSX224" i="22"/>
  <c r="HSY224" i="22"/>
  <c r="HSZ224" i="22"/>
  <c r="HTA224" i="22"/>
  <c r="HTB224" i="22"/>
  <c r="HTC224" i="22"/>
  <c r="HTD224" i="22"/>
  <c r="HTE224" i="22"/>
  <c r="HTF224" i="22"/>
  <c r="HTG224" i="22"/>
  <c r="HTH224" i="22"/>
  <c r="HTI224" i="22"/>
  <c r="HTJ224" i="22"/>
  <c r="HTK224" i="22"/>
  <c r="HTL224" i="22"/>
  <c r="HTM224" i="22"/>
  <c r="HTN224" i="22"/>
  <c r="HTO224" i="22"/>
  <c r="HTP224" i="22"/>
  <c r="HTQ224" i="22"/>
  <c r="HTR224" i="22"/>
  <c r="HTS224" i="22"/>
  <c r="HTT224" i="22"/>
  <c r="HTU224" i="22"/>
  <c r="HTV224" i="22"/>
  <c r="HTW224" i="22"/>
  <c r="HTX224" i="22"/>
  <c r="HTY224" i="22"/>
  <c r="HTZ224" i="22"/>
  <c r="HUA224" i="22"/>
  <c r="HUB224" i="22"/>
  <c r="HUC224" i="22"/>
  <c r="HUD224" i="22"/>
  <c r="HUE224" i="22"/>
  <c r="HUF224" i="22"/>
  <c r="HUG224" i="22"/>
  <c r="HUH224" i="22"/>
  <c r="HUI224" i="22"/>
  <c r="HUJ224" i="22"/>
  <c r="HUK224" i="22"/>
  <c r="HUL224" i="22"/>
  <c r="HUM224" i="22"/>
  <c r="HUN224" i="22"/>
  <c r="HUO224" i="22"/>
  <c r="HUP224" i="22"/>
  <c r="HUQ224" i="22"/>
  <c r="HUR224" i="22"/>
  <c r="HUS224" i="22"/>
  <c r="HUT224" i="22"/>
  <c r="HUU224" i="22"/>
  <c r="HUV224" i="22"/>
  <c r="HUW224" i="22"/>
  <c r="HUX224" i="22"/>
  <c r="HUY224" i="22"/>
  <c r="HUZ224" i="22"/>
  <c r="HVA224" i="22"/>
  <c r="HVB224" i="22"/>
  <c r="HVC224" i="22"/>
  <c r="HVD224" i="22"/>
  <c r="HVE224" i="22"/>
  <c r="HVF224" i="22"/>
  <c r="HVG224" i="22"/>
  <c r="HVH224" i="22"/>
  <c r="HVI224" i="22"/>
  <c r="HVJ224" i="22"/>
  <c r="HVK224" i="22"/>
  <c r="HVL224" i="22"/>
  <c r="HVM224" i="22"/>
  <c r="HVN224" i="22"/>
  <c r="HVO224" i="22"/>
  <c r="HVP224" i="22"/>
  <c r="HVQ224" i="22"/>
  <c r="HVR224" i="22"/>
  <c r="HVS224" i="22"/>
  <c r="HVT224" i="22"/>
  <c r="HVU224" i="22"/>
  <c r="HVV224" i="22"/>
  <c r="HVW224" i="22"/>
  <c r="HVX224" i="22"/>
  <c r="HVY224" i="22"/>
  <c r="HVZ224" i="22"/>
  <c r="HWA224" i="22"/>
  <c r="HWB224" i="22"/>
  <c r="HWC224" i="22"/>
  <c r="HWD224" i="22"/>
  <c r="HWE224" i="22"/>
  <c r="HWF224" i="22"/>
  <c r="HWG224" i="22"/>
  <c r="HWH224" i="22"/>
  <c r="HWI224" i="22"/>
  <c r="HWJ224" i="22"/>
  <c r="HWK224" i="22"/>
  <c r="HWL224" i="22"/>
  <c r="HWM224" i="22"/>
  <c r="HWN224" i="22"/>
  <c r="HWO224" i="22"/>
  <c r="HWP224" i="22"/>
  <c r="HWQ224" i="22"/>
  <c r="HWR224" i="22"/>
  <c r="HWS224" i="22"/>
  <c r="HWT224" i="22"/>
  <c r="HWU224" i="22"/>
  <c r="HWV224" i="22"/>
  <c r="HWW224" i="22"/>
  <c r="HWX224" i="22"/>
  <c r="HWY224" i="22"/>
  <c r="HWZ224" i="22"/>
  <c r="HXA224" i="22"/>
  <c r="HXB224" i="22"/>
  <c r="HXC224" i="22"/>
  <c r="HXD224" i="22"/>
  <c r="HXE224" i="22"/>
  <c r="HXF224" i="22"/>
  <c r="HXG224" i="22"/>
  <c r="HXH224" i="22"/>
  <c r="HXI224" i="22"/>
  <c r="HXJ224" i="22"/>
  <c r="HXK224" i="22"/>
  <c r="HXL224" i="22"/>
  <c r="HXM224" i="22"/>
  <c r="HXN224" i="22"/>
  <c r="HXO224" i="22"/>
  <c r="HXP224" i="22"/>
  <c r="HXQ224" i="22"/>
  <c r="HXR224" i="22"/>
  <c r="HXS224" i="22"/>
  <c r="HXT224" i="22"/>
  <c r="HXU224" i="22"/>
  <c r="HXV224" i="22"/>
  <c r="HXW224" i="22"/>
  <c r="HXX224" i="22"/>
  <c r="HXY224" i="22"/>
  <c r="HXZ224" i="22"/>
  <c r="HYA224" i="22"/>
  <c r="HYB224" i="22"/>
  <c r="HYC224" i="22"/>
  <c r="HYD224" i="22"/>
  <c r="HYE224" i="22"/>
  <c r="HYF224" i="22"/>
  <c r="HYG224" i="22"/>
  <c r="HYH224" i="22"/>
  <c r="HYI224" i="22"/>
  <c r="HYJ224" i="22"/>
  <c r="HYK224" i="22"/>
  <c r="HYL224" i="22"/>
  <c r="HYM224" i="22"/>
  <c r="HYN224" i="22"/>
  <c r="HYO224" i="22"/>
  <c r="HYP224" i="22"/>
  <c r="HYQ224" i="22"/>
  <c r="HYR224" i="22"/>
  <c r="HYS224" i="22"/>
  <c r="HYT224" i="22"/>
  <c r="HYU224" i="22"/>
  <c r="HYV224" i="22"/>
  <c r="HYW224" i="22"/>
  <c r="HYX224" i="22"/>
  <c r="HYY224" i="22"/>
  <c r="HYZ224" i="22"/>
  <c r="HZA224" i="22"/>
  <c r="HZB224" i="22"/>
  <c r="HZC224" i="22"/>
  <c r="HZD224" i="22"/>
  <c r="HZE224" i="22"/>
  <c r="HZF224" i="22"/>
  <c r="HZG224" i="22"/>
  <c r="HZH224" i="22"/>
  <c r="HZI224" i="22"/>
  <c r="HZJ224" i="22"/>
  <c r="HZK224" i="22"/>
  <c r="HZL224" i="22"/>
  <c r="HZM224" i="22"/>
  <c r="HZN224" i="22"/>
  <c r="HZO224" i="22"/>
  <c r="HZP224" i="22"/>
  <c r="HZQ224" i="22"/>
  <c r="HZR224" i="22"/>
  <c r="HZS224" i="22"/>
  <c r="HZT224" i="22"/>
  <c r="HZU224" i="22"/>
  <c r="HZV224" i="22"/>
  <c r="HZW224" i="22"/>
  <c r="HZX224" i="22"/>
  <c r="HZY224" i="22"/>
  <c r="HZZ224" i="22"/>
  <c r="IAA224" i="22"/>
  <c r="IAB224" i="22"/>
  <c r="IAC224" i="22"/>
  <c r="IAD224" i="22"/>
  <c r="IAE224" i="22"/>
  <c r="IAF224" i="22"/>
  <c r="IAG224" i="22"/>
  <c r="IAH224" i="22"/>
  <c r="IAI224" i="22"/>
  <c r="IAJ224" i="22"/>
  <c r="IAK224" i="22"/>
  <c r="IAL224" i="22"/>
  <c r="IAM224" i="22"/>
  <c r="IAN224" i="22"/>
  <c r="IAO224" i="22"/>
  <c r="IAP224" i="22"/>
  <c r="IAQ224" i="22"/>
  <c r="IAR224" i="22"/>
  <c r="IAS224" i="22"/>
  <c r="IAT224" i="22"/>
  <c r="IAU224" i="22"/>
  <c r="IAV224" i="22"/>
  <c r="IAW224" i="22"/>
  <c r="IAX224" i="22"/>
  <c r="IAY224" i="22"/>
  <c r="IAZ224" i="22"/>
  <c r="IBA224" i="22"/>
  <c r="IBB224" i="22"/>
  <c r="IBC224" i="22"/>
  <c r="IBD224" i="22"/>
  <c r="IBE224" i="22"/>
  <c r="IBF224" i="22"/>
  <c r="IBG224" i="22"/>
  <c r="IBH224" i="22"/>
  <c r="IBI224" i="22"/>
  <c r="IBJ224" i="22"/>
  <c r="IBK224" i="22"/>
  <c r="IBL224" i="22"/>
  <c r="IBM224" i="22"/>
  <c r="IBN224" i="22"/>
  <c r="IBO224" i="22"/>
  <c r="IBP224" i="22"/>
  <c r="IBQ224" i="22"/>
  <c r="IBR224" i="22"/>
  <c r="IBS224" i="22"/>
  <c r="IBT224" i="22"/>
  <c r="IBU224" i="22"/>
  <c r="IBV224" i="22"/>
  <c r="IBW224" i="22"/>
  <c r="IBX224" i="22"/>
  <c r="IBY224" i="22"/>
  <c r="IBZ224" i="22"/>
  <c r="ICA224" i="22"/>
  <c r="ICB224" i="22"/>
  <c r="ICC224" i="22"/>
  <c r="ICD224" i="22"/>
  <c r="ICE224" i="22"/>
  <c r="ICF224" i="22"/>
  <c r="ICG224" i="22"/>
  <c r="ICH224" i="22"/>
  <c r="ICI224" i="22"/>
  <c r="ICJ224" i="22"/>
  <c r="ICK224" i="22"/>
  <c r="ICL224" i="22"/>
  <c r="ICM224" i="22"/>
  <c r="ICN224" i="22"/>
  <c r="ICO224" i="22"/>
  <c r="ICP224" i="22"/>
  <c r="ICQ224" i="22"/>
  <c r="ICR224" i="22"/>
  <c r="ICS224" i="22"/>
  <c r="ICT224" i="22"/>
  <c r="ICU224" i="22"/>
  <c r="ICV224" i="22"/>
  <c r="ICW224" i="22"/>
  <c r="ICX224" i="22"/>
  <c r="ICY224" i="22"/>
  <c r="ICZ224" i="22"/>
  <c r="IDA224" i="22"/>
  <c r="IDB224" i="22"/>
  <c r="IDC224" i="22"/>
  <c r="IDD224" i="22"/>
  <c r="IDE224" i="22"/>
  <c r="IDF224" i="22"/>
  <c r="IDG224" i="22"/>
  <c r="IDH224" i="22"/>
  <c r="IDI224" i="22"/>
  <c r="IDJ224" i="22"/>
  <c r="IDK224" i="22"/>
  <c r="IDL224" i="22"/>
  <c r="IDM224" i="22"/>
  <c r="IDN224" i="22"/>
  <c r="IDO224" i="22"/>
  <c r="IDP224" i="22"/>
  <c r="IDQ224" i="22"/>
  <c r="IDR224" i="22"/>
  <c r="IDS224" i="22"/>
  <c r="IDT224" i="22"/>
  <c r="IDU224" i="22"/>
  <c r="IDV224" i="22"/>
  <c r="IDW224" i="22"/>
  <c r="IDX224" i="22"/>
  <c r="IDY224" i="22"/>
  <c r="IDZ224" i="22"/>
  <c r="IEA224" i="22"/>
  <c r="IEB224" i="22"/>
  <c r="IEC224" i="22"/>
  <c r="IED224" i="22"/>
  <c r="IEE224" i="22"/>
  <c r="IEF224" i="22"/>
  <c r="IEG224" i="22"/>
  <c r="IEH224" i="22"/>
  <c r="IEI224" i="22"/>
  <c r="IEJ224" i="22"/>
  <c r="IEK224" i="22"/>
  <c r="IEL224" i="22"/>
  <c r="IEM224" i="22"/>
  <c r="IEN224" i="22"/>
  <c r="IEO224" i="22"/>
  <c r="IEP224" i="22"/>
  <c r="IEQ224" i="22"/>
  <c r="IER224" i="22"/>
  <c r="IES224" i="22"/>
  <c r="IET224" i="22"/>
  <c r="IEU224" i="22"/>
  <c r="IEV224" i="22"/>
  <c r="IEW224" i="22"/>
  <c r="IEX224" i="22"/>
  <c r="IEY224" i="22"/>
  <c r="IEZ224" i="22"/>
  <c r="IFA224" i="22"/>
  <c r="IFB224" i="22"/>
  <c r="IFC224" i="22"/>
  <c r="IFD224" i="22"/>
  <c r="IFE224" i="22"/>
  <c r="IFF224" i="22"/>
  <c r="IFG224" i="22"/>
  <c r="IFH224" i="22"/>
  <c r="IFI224" i="22"/>
  <c r="IFJ224" i="22"/>
  <c r="IFK224" i="22"/>
  <c r="IFL224" i="22"/>
  <c r="IFM224" i="22"/>
  <c r="IFN224" i="22"/>
  <c r="IFO224" i="22"/>
  <c r="IFP224" i="22"/>
  <c r="IFQ224" i="22"/>
  <c r="IFR224" i="22"/>
  <c r="IFS224" i="22"/>
  <c r="IFT224" i="22"/>
  <c r="IFU224" i="22"/>
  <c r="IFV224" i="22"/>
  <c r="IFW224" i="22"/>
  <c r="IFX224" i="22"/>
  <c r="IFY224" i="22"/>
  <c r="IFZ224" i="22"/>
  <c r="IGA224" i="22"/>
  <c r="IGB224" i="22"/>
  <c r="IGC224" i="22"/>
  <c r="IGD224" i="22"/>
  <c r="IGE224" i="22"/>
  <c r="IGF224" i="22"/>
  <c r="IGG224" i="22"/>
  <c r="IGH224" i="22"/>
  <c r="IGI224" i="22"/>
  <c r="IGJ224" i="22"/>
  <c r="IGK224" i="22"/>
  <c r="IGL224" i="22"/>
  <c r="IGM224" i="22"/>
  <c r="IGN224" i="22"/>
  <c r="IGO224" i="22"/>
  <c r="IGP224" i="22"/>
  <c r="IGQ224" i="22"/>
  <c r="IGR224" i="22"/>
  <c r="IGS224" i="22"/>
  <c r="IGT224" i="22"/>
  <c r="IGU224" i="22"/>
  <c r="IGV224" i="22"/>
  <c r="IGW224" i="22"/>
  <c r="IGX224" i="22"/>
  <c r="IGY224" i="22"/>
  <c r="IGZ224" i="22"/>
  <c r="IHA224" i="22"/>
  <c r="IHB224" i="22"/>
  <c r="IHC224" i="22"/>
  <c r="IHD224" i="22"/>
  <c r="IHE224" i="22"/>
  <c r="IHF224" i="22"/>
  <c r="IHG224" i="22"/>
  <c r="IHH224" i="22"/>
  <c r="IHI224" i="22"/>
  <c r="IHJ224" i="22"/>
  <c r="IHK224" i="22"/>
  <c r="IHL224" i="22"/>
  <c r="IHM224" i="22"/>
  <c r="IHN224" i="22"/>
  <c r="IHO224" i="22"/>
  <c r="IHP224" i="22"/>
  <c r="IHQ224" i="22"/>
  <c r="IHR224" i="22"/>
  <c r="IHS224" i="22"/>
  <c r="IHT224" i="22"/>
  <c r="IHU224" i="22"/>
  <c r="IHV224" i="22"/>
  <c r="IHW224" i="22"/>
  <c r="IHX224" i="22"/>
  <c r="IHY224" i="22"/>
  <c r="IHZ224" i="22"/>
  <c r="IIA224" i="22"/>
  <c r="IIB224" i="22"/>
  <c r="IIC224" i="22"/>
  <c r="IID224" i="22"/>
  <c r="IIE224" i="22"/>
  <c r="IIF224" i="22"/>
  <c r="IIG224" i="22"/>
  <c r="IIH224" i="22"/>
  <c r="III224" i="22"/>
  <c r="IIJ224" i="22"/>
  <c r="IIK224" i="22"/>
  <c r="IIL224" i="22"/>
  <c r="IIM224" i="22"/>
  <c r="IIN224" i="22"/>
  <c r="IIO224" i="22"/>
  <c r="IIP224" i="22"/>
  <c r="IIQ224" i="22"/>
  <c r="IIR224" i="22"/>
  <c r="IIS224" i="22"/>
  <c r="IIT224" i="22"/>
  <c r="IIU224" i="22"/>
  <c r="IIV224" i="22"/>
  <c r="IIW224" i="22"/>
  <c r="IIX224" i="22"/>
  <c r="IIY224" i="22"/>
  <c r="IIZ224" i="22"/>
  <c r="IJA224" i="22"/>
  <c r="IJB224" i="22"/>
  <c r="IJC224" i="22"/>
  <c r="IJD224" i="22"/>
  <c r="IJE224" i="22"/>
  <c r="IJF224" i="22"/>
  <c r="IJG224" i="22"/>
  <c r="IJH224" i="22"/>
  <c r="IJI224" i="22"/>
  <c r="IJJ224" i="22"/>
  <c r="IJK224" i="22"/>
  <c r="IJL224" i="22"/>
  <c r="IJM224" i="22"/>
  <c r="IJN224" i="22"/>
  <c r="IJO224" i="22"/>
  <c r="IJP224" i="22"/>
  <c r="IJQ224" i="22"/>
  <c r="IJR224" i="22"/>
  <c r="IJS224" i="22"/>
  <c r="IJT224" i="22"/>
  <c r="IJU224" i="22"/>
  <c r="IJV224" i="22"/>
  <c r="IJW224" i="22"/>
  <c r="IJX224" i="22"/>
  <c r="IJY224" i="22"/>
  <c r="IJZ224" i="22"/>
  <c r="IKA224" i="22"/>
  <c r="IKB224" i="22"/>
  <c r="IKC224" i="22"/>
  <c r="IKD224" i="22"/>
  <c r="IKE224" i="22"/>
  <c r="IKF224" i="22"/>
  <c r="IKG224" i="22"/>
  <c r="IKH224" i="22"/>
  <c r="IKI224" i="22"/>
  <c r="IKJ224" i="22"/>
  <c r="IKK224" i="22"/>
  <c r="IKL224" i="22"/>
  <c r="IKM224" i="22"/>
  <c r="IKN224" i="22"/>
  <c r="IKO224" i="22"/>
  <c r="IKP224" i="22"/>
  <c r="IKQ224" i="22"/>
  <c r="IKR224" i="22"/>
  <c r="IKS224" i="22"/>
  <c r="IKT224" i="22"/>
  <c r="IKU224" i="22"/>
  <c r="IKV224" i="22"/>
  <c r="IKW224" i="22"/>
  <c r="IKX224" i="22"/>
  <c r="IKY224" i="22"/>
  <c r="IKZ224" i="22"/>
  <c r="ILA224" i="22"/>
  <c r="ILB224" i="22"/>
  <c r="ILC224" i="22"/>
  <c r="ILD224" i="22"/>
  <c r="ILE224" i="22"/>
  <c r="ILF224" i="22"/>
  <c r="ILG224" i="22"/>
  <c r="ILH224" i="22"/>
  <c r="ILI224" i="22"/>
  <c r="ILJ224" i="22"/>
  <c r="ILK224" i="22"/>
  <c r="ILL224" i="22"/>
  <c r="ILM224" i="22"/>
  <c r="ILN224" i="22"/>
  <c r="ILO224" i="22"/>
  <c r="ILP224" i="22"/>
  <c r="ILQ224" i="22"/>
  <c r="ILR224" i="22"/>
  <c r="ILS224" i="22"/>
  <c r="ILT224" i="22"/>
  <c r="ILU224" i="22"/>
  <c r="ILV224" i="22"/>
  <c r="ILW224" i="22"/>
  <c r="ILX224" i="22"/>
  <c r="ILY224" i="22"/>
  <c r="ILZ224" i="22"/>
  <c r="IMA224" i="22"/>
  <c r="IMB224" i="22"/>
  <c r="IMC224" i="22"/>
  <c r="IMD224" i="22"/>
  <c r="IME224" i="22"/>
  <c r="IMF224" i="22"/>
  <c r="IMG224" i="22"/>
  <c r="IMH224" i="22"/>
  <c r="IMI224" i="22"/>
  <c r="IMJ224" i="22"/>
  <c r="IMK224" i="22"/>
  <c r="IML224" i="22"/>
  <c r="IMM224" i="22"/>
  <c r="IMN224" i="22"/>
  <c r="IMO224" i="22"/>
  <c r="IMP224" i="22"/>
  <c r="IMQ224" i="22"/>
  <c r="IMR224" i="22"/>
  <c r="IMS224" i="22"/>
  <c r="IMT224" i="22"/>
  <c r="IMU224" i="22"/>
  <c r="IMV224" i="22"/>
  <c r="IMW224" i="22"/>
  <c r="IMX224" i="22"/>
  <c r="IMY224" i="22"/>
  <c r="IMZ224" i="22"/>
  <c r="INA224" i="22"/>
  <c r="INB224" i="22"/>
  <c r="INC224" i="22"/>
  <c r="IND224" i="22"/>
  <c r="INE224" i="22"/>
  <c r="INF224" i="22"/>
  <c r="ING224" i="22"/>
  <c r="INH224" i="22"/>
  <c r="INI224" i="22"/>
  <c r="INJ224" i="22"/>
  <c r="INK224" i="22"/>
  <c r="INL224" i="22"/>
  <c r="INM224" i="22"/>
  <c r="INN224" i="22"/>
  <c r="INO224" i="22"/>
  <c r="INP224" i="22"/>
  <c r="INQ224" i="22"/>
  <c r="INR224" i="22"/>
  <c r="INS224" i="22"/>
  <c r="INT224" i="22"/>
  <c r="INU224" i="22"/>
  <c r="INV224" i="22"/>
  <c r="INW224" i="22"/>
  <c r="INX224" i="22"/>
  <c r="INY224" i="22"/>
  <c r="INZ224" i="22"/>
  <c r="IOA224" i="22"/>
  <c r="IOB224" i="22"/>
  <c r="IOC224" i="22"/>
  <c r="IOD224" i="22"/>
  <c r="IOE224" i="22"/>
  <c r="IOF224" i="22"/>
  <c r="IOG224" i="22"/>
  <c r="IOH224" i="22"/>
  <c r="IOI224" i="22"/>
  <c r="IOJ224" i="22"/>
  <c r="IOK224" i="22"/>
  <c r="IOL224" i="22"/>
  <c r="IOM224" i="22"/>
  <c r="ION224" i="22"/>
  <c r="IOO224" i="22"/>
  <c r="IOP224" i="22"/>
  <c r="IOQ224" i="22"/>
  <c r="IOR224" i="22"/>
  <c r="IOS224" i="22"/>
  <c r="IOT224" i="22"/>
  <c r="IOU224" i="22"/>
  <c r="IOV224" i="22"/>
  <c r="IOW224" i="22"/>
  <c r="IOX224" i="22"/>
  <c r="IOY224" i="22"/>
  <c r="IOZ224" i="22"/>
  <c r="IPA224" i="22"/>
  <c r="IPB224" i="22"/>
  <c r="IPC224" i="22"/>
  <c r="IPD224" i="22"/>
  <c r="IPE224" i="22"/>
  <c r="IPF224" i="22"/>
  <c r="IPG224" i="22"/>
  <c r="IPH224" i="22"/>
  <c r="IPI224" i="22"/>
  <c r="IPJ224" i="22"/>
  <c r="IPK224" i="22"/>
  <c r="IPL224" i="22"/>
  <c r="IPM224" i="22"/>
  <c r="IPN224" i="22"/>
  <c r="IPO224" i="22"/>
  <c r="IPP224" i="22"/>
  <c r="IPQ224" i="22"/>
  <c r="IPR224" i="22"/>
  <c r="IPS224" i="22"/>
  <c r="IPT224" i="22"/>
  <c r="IPU224" i="22"/>
  <c r="IPV224" i="22"/>
  <c r="IPW224" i="22"/>
  <c r="IPX224" i="22"/>
  <c r="IPY224" i="22"/>
  <c r="IPZ224" i="22"/>
  <c r="IQA224" i="22"/>
  <c r="IQB224" i="22"/>
  <c r="IQC224" i="22"/>
  <c r="IQD224" i="22"/>
  <c r="IQE224" i="22"/>
  <c r="IQF224" i="22"/>
  <c r="IQG224" i="22"/>
  <c r="IQH224" i="22"/>
  <c r="IQI224" i="22"/>
  <c r="IQJ224" i="22"/>
  <c r="IQK224" i="22"/>
  <c r="IQL224" i="22"/>
  <c r="IQM224" i="22"/>
  <c r="IQN224" i="22"/>
  <c r="IQO224" i="22"/>
  <c r="IQP224" i="22"/>
  <c r="IQQ224" i="22"/>
  <c r="IQR224" i="22"/>
  <c r="IQS224" i="22"/>
  <c r="IQT224" i="22"/>
  <c r="IQU224" i="22"/>
  <c r="IQV224" i="22"/>
  <c r="IQW224" i="22"/>
  <c r="IQX224" i="22"/>
  <c r="IQY224" i="22"/>
  <c r="IQZ224" i="22"/>
  <c r="IRA224" i="22"/>
  <c r="IRB224" i="22"/>
  <c r="IRC224" i="22"/>
  <c r="IRD224" i="22"/>
  <c r="IRE224" i="22"/>
  <c r="IRF224" i="22"/>
  <c r="IRG224" i="22"/>
  <c r="IRH224" i="22"/>
  <c r="IRI224" i="22"/>
  <c r="IRJ224" i="22"/>
  <c r="IRK224" i="22"/>
  <c r="IRL224" i="22"/>
  <c r="IRM224" i="22"/>
  <c r="IRN224" i="22"/>
  <c r="IRO224" i="22"/>
  <c r="IRP224" i="22"/>
  <c r="IRQ224" i="22"/>
  <c r="IRR224" i="22"/>
  <c r="IRS224" i="22"/>
  <c r="IRT224" i="22"/>
  <c r="IRU224" i="22"/>
  <c r="IRV224" i="22"/>
  <c r="IRW224" i="22"/>
  <c r="IRX224" i="22"/>
  <c r="IRY224" i="22"/>
  <c r="IRZ224" i="22"/>
  <c r="ISA224" i="22"/>
  <c r="ISB224" i="22"/>
  <c r="ISC224" i="22"/>
  <c r="ISD224" i="22"/>
  <c r="ISE224" i="22"/>
  <c r="ISF224" i="22"/>
  <c r="ISG224" i="22"/>
  <c r="ISH224" i="22"/>
  <c r="ISI224" i="22"/>
  <c r="ISJ224" i="22"/>
  <c r="ISK224" i="22"/>
  <c r="ISL224" i="22"/>
  <c r="ISM224" i="22"/>
  <c r="ISN224" i="22"/>
  <c r="ISO224" i="22"/>
  <c r="ISP224" i="22"/>
  <c r="ISQ224" i="22"/>
  <c r="ISR224" i="22"/>
  <c r="ISS224" i="22"/>
  <c r="IST224" i="22"/>
  <c r="ISU224" i="22"/>
  <c r="ISV224" i="22"/>
  <c r="ISW224" i="22"/>
  <c r="ISX224" i="22"/>
  <c r="ISY224" i="22"/>
  <c r="ISZ224" i="22"/>
  <c r="ITA224" i="22"/>
  <c r="ITB224" i="22"/>
  <c r="ITC224" i="22"/>
  <c r="ITD224" i="22"/>
  <c r="ITE224" i="22"/>
  <c r="ITF224" i="22"/>
  <c r="ITG224" i="22"/>
  <c r="ITH224" i="22"/>
  <c r="ITI224" i="22"/>
  <c r="ITJ224" i="22"/>
  <c r="ITK224" i="22"/>
  <c r="ITL224" i="22"/>
  <c r="ITM224" i="22"/>
  <c r="ITN224" i="22"/>
  <c r="ITO224" i="22"/>
  <c r="ITP224" i="22"/>
  <c r="ITQ224" i="22"/>
  <c r="ITR224" i="22"/>
  <c r="ITS224" i="22"/>
  <c r="ITT224" i="22"/>
  <c r="ITU224" i="22"/>
  <c r="ITV224" i="22"/>
  <c r="ITW224" i="22"/>
  <c r="ITX224" i="22"/>
  <c r="ITY224" i="22"/>
  <c r="ITZ224" i="22"/>
  <c r="IUA224" i="22"/>
  <c r="IUB224" i="22"/>
  <c r="IUC224" i="22"/>
  <c r="IUD224" i="22"/>
  <c r="IUE224" i="22"/>
  <c r="IUF224" i="22"/>
  <c r="IUG224" i="22"/>
  <c r="IUH224" i="22"/>
  <c r="IUI224" i="22"/>
  <c r="IUJ224" i="22"/>
  <c r="IUK224" i="22"/>
  <c r="IUL224" i="22"/>
  <c r="IUM224" i="22"/>
  <c r="IUN224" i="22"/>
  <c r="IUO224" i="22"/>
  <c r="IUP224" i="22"/>
  <c r="IUQ224" i="22"/>
  <c r="IUR224" i="22"/>
  <c r="IUS224" i="22"/>
  <c r="IUT224" i="22"/>
  <c r="IUU224" i="22"/>
  <c r="IUV224" i="22"/>
  <c r="IUW224" i="22"/>
  <c r="IUX224" i="22"/>
  <c r="IUY224" i="22"/>
  <c r="IUZ224" i="22"/>
  <c r="IVA224" i="22"/>
  <c r="IVB224" i="22"/>
  <c r="IVC224" i="22"/>
  <c r="IVD224" i="22"/>
  <c r="IVE224" i="22"/>
  <c r="IVF224" i="22"/>
  <c r="IVG224" i="22"/>
  <c r="IVH224" i="22"/>
  <c r="IVI224" i="22"/>
  <c r="IVJ224" i="22"/>
  <c r="IVK224" i="22"/>
  <c r="IVL224" i="22"/>
  <c r="IVM224" i="22"/>
  <c r="IVN224" i="22"/>
  <c r="IVO224" i="22"/>
  <c r="IVP224" i="22"/>
  <c r="IVQ224" i="22"/>
  <c r="IVR224" i="22"/>
  <c r="IVS224" i="22"/>
  <c r="IVT224" i="22"/>
  <c r="IVU224" i="22"/>
  <c r="IVV224" i="22"/>
  <c r="IVW224" i="22"/>
  <c r="IVX224" i="22"/>
  <c r="IVY224" i="22"/>
  <c r="IVZ224" i="22"/>
  <c r="IWA224" i="22"/>
  <c r="IWB224" i="22"/>
  <c r="IWC224" i="22"/>
  <c r="IWD224" i="22"/>
  <c r="IWE224" i="22"/>
  <c r="IWF224" i="22"/>
  <c r="IWG224" i="22"/>
  <c r="IWH224" i="22"/>
  <c r="IWI224" i="22"/>
  <c r="IWJ224" i="22"/>
  <c r="IWK224" i="22"/>
  <c r="IWL224" i="22"/>
  <c r="IWM224" i="22"/>
  <c r="IWN224" i="22"/>
  <c r="IWO224" i="22"/>
  <c r="IWP224" i="22"/>
  <c r="IWQ224" i="22"/>
  <c r="IWR224" i="22"/>
  <c r="IWS224" i="22"/>
  <c r="IWT224" i="22"/>
  <c r="IWU224" i="22"/>
  <c r="IWV224" i="22"/>
  <c r="IWW224" i="22"/>
  <c r="IWX224" i="22"/>
  <c r="IWY224" i="22"/>
  <c r="IWZ224" i="22"/>
  <c r="IXA224" i="22"/>
  <c r="IXB224" i="22"/>
  <c r="IXC224" i="22"/>
  <c r="IXD224" i="22"/>
  <c r="IXE224" i="22"/>
  <c r="IXF224" i="22"/>
  <c r="IXG224" i="22"/>
  <c r="IXH224" i="22"/>
  <c r="IXI224" i="22"/>
  <c r="IXJ224" i="22"/>
  <c r="IXK224" i="22"/>
  <c r="IXL224" i="22"/>
  <c r="IXM224" i="22"/>
  <c r="IXN224" i="22"/>
  <c r="IXO224" i="22"/>
  <c r="IXP224" i="22"/>
  <c r="IXQ224" i="22"/>
  <c r="IXR224" i="22"/>
  <c r="IXS224" i="22"/>
  <c r="IXT224" i="22"/>
  <c r="IXU224" i="22"/>
  <c r="IXV224" i="22"/>
  <c r="IXW224" i="22"/>
  <c r="IXX224" i="22"/>
  <c r="IXY224" i="22"/>
  <c r="IXZ224" i="22"/>
  <c r="IYA224" i="22"/>
  <c r="IYB224" i="22"/>
  <c r="IYC224" i="22"/>
  <c r="IYD224" i="22"/>
  <c r="IYE224" i="22"/>
  <c r="IYF224" i="22"/>
  <c r="IYG224" i="22"/>
  <c r="IYH224" i="22"/>
  <c r="IYI224" i="22"/>
  <c r="IYJ224" i="22"/>
  <c r="IYK224" i="22"/>
  <c r="IYL224" i="22"/>
  <c r="IYM224" i="22"/>
  <c r="IYN224" i="22"/>
  <c r="IYO224" i="22"/>
  <c r="IYP224" i="22"/>
  <c r="IYQ224" i="22"/>
  <c r="IYR224" i="22"/>
  <c r="IYS224" i="22"/>
  <c r="IYT224" i="22"/>
  <c r="IYU224" i="22"/>
  <c r="IYV224" i="22"/>
  <c r="IYW224" i="22"/>
  <c r="IYX224" i="22"/>
  <c r="IYY224" i="22"/>
  <c r="IYZ224" i="22"/>
  <c r="IZA224" i="22"/>
  <c r="IZB224" i="22"/>
  <c r="IZC224" i="22"/>
  <c r="IZD224" i="22"/>
  <c r="IZE224" i="22"/>
  <c r="IZF224" i="22"/>
  <c r="IZG224" i="22"/>
  <c r="IZH224" i="22"/>
  <c r="IZI224" i="22"/>
  <c r="IZJ224" i="22"/>
  <c r="IZK224" i="22"/>
  <c r="IZL224" i="22"/>
  <c r="IZM224" i="22"/>
  <c r="IZN224" i="22"/>
  <c r="IZO224" i="22"/>
  <c r="IZP224" i="22"/>
  <c r="IZQ224" i="22"/>
  <c r="IZR224" i="22"/>
  <c r="IZS224" i="22"/>
  <c r="IZT224" i="22"/>
  <c r="IZU224" i="22"/>
  <c r="IZV224" i="22"/>
  <c r="IZW224" i="22"/>
  <c r="IZX224" i="22"/>
  <c r="IZY224" i="22"/>
  <c r="IZZ224" i="22"/>
  <c r="JAA224" i="22"/>
  <c r="JAB224" i="22"/>
  <c r="JAC224" i="22"/>
  <c r="JAD224" i="22"/>
  <c r="JAE224" i="22"/>
  <c r="JAF224" i="22"/>
  <c r="JAG224" i="22"/>
  <c r="JAH224" i="22"/>
  <c r="JAI224" i="22"/>
  <c r="JAJ224" i="22"/>
  <c r="JAK224" i="22"/>
  <c r="JAL224" i="22"/>
  <c r="JAM224" i="22"/>
  <c r="JAN224" i="22"/>
  <c r="JAO224" i="22"/>
  <c r="JAP224" i="22"/>
  <c r="JAQ224" i="22"/>
  <c r="JAR224" i="22"/>
  <c r="JAS224" i="22"/>
  <c r="JAT224" i="22"/>
  <c r="JAU224" i="22"/>
  <c r="JAV224" i="22"/>
  <c r="JAW224" i="22"/>
  <c r="JAX224" i="22"/>
  <c r="JAY224" i="22"/>
  <c r="JAZ224" i="22"/>
  <c r="JBA224" i="22"/>
  <c r="JBB224" i="22"/>
  <c r="JBC224" i="22"/>
  <c r="JBD224" i="22"/>
  <c r="JBE224" i="22"/>
  <c r="JBF224" i="22"/>
  <c r="JBG224" i="22"/>
  <c r="JBH224" i="22"/>
  <c r="JBI224" i="22"/>
  <c r="JBJ224" i="22"/>
  <c r="JBK224" i="22"/>
  <c r="JBL224" i="22"/>
  <c r="JBM224" i="22"/>
  <c r="JBN224" i="22"/>
  <c r="JBO224" i="22"/>
  <c r="JBP224" i="22"/>
  <c r="JBQ224" i="22"/>
  <c r="JBR224" i="22"/>
  <c r="JBS224" i="22"/>
  <c r="JBT224" i="22"/>
  <c r="JBU224" i="22"/>
  <c r="JBV224" i="22"/>
  <c r="JBW224" i="22"/>
  <c r="JBX224" i="22"/>
  <c r="JBY224" i="22"/>
  <c r="JBZ224" i="22"/>
  <c r="JCA224" i="22"/>
  <c r="JCB224" i="22"/>
  <c r="JCC224" i="22"/>
  <c r="JCD224" i="22"/>
  <c r="JCE224" i="22"/>
  <c r="JCF224" i="22"/>
  <c r="JCG224" i="22"/>
  <c r="JCH224" i="22"/>
  <c r="JCI224" i="22"/>
  <c r="JCJ224" i="22"/>
  <c r="JCK224" i="22"/>
  <c r="JCL224" i="22"/>
  <c r="JCM224" i="22"/>
  <c r="JCN224" i="22"/>
  <c r="JCO224" i="22"/>
  <c r="JCP224" i="22"/>
  <c r="JCQ224" i="22"/>
  <c r="JCR224" i="22"/>
  <c r="JCS224" i="22"/>
  <c r="JCT224" i="22"/>
  <c r="JCU224" i="22"/>
  <c r="JCV224" i="22"/>
  <c r="JCW224" i="22"/>
  <c r="JCX224" i="22"/>
  <c r="JCY224" i="22"/>
  <c r="JCZ224" i="22"/>
  <c r="JDA224" i="22"/>
  <c r="JDB224" i="22"/>
  <c r="JDC224" i="22"/>
  <c r="JDD224" i="22"/>
  <c r="JDE224" i="22"/>
  <c r="JDF224" i="22"/>
  <c r="JDG224" i="22"/>
  <c r="JDH224" i="22"/>
  <c r="JDI224" i="22"/>
  <c r="JDJ224" i="22"/>
  <c r="JDK224" i="22"/>
  <c r="JDL224" i="22"/>
  <c r="JDM224" i="22"/>
  <c r="JDN224" i="22"/>
  <c r="JDO224" i="22"/>
  <c r="JDP224" i="22"/>
  <c r="JDQ224" i="22"/>
  <c r="JDR224" i="22"/>
  <c r="JDS224" i="22"/>
  <c r="JDT224" i="22"/>
  <c r="JDU224" i="22"/>
  <c r="JDV224" i="22"/>
  <c r="JDW224" i="22"/>
  <c r="JDX224" i="22"/>
  <c r="JDY224" i="22"/>
  <c r="JDZ224" i="22"/>
  <c r="JEA224" i="22"/>
  <c r="JEB224" i="22"/>
  <c r="JEC224" i="22"/>
  <c r="JED224" i="22"/>
  <c r="JEE224" i="22"/>
  <c r="JEF224" i="22"/>
  <c r="JEG224" i="22"/>
  <c r="JEH224" i="22"/>
  <c r="JEI224" i="22"/>
  <c r="JEJ224" i="22"/>
  <c r="JEK224" i="22"/>
  <c r="JEL224" i="22"/>
  <c r="JEM224" i="22"/>
  <c r="JEN224" i="22"/>
  <c r="JEO224" i="22"/>
  <c r="JEP224" i="22"/>
  <c r="JEQ224" i="22"/>
  <c r="JER224" i="22"/>
  <c r="JES224" i="22"/>
  <c r="JET224" i="22"/>
  <c r="JEU224" i="22"/>
  <c r="JEV224" i="22"/>
  <c r="JEW224" i="22"/>
  <c r="JEX224" i="22"/>
  <c r="JEY224" i="22"/>
  <c r="JEZ224" i="22"/>
  <c r="JFA224" i="22"/>
  <c r="JFB224" i="22"/>
  <c r="JFC224" i="22"/>
  <c r="JFD224" i="22"/>
  <c r="JFE224" i="22"/>
  <c r="JFF224" i="22"/>
  <c r="JFG224" i="22"/>
  <c r="JFH224" i="22"/>
  <c r="JFI224" i="22"/>
  <c r="JFJ224" i="22"/>
  <c r="JFK224" i="22"/>
  <c r="JFL224" i="22"/>
  <c r="JFM224" i="22"/>
  <c r="JFN224" i="22"/>
  <c r="JFO224" i="22"/>
  <c r="JFP224" i="22"/>
  <c r="JFQ224" i="22"/>
  <c r="JFR224" i="22"/>
  <c r="JFS224" i="22"/>
  <c r="JFT224" i="22"/>
  <c r="JFU224" i="22"/>
  <c r="JFV224" i="22"/>
  <c r="JFW224" i="22"/>
  <c r="JFX224" i="22"/>
  <c r="JFY224" i="22"/>
  <c r="JFZ224" i="22"/>
  <c r="JGA224" i="22"/>
  <c r="JGB224" i="22"/>
  <c r="JGC224" i="22"/>
  <c r="JGD224" i="22"/>
  <c r="JGE224" i="22"/>
  <c r="JGF224" i="22"/>
  <c r="JGG224" i="22"/>
  <c r="JGH224" i="22"/>
  <c r="JGI224" i="22"/>
  <c r="JGJ224" i="22"/>
  <c r="JGK224" i="22"/>
  <c r="JGL224" i="22"/>
  <c r="JGM224" i="22"/>
  <c r="JGN224" i="22"/>
  <c r="JGO224" i="22"/>
  <c r="JGP224" i="22"/>
  <c r="JGQ224" i="22"/>
  <c r="JGR224" i="22"/>
  <c r="JGS224" i="22"/>
  <c r="JGT224" i="22"/>
  <c r="JGU224" i="22"/>
  <c r="JGV224" i="22"/>
  <c r="JGW224" i="22"/>
  <c r="JGX224" i="22"/>
  <c r="JGY224" i="22"/>
  <c r="JGZ224" i="22"/>
  <c r="JHA224" i="22"/>
  <c r="JHB224" i="22"/>
  <c r="JHC224" i="22"/>
  <c r="JHD224" i="22"/>
  <c r="JHE224" i="22"/>
  <c r="JHF224" i="22"/>
  <c r="JHG224" i="22"/>
  <c r="JHH224" i="22"/>
  <c r="JHI224" i="22"/>
  <c r="JHJ224" i="22"/>
  <c r="JHK224" i="22"/>
  <c r="JHL224" i="22"/>
  <c r="JHM224" i="22"/>
  <c r="JHN224" i="22"/>
  <c r="JHO224" i="22"/>
  <c r="JHP224" i="22"/>
  <c r="JHQ224" i="22"/>
  <c r="JHR224" i="22"/>
  <c r="JHS224" i="22"/>
  <c r="JHT224" i="22"/>
  <c r="JHU224" i="22"/>
  <c r="JHV224" i="22"/>
  <c r="JHW224" i="22"/>
  <c r="JHX224" i="22"/>
  <c r="JHY224" i="22"/>
  <c r="JHZ224" i="22"/>
  <c r="JIA224" i="22"/>
  <c r="JIB224" i="22"/>
  <c r="JIC224" i="22"/>
  <c r="JID224" i="22"/>
  <c r="JIE224" i="22"/>
  <c r="JIF224" i="22"/>
  <c r="JIG224" i="22"/>
  <c r="JIH224" i="22"/>
  <c r="JII224" i="22"/>
  <c r="JIJ224" i="22"/>
  <c r="JIK224" i="22"/>
  <c r="JIL224" i="22"/>
  <c r="JIM224" i="22"/>
  <c r="JIN224" i="22"/>
  <c r="JIO224" i="22"/>
  <c r="JIP224" i="22"/>
  <c r="JIQ224" i="22"/>
  <c r="JIR224" i="22"/>
  <c r="JIS224" i="22"/>
  <c r="JIT224" i="22"/>
  <c r="JIU224" i="22"/>
  <c r="JIV224" i="22"/>
  <c r="JIW224" i="22"/>
  <c r="JIX224" i="22"/>
  <c r="JIY224" i="22"/>
  <c r="JIZ224" i="22"/>
  <c r="JJA224" i="22"/>
  <c r="JJB224" i="22"/>
  <c r="JJC224" i="22"/>
  <c r="JJD224" i="22"/>
  <c r="JJE224" i="22"/>
  <c r="JJF224" i="22"/>
  <c r="JJG224" i="22"/>
  <c r="JJH224" i="22"/>
  <c r="JJI224" i="22"/>
  <c r="JJJ224" i="22"/>
  <c r="JJK224" i="22"/>
  <c r="JJL224" i="22"/>
  <c r="JJM224" i="22"/>
  <c r="JJN224" i="22"/>
  <c r="JJO224" i="22"/>
  <c r="JJP224" i="22"/>
  <c r="JJQ224" i="22"/>
  <c r="JJR224" i="22"/>
  <c r="JJS224" i="22"/>
  <c r="JJT224" i="22"/>
  <c r="JJU224" i="22"/>
  <c r="JJV224" i="22"/>
  <c r="JJW224" i="22"/>
  <c r="JJX224" i="22"/>
  <c r="JJY224" i="22"/>
  <c r="JJZ224" i="22"/>
  <c r="JKA224" i="22"/>
  <c r="JKB224" i="22"/>
  <c r="JKC224" i="22"/>
  <c r="JKD224" i="22"/>
  <c r="JKE224" i="22"/>
  <c r="JKF224" i="22"/>
  <c r="JKG224" i="22"/>
  <c r="JKH224" i="22"/>
  <c r="JKI224" i="22"/>
  <c r="JKJ224" i="22"/>
  <c r="JKK224" i="22"/>
  <c r="JKL224" i="22"/>
  <c r="JKM224" i="22"/>
  <c r="JKN224" i="22"/>
  <c r="JKO224" i="22"/>
  <c r="JKP224" i="22"/>
  <c r="JKQ224" i="22"/>
  <c r="JKR224" i="22"/>
  <c r="JKS224" i="22"/>
  <c r="JKT224" i="22"/>
  <c r="JKU224" i="22"/>
  <c r="JKV224" i="22"/>
  <c r="JKW224" i="22"/>
  <c r="JKX224" i="22"/>
  <c r="JKY224" i="22"/>
  <c r="JKZ224" i="22"/>
  <c r="JLA224" i="22"/>
  <c r="JLB224" i="22"/>
  <c r="JLC224" i="22"/>
  <c r="JLD224" i="22"/>
  <c r="JLE224" i="22"/>
  <c r="JLF224" i="22"/>
  <c r="JLG224" i="22"/>
  <c r="JLH224" i="22"/>
  <c r="JLI224" i="22"/>
  <c r="JLJ224" i="22"/>
  <c r="JLK224" i="22"/>
  <c r="JLL224" i="22"/>
  <c r="JLM224" i="22"/>
  <c r="JLN224" i="22"/>
  <c r="JLO224" i="22"/>
  <c r="JLP224" i="22"/>
  <c r="JLQ224" i="22"/>
  <c r="JLR224" i="22"/>
  <c r="JLS224" i="22"/>
  <c r="JLT224" i="22"/>
  <c r="JLU224" i="22"/>
  <c r="JLV224" i="22"/>
  <c r="JLW224" i="22"/>
  <c r="JLX224" i="22"/>
  <c r="JLY224" i="22"/>
  <c r="JLZ224" i="22"/>
  <c r="JMA224" i="22"/>
  <c r="JMB224" i="22"/>
  <c r="JMC224" i="22"/>
  <c r="JMD224" i="22"/>
  <c r="JME224" i="22"/>
  <c r="JMF224" i="22"/>
  <c r="JMG224" i="22"/>
  <c r="JMH224" i="22"/>
  <c r="JMI224" i="22"/>
  <c r="JMJ224" i="22"/>
  <c r="JMK224" i="22"/>
  <c r="JML224" i="22"/>
  <c r="JMM224" i="22"/>
  <c r="JMN224" i="22"/>
  <c r="JMO224" i="22"/>
  <c r="JMP224" i="22"/>
  <c r="JMQ224" i="22"/>
  <c r="JMR224" i="22"/>
  <c r="JMS224" i="22"/>
  <c r="JMT224" i="22"/>
  <c r="JMU224" i="22"/>
  <c r="JMV224" i="22"/>
  <c r="JMW224" i="22"/>
  <c r="JMX224" i="22"/>
  <c r="JMY224" i="22"/>
  <c r="JMZ224" i="22"/>
  <c r="JNA224" i="22"/>
  <c r="JNB224" i="22"/>
  <c r="JNC224" i="22"/>
  <c r="JND224" i="22"/>
  <c r="JNE224" i="22"/>
  <c r="JNF224" i="22"/>
  <c r="JNG224" i="22"/>
  <c r="JNH224" i="22"/>
  <c r="JNI224" i="22"/>
  <c r="JNJ224" i="22"/>
  <c r="JNK224" i="22"/>
  <c r="JNL224" i="22"/>
  <c r="JNM224" i="22"/>
  <c r="JNN224" i="22"/>
  <c r="JNO224" i="22"/>
  <c r="JNP224" i="22"/>
  <c r="JNQ224" i="22"/>
  <c r="JNR224" i="22"/>
  <c r="JNS224" i="22"/>
  <c r="JNT224" i="22"/>
  <c r="JNU224" i="22"/>
  <c r="JNV224" i="22"/>
  <c r="JNW224" i="22"/>
  <c r="JNX224" i="22"/>
  <c r="JNY224" i="22"/>
  <c r="JNZ224" i="22"/>
  <c r="JOA224" i="22"/>
  <c r="JOB224" i="22"/>
  <c r="JOC224" i="22"/>
  <c r="JOD224" i="22"/>
  <c r="JOE224" i="22"/>
  <c r="JOF224" i="22"/>
  <c r="JOG224" i="22"/>
  <c r="JOH224" i="22"/>
  <c r="JOI224" i="22"/>
  <c r="JOJ224" i="22"/>
  <c r="JOK224" i="22"/>
  <c r="JOL224" i="22"/>
  <c r="JOM224" i="22"/>
  <c r="JON224" i="22"/>
  <c r="JOO224" i="22"/>
  <c r="JOP224" i="22"/>
  <c r="JOQ224" i="22"/>
  <c r="JOR224" i="22"/>
  <c r="JOS224" i="22"/>
  <c r="JOT224" i="22"/>
  <c r="JOU224" i="22"/>
  <c r="JOV224" i="22"/>
  <c r="JOW224" i="22"/>
  <c r="JOX224" i="22"/>
  <c r="JOY224" i="22"/>
  <c r="JOZ224" i="22"/>
  <c r="JPA224" i="22"/>
  <c r="JPB224" i="22"/>
  <c r="JPC224" i="22"/>
  <c r="JPD224" i="22"/>
  <c r="JPE224" i="22"/>
  <c r="JPF224" i="22"/>
  <c r="JPG224" i="22"/>
  <c r="JPH224" i="22"/>
  <c r="JPI224" i="22"/>
  <c r="JPJ224" i="22"/>
  <c r="JPK224" i="22"/>
  <c r="JPL224" i="22"/>
  <c r="JPM224" i="22"/>
  <c r="JPN224" i="22"/>
  <c r="JPO224" i="22"/>
  <c r="JPP224" i="22"/>
  <c r="JPQ224" i="22"/>
  <c r="JPR224" i="22"/>
  <c r="JPS224" i="22"/>
  <c r="JPT224" i="22"/>
  <c r="JPU224" i="22"/>
  <c r="JPV224" i="22"/>
  <c r="JPW224" i="22"/>
  <c r="JPX224" i="22"/>
  <c r="JPY224" i="22"/>
  <c r="JPZ224" i="22"/>
  <c r="JQA224" i="22"/>
  <c r="JQB224" i="22"/>
  <c r="JQC224" i="22"/>
  <c r="JQD224" i="22"/>
  <c r="JQE224" i="22"/>
  <c r="JQF224" i="22"/>
  <c r="JQG224" i="22"/>
  <c r="JQH224" i="22"/>
  <c r="JQI224" i="22"/>
  <c r="JQJ224" i="22"/>
  <c r="JQK224" i="22"/>
  <c r="JQL224" i="22"/>
  <c r="JQM224" i="22"/>
  <c r="JQN224" i="22"/>
  <c r="JQO224" i="22"/>
  <c r="JQP224" i="22"/>
  <c r="JQQ224" i="22"/>
  <c r="JQR224" i="22"/>
  <c r="JQS224" i="22"/>
  <c r="JQT224" i="22"/>
  <c r="JQU224" i="22"/>
  <c r="JQV224" i="22"/>
  <c r="JQW224" i="22"/>
  <c r="JQX224" i="22"/>
  <c r="JQY224" i="22"/>
  <c r="JQZ224" i="22"/>
  <c r="JRA224" i="22"/>
  <c r="JRB224" i="22"/>
  <c r="JRC224" i="22"/>
  <c r="JRD224" i="22"/>
  <c r="JRE224" i="22"/>
  <c r="JRF224" i="22"/>
  <c r="JRG224" i="22"/>
  <c r="JRH224" i="22"/>
  <c r="JRI224" i="22"/>
  <c r="JRJ224" i="22"/>
  <c r="JRK224" i="22"/>
  <c r="JRL224" i="22"/>
  <c r="JRM224" i="22"/>
  <c r="JRN224" i="22"/>
  <c r="JRO224" i="22"/>
  <c r="JRP224" i="22"/>
  <c r="JRQ224" i="22"/>
  <c r="JRR224" i="22"/>
  <c r="JRS224" i="22"/>
  <c r="JRT224" i="22"/>
  <c r="JRU224" i="22"/>
  <c r="JRV224" i="22"/>
  <c r="JRW224" i="22"/>
  <c r="JRX224" i="22"/>
  <c r="JRY224" i="22"/>
  <c r="JRZ224" i="22"/>
  <c r="JSA224" i="22"/>
  <c r="JSB224" i="22"/>
  <c r="JSC224" i="22"/>
  <c r="JSD224" i="22"/>
  <c r="JSE224" i="22"/>
  <c r="JSF224" i="22"/>
  <c r="JSG224" i="22"/>
  <c r="JSH224" i="22"/>
  <c r="JSI224" i="22"/>
  <c r="JSJ224" i="22"/>
  <c r="JSK224" i="22"/>
  <c r="JSL224" i="22"/>
  <c r="JSM224" i="22"/>
  <c r="JSN224" i="22"/>
  <c r="JSO224" i="22"/>
  <c r="JSP224" i="22"/>
  <c r="JSQ224" i="22"/>
  <c r="JSR224" i="22"/>
  <c r="JSS224" i="22"/>
  <c r="JST224" i="22"/>
  <c r="JSU224" i="22"/>
  <c r="JSV224" i="22"/>
  <c r="JSW224" i="22"/>
  <c r="JSX224" i="22"/>
  <c r="JSY224" i="22"/>
  <c r="JSZ224" i="22"/>
  <c r="JTA224" i="22"/>
  <c r="JTB224" i="22"/>
  <c r="JTC224" i="22"/>
  <c r="JTD224" i="22"/>
  <c r="JTE224" i="22"/>
  <c r="JTF224" i="22"/>
  <c r="JTG224" i="22"/>
  <c r="JTH224" i="22"/>
  <c r="JTI224" i="22"/>
  <c r="JTJ224" i="22"/>
  <c r="JTK224" i="22"/>
  <c r="JTL224" i="22"/>
  <c r="JTM224" i="22"/>
  <c r="JTN224" i="22"/>
  <c r="JTO224" i="22"/>
  <c r="JTP224" i="22"/>
  <c r="JTQ224" i="22"/>
  <c r="JTR224" i="22"/>
  <c r="JTS224" i="22"/>
  <c r="JTT224" i="22"/>
  <c r="JTU224" i="22"/>
  <c r="JTV224" i="22"/>
  <c r="JTW224" i="22"/>
  <c r="JTX224" i="22"/>
  <c r="JTY224" i="22"/>
  <c r="JTZ224" i="22"/>
  <c r="JUA224" i="22"/>
  <c r="JUB224" i="22"/>
  <c r="JUC224" i="22"/>
  <c r="JUD224" i="22"/>
  <c r="JUE224" i="22"/>
  <c r="JUF224" i="22"/>
  <c r="JUG224" i="22"/>
  <c r="JUH224" i="22"/>
  <c r="JUI224" i="22"/>
  <c r="JUJ224" i="22"/>
  <c r="JUK224" i="22"/>
  <c r="JUL224" i="22"/>
  <c r="JUM224" i="22"/>
  <c r="JUN224" i="22"/>
  <c r="JUO224" i="22"/>
  <c r="JUP224" i="22"/>
  <c r="JUQ224" i="22"/>
  <c r="JUR224" i="22"/>
  <c r="JUS224" i="22"/>
  <c r="JUT224" i="22"/>
  <c r="JUU224" i="22"/>
  <c r="JUV224" i="22"/>
  <c r="JUW224" i="22"/>
  <c r="JUX224" i="22"/>
  <c r="JUY224" i="22"/>
  <c r="JUZ224" i="22"/>
  <c r="JVA224" i="22"/>
  <c r="JVB224" i="22"/>
  <c r="JVC224" i="22"/>
  <c r="JVD224" i="22"/>
  <c r="JVE224" i="22"/>
  <c r="JVF224" i="22"/>
  <c r="JVG224" i="22"/>
  <c r="JVH224" i="22"/>
  <c r="JVI224" i="22"/>
  <c r="JVJ224" i="22"/>
  <c r="JVK224" i="22"/>
  <c r="JVL224" i="22"/>
  <c r="JVM224" i="22"/>
  <c r="JVN224" i="22"/>
  <c r="JVO224" i="22"/>
  <c r="JVP224" i="22"/>
  <c r="JVQ224" i="22"/>
  <c r="JVR224" i="22"/>
  <c r="JVS224" i="22"/>
  <c r="JVT224" i="22"/>
  <c r="JVU224" i="22"/>
  <c r="JVV224" i="22"/>
  <c r="JVW224" i="22"/>
  <c r="JVX224" i="22"/>
  <c r="JVY224" i="22"/>
  <c r="JVZ224" i="22"/>
  <c r="JWA224" i="22"/>
  <c r="JWB224" i="22"/>
  <c r="JWC224" i="22"/>
  <c r="JWD224" i="22"/>
  <c r="JWE224" i="22"/>
  <c r="JWF224" i="22"/>
  <c r="JWG224" i="22"/>
  <c r="JWH224" i="22"/>
  <c r="JWI224" i="22"/>
  <c r="JWJ224" i="22"/>
  <c r="JWK224" i="22"/>
  <c r="JWL224" i="22"/>
  <c r="JWM224" i="22"/>
  <c r="JWN224" i="22"/>
  <c r="JWO224" i="22"/>
  <c r="JWP224" i="22"/>
  <c r="JWQ224" i="22"/>
  <c r="JWR224" i="22"/>
  <c r="JWS224" i="22"/>
  <c r="JWT224" i="22"/>
  <c r="JWU224" i="22"/>
  <c r="JWV224" i="22"/>
  <c r="JWW224" i="22"/>
  <c r="JWX224" i="22"/>
  <c r="JWY224" i="22"/>
  <c r="JWZ224" i="22"/>
  <c r="JXA224" i="22"/>
  <c r="JXB224" i="22"/>
  <c r="JXC224" i="22"/>
  <c r="JXD224" i="22"/>
  <c r="JXE224" i="22"/>
  <c r="JXF224" i="22"/>
  <c r="JXG224" i="22"/>
  <c r="JXH224" i="22"/>
  <c r="JXI224" i="22"/>
  <c r="JXJ224" i="22"/>
  <c r="JXK224" i="22"/>
  <c r="JXL224" i="22"/>
  <c r="JXM224" i="22"/>
  <c r="JXN224" i="22"/>
  <c r="JXO224" i="22"/>
  <c r="JXP224" i="22"/>
  <c r="JXQ224" i="22"/>
  <c r="JXR224" i="22"/>
  <c r="JXS224" i="22"/>
  <c r="JXT224" i="22"/>
  <c r="JXU224" i="22"/>
  <c r="JXV224" i="22"/>
  <c r="JXW224" i="22"/>
  <c r="JXX224" i="22"/>
  <c r="JXY224" i="22"/>
  <c r="JXZ224" i="22"/>
  <c r="JYA224" i="22"/>
  <c r="JYB224" i="22"/>
  <c r="JYC224" i="22"/>
  <c r="JYD224" i="22"/>
  <c r="JYE224" i="22"/>
  <c r="JYF224" i="22"/>
  <c r="JYG224" i="22"/>
  <c r="JYH224" i="22"/>
  <c r="JYI224" i="22"/>
  <c r="JYJ224" i="22"/>
  <c r="JYK224" i="22"/>
  <c r="JYL224" i="22"/>
  <c r="JYM224" i="22"/>
  <c r="JYN224" i="22"/>
  <c r="JYO224" i="22"/>
  <c r="JYP224" i="22"/>
  <c r="JYQ224" i="22"/>
  <c r="JYR224" i="22"/>
  <c r="JYS224" i="22"/>
  <c r="JYT224" i="22"/>
  <c r="JYU224" i="22"/>
  <c r="JYV224" i="22"/>
  <c r="JYW224" i="22"/>
  <c r="JYX224" i="22"/>
  <c r="JYY224" i="22"/>
  <c r="JYZ224" i="22"/>
  <c r="JZA224" i="22"/>
  <c r="JZB224" i="22"/>
  <c r="JZC224" i="22"/>
  <c r="JZD224" i="22"/>
  <c r="JZE224" i="22"/>
  <c r="JZF224" i="22"/>
  <c r="JZG224" i="22"/>
  <c r="JZH224" i="22"/>
  <c r="JZI224" i="22"/>
  <c r="JZJ224" i="22"/>
  <c r="JZK224" i="22"/>
  <c r="JZL224" i="22"/>
  <c r="JZM224" i="22"/>
  <c r="JZN224" i="22"/>
  <c r="JZO224" i="22"/>
  <c r="JZP224" i="22"/>
  <c r="JZQ224" i="22"/>
  <c r="JZR224" i="22"/>
  <c r="JZS224" i="22"/>
  <c r="JZT224" i="22"/>
  <c r="JZU224" i="22"/>
  <c r="JZV224" i="22"/>
  <c r="JZW224" i="22"/>
  <c r="JZX224" i="22"/>
  <c r="JZY224" i="22"/>
  <c r="JZZ224" i="22"/>
  <c r="KAA224" i="22"/>
  <c r="KAB224" i="22"/>
  <c r="KAC224" i="22"/>
  <c r="KAD224" i="22"/>
  <c r="KAE224" i="22"/>
  <c r="KAF224" i="22"/>
  <c r="KAG224" i="22"/>
  <c r="KAH224" i="22"/>
  <c r="KAI224" i="22"/>
  <c r="KAJ224" i="22"/>
  <c r="KAK224" i="22"/>
  <c r="KAL224" i="22"/>
  <c r="KAM224" i="22"/>
  <c r="KAN224" i="22"/>
  <c r="KAO224" i="22"/>
  <c r="KAP224" i="22"/>
  <c r="KAQ224" i="22"/>
  <c r="KAR224" i="22"/>
  <c r="KAS224" i="22"/>
  <c r="KAT224" i="22"/>
  <c r="KAU224" i="22"/>
  <c r="KAV224" i="22"/>
  <c r="KAW224" i="22"/>
  <c r="KAX224" i="22"/>
  <c r="KAY224" i="22"/>
  <c r="KAZ224" i="22"/>
  <c r="KBA224" i="22"/>
  <c r="KBB224" i="22"/>
  <c r="KBC224" i="22"/>
  <c r="KBD224" i="22"/>
  <c r="KBE224" i="22"/>
  <c r="KBF224" i="22"/>
  <c r="KBG224" i="22"/>
  <c r="KBH224" i="22"/>
  <c r="KBI224" i="22"/>
  <c r="KBJ224" i="22"/>
  <c r="KBK224" i="22"/>
  <c r="KBL224" i="22"/>
  <c r="KBM224" i="22"/>
  <c r="KBN224" i="22"/>
  <c r="KBO224" i="22"/>
  <c r="KBP224" i="22"/>
  <c r="KBQ224" i="22"/>
  <c r="KBR224" i="22"/>
  <c r="KBS224" i="22"/>
  <c r="KBT224" i="22"/>
  <c r="KBU224" i="22"/>
  <c r="KBV224" i="22"/>
  <c r="KBW224" i="22"/>
  <c r="KBX224" i="22"/>
  <c r="KBY224" i="22"/>
  <c r="KBZ224" i="22"/>
  <c r="KCA224" i="22"/>
  <c r="KCB224" i="22"/>
  <c r="KCC224" i="22"/>
  <c r="KCD224" i="22"/>
  <c r="KCE224" i="22"/>
  <c r="KCF224" i="22"/>
  <c r="KCG224" i="22"/>
  <c r="KCH224" i="22"/>
  <c r="KCI224" i="22"/>
  <c r="KCJ224" i="22"/>
  <c r="KCK224" i="22"/>
  <c r="KCL224" i="22"/>
  <c r="KCM224" i="22"/>
  <c r="KCN224" i="22"/>
  <c r="KCO224" i="22"/>
  <c r="KCP224" i="22"/>
  <c r="KCQ224" i="22"/>
  <c r="KCR224" i="22"/>
  <c r="KCS224" i="22"/>
  <c r="KCT224" i="22"/>
  <c r="KCU224" i="22"/>
  <c r="KCV224" i="22"/>
  <c r="KCW224" i="22"/>
  <c r="KCX224" i="22"/>
  <c r="KCY224" i="22"/>
  <c r="KCZ224" i="22"/>
  <c r="KDA224" i="22"/>
  <c r="KDB224" i="22"/>
  <c r="KDC224" i="22"/>
  <c r="KDD224" i="22"/>
  <c r="KDE224" i="22"/>
  <c r="KDF224" i="22"/>
  <c r="KDG224" i="22"/>
  <c r="KDH224" i="22"/>
  <c r="KDI224" i="22"/>
  <c r="KDJ224" i="22"/>
  <c r="KDK224" i="22"/>
  <c r="KDL224" i="22"/>
  <c r="KDM224" i="22"/>
  <c r="KDN224" i="22"/>
  <c r="KDO224" i="22"/>
  <c r="KDP224" i="22"/>
  <c r="KDQ224" i="22"/>
  <c r="KDR224" i="22"/>
  <c r="KDS224" i="22"/>
  <c r="KDT224" i="22"/>
  <c r="KDU224" i="22"/>
  <c r="KDV224" i="22"/>
  <c r="KDW224" i="22"/>
  <c r="KDX224" i="22"/>
  <c r="KDY224" i="22"/>
  <c r="KDZ224" i="22"/>
  <c r="KEA224" i="22"/>
  <c r="KEB224" i="22"/>
  <c r="KEC224" i="22"/>
  <c r="KED224" i="22"/>
  <c r="KEE224" i="22"/>
  <c r="KEF224" i="22"/>
  <c r="KEG224" i="22"/>
  <c r="KEH224" i="22"/>
  <c r="KEI224" i="22"/>
  <c r="KEJ224" i="22"/>
  <c r="KEK224" i="22"/>
  <c r="KEL224" i="22"/>
  <c r="KEM224" i="22"/>
  <c r="KEN224" i="22"/>
  <c r="KEO224" i="22"/>
  <c r="KEP224" i="22"/>
  <c r="KEQ224" i="22"/>
  <c r="KER224" i="22"/>
  <c r="KES224" i="22"/>
  <c r="KET224" i="22"/>
  <c r="KEU224" i="22"/>
  <c r="KEV224" i="22"/>
  <c r="KEW224" i="22"/>
  <c r="KEX224" i="22"/>
  <c r="KEY224" i="22"/>
  <c r="KEZ224" i="22"/>
  <c r="KFA224" i="22"/>
  <c r="KFB224" i="22"/>
  <c r="KFC224" i="22"/>
  <c r="KFD224" i="22"/>
  <c r="KFE224" i="22"/>
  <c r="KFF224" i="22"/>
  <c r="KFG224" i="22"/>
  <c r="KFH224" i="22"/>
  <c r="KFI224" i="22"/>
  <c r="KFJ224" i="22"/>
  <c r="KFK224" i="22"/>
  <c r="KFL224" i="22"/>
  <c r="KFM224" i="22"/>
  <c r="KFN224" i="22"/>
  <c r="KFO224" i="22"/>
  <c r="KFP224" i="22"/>
  <c r="KFQ224" i="22"/>
  <c r="KFR224" i="22"/>
  <c r="KFS224" i="22"/>
  <c r="KFT224" i="22"/>
  <c r="KFU224" i="22"/>
  <c r="KFV224" i="22"/>
  <c r="KFW224" i="22"/>
  <c r="KFX224" i="22"/>
  <c r="KFY224" i="22"/>
  <c r="KFZ224" i="22"/>
  <c r="KGA224" i="22"/>
  <c r="KGB224" i="22"/>
  <c r="KGC224" i="22"/>
  <c r="KGD224" i="22"/>
  <c r="KGE224" i="22"/>
  <c r="KGF224" i="22"/>
  <c r="KGG224" i="22"/>
  <c r="KGH224" i="22"/>
  <c r="KGI224" i="22"/>
  <c r="KGJ224" i="22"/>
  <c r="KGK224" i="22"/>
  <c r="KGL224" i="22"/>
  <c r="KGM224" i="22"/>
  <c r="KGN224" i="22"/>
  <c r="KGO224" i="22"/>
  <c r="KGP224" i="22"/>
  <c r="KGQ224" i="22"/>
  <c r="KGR224" i="22"/>
  <c r="KGS224" i="22"/>
  <c r="KGT224" i="22"/>
  <c r="KGU224" i="22"/>
  <c r="KGV224" i="22"/>
  <c r="KGW224" i="22"/>
  <c r="KGX224" i="22"/>
  <c r="KGY224" i="22"/>
  <c r="KGZ224" i="22"/>
  <c r="KHA224" i="22"/>
  <c r="KHB224" i="22"/>
  <c r="KHC224" i="22"/>
  <c r="KHD224" i="22"/>
  <c r="KHE224" i="22"/>
  <c r="KHF224" i="22"/>
  <c r="KHG224" i="22"/>
  <c r="KHH224" i="22"/>
  <c r="KHI224" i="22"/>
  <c r="KHJ224" i="22"/>
  <c r="KHK224" i="22"/>
  <c r="KHL224" i="22"/>
  <c r="KHM224" i="22"/>
  <c r="KHN224" i="22"/>
  <c r="KHO224" i="22"/>
  <c r="KHP224" i="22"/>
  <c r="KHQ224" i="22"/>
  <c r="KHR224" i="22"/>
  <c r="KHS224" i="22"/>
  <c r="KHT224" i="22"/>
  <c r="KHU224" i="22"/>
  <c r="KHV224" i="22"/>
  <c r="KHW224" i="22"/>
  <c r="KHX224" i="22"/>
  <c r="KHY224" i="22"/>
  <c r="KHZ224" i="22"/>
  <c r="KIA224" i="22"/>
  <c r="KIB224" i="22"/>
  <c r="KIC224" i="22"/>
  <c r="KID224" i="22"/>
  <c r="KIE224" i="22"/>
  <c r="KIF224" i="22"/>
  <c r="KIG224" i="22"/>
  <c r="KIH224" i="22"/>
  <c r="KII224" i="22"/>
  <c r="KIJ224" i="22"/>
  <c r="KIK224" i="22"/>
  <c r="KIL224" i="22"/>
  <c r="KIM224" i="22"/>
  <c r="KIN224" i="22"/>
  <c r="KIO224" i="22"/>
  <c r="KIP224" i="22"/>
  <c r="KIQ224" i="22"/>
  <c r="KIR224" i="22"/>
  <c r="KIS224" i="22"/>
  <c r="KIT224" i="22"/>
  <c r="KIU224" i="22"/>
  <c r="KIV224" i="22"/>
  <c r="KIW224" i="22"/>
  <c r="KIX224" i="22"/>
  <c r="KIY224" i="22"/>
  <c r="KIZ224" i="22"/>
  <c r="KJA224" i="22"/>
  <c r="KJB224" i="22"/>
  <c r="KJC224" i="22"/>
  <c r="KJD224" i="22"/>
  <c r="KJE224" i="22"/>
  <c r="KJF224" i="22"/>
  <c r="KJG224" i="22"/>
  <c r="KJH224" i="22"/>
  <c r="KJI224" i="22"/>
  <c r="KJJ224" i="22"/>
  <c r="KJK224" i="22"/>
  <c r="KJL224" i="22"/>
  <c r="KJM224" i="22"/>
  <c r="KJN224" i="22"/>
  <c r="KJO224" i="22"/>
  <c r="KJP224" i="22"/>
  <c r="KJQ224" i="22"/>
  <c r="KJR224" i="22"/>
  <c r="KJS224" i="22"/>
  <c r="KJT224" i="22"/>
  <c r="KJU224" i="22"/>
  <c r="KJV224" i="22"/>
  <c r="KJW224" i="22"/>
  <c r="KJX224" i="22"/>
  <c r="KJY224" i="22"/>
  <c r="KJZ224" i="22"/>
  <c r="KKA224" i="22"/>
  <c r="KKB224" i="22"/>
  <c r="KKC224" i="22"/>
  <c r="KKD224" i="22"/>
  <c r="KKE224" i="22"/>
  <c r="KKF224" i="22"/>
  <c r="KKG224" i="22"/>
  <c r="KKH224" i="22"/>
  <c r="KKI224" i="22"/>
  <c r="KKJ224" i="22"/>
  <c r="KKK224" i="22"/>
  <c r="KKL224" i="22"/>
  <c r="KKM224" i="22"/>
  <c r="KKN224" i="22"/>
  <c r="KKO224" i="22"/>
  <c r="KKP224" i="22"/>
  <c r="KKQ224" i="22"/>
  <c r="KKR224" i="22"/>
  <c r="KKS224" i="22"/>
  <c r="KKT224" i="22"/>
  <c r="KKU224" i="22"/>
  <c r="KKV224" i="22"/>
  <c r="KKW224" i="22"/>
  <c r="KKX224" i="22"/>
  <c r="KKY224" i="22"/>
  <c r="KKZ224" i="22"/>
  <c r="KLA224" i="22"/>
  <c r="KLB224" i="22"/>
  <c r="KLC224" i="22"/>
  <c r="KLD224" i="22"/>
  <c r="KLE224" i="22"/>
  <c r="KLF224" i="22"/>
  <c r="KLG224" i="22"/>
  <c r="KLH224" i="22"/>
  <c r="KLI224" i="22"/>
  <c r="KLJ224" i="22"/>
  <c r="KLK224" i="22"/>
  <c r="KLL224" i="22"/>
  <c r="KLM224" i="22"/>
  <c r="KLN224" i="22"/>
  <c r="KLO224" i="22"/>
  <c r="KLP224" i="22"/>
  <c r="KLQ224" i="22"/>
  <c r="KLR224" i="22"/>
  <c r="KLS224" i="22"/>
  <c r="KLT224" i="22"/>
  <c r="KLU224" i="22"/>
  <c r="KLV224" i="22"/>
  <c r="KLW224" i="22"/>
  <c r="KLX224" i="22"/>
  <c r="KLY224" i="22"/>
  <c r="KLZ224" i="22"/>
  <c r="KMA224" i="22"/>
  <c r="KMB224" i="22"/>
  <c r="KMC224" i="22"/>
  <c r="KMD224" i="22"/>
  <c r="KME224" i="22"/>
  <c r="KMF224" i="22"/>
  <c r="KMG224" i="22"/>
  <c r="KMH224" i="22"/>
  <c r="KMI224" i="22"/>
  <c r="KMJ224" i="22"/>
  <c r="KMK224" i="22"/>
  <c r="KML224" i="22"/>
  <c r="KMM224" i="22"/>
  <c r="KMN224" i="22"/>
  <c r="KMO224" i="22"/>
  <c r="KMP224" i="22"/>
  <c r="KMQ224" i="22"/>
  <c r="KMR224" i="22"/>
  <c r="KMS224" i="22"/>
  <c r="KMT224" i="22"/>
  <c r="KMU224" i="22"/>
  <c r="KMV224" i="22"/>
  <c r="KMW224" i="22"/>
  <c r="KMX224" i="22"/>
  <c r="KMY224" i="22"/>
  <c r="KMZ224" i="22"/>
  <c r="KNA224" i="22"/>
  <c r="KNB224" i="22"/>
  <c r="KNC224" i="22"/>
  <c r="KND224" i="22"/>
  <c r="KNE224" i="22"/>
  <c r="KNF224" i="22"/>
  <c r="KNG224" i="22"/>
  <c r="KNH224" i="22"/>
  <c r="KNI224" i="22"/>
  <c r="KNJ224" i="22"/>
  <c r="KNK224" i="22"/>
  <c r="KNL224" i="22"/>
  <c r="KNM224" i="22"/>
  <c r="KNN224" i="22"/>
  <c r="KNO224" i="22"/>
  <c r="KNP224" i="22"/>
  <c r="KNQ224" i="22"/>
  <c r="KNR224" i="22"/>
  <c r="KNS224" i="22"/>
  <c r="KNT224" i="22"/>
  <c r="KNU224" i="22"/>
  <c r="KNV224" i="22"/>
  <c r="KNW224" i="22"/>
  <c r="KNX224" i="22"/>
  <c r="KNY224" i="22"/>
  <c r="KNZ224" i="22"/>
  <c r="KOA224" i="22"/>
  <c r="KOB224" i="22"/>
  <c r="KOC224" i="22"/>
  <c r="KOD224" i="22"/>
  <c r="KOE224" i="22"/>
  <c r="KOF224" i="22"/>
  <c r="KOG224" i="22"/>
  <c r="KOH224" i="22"/>
  <c r="KOI224" i="22"/>
  <c r="KOJ224" i="22"/>
  <c r="KOK224" i="22"/>
  <c r="KOL224" i="22"/>
  <c r="KOM224" i="22"/>
  <c r="KON224" i="22"/>
  <c r="KOO224" i="22"/>
  <c r="KOP224" i="22"/>
  <c r="KOQ224" i="22"/>
  <c r="KOR224" i="22"/>
  <c r="KOS224" i="22"/>
  <c r="KOT224" i="22"/>
  <c r="KOU224" i="22"/>
  <c r="KOV224" i="22"/>
  <c r="KOW224" i="22"/>
  <c r="KOX224" i="22"/>
  <c r="KOY224" i="22"/>
  <c r="KOZ224" i="22"/>
  <c r="KPA224" i="22"/>
  <c r="KPB224" i="22"/>
  <c r="KPC224" i="22"/>
  <c r="KPD224" i="22"/>
  <c r="KPE224" i="22"/>
  <c r="KPF224" i="22"/>
  <c r="KPG224" i="22"/>
  <c r="KPH224" i="22"/>
  <c r="KPI224" i="22"/>
  <c r="KPJ224" i="22"/>
  <c r="KPK224" i="22"/>
  <c r="KPL224" i="22"/>
  <c r="KPM224" i="22"/>
  <c r="KPN224" i="22"/>
  <c r="KPO224" i="22"/>
  <c r="KPP224" i="22"/>
  <c r="KPQ224" i="22"/>
  <c r="KPR224" i="22"/>
  <c r="KPS224" i="22"/>
  <c r="KPT224" i="22"/>
  <c r="KPU224" i="22"/>
  <c r="KPV224" i="22"/>
  <c r="KPW224" i="22"/>
  <c r="KPX224" i="22"/>
  <c r="KPY224" i="22"/>
  <c r="KPZ224" i="22"/>
  <c r="KQA224" i="22"/>
  <c r="KQB224" i="22"/>
  <c r="KQC224" i="22"/>
  <c r="KQD224" i="22"/>
  <c r="KQE224" i="22"/>
  <c r="KQF224" i="22"/>
  <c r="KQG224" i="22"/>
  <c r="KQH224" i="22"/>
  <c r="KQI224" i="22"/>
  <c r="KQJ224" i="22"/>
  <c r="KQK224" i="22"/>
  <c r="KQL224" i="22"/>
  <c r="KQM224" i="22"/>
  <c r="KQN224" i="22"/>
  <c r="KQO224" i="22"/>
  <c r="KQP224" i="22"/>
  <c r="KQQ224" i="22"/>
  <c r="KQR224" i="22"/>
  <c r="KQS224" i="22"/>
  <c r="KQT224" i="22"/>
  <c r="KQU224" i="22"/>
  <c r="KQV224" i="22"/>
  <c r="KQW224" i="22"/>
  <c r="KQX224" i="22"/>
  <c r="KQY224" i="22"/>
  <c r="KQZ224" i="22"/>
  <c r="KRA224" i="22"/>
  <c r="KRB224" i="22"/>
  <c r="KRC224" i="22"/>
  <c r="KRD224" i="22"/>
  <c r="KRE224" i="22"/>
  <c r="KRF224" i="22"/>
  <c r="KRG224" i="22"/>
  <c r="KRH224" i="22"/>
  <c r="KRI224" i="22"/>
  <c r="KRJ224" i="22"/>
  <c r="KRK224" i="22"/>
  <c r="KRL224" i="22"/>
  <c r="KRM224" i="22"/>
  <c r="KRN224" i="22"/>
  <c r="KRO224" i="22"/>
  <c r="KRP224" i="22"/>
  <c r="KRQ224" i="22"/>
  <c r="KRR224" i="22"/>
  <c r="KRS224" i="22"/>
  <c r="KRT224" i="22"/>
  <c r="KRU224" i="22"/>
  <c r="KRV224" i="22"/>
  <c r="KRW224" i="22"/>
  <c r="KRX224" i="22"/>
  <c r="KRY224" i="22"/>
  <c r="KRZ224" i="22"/>
  <c r="KSA224" i="22"/>
  <c r="KSB224" i="22"/>
  <c r="KSC224" i="22"/>
  <c r="KSD224" i="22"/>
  <c r="KSE224" i="22"/>
  <c r="KSF224" i="22"/>
  <c r="KSG224" i="22"/>
  <c r="KSH224" i="22"/>
  <c r="KSI224" i="22"/>
  <c r="KSJ224" i="22"/>
  <c r="KSK224" i="22"/>
  <c r="KSL224" i="22"/>
  <c r="KSM224" i="22"/>
  <c r="KSN224" i="22"/>
  <c r="KSO224" i="22"/>
  <c r="KSP224" i="22"/>
  <c r="KSQ224" i="22"/>
  <c r="KSR224" i="22"/>
  <c r="KSS224" i="22"/>
  <c r="KST224" i="22"/>
  <c r="KSU224" i="22"/>
  <c r="KSV224" i="22"/>
  <c r="KSW224" i="22"/>
  <c r="KSX224" i="22"/>
  <c r="KSY224" i="22"/>
  <c r="KSZ224" i="22"/>
  <c r="KTA224" i="22"/>
  <c r="KTB224" i="22"/>
  <c r="KTC224" i="22"/>
  <c r="KTD224" i="22"/>
  <c r="KTE224" i="22"/>
  <c r="KTF224" i="22"/>
  <c r="KTG224" i="22"/>
  <c r="KTH224" i="22"/>
  <c r="KTI224" i="22"/>
  <c r="KTJ224" i="22"/>
  <c r="KTK224" i="22"/>
  <c r="KTL224" i="22"/>
  <c r="KTM224" i="22"/>
  <c r="KTN224" i="22"/>
  <c r="KTO224" i="22"/>
  <c r="KTP224" i="22"/>
  <c r="KTQ224" i="22"/>
  <c r="KTR224" i="22"/>
  <c r="KTS224" i="22"/>
  <c r="KTT224" i="22"/>
  <c r="KTU224" i="22"/>
  <c r="KTV224" i="22"/>
  <c r="KTW224" i="22"/>
  <c r="KTX224" i="22"/>
  <c r="KTY224" i="22"/>
  <c r="KTZ224" i="22"/>
  <c r="KUA224" i="22"/>
  <c r="KUB224" i="22"/>
  <c r="KUC224" i="22"/>
  <c r="KUD224" i="22"/>
  <c r="KUE224" i="22"/>
  <c r="KUF224" i="22"/>
  <c r="KUG224" i="22"/>
  <c r="KUH224" i="22"/>
  <c r="KUI224" i="22"/>
  <c r="KUJ224" i="22"/>
  <c r="KUK224" i="22"/>
  <c r="KUL224" i="22"/>
  <c r="KUM224" i="22"/>
  <c r="KUN224" i="22"/>
  <c r="KUO224" i="22"/>
  <c r="KUP224" i="22"/>
  <c r="KUQ224" i="22"/>
  <c r="KUR224" i="22"/>
  <c r="KUS224" i="22"/>
  <c r="KUT224" i="22"/>
  <c r="KUU224" i="22"/>
  <c r="KUV224" i="22"/>
  <c r="KUW224" i="22"/>
  <c r="KUX224" i="22"/>
  <c r="KUY224" i="22"/>
  <c r="KUZ224" i="22"/>
  <c r="KVA224" i="22"/>
  <c r="KVB224" i="22"/>
  <c r="KVC224" i="22"/>
  <c r="KVD224" i="22"/>
  <c r="KVE224" i="22"/>
  <c r="KVF224" i="22"/>
  <c r="KVG224" i="22"/>
  <c r="KVH224" i="22"/>
  <c r="KVI224" i="22"/>
  <c r="KVJ224" i="22"/>
  <c r="KVK224" i="22"/>
  <c r="KVL224" i="22"/>
  <c r="KVM224" i="22"/>
  <c r="KVN224" i="22"/>
  <c r="KVO224" i="22"/>
  <c r="KVP224" i="22"/>
  <c r="KVQ224" i="22"/>
  <c r="KVR224" i="22"/>
  <c r="KVS224" i="22"/>
  <c r="KVT224" i="22"/>
  <c r="KVU224" i="22"/>
  <c r="KVV224" i="22"/>
  <c r="KVW224" i="22"/>
  <c r="KVX224" i="22"/>
  <c r="KVY224" i="22"/>
  <c r="KVZ224" i="22"/>
  <c r="KWA224" i="22"/>
  <c r="KWB224" i="22"/>
  <c r="KWC224" i="22"/>
  <c r="KWD224" i="22"/>
  <c r="KWE224" i="22"/>
  <c r="KWF224" i="22"/>
  <c r="KWG224" i="22"/>
  <c r="KWH224" i="22"/>
  <c r="KWI224" i="22"/>
  <c r="KWJ224" i="22"/>
  <c r="KWK224" i="22"/>
  <c r="KWL224" i="22"/>
  <c r="KWM224" i="22"/>
  <c r="KWN224" i="22"/>
  <c r="KWO224" i="22"/>
  <c r="KWP224" i="22"/>
  <c r="KWQ224" i="22"/>
  <c r="KWR224" i="22"/>
  <c r="KWS224" i="22"/>
  <c r="KWT224" i="22"/>
  <c r="KWU224" i="22"/>
  <c r="KWV224" i="22"/>
  <c r="KWW224" i="22"/>
  <c r="KWX224" i="22"/>
  <c r="KWY224" i="22"/>
  <c r="KWZ224" i="22"/>
  <c r="KXA224" i="22"/>
  <c r="KXB224" i="22"/>
  <c r="KXC224" i="22"/>
  <c r="KXD224" i="22"/>
  <c r="KXE224" i="22"/>
  <c r="KXF224" i="22"/>
  <c r="KXG224" i="22"/>
  <c r="KXH224" i="22"/>
  <c r="KXI224" i="22"/>
  <c r="KXJ224" i="22"/>
  <c r="KXK224" i="22"/>
  <c r="KXL224" i="22"/>
  <c r="KXM224" i="22"/>
  <c r="KXN224" i="22"/>
  <c r="KXO224" i="22"/>
  <c r="KXP224" i="22"/>
  <c r="KXQ224" i="22"/>
  <c r="KXR224" i="22"/>
  <c r="KXS224" i="22"/>
  <c r="KXT224" i="22"/>
  <c r="KXU224" i="22"/>
  <c r="KXV224" i="22"/>
  <c r="KXW224" i="22"/>
  <c r="KXX224" i="22"/>
  <c r="KXY224" i="22"/>
  <c r="KXZ224" i="22"/>
  <c r="KYA224" i="22"/>
  <c r="KYB224" i="22"/>
  <c r="KYC224" i="22"/>
  <c r="KYD224" i="22"/>
  <c r="KYE224" i="22"/>
  <c r="KYF224" i="22"/>
  <c r="KYG224" i="22"/>
  <c r="KYH224" i="22"/>
  <c r="KYI224" i="22"/>
  <c r="KYJ224" i="22"/>
  <c r="KYK224" i="22"/>
  <c r="KYL224" i="22"/>
  <c r="KYM224" i="22"/>
  <c r="KYN224" i="22"/>
  <c r="KYO224" i="22"/>
  <c r="KYP224" i="22"/>
  <c r="KYQ224" i="22"/>
  <c r="KYR224" i="22"/>
  <c r="KYS224" i="22"/>
  <c r="KYT224" i="22"/>
  <c r="KYU224" i="22"/>
  <c r="KYV224" i="22"/>
  <c r="KYW224" i="22"/>
  <c r="KYX224" i="22"/>
  <c r="KYY224" i="22"/>
  <c r="KYZ224" i="22"/>
  <c r="KZA224" i="22"/>
  <c r="KZB224" i="22"/>
  <c r="KZC224" i="22"/>
  <c r="KZD224" i="22"/>
  <c r="KZE224" i="22"/>
  <c r="KZF224" i="22"/>
  <c r="KZG224" i="22"/>
  <c r="KZH224" i="22"/>
  <c r="KZI224" i="22"/>
  <c r="KZJ224" i="22"/>
  <c r="KZK224" i="22"/>
  <c r="KZL224" i="22"/>
  <c r="KZM224" i="22"/>
  <c r="KZN224" i="22"/>
  <c r="KZO224" i="22"/>
  <c r="KZP224" i="22"/>
  <c r="KZQ224" i="22"/>
  <c r="KZR224" i="22"/>
  <c r="KZS224" i="22"/>
  <c r="KZT224" i="22"/>
  <c r="KZU224" i="22"/>
  <c r="KZV224" i="22"/>
  <c r="KZW224" i="22"/>
  <c r="KZX224" i="22"/>
  <c r="KZY224" i="22"/>
  <c r="KZZ224" i="22"/>
  <c r="LAA224" i="22"/>
  <c r="LAB224" i="22"/>
  <c r="LAC224" i="22"/>
  <c r="LAD224" i="22"/>
  <c r="LAE224" i="22"/>
  <c r="LAF224" i="22"/>
  <c r="LAG224" i="22"/>
  <c r="LAH224" i="22"/>
  <c r="LAI224" i="22"/>
  <c r="LAJ224" i="22"/>
  <c r="LAK224" i="22"/>
  <c r="LAL224" i="22"/>
  <c r="LAM224" i="22"/>
  <c r="LAN224" i="22"/>
  <c r="LAO224" i="22"/>
  <c r="LAP224" i="22"/>
  <c r="LAQ224" i="22"/>
  <c r="LAR224" i="22"/>
  <c r="LAS224" i="22"/>
  <c r="LAT224" i="22"/>
  <c r="LAU224" i="22"/>
  <c r="LAV224" i="22"/>
  <c r="LAW224" i="22"/>
  <c r="LAX224" i="22"/>
  <c r="LAY224" i="22"/>
  <c r="LAZ224" i="22"/>
  <c r="LBA224" i="22"/>
  <c r="LBB224" i="22"/>
  <c r="LBC224" i="22"/>
  <c r="LBD224" i="22"/>
  <c r="LBE224" i="22"/>
  <c r="LBF224" i="22"/>
  <c r="LBG224" i="22"/>
  <c r="LBH224" i="22"/>
  <c r="LBI224" i="22"/>
  <c r="LBJ224" i="22"/>
  <c r="LBK224" i="22"/>
  <c r="LBL224" i="22"/>
  <c r="LBM224" i="22"/>
  <c r="LBN224" i="22"/>
  <c r="LBO224" i="22"/>
  <c r="LBP224" i="22"/>
  <c r="LBQ224" i="22"/>
  <c r="LBR224" i="22"/>
  <c r="LBS224" i="22"/>
  <c r="LBT224" i="22"/>
  <c r="LBU224" i="22"/>
  <c r="LBV224" i="22"/>
  <c r="LBW224" i="22"/>
  <c r="LBX224" i="22"/>
  <c r="LBY224" i="22"/>
  <c r="LBZ224" i="22"/>
  <c r="LCA224" i="22"/>
  <c r="LCB224" i="22"/>
  <c r="LCC224" i="22"/>
  <c r="LCD224" i="22"/>
  <c r="LCE224" i="22"/>
  <c r="LCF224" i="22"/>
  <c r="LCG224" i="22"/>
  <c r="LCH224" i="22"/>
  <c r="LCI224" i="22"/>
  <c r="LCJ224" i="22"/>
  <c r="LCK224" i="22"/>
  <c r="LCL224" i="22"/>
  <c r="LCM224" i="22"/>
  <c r="LCN224" i="22"/>
  <c r="LCO224" i="22"/>
  <c r="LCP224" i="22"/>
  <c r="LCQ224" i="22"/>
  <c r="LCR224" i="22"/>
  <c r="LCS224" i="22"/>
  <c r="LCT224" i="22"/>
  <c r="LCU224" i="22"/>
  <c r="LCV224" i="22"/>
  <c r="LCW224" i="22"/>
  <c r="LCX224" i="22"/>
  <c r="LCY224" i="22"/>
  <c r="LCZ224" i="22"/>
  <c r="LDA224" i="22"/>
  <c r="LDB224" i="22"/>
  <c r="LDC224" i="22"/>
  <c r="LDD224" i="22"/>
  <c r="LDE224" i="22"/>
  <c r="LDF224" i="22"/>
  <c r="LDG224" i="22"/>
  <c r="LDH224" i="22"/>
  <c r="LDI224" i="22"/>
  <c r="LDJ224" i="22"/>
  <c r="LDK224" i="22"/>
  <c r="LDL224" i="22"/>
  <c r="LDM224" i="22"/>
  <c r="LDN224" i="22"/>
  <c r="LDO224" i="22"/>
  <c r="LDP224" i="22"/>
  <c r="LDQ224" i="22"/>
  <c r="LDR224" i="22"/>
  <c r="LDS224" i="22"/>
  <c r="LDT224" i="22"/>
  <c r="LDU224" i="22"/>
  <c r="LDV224" i="22"/>
  <c r="LDW224" i="22"/>
  <c r="LDX224" i="22"/>
  <c r="LDY224" i="22"/>
  <c r="LDZ224" i="22"/>
  <c r="LEA224" i="22"/>
  <c r="LEB224" i="22"/>
  <c r="LEC224" i="22"/>
  <c r="LED224" i="22"/>
  <c r="LEE224" i="22"/>
  <c r="LEF224" i="22"/>
  <c r="LEG224" i="22"/>
  <c r="LEH224" i="22"/>
  <c r="LEI224" i="22"/>
  <c r="LEJ224" i="22"/>
  <c r="LEK224" i="22"/>
  <c r="LEL224" i="22"/>
  <c r="LEM224" i="22"/>
  <c r="LEN224" i="22"/>
  <c r="LEO224" i="22"/>
  <c r="LEP224" i="22"/>
  <c r="LEQ224" i="22"/>
  <c r="LER224" i="22"/>
  <c r="LES224" i="22"/>
  <c r="LET224" i="22"/>
  <c r="LEU224" i="22"/>
  <c r="LEV224" i="22"/>
  <c r="LEW224" i="22"/>
  <c r="LEX224" i="22"/>
  <c r="LEY224" i="22"/>
  <c r="LEZ224" i="22"/>
  <c r="LFA224" i="22"/>
  <c r="LFB224" i="22"/>
  <c r="LFC224" i="22"/>
  <c r="LFD224" i="22"/>
  <c r="LFE224" i="22"/>
  <c r="LFF224" i="22"/>
  <c r="LFG224" i="22"/>
  <c r="LFH224" i="22"/>
  <c r="LFI224" i="22"/>
  <c r="LFJ224" i="22"/>
  <c r="LFK224" i="22"/>
  <c r="LFL224" i="22"/>
  <c r="LFM224" i="22"/>
  <c r="LFN224" i="22"/>
  <c r="LFO224" i="22"/>
  <c r="LFP224" i="22"/>
  <c r="LFQ224" i="22"/>
  <c r="LFR224" i="22"/>
  <c r="LFS224" i="22"/>
  <c r="LFT224" i="22"/>
  <c r="LFU224" i="22"/>
  <c r="LFV224" i="22"/>
  <c r="LFW224" i="22"/>
  <c r="LFX224" i="22"/>
  <c r="LFY224" i="22"/>
  <c r="LFZ224" i="22"/>
  <c r="LGA224" i="22"/>
  <c r="LGB224" i="22"/>
  <c r="LGC224" i="22"/>
  <c r="LGD224" i="22"/>
  <c r="LGE224" i="22"/>
  <c r="LGF224" i="22"/>
  <c r="LGG224" i="22"/>
  <c r="LGH224" i="22"/>
  <c r="LGI224" i="22"/>
  <c r="LGJ224" i="22"/>
  <c r="LGK224" i="22"/>
  <c r="LGL224" i="22"/>
  <c r="LGM224" i="22"/>
  <c r="LGN224" i="22"/>
  <c r="LGO224" i="22"/>
  <c r="LGP224" i="22"/>
  <c r="LGQ224" i="22"/>
  <c r="LGR224" i="22"/>
  <c r="LGS224" i="22"/>
  <c r="LGT224" i="22"/>
  <c r="LGU224" i="22"/>
  <c r="LGV224" i="22"/>
  <c r="LGW224" i="22"/>
  <c r="LGX224" i="22"/>
  <c r="LGY224" i="22"/>
  <c r="LGZ224" i="22"/>
  <c r="LHA224" i="22"/>
  <c r="LHB224" i="22"/>
  <c r="LHC224" i="22"/>
  <c r="LHD224" i="22"/>
  <c r="LHE224" i="22"/>
  <c r="LHF224" i="22"/>
  <c r="LHG224" i="22"/>
  <c r="LHH224" i="22"/>
  <c r="LHI224" i="22"/>
  <c r="LHJ224" i="22"/>
  <c r="LHK224" i="22"/>
  <c r="LHL224" i="22"/>
  <c r="LHM224" i="22"/>
  <c r="LHN224" i="22"/>
  <c r="LHO224" i="22"/>
  <c r="LHP224" i="22"/>
  <c r="LHQ224" i="22"/>
  <c r="LHR224" i="22"/>
  <c r="LHS224" i="22"/>
  <c r="LHT224" i="22"/>
  <c r="LHU224" i="22"/>
  <c r="LHV224" i="22"/>
  <c r="LHW224" i="22"/>
  <c r="LHX224" i="22"/>
  <c r="LHY224" i="22"/>
  <c r="LHZ224" i="22"/>
  <c r="LIA224" i="22"/>
  <c r="LIB224" i="22"/>
  <c r="LIC224" i="22"/>
  <c r="LID224" i="22"/>
  <c r="LIE224" i="22"/>
  <c r="LIF224" i="22"/>
  <c r="LIG224" i="22"/>
  <c r="LIH224" i="22"/>
  <c r="LII224" i="22"/>
  <c r="LIJ224" i="22"/>
  <c r="LIK224" i="22"/>
  <c r="LIL224" i="22"/>
  <c r="LIM224" i="22"/>
  <c r="LIN224" i="22"/>
  <c r="LIO224" i="22"/>
  <c r="LIP224" i="22"/>
  <c r="LIQ224" i="22"/>
  <c r="LIR224" i="22"/>
  <c r="LIS224" i="22"/>
  <c r="LIT224" i="22"/>
  <c r="LIU224" i="22"/>
  <c r="LIV224" i="22"/>
  <c r="LIW224" i="22"/>
  <c r="LIX224" i="22"/>
  <c r="LIY224" i="22"/>
  <c r="LIZ224" i="22"/>
  <c r="LJA224" i="22"/>
  <c r="LJB224" i="22"/>
  <c r="LJC224" i="22"/>
  <c r="LJD224" i="22"/>
  <c r="LJE224" i="22"/>
  <c r="LJF224" i="22"/>
  <c r="LJG224" i="22"/>
  <c r="LJH224" i="22"/>
  <c r="LJI224" i="22"/>
  <c r="LJJ224" i="22"/>
  <c r="LJK224" i="22"/>
  <c r="LJL224" i="22"/>
  <c r="LJM224" i="22"/>
  <c r="LJN224" i="22"/>
  <c r="LJO224" i="22"/>
  <c r="LJP224" i="22"/>
  <c r="LJQ224" i="22"/>
  <c r="LJR224" i="22"/>
  <c r="LJS224" i="22"/>
  <c r="LJT224" i="22"/>
  <c r="LJU224" i="22"/>
  <c r="LJV224" i="22"/>
  <c r="LJW224" i="22"/>
  <c r="LJX224" i="22"/>
  <c r="LJY224" i="22"/>
  <c r="LJZ224" i="22"/>
  <c r="LKA224" i="22"/>
  <c r="LKB224" i="22"/>
  <c r="LKC224" i="22"/>
  <c r="LKD224" i="22"/>
  <c r="LKE224" i="22"/>
  <c r="LKF224" i="22"/>
  <c r="LKG224" i="22"/>
  <c r="LKH224" i="22"/>
  <c r="LKI224" i="22"/>
  <c r="LKJ224" i="22"/>
  <c r="LKK224" i="22"/>
  <c r="LKL224" i="22"/>
  <c r="LKM224" i="22"/>
  <c r="LKN224" i="22"/>
  <c r="LKO224" i="22"/>
  <c r="LKP224" i="22"/>
  <c r="LKQ224" i="22"/>
  <c r="LKR224" i="22"/>
  <c r="LKS224" i="22"/>
  <c r="LKT224" i="22"/>
  <c r="LKU224" i="22"/>
  <c r="LKV224" i="22"/>
  <c r="LKW224" i="22"/>
  <c r="LKX224" i="22"/>
  <c r="LKY224" i="22"/>
  <c r="LKZ224" i="22"/>
  <c r="LLA224" i="22"/>
  <c r="LLB224" i="22"/>
  <c r="LLC224" i="22"/>
  <c r="LLD224" i="22"/>
  <c r="LLE224" i="22"/>
  <c r="LLF224" i="22"/>
  <c r="LLG224" i="22"/>
  <c r="LLH224" i="22"/>
  <c r="LLI224" i="22"/>
  <c r="LLJ224" i="22"/>
  <c r="LLK224" i="22"/>
  <c r="LLL224" i="22"/>
  <c r="LLM224" i="22"/>
  <c r="LLN224" i="22"/>
  <c r="LLO224" i="22"/>
  <c r="LLP224" i="22"/>
  <c r="LLQ224" i="22"/>
  <c r="LLR224" i="22"/>
  <c r="LLS224" i="22"/>
  <c r="LLT224" i="22"/>
  <c r="LLU224" i="22"/>
  <c r="LLV224" i="22"/>
  <c r="LLW224" i="22"/>
  <c r="LLX224" i="22"/>
  <c r="LLY224" i="22"/>
  <c r="LLZ224" i="22"/>
  <c r="LMA224" i="22"/>
  <c r="LMB224" i="22"/>
  <c r="LMC224" i="22"/>
  <c r="LMD224" i="22"/>
  <c r="LME224" i="22"/>
  <c r="LMF224" i="22"/>
  <c r="LMG224" i="22"/>
  <c r="LMH224" i="22"/>
  <c r="LMI224" i="22"/>
  <c r="LMJ224" i="22"/>
  <c r="LMK224" i="22"/>
  <c r="LML224" i="22"/>
  <c r="LMM224" i="22"/>
  <c r="LMN224" i="22"/>
  <c r="LMO224" i="22"/>
  <c r="LMP224" i="22"/>
  <c r="LMQ224" i="22"/>
  <c r="LMR224" i="22"/>
  <c r="LMS224" i="22"/>
  <c r="LMT224" i="22"/>
  <c r="LMU224" i="22"/>
  <c r="LMV224" i="22"/>
  <c r="LMW224" i="22"/>
  <c r="LMX224" i="22"/>
  <c r="LMY224" i="22"/>
  <c r="LMZ224" i="22"/>
  <c r="LNA224" i="22"/>
  <c r="LNB224" i="22"/>
  <c r="LNC224" i="22"/>
  <c r="LND224" i="22"/>
  <c r="LNE224" i="22"/>
  <c r="LNF224" i="22"/>
  <c r="LNG224" i="22"/>
  <c r="LNH224" i="22"/>
  <c r="LNI224" i="22"/>
  <c r="LNJ224" i="22"/>
  <c r="LNK224" i="22"/>
  <c r="LNL224" i="22"/>
  <c r="LNM224" i="22"/>
  <c r="LNN224" i="22"/>
  <c r="LNO224" i="22"/>
  <c r="LNP224" i="22"/>
  <c r="LNQ224" i="22"/>
  <c r="LNR224" i="22"/>
  <c r="LNS224" i="22"/>
  <c r="LNT224" i="22"/>
  <c r="LNU224" i="22"/>
  <c r="LNV224" i="22"/>
  <c r="LNW224" i="22"/>
  <c r="LNX224" i="22"/>
  <c r="LNY224" i="22"/>
  <c r="LNZ224" i="22"/>
  <c r="LOA224" i="22"/>
  <c r="LOB224" i="22"/>
  <c r="LOC224" i="22"/>
  <c r="LOD224" i="22"/>
  <c r="LOE224" i="22"/>
  <c r="LOF224" i="22"/>
  <c r="LOG224" i="22"/>
  <c r="LOH224" i="22"/>
  <c r="LOI224" i="22"/>
  <c r="LOJ224" i="22"/>
  <c r="LOK224" i="22"/>
  <c r="LOL224" i="22"/>
  <c r="LOM224" i="22"/>
  <c r="LON224" i="22"/>
  <c r="LOO224" i="22"/>
  <c r="LOP224" i="22"/>
  <c r="LOQ224" i="22"/>
  <c r="LOR224" i="22"/>
  <c r="LOS224" i="22"/>
  <c r="LOT224" i="22"/>
  <c r="LOU224" i="22"/>
  <c r="LOV224" i="22"/>
  <c r="LOW224" i="22"/>
  <c r="LOX224" i="22"/>
  <c r="LOY224" i="22"/>
  <c r="LOZ224" i="22"/>
  <c r="LPA224" i="22"/>
  <c r="LPB224" i="22"/>
  <c r="LPC224" i="22"/>
  <c r="LPD224" i="22"/>
  <c r="LPE224" i="22"/>
  <c r="LPF224" i="22"/>
  <c r="LPG224" i="22"/>
  <c r="LPH224" i="22"/>
  <c r="LPI224" i="22"/>
  <c r="LPJ224" i="22"/>
  <c r="LPK224" i="22"/>
  <c r="LPL224" i="22"/>
  <c r="LPM224" i="22"/>
  <c r="LPN224" i="22"/>
  <c r="LPO224" i="22"/>
  <c r="LPP224" i="22"/>
  <c r="LPQ224" i="22"/>
  <c r="LPR224" i="22"/>
  <c r="LPS224" i="22"/>
  <c r="LPT224" i="22"/>
  <c r="LPU224" i="22"/>
  <c r="LPV224" i="22"/>
  <c r="LPW224" i="22"/>
  <c r="LPX224" i="22"/>
  <c r="LPY224" i="22"/>
  <c r="LPZ224" i="22"/>
  <c r="LQA224" i="22"/>
  <c r="LQB224" i="22"/>
  <c r="LQC224" i="22"/>
  <c r="LQD224" i="22"/>
  <c r="LQE224" i="22"/>
  <c r="LQF224" i="22"/>
  <c r="LQG224" i="22"/>
  <c r="LQH224" i="22"/>
  <c r="LQI224" i="22"/>
  <c r="LQJ224" i="22"/>
  <c r="LQK224" i="22"/>
  <c r="LQL224" i="22"/>
  <c r="LQM224" i="22"/>
  <c r="LQN224" i="22"/>
  <c r="LQO224" i="22"/>
  <c r="LQP224" i="22"/>
  <c r="LQQ224" i="22"/>
  <c r="LQR224" i="22"/>
  <c r="LQS224" i="22"/>
  <c r="LQT224" i="22"/>
  <c r="LQU224" i="22"/>
  <c r="LQV224" i="22"/>
  <c r="LQW224" i="22"/>
  <c r="LQX224" i="22"/>
  <c r="LQY224" i="22"/>
  <c r="LQZ224" i="22"/>
  <c r="LRA224" i="22"/>
  <c r="LRB224" i="22"/>
  <c r="LRC224" i="22"/>
  <c r="LRD224" i="22"/>
  <c r="LRE224" i="22"/>
  <c r="LRF224" i="22"/>
  <c r="LRG224" i="22"/>
  <c r="LRH224" i="22"/>
  <c r="LRI224" i="22"/>
  <c r="LRJ224" i="22"/>
  <c r="LRK224" i="22"/>
  <c r="LRL224" i="22"/>
  <c r="LRM224" i="22"/>
  <c r="LRN224" i="22"/>
  <c r="LRO224" i="22"/>
  <c r="LRP224" i="22"/>
  <c r="LRQ224" i="22"/>
  <c r="LRR224" i="22"/>
  <c r="LRS224" i="22"/>
  <c r="LRT224" i="22"/>
  <c r="LRU224" i="22"/>
  <c r="LRV224" i="22"/>
  <c r="LRW224" i="22"/>
  <c r="LRX224" i="22"/>
  <c r="LRY224" i="22"/>
  <c r="LRZ224" i="22"/>
  <c r="LSA224" i="22"/>
  <c r="LSB224" i="22"/>
  <c r="LSC224" i="22"/>
  <c r="LSD224" i="22"/>
  <c r="LSE224" i="22"/>
  <c r="LSF224" i="22"/>
  <c r="LSG224" i="22"/>
  <c r="LSH224" i="22"/>
  <c r="LSI224" i="22"/>
  <c r="LSJ224" i="22"/>
  <c r="LSK224" i="22"/>
  <c r="LSL224" i="22"/>
  <c r="LSM224" i="22"/>
  <c r="LSN224" i="22"/>
  <c r="LSO224" i="22"/>
  <c r="LSP224" i="22"/>
  <c r="LSQ224" i="22"/>
  <c r="LSR224" i="22"/>
  <c r="LSS224" i="22"/>
  <c r="LST224" i="22"/>
  <c r="LSU224" i="22"/>
  <c r="LSV224" i="22"/>
  <c r="LSW224" i="22"/>
  <c r="LSX224" i="22"/>
  <c r="LSY224" i="22"/>
  <c r="LSZ224" i="22"/>
  <c r="LTA224" i="22"/>
  <c r="LTB224" i="22"/>
  <c r="LTC224" i="22"/>
  <c r="LTD224" i="22"/>
  <c r="LTE224" i="22"/>
  <c r="LTF224" i="22"/>
  <c r="LTG224" i="22"/>
  <c r="LTH224" i="22"/>
  <c r="LTI224" i="22"/>
  <c r="LTJ224" i="22"/>
  <c r="LTK224" i="22"/>
  <c r="LTL224" i="22"/>
  <c r="LTM224" i="22"/>
  <c r="LTN224" i="22"/>
  <c r="LTO224" i="22"/>
  <c r="LTP224" i="22"/>
  <c r="LTQ224" i="22"/>
  <c r="LTR224" i="22"/>
  <c r="LTS224" i="22"/>
  <c r="LTT224" i="22"/>
  <c r="LTU224" i="22"/>
  <c r="LTV224" i="22"/>
  <c r="LTW224" i="22"/>
  <c r="LTX224" i="22"/>
  <c r="LTY224" i="22"/>
  <c r="LTZ224" i="22"/>
  <c r="LUA224" i="22"/>
  <c r="LUB224" i="22"/>
  <c r="LUC224" i="22"/>
  <c r="LUD224" i="22"/>
  <c r="LUE224" i="22"/>
  <c r="LUF224" i="22"/>
  <c r="LUG224" i="22"/>
  <c r="LUH224" i="22"/>
  <c r="LUI224" i="22"/>
  <c r="LUJ224" i="22"/>
  <c r="LUK224" i="22"/>
  <c r="LUL224" i="22"/>
  <c r="LUM224" i="22"/>
  <c r="LUN224" i="22"/>
  <c r="LUO224" i="22"/>
  <c r="LUP224" i="22"/>
  <c r="LUQ224" i="22"/>
  <c r="LUR224" i="22"/>
  <c r="LUS224" i="22"/>
  <c r="LUT224" i="22"/>
  <c r="LUU224" i="22"/>
  <c r="LUV224" i="22"/>
  <c r="LUW224" i="22"/>
  <c r="LUX224" i="22"/>
  <c r="LUY224" i="22"/>
  <c r="LUZ224" i="22"/>
  <c r="LVA224" i="22"/>
  <c r="LVB224" i="22"/>
  <c r="LVC224" i="22"/>
  <c r="LVD224" i="22"/>
  <c r="LVE224" i="22"/>
  <c r="LVF224" i="22"/>
  <c r="LVG224" i="22"/>
  <c r="LVH224" i="22"/>
  <c r="LVI224" i="22"/>
  <c r="LVJ224" i="22"/>
  <c r="LVK224" i="22"/>
  <c r="LVL224" i="22"/>
  <c r="LVM224" i="22"/>
  <c r="LVN224" i="22"/>
  <c r="LVO224" i="22"/>
  <c r="LVP224" i="22"/>
  <c r="LVQ224" i="22"/>
  <c r="LVR224" i="22"/>
  <c r="LVS224" i="22"/>
  <c r="LVT224" i="22"/>
  <c r="LVU224" i="22"/>
  <c r="LVV224" i="22"/>
  <c r="LVW224" i="22"/>
  <c r="LVX224" i="22"/>
  <c r="LVY224" i="22"/>
  <c r="LVZ224" i="22"/>
  <c r="LWA224" i="22"/>
  <c r="LWB224" i="22"/>
  <c r="LWC224" i="22"/>
  <c r="LWD224" i="22"/>
  <c r="LWE224" i="22"/>
  <c r="LWF224" i="22"/>
  <c r="LWG224" i="22"/>
  <c r="LWH224" i="22"/>
  <c r="LWI224" i="22"/>
  <c r="LWJ224" i="22"/>
  <c r="LWK224" i="22"/>
  <c r="LWL224" i="22"/>
  <c r="LWM224" i="22"/>
  <c r="LWN224" i="22"/>
  <c r="LWO224" i="22"/>
  <c r="LWP224" i="22"/>
  <c r="LWQ224" i="22"/>
  <c r="LWR224" i="22"/>
  <c r="LWS224" i="22"/>
  <c r="LWT224" i="22"/>
  <c r="LWU224" i="22"/>
  <c r="LWV224" i="22"/>
  <c r="LWW224" i="22"/>
  <c r="LWX224" i="22"/>
  <c r="LWY224" i="22"/>
  <c r="LWZ224" i="22"/>
  <c r="LXA224" i="22"/>
  <c r="LXB224" i="22"/>
  <c r="LXC224" i="22"/>
  <c r="LXD224" i="22"/>
  <c r="LXE224" i="22"/>
  <c r="LXF224" i="22"/>
  <c r="LXG224" i="22"/>
  <c r="LXH224" i="22"/>
  <c r="LXI224" i="22"/>
  <c r="LXJ224" i="22"/>
  <c r="LXK224" i="22"/>
  <c r="LXL224" i="22"/>
  <c r="LXM224" i="22"/>
  <c r="LXN224" i="22"/>
  <c r="LXO224" i="22"/>
  <c r="LXP224" i="22"/>
  <c r="LXQ224" i="22"/>
  <c r="LXR224" i="22"/>
  <c r="LXS224" i="22"/>
  <c r="LXT224" i="22"/>
  <c r="LXU224" i="22"/>
  <c r="LXV224" i="22"/>
  <c r="LXW224" i="22"/>
  <c r="LXX224" i="22"/>
  <c r="LXY224" i="22"/>
  <c r="LXZ224" i="22"/>
  <c r="LYA224" i="22"/>
  <c r="LYB224" i="22"/>
  <c r="LYC224" i="22"/>
  <c r="LYD224" i="22"/>
  <c r="LYE224" i="22"/>
  <c r="LYF224" i="22"/>
  <c r="LYG224" i="22"/>
  <c r="LYH224" i="22"/>
  <c r="LYI224" i="22"/>
  <c r="LYJ224" i="22"/>
  <c r="LYK224" i="22"/>
  <c r="LYL224" i="22"/>
  <c r="LYM224" i="22"/>
  <c r="LYN224" i="22"/>
  <c r="LYO224" i="22"/>
  <c r="LYP224" i="22"/>
  <c r="LYQ224" i="22"/>
  <c r="LYR224" i="22"/>
  <c r="LYS224" i="22"/>
  <c r="LYT224" i="22"/>
  <c r="LYU224" i="22"/>
  <c r="LYV224" i="22"/>
  <c r="LYW224" i="22"/>
  <c r="LYX224" i="22"/>
  <c r="LYY224" i="22"/>
  <c r="LYZ224" i="22"/>
  <c r="LZA224" i="22"/>
  <c r="LZB224" i="22"/>
  <c r="LZC224" i="22"/>
  <c r="LZD224" i="22"/>
  <c r="LZE224" i="22"/>
  <c r="LZF224" i="22"/>
  <c r="LZG224" i="22"/>
  <c r="LZH224" i="22"/>
  <c r="LZI224" i="22"/>
  <c r="LZJ224" i="22"/>
  <c r="LZK224" i="22"/>
  <c r="LZL224" i="22"/>
  <c r="LZM224" i="22"/>
  <c r="LZN224" i="22"/>
  <c r="LZO224" i="22"/>
  <c r="LZP224" i="22"/>
  <c r="LZQ224" i="22"/>
  <c r="LZR224" i="22"/>
  <c r="LZS224" i="22"/>
  <c r="LZT224" i="22"/>
  <c r="LZU224" i="22"/>
  <c r="LZV224" i="22"/>
  <c r="LZW224" i="22"/>
  <c r="LZX224" i="22"/>
  <c r="LZY224" i="22"/>
  <c r="LZZ224" i="22"/>
  <c r="MAA224" i="22"/>
  <c r="MAB224" i="22"/>
  <c r="MAC224" i="22"/>
  <c r="MAD224" i="22"/>
  <c r="MAE224" i="22"/>
  <c r="MAF224" i="22"/>
  <c r="MAG224" i="22"/>
  <c r="MAH224" i="22"/>
  <c r="MAI224" i="22"/>
  <c r="MAJ224" i="22"/>
  <c r="MAK224" i="22"/>
  <c r="MAL224" i="22"/>
  <c r="MAM224" i="22"/>
  <c r="MAN224" i="22"/>
  <c r="MAO224" i="22"/>
  <c r="MAP224" i="22"/>
  <c r="MAQ224" i="22"/>
  <c r="MAR224" i="22"/>
  <c r="MAS224" i="22"/>
  <c r="MAT224" i="22"/>
  <c r="MAU224" i="22"/>
  <c r="MAV224" i="22"/>
  <c r="MAW224" i="22"/>
  <c r="MAX224" i="22"/>
  <c r="MAY224" i="22"/>
  <c r="MAZ224" i="22"/>
  <c r="MBA224" i="22"/>
  <c r="MBB224" i="22"/>
  <c r="MBC224" i="22"/>
  <c r="MBD224" i="22"/>
  <c r="MBE224" i="22"/>
  <c r="MBF224" i="22"/>
  <c r="MBG224" i="22"/>
  <c r="MBH224" i="22"/>
  <c r="MBI224" i="22"/>
  <c r="MBJ224" i="22"/>
  <c r="MBK224" i="22"/>
  <c r="MBL224" i="22"/>
  <c r="MBM224" i="22"/>
  <c r="MBN224" i="22"/>
  <c r="MBO224" i="22"/>
  <c r="MBP224" i="22"/>
  <c r="MBQ224" i="22"/>
  <c r="MBR224" i="22"/>
  <c r="MBS224" i="22"/>
  <c r="MBT224" i="22"/>
  <c r="MBU224" i="22"/>
  <c r="MBV224" i="22"/>
  <c r="MBW224" i="22"/>
  <c r="MBX224" i="22"/>
  <c r="MBY224" i="22"/>
  <c r="MBZ224" i="22"/>
  <c r="MCA224" i="22"/>
  <c r="MCB224" i="22"/>
  <c r="MCC224" i="22"/>
  <c r="MCD224" i="22"/>
  <c r="MCE224" i="22"/>
  <c r="MCF224" i="22"/>
  <c r="MCG224" i="22"/>
  <c r="MCH224" i="22"/>
  <c r="MCI224" i="22"/>
  <c r="MCJ224" i="22"/>
  <c r="MCK224" i="22"/>
  <c r="MCL224" i="22"/>
  <c r="MCM224" i="22"/>
  <c r="MCN224" i="22"/>
  <c r="MCO224" i="22"/>
  <c r="MCP224" i="22"/>
  <c r="MCQ224" i="22"/>
  <c r="MCR224" i="22"/>
  <c r="MCS224" i="22"/>
  <c r="MCT224" i="22"/>
  <c r="MCU224" i="22"/>
  <c r="MCV224" i="22"/>
  <c r="MCW224" i="22"/>
  <c r="MCX224" i="22"/>
  <c r="MCY224" i="22"/>
  <c r="MCZ224" i="22"/>
  <c r="MDA224" i="22"/>
  <c r="MDB224" i="22"/>
  <c r="MDC224" i="22"/>
  <c r="MDD224" i="22"/>
  <c r="MDE224" i="22"/>
  <c r="MDF224" i="22"/>
  <c r="MDG224" i="22"/>
  <c r="MDH224" i="22"/>
  <c r="MDI224" i="22"/>
  <c r="MDJ224" i="22"/>
  <c r="MDK224" i="22"/>
  <c r="MDL224" i="22"/>
  <c r="MDM224" i="22"/>
  <c r="MDN224" i="22"/>
  <c r="MDO224" i="22"/>
  <c r="MDP224" i="22"/>
  <c r="MDQ224" i="22"/>
  <c r="MDR224" i="22"/>
  <c r="MDS224" i="22"/>
  <c r="MDT224" i="22"/>
  <c r="MDU224" i="22"/>
  <c r="MDV224" i="22"/>
  <c r="MDW224" i="22"/>
  <c r="MDX224" i="22"/>
  <c r="MDY224" i="22"/>
  <c r="MDZ224" i="22"/>
  <c r="MEA224" i="22"/>
  <c r="MEB224" i="22"/>
  <c r="MEC224" i="22"/>
  <c r="MED224" i="22"/>
  <c r="MEE224" i="22"/>
  <c r="MEF224" i="22"/>
  <c r="MEG224" i="22"/>
  <c r="MEH224" i="22"/>
  <c r="MEI224" i="22"/>
  <c r="MEJ224" i="22"/>
  <c r="MEK224" i="22"/>
  <c r="MEL224" i="22"/>
  <c r="MEM224" i="22"/>
  <c r="MEN224" i="22"/>
  <c r="MEO224" i="22"/>
  <c r="MEP224" i="22"/>
  <c r="MEQ224" i="22"/>
  <c r="MER224" i="22"/>
  <c r="MES224" i="22"/>
  <c r="MET224" i="22"/>
  <c r="MEU224" i="22"/>
  <c r="MEV224" i="22"/>
  <c r="MEW224" i="22"/>
  <c r="MEX224" i="22"/>
  <c r="MEY224" i="22"/>
  <c r="MEZ224" i="22"/>
  <c r="MFA224" i="22"/>
  <c r="MFB224" i="22"/>
  <c r="MFC224" i="22"/>
  <c r="MFD224" i="22"/>
  <c r="MFE224" i="22"/>
  <c r="MFF224" i="22"/>
  <c r="MFG224" i="22"/>
  <c r="MFH224" i="22"/>
  <c r="MFI224" i="22"/>
  <c r="MFJ224" i="22"/>
  <c r="MFK224" i="22"/>
  <c r="MFL224" i="22"/>
  <c r="MFM224" i="22"/>
  <c r="MFN224" i="22"/>
  <c r="MFO224" i="22"/>
  <c r="MFP224" i="22"/>
  <c r="MFQ224" i="22"/>
  <c r="MFR224" i="22"/>
  <c r="MFS224" i="22"/>
  <c r="MFT224" i="22"/>
  <c r="MFU224" i="22"/>
  <c r="MFV224" i="22"/>
  <c r="MFW224" i="22"/>
  <c r="MFX224" i="22"/>
  <c r="MFY224" i="22"/>
  <c r="MFZ224" i="22"/>
  <c r="MGA224" i="22"/>
  <c r="MGB224" i="22"/>
  <c r="MGC224" i="22"/>
  <c r="MGD224" i="22"/>
  <c r="MGE224" i="22"/>
  <c r="MGF224" i="22"/>
  <c r="MGG224" i="22"/>
  <c r="MGH224" i="22"/>
  <c r="MGI224" i="22"/>
  <c r="MGJ224" i="22"/>
  <c r="MGK224" i="22"/>
  <c r="MGL224" i="22"/>
  <c r="MGM224" i="22"/>
  <c r="MGN224" i="22"/>
  <c r="MGO224" i="22"/>
  <c r="MGP224" i="22"/>
  <c r="MGQ224" i="22"/>
  <c r="MGR224" i="22"/>
  <c r="MGS224" i="22"/>
  <c r="MGT224" i="22"/>
  <c r="MGU224" i="22"/>
  <c r="MGV224" i="22"/>
  <c r="MGW224" i="22"/>
  <c r="MGX224" i="22"/>
  <c r="MGY224" i="22"/>
  <c r="MGZ224" i="22"/>
  <c r="MHA224" i="22"/>
  <c r="MHB224" i="22"/>
  <c r="MHC224" i="22"/>
  <c r="MHD224" i="22"/>
  <c r="MHE224" i="22"/>
  <c r="MHF224" i="22"/>
  <c r="MHG224" i="22"/>
  <c r="MHH224" i="22"/>
  <c r="MHI224" i="22"/>
  <c r="MHJ224" i="22"/>
  <c r="MHK224" i="22"/>
  <c r="MHL224" i="22"/>
  <c r="MHM224" i="22"/>
  <c r="MHN224" i="22"/>
  <c r="MHO224" i="22"/>
  <c r="MHP224" i="22"/>
  <c r="MHQ224" i="22"/>
  <c r="MHR224" i="22"/>
  <c r="MHS224" i="22"/>
  <c r="MHT224" i="22"/>
  <c r="MHU224" i="22"/>
  <c r="MHV224" i="22"/>
  <c r="MHW224" i="22"/>
  <c r="MHX224" i="22"/>
  <c r="MHY224" i="22"/>
  <c r="MHZ224" i="22"/>
  <c r="MIA224" i="22"/>
  <c r="MIB224" i="22"/>
  <c r="MIC224" i="22"/>
  <c r="MID224" i="22"/>
  <c r="MIE224" i="22"/>
  <c r="MIF224" i="22"/>
  <c r="MIG224" i="22"/>
  <c r="MIH224" i="22"/>
  <c r="MII224" i="22"/>
  <c r="MIJ224" i="22"/>
  <c r="MIK224" i="22"/>
  <c r="MIL224" i="22"/>
  <c r="MIM224" i="22"/>
  <c r="MIN224" i="22"/>
  <c r="MIO224" i="22"/>
  <c r="MIP224" i="22"/>
  <c r="MIQ224" i="22"/>
  <c r="MIR224" i="22"/>
  <c r="MIS224" i="22"/>
  <c r="MIT224" i="22"/>
  <c r="MIU224" i="22"/>
  <c r="MIV224" i="22"/>
  <c r="MIW224" i="22"/>
  <c r="MIX224" i="22"/>
  <c r="MIY224" i="22"/>
  <c r="MIZ224" i="22"/>
  <c r="MJA224" i="22"/>
  <c r="MJB224" i="22"/>
  <c r="MJC224" i="22"/>
  <c r="MJD224" i="22"/>
  <c r="MJE224" i="22"/>
  <c r="MJF224" i="22"/>
  <c r="MJG224" i="22"/>
  <c r="MJH224" i="22"/>
  <c r="MJI224" i="22"/>
  <c r="MJJ224" i="22"/>
  <c r="MJK224" i="22"/>
  <c r="MJL224" i="22"/>
  <c r="MJM224" i="22"/>
  <c r="MJN224" i="22"/>
  <c r="MJO224" i="22"/>
  <c r="MJP224" i="22"/>
  <c r="MJQ224" i="22"/>
  <c r="MJR224" i="22"/>
  <c r="MJS224" i="22"/>
  <c r="MJT224" i="22"/>
  <c r="MJU224" i="22"/>
  <c r="MJV224" i="22"/>
  <c r="MJW224" i="22"/>
  <c r="MJX224" i="22"/>
  <c r="MJY224" i="22"/>
  <c r="MJZ224" i="22"/>
  <c r="MKA224" i="22"/>
  <c r="MKB224" i="22"/>
  <c r="MKC224" i="22"/>
  <c r="MKD224" i="22"/>
  <c r="MKE224" i="22"/>
  <c r="MKF224" i="22"/>
  <c r="MKG224" i="22"/>
  <c r="MKH224" i="22"/>
  <c r="MKI224" i="22"/>
  <c r="MKJ224" i="22"/>
  <c r="MKK224" i="22"/>
  <c r="MKL224" i="22"/>
  <c r="MKM224" i="22"/>
  <c r="MKN224" i="22"/>
  <c r="MKO224" i="22"/>
  <c r="MKP224" i="22"/>
  <c r="MKQ224" i="22"/>
  <c r="MKR224" i="22"/>
  <c r="MKS224" i="22"/>
  <c r="MKT224" i="22"/>
  <c r="MKU224" i="22"/>
  <c r="MKV224" i="22"/>
  <c r="MKW224" i="22"/>
  <c r="MKX224" i="22"/>
  <c r="MKY224" i="22"/>
  <c r="MKZ224" i="22"/>
  <c r="MLA224" i="22"/>
  <c r="MLB224" i="22"/>
  <c r="MLC224" i="22"/>
  <c r="MLD224" i="22"/>
  <c r="MLE224" i="22"/>
  <c r="MLF224" i="22"/>
  <c r="MLG224" i="22"/>
  <c r="MLH224" i="22"/>
  <c r="MLI224" i="22"/>
  <c r="MLJ224" i="22"/>
  <c r="MLK224" i="22"/>
  <c r="MLL224" i="22"/>
  <c r="MLM224" i="22"/>
  <c r="MLN224" i="22"/>
  <c r="MLO224" i="22"/>
  <c r="MLP224" i="22"/>
  <c r="MLQ224" i="22"/>
  <c r="MLR224" i="22"/>
  <c r="MLS224" i="22"/>
  <c r="MLT224" i="22"/>
  <c r="MLU224" i="22"/>
  <c r="MLV224" i="22"/>
  <c r="MLW224" i="22"/>
  <c r="MLX224" i="22"/>
  <c r="MLY224" i="22"/>
  <c r="MLZ224" i="22"/>
  <c r="MMA224" i="22"/>
  <c r="MMB224" i="22"/>
  <c r="MMC224" i="22"/>
  <c r="MMD224" i="22"/>
  <c r="MME224" i="22"/>
  <c r="MMF224" i="22"/>
  <c r="MMG224" i="22"/>
  <c r="MMH224" i="22"/>
  <c r="MMI224" i="22"/>
  <c r="MMJ224" i="22"/>
  <c r="MMK224" i="22"/>
  <c r="MML224" i="22"/>
  <c r="MMM224" i="22"/>
  <c r="MMN224" i="22"/>
  <c r="MMO224" i="22"/>
  <c r="MMP224" i="22"/>
  <c r="MMQ224" i="22"/>
  <c r="MMR224" i="22"/>
  <c r="MMS224" i="22"/>
  <c r="MMT224" i="22"/>
  <c r="MMU224" i="22"/>
  <c r="MMV224" i="22"/>
  <c r="MMW224" i="22"/>
  <c r="MMX224" i="22"/>
  <c r="MMY224" i="22"/>
  <c r="MMZ224" i="22"/>
  <c r="MNA224" i="22"/>
  <c r="MNB224" i="22"/>
  <c r="MNC224" i="22"/>
  <c r="MND224" i="22"/>
  <c r="MNE224" i="22"/>
  <c r="MNF224" i="22"/>
  <c r="MNG224" i="22"/>
  <c r="MNH224" i="22"/>
  <c r="MNI224" i="22"/>
  <c r="MNJ224" i="22"/>
  <c r="MNK224" i="22"/>
  <c r="MNL224" i="22"/>
  <c r="MNM224" i="22"/>
  <c r="MNN224" i="22"/>
  <c r="MNO224" i="22"/>
  <c r="MNP224" i="22"/>
  <c r="MNQ224" i="22"/>
  <c r="MNR224" i="22"/>
  <c r="MNS224" i="22"/>
  <c r="MNT224" i="22"/>
  <c r="MNU224" i="22"/>
  <c r="MNV224" i="22"/>
  <c r="MNW224" i="22"/>
  <c r="MNX224" i="22"/>
  <c r="MNY224" i="22"/>
  <c r="MNZ224" i="22"/>
  <c r="MOA224" i="22"/>
  <c r="MOB224" i="22"/>
  <c r="MOC224" i="22"/>
  <c r="MOD224" i="22"/>
  <c r="MOE224" i="22"/>
  <c r="MOF224" i="22"/>
  <c r="MOG224" i="22"/>
  <c r="MOH224" i="22"/>
  <c r="MOI224" i="22"/>
  <c r="MOJ224" i="22"/>
  <c r="MOK224" i="22"/>
  <c r="MOL224" i="22"/>
  <c r="MOM224" i="22"/>
  <c r="MON224" i="22"/>
  <c r="MOO224" i="22"/>
  <c r="MOP224" i="22"/>
  <c r="MOQ224" i="22"/>
  <c r="MOR224" i="22"/>
  <c r="MOS224" i="22"/>
  <c r="MOT224" i="22"/>
  <c r="MOU224" i="22"/>
  <c r="MOV224" i="22"/>
  <c r="MOW224" i="22"/>
  <c r="MOX224" i="22"/>
  <c r="MOY224" i="22"/>
  <c r="MOZ224" i="22"/>
  <c r="MPA224" i="22"/>
  <c r="MPB224" i="22"/>
  <c r="MPC224" i="22"/>
  <c r="MPD224" i="22"/>
  <c r="MPE224" i="22"/>
  <c r="MPF224" i="22"/>
  <c r="MPG224" i="22"/>
  <c r="MPH224" i="22"/>
  <c r="MPI224" i="22"/>
  <c r="MPJ224" i="22"/>
  <c r="MPK224" i="22"/>
  <c r="MPL224" i="22"/>
  <c r="MPM224" i="22"/>
  <c r="MPN224" i="22"/>
  <c r="MPO224" i="22"/>
  <c r="MPP224" i="22"/>
  <c r="MPQ224" i="22"/>
  <c r="MPR224" i="22"/>
  <c r="MPS224" i="22"/>
  <c r="MPT224" i="22"/>
  <c r="MPU224" i="22"/>
  <c r="MPV224" i="22"/>
  <c r="MPW224" i="22"/>
  <c r="MPX224" i="22"/>
  <c r="MPY224" i="22"/>
  <c r="MPZ224" i="22"/>
  <c r="MQA224" i="22"/>
  <c r="MQB224" i="22"/>
  <c r="MQC224" i="22"/>
  <c r="MQD224" i="22"/>
  <c r="MQE224" i="22"/>
  <c r="MQF224" i="22"/>
  <c r="MQG224" i="22"/>
  <c r="MQH224" i="22"/>
  <c r="MQI224" i="22"/>
  <c r="MQJ224" i="22"/>
  <c r="MQK224" i="22"/>
  <c r="MQL224" i="22"/>
  <c r="MQM224" i="22"/>
  <c r="MQN224" i="22"/>
  <c r="MQO224" i="22"/>
  <c r="MQP224" i="22"/>
  <c r="MQQ224" i="22"/>
  <c r="MQR224" i="22"/>
  <c r="MQS224" i="22"/>
  <c r="MQT224" i="22"/>
  <c r="MQU224" i="22"/>
  <c r="MQV224" i="22"/>
  <c r="MQW224" i="22"/>
  <c r="MQX224" i="22"/>
  <c r="MQY224" i="22"/>
  <c r="MQZ224" i="22"/>
  <c r="MRA224" i="22"/>
  <c r="MRB224" i="22"/>
  <c r="MRC224" i="22"/>
  <c r="MRD224" i="22"/>
  <c r="MRE224" i="22"/>
  <c r="MRF224" i="22"/>
  <c r="MRG224" i="22"/>
  <c r="MRH224" i="22"/>
  <c r="MRI224" i="22"/>
  <c r="MRJ224" i="22"/>
  <c r="MRK224" i="22"/>
  <c r="MRL224" i="22"/>
  <c r="MRM224" i="22"/>
  <c r="MRN224" i="22"/>
  <c r="MRO224" i="22"/>
  <c r="MRP224" i="22"/>
  <c r="MRQ224" i="22"/>
  <c r="MRR224" i="22"/>
  <c r="MRS224" i="22"/>
  <c r="MRT224" i="22"/>
  <c r="MRU224" i="22"/>
  <c r="MRV224" i="22"/>
  <c r="MRW224" i="22"/>
  <c r="MRX224" i="22"/>
  <c r="MRY224" i="22"/>
  <c r="MRZ224" i="22"/>
  <c r="MSA224" i="22"/>
  <c r="MSB224" i="22"/>
  <c r="MSC224" i="22"/>
  <c r="MSD224" i="22"/>
  <c r="MSE224" i="22"/>
  <c r="MSF224" i="22"/>
  <c r="MSG224" i="22"/>
  <c r="MSH224" i="22"/>
  <c r="MSI224" i="22"/>
  <c r="MSJ224" i="22"/>
  <c r="MSK224" i="22"/>
  <c r="MSL224" i="22"/>
  <c r="MSM224" i="22"/>
  <c r="MSN224" i="22"/>
  <c r="MSO224" i="22"/>
  <c r="MSP224" i="22"/>
  <c r="MSQ224" i="22"/>
  <c r="MSR224" i="22"/>
  <c r="MSS224" i="22"/>
  <c r="MST224" i="22"/>
  <c r="MSU224" i="22"/>
  <c r="MSV224" i="22"/>
  <c r="MSW224" i="22"/>
  <c r="MSX224" i="22"/>
  <c r="MSY224" i="22"/>
  <c r="MSZ224" i="22"/>
  <c r="MTA224" i="22"/>
  <c r="MTB224" i="22"/>
  <c r="MTC224" i="22"/>
  <c r="MTD224" i="22"/>
  <c r="MTE224" i="22"/>
  <c r="MTF224" i="22"/>
  <c r="MTG224" i="22"/>
  <c r="MTH224" i="22"/>
  <c r="MTI224" i="22"/>
  <c r="MTJ224" i="22"/>
  <c r="MTK224" i="22"/>
  <c r="MTL224" i="22"/>
  <c r="MTM224" i="22"/>
  <c r="MTN224" i="22"/>
  <c r="MTO224" i="22"/>
  <c r="MTP224" i="22"/>
  <c r="MTQ224" i="22"/>
  <c r="MTR224" i="22"/>
  <c r="MTS224" i="22"/>
  <c r="MTT224" i="22"/>
  <c r="MTU224" i="22"/>
  <c r="MTV224" i="22"/>
  <c r="MTW224" i="22"/>
  <c r="MTX224" i="22"/>
  <c r="MTY224" i="22"/>
  <c r="MTZ224" i="22"/>
  <c r="MUA224" i="22"/>
  <c r="MUB224" i="22"/>
  <c r="MUC224" i="22"/>
  <c r="MUD224" i="22"/>
  <c r="MUE224" i="22"/>
  <c r="MUF224" i="22"/>
  <c r="MUG224" i="22"/>
  <c r="MUH224" i="22"/>
  <c r="MUI224" i="22"/>
  <c r="MUJ224" i="22"/>
  <c r="MUK224" i="22"/>
  <c r="MUL224" i="22"/>
  <c r="MUM224" i="22"/>
  <c r="MUN224" i="22"/>
  <c r="MUO224" i="22"/>
  <c r="MUP224" i="22"/>
  <c r="MUQ224" i="22"/>
  <c r="MUR224" i="22"/>
  <c r="MUS224" i="22"/>
  <c r="MUT224" i="22"/>
  <c r="MUU224" i="22"/>
  <c r="MUV224" i="22"/>
  <c r="MUW224" i="22"/>
  <c r="MUX224" i="22"/>
  <c r="MUY224" i="22"/>
  <c r="MUZ224" i="22"/>
  <c r="MVA224" i="22"/>
  <c r="MVB224" i="22"/>
  <c r="MVC224" i="22"/>
  <c r="MVD224" i="22"/>
  <c r="MVE224" i="22"/>
  <c r="MVF224" i="22"/>
  <c r="MVG224" i="22"/>
  <c r="MVH224" i="22"/>
  <c r="MVI224" i="22"/>
  <c r="MVJ224" i="22"/>
  <c r="MVK224" i="22"/>
  <c r="MVL224" i="22"/>
  <c r="MVM224" i="22"/>
  <c r="MVN224" i="22"/>
  <c r="MVO224" i="22"/>
  <c r="MVP224" i="22"/>
  <c r="MVQ224" i="22"/>
  <c r="MVR224" i="22"/>
  <c r="MVS224" i="22"/>
  <c r="MVT224" i="22"/>
  <c r="MVU224" i="22"/>
  <c r="MVV224" i="22"/>
  <c r="MVW224" i="22"/>
  <c r="MVX224" i="22"/>
  <c r="MVY224" i="22"/>
  <c r="MVZ224" i="22"/>
  <c r="MWA224" i="22"/>
  <c r="MWB224" i="22"/>
  <c r="MWC224" i="22"/>
  <c r="MWD224" i="22"/>
  <c r="MWE224" i="22"/>
  <c r="MWF224" i="22"/>
  <c r="MWG224" i="22"/>
  <c r="MWH224" i="22"/>
  <c r="MWI224" i="22"/>
  <c r="MWJ224" i="22"/>
  <c r="MWK224" i="22"/>
  <c r="MWL224" i="22"/>
  <c r="MWM224" i="22"/>
  <c r="MWN224" i="22"/>
  <c r="MWO224" i="22"/>
  <c r="MWP224" i="22"/>
  <c r="MWQ224" i="22"/>
  <c r="MWR224" i="22"/>
  <c r="MWS224" i="22"/>
  <c r="MWT224" i="22"/>
  <c r="MWU224" i="22"/>
  <c r="MWV224" i="22"/>
  <c r="MWW224" i="22"/>
  <c r="MWX224" i="22"/>
  <c r="MWY224" i="22"/>
  <c r="MWZ224" i="22"/>
  <c r="MXA224" i="22"/>
  <c r="MXB224" i="22"/>
  <c r="MXC224" i="22"/>
  <c r="MXD224" i="22"/>
  <c r="MXE224" i="22"/>
  <c r="MXF224" i="22"/>
  <c r="MXG224" i="22"/>
  <c r="MXH224" i="22"/>
  <c r="MXI224" i="22"/>
  <c r="MXJ224" i="22"/>
  <c r="MXK224" i="22"/>
  <c r="MXL224" i="22"/>
  <c r="MXM224" i="22"/>
  <c r="MXN224" i="22"/>
  <c r="MXO224" i="22"/>
  <c r="MXP224" i="22"/>
  <c r="MXQ224" i="22"/>
  <c r="MXR224" i="22"/>
  <c r="MXS224" i="22"/>
  <c r="MXT224" i="22"/>
  <c r="MXU224" i="22"/>
  <c r="MXV224" i="22"/>
  <c r="MXW224" i="22"/>
  <c r="MXX224" i="22"/>
  <c r="MXY224" i="22"/>
  <c r="MXZ224" i="22"/>
  <c r="MYA224" i="22"/>
  <c r="MYB224" i="22"/>
  <c r="MYC224" i="22"/>
  <c r="MYD224" i="22"/>
  <c r="MYE224" i="22"/>
  <c r="MYF224" i="22"/>
  <c r="MYG224" i="22"/>
  <c r="MYH224" i="22"/>
  <c r="MYI224" i="22"/>
  <c r="MYJ224" i="22"/>
  <c r="MYK224" i="22"/>
  <c r="MYL224" i="22"/>
  <c r="MYM224" i="22"/>
  <c r="MYN224" i="22"/>
  <c r="MYO224" i="22"/>
  <c r="MYP224" i="22"/>
  <c r="MYQ224" i="22"/>
  <c r="MYR224" i="22"/>
  <c r="MYS224" i="22"/>
  <c r="MYT224" i="22"/>
  <c r="MYU224" i="22"/>
  <c r="MYV224" i="22"/>
  <c r="MYW224" i="22"/>
  <c r="MYX224" i="22"/>
  <c r="MYY224" i="22"/>
  <c r="MYZ224" i="22"/>
  <c r="MZA224" i="22"/>
  <c r="MZB224" i="22"/>
  <c r="MZC224" i="22"/>
  <c r="MZD224" i="22"/>
  <c r="MZE224" i="22"/>
  <c r="MZF224" i="22"/>
  <c r="MZG224" i="22"/>
  <c r="MZH224" i="22"/>
  <c r="MZI224" i="22"/>
  <c r="MZJ224" i="22"/>
  <c r="MZK224" i="22"/>
  <c r="MZL224" i="22"/>
  <c r="MZM224" i="22"/>
  <c r="MZN224" i="22"/>
  <c r="MZO224" i="22"/>
  <c r="MZP224" i="22"/>
  <c r="MZQ224" i="22"/>
  <c r="MZR224" i="22"/>
  <c r="MZS224" i="22"/>
  <c r="MZT224" i="22"/>
  <c r="MZU224" i="22"/>
  <c r="MZV224" i="22"/>
  <c r="MZW224" i="22"/>
  <c r="MZX224" i="22"/>
  <c r="MZY224" i="22"/>
  <c r="MZZ224" i="22"/>
  <c r="NAA224" i="22"/>
  <c r="NAB224" i="22"/>
  <c r="NAC224" i="22"/>
  <c r="NAD224" i="22"/>
  <c r="NAE224" i="22"/>
  <c r="NAF224" i="22"/>
  <c r="NAG224" i="22"/>
  <c r="NAH224" i="22"/>
  <c r="NAI224" i="22"/>
  <c r="NAJ224" i="22"/>
  <c r="NAK224" i="22"/>
  <c r="NAL224" i="22"/>
  <c r="NAM224" i="22"/>
  <c r="NAN224" i="22"/>
  <c r="NAO224" i="22"/>
  <c r="NAP224" i="22"/>
  <c r="NAQ224" i="22"/>
  <c r="NAR224" i="22"/>
  <c r="NAS224" i="22"/>
  <c r="NAT224" i="22"/>
  <c r="NAU224" i="22"/>
  <c r="NAV224" i="22"/>
  <c r="NAW224" i="22"/>
  <c r="NAX224" i="22"/>
  <c r="NAY224" i="22"/>
  <c r="NAZ224" i="22"/>
  <c r="NBA224" i="22"/>
  <c r="NBB224" i="22"/>
  <c r="NBC224" i="22"/>
  <c r="NBD224" i="22"/>
  <c r="NBE224" i="22"/>
  <c r="NBF224" i="22"/>
  <c r="NBG224" i="22"/>
  <c r="NBH224" i="22"/>
  <c r="NBI224" i="22"/>
  <c r="NBJ224" i="22"/>
  <c r="NBK224" i="22"/>
  <c r="NBL224" i="22"/>
  <c r="NBM224" i="22"/>
  <c r="NBN224" i="22"/>
  <c r="NBO224" i="22"/>
  <c r="NBP224" i="22"/>
  <c r="NBQ224" i="22"/>
  <c r="NBR224" i="22"/>
  <c r="NBS224" i="22"/>
  <c r="NBT224" i="22"/>
  <c r="NBU224" i="22"/>
  <c r="NBV224" i="22"/>
  <c r="NBW224" i="22"/>
  <c r="NBX224" i="22"/>
  <c r="NBY224" i="22"/>
  <c r="NBZ224" i="22"/>
  <c r="NCA224" i="22"/>
  <c r="NCB224" i="22"/>
  <c r="NCC224" i="22"/>
  <c r="NCD224" i="22"/>
  <c r="NCE224" i="22"/>
  <c r="NCF224" i="22"/>
  <c r="NCG224" i="22"/>
  <c r="NCH224" i="22"/>
  <c r="NCI224" i="22"/>
  <c r="NCJ224" i="22"/>
  <c r="NCK224" i="22"/>
  <c r="NCL224" i="22"/>
  <c r="NCM224" i="22"/>
  <c r="NCN224" i="22"/>
  <c r="NCO224" i="22"/>
  <c r="NCP224" i="22"/>
  <c r="NCQ224" i="22"/>
  <c r="NCR224" i="22"/>
  <c r="NCS224" i="22"/>
  <c r="NCT224" i="22"/>
  <c r="NCU224" i="22"/>
  <c r="NCV224" i="22"/>
  <c r="NCW224" i="22"/>
  <c r="NCX224" i="22"/>
  <c r="NCY224" i="22"/>
  <c r="NCZ224" i="22"/>
  <c r="NDA224" i="22"/>
  <c r="NDB224" i="22"/>
  <c r="NDC224" i="22"/>
  <c r="NDD224" i="22"/>
  <c r="NDE224" i="22"/>
  <c r="NDF224" i="22"/>
  <c r="NDG224" i="22"/>
  <c r="NDH224" i="22"/>
  <c r="NDI224" i="22"/>
  <c r="NDJ224" i="22"/>
  <c r="NDK224" i="22"/>
  <c r="NDL224" i="22"/>
  <c r="NDM224" i="22"/>
  <c r="NDN224" i="22"/>
  <c r="NDO224" i="22"/>
  <c r="NDP224" i="22"/>
  <c r="NDQ224" i="22"/>
  <c r="NDR224" i="22"/>
  <c r="NDS224" i="22"/>
  <c r="NDT224" i="22"/>
  <c r="NDU224" i="22"/>
  <c r="NDV224" i="22"/>
  <c r="NDW224" i="22"/>
  <c r="NDX224" i="22"/>
  <c r="NDY224" i="22"/>
  <c r="NDZ224" i="22"/>
  <c r="NEA224" i="22"/>
  <c r="NEB224" i="22"/>
  <c r="NEC224" i="22"/>
  <c r="NED224" i="22"/>
  <c r="NEE224" i="22"/>
  <c r="NEF224" i="22"/>
  <c r="NEG224" i="22"/>
  <c r="NEH224" i="22"/>
  <c r="NEI224" i="22"/>
  <c r="NEJ224" i="22"/>
  <c r="NEK224" i="22"/>
  <c r="NEL224" i="22"/>
  <c r="NEM224" i="22"/>
  <c r="NEN224" i="22"/>
  <c r="NEO224" i="22"/>
  <c r="NEP224" i="22"/>
  <c r="NEQ224" i="22"/>
  <c r="NER224" i="22"/>
  <c r="NES224" i="22"/>
  <c r="NET224" i="22"/>
  <c r="NEU224" i="22"/>
  <c r="NEV224" i="22"/>
  <c r="NEW224" i="22"/>
  <c r="NEX224" i="22"/>
  <c r="NEY224" i="22"/>
  <c r="NEZ224" i="22"/>
  <c r="NFA224" i="22"/>
  <c r="NFB224" i="22"/>
  <c r="NFC224" i="22"/>
  <c r="NFD224" i="22"/>
  <c r="NFE224" i="22"/>
  <c r="NFF224" i="22"/>
  <c r="NFG224" i="22"/>
  <c r="NFH224" i="22"/>
  <c r="NFI224" i="22"/>
  <c r="NFJ224" i="22"/>
  <c r="NFK224" i="22"/>
  <c r="NFL224" i="22"/>
  <c r="NFM224" i="22"/>
  <c r="NFN224" i="22"/>
  <c r="NFO224" i="22"/>
  <c r="NFP224" i="22"/>
  <c r="NFQ224" i="22"/>
  <c r="NFR224" i="22"/>
  <c r="NFS224" i="22"/>
  <c r="NFT224" i="22"/>
  <c r="NFU224" i="22"/>
  <c r="NFV224" i="22"/>
  <c r="NFW224" i="22"/>
  <c r="NFX224" i="22"/>
  <c r="NFY224" i="22"/>
  <c r="NFZ224" i="22"/>
  <c r="NGA224" i="22"/>
  <c r="NGB224" i="22"/>
  <c r="NGC224" i="22"/>
  <c r="NGD224" i="22"/>
  <c r="NGE224" i="22"/>
  <c r="NGF224" i="22"/>
  <c r="NGG224" i="22"/>
  <c r="NGH224" i="22"/>
  <c r="NGI224" i="22"/>
  <c r="NGJ224" i="22"/>
  <c r="NGK224" i="22"/>
  <c r="NGL224" i="22"/>
  <c r="NGM224" i="22"/>
  <c r="NGN224" i="22"/>
  <c r="NGO224" i="22"/>
  <c r="NGP224" i="22"/>
  <c r="NGQ224" i="22"/>
  <c r="NGR224" i="22"/>
  <c r="NGS224" i="22"/>
  <c r="NGT224" i="22"/>
  <c r="NGU224" i="22"/>
  <c r="NGV224" i="22"/>
  <c r="NGW224" i="22"/>
  <c r="NGX224" i="22"/>
  <c r="NGY224" i="22"/>
  <c r="NGZ224" i="22"/>
  <c r="NHA224" i="22"/>
  <c r="NHB224" i="22"/>
  <c r="NHC224" i="22"/>
  <c r="NHD224" i="22"/>
  <c r="NHE224" i="22"/>
  <c r="NHF224" i="22"/>
  <c r="NHG224" i="22"/>
  <c r="NHH224" i="22"/>
  <c r="NHI224" i="22"/>
  <c r="NHJ224" i="22"/>
  <c r="NHK224" i="22"/>
  <c r="NHL224" i="22"/>
  <c r="NHM224" i="22"/>
  <c r="NHN224" i="22"/>
  <c r="NHO224" i="22"/>
  <c r="NHP224" i="22"/>
  <c r="NHQ224" i="22"/>
  <c r="NHR224" i="22"/>
  <c r="NHS224" i="22"/>
  <c r="NHT224" i="22"/>
  <c r="NHU224" i="22"/>
  <c r="NHV224" i="22"/>
  <c r="NHW224" i="22"/>
  <c r="NHX224" i="22"/>
  <c r="NHY224" i="22"/>
  <c r="NHZ224" i="22"/>
  <c r="NIA224" i="22"/>
  <c r="NIB224" i="22"/>
  <c r="NIC224" i="22"/>
  <c r="NID224" i="22"/>
  <c r="NIE224" i="22"/>
  <c r="NIF224" i="22"/>
  <c r="NIG224" i="22"/>
  <c r="NIH224" i="22"/>
  <c r="NII224" i="22"/>
  <c r="NIJ224" i="22"/>
  <c r="NIK224" i="22"/>
  <c r="NIL224" i="22"/>
  <c r="NIM224" i="22"/>
  <c r="NIN224" i="22"/>
  <c r="NIO224" i="22"/>
  <c r="NIP224" i="22"/>
  <c r="NIQ224" i="22"/>
  <c r="NIR224" i="22"/>
  <c r="NIS224" i="22"/>
  <c r="NIT224" i="22"/>
  <c r="NIU224" i="22"/>
  <c r="NIV224" i="22"/>
  <c r="NIW224" i="22"/>
  <c r="NIX224" i="22"/>
  <c r="NIY224" i="22"/>
  <c r="NIZ224" i="22"/>
  <c r="NJA224" i="22"/>
  <c r="NJB224" i="22"/>
  <c r="NJC224" i="22"/>
  <c r="NJD224" i="22"/>
  <c r="NJE224" i="22"/>
  <c r="NJF224" i="22"/>
  <c r="NJG224" i="22"/>
  <c r="NJH224" i="22"/>
  <c r="NJI224" i="22"/>
  <c r="NJJ224" i="22"/>
  <c r="NJK224" i="22"/>
  <c r="NJL224" i="22"/>
  <c r="NJM224" i="22"/>
  <c r="NJN224" i="22"/>
  <c r="NJO224" i="22"/>
  <c r="NJP224" i="22"/>
  <c r="NJQ224" i="22"/>
  <c r="NJR224" i="22"/>
  <c r="NJS224" i="22"/>
  <c r="NJT224" i="22"/>
  <c r="NJU224" i="22"/>
  <c r="NJV224" i="22"/>
  <c r="NJW224" i="22"/>
  <c r="NJX224" i="22"/>
  <c r="NJY224" i="22"/>
  <c r="NJZ224" i="22"/>
  <c r="NKA224" i="22"/>
  <c r="NKB224" i="22"/>
  <c r="NKC224" i="22"/>
  <c r="NKD224" i="22"/>
  <c r="NKE224" i="22"/>
  <c r="NKF224" i="22"/>
  <c r="NKG224" i="22"/>
  <c r="NKH224" i="22"/>
  <c r="NKI224" i="22"/>
  <c r="NKJ224" i="22"/>
  <c r="NKK224" i="22"/>
  <c r="NKL224" i="22"/>
  <c r="NKM224" i="22"/>
  <c r="NKN224" i="22"/>
  <c r="NKO224" i="22"/>
  <c r="NKP224" i="22"/>
  <c r="NKQ224" i="22"/>
  <c r="NKR224" i="22"/>
  <c r="NKS224" i="22"/>
  <c r="NKT224" i="22"/>
  <c r="NKU224" i="22"/>
  <c r="NKV224" i="22"/>
  <c r="NKW224" i="22"/>
  <c r="NKX224" i="22"/>
  <c r="NKY224" i="22"/>
  <c r="NKZ224" i="22"/>
  <c r="NLA224" i="22"/>
  <c r="NLB224" i="22"/>
  <c r="NLC224" i="22"/>
  <c r="NLD224" i="22"/>
  <c r="NLE224" i="22"/>
  <c r="NLF224" i="22"/>
  <c r="NLG224" i="22"/>
  <c r="NLH224" i="22"/>
  <c r="NLI224" i="22"/>
  <c r="NLJ224" i="22"/>
  <c r="NLK224" i="22"/>
  <c r="NLL224" i="22"/>
  <c r="NLM224" i="22"/>
  <c r="NLN224" i="22"/>
  <c r="NLO224" i="22"/>
  <c r="NLP224" i="22"/>
  <c r="NLQ224" i="22"/>
  <c r="NLR224" i="22"/>
  <c r="NLS224" i="22"/>
  <c r="NLT224" i="22"/>
  <c r="NLU224" i="22"/>
  <c r="NLV224" i="22"/>
  <c r="NLW224" i="22"/>
  <c r="NLX224" i="22"/>
  <c r="NLY224" i="22"/>
  <c r="NLZ224" i="22"/>
  <c r="NMA224" i="22"/>
  <c r="NMB224" i="22"/>
  <c r="NMC224" i="22"/>
  <c r="NMD224" i="22"/>
  <c r="NME224" i="22"/>
  <c r="NMF224" i="22"/>
  <c r="NMG224" i="22"/>
  <c r="NMH224" i="22"/>
  <c r="NMI224" i="22"/>
  <c r="NMJ224" i="22"/>
  <c r="NMK224" i="22"/>
  <c r="NML224" i="22"/>
  <c r="NMM224" i="22"/>
  <c r="NMN224" i="22"/>
  <c r="NMO224" i="22"/>
  <c r="NMP224" i="22"/>
  <c r="NMQ224" i="22"/>
  <c r="NMR224" i="22"/>
  <c r="NMS224" i="22"/>
  <c r="NMT224" i="22"/>
  <c r="NMU224" i="22"/>
  <c r="NMV224" i="22"/>
  <c r="NMW224" i="22"/>
  <c r="NMX224" i="22"/>
  <c r="NMY224" i="22"/>
  <c r="NMZ224" i="22"/>
  <c r="NNA224" i="22"/>
  <c r="NNB224" i="22"/>
  <c r="NNC224" i="22"/>
  <c r="NND224" i="22"/>
  <c r="NNE224" i="22"/>
  <c r="NNF224" i="22"/>
  <c r="NNG224" i="22"/>
  <c r="NNH224" i="22"/>
  <c r="NNI224" i="22"/>
  <c r="NNJ224" i="22"/>
  <c r="NNK224" i="22"/>
  <c r="NNL224" i="22"/>
  <c r="NNM224" i="22"/>
  <c r="NNN224" i="22"/>
  <c r="NNO224" i="22"/>
  <c r="NNP224" i="22"/>
  <c r="NNQ224" i="22"/>
  <c r="NNR224" i="22"/>
  <c r="NNS224" i="22"/>
  <c r="NNT224" i="22"/>
  <c r="NNU224" i="22"/>
  <c r="NNV224" i="22"/>
  <c r="NNW224" i="22"/>
  <c r="NNX224" i="22"/>
  <c r="NNY224" i="22"/>
  <c r="NNZ224" i="22"/>
  <c r="NOA224" i="22"/>
  <c r="NOB224" i="22"/>
  <c r="NOC224" i="22"/>
  <c r="NOD224" i="22"/>
  <c r="NOE224" i="22"/>
  <c r="NOF224" i="22"/>
  <c r="NOG224" i="22"/>
  <c r="NOH224" i="22"/>
  <c r="NOI224" i="22"/>
  <c r="NOJ224" i="22"/>
  <c r="NOK224" i="22"/>
  <c r="NOL224" i="22"/>
  <c r="NOM224" i="22"/>
  <c r="NON224" i="22"/>
  <c r="NOO224" i="22"/>
  <c r="NOP224" i="22"/>
  <c r="NOQ224" i="22"/>
  <c r="NOR224" i="22"/>
  <c r="NOS224" i="22"/>
  <c r="NOT224" i="22"/>
  <c r="NOU224" i="22"/>
  <c r="NOV224" i="22"/>
  <c r="NOW224" i="22"/>
  <c r="NOX224" i="22"/>
  <c r="NOY224" i="22"/>
  <c r="NOZ224" i="22"/>
  <c r="NPA224" i="22"/>
  <c r="NPB224" i="22"/>
  <c r="NPC224" i="22"/>
  <c r="NPD224" i="22"/>
  <c r="NPE224" i="22"/>
  <c r="NPF224" i="22"/>
  <c r="NPG224" i="22"/>
  <c r="NPH224" i="22"/>
  <c r="NPI224" i="22"/>
  <c r="NPJ224" i="22"/>
  <c r="NPK224" i="22"/>
  <c r="NPL224" i="22"/>
  <c r="NPM224" i="22"/>
  <c r="NPN224" i="22"/>
  <c r="NPO224" i="22"/>
  <c r="NPP224" i="22"/>
  <c r="NPQ224" i="22"/>
  <c r="NPR224" i="22"/>
  <c r="NPS224" i="22"/>
  <c r="NPT224" i="22"/>
  <c r="NPU224" i="22"/>
  <c r="NPV224" i="22"/>
  <c r="NPW224" i="22"/>
  <c r="NPX224" i="22"/>
  <c r="NPY224" i="22"/>
  <c r="NPZ224" i="22"/>
  <c r="NQA224" i="22"/>
  <c r="NQB224" i="22"/>
  <c r="NQC224" i="22"/>
  <c r="NQD224" i="22"/>
  <c r="NQE224" i="22"/>
  <c r="NQF224" i="22"/>
  <c r="NQG224" i="22"/>
  <c r="NQH224" i="22"/>
  <c r="NQI224" i="22"/>
  <c r="NQJ224" i="22"/>
  <c r="NQK224" i="22"/>
  <c r="NQL224" i="22"/>
  <c r="NQM224" i="22"/>
  <c r="NQN224" i="22"/>
  <c r="NQO224" i="22"/>
  <c r="NQP224" i="22"/>
  <c r="NQQ224" i="22"/>
  <c r="NQR224" i="22"/>
  <c r="NQS224" i="22"/>
  <c r="NQT224" i="22"/>
  <c r="NQU224" i="22"/>
  <c r="NQV224" i="22"/>
  <c r="NQW224" i="22"/>
  <c r="NQX224" i="22"/>
  <c r="NQY224" i="22"/>
  <c r="NQZ224" i="22"/>
  <c r="NRA224" i="22"/>
  <c r="NRB224" i="22"/>
  <c r="NRC224" i="22"/>
  <c r="NRD224" i="22"/>
  <c r="NRE224" i="22"/>
  <c r="NRF224" i="22"/>
  <c r="NRG224" i="22"/>
  <c r="NRH224" i="22"/>
  <c r="NRI224" i="22"/>
  <c r="NRJ224" i="22"/>
  <c r="NRK224" i="22"/>
  <c r="NRL224" i="22"/>
  <c r="NRM224" i="22"/>
  <c r="NRN224" i="22"/>
  <c r="NRO224" i="22"/>
  <c r="NRP224" i="22"/>
  <c r="NRQ224" i="22"/>
  <c r="NRR224" i="22"/>
  <c r="NRS224" i="22"/>
  <c r="NRT224" i="22"/>
  <c r="NRU224" i="22"/>
  <c r="NRV224" i="22"/>
  <c r="NRW224" i="22"/>
  <c r="NRX224" i="22"/>
  <c r="NRY224" i="22"/>
  <c r="NRZ224" i="22"/>
  <c r="NSA224" i="22"/>
  <c r="NSB224" i="22"/>
  <c r="NSC224" i="22"/>
  <c r="NSD224" i="22"/>
  <c r="NSE224" i="22"/>
  <c r="NSF224" i="22"/>
  <c r="NSG224" i="22"/>
  <c r="NSH224" i="22"/>
  <c r="NSI224" i="22"/>
  <c r="NSJ224" i="22"/>
  <c r="NSK224" i="22"/>
  <c r="NSL224" i="22"/>
  <c r="NSM224" i="22"/>
  <c r="NSN224" i="22"/>
  <c r="NSO224" i="22"/>
  <c r="NSP224" i="22"/>
  <c r="NSQ224" i="22"/>
  <c r="NSR224" i="22"/>
  <c r="NSS224" i="22"/>
  <c r="NST224" i="22"/>
  <c r="NSU224" i="22"/>
  <c r="NSV224" i="22"/>
  <c r="NSW224" i="22"/>
  <c r="NSX224" i="22"/>
  <c r="NSY224" i="22"/>
  <c r="NSZ224" i="22"/>
  <c r="NTA224" i="22"/>
  <c r="NTB224" i="22"/>
  <c r="NTC224" i="22"/>
  <c r="NTD224" i="22"/>
  <c r="NTE224" i="22"/>
  <c r="NTF224" i="22"/>
  <c r="NTG224" i="22"/>
  <c r="NTH224" i="22"/>
  <c r="NTI224" i="22"/>
  <c r="NTJ224" i="22"/>
  <c r="NTK224" i="22"/>
  <c r="NTL224" i="22"/>
  <c r="NTM224" i="22"/>
  <c r="NTN224" i="22"/>
  <c r="NTO224" i="22"/>
  <c r="NTP224" i="22"/>
  <c r="NTQ224" i="22"/>
  <c r="NTR224" i="22"/>
  <c r="NTS224" i="22"/>
  <c r="NTT224" i="22"/>
  <c r="NTU224" i="22"/>
  <c r="NTV224" i="22"/>
  <c r="NTW224" i="22"/>
  <c r="NTX224" i="22"/>
  <c r="NTY224" i="22"/>
  <c r="NTZ224" i="22"/>
  <c r="NUA224" i="22"/>
  <c r="NUB224" i="22"/>
  <c r="NUC224" i="22"/>
  <c r="NUD224" i="22"/>
  <c r="NUE224" i="22"/>
  <c r="NUF224" i="22"/>
  <c r="NUG224" i="22"/>
  <c r="NUH224" i="22"/>
  <c r="NUI224" i="22"/>
  <c r="NUJ224" i="22"/>
  <c r="NUK224" i="22"/>
  <c r="NUL224" i="22"/>
  <c r="NUM224" i="22"/>
  <c r="NUN224" i="22"/>
  <c r="NUO224" i="22"/>
  <c r="NUP224" i="22"/>
  <c r="NUQ224" i="22"/>
  <c r="NUR224" i="22"/>
  <c r="NUS224" i="22"/>
  <c r="NUT224" i="22"/>
  <c r="NUU224" i="22"/>
  <c r="NUV224" i="22"/>
  <c r="NUW224" i="22"/>
  <c r="NUX224" i="22"/>
  <c r="NUY224" i="22"/>
  <c r="NUZ224" i="22"/>
  <c r="NVA224" i="22"/>
  <c r="NVB224" i="22"/>
  <c r="NVC224" i="22"/>
  <c r="NVD224" i="22"/>
  <c r="NVE224" i="22"/>
  <c r="NVF224" i="22"/>
  <c r="NVG224" i="22"/>
  <c r="NVH224" i="22"/>
  <c r="NVI224" i="22"/>
  <c r="NVJ224" i="22"/>
  <c r="NVK224" i="22"/>
  <c r="NVL224" i="22"/>
  <c r="NVM224" i="22"/>
  <c r="NVN224" i="22"/>
  <c r="NVO224" i="22"/>
  <c r="NVP224" i="22"/>
  <c r="NVQ224" i="22"/>
  <c r="NVR224" i="22"/>
  <c r="NVS224" i="22"/>
  <c r="NVT224" i="22"/>
  <c r="NVU224" i="22"/>
  <c r="NVV224" i="22"/>
  <c r="NVW224" i="22"/>
  <c r="NVX224" i="22"/>
  <c r="NVY224" i="22"/>
  <c r="NVZ224" i="22"/>
  <c r="NWA224" i="22"/>
  <c r="NWB224" i="22"/>
  <c r="NWC224" i="22"/>
  <c r="NWD224" i="22"/>
  <c r="NWE224" i="22"/>
  <c r="NWF224" i="22"/>
  <c r="NWG224" i="22"/>
  <c r="NWH224" i="22"/>
  <c r="NWI224" i="22"/>
  <c r="NWJ224" i="22"/>
  <c r="NWK224" i="22"/>
  <c r="NWL224" i="22"/>
  <c r="NWM224" i="22"/>
  <c r="NWN224" i="22"/>
  <c r="NWO224" i="22"/>
  <c r="NWP224" i="22"/>
  <c r="NWQ224" i="22"/>
  <c r="NWR224" i="22"/>
  <c r="NWS224" i="22"/>
  <c r="NWT224" i="22"/>
  <c r="NWU224" i="22"/>
  <c r="NWV224" i="22"/>
  <c r="NWW224" i="22"/>
  <c r="NWX224" i="22"/>
  <c r="NWY224" i="22"/>
  <c r="NWZ224" i="22"/>
  <c r="NXA224" i="22"/>
  <c r="NXB224" i="22"/>
  <c r="NXC224" i="22"/>
  <c r="NXD224" i="22"/>
  <c r="NXE224" i="22"/>
  <c r="NXF224" i="22"/>
  <c r="NXG224" i="22"/>
  <c r="NXH224" i="22"/>
  <c r="NXI224" i="22"/>
  <c r="NXJ224" i="22"/>
  <c r="NXK224" i="22"/>
  <c r="NXL224" i="22"/>
  <c r="NXM224" i="22"/>
  <c r="NXN224" i="22"/>
  <c r="NXO224" i="22"/>
  <c r="NXP224" i="22"/>
  <c r="NXQ224" i="22"/>
  <c r="NXR224" i="22"/>
  <c r="NXS224" i="22"/>
  <c r="NXT224" i="22"/>
  <c r="NXU224" i="22"/>
  <c r="NXV224" i="22"/>
  <c r="NXW224" i="22"/>
  <c r="NXX224" i="22"/>
  <c r="NXY224" i="22"/>
  <c r="NXZ224" i="22"/>
  <c r="NYA224" i="22"/>
  <c r="NYB224" i="22"/>
  <c r="NYC224" i="22"/>
  <c r="NYD224" i="22"/>
  <c r="NYE224" i="22"/>
  <c r="NYF224" i="22"/>
  <c r="NYG224" i="22"/>
  <c r="NYH224" i="22"/>
  <c r="NYI224" i="22"/>
  <c r="NYJ224" i="22"/>
  <c r="NYK224" i="22"/>
  <c r="NYL224" i="22"/>
  <c r="NYM224" i="22"/>
  <c r="NYN224" i="22"/>
  <c r="NYO224" i="22"/>
  <c r="NYP224" i="22"/>
  <c r="NYQ224" i="22"/>
  <c r="NYR224" i="22"/>
  <c r="NYS224" i="22"/>
  <c r="NYT224" i="22"/>
  <c r="NYU224" i="22"/>
  <c r="NYV224" i="22"/>
  <c r="NYW224" i="22"/>
  <c r="NYX224" i="22"/>
  <c r="NYY224" i="22"/>
  <c r="NYZ224" i="22"/>
  <c r="NZA224" i="22"/>
  <c r="NZB224" i="22"/>
  <c r="NZC224" i="22"/>
  <c r="NZD224" i="22"/>
  <c r="NZE224" i="22"/>
  <c r="NZF224" i="22"/>
  <c r="NZG224" i="22"/>
  <c r="NZH224" i="22"/>
  <c r="NZI224" i="22"/>
  <c r="NZJ224" i="22"/>
  <c r="NZK224" i="22"/>
  <c r="NZL224" i="22"/>
  <c r="NZM224" i="22"/>
  <c r="NZN224" i="22"/>
  <c r="NZO224" i="22"/>
  <c r="NZP224" i="22"/>
  <c r="NZQ224" i="22"/>
  <c r="NZR224" i="22"/>
  <c r="NZS224" i="22"/>
  <c r="NZT224" i="22"/>
  <c r="NZU224" i="22"/>
  <c r="NZV224" i="22"/>
  <c r="NZW224" i="22"/>
  <c r="NZX224" i="22"/>
  <c r="NZY224" i="22"/>
  <c r="NZZ224" i="22"/>
  <c r="OAA224" i="22"/>
  <c r="OAB224" i="22"/>
  <c r="OAC224" i="22"/>
  <c r="OAD224" i="22"/>
  <c r="OAE224" i="22"/>
  <c r="OAF224" i="22"/>
  <c r="OAG224" i="22"/>
  <c r="OAH224" i="22"/>
  <c r="OAI224" i="22"/>
  <c r="OAJ224" i="22"/>
  <c r="OAK224" i="22"/>
  <c r="OAL224" i="22"/>
  <c r="OAM224" i="22"/>
  <c r="OAN224" i="22"/>
  <c r="OAO224" i="22"/>
  <c r="OAP224" i="22"/>
  <c r="OAQ224" i="22"/>
  <c r="OAR224" i="22"/>
  <c r="OAS224" i="22"/>
  <c r="OAT224" i="22"/>
  <c r="OAU224" i="22"/>
  <c r="OAV224" i="22"/>
  <c r="OAW224" i="22"/>
  <c r="OAX224" i="22"/>
  <c r="OAY224" i="22"/>
  <c r="OAZ224" i="22"/>
  <c r="OBA224" i="22"/>
  <c r="OBB224" i="22"/>
  <c r="OBC224" i="22"/>
  <c r="OBD224" i="22"/>
  <c r="OBE224" i="22"/>
  <c r="OBF224" i="22"/>
  <c r="OBG224" i="22"/>
  <c r="OBH224" i="22"/>
  <c r="OBI224" i="22"/>
  <c r="OBJ224" i="22"/>
  <c r="OBK224" i="22"/>
  <c r="OBL224" i="22"/>
  <c r="OBM224" i="22"/>
  <c r="OBN224" i="22"/>
  <c r="OBO224" i="22"/>
  <c r="OBP224" i="22"/>
  <c r="OBQ224" i="22"/>
  <c r="OBR224" i="22"/>
  <c r="OBS224" i="22"/>
  <c r="OBT224" i="22"/>
  <c r="OBU224" i="22"/>
  <c r="OBV224" i="22"/>
  <c r="OBW224" i="22"/>
  <c r="OBX224" i="22"/>
  <c r="OBY224" i="22"/>
  <c r="OBZ224" i="22"/>
  <c r="OCA224" i="22"/>
  <c r="OCB224" i="22"/>
  <c r="OCC224" i="22"/>
  <c r="OCD224" i="22"/>
  <c r="OCE224" i="22"/>
  <c r="OCF224" i="22"/>
  <c r="OCG224" i="22"/>
  <c r="OCH224" i="22"/>
  <c r="OCI224" i="22"/>
  <c r="OCJ224" i="22"/>
  <c r="OCK224" i="22"/>
  <c r="OCL224" i="22"/>
  <c r="OCM224" i="22"/>
  <c r="OCN224" i="22"/>
  <c r="OCO224" i="22"/>
  <c r="OCP224" i="22"/>
  <c r="OCQ224" i="22"/>
  <c r="OCR224" i="22"/>
  <c r="OCS224" i="22"/>
  <c r="OCT224" i="22"/>
  <c r="OCU224" i="22"/>
  <c r="OCV224" i="22"/>
  <c r="OCW224" i="22"/>
  <c r="OCX224" i="22"/>
  <c r="OCY224" i="22"/>
  <c r="OCZ224" i="22"/>
  <c r="ODA224" i="22"/>
  <c r="ODB224" i="22"/>
  <c r="ODC224" i="22"/>
  <c r="ODD224" i="22"/>
  <c r="ODE224" i="22"/>
  <c r="ODF224" i="22"/>
  <c r="ODG224" i="22"/>
  <c r="ODH224" i="22"/>
  <c r="ODI224" i="22"/>
  <c r="ODJ224" i="22"/>
  <c r="ODK224" i="22"/>
  <c r="ODL224" i="22"/>
  <c r="ODM224" i="22"/>
  <c r="ODN224" i="22"/>
  <c r="ODO224" i="22"/>
  <c r="ODP224" i="22"/>
  <c r="ODQ224" i="22"/>
  <c r="ODR224" i="22"/>
  <c r="ODS224" i="22"/>
  <c r="ODT224" i="22"/>
  <c r="ODU224" i="22"/>
  <c r="ODV224" i="22"/>
  <c r="ODW224" i="22"/>
  <c r="ODX224" i="22"/>
  <c r="ODY224" i="22"/>
  <c r="ODZ224" i="22"/>
  <c r="OEA224" i="22"/>
  <c r="OEB224" i="22"/>
  <c r="OEC224" i="22"/>
  <c r="OED224" i="22"/>
  <c r="OEE224" i="22"/>
  <c r="OEF224" i="22"/>
  <c r="OEG224" i="22"/>
  <c r="OEH224" i="22"/>
  <c r="OEI224" i="22"/>
  <c r="OEJ224" i="22"/>
  <c r="OEK224" i="22"/>
  <c r="OEL224" i="22"/>
  <c r="OEM224" i="22"/>
  <c r="OEN224" i="22"/>
  <c r="OEO224" i="22"/>
  <c r="OEP224" i="22"/>
  <c r="OEQ224" i="22"/>
  <c r="OER224" i="22"/>
  <c r="OES224" i="22"/>
  <c r="OET224" i="22"/>
  <c r="OEU224" i="22"/>
  <c r="OEV224" i="22"/>
  <c r="OEW224" i="22"/>
  <c r="OEX224" i="22"/>
  <c r="OEY224" i="22"/>
  <c r="OEZ224" i="22"/>
  <c r="OFA224" i="22"/>
  <c r="OFB224" i="22"/>
  <c r="OFC224" i="22"/>
  <c r="OFD224" i="22"/>
  <c r="OFE224" i="22"/>
  <c r="OFF224" i="22"/>
  <c r="OFG224" i="22"/>
  <c r="OFH224" i="22"/>
  <c r="OFI224" i="22"/>
  <c r="OFJ224" i="22"/>
  <c r="OFK224" i="22"/>
  <c r="OFL224" i="22"/>
  <c r="OFM224" i="22"/>
  <c r="OFN224" i="22"/>
  <c r="OFO224" i="22"/>
  <c r="OFP224" i="22"/>
  <c r="OFQ224" i="22"/>
  <c r="OFR224" i="22"/>
  <c r="OFS224" i="22"/>
  <c r="OFT224" i="22"/>
  <c r="OFU224" i="22"/>
  <c r="OFV224" i="22"/>
  <c r="OFW224" i="22"/>
  <c r="OFX224" i="22"/>
  <c r="OFY224" i="22"/>
  <c r="OFZ224" i="22"/>
  <c r="OGA224" i="22"/>
  <c r="OGB224" i="22"/>
  <c r="OGC224" i="22"/>
  <c r="OGD224" i="22"/>
  <c r="OGE224" i="22"/>
  <c r="OGF224" i="22"/>
  <c r="OGG224" i="22"/>
  <c r="OGH224" i="22"/>
  <c r="OGI224" i="22"/>
  <c r="OGJ224" i="22"/>
  <c r="OGK224" i="22"/>
  <c r="OGL224" i="22"/>
  <c r="OGM224" i="22"/>
  <c r="OGN224" i="22"/>
  <c r="OGO224" i="22"/>
  <c r="OGP224" i="22"/>
  <c r="OGQ224" i="22"/>
  <c r="OGR224" i="22"/>
  <c r="OGS224" i="22"/>
  <c r="OGT224" i="22"/>
  <c r="OGU224" i="22"/>
  <c r="OGV224" i="22"/>
  <c r="OGW224" i="22"/>
  <c r="OGX224" i="22"/>
  <c r="OGY224" i="22"/>
  <c r="OGZ224" i="22"/>
  <c r="OHA224" i="22"/>
  <c r="OHB224" i="22"/>
  <c r="OHC224" i="22"/>
  <c r="OHD224" i="22"/>
  <c r="OHE224" i="22"/>
  <c r="OHF224" i="22"/>
  <c r="OHG224" i="22"/>
  <c r="OHH224" i="22"/>
  <c r="OHI224" i="22"/>
  <c r="OHJ224" i="22"/>
  <c r="OHK224" i="22"/>
  <c r="OHL224" i="22"/>
  <c r="OHM224" i="22"/>
  <c r="OHN224" i="22"/>
  <c r="OHO224" i="22"/>
  <c r="OHP224" i="22"/>
  <c r="OHQ224" i="22"/>
  <c r="OHR224" i="22"/>
  <c r="OHS224" i="22"/>
  <c r="OHT224" i="22"/>
  <c r="OHU224" i="22"/>
  <c r="OHV224" i="22"/>
  <c r="OHW224" i="22"/>
  <c r="OHX224" i="22"/>
  <c r="OHY224" i="22"/>
  <c r="OHZ224" i="22"/>
  <c r="OIA224" i="22"/>
  <c r="OIB224" i="22"/>
  <c r="OIC224" i="22"/>
  <c r="OID224" i="22"/>
  <c r="OIE224" i="22"/>
  <c r="OIF224" i="22"/>
  <c r="OIG224" i="22"/>
  <c r="OIH224" i="22"/>
  <c r="OII224" i="22"/>
  <c r="OIJ224" i="22"/>
  <c r="OIK224" i="22"/>
  <c r="OIL224" i="22"/>
  <c r="OIM224" i="22"/>
  <c r="OIN224" i="22"/>
  <c r="OIO224" i="22"/>
  <c r="OIP224" i="22"/>
  <c r="OIQ224" i="22"/>
  <c r="OIR224" i="22"/>
  <c r="OIS224" i="22"/>
  <c r="OIT224" i="22"/>
  <c r="OIU224" i="22"/>
  <c r="OIV224" i="22"/>
  <c r="OIW224" i="22"/>
  <c r="OIX224" i="22"/>
  <c r="OIY224" i="22"/>
  <c r="OIZ224" i="22"/>
  <c r="OJA224" i="22"/>
  <c r="OJB224" i="22"/>
  <c r="OJC224" i="22"/>
  <c r="OJD224" i="22"/>
  <c r="OJE224" i="22"/>
  <c r="OJF224" i="22"/>
  <c r="OJG224" i="22"/>
  <c r="OJH224" i="22"/>
  <c r="OJI224" i="22"/>
  <c r="OJJ224" i="22"/>
  <c r="OJK224" i="22"/>
  <c r="OJL224" i="22"/>
  <c r="OJM224" i="22"/>
  <c r="OJN224" i="22"/>
  <c r="OJO224" i="22"/>
  <c r="OJP224" i="22"/>
  <c r="OJQ224" i="22"/>
  <c r="OJR224" i="22"/>
  <c r="OJS224" i="22"/>
  <c r="OJT224" i="22"/>
  <c r="OJU224" i="22"/>
  <c r="OJV224" i="22"/>
  <c r="OJW224" i="22"/>
  <c r="OJX224" i="22"/>
  <c r="OJY224" i="22"/>
  <c r="OJZ224" i="22"/>
  <c r="OKA224" i="22"/>
  <c r="OKB224" i="22"/>
  <c r="OKC224" i="22"/>
  <c r="OKD224" i="22"/>
  <c r="OKE224" i="22"/>
  <c r="OKF224" i="22"/>
  <c r="OKG224" i="22"/>
  <c r="OKH224" i="22"/>
  <c r="OKI224" i="22"/>
  <c r="OKJ224" i="22"/>
  <c r="OKK224" i="22"/>
  <c r="OKL224" i="22"/>
  <c r="OKM224" i="22"/>
  <c r="OKN224" i="22"/>
  <c r="OKO224" i="22"/>
  <c r="OKP224" i="22"/>
  <c r="OKQ224" i="22"/>
  <c r="OKR224" i="22"/>
  <c r="OKS224" i="22"/>
  <c r="OKT224" i="22"/>
  <c r="OKU224" i="22"/>
  <c r="OKV224" i="22"/>
  <c r="OKW224" i="22"/>
  <c r="OKX224" i="22"/>
  <c r="OKY224" i="22"/>
  <c r="OKZ224" i="22"/>
  <c r="OLA224" i="22"/>
  <c r="OLB224" i="22"/>
  <c r="OLC224" i="22"/>
  <c r="OLD224" i="22"/>
  <c r="OLE224" i="22"/>
  <c r="OLF224" i="22"/>
  <c r="OLG224" i="22"/>
  <c r="OLH224" i="22"/>
  <c r="OLI224" i="22"/>
  <c r="OLJ224" i="22"/>
  <c r="OLK224" i="22"/>
  <c r="OLL224" i="22"/>
  <c r="OLM224" i="22"/>
  <c r="OLN224" i="22"/>
  <c r="OLO224" i="22"/>
  <c r="OLP224" i="22"/>
  <c r="OLQ224" i="22"/>
  <c r="OLR224" i="22"/>
  <c r="OLS224" i="22"/>
  <c r="OLT224" i="22"/>
  <c r="OLU224" i="22"/>
  <c r="OLV224" i="22"/>
  <c r="OLW224" i="22"/>
  <c r="OLX224" i="22"/>
  <c r="OLY224" i="22"/>
  <c r="OLZ224" i="22"/>
  <c r="OMA224" i="22"/>
  <c r="OMB224" i="22"/>
  <c r="OMC224" i="22"/>
  <c r="OMD224" i="22"/>
  <c r="OME224" i="22"/>
  <c r="OMF224" i="22"/>
  <c r="OMG224" i="22"/>
  <c r="OMH224" i="22"/>
  <c r="OMI224" i="22"/>
  <c r="OMJ224" i="22"/>
  <c r="OMK224" i="22"/>
  <c r="OML224" i="22"/>
  <c r="OMM224" i="22"/>
  <c r="OMN224" i="22"/>
  <c r="OMO224" i="22"/>
  <c r="OMP224" i="22"/>
  <c r="OMQ224" i="22"/>
  <c r="OMR224" i="22"/>
  <c r="OMS224" i="22"/>
  <c r="OMT224" i="22"/>
  <c r="OMU224" i="22"/>
  <c r="OMV224" i="22"/>
  <c r="OMW224" i="22"/>
  <c r="OMX224" i="22"/>
  <c r="OMY224" i="22"/>
  <c r="OMZ224" i="22"/>
  <c r="ONA224" i="22"/>
  <c r="ONB224" i="22"/>
  <c r="ONC224" i="22"/>
  <c r="OND224" i="22"/>
  <c r="ONE224" i="22"/>
  <c r="ONF224" i="22"/>
  <c r="ONG224" i="22"/>
  <c r="ONH224" i="22"/>
  <c r="ONI224" i="22"/>
  <c r="ONJ224" i="22"/>
  <c r="ONK224" i="22"/>
  <c r="ONL224" i="22"/>
  <c r="ONM224" i="22"/>
  <c r="ONN224" i="22"/>
  <c r="ONO224" i="22"/>
  <c r="ONP224" i="22"/>
  <c r="ONQ224" i="22"/>
  <c r="ONR224" i="22"/>
  <c r="ONS224" i="22"/>
  <c r="ONT224" i="22"/>
  <c r="ONU224" i="22"/>
  <c r="ONV224" i="22"/>
  <c r="ONW224" i="22"/>
  <c r="ONX224" i="22"/>
  <c r="ONY224" i="22"/>
  <c r="ONZ224" i="22"/>
  <c r="OOA224" i="22"/>
  <c r="OOB224" i="22"/>
  <c r="OOC224" i="22"/>
  <c r="OOD224" i="22"/>
  <c r="OOE224" i="22"/>
  <c r="OOF224" i="22"/>
  <c r="OOG224" i="22"/>
  <c r="OOH224" i="22"/>
  <c r="OOI224" i="22"/>
  <c r="OOJ224" i="22"/>
  <c r="OOK224" i="22"/>
  <c r="OOL224" i="22"/>
  <c r="OOM224" i="22"/>
  <c r="OON224" i="22"/>
  <c r="OOO224" i="22"/>
  <c r="OOP224" i="22"/>
  <c r="OOQ224" i="22"/>
  <c r="OOR224" i="22"/>
  <c r="OOS224" i="22"/>
  <c r="OOT224" i="22"/>
  <c r="OOU224" i="22"/>
  <c r="OOV224" i="22"/>
  <c r="OOW224" i="22"/>
  <c r="OOX224" i="22"/>
  <c r="OOY224" i="22"/>
  <c r="OOZ224" i="22"/>
  <c r="OPA224" i="22"/>
  <c r="OPB224" i="22"/>
  <c r="OPC224" i="22"/>
  <c r="OPD224" i="22"/>
  <c r="OPE224" i="22"/>
  <c r="OPF224" i="22"/>
  <c r="OPG224" i="22"/>
  <c r="OPH224" i="22"/>
  <c r="OPI224" i="22"/>
  <c r="OPJ224" i="22"/>
  <c r="OPK224" i="22"/>
  <c r="OPL224" i="22"/>
  <c r="OPM224" i="22"/>
  <c r="OPN224" i="22"/>
  <c r="OPO224" i="22"/>
  <c r="OPP224" i="22"/>
  <c r="OPQ224" i="22"/>
  <c r="OPR224" i="22"/>
  <c r="OPS224" i="22"/>
  <c r="OPT224" i="22"/>
  <c r="OPU224" i="22"/>
  <c r="OPV224" i="22"/>
  <c r="OPW224" i="22"/>
  <c r="OPX224" i="22"/>
  <c r="OPY224" i="22"/>
  <c r="OPZ224" i="22"/>
  <c r="OQA224" i="22"/>
  <c r="OQB224" i="22"/>
  <c r="OQC224" i="22"/>
  <c r="OQD224" i="22"/>
  <c r="OQE224" i="22"/>
  <c r="OQF224" i="22"/>
  <c r="OQG224" i="22"/>
  <c r="OQH224" i="22"/>
  <c r="OQI224" i="22"/>
  <c r="OQJ224" i="22"/>
  <c r="OQK224" i="22"/>
  <c r="OQL224" i="22"/>
  <c r="OQM224" i="22"/>
  <c r="OQN224" i="22"/>
  <c r="OQO224" i="22"/>
  <c r="OQP224" i="22"/>
  <c r="OQQ224" i="22"/>
  <c r="OQR224" i="22"/>
  <c r="OQS224" i="22"/>
  <c r="OQT224" i="22"/>
  <c r="OQU224" i="22"/>
  <c r="OQV224" i="22"/>
  <c r="OQW224" i="22"/>
  <c r="OQX224" i="22"/>
  <c r="OQY224" i="22"/>
  <c r="OQZ224" i="22"/>
  <c r="ORA224" i="22"/>
  <c r="ORB224" i="22"/>
  <c r="ORC224" i="22"/>
  <c r="ORD224" i="22"/>
  <c r="ORE224" i="22"/>
  <c r="ORF224" i="22"/>
  <c r="ORG224" i="22"/>
  <c r="ORH224" i="22"/>
  <c r="ORI224" i="22"/>
  <c r="ORJ224" i="22"/>
  <c r="ORK224" i="22"/>
  <c r="ORL224" i="22"/>
  <c r="ORM224" i="22"/>
  <c r="ORN224" i="22"/>
  <c r="ORO224" i="22"/>
  <c r="ORP224" i="22"/>
  <c r="ORQ224" i="22"/>
  <c r="ORR224" i="22"/>
  <c r="ORS224" i="22"/>
  <c r="ORT224" i="22"/>
  <c r="ORU224" i="22"/>
  <c r="ORV224" i="22"/>
  <c r="ORW224" i="22"/>
  <c r="ORX224" i="22"/>
  <c r="ORY224" i="22"/>
  <c r="ORZ224" i="22"/>
  <c r="OSA224" i="22"/>
  <c r="OSB224" i="22"/>
  <c r="OSC224" i="22"/>
  <c r="OSD224" i="22"/>
  <c r="OSE224" i="22"/>
  <c r="OSF224" i="22"/>
  <c r="OSG224" i="22"/>
  <c r="OSH224" i="22"/>
  <c r="OSI224" i="22"/>
  <c r="OSJ224" i="22"/>
  <c r="OSK224" i="22"/>
  <c r="OSL224" i="22"/>
  <c r="OSM224" i="22"/>
  <c r="OSN224" i="22"/>
  <c r="OSO224" i="22"/>
  <c r="OSP224" i="22"/>
  <c r="OSQ224" i="22"/>
  <c r="OSR224" i="22"/>
  <c r="OSS224" i="22"/>
  <c r="OST224" i="22"/>
  <c r="OSU224" i="22"/>
  <c r="OSV224" i="22"/>
  <c r="OSW224" i="22"/>
  <c r="OSX224" i="22"/>
  <c r="OSY224" i="22"/>
  <c r="OSZ224" i="22"/>
  <c r="OTA224" i="22"/>
  <c r="OTB224" i="22"/>
  <c r="OTC224" i="22"/>
  <c r="OTD224" i="22"/>
  <c r="OTE224" i="22"/>
  <c r="OTF224" i="22"/>
  <c r="OTG224" i="22"/>
  <c r="OTH224" i="22"/>
  <c r="OTI224" i="22"/>
  <c r="OTJ224" i="22"/>
  <c r="OTK224" i="22"/>
  <c r="OTL224" i="22"/>
  <c r="OTM224" i="22"/>
  <c r="OTN224" i="22"/>
  <c r="OTO224" i="22"/>
  <c r="OTP224" i="22"/>
  <c r="OTQ224" i="22"/>
  <c r="OTR224" i="22"/>
  <c r="OTS224" i="22"/>
  <c r="OTT224" i="22"/>
  <c r="OTU224" i="22"/>
  <c r="OTV224" i="22"/>
  <c r="OTW224" i="22"/>
  <c r="OTX224" i="22"/>
  <c r="OTY224" i="22"/>
  <c r="OTZ224" i="22"/>
  <c r="OUA224" i="22"/>
  <c r="OUB224" i="22"/>
  <c r="OUC224" i="22"/>
  <c r="OUD224" i="22"/>
  <c r="OUE224" i="22"/>
  <c r="OUF224" i="22"/>
  <c r="OUG224" i="22"/>
  <c r="OUH224" i="22"/>
  <c r="OUI224" i="22"/>
  <c r="OUJ224" i="22"/>
  <c r="OUK224" i="22"/>
  <c r="OUL224" i="22"/>
  <c r="OUM224" i="22"/>
  <c r="OUN224" i="22"/>
  <c r="OUO224" i="22"/>
  <c r="OUP224" i="22"/>
  <c r="OUQ224" i="22"/>
  <c r="OUR224" i="22"/>
  <c r="OUS224" i="22"/>
  <c r="OUT224" i="22"/>
  <c r="OUU224" i="22"/>
  <c r="OUV224" i="22"/>
  <c r="OUW224" i="22"/>
  <c r="OUX224" i="22"/>
  <c r="OUY224" i="22"/>
  <c r="OUZ224" i="22"/>
  <c r="OVA224" i="22"/>
  <c r="OVB224" i="22"/>
  <c r="OVC224" i="22"/>
  <c r="OVD224" i="22"/>
  <c r="OVE224" i="22"/>
  <c r="OVF224" i="22"/>
  <c r="OVG224" i="22"/>
  <c r="OVH224" i="22"/>
  <c r="OVI224" i="22"/>
  <c r="OVJ224" i="22"/>
  <c r="OVK224" i="22"/>
  <c r="OVL224" i="22"/>
  <c r="OVM224" i="22"/>
  <c r="OVN224" i="22"/>
  <c r="OVO224" i="22"/>
  <c r="OVP224" i="22"/>
  <c r="OVQ224" i="22"/>
  <c r="OVR224" i="22"/>
  <c r="OVS224" i="22"/>
  <c r="OVT224" i="22"/>
  <c r="OVU224" i="22"/>
  <c r="OVV224" i="22"/>
  <c r="OVW224" i="22"/>
  <c r="OVX224" i="22"/>
  <c r="OVY224" i="22"/>
  <c r="OVZ224" i="22"/>
  <c r="OWA224" i="22"/>
  <c r="OWB224" i="22"/>
  <c r="OWC224" i="22"/>
  <c r="OWD224" i="22"/>
  <c r="OWE224" i="22"/>
  <c r="OWF224" i="22"/>
  <c r="OWG224" i="22"/>
  <c r="OWH224" i="22"/>
  <c r="OWI224" i="22"/>
  <c r="OWJ224" i="22"/>
  <c r="OWK224" i="22"/>
  <c r="OWL224" i="22"/>
  <c r="OWM224" i="22"/>
  <c r="OWN224" i="22"/>
  <c r="OWO224" i="22"/>
  <c r="OWP224" i="22"/>
  <c r="OWQ224" i="22"/>
  <c r="OWR224" i="22"/>
  <c r="OWS224" i="22"/>
  <c r="OWT224" i="22"/>
  <c r="OWU224" i="22"/>
  <c r="OWV224" i="22"/>
  <c r="OWW224" i="22"/>
  <c r="OWX224" i="22"/>
  <c r="OWY224" i="22"/>
  <c r="OWZ224" i="22"/>
  <c r="OXA224" i="22"/>
  <c r="OXB224" i="22"/>
  <c r="OXC224" i="22"/>
  <c r="OXD224" i="22"/>
  <c r="OXE224" i="22"/>
  <c r="OXF224" i="22"/>
  <c r="OXG224" i="22"/>
  <c r="OXH224" i="22"/>
  <c r="OXI224" i="22"/>
  <c r="OXJ224" i="22"/>
  <c r="OXK224" i="22"/>
  <c r="OXL224" i="22"/>
  <c r="OXM224" i="22"/>
  <c r="OXN224" i="22"/>
  <c r="OXO224" i="22"/>
  <c r="OXP224" i="22"/>
  <c r="OXQ224" i="22"/>
  <c r="OXR224" i="22"/>
  <c r="OXS224" i="22"/>
  <c r="OXT224" i="22"/>
  <c r="OXU224" i="22"/>
  <c r="OXV224" i="22"/>
  <c r="OXW224" i="22"/>
  <c r="OXX224" i="22"/>
  <c r="OXY224" i="22"/>
  <c r="OXZ224" i="22"/>
  <c r="OYA224" i="22"/>
  <c r="OYB224" i="22"/>
  <c r="OYC224" i="22"/>
  <c r="OYD224" i="22"/>
  <c r="OYE224" i="22"/>
  <c r="OYF224" i="22"/>
  <c r="OYG224" i="22"/>
  <c r="OYH224" i="22"/>
  <c r="OYI224" i="22"/>
  <c r="OYJ224" i="22"/>
  <c r="OYK224" i="22"/>
  <c r="OYL224" i="22"/>
  <c r="OYM224" i="22"/>
  <c r="OYN224" i="22"/>
  <c r="OYO224" i="22"/>
  <c r="OYP224" i="22"/>
  <c r="OYQ224" i="22"/>
  <c r="OYR224" i="22"/>
  <c r="OYS224" i="22"/>
  <c r="OYT224" i="22"/>
  <c r="OYU224" i="22"/>
  <c r="OYV224" i="22"/>
  <c r="OYW224" i="22"/>
  <c r="OYX224" i="22"/>
  <c r="OYY224" i="22"/>
  <c r="OYZ224" i="22"/>
  <c r="OZA224" i="22"/>
  <c r="OZB224" i="22"/>
  <c r="OZC224" i="22"/>
  <c r="OZD224" i="22"/>
  <c r="OZE224" i="22"/>
  <c r="OZF224" i="22"/>
  <c r="OZG224" i="22"/>
  <c r="OZH224" i="22"/>
  <c r="OZI224" i="22"/>
  <c r="OZJ224" i="22"/>
  <c r="OZK224" i="22"/>
  <c r="OZL224" i="22"/>
  <c r="OZM224" i="22"/>
  <c r="OZN224" i="22"/>
  <c r="OZO224" i="22"/>
  <c r="OZP224" i="22"/>
  <c r="OZQ224" i="22"/>
  <c r="OZR224" i="22"/>
  <c r="OZS224" i="22"/>
  <c r="OZT224" i="22"/>
  <c r="OZU224" i="22"/>
  <c r="OZV224" i="22"/>
  <c r="OZW224" i="22"/>
  <c r="OZX224" i="22"/>
  <c r="OZY224" i="22"/>
  <c r="OZZ224" i="22"/>
  <c r="PAA224" i="22"/>
  <c r="PAB224" i="22"/>
  <c r="PAC224" i="22"/>
  <c r="PAD224" i="22"/>
  <c r="PAE224" i="22"/>
  <c r="PAF224" i="22"/>
  <c r="PAG224" i="22"/>
  <c r="PAH224" i="22"/>
  <c r="PAI224" i="22"/>
  <c r="PAJ224" i="22"/>
  <c r="PAK224" i="22"/>
  <c r="PAL224" i="22"/>
  <c r="PAM224" i="22"/>
  <c r="PAN224" i="22"/>
  <c r="PAO224" i="22"/>
  <c r="PAP224" i="22"/>
  <c r="PAQ224" i="22"/>
  <c r="PAR224" i="22"/>
  <c r="PAS224" i="22"/>
  <c r="PAT224" i="22"/>
  <c r="PAU224" i="22"/>
  <c r="PAV224" i="22"/>
  <c r="PAW224" i="22"/>
  <c r="PAX224" i="22"/>
  <c r="PAY224" i="22"/>
  <c r="PAZ224" i="22"/>
  <c r="PBA224" i="22"/>
  <c r="PBB224" i="22"/>
  <c r="PBC224" i="22"/>
  <c r="PBD224" i="22"/>
  <c r="PBE224" i="22"/>
  <c r="PBF224" i="22"/>
  <c r="PBG224" i="22"/>
  <c r="PBH224" i="22"/>
  <c r="PBI224" i="22"/>
  <c r="PBJ224" i="22"/>
  <c r="PBK224" i="22"/>
  <c r="PBL224" i="22"/>
  <c r="PBM224" i="22"/>
  <c r="PBN224" i="22"/>
  <c r="PBO224" i="22"/>
  <c r="PBP224" i="22"/>
  <c r="PBQ224" i="22"/>
  <c r="PBR224" i="22"/>
  <c r="PBS224" i="22"/>
  <c r="PBT224" i="22"/>
  <c r="PBU224" i="22"/>
  <c r="PBV224" i="22"/>
  <c r="PBW224" i="22"/>
  <c r="PBX224" i="22"/>
  <c r="PBY224" i="22"/>
  <c r="PBZ224" i="22"/>
  <c r="PCA224" i="22"/>
  <c r="PCB224" i="22"/>
  <c r="PCC224" i="22"/>
  <c r="PCD224" i="22"/>
  <c r="PCE224" i="22"/>
  <c r="PCF224" i="22"/>
  <c r="PCG224" i="22"/>
  <c r="PCH224" i="22"/>
  <c r="PCI224" i="22"/>
  <c r="PCJ224" i="22"/>
  <c r="PCK224" i="22"/>
  <c r="PCL224" i="22"/>
  <c r="PCM224" i="22"/>
  <c r="PCN224" i="22"/>
  <c r="PCO224" i="22"/>
  <c r="PCP224" i="22"/>
  <c r="PCQ224" i="22"/>
  <c r="PCR224" i="22"/>
  <c r="PCS224" i="22"/>
  <c r="PCT224" i="22"/>
  <c r="PCU224" i="22"/>
  <c r="PCV224" i="22"/>
  <c r="PCW224" i="22"/>
  <c r="PCX224" i="22"/>
  <c r="PCY224" i="22"/>
  <c r="PCZ224" i="22"/>
  <c r="PDA224" i="22"/>
  <c r="PDB224" i="22"/>
  <c r="PDC224" i="22"/>
  <c r="PDD224" i="22"/>
  <c r="PDE224" i="22"/>
  <c r="PDF224" i="22"/>
  <c r="PDG224" i="22"/>
  <c r="PDH224" i="22"/>
  <c r="PDI224" i="22"/>
  <c r="PDJ224" i="22"/>
  <c r="PDK224" i="22"/>
  <c r="PDL224" i="22"/>
  <c r="PDM224" i="22"/>
  <c r="PDN224" i="22"/>
  <c r="PDO224" i="22"/>
  <c r="PDP224" i="22"/>
  <c r="PDQ224" i="22"/>
  <c r="PDR224" i="22"/>
  <c r="PDS224" i="22"/>
  <c r="PDT224" i="22"/>
  <c r="PDU224" i="22"/>
  <c r="PDV224" i="22"/>
  <c r="PDW224" i="22"/>
  <c r="PDX224" i="22"/>
  <c r="PDY224" i="22"/>
  <c r="PDZ224" i="22"/>
  <c r="PEA224" i="22"/>
  <c r="PEB224" i="22"/>
  <c r="PEC224" i="22"/>
  <c r="PED224" i="22"/>
  <c r="PEE224" i="22"/>
  <c r="PEF224" i="22"/>
  <c r="PEG224" i="22"/>
  <c r="PEH224" i="22"/>
  <c r="PEI224" i="22"/>
  <c r="PEJ224" i="22"/>
  <c r="PEK224" i="22"/>
  <c r="PEL224" i="22"/>
  <c r="PEM224" i="22"/>
  <c r="PEN224" i="22"/>
  <c r="PEO224" i="22"/>
  <c r="PEP224" i="22"/>
  <c r="PEQ224" i="22"/>
  <c r="PER224" i="22"/>
  <c r="PES224" i="22"/>
  <c r="PET224" i="22"/>
  <c r="PEU224" i="22"/>
  <c r="PEV224" i="22"/>
  <c r="PEW224" i="22"/>
  <c r="PEX224" i="22"/>
  <c r="PEY224" i="22"/>
  <c r="PEZ224" i="22"/>
  <c r="PFA224" i="22"/>
  <c r="PFB224" i="22"/>
  <c r="PFC224" i="22"/>
  <c r="PFD224" i="22"/>
  <c r="PFE224" i="22"/>
  <c r="PFF224" i="22"/>
  <c r="PFG224" i="22"/>
  <c r="PFH224" i="22"/>
  <c r="PFI224" i="22"/>
  <c r="PFJ224" i="22"/>
  <c r="PFK224" i="22"/>
  <c r="PFL224" i="22"/>
  <c r="PFM224" i="22"/>
  <c r="PFN224" i="22"/>
  <c r="PFO224" i="22"/>
  <c r="PFP224" i="22"/>
  <c r="PFQ224" i="22"/>
  <c r="PFR224" i="22"/>
  <c r="PFS224" i="22"/>
  <c r="PFT224" i="22"/>
  <c r="PFU224" i="22"/>
  <c r="PFV224" i="22"/>
  <c r="PFW224" i="22"/>
  <c r="PFX224" i="22"/>
  <c r="PFY224" i="22"/>
  <c r="PFZ224" i="22"/>
  <c r="PGA224" i="22"/>
  <c r="PGB224" i="22"/>
  <c r="PGC224" i="22"/>
  <c r="PGD224" i="22"/>
  <c r="PGE224" i="22"/>
  <c r="PGF224" i="22"/>
  <c r="PGG224" i="22"/>
  <c r="PGH224" i="22"/>
  <c r="PGI224" i="22"/>
  <c r="PGJ224" i="22"/>
  <c r="PGK224" i="22"/>
  <c r="PGL224" i="22"/>
  <c r="PGM224" i="22"/>
  <c r="PGN224" i="22"/>
  <c r="PGO224" i="22"/>
  <c r="PGP224" i="22"/>
  <c r="PGQ224" i="22"/>
  <c r="PGR224" i="22"/>
  <c r="PGS224" i="22"/>
  <c r="PGT224" i="22"/>
  <c r="PGU224" i="22"/>
  <c r="PGV224" i="22"/>
  <c r="PGW224" i="22"/>
  <c r="PGX224" i="22"/>
  <c r="PGY224" i="22"/>
  <c r="PGZ224" i="22"/>
  <c r="PHA224" i="22"/>
  <c r="PHB224" i="22"/>
  <c r="PHC224" i="22"/>
  <c r="PHD224" i="22"/>
  <c r="PHE224" i="22"/>
  <c r="PHF224" i="22"/>
  <c r="PHG224" i="22"/>
  <c r="PHH224" i="22"/>
  <c r="PHI224" i="22"/>
  <c r="PHJ224" i="22"/>
  <c r="PHK224" i="22"/>
  <c r="PHL224" i="22"/>
  <c r="PHM224" i="22"/>
  <c r="PHN224" i="22"/>
  <c r="PHO224" i="22"/>
  <c r="PHP224" i="22"/>
  <c r="PHQ224" i="22"/>
  <c r="PHR224" i="22"/>
  <c r="PHS224" i="22"/>
  <c r="PHT224" i="22"/>
  <c r="PHU224" i="22"/>
  <c r="PHV224" i="22"/>
  <c r="PHW224" i="22"/>
  <c r="PHX224" i="22"/>
  <c r="PHY224" i="22"/>
  <c r="PHZ224" i="22"/>
  <c r="PIA224" i="22"/>
  <c r="PIB224" i="22"/>
  <c r="PIC224" i="22"/>
  <c r="PID224" i="22"/>
  <c r="PIE224" i="22"/>
  <c r="PIF224" i="22"/>
  <c r="PIG224" i="22"/>
  <c r="PIH224" i="22"/>
  <c r="PII224" i="22"/>
  <c r="PIJ224" i="22"/>
  <c r="PIK224" i="22"/>
  <c r="PIL224" i="22"/>
  <c r="PIM224" i="22"/>
  <c r="PIN224" i="22"/>
  <c r="PIO224" i="22"/>
  <c r="PIP224" i="22"/>
  <c r="PIQ224" i="22"/>
  <c r="PIR224" i="22"/>
  <c r="PIS224" i="22"/>
  <c r="PIT224" i="22"/>
  <c r="PIU224" i="22"/>
  <c r="PIV224" i="22"/>
  <c r="PIW224" i="22"/>
  <c r="PIX224" i="22"/>
  <c r="PIY224" i="22"/>
  <c r="PIZ224" i="22"/>
  <c r="PJA224" i="22"/>
  <c r="PJB224" i="22"/>
  <c r="PJC224" i="22"/>
  <c r="PJD224" i="22"/>
  <c r="PJE224" i="22"/>
  <c r="PJF224" i="22"/>
  <c r="PJG224" i="22"/>
  <c r="PJH224" i="22"/>
  <c r="PJI224" i="22"/>
  <c r="PJJ224" i="22"/>
  <c r="PJK224" i="22"/>
  <c r="PJL224" i="22"/>
  <c r="PJM224" i="22"/>
  <c r="PJN224" i="22"/>
  <c r="PJO224" i="22"/>
  <c r="PJP224" i="22"/>
  <c r="PJQ224" i="22"/>
  <c r="PJR224" i="22"/>
  <c r="PJS224" i="22"/>
  <c r="PJT224" i="22"/>
  <c r="PJU224" i="22"/>
  <c r="PJV224" i="22"/>
  <c r="PJW224" i="22"/>
  <c r="PJX224" i="22"/>
  <c r="PJY224" i="22"/>
  <c r="PJZ224" i="22"/>
  <c r="PKA224" i="22"/>
  <c r="PKB224" i="22"/>
  <c r="PKC224" i="22"/>
  <c r="PKD224" i="22"/>
  <c r="PKE224" i="22"/>
  <c r="PKF224" i="22"/>
  <c r="PKG224" i="22"/>
  <c r="PKH224" i="22"/>
  <c r="PKI224" i="22"/>
  <c r="PKJ224" i="22"/>
  <c r="PKK224" i="22"/>
  <c r="PKL224" i="22"/>
  <c r="PKM224" i="22"/>
  <c r="PKN224" i="22"/>
  <c r="PKO224" i="22"/>
  <c r="PKP224" i="22"/>
  <c r="PKQ224" i="22"/>
  <c r="PKR224" i="22"/>
  <c r="PKS224" i="22"/>
  <c r="PKT224" i="22"/>
  <c r="PKU224" i="22"/>
  <c r="PKV224" i="22"/>
  <c r="PKW224" i="22"/>
  <c r="PKX224" i="22"/>
  <c r="PKY224" i="22"/>
  <c r="PKZ224" i="22"/>
  <c r="PLA224" i="22"/>
  <c r="PLB224" i="22"/>
  <c r="PLC224" i="22"/>
  <c r="PLD224" i="22"/>
  <c r="PLE224" i="22"/>
  <c r="PLF224" i="22"/>
  <c r="PLG224" i="22"/>
  <c r="PLH224" i="22"/>
  <c r="PLI224" i="22"/>
  <c r="PLJ224" i="22"/>
  <c r="PLK224" i="22"/>
  <c r="PLL224" i="22"/>
  <c r="PLM224" i="22"/>
  <c r="PLN224" i="22"/>
  <c r="PLO224" i="22"/>
  <c r="PLP224" i="22"/>
  <c r="PLQ224" i="22"/>
  <c r="PLR224" i="22"/>
  <c r="PLS224" i="22"/>
  <c r="PLT224" i="22"/>
  <c r="PLU224" i="22"/>
  <c r="PLV224" i="22"/>
  <c r="PLW224" i="22"/>
  <c r="PLX224" i="22"/>
  <c r="PLY224" i="22"/>
  <c r="PLZ224" i="22"/>
  <c r="PMA224" i="22"/>
  <c r="PMB224" i="22"/>
  <c r="PMC224" i="22"/>
  <c r="PMD224" i="22"/>
  <c r="PME224" i="22"/>
  <c r="PMF224" i="22"/>
  <c r="PMG224" i="22"/>
  <c r="PMH224" i="22"/>
  <c r="PMI224" i="22"/>
  <c r="PMJ224" i="22"/>
  <c r="PMK224" i="22"/>
  <c r="PML224" i="22"/>
  <c r="PMM224" i="22"/>
  <c r="PMN224" i="22"/>
  <c r="PMO224" i="22"/>
  <c r="PMP224" i="22"/>
  <c r="PMQ224" i="22"/>
  <c r="PMR224" i="22"/>
  <c r="PMS224" i="22"/>
  <c r="PMT224" i="22"/>
  <c r="PMU224" i="22"/>
  <c r="PMV224" i="22"/>
  <c r="PMW224" i="22"/>
  <c r="PMX224" i="22"/>
  <c r="PMY224" i="22"/>
  <c r="PMZ224" i="22"/>
  <c r="PNA224" i="22"/>
  <c r="PNB224" i="22"/>
  <c r="PNC224" i="22"/>
  <c r="PND224" i="22"/>
  <c r="PNE224" i="22"/>
  <c r="PNF224" i="22"/>
  <c r="PNG224" i="22"/>
  <c r="PNH224" i="22"/>
  <c r="PNI224" i="22"/>
  <c r="PNJ224" i="22"/>
  <c r="PNK224" i="22"/>
  <c r="PNL224" i="22"/>
  <c r="PNM224" i="22"/>
  <c r="PNN224" i="22"/>
  <c r="PNO224" i="22"/>
  <c r="PNP224" i="22"/>
  <c r="PNQ224" i="22"/>
  <c r="PNR224" i="22"/>
  <c r="PNS224" i="22"/>
  <c r="PNT224" i="22"/>
  <c r="PNU224" i="22"/>
  <c r="PNV224" i="22"/>
  <c r="PNW224" i="22"/>
  <c r="PNX224" i="22"/>
  <c r="PNY224" i="22"/>
  <c r="PNZ224" i="22"/>
  <c r="POA224" i="22"/>
  <c r="POB224" i="22"/>
  <c r="POC224" i="22"/>
  <c r="POD224" i="22"/>
  <c r="POE224" i="22"/>
  <c r="POF224" i="22"/>
  <c r="POG224" i="22"/>
  <c r="POH224" i="22"/>
  <c r="POI224" i="22"/>
  <c r="POJ224" i="22"/>
  <c r="POK224" i="22"/>
  <c r="POL224" i="22"/>
  <c r="POM224" i="22"/>
  <c r="PON224" i="22"/>
  <c r="POO224" i="22"/>
  <c r="POP224" i="22"/>
  <c r="POQ224" i="22"/>
  <c r="POR224" i="22"/>
  <c r="POS224" i="22"/>
  <c r="POT224" i="22"/>
  <c r="POU224" i="22"/>
  <c r="POV224" i="22"/>
  <c r="POW224" i="22"/>
  <c r="POX224" i="22"/>
  <c r="POY224" i="22"/>
  <c r="POZ224" i="22"/>
  <c r="PPA224" i="22"/>
  <c r="PPB224" i="22"/>
  <c r="PPC224" i="22"/>
  <c r="PPD224" i="22"/>
  <c r="PPE224" i="22"/>
  <c r="PPF224" i="22"/>
  <c r="PPG224" i="22"/>
  <c r="PPH224" i="22"/>
  <c r="PPI224" i="22"/>
  <c r="PPJ224" i="22"/>
  <c r="PPK224" i="22"/>
  <c r="PPL224" i="22"/>
  <c r="PPM224" i="22"/>
  <c r="PPN224" i="22"/>
  <c r="PPO224" i="22"/>
  <c r="PPP224" i="22"/>
  <c r="PPQ224" i="22"/>
  <c r="PPR224" i="22"/>
  <c r="PPS224" i="22"/>
  <c r="PPT224" i="22"/>
  <c r="PPU224" i="22"/>
  <c r="PPV224" i="22"/>
  <c r="PPW224" i="22"/>
  <c r="PPX224" i="22"/>
  <c r="PPY224" i="22"/>
  <c r="PPZ224" i="22"/>
  <c r="PQA224" i="22"/>
  <c r="PQB224" i="22"/>
  <c r="PQC224" i="22"/>
  <c r="PQD224" i="22"/>
  <c r="PQE224" i="22"/>
  <c r="PQF224" i="22"/>
  <c r="PQG224" i="22"/>
  <c r="PQH224" i="22"/>
  <c r="PQI224" i="22"/>
  <c r="PQJ224" i="22"/>
  <c r="PQK224" i="22"/>
  <c r="PQL224" i="22"/>
  <c r="PQM224" i="22"/>
  <c r="PQN224" i="22"/>
  <c r="PQO224" i="22"/>
  <c r="PQP224" i="22"/>
  <c r="PQQ224" i="22"/>
  <c r="PQR224" i="22"/>
  <c r="PQS224" i="22"/>
  <c r="PQT224" i="22"/>
  <c r="PQU224" i="22"/>
  <c r="PQV224" i="22"/>
  <c r="PQW224" i="22"/>
  <c r="PQX224" i="22"/>
  <c r="PQY224" i="22"/>
  <c r="PQZ224" i="22"/>
  <c r="PRA224" i="22"/>
  <c r="PRB224" i="22"/>
  <c r="PRC224" i="22"/>
  <c r="PRD224" i="22"/>
  <c r="PRE224" i="22"/>
  <c r="PRF224" i="22"/>
  <c r="PRG224" i="22"/>
  <c r="PRH224" i="22"/>
  <c r="PRI224" i="22"/>
  <c r="PRJ224" i="22"/>
  <c r="PRK224" i="22"/>
  <c r="PRL224" i="22"/>
  <c r="PRM224" i="22"/>
  <c r="PRN224" i="22"/>
  <c r="PRO224" i="22"/>
  <c r="PRP224" i="22"/>
  <c r="PRQ224" i="22"/>
  <c r="PRR224" i="22"/>
  <c r="PRS224" i="22"/>
  <c r="PRT224" i="22"/>
  <c r="PRU224" i="22"/>
  <c r="PRV224" i="22"/>
  <c r="PRW224" i="22"/>
  <c r="PRX224" i="22"/>
  <c r="PRY224" i="22"/>
  <c r="PRZ224" i="22"/>
  <c r="PSA224" i="22"/>
  <c r="PSB224" i="22"/>
  <c r="PSC224" i="22"/>
  <c r="PSD224" i="22"/>
  <c r="PSE224" i="22"/>
  <c r="PSF224" i="22"/>
  <c r="PSG224" i="22"/>
  <c r="PSH224" i="22"/>
  <c r="PSI224" i="22"/>
  <c r="PSJ224" i="22"/>
  <c r="PSK224" i="22"/>
  <c r="PSL224" i="22"/>
  <c r="PSM224" i="22"/>
  <c r="PSN224" i="22"/>
  <c r="PSO224" i="22"/>
  <c r="PSP224" i="22"/>
  <c r="PSQ224" i="22"/>
  <c r="PSR224" i="22"/>
  <c r="PSS224" i="22"/>
  <c r="PST224" i="22"/>
  <c r="PSU224" i="22"/>
  <c r="PSV224" i="22"/>
  <c r="PSW224" i="22"/>
  <c r="PSX224" i="22"/>
  <c r="PSY224" i="22"/>
  <c r="PSZ224" i="22"/>
  <c r="PTA224" i="22"/>
  <c r="PTB224" i="22"/>
  <c r="PTC224" i="22"/>
  <c r="PTD224" i="22"/>
  <c r="PTE224" i="22"/>
  <c r="PTF224" i="22"/>
  <c r="PTG224" i="22"/>
  <c r="PTH224" i="22"/>
  <c r="PTI224" i="22"/>
  <c r="PTJ224" i="22"/>
  <c r="PTK224" i="22"/>
  <c r="PTL224" i="22"/>
  <c r="PTM224" i="22"/>
  <c r="PTN224" i="22"/>
  <c r="PTO224" i="22"/>
  <c r="PTP224" i="22"/>
  <c r="PTQ224" i="22"/>
  <c r="PTR224" i="22"/>
  <c r="PTS224" i="22"/>
  <c r="PTT224" i="22"/>
  <c r="PTU224" i="22"/>
  <c r="PTV224" i="22"/>
  <c r="PTW224" i="22"/>
  <c r="PTX224" i="22"/>
  <c r="PTY224" i="22"/>
  <c r="PTZ224" i="22"/>
  <c r="PUA224" i="22"/>
  <c r="PUB224" i="22"/>
  <c r="PUC224" i="22"/>
  <c r="PUD224" i="22"/>
  <c r="PUE224" i="22"/>
  <c r="PUF224" i="22"/>
  <c r="PUG224" i="22"/>
  <c r="PUH224" i="22"/>
  <c r="PUI224" i="22"/>
  <c r="PUJ224" i="22"/>
  <c r="PUK224" i="22"/>
  <c r="PUL224" i="22"/>
  <c r="PUM224" i="22"/>
  <c r="PUN224" i="22"/>
  <c r="PUO224" i="22"/>
  <c r="PUP224" i="22"/>
  <c r="PUQ224" i="22"/>
  <c r="PUR224" i="22"/>
  <c r="PUS224" i="22"/>
  <c r="PUT224" i="22"/>
  <c r="PUU224" i="22"/>
  <c r="PUV224" i="22"/>
  <c r="PUW224" i="22"/>
  <c r="PUX224" i="22"/>
  <c r="PUY224" i="22"/>
  <c r="PUZ224" i="22"/>
  <c r="PVA224" i="22"/>
  <c r="PVB224" i="22"/>
  <c r="PVC224" i="22"/>
  <c r="PVD224" i="22"/>
  <c r="PVE224" i="22"/>
  <c r="PVF224" i="22"/>
  <c r="PVG224" i="22"/>
  <c r="PVH224" i="22"/>
  <c r="PVI224" i="22"/>
  <c r="PVJ224" i="22"/>
  <c r="PVK224" i="22"/>
  <c r="PVL224" i="22"/>
  <c r="PVM224" i="22"/>
  <c r="PVN224" i="22"/>
  <c r="PVO224" i="22"/>
  <c r="PVP224" i="22"/>
  <c r="PVQ224" i="22"/>
  <c r="PVR224" i="22"/>
  <c r="PVS224" i="22"/>
  <c r="PVT224" i="22"/>
  <c r="PVU224" i="22"/>
  <c r="PVV224" i="22"/>
  <c r="PVW224" i="22"/>
  <c r="PVX224" i="22"/>
  <c r="PVY224" i="22"/>
  <c r="PVZ224" i="22"/>
  <c r="PWA224" i="22"/>
  <c r="PWB224" i="22"/>
  <c r="PWC224" i="22"/>
  <c r="PWD224" i="22"/>
  <c r="PWE224" i="22"/>
  <c r="PWF224" i="22"/>
  <c r="PWG224" i="22"/>
  <c r="PWH224" i="22"/>
  <c r="PWI224" i="22"/>
  <c r="PWJ224" i="22"/>
  <c r="PWK224" i="22"/>
  <c r="PWL224" i="22"/>
  <c r="PWM224" i="22"/>
  <c r="PWN224" i="22"/>
  <c r="PWO224" i="22"/>
  <c r="PWP224" i="22"/>
  <c r="PWQ224" i="22"/>
  <c r="PWR224" i="22"/>
  <c r="PWS224" i="22"/>
  <c r="PWT224" i="22"/>
  <c r="PWU224" i="22"/>
  <c r="PWV224" i="22"/>
  <c r="PWW224" i="22"/>
  <c r="PWX224" i="22"/>
  <c r="PWY224" i="22"/>
  <c r="PWZ224" i="22"/>
  <c r="PXA224" i="22"/>
  <c r="PXB224" i="22"/>
  <c r="PXC224" i="22"/>
  <c r="PXD224" i="22"/>
  <c r="PXE224" i="22"/>
  <c r="PXF224" i="22"/>
  <c r="PXG224" i="22"/>
  <c r="PXH224" i="22"/>
  <c r="PXI224" i="22"/>
  <c r="PXJ224" i="22"/>
  <c r="PXK224" i="22"/>
  <c r="PXL224" i="22"/>
  <c r="PXM224" i="22"/>
  <c r="PXN224" i="22"/>
  <c r="PXO224" i="22"/>
  <c r="PXP224" i="22"/>
  <c r="PXQ224" i="22"/>
  <c r="PXR224" i="22"/>
  <c r="PXS224" i="22"/>
  <c r="PXT224" i="22"/>
  <c r="PXU224" i="22"/>
  <c r="PXV224" i="22"/>
  <c r="PXW224" i="22"/>
  <c r="PXX224" i="22"/>
  <c r="PXY224" i="22"/>
  <c r="PXZ224" i="22"/>
  <c r="PYA224" i="22"/>
  <c r="PYB224" i="22"/>
  <c r="PYC224" i="22"/>
  <c r="PYD224" i="22"/>
  <c r="PYE224" i="22"/>
  <c r="PYF224" i="22"/>
  <c r="PYG224" i="22"/>
  <c r="PYH224" i="22"/>
  <c r="PYI224" i="22"/>
  <c r="PYJ224" i="22"/>
  <c r="PYK224" i="22"/>
  <c r="PYL224" i="22"/>
  <c r="PYM224" i="22"/>
  <c r="PYN224" i="22"/>
  <c r="PYO224" i="22"/>
  <c r="PYP224" i="22"/>
  <c r="PYQ224" i="22"/>
  <c r="PYR224" i="22"/>
  <c r="PYS224" i="22"/>
  <c r="PYT224" i="22"/>
  <c r="PYU224" i="22"/>
  <c r="PYV224" i="22"/>
  <c r="PYW224" i="22"/>
  <c r="PYX224" i="22"/>
  <c r="PYY224" i="22"/>
  <c r="PYZ224" i="22"/>
  <c r="PZA224" i="22"/>
  <c r="PZB224" i="22"/>
  <c r="PZC224" i="22"/>
  <c r="PZD224" i="22"/>
  <c r="PZE224" i="22"/>
  <c r="PZF224" i="22"/>
  <c r="PZG224" i="22"/>
  <c r="PZH224" i="22"/>
  <c r="PZI224" i="22"/>
  <c r="PZJ224" i="22"/>
  <c r="PZK224" i="22"/>
  <c r="PZL224" i="22"/>
  <c r="PZM224" i="22"/>
  <c r="PZN224" i="22"/>
  <c r="PZO224" i="22"/>
  <c r="PZP224" i="22"/>
  <c r="PZQ224" i="22"/>
  <c r="PZR224" i="22"/>
  <c r="PZS224" i="22"/>
  <c r="PZT224" i="22"/>
  <c r="PZU224" i="22"/>
  <c r="PZV224" i="22"/>
  <c r="PZW224" i="22"/>
  <c r="PZX224" i="22"/>
  <c r="PZY224" i="22"/>
  <c r="PZZ224" i="22"/>
  <c r="QAA224" i="22"/>
  <c r="QAB224" i="22"/>
  <c r="QAC224" i="22"/>
  <c r="QAD224" i="22"/>
  <c r="QAE224" i="22"/>
  <c r="QAF224" i="22"/>
  <c r="QAG224" i="22"/>
  <c r="QAH224" i="22"/>
  <c r="QAI224" i="22"/>
  <c r="QAJ224" i="22"/>
  <c r="QAK224" i="22"/>
  <c r="QAL224" i="22"/>
  <c r="QAM224" i="22"/>
  <c r="QAN224" i="22"/>
  <c r="QAO224" i="22"/>
  <c r="QAP224" i="22"/>
  <c r="QAQ224" i="22"/>
  <c r="QAR224" i="22"/>
  <c r="QAS224" i="22"/>
  <c r="QAT224" i="22"/>
  <c r="QAU224" i="22"/>
  <c r="QAV224" i="22"/>
  <c r="QAW224" i="22"/>
  <c r="QAX224" i="22"/>
  <c r="QAY224" i="22"/>
  <c r="QAZ224" i="22"/>
  <c r="QBA224" i="22"/>
  <c r="QBB224" i="22"/>
  <c r="QBC224" i="22"/>
  <c r="QBD224" i="22"/>
  <c r="QBE224" i="22"/>
  <c r="QBF224" i="22"/>
  <c r="QBG224" i="22"/>
  <c r="QBH224" i="22"/>
  <c r="QBI224" i="22"/>
  <c r="QBJ224" i="22"/>
  <c r="QBK224" i="22"/>
  <c r="QBL224" i="22"/>
  <c r="QBM224" i="22"/>
  <c r="QBN224" i="22"/>
  <c r="QBO224" i="22"/>
  <c r="QBP224" i="22"/>
  <c r="QBQ224" i="22"/>
  <c r="QBR224" i="22"/>
  <c r="QBS224" i="22"/>
  <c r="QBT224" i="22"/>
  <c r="QBU224" i="22"/>
  <c r="QBV224" i="22"/>
  <c r="QBW224" i="22"/>
  <c r="QBX224" i="22"/>
  <c r="QBY224" i="22"/>
  <c r="QBZ224" i="22"/>
  <c r="QCA224" i="22"/>
  <c r="QCB224" i="22"/>
  <c r="QCC224" i="22"/>
  <c r="QCD224" i="22"/>
  <c r="QCE224" i="22"/>
  <c r="QCF224" i="22"/>
  <c r="QCG224" i="22"/>
  <c r="QCH224" i="22"/>
  <c r="QCI224" i="22"/>
  <c r="QCJ224" i="22"/>
  <c r="QCK224" i="22"/>
  <c r="QCL224" i="22"/>
  <c r="QCM224" i="22"/>
  <c r="QCN224" i="22"/>
  <c r="QCO224" i="22"/>
  <c r="QCP224" i="22"/>
  <c r="QCQ224" i="22"/>
  <c r="QCR224" i="22"/>
  <c r="QCS224" i="22"/>
  <c r="QCT224" i="22"/>
  <c r="QCU224" i="22"/>
  <c r="QCV224" i="22"/>
  <c r="QCW224" i="22"/>
  <c r="QCX224" i="22"/>
  <c r="QCY224" i="22"/>
  <c r="QCZ224" i="22"/>
  <c r="QDA224" i="22"/>
  <c r="QDB224" i="22"/>
  <c r="QDC224" i="22"/>
  <c r="QDD224" i="22"/>
  <c r="QDE224" i="22"/>
  <c r="QDF224" i="22"/>
  <c r="QDG224" i="22"/>
  <c r="QDH224" i="22"/>
  <c r="QDI224" i="22"/>
  <c r="QDJ224" i="22"/>
  <c r="QDK224" i="22"/>
  <c r="QDL224" i="22"/>
  <c r="QDM224" i="22"/>
  <c r="QDN224" i="22"/>
  <c r="QDO224" i="22"/>
  <c r="QDP224" i="22"/>
  <c r="QDQ224" i="22"/>
  <c r="QDR224" i="22"/>
  <c r="QDS224" i="22"/>
  <c r="QDT224" i="22"/>
  <c r="QDU224" i="22"/>
  <c r="QDV224" i="22"/>
  <c r="QDW224" i="22"/>
  <c r="QDX224" i="22"/>
  <c r="QDY224" i="22"/>
  <c r="QDZ224" i="22"/>
  <c r="QEA224" i="22"/>
  <c r="QEB224" i="22"/>
  <c r="QEC224" i="22"/>
  <c r="QED224" i="22"/>
  <c r="QEE224" i="22"/>
  <c r="QEF224" i="22"/>
  <c r="QEG224" i="22"/>
  <c r="QEH224" i="22"/>
  <c r="QEI224" i="22"/>
  <c r="QEJ224" i="22"/>
  <c r="QEK224" i="22"/>
  <c r="QEL224" i="22"/>
  <c r="QEM224" i="22"/>
  <c r="QEN224" i="22"/>
  <c r="QEO224" i="22"/>
  <c r="QEP224" i="22"/>
  <c r="QEQ224" i="22"/>
  <c r="QER224" i="22"/>
  <c r="QES224" i="22"/>
  <c r="QET224" i="22"/>
  <c r="QEU224" i="22"/>
  <c r="QEV224" i="22"/>
  <c r="QEW224" i="22"/>
  <c r="QEX224" i="22"/>
  <c r="QEY224" i="22"/>
  <c r="QEZ224" i="22"/>
  <c r="QFA224" i="22"/>
  <c r="QFB224" i="22"/>
  <c r="QFC224" i="22"/>
  <c r="QFD224" i="22"/>
  <c r="QFE224" i="22"/>
  <c r="QFF224" i="22"/>
  <c r="QFG224" i="22"/>
  <c r="QFH224" i="22"/>
  <c r="QFI224" i="22"/>
  <c r="QFJ224" i="22"/>
  <c r="QFK224" i="22"/>
  <c r="QFL224" i="22"/>
  <c r="QFM224" i="22"/>
  <c r="QFN224" i="22"/>
  <c r="QFO224" i="22"/>
  <c r="QFP224" i="22"/>
  <c r="QFQ224" i="22"/>
  <c r="QFR224" i="22"/>
  <c r="QFS224" i="22"/>
  <c r="QFT224" i="22"/>
  <c r="QFU224" i="22"/>
  <c r="QFV224" i="22"/>
  <c r="QFW224" i="22"/>
  <c r="QFX224" i="22"/>
  <c r="QFY224" i="22"/>
  <c r="QFZ224" i="22"/>
  <c r="QGA224" i="22"/>
  <c r="QGB224" i="22"/>
  <c r="QGC224" i="22"/>
  <c r="QGD224" i="22"/>
  <c r="QGE224" i="22"/>
  <c r="QGF224" i="22"/>
  <c r="QGG224" i="22"/>
  <c r="QGH224" i="22"/>
  <c r="QGI224" i="22"/>
  <c r="QGJ224" i="22"/>
  <c r="QGK224" i="22"/>
  <c r="QGL224" i="22"/>
  <c r="QGM224" i="22"/>
  <c r="QGN224" i="22"/>
  <c r="QGO224" i="22"/>
  <c r="QGP224" i="22"/>
  <c r="QGQ224" i="22"/>
  <c r="QGR224" i="22"/>
  <c r="QGS224" i="22"/>
  <c r="QGT224" i="22"/>
  <c r="QGU224" i="22"/>
  <c r="QGV224" i="22"/>
  <c r="QGW224" i="22"/>
  <c r="QGX224" i="22"/>
  <c r="QGY224" i="22"/>
  <c r="QGZ224" i="22"/>
  <c r="QHA224" i="22"/>
  <c r="QHB224" i="22"/>
  <c r="QHC224" i="22"/>
  <c r="QHD224" i="22"/>
  <c r="QHE224" i="22"/>
  <c r="QHF224" i="22"/>
  <c r="QHG224" i="22"/>
  <c r="QHH224" i="22"/>
  <c r="QHI224" i="22"/>
  <c r="QHJ224" i="22"/>
  <c r="QHK224" i="22"/>
  <c r="QHL224" i="22"/>
  <c r="QHM224" i="22"/>
  <c r="QHN224" i="22"/>
  <c r="QHO224" i="22"/>
  <c r="QHP224" i="22"/>
  <c r="QHQ224" i="22"/>
  <c r="QHR224" i="22"/>
  <c r="QHS224" i="22"/>
  <c r="QHT224" i="22"/>
  <c r="QHU224" i="22"/>
  <c r="QHV224" i="22"/>
  <c r="QHW224" i="22"/>
  <c r="QHX224" i="22"/>
  <c r="QHY224" i="22"/>
  <c r="QHZ224" i="22"/>
  <c r="QIA224" i="22"/>
  <c r="QIB224" i="22"/>
  <c r="QIC224" i="22"/>
  <c r="QID224" i="22"/>
  <c r="QIE224" i="22"/>
  <c r="QIF224" i="22"/>
  <c r="QIG224" i="22"/>
  <c r="QIH224" i="22"/>
  <c r="QII224" i="22"/>
  <c r="QIJ224" i="22"/>
  <c r="QIK224" i="22"/>
  <c r="QIL224" i="22"/>
  <c r="QIM224" i="22"/>
  <c r="QIN224" i="22"/>
  <c r="QIO224" i="22"/>
  <c r="QIP224" i="22"/>
  <c r="QIQ224" i="22"/>
  <c r="QIR224" i="22"/>
  <c r="QIS224" i="22"/>
  <c r="QIT224" i="22"/>
  <c r="QIU224" i="22"/>
  <c r="QIV224" i="22"/>
  <c r="QIW224" i="22"/>
  <c r="QIX224" i="22"/>
  <c r="QIY224" i="22"/>
  <c r="QIZ224" i="22"/>
  <c r="QJA224" i="22"/>
  <c r="QJB224" i="22"/>
  <c r="QJC224" i="22"/>
  <c r="QJD224" i="22"/>
  <c r="QJE224" i="22"/>
  <c r="QJF224" i="22"/>
  <c r="QJG224" i="22"/>
  <c r="QJH224" i="22"/>
  <c r="QJI224" i="22"/>
  <c r="QJJ224" i="22"/>
  <c r="QJK224" i="22"/>
  <c r="QJL224" i="22"/>
  <c r="QJM224" i="22"/>
  <c r="QJN224" i="22"/>
  <c r="QJO224" i="22"/>
  <c r="QJP224" i="22"/>
  <c r="QJQ224" i="22"/>
  <c r="QJR224" i="22"/>
  <c r="QJS224" i="22"/>
  <c r="QJT224" i="22"/>
  <c r="QJU224" i="22"/>
  <c r="QJV224" i="22"/>
  <c r="QJW224" i="22"/>
  <c r="QJX224" i="22"/>
  <c r="QJY224" i="22"/>
  <c r="QJZ224" i="22"/>
  <c r="QKA224" i="22"/>
  <c r="QKB224" i="22"/>
  <c r="QKC224" i="22"/>
  <c r="QKD224" i="22"/>
  <c r="QKE224" i="22"/>
  <c r="QKF224" i="22"/>
  <c r="QKG224" i="22"/>
  <c r="QKH224" i="22"/>
  <c r="QKI224" i="22"/>
  <c r="QKJ224" i="22"/>
  <c r="QKK224" i="22"/>
  <c r="QKL224" i="22"/>
  <c r="QKM224" i="22"/>
  <c r="QKN224" i="22"/>
  <c r="QKO224" i="22"/>
  <c r="QKP224" i="22"/>
  <c r="QKQ224" i="22"/>
  <c r="QKR224" i="22"/>
  <c r="QKS224" i="22"/>
  <c r="QKT224" i="22"/>
  <c r="QKU224" i="22"/>
  <c r="QKV224" i="22"/>
  <c r="QKW224" i="22"/>
  <c r="QKX224" i="22"/>
  <c r="QKY224" i="22"/>
  <c r="QKZ224" i="22"/>
  <c r="QLA224" i="22"/>
  <c r="QLB224" i="22"/>
  <c r="QLC224" i="22"/>
  <c r="QLD224" i="22"/>
  <c r="QLE224" i="22"/>
  <c r="QLF224" i="22"/>
  <c r="QLG224" i="22"/>
  <c r="QLH224" i="22"/>
  <c r="QLI224" i="22"/>
  <c r="QLJ224" i="22"/>
  <c r="QLK224" i="22"/>
  <c r="QLL224" i="22"/>
  <c r="QLM224" i="22"/>
  <c r="QLN224" i="22"/>
  <c r="QLO224" i="22"/>
  <c r="QLP224" i="22"/>
  <c r="QLQ224" i="22"/>
  <c r="QLR224" i="22"/>
  <c r="QLS224" i="22"/>
  <c r="QLT224" i="22"/>
  <c r="QLU224" i="22"/>
  <c r="QLV224" i="22"/>
  <c r="QLW224" i="22"/>
  <c r="QLX224" i="22"/>
  <c r="QLY224" i="22"/>
  <c r="QLZ224" i="22"/>
  <c r="QMA224" i="22"/>
  <c r="QMB224" i="22"/>
  <c r="QMC224" i="22"/>
  <c r="QMD224" i="22"/>
  <c r="QME224" i="22"/>
  <c r="QMF224" i="22"/>
  <c r="QMG224" i="22"/>
  <c r="QMH224" i="22"/>
  <c r="QMI224" i="22"/>
  <c r="QMJ224" i="22"/>
  <c r="QMK224" i="22"/>
  <c r="QML224" i="22"/>
  <c r="QMM224" i="22"/>
  <c r="QMN224" i="22"/>
  <c r="QMO224" i="22"/>
  <c r="QMP224" i="22"/>
  <c r="QMQ224" i="22"/>
  <c r="QMR224" i="22"/>
  <c r="QMS224" i="22"/>
  <c r="QMT224" i="22"/>
  <c r="QMU224" i="22"/>
  <c r="QMV224" i="22"/>
  <c r="QMW224" i="22"/>
  <c r="QMX224" i="22"/>
  <c r="QMY224" i="22"/>
  <c r="QMZ224" i="22"/>
  <c r="QNA224" i="22"/>
  <c r="QNB224" i="22"/>
  <c r="QNC224" i="22"/>
  <c r="QND224" i="22"/>
  <c r="QNE224" i="22"/>
  <c r="QNF224" i="22"/>
  <c r="QNG224" i="22"/>
  <c r="QNH224" i="22"/>
  <c r="QNI224" i="22"/>
  <c r="QNJ224" i="22"/>
  <c r="QNK224" i="22"/>
  <c r="QNL224" i="22"/>
  <c r="QNM224" i="22"/>
  <c r="QNN224" i="22"/>
  <c r="QNO224" i="22"/>
  <c r="QNP224" i="22"/>
  <c r="QNQ224" i="22"/>
  <c r="QNR224" i="22"/>
  <c r="QNS224" i="22"/>
  <c r="QNT224" i="22"/>
  <c r="QNU224" i="22"/>
  <c r="QNV224" i="22"/>
  <c r="QNW224" i="22"/>
  <c r="QNX224" i="22"/>
  <c r="QNY224" i="22"/>
  <c r="QNZ224" i="22"/>
  <c r="QOA224" i="22"/>
  <c r="QOB224" i="22"/>
  <c r="QOC224" i="22"/>
  <c r="QOD224" i="22"/>
  <c r="QOE224" i="22"/>
  <c r="QOF224" i="22"/>
  <c r="QOG224" i="22"/>
  <c r="QOH224" i="22"/>
  <c r="QOI224" i="22"/>
  <c r="QOJ224" i="22"/>
  <c r="QOK224" i="22"/>
  <c r="QOL224" i="22"/>
  <c r="QOM224" i="22"/>
  <c r="QON224" i="22"/>
  <c r="QOO224" i="22"/>
  <c r="QOP224" i="22"/>
  <c r="QOQ224" i="22"/>
  <c r="QOR224" i="22"/>
  <c r="QOS224" i="22"/>
  <c r="QOT224" i="22"/>
  <c r="QOU224" i="22"/>
  <c r="QOV224" i="22"/>
  <c r="QOW224" i="22"/>
  <c r="QOX224" i="22"/>
  <c r="QOY224" i="22"/>
  <c r="QOZ224" i="22"/>
  <c r="QPA224" i="22"/>
  <c r="QPB224" i="22"/>
  <c r="QPC224" i="22"/>
  <c r="QPD224" i="22"/>
  <c r="QPE224" i="22"/>
  <c r="QPF224" i="22"/>
  <c r="QPG224" i="22"/>
  <c r="QPH224" i="22"/>
  <c r="QPI224" i="22"/>
  <c r="QPJ224" i="22"/>
  <c r="QPK224" i="22"/>
  <c r="QPL224" i="22"/>
  <c r="QPM224" i="22"/>
  <c r="QPN224" i="22"/>
  <c r="QPO224" i="22"/>
  <c r="QPP224" i="22"/>
  <c r="QPQ224" i="22"/>
  <c r="QPR224" i="22"/>
  <c r="QPS224" i="22"/>
  <c r="QPT224" i="22"/>
  <c r="QPU224" i="22"/>
  <c r="QPV224" i="22"/>
  <c r="QPW224" i="22"/>
  <c r="QPX224" i="22"/>
  <c r="QPY224" i="22"/>
  <c r="QPZ224" i="22"/>
  <c r="QQA224" i="22"/>
  <c r="QQB224" i="22"/>
  <c r="QQC224" i="22"/>
  <c r="QQD224" i="22"/>
  <c r="QQE224" i="22"/>
  <c r="QQF224" i="22"/>
  <c r="QQG224" i="22"/>
  <c r="QQH224" i="22"/>
  <c r="QQI224" i="22"/>
  <c r="QQJ224" i="22"/>
  <c r="QQK224" i="22"/>
  <c r="QQL224" i="22"/>
  <c r="QQM224" i="22"/>
  <c r="QQN224" i="22"/>
  <c r="QQO224" i="22"/>
  <c r="QQP224" i="22"/>
  <c r="QQQ224" i="22"/>
  <c r="QQR224" i="22"/>
  <c r="QQS224" i="22"/>
  <c r="QQT224" i="22"/>
  <c r="QQU224" i="22"/>
  <c r="QQV224" i="22"/>
  <c r="QQW224" i="22"/>
  <c r="QQX224" i="22"/>
  <c r="QQY224" i="22"/>
  <c r="QQZ224" i="22"/>
  <c r="QRA224" i="22"/>
  <c r="QRB224" i="22"/>
  <c r="QRC224" i="22"/>
  <c r="QRD224" i="22"/>
  <c r="QRE224" i="22"/>
  <c r="QRF224" i="22"/>
  <c r="QRG224" i="22"/>
  <c r="QRH224" i="22"/>
  <c r="QRI224" i="22"/>
  <c r="QRJ224" i="22"/>
  <c r="QRK224" i="22"/>
  <c r="QRL224" i="22"/>
  <c r="QRM224" i="22"/>
  <c r="QRN224" i="22"/>
  <c r="QRO224" i="22"/>
  <c r="QRP224" i="22"/>
  <c r="QRQ224" i="22"/>
  <c r="QRR224" i="22"/>
  <c r="QRS224" i="22"/>
  <c r="QRT224" i="22"/>
  <c r="QRU224" i="22"/>
  <c r="QRV224" i="22"/>
  <c r="QRW224" i="22"/>
  <c r="QRX224" i="22"/>
  <c r="QRY224" i="22"/>
  <c r="QRZ224" i="22"/>
  <c r="QSA224" i="22"/>
  <c r="QSB224" i="22"/>
  <c r="QSC224" i="22"/>
  <c r="QSD224" i="22"/>
  <c r="QSE224" i="22"/>
  <c r="QSF224" i="22"/>
  <c r="QSG224" i="22"/>
  <c r="QSH224" i="22"/>
  <c r="QSI224" i="22"/>
  <c r="QSJ224" i="22"/>
  <c r="QSK224" i="22"/>
  <c r="QSL224" i="22"/>
  <c r="QSM224" i="22"/>
  <c r="QSN224" i="22"/>
  <c r="QSO224" i="22"/>
  <c r="QSP224" i="22"/>
  <c r="QSQ224" i="22"/>
  <c r="QSR224" i="22"/>
  <c r="QSS224" i="22"/>
  <c r="QST224" i="22"/>
  <c r="QSU224" i="22"/>
  <c r="QSV224" i="22"/>
  <c r="QSW224" i="22"/>
  <c r="QSX224" i="22"/>
  <c r="QSY224" i="22"/>
  <c r="QSZ224" i="22"/>
  <c r="QTA224" i="22"/>
  <c r="QTB224" i="22"/>
  <c r="QTC224" i="22"/>
  <c r="QTD224" i="22"/>
  <c r="QTE224" i="22"/>
  <c r="QTF224" i="22"/>
  <c r="QTG224" i="22"/>
  <c r="QTH224" i="22"/>
  <c r="QTI224" i="22"/>
  <c r="QTJ224" i="22"/>
  <c r="QTK224" i="22"/>
  <c r="QTL224" i="22"/>
  <c r="QTM224" i="22"/>
  <c r="QTN224" i="22"/>
  <c r="QTO224" i="22"/>
  <c r="QTP224" i="22"/>
  <c r="QTQ224" i="22"/>
  <c r="QTR224" i="22"/>
  <c r="QTS224" i="22"/>
  <c r="QTT224" i="22"/>
  <c r="QTU224" i="22"/>
  <c r="QTV224" i="22"/>
  <c r="QTW224" i="22"/>
  <c r="QTX224" i="22"/>
  <c r="QTY224" i="22"/>
  <c r="QTZ224" i="22"/>
  <c r="QUA224" i="22"/>
  <c r="QUB224" i="22"/>
  <c r="QUC224" i="22"/>
  <c r="QUD224" i="22"/>
  <c r="QUE224" i="22"/>
  <c r="QUF224" i="22"/>
  <c r="QUG224" i="22"/>
  <c r="QUH224" i="22"/>
  <c r="QUI224" i="22"/>
  <c r="QUJ224" i="22"/>
  <c r="QUK224" i="22"/>
  <c r="QUL224" i="22"/>
  <c r="QUM224" i="22"/>
  <c r="QUN224" i="22"/>
  <c r="QUO224" i="22"/>
  <c r="QUP224" i="22"/>
  <c r="QUQ224" i="22"/>
  <c r="QUR224" i="22"/>
  <c r="QUS224" i="22"/>
  <c r="QUT224" i="22"/>
  <c r="QUU224" i="22"/>
  <c r="QUV224" i="22"/>
  <c r="QUW224" i="22"/>
  <c r="QUX224" i="22"/>
  <c r="QUY224" i="22"/>
  <c r="QUZ224" i="22"/>
  <c r="QVA224" i="22"/>
  <c r="QVB224" i="22"/>
  <c r="QVC224" i="22"/>
  <c r="QVD224" i="22"/>
  <c r="QVE224" i="22"/>
  <c r="QVF224" i="22"/>
  <c r="QVG224" i="22"/>
  <c r="QVH224" i="22"/>
  <c r="QVI224" i="22"/>
  <c r="QVJ224" i="22"/>
  <c r="QVK224" i="22"/>
  <c r="QVL224" i="22"/>
  <c r="QVM224" i="22"/>
  <c r="QVN224" i="22"/>
  <c r="QVO224" i="22"/>
  <c r="QVP224" i="22"/>
  <c r="QVQ224" i="22"/>
  <c r="QVR224" i="22"/>
  <c r="QVS224" i="22"/>
  <c r="QVT224" i="22"/>
  <c r="QVU224" i="22"/>
  <c r="QVV224" i="22"/>
  <c r="QVW224" i="22"/>
  <c r="QVX224" i="22"/>
  <c r="QVY224" i="22"/>
  <c r="QVZ224" i="22"/>
  <c r="QWA224" i="22"/>
  <c r="QWB224" i="22"/>
  <c r="QWC224" i="22"/>
  <c r="QWD224" i="22"/>
  <c r="QWE224" i="22"/>
  <c r="QWF224" i="22"/>
  <c r="QWG224" i="22"/>
  <c r="QWH224" i="22"/>
  <c r="QWI224" i="22"/>
  <c r="QWJ224" i="22"/>
  <c r="QWK224" i="22"/>
  <c r="QWL224" i="22"/>
  <c r="QWM224" i="22"/>
  <c r="QWN224" i="22"/>
  <c r="QWO224" i="22"/>
  <c r="QWP224" i="22"/>
  <c r="QWQ224" i="22"/>
  <c r="QWR224" i="22"/>
  <c r="QWS224" i="22"/>
  <c r="QWT224" i="22"/>
  <c r="QWU224" i="22"/>
  <c r="QWV224" i="22"/>
  <c r="QWW224" i="22"/>
  <c r="QWX224" i="22"/>
  <c r="QWY224" i="22"/>
  <c r="QWZ224" i="22"/>
  <c r="QXA224" i="22"/>
  <c r="QXB224" i="22"/>
  <c r="QXC224" i="22"/>
  <c r="QXD224" i="22"/>
  <c r="QXE224" i="22"/>
  <c r="QXF224" i="22"/>
  <c r="QXG224" i="22"/>
  <c r="QXH224" i="22"/>
  <c r="QXI224" i="22"/>
  <c r="QXJ224" i="22"/>
  <c r="QXK224" i="22"/>
  <c r="QXL224" i="22"/>
  <c r="QXM224" i="22"/>
  <c r="QXN224" i="22"/>
  <c r="QXO224" i="22"/>
  <c r="QXP224" i="22"/>
  <c r="QXQ224" i="22"/>
  <c r="QXR224" i="22"/>
  <c r="QXS224" i="22"/>
  <c r="QXT224" i="22"/>
  <c r="QXU224" i="22"/>
  <c r="QXV224" i="22"/>
  <c r="QXW224" i="22"/>
  <c r="QXX224" i="22"/>
  <c r="QXY224" i="22"/>
  <c r="QXZ224" i="22"/>
  <c r="QYA224" i="22"/>
  <c r="QYB224" i="22"/>
  <c r="QYC224" i="22"/>
  <c r="QYD224" i="22"/>
  <c r="QYE224" i="22"/>
  <c r="QYF224" i="22"/>
  <c r="QYG224" i="22"/>
  <c r="QYH224" i="22"/>
  <c r="QYI224" i="22"/>
  <c r="QYJ224" i="22"/>
  <c r="QYK224" i="22"/>
  <c r="QYL224" i="22"/>
  <c r="QYM224" i="22"/>
  <c r="QYN224" i="22"/>
  <c r="QYO224" i="22"/>
  <c r="QYP224" i="22"/>
  <c r="QYQ224" i="22"/>
  <c r="QYR224" i="22"/>
  <c r="QYS224" i="22"/>
  <c r="QYT224" i="22"/>
  <c r="QYU224" i="22"/>
  <c r="QYV224" i="22"/>
  <c r="QYW224" i="22"/>
  <c r="QYX224" i="22"/>
  <c r="QYY224" i="22"/>
  <c r="QYZ224" i="22"/>
  <c r="QZA224" i="22"/>
  <c r="QZB224" i="22"/>
  <c r="QZC224" i="22"/>
  <c r="QZD224" i="22"/>
  <c r="QZE224" i="22"/>
  <c r="QZF224" i="22"/>
  <c r="QZG224" i="22"/>
  <c r="QZH224" i="22"/>
  <c r="QZI224" i="22"/>
  <c r="QZJ224" i="22"/>
  <c r="QZK224" i="22"/>
  <c r="QZL224" i="22"/>
  <c r="QZM224" i="22"/>
  <c r="QZN224" i="22"/>
  <c r="QZO224" i="22"/>
  <c r="QZP224" i="22"/>
  <c r="QZQ224" i="22"/>
  <c r="QZR224" i="22"/>
  <c r="QZS224" i="22"/>
  <c r="QZT224" i="22"/>
  <c r="QZU224" i="22"/>
  <c r="QZV224" i="22"/>
  <c r="QZW224" i="22"/>
  <c r="QZX224" i="22"/>
  <c r="QZY224" i="22"/>
  <c r="QZZ224" i="22"/>
  <c r="RAA224" i="22"/>
  <c r="RAB224" i="22"/>
  <c r="RAC224" i="22"/>
  <c r="RAD224" i="22"/>
  <c r="RAE224" i="22"/>
  <c r="RAF224" i="22"/>
  <c r="RAG224" i="22"/>
  <c r="RAH224" i="22"/>
  <c r="RAI224" i="22"/>
  <c r="RAJ224" i="22"/>
  <c r="RAK224" i="22"/>
  <c r="RAL224" i="22"/>
  <c r="RAM224" i="22"/>
  <c r="RAN224" i="22"/>
  <c r="RAO224" i="22"/>
  <c r="RAP224" i="22"/>
  <c r="RAQ224" i="22"/>
  <c r="RAR224" i="22"/>
  <c r="RAS224" i="22"/>
  <c r="RAT224" i="22"/>
  <c r="RAU224" i="22"/>
  <c r="RAV224" i="22"/>
  <c r="RAW224" i="22"/>
  <c r="RAX224" i="22"/>
  <c r="RAY224" i="22"/>
  <c r="RAZ224" i="22"/>
  <c r="RBA224" i="22"/>
  <c r="RBB224" i="22"/>
  <c r="RBC224" i="22"/>
  <c r="RBD224" i="22"/>
  <c r="RBE224" i="22"/>
  <c r="RBF224" i="22"/>
  <c r="RBG224" i="22"/>
  <c r="RBH224" i="22"/>
  <c r="RBI224" i="22"/>
  <c r="RBJ224" i="22"/>
  <c r="RBK224" i="22"/>
  <c r="RBL224" i="22"/>
  <c r="RBM224" i="22"/>
  <c r="RBN224" i="22"/>
  <c r="RBO224" i="22"/>
  <c r="RBP224" i="22"/>
  <c r="RBQ224" i="22"/>
  <c r="RBR224" i="22"/>
  <c r="RBS224" i="22"/>
  <c r="RBT224" i="22"/>
  <c r="RBU224" i="22"/>
  <c r="RBV224" i="22"/>
  <c r="RBW224" i="22"/>
  <c r="RBX224" i="22"/>
  <c r="RBY224" i="22"/>
  <c r="RBZ224" i="22"/>
  <c r="RCA224" i="22"/>
  <c r="RCB224" i="22"/>
  <c r="RCC224" i="22"/>
  <c r="RCD224" i="22"/>
  <c r="RCE224" i="22"/>
  <c r="RCF224" i="22"/>
  <c r="RCG224" i="22"/>
  <c r="RCH224" i="22"/>
  <c r="RCI224" i="22"/>
  <c r="RCJ224" i="22"/>
  <c r="RCK224" i="22"/>
  <c r="RCL224" i="22"/>
  <c r="RCM224" i="22"/>
  <c r="RCN224" i="22"/>
  <c r="RCO224" i="22"/>
  <c r="RCP224" i="22"/>
  <c r="RCQ224" i="22"/>
  <c r="RCR224" i="22"/>
  <c r="RCS224" i="22"/>
  <c r="RCT224" i="22"/>
  <c r="RCU224" i="22"/>
  <c r="RCV224" i="22"/>
  <c r="RCW224" i="22"/>
  <c r="RCX224" i="22"/>
  <c r="RCY224" i="22"/>
  <c r="RCZ224" i="22"/>
  <c r="RDA224" i="22"/>
  <c r="RDB224" i="22"/>
  <c r="RDC224" i="22"/>
  <c r="RDD224" i="22"/>
  <c r="RDE224" i="22"/>
  <c r="RDF224" i="22"/>
  <c r="RDG224" i="22"/>
  <c r="RDH224" i="22"/>
  <c r="RDI224" i="22"/>
  <c r="RDJ224" i="22"/>
  <c r="RDK224" i="22"/>
  <c r="RDL224" i="22"/>
  <c r="RDM224" i="22"/>
  <c r="RDN224" i="22"/>
  <c r="RDO224" i="22"/>
  <c r="RDP224" i="22"/>
  <c r="RDQ224" i="22"/>
  <c r="RDR224" i="22"/>
  <c r="RDS224" i="22"/>
  <c r="RDT224" i="22"/>
  <c r="RDU224" i="22"/>
  <c r="RDV224" i="22"/>
  <c r="RDW224" i="22"/>
  <c r="RDX224" i="22"/>
  <c r="RDY224" i="22"/>
  <c r="RDZ224" i="22"/>
  <c r="REA224" i="22"/>
  <c r="REB224" i="22"/>
  <c r="REC224" i="22"/>
  <c r="RED224" i="22"/>
  <c r="REE224" i="22"/>
  <c r="REF224" i="22"/>
  <c r="REG224" i="22"/>
  <c r="REH224" i="22"/>
  <c r="REI224" i="22"/>
  <c r="REJ224" i="22"/>
  <c r="REK224" i="22"/>
  <c r="REL224" i="22"/>
  <c r="REM224" i="22"/>
  <c r="REN224" i="22"/>
  <c r="REO224" i="22"/>
  <c r="REP224" i="22"/>
  <c r="REQ224" i="22"/>
  <c r="RER224" i="22"/>
  <c r="RES224" i="22"/>
  <c r="RET224" i="22"/>
  <c r="REU224" i="22"/>
  <c r="REV224" i="22"/>
  <c r="REW224" i="22"/>
  <c r="REX224" i="22"/>
  <c r="REY224" i="22"/>
  <c r="REZ224" i="22"/>
  <c r="RFA224" i="22"/>
  <c r="RFB224" i="22"/>
  <c r="RFC224" i="22"/>
  <c r="RFD224" i="22"/>
  <c r="RFE224" i="22"/>
  <c r="RFF224" i="22"/>
  <c r="RFG224" i="22"/>
  <c r="RFH224" i="22"/>
  <c r="RFI224" i="22"/>
  <c r="RFJ224" i="22"/>
  <c r="RFK224" i="22"/>
  <c r="RFL224" i="22"/>
  <c r="RFM224" i="22"/>
  <c r="RFN224" i="22"/>
  <c r="RFO224" i="22"/>
  <c r="RFP224" i="22"/>
  <c r="RFQ224" i="22"/>
  <c r="RFR224" i="22"/>
  <c r="RFS224" i="22"/>
  <c r="RFT224" i="22"/>
  <c r="RFU224" i="22"/>
  <c r="RFV224" i="22"/>
  <c r="RFW224" i="22"/>
  <c r="RFX224" i="22"/>
  <c r="RFY224" i="22"/>
  <c r="RFZ224" i="22"/>
  <c r="RGA224" i="22"/>
  <c r="RGB224" i="22"/>
  <c r="RGC224" i="22"/>
  <c r="RGD224" i="22"/>
  <c r="RGE224" i="22"/>
  <c r="RGF224" i="22"/>
  <c r="RGG224" i="22"/>
  <c r="RGH224" i="22"/>
  <c r="RGI224" i="22"/>
  <c r="RGJ224" i="22"/>
  <c r="RGK224" i="22"/>
  <c r="RGL224" i="22"/>
  <c r="RGM224" i="22"/>
  <c r="RGN224" i="22"/>
  <c r="RGO224" i="22"/>
  <c r="RGP224" i="22"/>
  <c r="RGQ224" i="22"/>
  <c r="RGR224" i="22"/>
  <c r="RGS224" i="22"/>
  <c r="RGT224" i="22"/>
  <c r="RGU224" i="22"/>
  <c r="RGV224" i="22"/>
  <c r="RGW224" i="22"/>
  <c r="RGX224" i="22"/>
  <c r="RGY224" i="22"/>
  <c r="RGZ224" i="22"/>
  <c r="RHA224" i="22"/>
  <c r="RHB224" i="22"/>
  <c r="RHC224" i="22"/>
  <c r="RHD224" i="22"/>
  <c r="RHE224" i="22"/>
  <c r="RHF224" i="22"/>
  <c r="RHG224" i="22"/>
  <c r="RHH224" i="22"/>
  <c r="RHI224" i="22"/>
  <c r="RHJ224" i="22"/>
  <c r="RHK224" i="22"/>
  <c r="RHL224" i="22"/>
  <c r="RHM224" i="22"/>
  <c r="RHN224" i="22"/>
  <c r="RHO224" i="22"/>
  <c r="RHP224" i="22"/>
  <c r="RHQ224" i="22"/>
  <c r="RHR224" i="22"/>
  <c r="RHS224" i="22"/>
  <c r="RHT224" i="22"/>
  <c r="RHU224" i="22"/>
  <c r="RHV224" i="22"/>
  <c r="RHW224" i="22"/>
  <c r="RHX224" i="22"/>
  <c r="RHY224" i="22"/>
  <c r="RHZ224" i="22"/>
  <c r="RIA224" i="22"/>
  <c r="RIB224" i="22"/>
  <c r="RIC224" i="22"/>
  <c r="RID224" i="22"/>
  <c r="RIE224" i="22"/>
  <c r="RIF224" i="22"/>
  <c r="RIG224" i="22"/>
  <c r="RIH224" i="22"/>
  <c r="RII224" i="22"/>
  <c r="RIJ224" i="22"/>
  <c r="RIK224" i="22"/>
  <c r="RIL224" i="22"/>
  <c r="RIM224" i="22"/>
  <c r="RIN224" i="22"/>
  <c r="RIO224" i="22"/>
  <c r="RIP224" i="22"/>
  <c r="RIQ224" i="22"/>
  <c r="RIR224" i="22"/>
  <c r="RIS224" i="22"/>
  <c r="RIT224" i="22"/>
  <c r="RIU224" i="22"/>
  <c r="RIV224" i="22"/>
  <c r="RIW224" i="22"/>
  <c r="RIX224" i="22"/>
  <c r="RIY224" i="22"/>
  <c r="RIZ224" i="22"/>
  <c r="RJA224" i="22"/>
  <c r="RJB224" i="22"/>
  <c r="RJC224" i="22"/>
  <c r="RJD224" i="22"/>
  <c r="RJE224" i="22"/>
  <c r="RJF224" i="22"/>
  <c r="RJG224" i="22"/>
  <c r="RJH224" i="22"/>
  <c r="RJI224" i="22"/>
  <c r="RJJ224" i="22"/>
  <c r="RJK224" i="22"/>
  <c r="RJL224" i="22"/>
  <c r="RJM224" i="22"/>
  <c r="RJN224" i="22"/>
  <c r="RJO224" i="22"/>
  <c r="RJP224" i="22"/>
  <c r="RJQ224" i="22"/>
  <c r="RJR224" i="22"/>
  <c r="RJS224" i="22"/>
  <c r="RJT224" i="22"/>
  <c r="RJU224" i="22"/>
  <c r="RJV224" i="22"/>
  <c r="RJW224" i="22"/>
  <c r="RJX224" i="22"/>
  <c r="RJY224" i="22"/>
  <c r="RJZ224" i="22"/>
  <c r="RKA224" i="22"/>
  <c r="RKB224" i="22"/>
  <c r="RKC224" i="22"/>
  <c r="RKD224" i="22"/>
  <c r="RKE224" i="22"/>
  <c r="RKF224" i="22"/>
  <c r="RKG224" i="22"/>
  <c r="RKH224" i="22"/>
  <c r="RKI224" i="22"/>
  <c r="RKJ224" i="22"/>
  <c r="RKK224" i="22"/>
  <c r="RKL224" i="22"/>
  <c r="RKM224" i="22"/>
  <c r="RKN224" i="22"/>
  <c r="RKO224" i="22"/>
  <c r="RKP224" i="22"/>
  <c r="RKQ224" i="22"/>
  <c r="RKR224" i="22"/>
  <c r="RKS224" i="22"/>
  <c r="RKT224" i="22"/>
  <c r="RKU224" i="22"/>
  <c r="RKV224" i="22"/>
  <c r="RKW224" i="22"/>
  <c r="RKX224" i="22"/>
  <c r="RKY224" i="22"/>
  <c r="RKZ224" i="22"/>
  <c r="RLA224" i="22"/>
  <c r="RLB224" i="22"/>
  <c r="RLC224" i="22"/>
  <c r="RLD224" i="22"/>
  <c r="RLE224" i="22"/>
  <c r="RLF224" i="22"/>
  <c r="RLG224" i="22"/>
  <c r="RLH224" i="22"/>
  <c r="RLI224" i="22"/>
  <c r="RLJ224" i="22"/>
  <c r="RLK224" i="22"/>
  <c r="RLL224" i="22"/>
  <c r="RLM224" i="22"/>
  <c r="RLN224" i="22"/>
  <c r="RLO224" i="22"/>
  <c r="RLP224" i="22"/>
  <c r="RLQ224" i="22"/>
  <c r="RLR224" i="22"/>
  <c r="RLS224" i="22"/>
  <c r="RLT224" i="22"/>
  <c r="RLU224" i="22"/>
  <c r="RLV224" i="22"/>
  <c r="RLW224" i="22"/>
  <c r="RLX224" i="22"/>
  <c r="RLY224" i="22"/>
  <c r="RLZ224" i="22"/>
  <c r="RMA224" i="22"/>
  <c r="RMB224" i="22"/>
  <c r="RMC224" i="22"/>
  <c r="RMD224" i="22"/>
  <c r="RME224" i="22"/>
  <c r="RMF224" i="22"/>
  <c r="RMG224" i="22"/>
  <c r="RMH224" i="22"/>
  <c r="RMI224" i="22"/>
  <c r="RMJ224" i="22"/>
  <c r="RMK224" i="22"/>
  <c r="RML224" i="22"/>
  <c r="RMM224" i="22"/>
  <c r="RMN224" i="22"/>
  <c r="RMO224" i="22"/>
  <c r="RMP224" i="22"/>
  <c r="RMQ224" i="22"/>
  <c r="RMR224" i="22"/>
  <c r="RMS224" i="22"/>
  <c r="RMT224" i="22"/>
  <c r="RMU224" i="22"/>
  <c r="RMV224" i="22"/>
  <c r="RMW224" i="22"/>
  <c r="RMX224" i="22"/>
  <c r="RMY224" i="22"/>
  <c r="RMZ224" i="22"/>
  <c r="RNA224" i="22"/>
  <c r="RNB224" i="22"/>
  <c r="RNC224" i="22"/>
  <c r="RND224" i="22"/>
  <c r="RNE224" i="22"/>
  <c r="RNF224" i="22"/>
  <c r="RNG224" i="22"/>
  <c r="RNH224" i="22"/>
  <c r="RNI224" i="22"/>
  <c r="RNJ224" i="22"/>
  <c r="RNK224" i="22"/>
  <c r="RNL224" i="22"/>
  <c r="RNM224" i="22"/>
  <c r="RNN224" i="22"/>
  <c r="RNO224" i="22"/>
  <c r="RNP224" i="22"/>
  <c r="RNQ224" i="22"/>
  <c r="RNR224" i="22"/>
  <c r="RNS224" i="22"/>
  <c r="RNT224" i="22"/>
  <c r="RNU224" i="22"/>
  <c r="RNV224" i="22"/>
  <c r="RNW224" i="22"/>
  <c r="RNX224" i="22"/>
  <c r="RNY224" i="22"/>
  <c r="RNZ224" i="22"/>
  <c r="ROA224" i="22"/>
  <c r="ROB224" i="22"/>
  <c r="ROC224" i="22"/>
  <c r="ROD224" i="22"/>
  <c r="ROE224" i="22"/>
  <c r="ROF224" i="22"/>
  <c r="ROG224" i="22"/>
  <c r="ROH224" i="22"/>
  <c r="ROI224" i="22"/>
  <c r="ROJ224" i="22"/>
  <c r="ROK224" i="22"/>
  <c r="ROL224" i="22"/>
  <c r="ROM224" i="22"/>
  <c r="RON224" i="22"/>
  <c r="ROO224" i="22"/>
  <c r="ROP224" i="22"/>
  <c r="ROQ224" i="22"/>
  <c r="ROR224" i="22"/>
  <c r="ROS224" i="22"/>
  <c r="ROT224" i="22"/>
  <c r="ROU224" i="22"/>
  <c r="ROV224" i="22"/>
  <c r="ROW224" i="22"/>
  <c r="ROX224" i="22"/>
  <c r="ROY224" i="22"/>
  <c r="ROZ224" i="22"/>
  <c r="RPA224" i="22"/>
  <c r="RPB224" i="22"/>
  <c r="RPC224" i="22"/>
  <c r="RPD224" i="22"/>
  <c r="RPE224" i="22"/>
  <c r="RPF224" i="22"/>
  <c r="RPG224" i="22"/>
  <c r="RPH224" i="22"/>
  <c r="RPI224" i="22"/>
  <c r="RPJ224" i="22"/>
  <c r="RPK224" i="22"/>
  <c r="RPL224" i="22"/>
  <c r="RPM224" i="22"/>
  <c r="RPN224" i="22"/>
  <c r="RPO224" i="22"/>
  <c r="RPP224" i="22"/>
  <c r="RPQ224" i="22"/>
  <c r="RPR224" i="22"/>
  <c r="RPS224" i="22"/>
  <c r="RPT224" i="22"/>
  <c r="RPU224" i="22"/>
  <c r="RPV224" i="22"/>
  <c r="RPW224" i="22"/>
  <c r="RPX224" i="22"/>
  <c r="RPY224" i="22"/>
  <c r="RPZ224" i="22"/>
  <c r="RQA224" i="22"/>
  <c r="RQB224" i="22"/>
  <c r="RQC224" i="22"/>
  <c r="RQD224" i="22"/>
  <c r="RQE224" i="22"/>
  <c r="RQF224" i="22"/>
  <c r="RQG224" i="22"/>
  <c r="RQH224" i="22"/>
  <c r="RQI224" i="22"/>
  <c r="RQJ224" i="22"/>
  <c r="RQK224" i="22"/>
  <c r="RQL224" i="22"/>
  <c r="RQM224" i="22"/>
  <c r="RQN224" i="22"/>
  <c r="RQO224" i="22"/>
  <c r="RQP224" i="22"/>
  <c r="RQQ224" i="22"/>
  <c r="RQR224" i="22"/>
  <c r="RQS224" i="22"/>
  <c r="RQT224" i="22"/>
  <c r="RQU224" i="22"/>
  <c r="RQV224" i="22"/>
  <c r="RQW224" i="22"/>
  <c r="RQX224" i="22"/>
  <c r="RQY224" i="22"/>
  <c r="RQZ224" i="22"/>
  <c r="RRA224" i="22"/>
  <c r="RRB224" i="22"/>
  <c r="RRC224" i="22"/>
  <c r="RRD224" i="22"/>
  <c r="RRE224" i="22"/>
  <c r="RRF224" i="22"/>
  <c r="RRG224" i="22"/>
  <c r="RRH224" i="22"/>
  <c r="RRI224" i="22"/>
  <c r="RRJ224" i="22"/>
  <c r="RRK224" i="22"/>
  <c r="RRL224" i="22"/>
  <c r="RRM224" i="22"/>
  <c r="RRN224" i="22"/>
  <c r="RRO224" i="22"/>
  <c r="RRP224" i="22"/>
  <c r="RRQ224" i="22"/>
  <c r="RRR224" i="22"/>
  <c r="RRS224" i="22"/>
  <c r="RRT224" i="22"/>
  <c r="RRU224" i="22"/>
  <c r="RRV224" i="22"/>
  <c r="RRW224" i="22"/>
  <c r="RRX224" i="22"/>
  <c r="RRY224" i="22"/>
  <c r="RRZ224" i="22"/>
  <c r="RSA224" i="22"/>
  <c r="RSB224" i="22"/>
  <c r="RSC224" i="22"/>
  <c r="RSD224" i="22"/>
  <c r="RSE224" i="22"/>
  <c r="RSF224" i="22"/>
  <c r="RSG224" i="22"/>
  <c r="RSH224" i="22"/>
  <c r="RSI224" i="22"/>
  <c r="RSJ224" i="22"/>
  <c r="RSK224" i="22"/>
  <c r="RSL224" i="22"/>
  <c r="RSM224" i="22"/>
  <c r="RSN224" i="22"/>
  <c r="RSO224" i="22"/>
  <c r="RSP224" i="22"/>
  <c r="RSQ224" i="22"/>
  <c r="RSR224" i="22"/>
  <c r="RSS224" i="22"/>
  <c r="RST224" i="22"/>
  <c r="RSU224" i="22"/>
  <c r="RSV224" i="22"/>
  <c r="RSW224" i="22"/>
  <c r="RSX224" i="22"/>
  <c r="RSY224" i="22"/>
  <c r="RSZ224" i="22"/>
  <c r="RTA224" i="22"/>
  <c r="RTB224" i="22"/>
  <c r="RTC224" i="22"/>
  <c r="RTD224" i="22"/>
  <c r="RTE224" i="22"/>
  <c r="RTF224" i="22"/>
  <c r="RTG224" i="22"/>
  <c r="RTH224" i="22"/>
  <c r="RTI224" i="22"/>
  <c r="RTJ224" i="22"/>
  <c r="RTK224" i="22"/>
  <c r="RTL224" i="22"/>
  <c r="RTM224" i="22"/>
  <c r="RTN224" i="22"/>
  <c r="RTO224" i="22"/>
  <c r="RTP224" i="22"/>
  <c r="RTQ224" i="22"/>
  <c r="RTR224" i="22"/>
  <c r="RTS224" i="22"/>
  <c r="RTT224" i="22"/>
  <c r="RTU224" i="22"/>
  <c r="RTV224" i="22"/>
  <c r="RTW224" i="22"/>
  <c r="RTX224" i="22"/>
  <c r="RTY224" i="22"/>
  <c r="RTZ224" i="22"/>
  <c r="RUA224" i="22"/>
  <c r="RUB224" i="22"/>
  <c r="RUC224" i="22"/>
  <c r="RUD224" i="22"/>
  <c r="RUE224" i="22"/>
  <c r="RUF224" i="22"/>
  <c r="RUG224" i="22"/>
  <c r="RUH224" i="22"/>
  <c r="RUI224" i="22"/>
  <c r="RUJ224" i="22"/>
  <c r="RUK224" i="22"/>
  <c r="RUL224" i="22"/>
  <c r="RUM224" i="22"/>
  <c r="RUN224" i="22"/>
  <c r="RUO224" i="22"/>
  <c r="RUP224" i="22"/>
  <c r="RUQ224" i="22"/>
  <c r="RUR224" i="22"/>
  <c r="RUS224" i="22"/>
  <c r="RUT224" i="22"/>
  <c r="RUU224" i="22"/>
  <c r="RUV224" i="22"/>
  <c r="RUW224" i="22"/>
  <c r="RUX224" i="22"/>
  <c r="RUY224" i="22"/>
  <c r="RUZ224" i="22"/>
  <c r="RVA224" i="22"/>
  <c r="RVB224" i="22"/>
  <c r="RVC224" i="22"/>
  <c r="RVD224" i="22"/>
  <c r="RVE224" i="22"/>
  <c r="RVF224" i="22"/>
  <c r="RVG224" i="22"/>
  <c r="RVH224" i="22"/>
  <c r="RVI224" i="22"/>
  <c r="RVJ224" i="22"/>
  <c r="RVK224" i="22"/>
  <c r="RVL224" i="22"/>
  <c r="RVM224" i="22"/>
  <c r="RVN224" i="22"/>
  <c r="RVO224" i="22"/>
  <c r="RVP224" i="22"/>
  <c r="RVQ224" i="22"/>
  <c r="RVR224" i="22"/>
  <c r="RVS224" i="22"/>
  <c r="RVT224" i="22"/>
  <c r="RVU224" i="22"/>
  <c r="RVV224" i="22"/>
  <c r="RVW224" i="22"/>
  <c r="RVX224" i="22"/>
  <c r="RVY224" i="22"/>
  <c r="RVZ224" i="22"/>
  <c r="RWA224" i="22"/>
  <c r="RWB224" i="22"/>
  <c r="RWC224" i="22"/>
  <c r="RWD224" i="22"/>
  <c r="RWE224" i="22"/>
  <c r="RWF224" i="22"/>
  <c r="RWG224" i="22"/>
  <c r="RWH224" i="22"/>
  <c r="RWI224" i="22"/>
  <c r="RWJ224" i="22"/>
  <c r="RWK224" i="22"/>
  <c r="RWL224" i="22"/>
  <c r="RWM224" i="22"/>
  <c r="RWN224" i="22"/>
  <c r="RWO224" i="22"/>
  <c r="RWP224" i="22"/>
  <c r="RWQ224" i="22"/>
  <c r="RWR224" i="22"/>
  <c r="RWS224" i="22"/>
  <c r="RWT224" i="22"/>
  <c r="RWU224" i="22"/>
  <c r="RWV224" i="22"/>
  <c r="RWW224" i="22"/>
  <c r="RWX224" i="22"/>
  <c r="RWY224" i="22"/>
  <c r="RWZ224" i="22"/>
  <c r="RXA224" i="22"/>
  <c r="RXB224" i="22"/>
  <c r="RXC224" i="22"/>
  <c r="RXD224" i="22"/>
  <c r="RXE224" i="22"/>
  <c r="RXF224" i="22"/>
  <c r="RXG224" i="22"/>
  <c r="RXH224" i="22"/>
  <c r="RXI224" i="22"/>
  <c r="RXJ224" i="22"/>
  <c r="RXK224" i="22"/>
  <c r="RXL224" i="22"/>
  <c r="RXM224" i="22"/>
  <c r="RXN224" i="22"/>
  <c r="RXO224" i="22"/>
  <c r="RXP224" i="22"/>
  <c r="RXQ224" i="22"/>
  <c r="RXR224" i="22"/>
  <c r="RXS224" i="22"/>
  <c r="RXT224" i="22"/>
  <c r="RXU224" i="22"/>
  <c r="RXV224" i="22"/>
  <c r="RXW224" i="22"/>
  <c r="RXX224" i="22"/>
  <c r="RXY224" i="22"/>
  <c r="RXZ224" i="22"/>
  <c r="RYA224" i="22"/>
  <c r="RYB224" i="22"/>
  <c r="RYC224" i="22"/>
  <c r="RYD224" i="22"/>
  <c r="RYE224" i="22"/>
  <c r="RYF224" i="22"/>
  <c r="RYG224" i="22"/>
  <c r="RYH224" i="22"/>
  <c r="RYI224" i="22"/>
  <c r="RYJ224" i="22"/>
  <c r="RYK224" i="22"/>
  <c r="RYL224" i="22"/>
  <c r="RYM224" i="22"/>
  <c r="RYN224" i="22"/>
  <c r="RYO224" i="22"/>
  <c r="RYP224" i="22"/>
  <c r="RYQ224" i="22"/>
  <c r="RYR224" i="22"/>
  <c r="RYS224" i="22"/>
  <c r="RYT224" i="22"/>
  <c r="RYU224" i="22"/>
  <c r="RYV224" i="22"/>
  <c r="RYW224" i="22"/>
  <c r="RYX224" i="22"/>
  <c r="RYY224" i="22"/>
  <c r="RYZ224" i="22"/>
  <c r="RZA224" i="22"/>
  <c r="RZB224" i="22"/>
  <c r="RZC224" i="22"/>
  <c r="RZD224" i="22"/>
  <c r="RZE224" i="22"/>
  <c r="RZF224" i="22"/>
  <c r="RZG224" i="22"/>
  <c r="RZH224" i="22"/>
  <c r="RZI224" i="22"/>
  <c r="RZJ224" i="22"/>
  <c r="RZK224" i="22"/>
  <c r="RZL224" i="22"/>
  <c r="RZM224" i="22"/>
  <c r="RZN224" i="22"/>
  <c r="RZO224" i="22"/>
  <c r="RZP224" i="22"/>
  <c r="RZQ224" i="22"/>
  <c r="RZR224" i="22"/>
  <c r="RZS224" i="22"/>
  <c r="RZT224" i="22"/>
  <c r="RZU224" i="22"/>
  <c r="RZV224" i="22"/>
  <c r="RZW224" i="22"/>
  <c r="RZX224" i="22"/>
  <c r="RZY224" i="22"/>
  <c r="RZZ224" i="22"/>
  <c r="SAA224" i="22"/>
  <c r="SAB224" i="22"/>
  <c r="SAC224" i="22"/>
  <c r="SAD224" i="22"/>
  <c r="SAE224" i="22"/>
  <c r="SAF224" i="22"/>
  <c r="SAG224" i="22"/>
  <c r="SAH224" i="22"/>
  <c r="SAI224" i="22"/>
  <c r="SAJ224" i="22"/>
  <c r="SAK224" i="22"/>
  <c r="SAL224" i="22"/>
  <c r="SAM224" i="22"/>
  <c r="SAN224" i="22"/>
  <c r="SAO224" i="22"/>
  <c r="SAP224" i="22"/>
  <c r="SAQ224" i="22"/>
  <c r="SAR224" i="22"/>
  <c r="SAS224" i="22"/>
  <c r="SAT224" i="22"/>
  <c r="SAU224" i="22"/>
  <c r="SAV224" i="22"/>
  <c r="SAW224" i="22"/>
  <c r="SAX224" i="22"/>
  <c r="SAY224" i="22"/>
  <c r="SAZ224" i="22"/>
  <c r="SBA224" i="22"/>
  <c r="SBB224" i="22"/>
  <c r="SBC224" i="22"/>
  <c r="SBD224" i="22"/>
  <c r="SBE224" i="22"/>
  <c r="SBF224" i="22"/>
  <c r="SBG224" i="22"/>
  <c r="SBH224" i="22"/>
  <c r="SBI224" i="22"/>
  <c r="SBJ224" i="22"/>
  <c r="SBK224" i="22"/>
  <c r="SBL224" i="22"/>
  <c r="SBM224" i="22"/>
  <c r="SBN224" i="22"/>
  <c r="SBO224" i="22"/>
  <c r="SBP224" i="22"/>
  <c r="SBQ224" i="22"/>
  <c r="SBR224" i="22"/>
  <c r="SBS224" i="22"/>
  <c r="SBT224" i="22"/>
  <c r="SBU224" i="22"/>
  <c r="SBV224" i="22"/>
  <c r="SBW224" i="22"/>
  <c r="SBX224" i="22"/>
  <c r="SBY224" i="22"/>
  <c r="SBZ224" i="22"/>
  <c r="SCA224" i="22"/>
  <c r="SCB224" i="22"/>
  <c r="SCC224" i="22"/>
  <c r="SCD224" i="22"/>
  <c r="SCE224" i="22"/>
  <c r="SCF224" i="22"/>
  <c r="SCG224" i="22"/>
  <c r="SCH224" i="22"/>
  <c r="SCI224" i="22"/>
  <c r="SCJ224" i="22"/>
  <c r="SCK224" i="22"/>
  <c r="SCL224" i="22"/>
  <c r="SCM224" i="22"/>
  <c r="SCN224" i="22"/>
  <c r="SCO224" i="22"/>
  <c r="SCP224" i="22"/>
  <c r="SCQ224" i="22"/>
  <c r="SCR224" i="22"/>
  <c r="SCS224" i="22"/>
  <c r="SCT224" i="22"/>
  <c r="SCU224" i="22"/>
  <c r="SCV224" i="22"/>
  <c r="SCW224" i="22"/>
  <c r="SCX224" i="22"/>
  <c r="SCY224" i="22"/>
  <c r="SCZ224" i="22"/>
  <c r="SDA224" i="22"/>
  <c r="SDB224" i="22"/>
  <c r="SDC224" i="22"/>
  <c r="SDD224" i="22"/>
  <c r="SDE224" i="22"/>
  <c r="SDF224" i="22"/>
  <c r="SDG224" i="22"/>
  <c r="SDH224" i="22"/>
  <c r="SDI224" i="22"/>
  <c r="SDJ224" i="22"/>
  <c r="SDK224" i="22"/>
  <c r="SDL224" i="22"/>
  <c r="SDM224" i="22"/>
  <c r="SDN224" i="22"/>
  <c r="SDO224" i="22"/>
  <c r="SDP224" i="22"/>
  <c r="SDQ224" i="22"/>
  <c r="SDR224" i="22"/>
  <c r="SDS224" i="22"/>
  <c r="SDT224" i="22"/>
  <c r="SDU224" i="22"/>
  <c r="SDV224" i="22"/>
  <c r="SDW224" i="22"/>
  <c r="SDX224" i="22"/>
  <c r="SDY224" i="22"/>
  <c r="SDZ224" i="22"/>
  <c r="SEA224" i="22"/>
  <c r="SEB224" i="22"/>
  <c r="SEC224" i="22"/>
  <c r="SED224" i="22"/>
  <c r="SEE224" i="22"/>
  <c r="SEF224" i="22"/>
  <c r="SEG224" i="22"/>
  <c r="SEH224" i="22"/>
  <c r="SEI224" i="22"/>
  <c r="SEJ224" i="22"/>
  <c r="SEK224" i="22"/>
  <c r="SEL224" i="22"/>
  <c r="SEM224" i="22"/>
  <c r="SEN224" i="22"/>
  <c r="SEO224" i="22"/>
  <c r="SEP224" i="22"/>
  <c r="SEQ224" i="22"/>
  <c r="SER224" i="22"/>
  <c r="SES224" i="22"/>
  <c r="SET224" i="22"/>
  <c r="SEU224" i="22"/>
  <c r="SEV224" i="22"/>
  <c r="SEW224" i="22"/>
  <c r="SEX224" i="22"/>
  <c r="SEY224" i="22"/>
  <c r="SEZ224" i="22"/>
  <c r="SFA224" i="22"/>
  <c r="SFB224" i="22"/>
  <c r="SFC224" i="22"/>
  <c r="SFD224" i="22"/>
  <c r="SFE224" i="22"/>
  <c r="SFF224" i="22"/>
  <c r="SFG224" i="22"/>
  <c r="SFH224" i="22"/>
  <c r="SFI224" i="22"/>
  <c r="SFJ224" i="22"/>
  <c r="SFK224" i="22"/>
  <c r="SFL224" i="22"/>
  <c r="SFM224" i="22"/>
  <c r="SFN224" i="22"/>
  <c r="SFO224" i="22"/>
  <c r="SFP224" i="22"/>
  <c r="SFQ224" i="22"/>
  <c r="SFR224" i="22"/>
  <c r="SFS224" i="22"/>
  <c r="SFT224" i="22"/>
  <c r="SFU224" i="22"/>
  <c r="SFV224" i="22"/>
  <c r="SFW224" i="22"/>
  <c r="SFX224" i="22"/>
  <c r="SFY224" i="22"/>
  <c r="SFZ224" i="22"/>
  <c r="SGA224" i="22"/>
  <c r="SGB224" i="22"/>
  <c r="SGC224" i="22"/>
  <c r="SGD224" i="22"/>
  <c r="SGE224" i="22"/>
  <c r="SGF224" i="22"/>
  <c r="SGG224" i="22"/>
  <c r="SGH224" i="22"/>
  <c r="SGI224" i="22"/>
  <c r="SGJ224" i="22"/>
  <c r="SGK224" i="22"/>
  <c r="SGL224" i="22"/>
  <c r="SGM224" i="22"/>
  <c r="SGN224" i="22"/>
  <c r="SGO224" i="22"/>
  <c r="SGP224" i="22"/>
  <c r="SGQ224" i="22"/>
  <c r="SGR224" i="22"/>
  <c r="SGS224" i="22"/>
  <c r="SGT224" i="22"/>
  <c r="SGU224" i="22"/>
  <c r="SGV224" i="22"/>
  <c r="SGW224" i="22"/>
  <c r="SGX224" i="22"/>
  <c r="SGY224" i="22"/>
  <c r="SGZ224" i="22"/>
  <c r="SHA224" i="22"/>
  <c r="SHB224" i="22"/>
  <c r="SHC224" i="22"/>
  <c r="SHD224" i="22"/>
  <c r="SHE224" i="22"/>
  <c r="SHF224" i="22"/>
  <c r="SHG224" i="22"/>
  <c r="SHH224" i="22"/>
  <c r="SHI224" i="22"/>
  <c r="SHJ224" i="22"/>
  <c r="SHK224" i="22"/>
  <c r="SHL224" i="22"/>
  <c r="SHM224" i="22"/>
  <c r="SHN224" i="22"/>
  <c r="SHO224" i="22"/>
  <c r="SHP224" i="22"/>
  <c r="SHQ224" i="22"/>
  <c r="SHR224" i="22"/>
  <c r="SHS224" i="22"/>
  <c r="SHT224" i="22"/>
  <c r="SHU224" i="22"/>
  <c r="SHV224" i="22"/>
  <c r="SHW224" i="22"/>
  <c r="SHX224" i="22"/>
  <c r="SHY224" i="22"/>
  <c r="SHZ224" i="22"/>
  <c r="SIA224" i="22"/>
  <c r="SIB224" i="22"/>
  <c r="SIC224" i="22"/>
  <c r="SID224" i="22"/>
  <c r="SIE224" i="22"/>
  <c r="SIF224" i="22"/>
  <c r="SIG224" i="22"/>
  <c r="SIH224" i="22"/>
  <c r="SII224" i="22"/>
  <c r="SIJ224" i="22"/>
  <c r="SIK224" i="22"/>
  <c r="SIL224" i="22"/>
  <c r="SIM224" i="22"/>
  <c r="SIN224" i="22"/>
  <c r="SIO224" i="22"/>
  <c r="SIP224" i="22"/>
  <c r="SIQ224" i="22"/>
  <c r="SIR224" i="22"/>
  <c r="SIS224" i="22"/>
  <c r="SIT224" i="22"/>
  <c r="SIU224" i="22"/>
  <c r="SIV224" i="22"/>
  <c r="SIW224" i="22"/>
  <c r="SIX224" i="22"/>
  <c r="SIY224" i="22"/>
  <c r="SIZ224" i="22"/>
  <c r="SJA224" i="22"/>
  <c r="SJB224" i="22"/>
  <c r="SJC224" i="22"/>
  <c r="SJD224" i="22"/>
  <c r="SJE224" i="22"/>
  <c r="SJF224" i="22"/>
  <c r="SJG224" i="22"/>
  <c r="SJH224" i="22"/>
  <c r="SJI224" i="22"/>
  <c r="SJJ224" i="22"/>
  <c r="SJK224" i="22"/>
  <c r="SJL224" i="22"/>
  <c r="SJM224" i="22"/>
  <c r="SJN224" i="22"/>
  <c r="SJO224" i="22"/>
  <c r="SJP224" i="22"/>
  <c r="SJQ224" i="22"/>
  <c r="SJR224" i="22"/>
  <c r="SJS224" i="22"/>
  <c r="SJT224" i="22"/>
  <c r="SJU224" i="22"/>
  <c r="SJV224" i="22"/>
  <c r="SJW224" i="22"/>
  <c r="SJX224" i="22"/>
  <c r="SJY224" i="22"/>
  <c r="SJZ224" i="22"/>
  <c r="SKA224" i="22"/>
  <c r="SKB224" i="22"/>
  <c r="SKC224" i="22"/>
  <c r="SKD224" i="22"/>
  <c r="SKE224" i="22"/>
  <c r="SKF224" i="22"/>
  <c r="SKG224" i="22"/>
  <c r="SKH224" i="22"/>
  <c r="SKI224" i="22"/>
  <c r="SKJ224" i="22"/>
  <c r="SKK224" i="22"/>
  <c r="SKL224" i="22"/>
  <c r="SKM224" i="22"/>
  <c r="SKN224" i="22"/>
  <c r="SKO224" i="22"/>
  <c r="SKP224" i="22"/>
  <c r="SKQ224" i="22"/>
  <c r="SKR224" i="22"/>
  <c r="SKS224" i="22"/>
  <c r="SKT224" i="22"/>
  <c r="SKU224" i="22"/>
  <c r="SKV224" i="22"/>
  <c r="SKW224" i="22"/>
  <c r="SKX224" i="22"/>
  <c r="SKY224" i="22"/>
  <c r="SKZ224" i="22"/>
  <c r="SLA224" i="22"/>
  <c r="SLB224" i="22"/>
  <c r="SLC224" i="22"/>
  <c r="SLD224" i="22"/>
  <c r="SLE224" i="22"/>
  <c r="SLF224" i="22"/>
  <c r="SLG224" i="22"/>
  <c r="SLH224" i="22"/>
  <c r="SLI224" i="22"/>
  <c r="SLJ224" i="22"/>
  <c r="SLK224" i="22"/>
  <c r="SLL224" i="22"/>
  <c r="SLM224" i="22"/>
  <c r="SLN224" i="22"/>
  <c r="SLO224" i="22"/>
  <c r="SLP224" i="22"/>
  <c r="SLQ224" i="22"/>
  <c r="SLR224" i="22"/>
  <c r="SLS224" i="22"/>
  <c r="SLT224" i="22"/>
  <c r="SLU224" i="22"/>
  <c r="SLV224" i="22"/>
  <c r="SLW224" i="22"/>
  <c r="SLX224" i="22"/>
  <c r="SLY224" i="22"/>
  <c r="SLZ224" i="22"/>
  <c r="SMA224" i="22"/>
  <c r="SMB224" i="22"/>
  <c r="SMC224" i="22"/>
  <c r="SMD224" i="22"/>
  <c r="SME224" i="22"/>
  <c r="SMF224" i="22"/>
  <c r="SMG224" i="22"/>
  <c r="SMH224" i="22"/>
  <c r="SMI224" i="22"/>
  <c r="SMJ224" i="22"/>
  <c r="SMK224" i="22"/>
  <c r="SML224" i="22"/>
  <c r="SMM224" i="22"/>
  <c r="SMN224" i="22"/>
  <c r="SMO224" i="22"/>
  <c r="SMP224" i="22"/>
  <c r="SMQ224" i="22"/>
  <c r="SMR224" i="22"/>
  <c r="SMS224" i="22"/>
  <c r="SMT224" i="22"/>
  <c r="SMU224" i="22"/>
  <c r="SMV224" i="22"/>
  <c r="SMW224" i="22"/>
  <c r="SMX224" i="22"/>
  <c r="SMY224" i="22"/>
  <c r="SMZ224" i="22"/>
  <c r="SNA224" i="22"/>
  <c r="SNB224" i="22"/>
  <c r="SNC224" i="22"/>
  <c r="SND224" i="22"/>
  <c r="SNE224" i="22"/>
  <c r="SNF224" i="22"/>
  <c r="SNG224" i="22"/>
  <c r="SNH224" i="22"/>
  <c r="SNI224" i="22"/>
  <c r="SNJ224" i="22"/>
  <c r="SNK224" i="22"/>
  <c r="SNL224" i="22"/>
  <c r="SNM224" i="22"/>
  <c r="SNN224" i="22"/>
  <c r="SNO224" i="22"/>
  <c r="SNP224" i="22"/>
  <c r="SNQ224" i="22"/>
  <c r="SNR224" i="22"/>
  <c r="SNS224" i="22"/>
  <c r="SNT224" i="22"/>
  <c r="SNU224" i="22"/>
  <c r="SNV224" i="22"/>
  <c r="SNW224" i="22"/>
  <c r="SNX224" i="22"/>
  <c r="SNY224" i="22"/>
  <c r="SNZ224" i="22"/>
  <c r="SOA224" i="22"/>
  <c r="SOB224" i="22"/>
  <c r="SOC224" i="22"/>
  <c r="SOD224" i="22"/>
  <c r="SOE224" i="22"/>
  <c r="SOF224" i="22"/>
  <c r="SOG224" i="22"/>
  <c r="SOH224" i="22"/>
  <c r="SOI224" i="22"/>
  <c r="SOJ224" i="22"/>
  <c r="SOK224" i="22"/>
  <c r="SOL224" i="22"/>
  <c r="SOM224" i="22"/>
  <c r="SON224" i="22"/>
  <c r="SOO224" i="22"/>
  <c r="SOP224" i="22"/>
  <c r="SOQ224" i="22"/>
  <c r="SOR224" i="22"/>
  <c r="SOS224" i="22"/>
  <c r="SOT224" i="22"/>
  <c r="SOU224" i="22"/>
  <c r="SOV224" i="22"/>
  <c r="SOW224" i="22"/>
  <c r="SOX224" i="22"/>
  <c r="SOY224" i="22"/>
  <c r="SOZ224" i="22"/>
  <c r="SPA224" i="22"/>
  <c r="SPB224" i="22"/>
  <c r="SPC224" i="22"/>
  <c r="SPD224" i="22"/>
  <c r="SPE224" i="22"/>
  <c r="SPF224" i="22"/>
  <c r="SPG224" i="22"/>
  <c r="SPH224" i="22"/>
  <c r="SPI224" i="22"/>
  <c r="SPJ224" i="22"/>
  <c r="SPK224" i="22"/>
  <c r="SPL224" i="22"/>
  <c r="SPM224" i="22"/>
  <c r="SPN224" i="22"/>
  <c r="SPO224" i="22"/>
  <c r="SPP224" i="22"/>
  <c r="SPQ224" i="22"/>
  <c r="SPR224" i="22"/>
  <c r="SPS224" i="22"/>
  <c r="SPT224" i="22"/>
  <c r="SPU224" i="22"/>
  <c r="SPV224" i="22"/>
  <c r="SPW224" i="22"/>
  <c r="SPX224" i="22"/>
  <c r="SPY224" i="22"/>
  <c r="SPZ224" i="22"/>
  <c r="SQA224" i="22"/>
  <c r="SQB224" i="22"/>
  <c r="SQC224" i="22"/>
  <c r="SQD224" i="22"/>
  <c r="SQE224" i="22"/>
  <c r="SQF224" i="22"/>
  <c r="SQG224" i="22"/>
  <c r="SQH224" i="22"/>
  <c r="SQI224" i="22"/>
  <c r="SQJ224" i="22"/>
  <c r="SQK224" i="22"/>
  <c r="SQL224" i="22"/>
  <c r="SQM224" i="22"/>
  <c r="SQN224" i="22"/>
  <c r="SQO224" i="22"/>
  <c r="SQP224" i="22"/>
  <c r="SQQ224" i="22"/>
  <c r="SQR224" i="22"/>
  <c r="SQS224" i="22"/>
  <c r="SQT224" i="22"/>
  <c r="SQU224" i="22"/>
  <c r="SQV224" i="22"/>
  <c r="SQW224" i="22"/>
  <c r="SQX224" i="22"/>
  <c r="SQY224" i="22"/>
  <c r="SQZ224" i="22"/>
  <c r="SRA224" i="22"/>
  <c r="SRB224" i="22"/>
  <c r="SRC224" i="22"/>
  <c r="SRD224" i="22"/>
  <c r="SRE224" i="22"/>
  <c r="SRF224" i="22"/>
  <c r="SRG224" i="22"/>
  <c r="SRH224" i="22"/>
  <c r="SRI224" i="22"/>
  <c r="SRJ224" i="22"/>
  <c r="SRK224" i="22"/>
  <c r="SRL224" i="22"/>
  <c r="SRM224" i="22"/>
  <c r="SRN224" i="22"/>
  <c r="SRO224" i="22"/>
  <c r="SRP224" i="22"/>
  <c r="SRQ224" i="22"/>
  <c r="SRR224" i="22"/>
  <c r="SRS224" i="22"/>
  <c r="SRT224" i="22"/>
  <c r="SRU224" i="22"/>
  <c r="SRV224" i="22"/>
  <c r="SRW224" i="22"/>
  <c r="SRX224" i="22"/>
  <c r="SRY224" i="22"/>
  <c r="SRZ224" i="22"/>
  <c r="SSA224" i="22"/>
  <c r="SSB224" i="22"/>
  <c r="SSC224" i="22"/>
  <c r="SSD224" i="22"/>
  <c r="SSE224" i="22"/>
  <c r="SSF224" i="22"/>
  <c r="SSG224" i="22"/>
  <c r="SSH224" i="22"/>
  <c r="SSI224" i="22"/>
  <c r="SSJ224" i="22"/>
  <c r="SSK224" i="22"/>
  <c r="SSL224" i="22"/>
  <c r="SSM224" i="22"/>
  <c r="SSN224" i="22"/>
  <c r="SSO224" i="22"/>
  <c r="SSP224" i="22"/>
  <c r="SSQ224" i="22"/>
  <c r="SSR224" i="22"/>
  <c r="SSS224" i="22"/>
  <c r="SST224" i="22"/>
  <c r="SSU224" i="22"/>
  <c r="SSV224" i="22"/>
  <c r="SSW224" i="22"/>
  <c r="SSX224" i="22"/>
  <c r="SSY224" i="22"/>
  <c r="SSZ224" i="22"/>
  <c r="STA224" i="22"/>
  <c r="STB224" i="22"/>
  <c r="STC224" i="22"/>
  <c r="STD224" i="22"/>
  <c r="STE224" i="22"/>
  <c r="STF224" i="22"/>
  <c r="STG224" i="22"/>
  <c r="STH224" i="22"/>
  <c r="STI224" i="22"/>
  <c r="STJ224" i="22"/>
  <c r="STK224" i="22"/>
  <c r="STL224" i="22"/>
  <c r="STM224" i="22"/>
  <c r="STN224" i="22"/>
  <c r="STO224" i="22"/>
  <c r="STP224" i="22"/>
  <c r="STQ224" i="22"/>
  <c r="STR224" i="22"/>
  <c r="STS224" i="22"/>
  <c r="STT224" i="22"/>
  <c r="STU224" i="22"/>
  <c r="STV224" i="22"/>
  <c r="STW224" i="22"/>
  <c r="STX224" i="22"/>
  <c r="STY224" i="22"/>
  <c r="STZ224" i="22"/>
  <c r="SUA224" i="22"/>
  <c r="SUB224" i="22"/>
  <c r="SUC224" i="22"/>
  <c r="SUD224" i="22"/>
  <c r="SUE224" i="22"/>
  <c r="SUF224" i="22"/>
  <c r="SUG224" i="22"/>
  <c r="SUH224" i="22"/>
  <c r="SUI224" i="22"/>
  <c r="SUJ224" i="22"/>
  <c r="SUK224" i="22"/>
  <c r="SUL224" i="22"/>
  <c r="SUM224" i="22"/>
  <c r="SUN224" i="22"/>
  <c r="SUO224" i="22"/>
  <c r="SUP224" i="22"/>
  <c r="SUQ224" i="22"/>
  <c r="SUR224" i="22"/>
  <c r="SUS224" i="22"/>
  <c r="SUT224" i="22"/>
  <c r="SUU224" i="22"/>
  <c r="SUV224" i="22"/>
  <c r="SUW224" i="22"/>
  <c r="SUX224" i="22"/>
  <c r="SUY224" i="22"/>
  <c r="SUZ224" i="22"/>
  <c r="SVA224" i="22"/>
  <c r="SVB224" i="22"/>
  <c r="SVC224" i="22"/>
  <c r="SVD224" i="22"/>
  <c r="SVE224" i="22"/>
  <c r="SVF224" i="22"/>
  <c r="SVG224" i="22"/>
  <c r="SVH224" i="22"/>
  <c r="SVI224" i="22"/>
  <c r="SVJ224" i="22"/>
  <c r="SVK224" i="22"/>
  <c r="SVL224" i="22"/>
  <c r="SVM224" i="22"/>
  <c r="SVN224" i="22"/>
  <c r="SVO224" i="22"/>
  <c r="SVP224" i="22"/>
  <c r="SVQ224" i="22"/>
  <c r="SVR224" i="22"/>
  <c r="SVS224" i="22"/>
  <c r="SVT224" i="22"/>
  <c r="SVU224" i="22"/>
  <c r="SVV224" i="22"/>
  <c r="SVW224" i="22"/>
  <c r="SVX224" i="22"/>
  <c r="SVY224" i="22"/>
  <c r="SVZ224" i="22"/>
  <c r="SWA224" i="22"/>
  <c r="SWB224" i="22"/>
  <c r="SWC224" i="22"/>
  <c r="SWD224" i="22"/>
  <c r="SWE224" i="22"/>
  <c r="SWF224" i="22"/>
  <c r="SWG224" i="22"/>
  <c r="SWH224" i="22"/>
  <c r="SWI224" i="22"/>
  <c r="SWJ224" i="22"/>
  <c r="SWK224" i="22"/>
  <c r="SWL224" i="22"/>
  <c r="SWM224" i="22"/>
  <c r="SWN224" i="22"/>
  <c r="SWO224" i="22"/>
  <c r="SWP224" i="22"/>
  <c r="SWQ224" i="22"/>
  <c r="SWR224" i="22"/>
  <c r="SWS224" i="22"/>
  <c r="SWT224" i="22"/>
  <c r="SWU224" i="22"/>
  <c r="SWV224" i="22"/>
  <c r="SWW224" i="22"/>
  <c r="SWX224" i="22"/>
  <c r="SWY224" i="22"/>
  <c r="SWZ224" i="22"/>
  <c r="SXA224" i="22"/>
  <c r="SXB224" i="22"/>
  <c r="SXC224" i="22"/>
  <c r="SXD224" i="22"/>
  <c r="SXE224" i="22"/>
  <c r="SXF224" i="22"/>
  <c r="SXG224" i="22"/>
  <c r="SXH224" i="22"/>
  <c r="SXI224" i="22"/>
  <c r="SXJ224" i="22"/>
  <c r="SXK224" i="22"/>
  <c r="SXL224" i="22"/>
  <c r="SXM224" i="22"/>
  <c r="SXN224" i="22"/>
  <c r="SXO224" i="22"/>
  <c r="SXP224" i="22"/>
  <c r="SXQ224" i="22"/>
  <c r="SXR224" i="22"/>
  <c r="SXS224" i="22"/>
  <c r="SXT224" i="22"/>
  <c r="SXU224" i="22"/>
  <c r="SXV224" i="22"/>
  <c r="SXW224" i="22"/>
  <c r="SXX224" i="22"/>
  <c r="SXY224" i="22"/>
  <c r="SXZ224" i="22"/>
  <c r="SYA224" i="22"/>
  <c r="SYB224" i="22"/>
  <c r="SYC224" i="22"/>
  <c r="SYD224" i="22"/>
  <c r="SYE224" i="22"/>
  <c r="SYF224" i="22"/>
  <c r="SYG224" i="22"/>
  <c r="SYH224" i="22"/>
  <c r="SYI224" i="22"/>
  <c r="SYJ224" i="22"/>
  <c r="SYK224" i="22"/>
  <c r="SYL224" i="22"/>
  <c r="SYM224" i="22"/>
  <c r="SYN224" i="22"/>
  <c r="SYO224" i="22"/>
  <c r="SYP224" i="22"/>
  <c r="SYQ224" i="22"/>
  <c r="SYR224" i="22"/>
  <c r="SYS224" i="22"/>
  <c r="SYT224" i="22"/>
  <c r="SYU224" i="22"/>
  <c r="SYV224" i="22"/>
  <c r="SYW224" i="22"/>
  <c r="SYX224" i="22"/>
  <c r="SYY224" i="22"/>
  <c r="SYZ224" i="22"/>
  <c r="SZA224" i="22"/>
  <c r="SZB224" i="22"/>
  <c r="SZC224" i="22"/>
  <c r="SZD224" i="22"/>
  <c r="SZE224" i="22"/>
  <c r="SZF224" i="22"/>
  <c r="SZG224" i="22"/>
  <c r="SZH224" i="22"/>
  <c r="SZI224" i="22"/>
  <c r="SZJ224" i="22"/>
  <c r="SZK224" i="22"/>
  <c r="SZL224" i="22"/>
  <c r="SZM224" i="22"/>
  <c r="SZN224" i="22"/>
  <c r="SZO224" i="22"/>
  <c r="SZP224" i="22"/>
  <c r="SZQ224" i="22"/>
  <c r="SZR224" i="22"/>
  <c r="SZS224" i="22"/>
  <c r="SZT224" i="22"/>
  <c r="SZU224" i="22"/>
  <c r="SZV224" i="22"/>
  <c r="SZW224" i="22"/>
  <c r="SZX224" i="22"/>
  <c r="SZY224" i="22"/>
  <c r="SZZ224" i="22"/>
  <c r="TAA224" i="22"/>
  <c r="TAB224" i="22"/>
  <c r="TAC224" i="22"/>
  <c r="TAD224" i="22"/>
  <c r="TAE224" i="22"/>
  <c r="TAF224" i="22"/>
  <c r="TAG224" i="22"/>
  <c r="TAH224" i="22"/>
  <c r="TAI224" i="22"/>
  <c r="TAJ224" i="22"/>
  <c r="TAK224" i="22"/>
  <c r="TAL224" i="22"/>
  <c r="TAM224" i="22"/>
  <c r="TAN224" i="22"/>
  <c r="TAO224" i="22"/>
  <c r="TAP224" i="22"/>
  <c r="TAQ224" i="22"/>
  <c r="TAR224" i="22"/>
  <c r="TAS224" i="22"/>
  <c r="TAT224" i="22"/>
  <c r="TAU224" i="22"/>
  <c r="TAV224" i="22"/>
  <c r="TAW224" i="22"/>
  <c r="TAX224" i="22"/>
  <c r="TAY224" i="22"/>
  <c r="TAZ224" i="22"/>
  <c r="TBA224" i="22"/>
  <c r="TBB224" i="22"/>
  <c r="TBC224" i="22"/>
  <c r="TBD224" i="22"/>
  <c r="TBE224" i="22"/>
  <c r="TBF224" i="22"/>
  <c r="TBG224" i="22"/>
  <c r="TBH224" i="22"/>
  <c r="TBI224" i="22"/>
  <c r="TBJ224" i="22"/>
  <c r="TBK224" i="22"/>
  <c r="TBL224" i="22"/>
  <c r="TBM224" i="22"/>
  <c r="TBN224" i="22"/>
  <c r="TBO224" i="22"/>
  <c r="TBP224" i="22"/>
  <c r="TBQ224" i="22"/>
  <c r="TBR224" i="22"/>
  <c r="TBS224" i="22"/>
  <c r="TBT224" i="22"/>
  <c r="TBU224" i="22"/>
  <c r="TBV224" i="22"/>
  <c r="TBW224" i="22"/>
  <c r="TBX224" i="22"/>
  <c r="TBY224" i="22"/>
  <c r="TBZ224" i="22"/>
  <c r="TCA224" i="22"/>
  <c r="TCB224" i="22"/>
  <c r="TCC224" i="22"/>
  <c r="TCD224" i="22"/>
  <c r="TCE224" i="22"/>
  <c r="TCF224" i="22"/>
  <c r="TCG224" i="22"/>
  <c r="TCH224" i="22"/>
  <c r="TCI224" i="22"/>
  <c r="TCJ224" i="22"/>
  <c r="TCK224" i="22"/>
  <c r="TCL224" i="22"/>
  <c r="TCM224" i="22"/>
  <c r="TCN224" i="22"/>
  <c r="TCO224" i="22"/>
  <c r="TCP224" i="22"/>
  <c r="TCQ224" i="22"/>
  <c r="TCR224" i="22"/>
  <c r="TCS224" i="22"/>
  <c r="TCT224" i="22"/>
  <c r="TCU224" i="22"/>
  <c r="TCV224" i="22"/>
  <c r="TCW224" i="22"/>
  <c r="TCX224" i="22"/>
  <c r="TCY224" i="22"/>
  <c r="TCZ224" i="22"/>
  <c r="TDA224" i="22"/>
  <c r="TDB224" i="22"/>
  <c r="TDC224" i="22"/>
  <c r="TDD224" i="22"/>
  <c r="TDE224" i="22"/>
  <c r="TDF224" i="22"/>
  <c r="TDG224" i="22"/>
  <c r="TDH224" i="22"/>
  <c r="TDI224" i="22"/>
  <c r="TDJ224" i="22"/>
  <c r="TDK224" i="22"/>
  <c r="TDL224" i="22"/>
  <c r="TDM224" i="22"/>
  <c r="TDN224" i="22"/>
  <c r="TDO224" i="22"/>
  <c r="TDP224" i="22"/>
  <c r="TDQ224" i="22"/>
  <c r="TDR224" i="22"/>
  <c r="TDS224" i="22"/>
  <c r="TDT224" i="22"/>
  <c r="TDU224" i="22"/>
  <c r="TDV224" i="22"/>
  <c r="TDW224" i="22"/>
  <c r="TDX224" i="22"/>
  <c r="TDY224" i="22"/>
  <c r="TDZ224" i="22"/>
  <c r="TEA224" i="22"/>
  <c r="TEB224" i="22"/>
  <c r="TEC224" i="22"/>
  <c r="TED224" i="22"/>
  <c r="TEE224" i="22"/>
  <c r="TEF224" i="22"/>
  <c r="TEG224" i="22"/>
  <c r="TEH224" i="22"/>
  <c r="TEI224" i="22"/>
  <c r="TEJ224" i="22"/>
  <c r="TEK224" i="22"/>
  <c r="TEL224" i="22"/>
  <c r="TEM224" i="22"/>
  <c r="TEN224" i="22"/>
  <c r="TEO224" i="22"/>
  <c r="TEP224" i="22"/>
  <c r="TEQ224" i="22"/>
  <c r="TER224" i="22"/>
  <c r="TES224" i="22"/>
  <c r="TET224" i="22"/>
  <c r="TEU224" i="22"/>
  <c r="TEV224" i="22"/>
  <c r="TEW224" i="22"/>
  <c r="TEX224" i="22"/>
  <c r="TEY224" i="22"/>
  <c r="TEZ224" i="22"/>
  <c r="TFA224" i="22"/>
  <c r="TFB224" i="22"/>
  <c r="TFC224" i="22"/>
  <c r="TFD224" i="22"/>
  <c r="TFE224" i="22"/>
  <c r="TFF224" i="22"/>
  <c r="TFG224" i="22"/>
  <c r="TFH224" i="22"/>
  <c r="TFI224" i="22"/>
  <c r="TFJ224" i="22"/>
  <c r="TFK224" i="22"/>
  <c r="TFL224" i="22"/>
  <c r="TFM224" i="22"/>
  <c r="TFN224" i="22"/>
  <c r="TFO224" i="22"/>
  <c r="TFP224" i="22"/>
  <c r="TFQ224" i="22"/>
  <c r="TFR224" i="22"/>
  <c r="TFS224" i="22"/>
  <c r="TFT224" i="22"/>
  <c r="TFU224" i="22"/>
  <c r="TFV224" i="22"/>
  <c r="TFW224" i="22"/>
  <c r="TFX224" i="22"/>
  <c r="TFY224" i="22"/>
  <c r="TFZ224" i="22"/>
  <c r="TGA224" i="22"/>
  <c r="TGB224" i="22"/>
  <c r="TGC224" i="22"/>
  <c r="TGD224" i="22"/>
  <c r="TGE224" i="22"/>
  <c r="TGF224" i="22"/>
  <c r="TGG224" i="22"/>
  <c r="TGH224" i="22"/>
  <c r="TGI224" i="22"/>
  <c r="TGJ224" i="22"/>
  <c r="TGK224" i="22"/>
  <c r="TGL224" i="22"/>
  <c r="TGM224" i="22"/>
  <c r="TGN224" i="22"/>
  <c r="TGO224" i="22"/>
  <c r="TGP224" i="22"/>
  <c r="TGQ224" i="22"/>
  <c r="TGR224" i="22"/>
  <c r="TGS224" i="22"/>
  <c r="TGT224" i="22"/>
  <c r="TGU224" i="22"/>
  <c r="TGV224" i="22"/>
  <c r="TGW224" i="22"/>
  <c r="TGX224" i="22"/>
  <c r="TGY224" i="22"/>
  <c r="TGZ224" i="22"/>
  <c r="THA224" i="22"/>
  <c r="THB224" i="22"/>
  <c r="THC224" i="22"/>
  <c r="THD224" i="22"/>
  <c r="THE224" i="22"/>
  <c r="THF224" i="22"/>
  <c r="THG224" i="22"/>
  <c r="THH224" i="22"/>
  <c r="THI224" i="22"/>
  <c r="THJ224" i="22"/>
  <c r="THK224" i="22"/>
  <c r="THL224" i="22"/>
  <c r="THM224" i="22"/>
  <c r="THN224" i="22"/>
  <c r="THO224" i="22"/>
  <c r="THP224" i="22"/>
  <c r="THQ224" i="22"/>
  <c r="THR224" i="22"/>
  <c r="THS224" i="22"/>
  <c r="THT224" i="22"/>
  <c r="THU224" i="22"/>
  <c r="THV224" i="22"/>
  <c r="THW224" i="22"/>
  <c r="THX224" i="22"/>
  <c r="THY224" i="22"/>
  <c r="THZ224" i="22"/>
  <c r="TIA224" i="22"/>
  <c r="TIB224" i="22"/>
  <c r="TIC224" i="22"/>
  <c r="TID224" i="22"/>
  <c r="TIE224" i="22"/>
  <c r="TIF224" i="22"/>
  <c r="TIG224" i="22"/>
  <c r="TIH224" i="22"/>
  <c r="TII224" i="22"/>
  <c r="TIJ224" i="22"/>
  <c r="TIK224" i="22"/>
  <c r="TIL224" i="22"/>
  <c r="TIM224" i="22"/>
  <c r="TIN224" i="22"/>
  <c r="TIO224" i="22"/>
  <c r="TIP224" i="22"/>
  <c r="TIQ224" i="22"/>
  <c r="TIR224" i="22"/>
  <c r="TIS224" i="22"/>
  <c r="TIT224" i="22"/>
  <c r="TIU224" i="22"/>
  <c r="TIV224" i="22"/>
  <c r="TIW224" i="22"/>
  <c r="TIX224" i="22"/>
  <c r="TIY224" i="22"/>
  <c r="TIZ224" i="22"/>
  <c r="TJA224" i="22"/>
  <c r="TJB224" i="22"/>
  <c r="TJC224" i="22"/>
  <c r="TJD224" i="22"/>
  <c r="TJE224" i="22"/>
  <c r="TJF224" i="22"/>
  <c r="TJG224" i="22"/>
  <c r="TJH224" i="22"/>
  <c r="TJI224" i="22"/>
  <c r="TJJ224" i="22"/>
  <c r="TJK224" i="22"/>
  <c r="TJL224" i="22"/>
  <c r="TJM224" i="22"/>
  <c r="TJN224" i="22"/>
  <c r="TJO224" i="22"/>
  <c r="TJP224" i="22"/>
  <c r="TJQ224" i="22"/>
  <c r="TJR224" i="22"/>
  <c r="TJS224" i="22"/>
  <c r="TJT224" i="22"/>
  <c r="TJU224" i="22"/>
  <c r="TJV224" i="22"/>
  <c r="TJW224" i="22"/>
  <c r="TJX224" i="22"/>
  <c r="TJY224" i="22"/>
  <c r="TJZ224" i="22"/>
  <c r="TKA224" i="22"/>
  <c r="TKB224" i="22"/>
  <c r="TKC224" i="22"/>
  <c r="TKD224" i="22"/>
  <c r="TKE224" i="22"/>
  <c r="TKF224" i="22"/>
  <c r="TKG224" i="22"/>
  <c r="TKH224" i="22"/>
  <c r="TKI224" i="22"/>
  <c r="TKJ224" i="22"/>
  <c r="TKK224" i="22"/>
  <c r="TKL224" i="22"/>
  <c r="TKM224" i="22"/>
  <c r="TKN224" i="22"/>
  <c r="TKO224" i="22"/>
  <c r="TKP224" i="22"/>
  <c r="TKQ224" i="22"/>
  <c r="TKR224" i="22"/>
  <c r="TKS224" i="22"/>
  <c r="TKT224" i="22"/>
  <c r="TKU224" i="22"/>
  <c r="TKV224" i="22"/>
  <c r="TKW224" i="22"/>
  <c r="TKX224" i="22"/>
  <c r="TKY224" i="22"/>
  <c r="TKZ224" i="22"/>
  <c r="TLA224" i="22"/>
  <c r="TLB224" i="22"/>
  <c r="TLC224" i="22"/>
  <c r="TLD224" i="22"/>
  <c r="TLE224" i="22"/>
  <c r="TLF224" i="22"/>
  <c r="TLG224" i="22"/>
  <c r="TLH224" i="22"/>
  <c r="TLI224" i="22"/>
  <c r="TLJ224" i="22"/>
  <c r="TLK224" i="22"/>
  <c r="TLL224" i="22"/>
  <c r="TLM224" i="22"/>
  <c r="TLN224" i="22"/>
  <c r="TLO224" i="22"/>
  <c r="TLP224" i="22"/>
  <c r="TLQ224" i="22"/>
  <c r="TLR224" i="22"/>
  <c r="TLS224" i="22"/>
  <c r="TLT224" i="22"/>
  <c r="TLU224" i="22"/>
  <c r="TLV224" i="22"/>
  <c r="TLW224" i="22"/>
  <c r="TLX224" i="22"/>
  <c r="TLY224" i="22"/>
  <c r="TLZ224" i="22"/>
  <c r="TMA224" i="22"/>
  <c r="TMB224" i="22"/>
  <c r="TMC224" i="22"/>
  <c r="TMD224" i="22"/>
  <c r="TME224" i="22"/>
  <c r="TMF224" i="22"/>
  <c r="TMG224" i="22"/>
  <c r="TMH224" i="22"/>
  <c r="TMI224" i="22"/>
  <c r="TMJ224" i="22"/>
  <c r="TMK224" i="22"/>
  <c r="TML224" i="22"/>
  <c r="TMM224" i="22"/>
  <c r="TMN224" i="22"/>
  <c r="TMO224" i="22"/>
  <c r="TMP224" i="22"/>
  <c r="TMQ224" i="22"/>
  <c r="TMR224" i="22"/>
  <c r="TMS224" i="22"/>
  <c r="TMT224" i="22"/>
  <c r="TMU224" i="22"/>
  <c r="TMV224" i="22"/>
  <c r="TMW224" i="22"/>
  <c r="TMX224" i="22"/>
  <c r="TMY224" i="22"/>
  <c r="TMZ224" i="22"/>
  <c r="TNA224" i="22"/>
  <c r="TNB224" i="22"/>
  <c r="TNC224" i="22"/>
  <c r="TND224" i="22"/>
  <c r="TNE224" i="22"/>
  <c r="TNF224" i="22"/>
  <c r="TNG224" i="22"/>
  <c r="TNH224" i="22"/>
  <c r="TNI224" i="22"/>
  <c r="TNJ224" i="22"/>
  <c r="TNK224" i="22"/>
  <c r="TNL224" i="22"/>
  <c r="TNM224" i="22"/>
  <c r="TNN224" i="22"/>
  <c r="TNO224" i="22"/>
  <c r="TNP224" i="22"/>
  <c r="TNQ224" i="22"/>
  <c r="TNR224" i="22"/>
  <c r="TNS224" i="22"/>
  <c r="TNT224" i="22"/>
  <c r="TNU224" i="22"/>
  <c r="TNV224" i="22"/>
  <c r="TNW224" i="22"/>
  <c r="TNX224" i="22"/>
  <c r="TNY224" i="22"/>
  <c r="TNZ224" i="22"/>
  <c r="TOA224" i="22"/>
  <c r="TOB224" i="22"/>
  <c r="TOC224" i="22"/>
  <c r="TOD224" i="22"/>
  <c r="TOE224" i="22"/>
  <c r="TOF224" i="22"/>
  <c r="TOG224" i="22"/>
  <c r="TOH224" i="22"/>
  <c r="TOI224" i="22"/>
  <c r="TOJ224" i="22"/>
  <c r="TOK224" i="22"/>
  <c r="TOL224" i="22"/>
  <c r="TOM224" i="22"/>
  <c r="TON224" i="22"/>
  <c r="TOO224" i="22"/>
  <c r="TOP224" i="22"/>
  <c r="TOQ224" i="22"/>
  <c r="TOR224" i="22"/>
  <c r="TOS224" i="22"/>
  <c r="TOT224" i="22"/>
  <c r="TOU224" i="22"/>
  <c r="TOV224" i="22"/>
  <c r="TOW224" i="22"/>
  <c r="TOX224" i="22"/>
  <c r="TOY224" i="22"/>
  <c r="TOZ224" i="22"/>
  <c r="TPA224" i="22"/>
  <c r="TPB224" i="22"/>
  <c r="TPC224" i="22"/>
  <c r="TPD224" i="22"/>
  <c r="TPE224" i="22"/>
  <c r="TPF224" i="22"/>
  <c r="TPG224" i="22"/>
  <c r="TPH224" i="22"/>
  <c r="TPI224" i="22"/>
  <c r="TPJ224" i="22"/>
  <c r="TPK224" i="22"/>
  <c r="TPL224" i="22"/>
  <c r="TPM224" i="22"/>
  <c r="TPN224" i="22"/>
  <c r="TPO224" i="22"/>
  <c r="TPP224" i="22"/>
  <c r="TPQ224" i="22"/>
  <c r="TPR224" i="22"/>
  <c r="TPS224" i="22"/>
  <c r="TPT224" i="22"/>
  <c r="TPU224" i="22"/>
  <c r="TPV224" i="22"/>
  <c r="TPW224" i="22"/>
  <c r="TPX224" i="22"/>
  <c r="TPY224" i="22"/>
  <c r="TPZ224" i="22"/>
  <c r="TQA224" i="22"/>
  <c r="TQB224" i="22"/>
  <c r="TQC224" i="22"/>
  <c r="TQD224" i="22"/>
  <c r="TQE224" i="22"/>
  <c r="TQF224" i="22"/>
  <c r="TQG224" i="22"/>
  <c r="TQH224" i="22"/>
  <c r="TQI224" i="22"/>
  <c r="TQJ224" i="22"/>
  <c r="TQK224" i="22"/>
  <c r="TQL224" i="22"/>
  <c r="TQM224" i="22"/>
  <c r="TQN224" i="22"/>
  <c r="TQO224" i="22"/>
  <c r="TQP224" i="22"/>
  <c r="TQQ224" i="22"/>
  <c r="TQR224" i="22"/>
  <c r="TQS224" i="22"/>
  <c r="TQT224" i="22"/>
  <c r="TQU224" i="22"/>
  <c r="TQV224" i="22"/>
  <c r="TQW224" i="22"/>
  <c r="TQX224" i="22"/>
  <c r="TQY224" i="22"/>
  <c r="TQZ224" i="22"/>
  <c r="TRA224" i="22"/>
  <c r="TRB224" i="22"/>
  <c r="TRC224" i="22"/>
  <c r="TRD224" i="22"/>
  <c r="TRE224" i="22"/>
  <c r="TRF224" i="22"/>
  <c r="TRG224" i="22"/>
  <c r="TRH224" i="22"/>
  <c r="TRI224" i="22"/>
  <c r="TRJ224" i="22"/>
  <c r="TRK224" i="22"/>
  <c r="TRL224" i="22"/>
  <c r="TRM224" i="22"/>
  <c r="TRN224" i="22"/>
  <c r="TRO224" i="22"/>
  <c r="TRP224" i="22"/>
  <c r="TRQ224" i="22"/>
  <c r="TRR224" i="22"/>
  <c r="TRS224" i="22"/>
  <c r="TRT224" i="22"/>
  <c r="TRU224" i="22"/>
  <c r="TRV224" i="22"/>
  <c r="TRW224" i="22"/>
  <c r="TRX224" i="22"/>
  <c r="TRY224" i="22"/>
  <c r="TRZ224" i="22"/>
  <c r="TSA224" i="22"/>
  <c r="TSB224" i="22"/>
  <c r="TSC224" i="22"/>
  <c r="TSD224" i="22"/>
  <c r="TSE224" i="22"/>
  <c r="TSF224" i="22"/>
  <c r="TSG224" i="22"/>
  <c r="TSH224" i="22"/>
  <c r="TSI224" i="22"/>
  <c r="TSJ224" i="22"/>
  <c r="TSK224" i="22"/>
  <c r="TSL224" i="22"/>
  <c r="TSM224" i="22"/>
  <c r="TSN224" i="22"/>
  <c r="TSO224" i="22"/>
  <c r="TSP224" i="22"/>
  <c r="TSQ224" i="22"/>
  <c r="TSR224" i="22"/>
  <c r="TSS224" i="22"/>
  <c r="TST224" i="22"/>
  <c r="TSU224" i="22"/>
  <c r="TSV224" i="22"/>
  <c r="TSW224" i="22"/>
  <c r="TSX224" i="22"/>
  <c r="TSY224" i="22"/>
  <c r="TSZ224" i="22"/>
  <c r="TTA224" i="22"/>
  <c r="TTB224" i="22"/>
  <c r="TTC224" i="22"/>
  <c r="TTD224" i="22"/>
  <c r="TTE224" i="22"/>
  <c r="TTF224" i="22"/>
  <c r="TTG224" i="22"/>
  <c r="TTH224" i="22"/>
  <c r="TTI224" i="22"/>
  <c r="TTJ224" i="22"/>
  <c r="TTK224" i="22"/>
  <c r="TTL224" i="22"/>
  <c r="TTM224" i="22"/>
  <c r="TTN224" i="22"/>
  <c r="TTO224" i="22"/>
  <c r="TTP224" i="22"/>
  <c r="TTQ224" i="22"/>
  <c r="TTR224" i="22"/>
  <c r="TTS224" i="22"/>
  <c r="TTT224" i="22"/>
  <c r="TTU224" i="22"/>
  <c r="TTV224" i="22"/>
  <c r="TTW224" i="22"/>
  <c r="TTX224" i="22"/>
  <c r="TTY224" i="22"/>
  <c r="TTZ224" i="22"/>
  <c r="TUA224" i="22"/>
  <c r="TUB224" i="22"/>
  <c r="TUC224" i="22"/>
  <c r="TUD224" i="22"/>
  <c r="TUE224" i="22"/>
  <c r="TUF224" i="22"/>
  <c r="TUG224" i="22"/>
  <c r="TUH224" i="22"/>
  <c r="TUI224" i="22"/>
  <c r="TUJ224" i="22"/>
  <c r="TUK224" i="22"/>
  <c r="TUL224" i="22"/>
  <c r="TUM224" i="22"/>
  <c r="TUN224" i="22"/>
  <c r="TUO224" i="22"/>
  <c r="TUP224" i="22"/>
  <c r="TUQ224" i="22"/>
  <c r="TUR224" i="22"/>
  <c r="TUS224" i="22"/>
  <c r="TUT224" i="22"/>
  <c r="TUU224" i="22"/>
  <c r="TUV224" i="22"/>
  <c r="TUW224" i="22"/>
  <c r="TUX224" i="22"/>
  <c r="TUY224" i="22"/>
  <c r="TUZ224" i="22"/>
  <c r="TVA224" i="22"/>
  <c r="TVB224" i="22"/>
  <c r="TVC224" i="22"/>
  <c r="TVD224" i="22"/>
  <c r="TVE224" i="22"/>
  <c r="TVF224" i="22"/>
  <c r="TVG224" i="22"/>
  <c r="TVH224" i="22"/>
  <c r="TVI224" i="22"/>
  <c r="TVJ224" i="22"/>
  <c r="TVK224" i="22"/>
  <c r="TVL224" i="22"/>
  <c r="TVM224" i="22"/>
  <c r="TVN224" i="22"/>
  <c r="TVO224" i="22"/>
  <c r="TVP224" i="22"/>
  <c r="TVQ224" i="22"/>
  <c r="TVR224" i="22"/>
  <c r="TVS224" i="22"/>
  <c r="TVT224" i="22"/>
  <c r="TVU224" i="22"/>
  <c r="TVV224" i="22"/>
  <c r="TVW224" i="22"/>
  <c r="TVX224" i="22"/>
  <c r="TVY224" i="22"/>
  <c r="TVZ224" i="22"/>
  <c r="TWA224" i="22"/>
  <c r="TWB224" i="22"/>
  <c r="TWC224" i="22"/>
  <c r="TWD224" i="22"/>
  <c r="TWE224" i="22"/>
  <c r="TWF224" i="22"/>
  <c r="TWG224" i="22"/>
  <c r="TWH224" i="22"/>
  <c r="TWI224" i="22"/>
  <c r="TWJ224" i="22"/>
  <c r="TWK224" i="22"/>
  <c r="TWL224" i="22"/>
  <c r="TWM224" i="22"/>
  <c r="TWN224" i="22"/>
  <c r="TWO224" i="22"/>
  <c r="TWP224" i="22"/>
  <c r="TWQ224" i="22"/>
  <c r="TWR224" i="22"/>
  <c r="TWS224" i="22"/>
  <c r="TWT224" i="22"/>
  <c r="TWU224" i="22"/>
  <c r="TWV224" i="22"/>
  <c r="TWW224" i="22"/>
  <c r="TWX224" i="22"/>
  <c r="TWY224" i="22"/>
  <c r="TWZ224" i="22"/>
  <c r="TXA224" i="22"/>
  <c r="TXB224" i="22"/>
  <c r="TXC224" i="22"/>
  <c r="TXD224" i="22"/>
  <c r="TXE224" i="22"/>
  <c r="TXF224" i="22"/>
  <c r="TXG224" i="22"/>
  <c r="TXH224" i="22"/>
  <c r="TXI224" i="22"/>
  <c r="TXJ224" i="22"/>
  <c r="TXK224" i="22"/>
  <c r="TXL224" i="22"/>
  <c r="TXM224" i="22"/>
  <c r="TXN224" i="22"/>
  <c r="TXO224" i="22"/>
  <c r="TXP224" i="22"/>
  <c r="TXQ224" i="22"/>
  <c r="TXR224" i="22"/>
  <c r="TXS224" i="22"/>
  <c r="TXT224" i="22"/>
  <c r="TXU224" i="22"/>
  <c r="TXV224" i="22"/>
  <c r="TXW224" i="22"/>
  <c r="TXX224" i="22"/>
  <c r="TXY224" i="22"/>
  <c r="TXZ224" i="22"/>
  <c r="TYA224" i="22"/>
  <c r="TYB224" i="22"/>
  <c r="TYC224" i="22"/>
  <c r="TYD224" i="22"/>
  <c r="TYE224" i="22"/>
  <c r="TYF224" i="22"/>
  <c r="TYG224" i="22"/>
  <c r="TYH224" i="22"/>
  <c r="TYI224" i="22"/>
  <c r="TYJ224" i="22"/>
  <c r="TYK224" i="22"/>
  <c r="TYL224" i="22"/>
  <c r="TYM224" i="22"/>
  <c r="TYN224" i="22"/>
  <c r="TYO224" i="22"/>
  <c r="TYP224" i="22"/>
  <c r="TYQ224" i="22"/>
  <c r="TYR224" i="22"/>
  <c r="TYS224" i="22"/>
  <c r="TYT224" i="22"/>
  <c r="TYU224" i="22"/>
  <c r="TYV224" i="22"/>
  <c r="TYW224" i="22"/>
  <c r="TYX224" i="22"/>
  <c r="TYY224" i="22"/>
  <c r="TYZ224" i="22"/>
  <c r="TZA224" i="22"/>
  <c r="TZB224" i="22"/>
  <c r="TZC224" i="22"/>
  <c r="TZD224" i="22"/>
  <c r="TZE224" i="22"/>
  <c r="TZF224" i="22"/>
  <c r="TZG224" i="22"/>
  <c r="TZH224" i="22"/>
  <c r="TZI224" i="22"/>
  <c r="TZJ224" i="22"/>
  <c r="TZK224" i="22"/>
  <c r="TZL224" i="22"/>
  <c r="TZM224" i="22"/>
  <c r="TZN224" i="22"/>
  <c r="TZO224" i="22"/>
  <c r="TZP224" i="22"/>
  <c r="TZQ224" i="22"/>
  <c r="TZR224" i="22"/>
  <c r="TZS224" i="22"/>
  <c r="TZT224" i="22"/>
  <c r="TZU224" i="22"/>
  <c r="TZV224" i="22"/>
  <c r="TZW224" i="22"/>
  <c r="TZX224" i="22"/>
  <c r="TZY224" i="22"/>
  <c r="TZZ224" i="22"/>
  <c r="UAA224" i="22"/>
  <c r="UAB224" i="22"/>
  <c r="UAC224" i="22"/>
  <c r="UAD224" i="22"/>
  <c r="UAE224" i="22"/>
  <c r="UAF224" i="22"/>
  <c r="UAG224" i="22"/>
  <c r="UAH224" i="22"/>
  <c r="UAI224" i="22"/>
  <c r="UAJ224" i="22"/>
  <c r="UAK224" i="22"/>
  <c r="UAL224" i="22"/>
  <c r="UAM224" i="22"/>
  <c r="UAN224" i="22"/>
  <c r="UAO224" i="22"/>
  <c r="UAP224" i="22"/>
  <c r="UAQ224" i="22"/>
  <c r="UAR224" i="22"/>
  <c r="UAS224" i="22"/>
  <c r="UAT224" i="22"/>
  <c r="UAU224" i="22"/>
  <c r="UAV224" i="22"/>
  <c r="UAW224" i="22"/>
  <c r="UAX224" i="22"/>
  <c r="UAY224" i="22"/>
  <c r="UAZ224" i="22"/>
  <c r="UBA224" i="22"/>
  <c r="UBB224" i="22"/>
  <c r="UBC224" i="22"/>
  <c r="UBD224" i="22"/>
  <c r="UBE224" i="22"/>
  <c r="UBF224" i="22"/>
  <c r="UBG224" i="22"/>
  <c r="UBH224" i="22"/>
  <c r="UBI224" i="22"/>
  <c r="UBJ224" i="22"/>
  <c r="UBK224" i="22"/>
  <c r="UBL224" i="22"/>
  <c r="UBM224" i="22"/>
  <c r="UBN224" i="22"/>
  <c r="UBO224" i="22"/>
  <c r="UBP224" i="22"/>
  <c r="UBQ224" i="22"/>
  <c r="UBR224" i="22"/>
  <c r="UBS224" i="22"/>
  <c r="UBT224" i="22"/>
  <c r="UBU224" i="22"/>
  <c r="UBV224" i="22"/>
  <c r="UBW224" i="22"/>
  <c r="UBX224" i="22"/>
  <c r="UBY224" i="22"/>
  <c r="UBZ224" i="22"/>
  <c r="UCA224" i="22"/>
  <c r="UCB224" i="22"/>
  <c r="UCC224" i="22"/>
  <c r="UCD224" i="22"/>
  <c r="UCE224" i="22"/>
  <c r="UCF224" i="22"/>
  <c r="UCG224" i="22"/>
  <c r="UCH224" i="22"/>
  <c r="UCI224" i="22"/>
  <c r="UCJ224" i="22"/>
  <c r="UCK224" i="22"/>
  <c r="UCL224" i="22"/>
  <c r="UCM224" i="22"/>
  <c r="UCN224" i="22"/>
  <c r="UCO224" i="22"/>
  <c r="UCP224" i="22"/>
  <c r="UCQ224" i="22"/>
  <c r="UCR224" i="22"/>
  <c r="UCS224" i="22"/>
  <c r="UCT224" i="22"/>
  <c r="UCU224" i="22"/>
  <c r="UCV224" i="22"/>
  <c r="UCW224" i="22"/>
  <c r="UCX224" i="22"/>
  <c r="UCY224" i="22"/>
  <c r="UCZ224" i="22"/>
  <c r="UDA224" i="22"/>
  <c r="UDB224" i="22"/>
  <c r="UDC224" i="22"/>
  <c r="UDD224" i="22"/>
  <c r="UDE224" i="22"/>
  <c r="UDF224" i="22"/>
  <c r="UDG224" i="22"/>
  <c r="UDH224" i="22"/>
  <c r="UDI224" i="22"/>
  <c r="UDJ224" i="22"/>
  <c r="UDK224" i="22"/>
  <c r="UDL224" i="22"/>
  <c r="UDM224" i="22"/>
  <c r="UDN224" i="22"/>
  <c r="UDO224" i="22"/>
  <c r="UDP224" i="22"/>
  <c r="UDQ224" i="22"/>
  <c r="UDR224" i="22"/>
  <c r="UDS224" i="22"/>
  <c r="UDT224" i="22"/>
  <c r="UDU224" i="22"/>
  <c r="UDV224" i="22"/>
  <c r="UDW224" i="22"/>
  <c r="UDX224" i="22"/>
  <c r="UDY224" i="22"/>
  <c r="UDZ224" i="22"/>
  <c r="UEA224" i="22"/>
  <c r="UEB224" i="22"/>
  <c r="UEC224" i="22"/>
  <c r="UED224" i="22"/>
  <c r="UEE224" i="22"/>
  <c r="UEF224" i="22"/>
  <c r="UEG224" i="22"/>
  <c r="UEH224" i="22"/>
  <c r="UEI224" i="22"/>
  <c r="UEJ224" i="22"/>
  <c r="UEK224" i="22"/>
  <c r="UEL224" i="22"/>
  <c r="UEM224" i="22"/>
  <c r="UEN224" i="22"/>
  <c r="UEO224" i="22"/>
  <c r="UEP224" i="22"/>
  <c r="UEQ224" i="22"/>
  <c r="UER224" i="22"/>
  <c r="UES224" i="22"/>
  <c r="UET224" i="22"/>
  <c r="UEU224" i="22"/>
  <c r="UEV224" i="22"/>
  <c r="UEW224" i="22"/>
  <c r="UEX224" i="22"/>
  <c r="UEY224" i="22"/>
  <c r="UEZ224" i="22"/>
  <c r="UFA224" i="22"/>
  <c r="UFB224" i="22"/>
  <c r="UFC224" i="22"/>
  <c r="UFD224" i="22"/>
  <c r="UFE224" i="22"/>
  <c r="UFF224" i="22"/>
  <c r="UFG224" i="22"/>
  <c r="UFH224" i="22"/>
  <c r="UFI224" i="22"/>
  <c r="UFJ224" i="22"/>
  <c r="UFK224" i="22"/>
  <c r="UFL224" i="22"/>
  <c r="UFM224" i="22"/>
  <c r="UFN224" i="22"/>
  <c r="UFO224" i="22"/>
  <c r="UFP224" i="22"/>
  <c r="UFQ224" i="22"/>
  <c r="UFR224" i="22"/>
  <c r="UFS224" i="22"/>
  <c r="UFT224" i="22"/>
  <c r="UFU224" i="22"/>
  <c r="UFV224" i="22"/>
  <c r="UFW224" i="22"/>
  <c r="UFX224" i="22"/>
  <c r="UFY224" i="22"/>
  <c r="UFZ224" i="22"/>
  <c r="UGA224" i="22"/>
  <c r="UGB224" i="22"/>
  <c r="UGC224" i="22"/>
  <c r="UGD224" i="22"/>
  <c r="UGE224" i="22"/>
  <c r="UGF224" i="22"/>
  <c r="UGG224" i="22"/>
  <c r="UGH224" i="22"/>
  <c r="UGI224" i="22"/>
  <c r="UGJ224" i="22"/>
  <c r="UGK224" i="22"/>
  <c r="UGL224" i="22"/>
  <c r="UGM224" i="22"/>
  <c r="UGN224" i="22"/>
  <c r="UGO224" i="22"/>
  <c r="UGP224" i="22"/>
  <c r="UGQ224" i="22"/>
  <c r="UGR224" i="22"/>
  <c r="UGS224" i="22"/>
  <c r="UGT224" i="22"/>
  <c r="UGU224" i="22"/>
  <c r="UGV224" i="22"/>
  <c r="UGW224" i="22"/>
  <c r="UGX224" i="22"/>
  <c r="UGY224" i="22"/>
  <c r="UGZ224" i="22"/>
  <c r="UHA224" i="22"/>
  <c r="UHB224" i="22"/>
  <c r="UHC224" i="22"/>
  <c r="UHD224" i="22"/>
  <c r="UHE224" i="22"/>
  <c r="UHF224" i="22"/>
  <c r="UHG224" i="22"/>
  <c r="UHH224" i="22"/>
  <c r="UHI224" i="22"/>
  <c r="UHJ224" i="22"/>
  <c r="UHK224" i="22"/>
  <c r="UHL224" i="22"/>
  <c r="UHM224" i="22"/>
  <c r="UHN224" i="22"/>
  <c r="UHO224" i="22"/>
  <c r="UHP224" i="22"/>
  <c r="UHQ224" i="22"/>
  <c r="UHR224" i="22"/>
  <c r="UHS224" i="22"/>
  <c r="UHT224" i="22"/>
  <c r="UHU224" i="22"/>
  <c r="UHV224" i="22"/>
  <c r="UHW224" i="22"/>
  <c r="UHX224" i="22"/>
  <c r="UHY224" i="22"/>
  <c r="UHZ224" i="22"/>
  <c r="UIA224" i="22"/>
  <c r="UIB224" i="22"/>
  <c r="UIC224" i="22"/>
  <c r="UID224" i="22"/>
  <c r="UIE224" i="22"/>
  <c r="UIF224" i="22"/>
  <c r="UIG224" i="22"/>
  <c r="UIH224" i="22"/>
  <c r="UII224" i="22"/>
  <c r="UIJ224" i="22"/>
  <c r="UIK224" i="22"/>
  <c r="UIL224" i="22"/>
  <c r="UIM224" i="22"/>
  <c r="UIN224" i="22"/>
  <c r="UIO224" i="22"/>
  <c r="UIP224" i="22"/>
  <c r="UIQ224" i="22"/>
  <c r="UIR224" i="22"/>
  <c r="UIS224" i="22"/>
  <c r="UIT224" i="22"/>
  <c r="UIU224" i="22"/>
  <c r="UIV224" i="22"/>
  <c r="UIW224" i="22"/>
  <c r="UIX224" i="22"/>
  <c r="UIY224" i="22"/>
  <c r="UIZ224" i="22"/>
  <c r="UJA224" i="22"/>
  <c r="UJB224" i="22"/>
  <c r="UJC224" i="22"/>
  <c r="UJD224" i="22"/>
  <c r="UJE224" i="22"/>
  <c r="UJF224" i="22"/>
  <c r="UJG224" i="22"/>
  <c r="UJH224" i="22"/>
  <c r="UJI224" i="22"/>
  <c r="UJJ224" i="22"/>
  <c r="UJK224" i="22"/>
  <c r="UJL224" i="22"/>
  <c r="UJM224" i="22"/>
  <c r="UJN224" i="22"/>
  <c r="UJO224" i="22"/>
  <c r="UJP224" i="22"/>
  <c r="UJQ224" i="22"/>
  <c r="UJR224" i="22"/>
  <c r="UJS224" i="22"/>
  <c r="UJT224" i="22"/>
  <c r="UJU224" i="22"/>
  <c r="UJV224" i="22"/>
  <c r="UJW224" i="22"/>
  <c r="UJX224" i="22"/>
  <c r="UJY224" i="22"/>
  <c r="UJZ224" i="22"/>
  <c r="UKA224" i="22"/>
  <c r="UKB224" i="22"/>
  <c r="UKC224" i="22"/>
  <c r="UKD224" i="22"/>
  <c r="UKE224" i="22"/>
  <c r="UKF224" i="22"/>
  <c r="UKG224" i="22"/>
  <c r="UKH224" i="22"/>
  <c r="UKI224" i="22"/>
  <c r="UKJ224" i="22"/>
  <c r="UKK224" i="22"/>
  <c r="UKL224" i="22"/>
  <c r="UKM224" i="22"/>
  <c r="UKN224" i="22"/>
  <c r="UKO224" i="22"/>
  <c r="UKP224" i="22"/>
  <c r="UKQ224" i="22"/>
  <c r="UKR224" i="22"/>
  <c r="UKS224" i="22"/>
  <c r="UKT224" i="22"/>
  <c r="UKU224" i="22"/>
  <c r="UKV224" i="22"/>
  <c r="UKW224" i="22"/>
  <c r="UKX224" i="22"/>
  <c r="UKY224" i="22"/>
  <c r="UKZ224" i="22"/>
  <c r="ULA224" i="22"/>
  <c r="ULB224" i="22"/>
  <c r="ULC224" i="22"/>
  <c r="ULD224" i="22"/>
  <c r="ULE224" i="22"/>
  <c r="ULF224" i="22"/>
  <c r="ULG224" i="22"/>
  <c r="ULH224" i="22"/>
  <c r="ULI224" i="22"/>
  <c r="ULJ224" i="22"/>
  <c r="ULK224" i="22"/>
  <c r="ULL224" i="22"/>
  <c r="ULM224" i="22"/>
  <c r="ULN224" i="22"/>
  <c r="ULO224" i="22"/>
  <c r="ULP224" i="22"/>
  <c r="ULQ224" i="22"/>
  <c r="ULR224" i="22"/>
  <c r="ULS224" i="22"/>
  <c r="ULT224" i="22"/>
  <c r="ULU224" i="22"/>
  <c r="ULV224" i="22"/>
  <c r="ULW224" i="22"/>
  <c r="ULX224" i="22"/>
  <c r="ULY224" i="22"/>
  <c r="ULZ224" i="22"/>
  <c r="UMA224" i="22"/>
  <c r="UMB224" i="22"/>
  <c r="UMC224" i="22"/>
  <c r="UMD224" i="22"/>
  <c r="UME224" i="22"/>
  <c r="UMF224" i="22"/>
  <c r="UMG224" i="22"/>
  <c r="UMH224" i="22"/>
  <c r="UMI224" i="22"/>
  <c r="UMJ224" i="22"/>
  <c r="UMK224" i="22"/>
  <c r="UML224" i="22"/>
  <c r="UMM224" i="22"/>
  <c r="UMN224" i="22"/>
  <c r="UMO224" i="22"/>
  <c r="UMP224" i="22"/>
  <c r="UMQ224" i="22"/>
  <c r="UMR224" i="22"/>
  <c r="UMS224" i="22"/>
  <c r="UMT224" i="22"/>
  <c r="UMU224" i="22"/>
  <c r="UMV224" i="22"/>
  <c r="UMW224" i="22"/>
  <c r="UMX224" i="22"/>
  <c r="UMY224" i="22"/>
  <c r="UMZ224" i="22"/>
  <c r="UNA224" i="22"/>
  <c r="UNB224" i="22"/>
  <c r="UNC224" i="22"/>
  <c r="UND224" i="22"/>
  <c r="UNE224" i="22"/>
  <c r="UNF224" i="22"/>
  <c r="UNG224" i="22"/>
  <c r="UNH224" i="22"/>
  <c r="UNI224" i="22"/>
  <c r="UNJ224" i="22"/>
  <c r="UNK224" i="22"/>
  <c r="UNL224" i="22"/>
  <c r="UNM224" i="22"/>
  <c r="UNN224" i="22"/>
  <c r="UNO224" i="22"/>
  <c r="UNP224" i="22"/>
  <c r="UNQ224" i="22"/>
  <c r="UNR224" i="22"/>
  <c r="UNS224" i="22"/>
  <c r="UNT224" i="22"/>
  <c r="UNU224" i="22"/>
  <c r="UNV224" i="22"/>
  <c r="UNW224" i="22"/>
  <c r="UNX224" i="22"/>
  <c r="UNY224" i="22"/>
  <c r="UNZ224" i="22"/>
  <c r="UOA224" i="22"/>
  <c r="UOB224" i="22"/>
  <c r="UOC224" i="22"/>
  <c r="UOD224" i="22"/>
  <c r="UOE224" i="22"/>
  <c r="UOF224" i="22"/>
  <c r="UOG224" i="22"/>
  <c r="UOH224" i="22"/>
  <c r="UOI224" i="22"/>
  <c r="UOJ224" i="22"/>
  <c r="UOK224" i="22"/>
  <c r="UOL224" i="22"/>
  <c r="UOM224" i="22"/>
  <c r="UON224" i="22"/>
  <c r="UOO224" i="22"/>
  <c r="UOP224" i="22"/>
  <c r="UOQ224" i="22"/>
  <c r="UOR224" i="22"/>
  <c r="UOS224" i="22"/>
  <c r="UOT224" i="22"/>
  <c r="UOU224" i="22"/>
  <c r="UOV224" i="22"/>
  <c r="UOW224" i="22"/>
  <c r="UOX224" i="22"/>
  <c r="UOY224" i="22"/>
  <c r="UOZ224" i="22"/>
  <c r="UPA224" i="22"/>
  <c r="UPB224" i="22"/>
  <c r="UPC224" i="22"/>
  <c r="UPD224" i="22"/>
  <c r="UPE224" i="22"/>
  <c r="UPF224" i="22"/>
  <c r="UPG224" i="22"/>
  <c r="UPH224" i="22"/>
  <c r="UPI224" i="22"/>
  <c r="UPJ224" i="22"/>
  <c r="UPK224" i="22"/>
  <c r="UPL224" i="22"/>
  <c r="UPM224" i="22"/>
  <c r="UPN224" i="22"/>
  <c r="UPO224" i="22"/>
  <c r="UPP224" i="22"/>
  <c r="UPQ224" i="22"/>
  <c r="UPR224" i="22"/>
  <c r="UPS224" i="22"/>
  <c r="UPT224" i="22"/>
  <c r="UPU224" i="22"/>
  <c r="UPV224" i="22"/>
  <c r="UPW224" i="22"/>
  <c r="UPX224" i="22"/>
  <c r="UPY224" i="22"/>
  <c r="UPZ224" i="22"/>
  <c r="UQA224" i="22"/>
  <c r="UQB224" i="22"/>
  <c r="UQC224" i="22"/>
  <c r="UQD224" i="22"/>
  <c r="UQE224" i="22"/>
  <c r="UQF224" i="22"/>
  <c r="UQG224" i="22"/>
  <c r="UQH224" i="22"/>
  <c r="UQI224" i="22"/>
  <c r="UQJ224" i="22"/>
  <c r="UQK224" i="22"/>
  <c r="UQL224" i="22"/>
  <c r="UQM224" i="22"/>
  <c r="UQN224" i="22"/>
  <c r="UQO224" i="22"/>
  <c r="UQP224" i="22"/>
  <c r="UQQ224" i="22"/>
  <c r="UQR224" i="22"/>
  <c r="UQS224" i="22"/>
  <c r="UQT224" i="22"/>
  <c r="UQU224" i="22"/>
  <c r="UQV224" i="22"/>
  <c r="UQW224" i="22"/>
  <c r="UQX224" i="22"/>
  <c r="UQY224" i="22"/>
  <c r="UQZ224" i="22"/>
  <c r="URA224" i="22"/>
  <c r="URB224" i="22"/>
  <c r="URC224" i="22"/>
  <c r="URD224" i="22"/>
  <c r="URE224" i="22"/>
  <c r="URF224" i="22"/>
  <c r="URG224" i="22"/>
  <c r="URH224" i="22"/>
  <c r="URI224" i="22"/>
  <c r="URJ224" i="22"/>
  <c r="URK224" i="22"/>
  <c r="URL224" i="22"/>
  <c r="URM224" i="22"/>
  <c r="URN224" i="22"/>
  <c r="URO224" i="22"/>
  <c r="URP224" i="22"/>
  <c r="URQ224" i="22"/>
  <c r="URR224" i="22"/>
  <c r="URS224" i="22"/>
  <c r="URT224" i="22"/>
  <c r="URU224" i="22"/>
  <c r="URV224" i="22"/>
  <c r="URW224" i="22"/>
  <c r="URX224" i="22"/>
  <c r="URY224" i="22"/>
  <c r="URZ224" i="22"/>
  <c r="USA224" i="22"/>
  <c r="USB224" i="22"/>
  <c r="USC224" i="22"/>
  <c r="USD224" i="22"/>
  <c r="USE224" i="22"/>
  <c r="USF224" i="22"/>
  <c r="USG224" i="22"/>
  <c r="USH224" i="22"/>
  <c r="USI224" i="22"/>
  <c r="USJ224" i="22"/>
  <c r="USK224" i="22"/>
  <c r="USL224" i="22"/>
  <c r="USM224" i="22"/>
  <c r="USN224" i="22"/>
  <c r="USO224" i="22"/>
  <c r="USP224" i="22"/>
  <c r="USQ224" i="22"/>
  <c r="USR224" i="22"/>
  <c r="USS224" i="22"/>
  <c r="UST224" i="22"/>
  <c r="USU224" i="22"/>
  <c r="USV224" i="22"/>
  <c r="USW224" i="22"/>
  <c r="USX224" i="22"/>
  <c r="USY224" i="22"/>
  <c r="USZ224" i="22"/>
  <c r="UTA224" i="22"/>
  <c r="UTB224" i="22"/>
  <c r="UTC224" i="22"/>
  <c r="UTD224" i="22"/>
  <c r="UTE224" i="22"/>
  <c r="UTF224" i="22"/>
  <c r="UTG224" i="22"/>
  <c r="UTH224" i="22"/>
  <c r="UTI224" i="22"/>
  <c r="UTJ224" i="22"/>
  <c r="UTK224" i="22"/>
  <c r="UTL224" i="22"/>
  <c r="UTM224" i="22"/>
  <c r="UTN224" i="22"/>
  <c r="UTO224" i="22"/>
  <c r="UTP224" i="22"/>
  <c r="UTQ224" i="22"/>
  <c r="UTR224" i="22"/>
  <c r="UTS224" i="22"/>
  <c r="UTT224" i="22"/>
  <c r="UTU224" i="22"/>
  <c r="UTV224" i="22"/>
  <c r="UTW224" i="22"/>
  <c r="UTX224" i="22"/>
  <c r="UTY224" i="22"/>
  <c r="UTZ224" i="22"/>
  <c r="UUA224" i="22"/>
  <c r="UUB224" i="22"/>
  <c r="UUC224" i="22"/>
  <c r="UUD224" i="22"/>
  <c r="UUE224" i="22"/>
  <c r="UUF224" i="22"/>
  <c r="UUG224" i="22"/>
  <c r="UUH224" i="22"/>
  <c r="UUI224" i="22"/>
  <c r="UUJ224" i="22"/>
  <c r="UUK224" i="22"/>
  <c r="UUL224" i="22"/>
  <c r="UUM224" i="22"/>
  <c r="UUN224" i="22"/>
  <c r="UUO224" i="22"/>
  <c r="UUP224" i="22"/>
  <c r="UUQ224" i="22"/>
  <c r="UUR224" i="22"/>
  <c r="UUS224" i="22"/>
  <c r="UUT224" i="22"/>
  <c r="UUU224" i="22"/>
  <c r="UUV224" i="22"/>
  <c r="UUW224" i="22"/>
  <c r="UUX224" i="22"/>
  <c r="UUY224" i="22"/>
  <c r="UUZ224" i="22"/>
  <c r="UVA224" i="22"/>
  <c r="UVB224" i="22"/>
  <c r="UVC224" i="22"/>
  <c r="UVD224" i="22"/>
  <c r="UVE224" i="22"/>
  <c r="UVF224" i="22"/>
  <c r="UVG224" i="22"/>
  <c r="UVH224" i="22"/>
  <c r="UVI224" i="22"/>
  <c r="UVJ224" i="22"/>
  <c r="UVK224" i="22"/>
  <c r="UVL224" i="22"/>
  <c r="UVM224" i="22"/>
  <c r="UVN224" i="22"/>
  <c r="UVO224" i="22"/>
  <c r="UVP224" i="22"/>
  <c r="UVQ224" i="22"/>
  <c r="UVR224" i="22"/>
  <c r="UVS224" i="22"/>
  <c r="UVT224" i="22"/>
  <c r="UVU224" i="22"/>
  <c r="UVV224" i="22"/>
  <c r="UVW224" i="22"/>
  <c r="UVX224" i="22"/>
  <c r="UVY224" i="22"/>
  <c r="UVZ224" i="22"/>
  <c r="UWA224" i="22"/>
  <c r="UWB224" i="22"/>
  <c r="UWC224" i="22"/>
  <c r="UWD224" i="22"/>
  <c r="UWE224" i="22"/>
  <c r="UWF224" i="22"/>
  <c r="UWG224" i="22"/>
  <c r="UWH224" i="22"/>
  <c r="UWI224" i="22"/>
  <c r="UWJ224" i="22"/>
  <c r="UWK224" i="22"/>
  <c r="UWL224" i="22"/>
  <c r="UWM224" i="22"/>
  <c r="UWN224" i="22"/>
  <c r="UWO224" i="22"/>
  <c r="UWP224" i="22"/>
  <c r="UWQ224" i="22"/>
  <c r="UWR224" i="22"/>
  <c r="UWS224" i="22"/>
  <c r="UWT224" i="22"/>
  <c r="UWU224" i="22"/>
  <c r="UWV224" i="22"/>
  <c r="UWW224" i="22"/>
  <c r="UWX224" i="22"/>
  <c r="UWY224" i="22"/>
  <c r="UWZ224" i="22"/>
  <c r="UXA224" i="22"/>
  <c r="UXB224" i="22"/>
  <c r="UXC224" i="22"/>
  <c r="UXD224" i="22"/>
  <c r="UXE224" i="22"/>
  <c r="UXF224" i="22"/>
  <c r="UXG224" i="22"/>
  <c r="UXH224" i="22"/>
  <c r="UXI224" i="22"/>
  <c r="UXJ224" i="22"/>
  <c r="UXK224" i="22"/>
  <c r="UXL224" i="22"/>
  <c r="UXM224" i="22"/>
  <c r="UXN224" i="22"/>
  <c r="UXO224" i="22"/>
  <c r="UXP224" i="22"/>
  <c r="UXQ224" i="22"/>
  <c r="UXR224" i="22"/>
  <c r="UXS224" i="22"/>
  <c r="UXT224" i="22"/>
  <c r="UXU224" i="22"/>
  <c r="UXV224" i="22"/>
  <c r="UXW224" i="22"/>
  <c r="UXX224" i="22"/>
  <c r="UXY224" i="22"/>
  <c r="UXZ224" i="22"/>
  <c r="UYA224" i="22"/>
  <c r="UYB224" i="22"/>
  <c r="UYC224" i="22"/>
  <c r="UYD224" i="22"/>
  <c r="UYE224" i="22"/>
  <c r="UYF224" i="22"/>
  <c r="UYG224" i="22"/>
  <c r="UYH224" i="22"/>
  <c r="UYI224" i="22"/>
  <c r="UYJ224" i="22"/>
  <c r="UYK224" i="22"/>
  <c r="UYL224" i="22"/>
  <c r="UYM224" i="22"/>
  <c r="UYN224" i="22"/>
  <c r="UYO224" i="22"/>
  <c r="UYP224" i="22"/>
  <c r="UYQ224" i="22"/>
  <c r="UYR224" i="22"/>
  <c r="UYS224" i="22"/>
  <c r="UYT224" i="22"/>
  <c r="UYU224" i="22"/>
  <c r="UYV224" i="22"/>
  <c r="UYW224" i="22"/>
  <c r="UYX224" i="22"/>
  <c r="UYY224" i="22"/>
  <c r="UYZ224" i="22"/>
  <c r="UZA224" i="22"/>
  <c r="UZB224" i="22"/>
  <c r="UZC224" i="22"/>
  <c r="UZD224" i="22"/>
  <c r="UZE224" i="22"/>
  <c r="UZF224" i="22"/>
  <c r="UZG224" i="22"/>
  <c r="UZH224" i="22"/>
  <c r="UZI224" i="22"/>
  <c r="UZJ224" i="22"/>
  <c r="UZK224" i="22"/>
  <c r="UZL224" i="22"/>
  <c r="UZM224" i="22"/>
  <c r="UZN224" i="22"/>
  <c r="UZO224" i="22"/>
  <c r="UZP224" i="22"/>
  <c r="UZQ224" i="22"/>
  <c r="UZR224" i="22"/>
  <c r="UZS224" i="22"/>
  <c r="UZT224" i="22"/>
  <c r="UZU224" i="22"/>
  <c r="UZV224" i="22"/>
  <c r="UZW224" i="22"/>
  <c r="UZX224" i="22"/>
  <c r="UZY224" i="22"/>
  <c r="UZZ224" i="22"/>
  <c r="VAA224" i="22"/>
  <c r="VAB224" i="22"/>
  <c r="VAC224" i="22"/>
  <c r="VAD224" i="22"/>
  <c r="VAE224" i="22"/>
  <c r="VAF224" i="22"/>
  <c r="VAG224" i="22"/>
  <c r="VAH224" i="22"/>
  <c r="VAI224" i="22"/>
  <c r="VAJ224" i="22"/>
  <c r="VAK224" i="22"/>
  <c r="VAL224" i="22"/>
  <c r="VAM224" i="22"/>
  <c r="VAN224" i="22"/>
  <c r="VAO224" i="22"/>
  <c r="VAP224" i="22"/>
  <c r="VAQ224" i="22"/>
  <c r="VAR224" i="22"/>
  <c r="VAS224" i="22"/>
  <c r="VAT224" i="22"/>
  <c r="VAU224" i="22"/>
  <c r="VAV224" i="22"/>
  <c r="VAW224" i="22"/>
  <c r="VAX224" i="22"/>
  <c r="VAY224" i="22"/>
  <c r="VAZ224" i="22"/>
  <c r="VBA224" i="22"/>
  <c r="VBB224" i="22"/>
  <c r="VBC224" i="22"/>
  <c r="VBD224" i="22"/>
  <c r="VBE224" i="22"/>
  <c r="VBF224" i="22"/>
  <c r="VBG224" i="22"/>
  <c r="VBH224" i="22"/>
  <c r="VBI224" i="22"/>
  <c r="VBJ224" i="22"/>
  <c r="VBK224" i="22"/>
  <c r="VBL224" i="22"/>
  <c r="VBM224" i="22"/>
  <c r="VBN224" i="22"/>
  <c r="VBO224" i="22"/>
  <c r="VBP224" i="22"/>
  <c r="VBQ224" i="22"/>
  <c r="VBR224" i="22"/>
  <c r="VBS224" i="22"/>
  <c r="VBT224" i="22"/>
  <c r="VBU224" i="22"/>
  <c r="VBV224" i="22"/>
  <c r="VBW224" i="22"/>
  <c r="VBX224" i="22"/>
  <c r="VBY224" i="22"/>
  <c r="VBZ224" i="22"/>
  <c r="VCA224" i="22"/>
  <c r="VCB224" i="22"/>
  <c r="VCC224" i="22"/>
  <c r="VCD224" i="22"/>
  <c r="VCE224" i="22"/>
  <c r="VCF224" i="22"/>
  <c r="VCG224" i="22"/>
  <c r="VCH224" i="22"/>
  <c r="VCI224" i="22"/>
  <c r="VCJ224" i="22"/>
  <c r="VCK224" i="22"/>
  <c r="VCL224" i="22"/>
  <c r="VCM224" i="22"/>
  <c r="VCN224" i="22"/>
  <c r="VCO224" i="22"/>
  <c r="VCP224" i="22"/>
  <c r="VCQ224" i="22"/>
  <c r="VCR224" i="22"/>
  <c r="VCS224" i="22"/>
  <c r="VCT224" i="22"/>
  <c r="VCU224" i="22"/>
  <c r="VCV224" i="22"/>
  <c r="VCW224" i="22"/>
  <c r="VCX224" i="22"/>
  <c r="VCY224" i="22"/>
  <c r="VCZ224" i="22"/>
  <c r="VDA224" i="22"/>
  <c r="VDB224" i="22"/>
  <c r="VDC224" i="22"/>
  <c r="VDD224" i="22"/>
  <c r="VDE224" i="22"/>
  <c r="VDF224" i="22"/>
  <c r="VDG224" i="22"/>
  <c r="VDH224" i="22"/>
  <c r="VDI224" i="22"/>
  <c r="VDJ224" i="22"/>
  <c r="VDK224" i="22"/>
  <c r="VDL224" i="22"/>
  <c r="VDM224" i="22"/>
  <c r="VDN224" i="22"/>
  <c r="VDO224" i="22"/>
  <c r="VDP224" i="22"/>
  <c r="VDQ224" i="22"/>
  <c r="VDR224" i="22"/>
  <c r="VDS224" i="22"/>
  <c r="VDT224" i="22"/>
  <c r="VDU224" i="22"/>
  <c r="VDV224" i="22"/>
  <c r="VDW224" i="22"/>
  <c r="VDX224" i="22"/>
  <c r="VDY224" i="22"/>
  <c r="VDZ224" i="22"/>
  <c r="VEA224" i="22"/>
  <c r="VEB224" i="22"/>
  <c r="VEC224" i="22"/>
  <c r="VED224" i="22"/>
  <c r="VEE224" i="22"/>
  <c r="VEF224" i="22"/>
  <c r="VEG224" i="22"/>
  <c r="VEH224" i="22"/>
  <c r="VEI224" i="22"/>
  <c r="VEJ224" i="22"/>
  <c r="VEK224" i="22"/>
  <c r="VEL224" i="22"/>
  <c r="VEM224" i="22"/>
  <c r="VEN224" i="22"/>
  <c r="VEO224" i="22"/>
  <c r="VEP224" i="22"/>
  <c r="VEQ224" i="22"/>
  <c r="VER224" i="22"/>
  <c r="VES224" i="22"/>
  <c r="VET224" i="22"/>
  <c r="VEU224" i="22"/>
  <c r="VEV224" i="22"/>
  <c r="VEW224" i="22"/>
  <c r="VEX224" i="22"/>
  <c r="VEY224" i="22"/>
  <c r="VEZ224" i="22"/>
  <c r="VFA224" i="22"/>
  <c r="VFB224" i="22"/>
  <c r="VFC224" i="22"/>
  <c r="VFD224" i="22"/>
  <c r="VFE224" i="22"/>
  <c r="VFF224" i="22"/>
  <c r="VFG224" i="22"/>
  <c r="VFH224" i="22"/>
  <c r="VFI224" i="22"/>
  <c r="VFJ224" i="22"/>
  <c r="VFK224" i="22"/>
  <c r="VFL224" i="22"/>
  <c r="VFM224" i="22"/>
  <c r="VFN224" i="22"/>
  <c r="VFO224" i="22"/>
  <c r="VFP224" i="22"/>
  <c r="VFQ224" i="22"/>
  <c r="VFR224" i="22"/>
  <c r="VFS224" i="22"/>
  <c r="VFT224" i="22"/>
  <c r="VFU224" i="22"/>
  <c r="VFV224" i="22"/>
  <c r="VFW224" i="22"/>
  <c r="VFX224" i="22"/>
  <c r="VFY224" i="22"/>
  <c r="VFZ224" i="22"/>
  <c r="VGA224" i="22"/>
  <c r="VGB224" i="22"/>
  <c r="VGC224" i="22"/>
  <c r="VGD224" i="22"/>
  <c r="VGE224" i="22"/>
  <c r="VGF224" i="22"/>
  <c r="VGG224" i="22"/>
  <c r="VGH224" i="22"/>
  <c r="VGI224" i="22"/>
  <c r="VGJ224" i="22"/>
  <c r="VGK224" i="22"/>
  <c r="VGL224" i="22"/>
  <c r="VGM224" i="22"/>
  <c r="VGN224" i="22"/>
  <c r="VGO224" i="22"/>
  <c r="VGP224" i="22"/>
  <c r="VGQ224" i="22"/>
  <c r="VGR224" i="22"/>
  <c r="VGS224" i="22"/>
  <c r="VGT224" i="22"/>
  <c r="VGU224" i="22"/>
  <c r="VGV224" i="22"/>
  <c r="VGW224" i="22"/>
  <c r="VGX224" i="22"/>
  <c r="VGY224" i="22"/>
  <c r="VGZ224" i="22"/>
  <c r="VHA224" i="22"/>
  <c r="VHB224" i="22"/>
  <c r="VHC224" i="22"/>
  <c r="VHD224" i="22"/>
  <c r="VHE224" i="22"/>
  <c r="VHF224" i="22"/>
  <c r="VHG224" i="22"/>
  <c r="VHH224" i="22"/>
  <c r="VHI224" i="22"/>
  <c r="VHJ224" i="22"/>
  <c r="VHK224" i="22"/>
  <c r="VHL224" i="22"/>
  <c r="VHM224" i="22"/>
  <c r="VHN224" i="22"/>
  <c r="VHO224" i="22"/>
  <c r="VHP224" i="22"/>
  <c r="VHQ224" i="22"/>
  <c r="VHR224" i="22"/>
  <c r="VHS224" i="22"/>
  <c r="VHT224" i="22"/>
  <c r="VHU224" i="22"/>
  <c r="VHV224" i="22"/>
  <c r="VHW224" i="22"/>
  <c r="VHX224" i="22"/>
  <c r="VHY224" i="22"/>
  <c r="VHZ224" i="22"/>
  <c r="VIA224" i="22"/>
  <c r="VIB224" i="22"/>
  <c r="VIC224" i="22"/>
  <c r="VID224" i="22"/>
  <c r="VIE224" i="22"/>
  <c r="VIF224" i="22"/>
  <c r="VIG224" i="22"/>
  <c r="VIH224" i="22"/>
  <c r="VII224" i="22"/>
  <c r="VIJ224" i="22"/>
  <c r="VIK224" i="22"/>
  <c r="VIL224" i="22"/>
  <c r="VIM224" i="22"/>
  <c r="VIN224" i="22"/>
  <c r="VIO224" i="22"/>
  <c r="VIP224" i="22"/>
  <c r="VIQ224" i="22"/>
  <c r="VIR224" i="22"/>
  <c r="VIS224" i="22"/>
  <c r="VIT224" i="22"/>
  <c r="VIU224" i="22"/>
  <c r="VIV224" i="22"/>
  <c r="VIW224" i="22"/>
  <c r="VIX224" i="22"/>
  <c r="VIY224" i="22"/>
  <c r="VIZ224" i="22"/>
  <c r="VJA224" i="22"/>
  <c r="VJB224" i="22"/>
  <c r="VJC224" i="22"/>
  <c r="VJD224" i="22"/>
  <c r="VJE224" i="22"/>
  <c r="VJF224" i="22"/>
  <c r="VJG224" i="22"/>
  <c r="VJH224" i="22"/>
  <c r="VJI224" i="22"/>
  <c r="VJJ224" i="22"/>
  <c r="VJK224" i="22"/>
  <c r="VJL224" i="22"/>
  <c r="VJM224" i="22"/>
  <c r="VJN224" i="22"/>
  <c r="VJO224" i="22"/>
  <c r="VJP224" i="22"/>
  <c r="VJQ224" i="22"/>
  <c r="VJR224" i="22"/>
  <c r="VJS224" i="22"/>
  <c r="VJT224" i="22"/>
  <c r="VJU224" i="22"/>
  <c r="VJV224" i="22"/>
  <c r="VJW224" i="22"/>
  <c r="VJX224" i="22"/>
  <c r="VJY224" i="22"/>
  <c r="VJZ224" i="22"/>
  <c r="VKA224" i="22"/>
  <c r="VKB224" i="22"/>
  <c r="VKC224" i="22"/>
  <c r="VKD224" i="22"/>
  <c r="VKE224" i="22"/>
  <c r="VKF224" i="22"/>
  <c r="VKG224" i="22"/>
  <c r="VKH224" i="22"/>
  <c r="VKI224" i="22"/>
  <c r="VKJ224" i="22"/>
  <c r="VKK224" i="22"/>
  <c r="VKL224" i="22"/>
  <c r="VKM224" i="22"/>
  <c r="VKN224" i="22"/>
  <c r="VKO224" i="22"/>
  <c r="VKP224" i="22"/>
  <c r="VKQ224" i="22"/>
  <c r="VKR224" i="22"/>
  <c r="VKS224" i="22"/>
  <c r="VKT224" i="22"/>
  <c r="VKU224" i="22"/>
  <c r="VKV224" i="22"/>
  <c r="VKW224" i="22"/>
  <c r="VKX224" i="22"/>
  <c r="VKY224" i="22"/>
  <c r="VKZ224" i="22"/>
  <c r="VLA224" i="22"/>
  <c r="VLB224" i="22"/>
  <c r="VLC224" i="22"/>
  <c r="VLD224" i="22"/>
  <c r="VLE224" i="22"/>
  <c r="VLF224" i="22"/>
  <c r="VLG224" i="22"/>
  <c r="VLH224" i="22"/>
  <c r="VLI224" i="22"/>
  <c r="VLJ224" i="22"/>
  <c r="VLK224" i="22"/>
  <c r="VLL224" i="22"/>
  <c r="VLM224" i="22"/>
  <c r="VLN224" i="22"/>
  <c r="VLO224" i="22"/>
  <c r="VLP224" i="22"/>
  <c r="VLQ224" i="22"/>
  <c r="VLR224" i="22"/>
  <c r="VLS224" i="22"/>
  <c r="VLT224" i="22"/>
  <c r="VLU224" i="22"/>
  <c r="VLV224" i="22"/>
  <c r="VLW224" i="22"/>
  <c r="VLX224" i="22"/>
  <c r="VLY224" i="22"/>
  <c r="VLZ224" i="22"/>
  <c r="VMA224" i="22"/>
  <c r="VMB224" i="22"/>
  <c r="VMC224" i="22"/>
  <c r="VMD224" i="22"/>
  <c r="VME224" i="22"/>
  <c r="VMF224" i="22"/>
  <c r="VMG224" i="22"/>
  <c r="VMH224" i="22"/>
  <c r="VMI224" i="22"/>
  <c r="VMJ224" i="22"/>
  <c r="VMK224" i="22"/>
  <c r="VML224" i="22"/>
  <c r="VMM224" i="22"/>
  <c r="VMN224" i="22"/>
  <c r="VMO224" i="22"/>
  <c r="VMP224" i="22"/>
  <c r="VMQ224" i="22"/>
  <c r="VMR224" i="22"/>
  <c r="VMS224" i="22"/>
  <c r="VMT224" i="22"/>
  <c r="VMU224" i="22"/>
  <c r="VMV224" i="22"/>
  <c r="VMW224" i="22"/>
  <c r="VMX224" i="22"/>
  <c r="VMY224" i="22"/>
  <c r="VMZ224" i="22"/>
  <c r="VNA224" i="22"/>
  <c r="VNB224" i="22"/>
  <c r="VNC224" i="22"/>
  <c r="VND224" i="22"/>
  <c r="VNE224" i="22"/>
  <c r="VNF224" i="22"/>
  <c r="VNG224" i="22"/>
  <c r="VNH224" i="22"/>
  <c r="VNI224" i="22"/>
  <c r="VNJ224" i="22"/>
  <c r="VNK224" i="22"/>
  <c r="VNL224" i="22"/>
  <c r="VNM224" i="22"/>
  <c r="VNN224" i="22"/>
  <c r="VNO224" i="22"/>
  <c r="VNP224" i="22"/>
  <c r="VNQ224" i="22"/>
  <c r="VNR224" i="22"/>
  <c r="VNS224" i="22"/>
  <c r="VNT224" i="22"/>
  <c r="VNU224" i="22"/>
  <c r="VNV224" i="22"/>
  <c r="VNW224" i="22"/>
  <c r="VNX224" i="22"/>
  <c r="VNY224" i="22"/>
  <c r="VNZ224" i="22"/>
  <c r="VOA224" i="22"/>
  <c r="VOB224" i="22"/>
  <c r="VOC224" i="22"/>
  <c r="VOD224" i="22"/>
  <c r="VOE224" i="22"/>
  <c r="VOF224" i="22"/>
  <c r="VOG224" i="22"/>
  <c r="VOH224" i="22"/>
  <c r="VOI224" i="22"/>
  <c r="VOJ224" i="22"/>
  <c r="VOK224" i="22"/>
  <c r="VOL224" i="22"/>
  <c r="VOM224" i="22"/>
  <c r="VON224" i="22"/>
  <c r="VOO224" i="22"/>
  <c r="VOP224" i="22"/>
  <c r="VOQ224" i="22"/>
  <c r="VOR224" i="22"/>
  <c r="VOS224" i="22"/>
  <c r="VOT224" i="22"/>
  <c r="VOU224" i="22"/>
  <c r="VOV224" i="22"/>
  <c r="VOW224" i="22"/>
  <c r="VOX224" i="22"/>
  <c r="VOY224" i="22"/>
  <c r="VOZ224" i="22"/>
  <c r="VPA224" i="22"/>
  <c r="VPB224" i="22"/>
  <c r="VPC224" i="22"/>
  <c r="VPD224" i="22"/>
  <c r="VPE224" i="22"/>
  <c r="VPF224" i="22"/>
  <c r="VPG224" i="22"/>
  <c r="VPH224" i="22"/>
  <c r="VPI224" i="22"/>
  <c r="VPJ224" i="22"/>
  <c r="VPK224" i="22"/>
  <c r="VPL224" i="22"/>
  <c r="VPM224" i="22"/>
  <c r="VPN224" i="22"/>
  <c r="VPO224" i="22"/>
  <c r="VPP224" i="22"/>
  <c r="VPQ224" i="22"/>
  <c r="VPR224" i="22"/>
  <c r="VPS224" i="22"/>
  <c r="VPT224" i="22"/>
  <c r="VPU224" i="22"/>
  <c r="VPV224" i="22"/>
  <c r="VPW224" i="22"/>
  <c r="VPX224" i="22"/>
  <c r="VPY224" i="22"/>
  <c r="VPZ224" i="22"/>
  <c r="VQA224" i="22"/>
  <c r="VQB224" i="22"/>
  <c r="VQC224" i="22"/>
  <c r="VQD224" i="22"/>
  <c r="VQE224" i="22"/>
  <c r="VQF224" i="22"/>
  <c r="VQG224" i="22"/>
  <c r="VQH224" i="22"/>
  <c r="VQI224" i="22"/>
  <c r="VQJ224" i="22"/>
  <c r="VQK224" i="22"/>
  <c r="VQL224" i="22"/>
  <c r="VQM224" i="22"/>
  <c r="VQN224" i="22"/>
  <c r="VQO224" i="22"/>
  <c r="VQP224" i="22"/>
  <c r="VQQ224" i="22"/>
  <c r="VQR224" i="22"/>
  <c r="VQS224" i="22"/>
  <c r="VQT224" i="22"/>
  <c r="VQU224" i="22"/>
  <c r="VQV224" i="22"/>
  <c r="VQW224" i="22"/>
  <c r="VQX224" i="22"/>
  <c r="VQY224" i="22"/>
  <c r="VQZ224" i="22"/>
  <c r="VRA224" i="22"/>
  <c r="VRB224" i="22"/>
  <c r="VRC224" i="22"/>
  <c r="VRD224" i="22"/>
  <c r="VRE224" i="22"/>
  <c r="VRF224" i="22"/>
  <c r="VRG224" i="22"/>
  <c r="VRH224" i="22"/>
  <c r="VRI224" i="22"/>
  <c r="VRJ224" i="22"/>
  <c r="VRK224" i="22"/>
  <c r="VRL224" i="22"/>
  <c r="VRM224" i="22"/>
  <c r="VRN224" i="22"/>
  <c r="VRO224" i="22"/>
  <c r="VRP224" i="22"/>
  <c r="VRQ224" i="22"/>
  <c r="VRR224" i="22"/>
  <c r="VRS224" i="22"/>
  <c r="VRT224" i="22"/>
  <c r="VRU224" i="22"/>
  <c r="VRV224" i="22"/>
  <c r="VRW224" i="22"/>
  <c r="VRX224" i="22"/>
  <c r="VRY224" i="22"/>
  <c r="VRZ224" i="22"/>
  <c r="VSA224" i="22"/>
  <c r="VSB224" i="22"/>
  <c r="VSC224" i="22"/>
  <c r="VSD224" i="22"/>
  <c r="VSE224" i="22"/>
  <c r="VSF224" i="22"/>
  <c r="VSG224" i="22"/>
  <c r="VSH224" i="22"/>
  <c r="VSI224" i="22"/>
  <c r="VSJ224" i="22"/>
  <c r="VSK224" i="22"/>
  <c r="VSL224" i="22"/>
  <c r="VSM224" i="22"/>
  <c r="VSN224" i="22"/>
  <c r="VSO224" i="22"/>
  <c r="VSP224" i="22"/>
  <c r="VSQ224" i="22"/>
  <c r="VSR224" i="22"/>
  <c r="VSS224" i="22"/>
  <c r="VST224" i="22"/>
  <c r="VSU224" i="22"/>
  <c r="VSV224" i="22"/>
  <c r="VSW224" i="22"/>
  <c r="VSX224" i="22"/>
  <c r="VSY224" i="22"/>
  <c r="VSZ224" i="22"/>
  <c r="VTA224" i="22"/>
  <c r="VTB224" i="22"/>
  <c r="VTC224" i="22"/>
  <c r="VTD224" i="22"/>
  <c r="VTE224" i="22"/>
  <c r="VTF224" i="22"/>
  <c r="VTG224" i="22"/>
  <c r="VTH224" i="22"/>
  <c r="VTI224" i="22"/>
  <c r="VTJ224" i="22"/>
  <c r="VTK224" i="22"/>
  <c r="VTL224" i="22"/>
  <c r="VTM224" i="22"/>
  <c r="VTN224" i="22"/>
  <c r="VTO224" i="22"/>
  <c r="VTP224" i="22"/>
  <c r="VTQ224" i="22"/>
  <c r="VTR224" i="22"/>
  <c r="VTS224" i="22"/>
  <c r="VTT224" i="22"/>
  <c r="VTU224" i="22"/>
  <c r="VTV224" i="22"/>
  <c r="VTW224" i="22"/>
  <c r="VTX224" i="22"/>
  <c r="VTY224" i="22"/>
  <c r="VTZ224" i="22"/>
  <c r="VUA224" i="22"/>
  <c r="VUB224" i="22"/>
  <c r="VUC224" i="22"/>
  <c r="VUD224" i="22"/>
  <c r="VUE224" i="22"/>
  <c r="VUF224" i="22"/>
  <c r="VUG224" i="22"/>
  <c r="VUH224" i="22"/>
  <c r="VUI224" i="22"/>
  <c r="VUJ224" i="22"/>
  <c r="VUK224" i="22"/>
  <c r="VUL224" i="22"/>
  <c r="VUM224" i="22"/>
  <c r="VUN224" i="22"/>
  <c r="VUO224" i="22"/>
  <c r="VUP224" i="22"/>
  <c r="VUQ224" i="22"/>
  <c r="VUR224" i="22"/>
  <c r="VUS224" i="22"/>
  <c r="VUT224" i="22"/>
  <c r="VUU224" i="22"/>
  <c r="VUV224" i="22"/>
  <c r="VUW224" i="22"/>
  <c r="VUX224" i="22"/>
  <c r="VUY224" i="22"/>
  <c r="VUZ224" i="22"/>
  <c r="VVA224" i="22"/>
  <c r="VVB224" i="22"/>
  <c r="VVC224" i="22"/>
  <c r="VVD224" i="22"/>
  <c r="VVE224" i="22"/>
  <c r="VVF224" i="22"/>
  <c r="VVG224" i="22"/>
  <c r="VVH224" i="22"/>
  <c r="VVI224" i="22"/>
  <c r="VVJ224" i="22"/>
  <c r="VVK224" i="22"/>
  <c r="VVL224" i="22"/>
  <c r="VVM224" i="22"/>
  <c r="VVN224" i="22"/>
  <c r="VVO224" i="22"/>
  <c r="VVP224" i="22"/>
  <c r="VVQ224" i="22"/>
  <c r="VVR224" i="22"/>
  <c r="VVS224" i="22"/>
  <c r="VVT224" i="22"/>
  <c r="VVU224" i="22"/>
  <c r="VVV224" i="22"/>
  <c r="VVW224" i="22"/>
  <c r="VVX224" i="22"/>
  <c r="VVY224" i="22"/>
  <c r="VVZ224" i="22"/>
  <c r="VWA224" i="22"/>
  <c r="VWB224" i="22"/>
  <c r="VWC224" i="22"/>
  <c r="VWD224" i="22"/>
  <c r="VWE224" i="22"/>
  <c r="VWF224" i="22"/>
  <c r="VWG224" i="22"/>
  <c r="VWH224" i="22"/>
  <c r="VWI224" i="22"/>
  <c r="VWJ224" i="22"/>
  <c r="VWK224" i="22"/>
  <c r="VWL224" i="22"/>
  <c r="VWM224" i="22"/>
  <c r="VWN224" i="22"/>
  <c r="VWO224" i="22"/>
  <c r="VWP224" i="22"/>
  <c r="VWQ224" i="22"/>
  <c r="VWR224" i="22"/>
  <c r="VWS224" i="22"/>
  <c r="VWT224" i="22"/>
  <c r="VWU224" i="22"/>
  <c r="VWV224" i="22"/>
  <c r="VWW224" i="22"/>
  <c r="VWX224" i="22"/>
  <c r="VWY224" i="22"/>
  <c r="VWZ224" i="22"/>
  <c r="VXA224" i="22"/>
  <c r="VXB224" i="22"/>
  <c r="VXC224" i="22"/>
  <c r="VXD224" i="22"/>
  <c r="VXE224" i="22"/>
  <c r="VXF224" i="22"/>
  <c r="VXG224" i="22"/>
  <c r="VXH224" i="22"/>
  <c r="VXI224" i="22"/>
  <c r="VXJ224" i="22"/>
  <c r="VXK224" i="22"/>
  <c r="VXL224" i="22"/>
  <c r="VXM224" i="22"/>
  <c r="VXN224" i="22"/>
  <c r="VXO224" i="22"/>
  <c r="VXP224" i="22"/>
  <c r="VXQ224" i="22"/>
  <c r="VXR224" i="22"/>
  <c r="VXS224" i="22"/>
  <c r="VXT224" i="22"/>
  <c r="VXU224" i="22"/>
  <c r="VXV224" i="22"/>
  <c r="VXW224" i="22"/>
  <c r="VXX224" i="22"/>
  <c r="VXY224" i="22"/>
  <c r="VXZ224" i="22"/>
  <c r="VYA224" i="22"/>
  <c r="VYB224" i="22"/>
  <c r="VYC224" i="22"/>
  <c r="VYD224" i="22"/>
  <c r="VYE224" i="22"/>
  <c r="VYF224" i="22"/>
  <c r="VYG224" i="22"/>
  <c r="VYH224" i="22"/>
  <c r="VYI224" i="22"/>
  <c r="VYJ224" i="22"/>
  <c r="VYK224" i="22"/>
  <c r="VYL224" i="22"/>
  <c r="VYM224" i="22"/>
  <c r="VYN224" i="22"/>
  <c r="VYO224" i="22"/>
  <c r="VYP224" i="22"/>
  <c r="VYQ224" i="22"/>
  <c r="VYR224" i="22"/>
  <c r="VYS224" i="22"/>
  <c r="VYT224" i="22"/>
  <c r="VYU224" i="22"/>
  <c r="VYV224" i="22"/>
  <c r="VYW224" i="22"/>
  <c r="VYX224" i="22"/>
  <c r="VYY224" i="22"/>
  <c r="VYZ224" i="22"/>
  <c r="VZA224" i="22"/>
  <c r="VZB224" i="22"/>
  <c r="VZC224" i="22"/>
  <c r="VZD224" i="22"/>
  <c r="VZE224" i="22"/>
  <c r="VZF224" i="22"/>
  <c r="VZG224" i="22"/>
  <c r="VZH224" i="22"/>
  <c r="VZI224" i="22"/>
  <c r="VZJ224" i="22"/>
  <c r="VZK224" i="22"/>
  <c r="VZL224" i="22"/>
  <c r="VZM224" i="22"/>
  <c r="VZN224" i="22"/>
  <c r="VZO224" i="22"/>
  <c r="VZP224" i="22"/>
  <c r="VZQ224" i="22"/>
  <c r="VZR224" i="22"/>
  <c r="VZS224" i="22"/>
  <c r="VZT224" i="22"/>
  <c r="VZU224" i="22"/>
  <c r="VZV224" i="22"/>
  <c r="VZW224" i="22"/>
  <c r="VZX224" i="22"/>
  <c r="VZY224" i="22"/>
  <c r="VZZ224" i="22"/>
  <c r="WAA224" i="22"/>
  <c r="WAB224" i="22"/>
  <c r="WAC224" i="22"/>
  <c r="WAD224" i="22"/>
  <c r="WAE224" i="22"/>
  <c r="WAF224" i="22"/>
  <c r="WAG224" i="22"/>
  <c r="WAH224" i="22"/>
  <c r="WAI224" i="22"/>
  <c r="WAJ224" i="22"/>
  <c r="WAK224" i="22"/>
  <c r="WAL224" i="22"/>
  <c r="WAM224" i="22"/>
  <c r="WAN224" i="22"/>
  <c r="WAO224" i="22"/>
  <c r="WAP224" i="22"/>
  <c r="WAQ224" i="22"/>
  <c r="WAR224" i="22"/>
  <c r="WAS224" i="22"/>
  <c r="WAT224" i="22"/>
  <c r="WAU224" i="22"/>
  <c r="WAV224" i="22"/>
  <c r="WAW224" i="22"/>
  <c r="WAX224" i="22"/>
  <c r="WAY224" i="22"/>
  <c r="WAZ224" i="22"/>
  <c r="WBA224" i="22"/>
  <c r="WBB224" i="22"/>
  <c r="WBC224" i="22"/>
  <c r="WBD224" i="22"/>
  <c r="WBE224" i="22"/>
  <c r="WBF224" i="22"/>
  <c r="WBG224" i="22"/>
  <c r="WBH224" i="22"/>
  <c r="WBI224" i="22"/>
  <c r="WBJ224" i="22"/>
  <c r="WBK224" i="22"/>
  <c r="WBL224" i="22"/>
  <c r="WBM224" i="22"/>
  <c r="WBN224" i="22"/>
  <c r="WBO224" i="22"/>
  <c r="WBP224" i="22"/>
  <c r="WBQ224" i="22"/>
  <c r="WBR224" i="22"/>
  <c r="WBS224" i="22"/>
  <c r="WBT224" i="22"/>
  <c r="WBU224" i="22"/>
  <c r="WBV224" i="22"/>
  <c r="WBW224" i="22"/>
  <c r="WBX224" i="22"/>
  <c r="WBY224" i="22"/>
  <c r="WBZ224" i="22"/>
  <c r="WCA224" i="22"/>
  <c r="WCB224" i="22"/>
  <c r="WCC224" i="22"/>
  <c r="WCD224" i="22"/>
  <c r="WCE224" i="22"/>
  <c r="WCF224" i="22"/>
  <c r="WCG224" i="22"/>
  <c r="WCH224" i="22"/>
  <c r="WCI224" i="22"/>
  <c r="WCJ224" i="22"/>
  <c r="WCK224" i="22"/>
  <c r="WCL224" i="22"/>
  <c r="WCM224" i="22"/>
  <c r="WCN224" i="22"/>
  <c r="WCO224" i="22"/>
  <c r="WCP224" i="22"/>
  <c r="WCQ224" i="22"/>
  <c r="WCR224" i="22"/>
  <c r="WCS224" i="22"/>
  <c r="WCT224" i="22"/>
  <c r="WCU224" i="22"/>
  <c r="WCV224" i="22"/>
  <c r="WCW224" i="22"/>
  <c r="WCX224" i="22"/>
  <c r="WCY224" i="22"/>
  <c r="WCZ224" i="22"/>
  <c r="WDA224" i="22"/>
  <c r="WDB224" i="22"/>
  <c r="WDC224" i="22"/>
  <c r="WDD224" i="22"/>
  <c r="WDE224" i="22"/>
  <c r="WDF224" i="22"/>
  <c r="WDG224" i="22"/>
  <c r="WDH224" i="22"/>
  <c r="WDI224" i="22"/>
  <c r="WDJ224" i="22"/>
  <c r="WDK224" i="22"/>
  <c r="WDL224" i="22"/>
  <c r="WDM224" i="22"/>
  <c r="WDN224" i="22"/>
  <c r="WDO224" i="22"/>
  <c r="WDP224" i="22"/>
  <c r="WDQ224" i="22"/>
  <c r="WDR224" i="22"/>
  <c r="WDS224" i="22"/>
  <c r="WDT224" i="22"/>
  <c r="WDU224" i="22"/>
  <c r="WDV224" i="22"/>
  <c r="WDW224" i="22"/>
  <c r="WDX224" i="22"/>
  <c r="WDY224" i="22"/>
  <c r="WDZ224" i="22"/>
  <c r="WEA224" i="22"/>
  <c r="WEB224" i="22"/>
  <c r="WEC224" i="22"/>
  <c r="WED224" i="22"/>
  <c r="WEE224" i="22"/>
  <c r="WEF224" i="22"/>
  <c r="WEG224" i="22"/>
  <c r="WEH224" i="22"/>
  <c r="WEI224" i="22"/>
  <c r="WEJ224" i="22"/>
  <c r="WEK224" i="22"/>
  <c r="WEL224" i="22"/>
  <c r="WEM224" i="22"/>
  <c r="WEN224" i="22"/>
  <c r="WEO224" i="22"/>
  <c r="WEP224" i="22"/>
  <c r="WEQ224" i="22"/>
  <c r="WER224" i="22"/>
  <c r="WES224" i="22"/>
  <c r="WET224" i="22"/>
  <c r="WEU224" i="22"/>
  <c r="WEV224" i="22"/>
  <c r="WEW224" i="22"/>
  <c r="WEX224" i="22"/>
  <c r="WEY224" i="22"/>
  <c r="WEZ224" i="22"/>
  <c r="WFA224" i="22"/>
  <c r="WFB224" i="22"/>
  <c r="WFC224" i="22"/>
  <c r="WFD224" i="22"/>
  <c r="WFE224" i="22"/>
  <c r="WFF224" i="22"/>
  <c r="WFG224" i="22"/>
  <c r="WFH224" i="22"/>
  <c r="WFI224" i="22"/>
  <c r="WFJ224" i="22"/>
  <c r="WFK224" i="22"/>
  <c r="WFL224" i="22"/>
  <c r="WFM224" i="22"/>
  <c r="WFN224" i="22"/>
  <c r="WFO224" i="22"/>
  <c r="WFP224" i="22"/>
  <c r="WFQ224" i="22"/>
  <c r="WFR224" i="22"/>
  <c r="WFS224" i="22"/>
  <c r="WFT224" i="22"/>
  <c r="WFU224" i="22"/>
  <c r="WFV224" i="22"/>
  <c r="WFW224" i="22"/>
  <c r="WFX224" i="22"/>
  <c r="WFY224" i="22"/>
  <c r="WFZ224" i="22"/>
  <c r="WGA224" i="22"/>
  <c r="WGB224" i="22"/>
  <c r="WGC224" i="22"/>
  <c r="WGD224" i="22"/>
  <c r="WGE224" i="22"/>
  <c r="WGF224" i="22"/>
  <c r="WGG224" i="22"/>
  <c r="WGH224" i="22"/>
  <c r="WGI224" i="22"/>
  <c r="WGJ224" i="22"/>
  <c r="WGK224" i="22"/>
  <c r="WGL224" i="22"/>
  <c r="WGM224" i="22"/>
  <c r="WGN224" i="22"/>
  <c r="WGO224" i="22"/>
  <c r="WGP224" i="22"/>
  <c r="WGQ224" i="22"/>
  <c r="WGR224" i="22"/>
  <c r="WGS224" i="22"/>
  <c r="WGT224" i="22"/>
  <c r="WGU224" i="22"/>
  <c r="WGV224" i="22"/>
  <c r="WGW224" i="22"/>
  <c r="WGX224" i="22"/>
  <c r="WGY224" i="22"/>
  <c r="WGZ224" i="22"/>
  <c r="WHA224" i="22"/>
  <c r="WHB224" i="22"/>
  <c r="WHC224" i="22"/>
  <c r="WHD224" i="22"/>
  <c r="WHE224" i="22"/>
  <c r="WHF224" i="22"/>
  <c r="WHG224" i="22"/>
  <c r="WHH224" i="22"/>
  <c r="WHI224" i="22"/>
  <c r="WHJ224" i="22"/>
  <c r="WHK224" i="22"/>
  <c r="WHL224" i="22"/>
  <c r="WHM224" i="22"/>
  <c r="WHN224" i="22"/>
  <c r="WHO224" i="22"/>
  <c r="WHP224" i="22"/>
  <c r="WHQ224" i="22"/>
  <c r="WHR224" i="22"/>
  <c r="WHS224" i="22"/>
  <c r="WHT224" i="22"/>
  <c r="WHU224" i="22"/>
  <c r="WHV224" i="22"/>
  <c r="WHW224" i="22"/>
  <c r="WHX224" i="22"/>
  <c r="WHY224" i="22"/>
  <c r="WHZ224" i="22"/>
  <c r="WIA224" i="22"/>
  <c r="WIB224" i="22"/>
  <c r="WIC224" i="22"/>
  <c r="WID224" i="22"/>
  <c r="WIE224" i="22"/>
  <c r="WIF224" i="22"/>
  <c r="WIG224" i="22"/>
  <c r="WIH224" i="22"/>
  <c r="WII224" i="22"/>
  <c r="WIJ224" i="22"/>
  <c r="WIK224" i="22"/>
  <c r="WIL224" i="22"/>
  <c r="WIM224" i="22"/>
  <c r="WIN224" i="22"/>
  <c r="WIO224" i="22"/>
  <c r="WIP224" i="22"/>
  <c r="WIQ224" i="22"/>
  <c r="WIR224" i="22"/>
  <c r="WIS224" i="22"/>
  <c r="WIT224" i="22"/>
  <c r="WIU224" i="22"/>
  <c r="WIV224" i="22"/>
  <c r="WIW224" i="22"/>
  <c r="WIX224" i="22"/>
  <c r="WIY224" i="22"/>
  <c r="WIZ224" i="22"/>
  <c r="WJA224" i="22"/>
  <c r="WJB224" i="22"/>
  <c r="WJC224" i="22"/>
  <c r="WJD224" i="22"/>
  <c r="WJE224" i="22"/>
  <c r="WJF224" i="22"/>
  <c r="WJG224" i="22"/>
  <c r="WJH224" i="22"/>
  <c r="WJI224" i="22"/>
  <c r="WJJ224" i="22"/>
  <c r="WJK224" i="22"/>
  <c r="WJL224" i="22"/>
  <c r="WJM224" i="22"/>
  <c r="WJN224" i="22"/>
  <c r="WJO224" i="22"/>
  <c r="WJP224" i="22"/>
  <c r="WJQ224" i="22"/>
  <c r="WJR224" i="22"/>
  <c r="WJS224" i="22"/>
  <c r="WJT224" i="22"/>
  <c r="WJU224" i="22"/>
  <c r="WJV224" i="22"/>
  <c r="WJW224" i="22"/>
  <c r="WJX224" i="22"/>
  <c r="WJY224" i="22"/>
  <c r="WJZ224" i="22"/>
  <c r="WKA224" i="22"/>
  <c r="WKB224" i="22"/>
  <c r="WKC224" i="22"/>
  <c r="WKD224" i="22"/>
  <c r="WKE224" i="22"/>
  <c r="WKF224" i="22"/>
  <c r="WKG224" i="22"/>
  <c r="WKH224" i="22"/>
  <c r="WKI224" i="22"/>
  <c r="WKJ224" i="22"/>
  <c r="WKK224" i="22"/>
  <c r="WKL224" i="22"/>
  <c r="WKM224" i="22"/>
  <c r="WKN224" i="22"/>
  <c r="WKO224" i="22"/>
  <c r="WKP224" i="22"/>
  <c r="WKQ224" i="22"/>
  <c r="WKR224" i="22"/>
  <c r="WKS224" i="22"/>
  <c r="WKT224" i="22"/>
  <c r="WKU224" i="22"/>
  <c r="WKV224" i="22"/>
  <c r="WKW224" i="22"/>
  <c r="WKX224" i="22"/>
  <c r="WKY224" i="22"/>
  <c r="WKZ224" i="22"/>
  <c r="WLA224" i="22"/>
  <c r="WLB224" i="22"/>
  <c r="WLC224" i="22"/>
  <c r="WLD224" i="22"/>
  <c r="WLE224" i="22"/>
  <c r="WLF224" i="22"/>
  <c r="WLG224" i="22"/>
  <c r="WLH224" i="22"/>
  <c r="WLI224" i="22"/>
  <c r="WLJ224" i="22"/>
  <c r="WLK224" i="22"/>
  <c r="WLL224" i="22"/>
  <c r="WLM224" i="22"/>
  <c r="WLN224" i="22"/>
  <c r="WLO224" i="22"/>
  <c r="WLP224" i="22"/>
  <c r="WLQ224" i="22"/>
  <c r="WLR224" i="22"/>
  <c r="WLS224" i="22"/>
  <c r="WLT224" i="22"/>
  <c r="WLU224" i="22"/>
  <c r="WLV224" i="22"/>
  <c r="WLW224" i="22"/>
  <c r="WLX224" i="22"/>
  <c r="WLY224" i="22"/>
  <c r="WLZ224" i="22"/>
  <c r="WMA224" i="22"/>
  <c r="WMB224" i="22"/>
  <c r="WMC224" i="22"/>
  <c r="WMD224" i="22"/>
  <c r="WME224" i="22"/>
  <c r="WMF224" i="22"/>
  <c r="WMG224" i="22"/>
  <c r="WMH224" i="22"/>
  <c r="WMI224" i="22"/>
  <c r="WMJ224" i="22"/>
  <c r="WMK224" i="22"/>
  <c r="WML224" i="22"/>
  <c r="WMM224" i="22"/>
  <c r="WMN224" i="22"/>
  <c r="WMO224" i="22"/>
  <c r="WMP224" i="22"/>
  <c r="WMQ224" i="22"/>
  <c r="WMR224" i="22"/>
  <c r="WMS224" i="22"/>
  <c r="WMT224" i="22"/>
  <c r="WMU224" i="22"/>
  <c r="WMV224" i="22"/>
  <c r="WMW224" i="22"/>
  <c r="WMX224" i="22"/>
  <c r="WMY224" i="22"/>
  <c r="WMZ224" i="22"/>
  <c r="WNA224" i="22"/>
  <c r="WNB224" i="22"/>
  <c r="WNC224" i="22"/>
  <c r="WND224" i="22"/>
  <c r="WNE224" i="22"/>
  <c r="WNF224" i="22"/>
  <c r="WNG224" i="22"/>
  <c r="WNH224" i="22"/>
  <c r="WNI224" i="22"/>
  <c r="WNJ224" i="22"/>
  <c r="WNK224" i="22"/>
  <c r="WNL224" i="22"/>
  <c r="WNM224" i="22"/>
  <c r="WNN224" i="22"/>
  <c r="WNO224" i="22"/>
  <c r="WNP224" i="22"/>
  <c r="WNQ224" i="22"/>
  <c r="WNR224" i="22"/>
  <c r="WNS224" i="22"/>
  <c r="WNT224" i="22"/>
  <c r="WNU224" i="22"/>
  <c r="WNV224" i="22"/>
  <c r="WNW224" i="22"/>
  <c r="WNX224" i="22"/>
  <c r="WNY224" i="22"/>
  <c r="WNZ224" i="22"/>
  <c r="WOA224" i="22"/>
  <c r="WOB224" i="22"/>
  <c r="WOC224" i="22"/>
  <c r="WOD224" i="22"/>
  <c r="WOE224" i="22"/>
  <c r="WOF224" i="22"/>
  <c r="WOG224" i="22"/>
  <c r="WOH224" i="22"/>
  <c r="WOI224" i="22"/>
  <c r="WOJ224" i="22"/>
  <c r="WOK224" i="22"/>
  <c r="WOL224" i="22"/>
  <c r="WOM224" i="22"/>
  <c r="WON224" i="22"/>
  <c r="WOO224" i="22"/>
  <c r="WOP224" i="22"/>
  <c r="WOQ224" i="22"/>
  <c r="WOR224" i="22"/>
  <c r="WOS224" i="22"/>
  <c r="WOT224" i="22"/>
  <c r="WOU224" i="22"/>
  <c r="WOV224" i="22"/>
  <c r="WOW224" i="22"/>
  <c r="WOX224" i="22"/>
  <c r="WOY224" i="22"/>
  <c r="WOZ224" i="22"/>
  <c r="WPA224" i="22"/>
  <c r="WPB224" i="22"/>
  <c r="WPC224" i="22"/>
  <c r="WPD224" i="22"/>
  <c r="WPE224" i="22"/>
  <c r="WPF224" i="22"/>
  <c r="WPG224" i="22"/>
  <c r="WPH224" i="22"/>
  <c r="WPI224" i="22"/>
  <c r="WPJ224" i="22"/>
  <c r="WPK224" i="22"/>
  <c r="WPL224" i="22"/>
  <c r="WPM224" i="22"/>
  <c r="WPN224" i="22"/>
  <c r="WPO224" i="22"/>
  <c r="WPP224" i="22"/>
  <c r="WPQ224" i="22"/>
  <c r="WPR224" i="22"/>
  <c r="WPS224" i="22"/>
  <c r="WPT224" i="22"/>
  <c r="WPU224" i="22"/>
  <c r="WPV224" i="22"/>
  <c r="WPW224" i="22"/>
  <c r="WPX224" i="22"/>
  <c r="WPY224" i="22"/>
  <c r="WPZ224" i="22"/>
  <c r="WQA224" i="22"/>
  <c r="WQB224" i="22"/>
  <c r="WQC224" i="22"/>
  <c r="WQD224" i="22"/>
  <c r="WQE224" i="22"/>
  <c r="WQF224" i="22"/>
  <c r="WQG224" i="22"/>
  <c r="WQH224" i="22"/>
  <c r="WQI224" i="22"/>
  <c r="WQJ224" i="22"/>
  <c r="WQK224" i="22"/>
  <c r="WQL224" i="22"/>
  <c r="WQM224" i="22"/>
  <c r="WQN224" i="22"/>
  <c r="WQO224" i="22"/>
  <c r="WQP224" i="22"/>
  <c r="WQQ224" i="22"/>
  <c r="WQR224" i="22"/>
  <c r="WQS224" i="22"/>
  <c r="WQT224" i="22"/>
  <c r="WQU224" i="22"/>
  <c r="WQV224" i="22"/>
  <c r="WQW224" i="22"/>
  <c r="WQX224" i="22"/>
  <c r="WQY224" i="22"/>
  <c r="WQZ224" i="22"/>
  <c r="WRA224" i="22"/>
  <c r="WRB224" i="22"/>
  <c r="WRC224" i="22"/>
  <c r="WRD224" i="22"/>
  <c r="WRE224" i="22"/>
  <c r="WRF224" i="22"/>
  <c r="WRG224" i="22"/>
  <c r="WRH224" i="22"/>
  <c r="WRI224" i="22"/>
  <c r="WRJ224" i="22"/>
  <c r="WRK224" i="22"/>
  <c r="WRL224" i="22"/>
  <c r="WRM224" i="22"/>
  <c r="WRN224" i="22"/>
  <c r="WRO224" i="22"/>
  <c r="WRP224" i="22"/>
  <c r="WRQ224" i="22"/>
  <c r="WRR224" i="22"/>
  <c r="WRS224" i="22"/>
  <c r="WRT224" i="22"/>
  <c r="WRU224" i="22"/>
  <c r="WRV224" i="22"/>
  <c r="WRW224" i="22"/>
  <c r="WRX224" i="22"/>
  <c r="WRY224" i="22"/>
  <c r="WRZ224" i="22"/>
  <c r="WSA224" i="22"/>
  <c r="WSB224" i="22"/>
  <c r="WSC224" i="22"/>
  <c r="WSD224" i="22"/>
  <c r="WSE224" i="22"/>
  <c r="WSF224" i="22"/>
  <c r="WSG224" i="22"/>
  <c r="WSH224" i="22"/>
  <c r="WSI224" i="22"/>
  <c r="WSJ224" i="22"/>
  <c r="WSK224" i="22"/>
  <c r="WSL224" i="22"/>
  <c r="WSM224" i="22"/>
  <c r="WSN224" i="22"/>
  <c r="WSO224" i="22"/>
  <c r="WSP224" i="22"/>
  <c r="WSQ224" i="22"/>
  <c r="WSR224" i="22"/>
  <c r="WSS224" i="22"/>
  <c r="WST224" i="22"/>
  <c r="WSU224" i="22"/>
  <c r="WSV224" i="22"/>
  <c r="WSW224" i="22"/>
  <c r="WSX224" i="22"/>
  <c r="WSY224" i="22"/>
  <c r="WSZ224" i="22"/>
  <c r="WTA224" i="22"/>
  <c r="WTB224" i="22"/>
  <c r="WTC224" i="22"/>
  <c r="WTD224" i="22"/>
  <c r="WTE224" i="22"/>
  <c r="WTF224" i="22"/>
  <c r="WTG224" i="22"/>
  <c r="WTH224" i="22"/>
  <c r="WTI224" i="22"/>
  <c r="WTJ224" i="22"/>
  <c r="WTK224" i="22"/>
  <c r="WTL224" i="22"/>
  <c r="WTM224" i="22"/>
  <c r="WTN224" i="22"/>
  <c r="WTO224" i="22"/>
  <c r="WTP224" i="22"/>
  <c r="WTQ224" i="22"/>
  <c r="WTR224" i="22"/>
  <c r="WTS224" i="22"/>
  <c r="WTT224" i="22"/>
  <c r="WTU224" i="22"/>
  <c r="WTV224" i="22"/>
  <c r="WTW224" i="22"/>
  <c r="WTX224" i="22"/>
  <c r="WTY224" i="22"/>
  <c r="WTZ224" i="22"/>
  <c r="WUA224" i="22"/>
  <c r="WUB224" i="22"/>
  <c r="WUC224" i="22"/>
  <c r="WUD224" i="22"/>
  <c r="WUE224" i="22"/>
  <c r="WUF224" i="22"/>
  <c r="WUG224" i="22"/>
  <c r="WUH224" i="22"/>
  <c r="WUI224" i="22"/>
  <c r="WUJ224" i="22"/>
  <c r="WUK224" i="22"/>
  <c r="WUL224" i="22"/>
  <c r="WUM224" i="22"/>
  <c r="WUN224" i="22"/>
  <c r="WUO224" i="22"/>
  <c r="WUP224" i="22"/>
  <c r="WUQ224" i="22"/>
  <c r="WUR224" i="22"/>
  <c r="WUS224" i="22"/>
  <c r="WUT224" i="22"/>
  <c r="WUU224" i="22"/>
  <c r="WUV224" i="22"/>
  <c r="WUW224" i="22"/>
  <c r="WUX224" i="22"/>
  <c r="WUY224" i="22"/>
  <c r="WUZ224" i="22"/>
  <c r="WVA224" i="22"/>
  <c r="WVB224" i="22"/>
  <c r="WVC224" i="22"/>
  <c r="WVD224" i="22"/>
  <c r="WVE224" i="22"/>
  <c r="WVF224" i="22"/>
  <c r="WVG224" i="22"/>
  <c r="WVH224" i="22"/>
  <c r="WVI224" i="22"/>
  <c r="WVJ224" i="22"/>
  <c r="WVK224" i="22"/>
  <c r="WVL224" i="22"/>
  <c r="WVM224" i="22"/>
  <c r="WVN224" i="22"/>
  <c r="WVO224" i="22"/>
  <c r="WVP224" i="22"/>
  <c r="WVQ224" i="22"/>
  <c r="WVR224" i="22"/>
  <c r="WVS224" i="22"/>
  <c r="WVT224" i="22"/>
  <c r="WVU224" i="22"/>
  <c r="WVV224" i="22"/>
  <c r="WVW224" i="22"/>
  <c r="WVX224" i="22"/>
  <c r="WVY224" i="22"/>
  <c r="WVZ224" i="22"/>
  <c r="WWA224" i="22"/>
  <c r="WWB224" i="22"/>
  <c r="WWC224" i="22"/>
  <c r="WWD224" i="22"/>
  <c r="WWE224" i="22"/>
  <c r="WWF224" i="22"/>
  <c r="WWG224" i="22"/>
  <c r="WWH224" i="22"/>
  <c r="WWI224" i="22"/>
  <c r="WWJ224" i="22"/>
  <c r="WWK224" i="22"/>
  <c r="WWL224" i="22"/>
  <c r="WWM224" i="22"/>
  <c r="WWN224" i="22"/>
  <c r="WWO224" i="22"/>
  <c r="WWP224" i="22"/>
  <c r="WWQ224" i="22"/>
  <c r="WWR224" i="22"/>
  <c r="WWS224" i="22"/>
  <c r="WWT224" i="22"/>
  <c r="WWU224" i="22"/>
  <c r="WWV224" i="22"/>
  <c r="WWW224" i="22"/>
  <c r="WWX224" i="22"/>
  <c r="WWY224" i="22"/>
  <c r="WWZ224" i="22"/>
  <c r="WXA224" i="22"/>
  <c r="WXB224" i="22"/>
  <c r="WXC224" i="22"/>
  <c r="WXD224" i="22"/>
  <c r="WXE224" i="22"/>
  <c r="WXF224" i="22"/>
  <c r="WXG224" i="22"/>
  <c r="WXH224" i="22"/>
  <c r="WXI224" i="22"/>
  <c r="WXJ224" i="22"/>
  <c r="WXK224" i="22"/>
  <c r="WXL224" i="22"/>
  <c r="WXM224" i="22"/>
  <c r="WXN224" i="22"/>
  <c r="WXO224" i="22"/>
  <c r="WXP224" i="22"/>
  <c r="WXQ224" i="22"/>
  <c r="WXR224" i="22"/>
  <c r="WXS224" i="22"/>
  <c r="WXT224" i="22"/>
  <c r="WXU224" i="22"/>
  <c r="WXV224" i="22"/>
  <c r="WXW224" i="22"/>
  <c r="WXX224" i="22"/>
  <c r="WXY224" i="22"/>
  <c r="WXZ224" i="22"/>
  <c r="WYA224" i="22"/>
  <c r="WYB224" i="22"/>
  <c r="WYC224" i="22"/>
  <c r="WYD224" i="22"/>
  <c r="WYE224" i="22"/>
  <c r="WYF224" i="22"/>
  <c r="WYG224" i="22"/>
  <c r="WYH224" i="22"/>
  <c r="WYI224" i="22"/>
  <c r="WYJ224" i="22"/>
  <c r="WYK224" i="22"/>
  <c r="WYL224" i="22"/>
  <c r="WYM224" i="22"/>
  <c r="WYN224" i="22"/>
  <c r="WYO224" i="22"/>
  <c r="WYP224" i="22"/>
  <c r="WYQ224" i="22"/>
  <c r="WYR224" i="22"/>
  <c r="WYS224" i="22"/>
  <c r="WYT224" i="22"/>
  <c r="WYU224" i="22"/>
  <c r="WYV224" i="22"/>
  <c r="WYW224" i="22"/>
  <c r="WYX224" i="22"/>
  <c r="WYY224" i="22"/>
  <c r="WYZ224" i="22"/>
  <c r="WZA224" i="22"/>
  <c r="WZB224" i="22"/>
  <c r="WZC224" i="22"/>
  <c r="WZD224" i="22"/>
  <c r="WZE224" i="22"/>
  <c r="WZF224" i="22"/>
  <c r="WZG224" i="22"/>
  <c r="WZH224" i="22"/>
  <c r="WZI224" i="22"/>
  <c r="WZJ224" i="22"/>
  <c r="WZK224" i="22"/>
  <c r="WZL224" i="22"/>
  <c r="WZM224" i="22"/>
  <c r="WZN224" i="22"/>
  <c r="WZO224" i="22"/>
  <c r="WZP224" i="22"/>
  <c r="WZQ224" i="22"/>
  <c r="WZR224" i="22"/>
  <c r="WZS224" i="22"/>
  <c r="WZT224" i="22"/>
  <c r="WZU224" i="22"/>
  <c r="WZV224" i="22"/>
  <c r="WZW224" i="22"/>
  <c r="WZX224" i="22"/>
  <c r="WZY224" i="22"/>
  <c r="WZZ224" i="22"/>
  <c r="XAA224" i="22"/>
  <c r="XAB224" i="22"/>
  <c r="XAC224" i="22"/>
  <c r="XAD224" i="22"/>
  <c r="XAE224" i="22"/>
  <c r="XAF224" i="22"/>
  <c r="XAG224" i="22"/>
  <c r="XAH224" i="22"/>
  <c r="XAI224" i="22"/>
  <c r="XAJ224" i="22"/>
  <c r="XAK224" i="22"/>
  <c r="XAL224" i="22"/>
  <c r="XAM224" i="22"/>
  <c r="XAN224" i="22"/>
  <c r="XAO224" i="22"/>
  <c r="XAP224" i="22"/>
  <c r="XAQ224" i="22"/>
  <c r="XAR224" i="22"/>
  <c r="XAS224" i="22"/>
  <c r="XAT224" i="22"/>
  <c r="XAU224" i="22"/>
  <c r="XAV224" i="22"/>
  <c r="XAW224" i="22"/>
  <c r="XAX224" i="22"/>
  <c r="XAY224" i="22"/>
  <c r="XAZ224" i="22"/>
  <c r="XBA224" i="22"/>
  <c r="XBB224" i="22"/>
  <c r="XBC224" i="22"/>
  <c r="XBD224" i="22"/>
  <c r="XBE224" i="22"/>
  <c r="XBF224" i="22"/>
  <c r="XBG224" i="22"/>
  <c r="XBH224" i="22"/>
  <c r="XBI224" i="22"/>
  <c r="XBJ224" i="22"/>
  <c r="XBK224" i="22"/>
  <c r="XBL224" i="22"/>
  <c r="XBM224" i="22"/>
  <c r="XBN224" i="22"/>
  <c r="XBO224" i="22"/>
  <c r="XBP224" i="22"/>
  <c r="XBQ224" i="22"/>
  <c r="XBR224" i="22"/>
  <c r="XBS224" i="22"/>
  <c r="XBT224" i="22"/>
  <c r="XBU224" i="22"/>
  <c r="XBV224" i="22"/>
  <c r="XBW224" i="22"/>
  <c r="XBX224" i="22"/>
  <c r="XBY224" i="22"/>
  <c r="XBZ224" i="22"/>
  <c r="XCA224" i="22"/>
  <c r="XCB224" i="22"/>
  <c r="XCC224" i="22"/>
  <c r="XCD224" i="22"/>
  <c r="XCE224" i="22"/>
  <c r="XCF224" i="22"/>
  <c r="XCG224" i="22"/>
  <c r="XCH224" i="22"/>
  <c r="XCI224" i="22"/>
  <c r="XCJ224" i="22"/>
  <c r="XCK224" i="22"/>
  <c r="XCL224" i="22"/>
  <c r="XCM224" i="22"/>
  <c r="XCN224" i="22"/>
  <c r="XCO224" i="22"/>
  <c r="XCP224" i="22"/>
  <c r="XCQ224" i="22"/>
  <c r="XCR224" i="22"/>
  <c r="XCS224" i="22"/>
  <c r="XCT224" i="22"/>
  <c r="XCU224" i="22"/>
  <c r="XCV224" i="22"/>
  <c r="XCW224" i="22"/>
  <c r="XCX224" i="22"/>
  <c r="XCY224" i="22"/>
  <c r="XCZ224" i="22"/>
  <c r="XDA224" i="22"/>
  <c r="XDB224" i="22"/>
  <c r="XDC224" i="22"/>
  <c r="XDD224" i="22"/>
  <c r="XDE224" i="22"/>
  <c r="XDF224" i="22"/>
  <c r="XDG224" i="22"/>
  <c r="XDH224" i="22"/>
  <c r="XDI224" i="22"/>
  <c r="XDJ224" i="22"/>
  <c r="XDK224" i="22"/>
  <c r="XDL224" i="22"/>
  <c r="XDM224" i="22"/>
  <c r="XDN224" i="22"/>
  <c r="XDO224" i="22"/>
  <c r="XDP224" i="22"/>
  <c r="XDQ224" i="22"/>
  <c r="XDR224" i="22"/>
  <c r="XDS224" i="22"/>
  <c r="XDT224" i="22"/>
  <c r="XDU224" i="22"/>
  <c r="XDV224" i="22"/>
  <c r="XDW224" i="22"/>
  <c r="XDX224" i="22"/>
  <c r="XDY224" i="22"/>
  <c r="XDZ224" i="22"/>
  <c r="XEA224" i="22"/>
  <c r="XEB224" i="22"/>
  <c r="XEC224" i="22"/>
  <c r="XED224" i="22"/>
  <c r="XEE224" i="22"/>
  <c r="XEF224" i="22"/>
  <c r="XEG224" i="22"/>
  <c r="XEH224" i="22"/>
  <c r="XEI224" i="22"/>
  <c r="XEJ224" i="22"/>
  <c r="XEK224" i="22"/>
  <c r="XEL224" i="22"/>
  <c r="XEM224" i="22"/>
  <c r="XEN224" i="22"/>
  <c r="XEO224" i="22"/>
  <c r="XEP224" i="22"/>
  <c r="XEQ224" i="22"/>
  <c r="XER224" i="22"/>
  <c r="XES224" i="22"/>
  <c r="XET224" i="22"/>
  <c r="XEU224" i="22"/>
  <c r="XEV224" i="22"/>
  <c r="XEW224" i="22"/>
  <c r="XEX224" i="22"/>
  <c r="XEY224" i="22"/>
  <c r="XEZ224" i="22"/>
  <c r="XFA224" i="22"/>
  <c r="XFB224" i="22"/>
  <c r="XFC224" i="22"/>
  <c r="XFD224" i="22"/>
  <c r="AG172" i="22" l="1"/>
  <c r="AH172" i="22" s="1"/>
  <c r="AI172" i="22" s="1"/>
  <c r="AG181" i="22"/>
  <c r="AH181" i="22" s="1"/>
  <c r="AI181" i="22" s="1"/>
  <c r="AA181" i="22"/>
  <c r="AG180" i="22"/>
  <c r="AH180" i="22" s="1"/>
  <c r="AI180" i="22" s="1"/>
  <c r="IS161" i="22"/>
  <c r="IS162" i="22" s="1"/>
  <c r="AA185" i="22"/>
  <c r="AA201" i="22"/>
  <c r="AG201" i="22"/>
  <c r="AH201" i="22" s="1"/>
  <c r="AI201" i="22" s="1"/>
  <c r="AA175" i="22"/>
  <c r="AG175" i="22"/>
  <c r="AH175" i="22" s="1"/>
  <c r="AI175" i="22" s="1"/>
  <c r="AG207" i="22"/>
  <c r="AH207" i="22" s="1"/>
  <c r="AI207" i="22" s="1"/>
  <c r="AA207" i="22"/>
  <c r="AG189" i="22"/>
  <c r="AH189" i="22" s="1"/>
  <c r="AI189" i="22" s="1"/>
  <c r="AA189" i="22"/>
  <c r="AA171" i="22"/>
  <c r="AG171" i="22"/>
  <c r="AH171" i="22" s="1"/>
  <c r="AI171" i="22" s="1"/>
  <c r="DX161" i="22"/>
  <c r="AA194" i="22"/>
  <c r="AG194" i="22"/>
  <c r="AH194" i="22" s="1"/>
  <c r="AI194" i="22" s="1"/>
  <c r="AG192" i="22"/>
  <c r="AH192" i="22" s="1"/>
  <c r="AI192" i="22" s="1"/>
  <c r="AA192" i="22"/>
  <c r="AG178" i="22"/>
  <c r="AH178" i="22" s="1"/>
  <c r="AI178" i="22" s="1"/>
  <c r="AA178" i="22"/>
  <c r="IR161" i="22"/>
  <c r="AA202" i="22"/>
  <c r="AG202" i="22"/>
  <c r="AH202" i="22" s="1"/>
  <c r="AI202" i="22" s="1"/>
  <c r="AG170" i="22"/>
  <c r="AH170" i="22" s="1"/>
  <c r="AI170" i="22" s="1"/>
  <c r="AA170" i="22"/>
  <c r="AG200" i="22"/>
  <c r="AH200" i="22" s="1"/>
  <c r="AI200" i="22" s="1"/>
  <c r="AA200" i="22"/>
  <c r="AG184" i="22"/>
  <c r="AH184" i="22" s="1"/>
  <c r="AI184" i="22" s="1"/>
  <c r="AA184" i="22"/>
  <c r="AG176" i="22"/>
  <c r="AH176" i="22" s="1"/>
  <c r="AI176" i="22" s="1"/>
  <c r="AA176" i="22"/>
  <c r="AG168" i="22"/>
  <c r="AH168" i="22" s="1"/>
  <c r="AI168" i="22" s="1"/>
  <c r="AA168" i="22"/>
  <c r="AA186" i="22"/>
  <c r="AG186" i="22"/>
  <c r="AH186" i="22" s="1"/>
  <c r="AI186" i="22" s="1"/>
  <c r="DX162" i="22" l="1"/>
  <c r="DW161" i="22"/>
  <c r="IR162" i="22"/>
  <c r="IQ161" i="22"/>
  <c r="DW162" i="22" l="1"/>
  <c r="DV161" i="22"/>
  <c r="IQ162" i="22"/>
  <c r="IP161" i="22"/>
  <c r="DU161" i="22" l="1"/>
  <c r="DV162" i="22"/>
  <c r="IP162" i="22"/>
  <c r="IO161" i="22"/>
  <c r="DU162" i="22" l="1"/>
  <c r="DT161" i="22"/>
  <c r="IO162" i="22"/>
  <c r="IN161" i="22"/>
  <c r="DT162" i="22" l="1"/>
  <c r="DS161" i="22"/>
  <c r="IN162" i="22"/>
  <c r="IM161" i="22"/>
  <c r="DS162" i="22" l="1"/>
  <c r="DR161" i="22"/>
  <c r="IM162" i="22"/>
  <c r="IL161" i="22"/>
  <c r="DR162" i="22" l="1"/>
  <c r="DQ161" i="22"/>
  <c r="IL162" i="22"/>
  <c r="IK161" i="22"/>
  <c r="DQ162" i="22" l="1"/>
  <c r="DP161" i="22"/>
  <c r="IK162" i="22"/>
  <c r="IJ161" i="22"/>
  <c r="DP162" i="22" l="1"/>
  <c r="DO161" i="22"/>
  <c r="IJ162" i="22"/>
  <c r="II161" i="22"/>
  <c r="DO162" i="22" l="1"/>
  <c r="DN161" i="22"/>
  <c r="II162" i="22"/>
  <c r="IH161" i="22"/>
  <c r="DN162" i="22" l="1"/>
  <c r="DM161" i="22"/>
  <c r="IH162" i="22"/>
  <c r="IG161" i="22"/>
  <c r="DM162" i="22" l="1"/>
  <c r="DL161" i="22"/>
  <c r="IG162" i="22"/>
  <c r="IF161" i="22"/>
  <c r="DL162" i="22" l="1"/>
  <c r="DK161" i="22"/>
  <c r="IF162" i="22"/>
  <c r="IE161" i="22"/>
  <c r="DK162" i="22" l="1"/>
  <c r="DJ161" i="22"/>
  <c r="IE162" i="22"/>
  <c r="ID161" i="22"/>
  <c r="DJ162" i="22" l="1"/>
  <c r="DI161" i="22"/>
  <c r="ID162" i="22"/>
  <c r="IC161" i="22"/>
  <c r="DH161" i="22" l="1"/>
  <c r="DI162" i="22"/>
  <c r="IC162" i="22"/>
  <c r="IB161" i="22"/>
  <c r="DH162" i="22" l="1"/>
  <c r="DG161" i="22"/>
  <c r="IB162" i="22"/>
  <c r="IA161" i="22"/>
  <c r="DG162" i="22" l="1"/>
  <c r="DF161" i="22"/>
  <c r="IA162" i="22"/>
  <c r="HZ161" i="22"/>
  <c r="DF162" i="22" l="1"/>
  <c r="DE161" i="22"/>
  <c r="HZ162" i="22"/>
  <c r="HY161" i="22"/>
  <c r="DE162" i="22" l="1"/>
  <c r="DD161" i="22"/>
  <c r="HY162" i="22"/>
  <c r="HX161" i="22"/>
  <c r="DD162" i="22" l="1"/>
  <c r="DC161" i="22"/>
  <c r="HX162" i="22"/>
  <c r="HW161" i="22"/>
  <c r="DC162" i="22" l="1"/>
  <c r="DB161" i="22"/>
  <c r="HW162" i="22"/>
  <c r="HV161" i="22"/>
  <c r="DB162" i="22" l="1"/>
  <c r="DA161" i="22"/>
  <c r="HV162" i="22"/>
  <c r="HU161" i="22"/>
  <c r="DA162" i="22" l="1"/>
  <c r="CZ161" i="22"/>
  <c r="HU162" i="22"/>
  <c r="HT161" i="22"/>
  <c r="CZ162" i="22" l="1"/>
  <c r="CY161" i="22"/>
  <c r="HT162" i="22"/>
  <c r="HS161" i="22"/>
  <c r="CY162" i="22" l="1"/>
  <c r="CX161" i="22"/>
  <c r="HS162" i="22"/>
  <c r="HR161" i="22"/>
  <c r="CX162" i="22" l="1"/>
  <c r="CW161" i="22"/>
  <c r="HR162" i="22"/>
  <c r="HQ161" i="22"/>
  <c r="CW162" i="22" l="1"/>
  <c r="CV161" i="22"/>
  <c r="HQ162" i="22"/>
  <c r="HP161" i="22"/>
  <c r="CU161" i="22" l="1"/>
  <c r="CV162" i="22"/>
  <c r="HP162" i="22"/>
  <c r="HO161" i="22"/>
  <c r="CU162" i="22" l="1"/>
  <c r="CT161" i="22"/>
  <c r="HO162" i="22"/>
  <c r="HN161" i="22"/>
  <c r="CT162" i="22" l="1"/>
  <c r="CS161" i="22"/>
  <c r="HN162" i="22"/>
  <c r="HM161" i="22"/>
  <c r="CS162" i="22" l="1"/>
  <c r="CR161" i="22"/>
  <c r="HM162" i="22"/>
  <c r="HL161" i="22"/>
  <c r="CR162" i="22" l="1"/>
  <c r="CQ161" i="22"/>
  <c r="HL162" i="22"/>
  <c r="HK161" i="22"/>
  <c r="CP161" i="22" l="1"/>
  <c r="CQ162" i="22"/>
  <c r="HK162" i="22"/>
  <c r="HJ161" i="22"/>
  <c r="CO161" i="22" l="1"/>
  <c r="CP162" i="22"/>
  <c r="HJ162" i="22"/>
  <c r="HI161" i="22"/>
  <c r="CO162" i="22" l="1"/>
  <c r="CN161" i="22"/>
  <c r="HI162" i="22"/>
  <c r="HH161" i="22"/>
  <c r="CN162" i="22" l="1"/>
  <c r="CM161" i="22"/>
  <c r="HH162" i="22"/>
  <c r="HG161" i="22"/>
  <c r="CM162" i="22" l="1"/>
  <c r="CL161" i="22"/>
  <c r="HG162" i="22"/>
  <c r="HF161" i="22"/>
  <c r="CL162" i="22" l="1"/>
  <c r="CK161" i="22"/>
  <c r="HF162" i="22"/>
  <c r="HE161" i="22"/>
  <c r="CK162" i="22" l="1"/>
  <c r="CJ161" i="22"/>
  <c r="HE162" i="22"/>
  <c r="HD161" i="22"/>
  <c r="CJ162" i="22" l="1"/>
  <c r="CI161" i="22"/>
  <c r="HD162" i="22"/>
  <c r="HC161" i="22"/>
  <c r="CI162" i="22" l="1"/>
  <c r="CH161" i="22"/>
  <c r="HC162" i="22"/>
  <c r="HB161" i="22"/>
  <c r="CH162" i="22" l="1"/>
  <c r="CG161" i="22"/>
  <c r="HB162" i="22"/>
  <c r="HA161" i="22"/>
  <c r="CG162" i="22" l="1"/>
  <c r="CF161" i="22"/>
  <c r="HA162" i="22"/>
  <c r="GZ161" i="22"/>
  <c r="CE161" i="22" l="1"/>
  <c r="CF162" i="22"/>
  <c r="GZ162" i="22"/>
  <c r="GY161" i="22"/>
  <c r="CE162" i="22" l="1"/>
  <c r="CD161" i="22"/>
  <c r="GY162" i="22"/>
  <c r="GX161" i="22"/>
  <c r="CC161" i="22" l="1"/>
  <c r="CD162" i="22"/>
  <c r="GX162" i="22"/>
  <c r="GW161" i="22"/>
  <c r="CC162" i="22" l="1"/>
  <c r="CB161" i="22"/>
  <c r="GW162" i="22"/>
  <c r="GV161" i="22"/>
  <c r="CB162" i="22" l="1"/>
  <c r="CA161" i="22"/>
  <c r="GV162" i="22"/>
  <c r="GU161" i="22"/>
  <c r="CA162" i="22" l="1"/>
  <c r="BZ161" i="22"/>
  <c r="GU162" i="22"/>
  <c r="GT161" i="22"/>
  <c r="BY161" i="22" l="1"/>
  <c r="BZ162" i="22"/>
  <c r="GT162" i="22"/>
  <c r="GS161" i="22"/>
  <c r="BY162" i="22" l="1"/>
  <c r="BX161" i="22"/>
  <c r="GS162" i="22"/>
  <c r="GR161" i="22"/>
  <c r="BX162" i="22" l="1"/>
  <c r="BW161" i="22"/>
  <c r="GR162" i="22"/>
  <c r="GQ161" i="22"/>
  <c r="BW162" i="22" l="1"/>
  <c r="BV161" i="22"/>
  <c r="GQ162" i="22"/>
  <c r="GP161" i="22"/>
  <c r="BU161" i="22" l="1"/>
  <c r="BV162" i="22"/>
  <c r="GP162" i="22"/>
  <c r="GO161" i="22"/>
  <c r="BU162" i="22" l="1"/>
  <c r="BT161" i="22"/>
  <c r="GO162" i="22"/>
  <c r="GN161" i="22"/>
  <c r="BT162" i="22" l="1"/>
  <c r="BS161" i="22"/>
  <c r="GN162" i="22"/>
  <c r="GM161" i="22"/>
  <c r="BS162" i="22" l="1"/>
  <c r="BR161" i="22"/>
  <c r="GM162" i="22"/>
  <c r="GL161" i="22"/>
  <c r="BR162" i="22" l="1"/>
  <c r="BQ161" i="22"/>
  <c r="GL162" i="22"/>
  <c r="GK161" i="22"/>
  <c r="BP161" i="22" l="1"/>
  <c r="BQ162" i="22"/>
  <c r="GK162" i="22"/>
  <c r="GJ161" i="22"/>
  <c r="BP162" i="22" l="1"/>
  <c r="BO161" i="22"/>
  <c r="GJ162" i="22"/>
  <c r="GI161" i="22"/>
  <c r="BO162" i="22" l="1"/>
  <c r="BN161" i="22"/>
  <c r="GI162" i="22"/>
  <c r="GH161" i="22"/>
  <c r="BN162" i="22" l="1"/>
  <c r="BM161" i="22"/>
  <c r="GH162" i="22"/>
  <c r="GG161" i="22"/>
  <c r="BM162" i="22" l="1"/>
  <c r="BL161" i="22"/>
  <c r="GG162" i="22"/>
  <c r="GF161" i="22"/>
  <c r="BL162" i="22" l="1"/>
  <c r="BK161" i="22"/>
  <c r="GF162" i="22"/>
  <c r="GE161" i="22"/>
  <c r="BK162" i="22" l="1"/>
  <c r="BJ161" i="22"/>
  <c r="GE162" i="22"/>
  <c r="GD161" i="22"/>
  <c r="BJ162" i="22" l="1"/>
  <c r="BI161" i="22"/>
  <c r="GD162" i="22"/>
  <c r="GC161" i="22"/>
  <c r="BI162" i="22" l="1"/>
  <c r="BH161" i="22"/>
  <c r="GC162" i="22"/>
  <c r="GB161" i="22"/>
  <c r="BG161" i="22" l="1"/>
  <c r="BH162" i="22"/>
  <c r="GB162" i="22"/>
  <c r="GA161" i="22"/>
  <c r="BG162" i="22" l="1"/>
  <c r="BF161" i="22"/>
  <c r="GA162" i="22"/>
  <c r="FZ161" i="22"/>
  <c r="BF162" i="22" l="1"/>
  <c r="BE161" i="22"/>
  <c r="FZ162" i="22"/>
  <c r="FY161" i="22"/>
  <c r="BD161" i="22" l="1"/>
  <c r="BE162" i="22"/>
  <c r="FY162" i="22"/>
  <c r="FX161" i="22"/>
  <c r="BD162" i="22" l="1"/>
  <c r="BC161" i="22"/>
  <c r="FX162" i="22"/>
  <c r="FW161" i="22"/>
  <c r="BC162" i="22" l="1"/>
  <c r="BB161" i="22"/>
  <c r="FW162" i="22"/>
  <c r="FV161" i="22"/>
  <c r="BB162" i="22" l="1"/>
  <c r="BA161" i="22"/>
  <c r="FV162" i="22"/>
  <c r="FU161" i="22"/>
  <c r="BA162" i="22" l="1"/>
  <c r="AZ161" i="22"/>
  <c r="FU162" i="22"/>
  <c r="FT161" i="22"/>
  <c r="AZ162" i="22" l="1"/>
  <c r="AY161" i="22"/>
  <c r="FT162" i="22"/>
  <c r="FS161" i="22"/>
  <c r="AY162" i="22" l="1"/>
  <c r="AX161" i="22"/>
  <c r="FS162" i="22"/>
  <c r="FR161" i="22"/>
  <c r="AX162" i="22" l="1"/>
  <c r="AW161" i="22"/>
  <c r="FR162" i="22"/>
  <c r="FQ161" i="22"/>
  <c r="AW162" i="22" l="1"/>
  <c r="AV161" i="22"/>
  <c r="FQ162" i="22"/>
  <c r="FP161" i="22"/>
  <c r="AU161" i="22" l="1"/>
  <c r="AV162" i="22"/>
  <c r="FP162" i="22"/>
  <c r="FO161" i="22"/>
  <c r="AU162" i="22" l="1"/>
  <c r="AT161" i="22"/>
  <c r="FO162" i="22"/>
  <c r="FN161" i="22"/>
  <c r="AT162" i="22" l="1"/>
  <c r="AS161" i="22"/>
  <c r="FN162" i="22"/>
  <c r="FM161" i="22"/>
  <c r="AS162" i="22" l="1"/>
  <c r="AR161" i="22"/>
  <c r="FM162" i="22"/>
  <c r="FL161" i="22"/>
  <c r="AR162" i="22" l="1"/>
  <c r="AQ161" i="22"/>
  <c r="FL162" i="22"/>
  <c r="FK161" i="22"/>
  <c r="AQ162" i="22" l="1"/>
  <c r="AP161" i="22"/>
  <c r="FK162" i="22"/>
  <c r="FJ161" i="22"/>
  <c r="AO161" i="22" l="1"/>
  <c r="AP162" i="22"/>
  <c r="FJ162" i="22"/>
  <c r="FI161" i="22"/>
  <c r="AO162" i="22" l="1"/>
  <c r="AN161" i="22"/>
  <c r="FI162" i="22"/>
  <c r="FH161" i="22"/>
  <c r="AN162" i="22" l="1"/>
  <c r="AM161" i="22"/>
  <c r="FH162" i="22"/>
  <c r="FG161" i="22"/>
  <c r="AM162" i="22" l="1"/>
  <c r="AL161" i="22"/>
  <c r="FG162" i="22"/>
  <c r="FF161" i="22"/>
  <c r="AK161" i="22" l="1"/>
  <c r="AL162" i="22"/>
  <c r="FF162" i="22"/>
  <c r="FE161" i="22"/>
  <c r="AK162" i="22" l="1"/>
  <c r="AJ161" i="22"/>
  <c r="FE162" i="22"/>
  <c r="FD161" i="22"/>
  <c r="AJ162" i="22" l="1"/>
  <c r="AI161" i="22"/>
  <c r="FD162" i="22"/>
  <c r="FC161" i="22"/>
  <c r="AI162" i="22" l="1"/>
  <c r="AH161" i="22"/>
  <c r="FC162" i="22"/>
  <c r="FB161" i="22"/>
  <c r="AH162" i="22" l="1"/>
  <c r="AG161" i="22"/>
  <c r="FB162" i="22"/>
  <c r="FA161" i="22"/>
  <c r="AF161" i="22" l="1"/>
  <c r="AG162" i="22"/>
  <c r="FA162" i="22"/>
  <c r="EZ161" i="22"/>
  <c r="AF162" i="22" l="1"/>
  <c r="AE161" i="22"/>
  <c r="EZ162" i="22"/>
  <c r="EY161" i="22"/>
  <c r="AD161" i="22" l="1"/>
  <c r="AE162" i="22"/>
  <c r="EY162" i="22"/>
  <c r="EX161" i="22"/>
  <c r="AD162" i="22" l="1"/>
  <c r="AC161" i="22"/>
  <c r="EX162" i="22"/>
  <c r="EW161" i="22"/>
  <c r="AB161" i="22" l="1"/>
  <c r="AC162" i="22"/>
  <c r="EW162" i="22"/>
  <c r="EV161" i="22"/>
  <c r="AB162" i="22" l="1"/>
  <c r="AA161" i="22"/>
  <c r="EV162" i="22"/>
  <c r="EU161" i="22"/>
  <c r="Z161" i="22" l="1"/>
  <c r="AA162" i="22"/>
  <c r="EU162" i="22"/>
  <c r="ET161" i="22"/>
  <c r="Z162" i="22" l="1"/>
  <c r="Y161" i="22"/>
  <c r="ET162" i="22"/>
  <c r="ES161" i="22"/>
  <c r="Y162" i="22" l="1"/>
  <c r="X161" i="22"/>
  <c r="ES162" i="22"/>
  <c r="ER161" i="22"/>
  <c r="X162" i="22" l="1"/>
  <c r="W161" i="22"/>
  <c r="ER162" i="22"/>
  <c r="EQ161" i="22"/>
  <c r="W162" i="22" l="1"/>
  <c r="V161" i="22"/>
  <c r="EQ162" i="22"/>
  <c r="EP161" i="22"/>
  <c r="V162" i="22" l="1"/>
  <c r="U161" i="22"/>
  <c r="EP162" i="22"/>
  <c r="EO161" i="22"/>
  <c r="U162" i="22" l="1"/>
  <c r="T161" i="22"/>
  <c r="EO162" i="22"/>
  <c r="EN161" i="22"/>
  <c r="S161" i="22" l="1"/>
  <c r="T162" i="22"/>
  <c r="EN162" i="22"/>
  <c r="EM161" i="22"/>
  <c r="S162" i="22" l="1"/>
  <c r="R161" i="22"/>
  <c r="EM162" i="22"/>
  <c r="EL161" i="22"/>
  <c r="R162" i="22" l="1"/>
  <c r="Q161" i="22"/>
  <c r="EL162" i="22"/>
  <c r="EK161" i="22"/>
  <c r="Q162" i="22" l="1"/>
  <c r="P161" i="22"/>
  <c r="EK162" i="22"/>
  <c r="EJ161" i="22"/>
  <c r="P162" i="22" l="1"/>
  <c r="O161" i="22"/>
  <c r="EJ162" i="22"/>
  <c r="EI161" i="22"/>
  <c r="O162" i="22" l="1"/>
  <c r="N161" i="22"/>
  <c r="EI162" i="22"/>
  <c r="EH161" i="22"/>
  <c r="N162" i="22" l="1"/>
  <c r="M161" i="22"/>
  <c r="EH162" i="22"/>
  <c r="EG161" i="22"/>
  <c r="M162" i="22" l="1"/>
  <c r="L161" i="22"/>
  <c r="EG162" i="22"/>
  <c r="EF161" i="22"/>
  <c r="L162" i="22" l="1"/>
  <c r="K161" i="22"/>
  <c r="EF162" i="22"/>
  <c r="EE161" i="22"/>
  <c r="K162" i="22" l="1"/>
  <c r="J161" i="22"/>
  <c r="EE162" i="22"/>
  <c r="ED161" i="22"/>
  <c r="J162" i="22" l="1"/>
  <c r="I161" i="22"/>
  <c r="ED162" i="22"/>
  <c r="EC161" i="22"/>
  <c r="I162" i="22" l="1"/>
  <c r="H161" i="22"/>
  <c r="EC162" i="22"/>
  <c r="EB161" i="22"/>
  <c r="EB162" i="22" s="1"/>
  <c r="ED164" i="22" l="1" a="1"/>
  <c r="ED164" i="22" s="1"/>
  <c r="EC164" i="22" a="1"/>
  <c r="EC164" i="22" s="1"/>
  <c r="H162" i="22"/>
  <c r="G161" i="22"/>
  <c r="G162" i="22" s="1"/>
  <c r="I164" i="22" s="1" a="1"/>
  <c r="I164" i="22" s="1"/>
  <c r="EB164" i="22" a="1"/>
  <c r="EB164" i="22" s="1"/>
  <c r="IS164" i="22" a="1"/>
  <c r="IS164" i="22" s="1"/>
  <c r="IR164" i="22" a="1"/>
  <c r="IR164" i="22" s="1"/>
  <c r="IQ164" i="22" a="1"/>
  <c r="IQ164" i="22" s="1"/>
  <c r="IP164" i="22" a="1"/>
  <c r="IP164" i="22" s="1"/>
  <c r="IO164" i="22" a="1"/>
  <c r="IO164" i="22" s="1"/>
  <c r="IN164" i="22" a="1"/>
  <c r="IN164" i="22" s="1"/>
  <c r="IM164" i="22" a="1"/>
  <c r="IM164" i="22" s="1"/>
  <c r="IL164" i="22" a="1"/>
  <c r="IL164" i="22" s="1"/>
  <c r="IK164" i="22" a="1"/>
  <c r="IK164" i="22" s="1"/>
  <c r="IJ164" i="22" a="1"/>
  <c r="IJ164" i="22" s="1"/>
  <c r="II164" i="22" a="1"/>
  <c r="II164" i="22" s="1"/>
  <c r="IH164" i="22" a="1"/>
  <c r="IH164" i="22" s="1"/>
  <c r="IG164" i="22" a="1"/>
  <c r="IG164" i="22" s="1"/>
  <c r="IF164" i="22" a="1"/>
  <c r="IF164" i="22" s="1"/>
  <c r="IE164" i="22" a="1"/>
  <c r="IE164" i="22" s="1"/>
  <c r="ID164" i="22" a="1"/>
  <c r="ID164" i="22" s="1"/>
  <c r="IC164" i="22" a="1"/>
  <c r="IC164" i="22" s="1"/>
  <c r="IB164" i="22" a="1"/>
  <c r="IB164" i="22" s="1"/>
  <c r="IA164" i="22" a="1"/>
  <c r="IA164" i="22" s="1"/>
  <c r="HZ164" i="22" a="1"/>
  <c r="HZ164" i="22" s="1"/>
  <c r="HY164" i="22" a="1"/>
  <c r="HY164" i="22" s="1"/>
  <c r="HX164" i="22" a="1"/>
  <c r="HX164" i="22" s="1"/>
  <c r="HW164" i="22" a="1"/>
  <c r="HW164" i="22" s="1"/>
  <c r="HV164" i="22" a="1"/>
  <c r="HV164" i="22" s="1"/>
  <c r="HU164" i="22" a="1"/>
  <c r="HU164" i="22" s="1"/>
  <c r="HT164" i="22" a="1"/>
  <c r="HT164" i="22" s="1"/>
  <c r="HS164" i="22" a="1"/>
  <c r="HS164" i="22" s="1"/>
  <c r="HR164" i="22" a="1"/>
  <c r="HR164" i="22" s="1"/>
  <c r="HQ164" i="22" a="1"/>
  <c r="HQ164" i="22" s="1"/>
  <c r="HP164" i="22" a="1"/>
  <c r="HP164" i="22" s="1"/>
  <c r="HO164" i="22" a="1"/>
  <c r="HO164" i="22" s="1"/>
  <c r="HN164" i="22" a="1"/>
  <c r="HN164" i="22" s="1"/>
  <c r="HM164" i="22" a="1"/>
  <c r="HM164" i="22" s="1"/>
  <c r="HL164" i="22" a="1"/>
  <c r="HL164" i="22" s="1"/>
  <c r="HK164" i="22" a="1"/>
  <c r="HK164" i="22" s="1"/>
  <c r="HJ164" i="22" a="1"/>
  <c r="HJ164" i="22" s="1"/>
  <c r="HI164" i="22" a="1"/>
  <c r="HI164" i="22" s="1"/>
  <c r="HH164" i="22" a="1"/>
  <c r="HH164" i="22" s="1"/>
  <c r="HG164" i="22" a="1"/>
  <c r="HG164" i="22" s="1"/>
  <c r="HF164" i="22" a="1"/>
  <c r="HF164" i="22" s="1"/>
  <c r="HE164" i="22" a="1"/>
  <c r="HE164" i="22" s="1"/>
  <c r="HD164" i="22" a="1"/>
  <c r="HD164" i="22" s="1"/>
  <c r="HC164" i="22" a="1"/>
  <c r="HC164" i="22" s="1"/>
  <c r="HB164" i="22" a="1"/>
  <c r="HB164" i="22" s="1"/>
  <c r="HA164" i="22" a="1"/>
  <c r="HA164" i="22" s="1"/>
  <c r="GZ164" i="22" a="1"/>
  <c r="GZ164" i="22" s="1"/>
  <c r="GY164" i="22" a="1"/>
  <c r="GY164" i="22" s="1"/>
  <c r="GX164" i="22" a="1"/>
  <c r="GX164" i="22" s="1"/>
  <c r="GW164" i="22" a="1"/>
  <c r="GW164" i="22" s="1"/>
  <c r="GV164" i="22" a="1"/>
  <c r="GV164" i="22" s="1"/>
  <c r="GU164" i="22" a="1"/>
  <c r="GU164" i="22" s="1"/>
  <c r="GT164" i="22" a="1"/>
  <c r="GT164" i="22" s="1"/>
  <c r="GS164" i="22" a="1"/>
  <c r="GS164" i="22" s="1"/>
  <c r="GR164" i="22" a="1"/>
  <c r="GR164" i="22" s="1"/>
  <c r="GQ164" i="22" a="1"/>
  <c r="GQ164" i="22" s="1"/>
  <c r="GP164" i="22" a="1"/>
  <c r="GP164" i="22" s="1"/>
  <c r="GO164" i="22" a="1"/>
  <c r="GO164" i="22" s="1"/>
  <c r="GN164" i="22" a="1"/>
  <c r="GN164" i="22" s="1"/>
  <c r="GM164" i="22" a="1"/>
  <c r="GM164" i="22" s="1"/>
  <c r="GL164" i="22" a="1"/>
  <c r="GL164" i="22" s="1"/>
  <c r="GK164" i="22" a="1"/>
  <c r="GK164" i="22" s="1"/>
  <c r="GJ164" i="22" a="1"/>
  <c r="GJ164" i="22" s="1"/>
  <c r="GI164" i="22" a="1"/>
  <c r="GI164" i="22" s="1"/>
  <c r="GH164" i="22" a="1"/>
  <c r="GH164" i="22" s="1"/>
  <c r="GG164" i="22" a="1"/>
  <c r="GG164" i="22" s="1"/>
  <c r="GF164" i="22" a="1"/>
  <c r="GF164" i="22" s="1"/>
  <c r="GE164" i="22" a="1"/>
  <c r="GE164" i="22" s="1"/>
  <c r="GD164" i="22" a="1"/>
  <c r="GD164" i="22" s="1"/>
  <c r="GC164" i="22" a="1"/>
  <c r="GC164" i="22" s="1"/>
  <c r="GB164" i="22" a="1"/>
  <c r="GB164" i="22" s="1"/>
  <c r="GA164" i="22" a="1"/>
  <c r="GA164" i="22" s="1"/>
  <c r="FZ164" i="22" a="1"/>
  <c r="FZ164" i="22" s="1"/>
  <c r="FY164" i="22" a="1"/>
  <c r="FY164" i="22" s="1"/>
  <c r="FX164" i="22" a="1"/>
  <c r="FX164" i="22" s="1"/>
  <c r="FW164" i="22" a="1"/>
  <c r="FW164" i="22" s="1"/>
  <c r="FV164" i="22" a="1"/>
  <c r="FV164" i="22" s="1"/>
  <c r="FU164" i="22" a="1"/>
  <c r="FU164" i="22" s="1"/>
  <c r="FT164" i="22" a="1"/>
  <c r="FT164" i="22" s="1"/>
  <c r="FS164" i="22" a="1"/>
  <c r="FS164" i="22" s="1"/>
  <c r="FR164" i="22" a="1"/>
  <c r="FR164" i="22" s="1"/>
  <c r="FQ164" i="22" a="1"/>
  <c r="FQ164" i="22" s="1"/>
  <c r="FP164" i="22" a="1"/>
  <c r="FP164" i="22" s="1"/>
  <c r="FO164" i="22" a="1"/>
  <c r="FO164" i="22" s="1"/>
  <c r="FN164" i="22" a="1"/>
  <c r="FN164" i="22" s="1"/>
  <c r="FM164" i="22" a="1"/>
  <c r="FM164" i="22" s="1"/>
  <c r="FL164" i="22" a="1"/>
  <c r="FL164" i="22" s="1"/>
  <c r="FK164" i="22" a="1"/>
  <c r="FK164" i="22" s="1"/>
  <c r="FJ164" i="22" a="1"/>
  <c r="FJ164" i="22" s="1"/>
  <c r="FI164" i="22" a="1"/>
  <c r="FI164" i="22" s="1"/>
  <c r="FH164" i="22" a="1"/>
  <c r="FH164" i="22" s="1"/>
  <c r="FG164" i="22" a="1"/>
  <c r="FG164" i="22" s="1"/>
  <c r="FF164" i="22" a="1"/>
  <c r="FF164" i="22" s="1"/>
  <c r="FE164" i="22" a="1"/>
  <c r="FE164" i="22" s="1"/>
  <c r="FD164" i="22" a="1"/>
  <c r="FD164" i="22" s="1"/>
  <c r="FC164" i="22" a="1"/>
  <c r="FC164" i="22" s="1"/>
  <c r="FB164" i="22" a="1"/>
  <c r="FB164" i="22" s="1"/>
  <c r="FA164" i="22" a="1"/>
  <c r="FA164" i="22" s="1"/>
  <c r="EZ164" i="22" a="1"/>
  <c r="EZ164" i="22" s="1"/>
  <c r="EY164" i="22" a="1"/>
  <c r="EY164" i="22" s="1"/>
  <c r="EX164" i="22" a="1"/>
  <c r="EX164" i="22" s="1"/>
  <c r="EW164" i="22" a="1"/>
  <c r="EW164" i="22" s="1"/>
  <c r="EV164" i="22" a="1"/>
  <c r="EV164" i="22" s="1"/>
  <c r="EU164" i="22" a="1"/>
  <c r="EU164" i="22" s="1"/>
  <c r="ET164" i="22" a="1"/>
  <c r="ET164" i="22" s="1"/>
  <c r="ES164" i="22" a="1"/>
  <c r="ES164" i="22" s="1"/>
  <c r="ER164" i="22" a="1"/>
  <c r="ER164" i="22" s="1"/>
  <c r="EQ164" i="22" a="1"/>
  <c r="EQ164" i="22" s="1"/>
  <c r="EP164" i="22" a="1"/>
  <c r="EP164" i="22" s="1"/>
  <c r="EO164" i="22" a="1"/>
  <c r="EO164" i="22" s="1"/>
  <c r="EN164" i="22" a="1"/>
  <c r="EN164" i="22" s="1"/>
  <c r="EM164" i="22" a="1"/>
  <c r="EM164" i="22" s="1"/>
  <c r="EL164" i="22" a="1"/>
  <c r="EL164" i="22" s="1"/>
  <c r="EK164" i="22" a="1"/>
  <c r="EK164" i="22" s="1"/>
  <c r="EJ164" i="22" a="1"/>
  <c r="EJ164" i="22" s="1"/>
  <c r="EI164" i="22" a="1"/>
  <c r="EI164" i="22" s="1"/>
  <c r="EH164" i="22" a="1"/>
  <c r="EH164" i="22" s="1"/>
  <c r="EG164" i="22" a="1"/>
  <c r="EG164" i="22" s="1"/>
  <c r="EF164" i="22" a="1"/>
  <c r="EF164" i="22" s="1"/>
  <c r="EE164" i="22" a="1"/>
  <c r="EE164" i="22" s="1"/>
  <c r="DS164" i="22" l="1" a="1"/>
  <c r="DS164" i="22" s="1"/>
  <c r="DK164" i="22" a="1"/>
  <c r="DK164" i="22" s="1"/>
  <c r="DC164" i="22" a="1"/>
  <c r="DC164" i="22" s="1"/>
  <c r="CU164" i="22" a="1"/>
  <c r="CU164" i="22" s="1"/>
  <c r="CM164" i="22" a="1"/>
  <c r="CM164" i="22" s="1"/>
  <c r="CE164" i="22" a="1"/>
  <c r="CE164" i="22" s="1"/>
  <c r="T184" i="22" s="1" a="1"/>
  <c r="T184" i="22" s="1"/>
  <c r="BW164" i="22" a="1"/>
  <c r="BW164" i="22" s="1"/>
  <c r="BO164" i="22" a="1"/>
  <c r="BO164" i="22" s="1"/>
  <c r="BG164" i="22" a="1"/>
  <c r="BG164" i="22" s="1"/>
  <c r="AY164" i="22" a="1"/>
  <c r="AY164" i="22" s="1"/>
  <c r="AQ164" i="22" a="1"/>
  <c r="AQ164" i="22" s="1"/>
  <c r="AI164" i="22" a="1"/>
  <c r="AI164" i="22" s="1"/>
  <c r="AA164" i="22" a="1"/>
  <c r="AA164" i="22" s="1"/>
  <c r="S164" i="22" a="1"/>
  <c r="S164" i="22" s="1"/>
  <c r="K164" i="22" a="1"/>
  <c r="K164" i="22" s="1"/>
  <c r="T208" i="22" s="1" a="1"/>
  <c r="T208" i="22" s="1"/>
  <c r="DH164" i="22" a="1"/>
  <c r="DH164" i="22" s="1"/>
  <c r="CJ164" i="22" a="1"/>
  <c r="CJ164" i="22" s="1"/>
  <c r="BL164" i="22" a="1"/>
  <c r="BL164" i="22" s="1"/>
  <c r="AN164" i="22" a="1"/>
  <c r="AN164" i="22" s="1"/>
  <c r="P164" i="22" a="1"/>
  <c r="P164" i="22" s="1"/>
  <c r="DO164" i="22" a="1"/>
  <c r="DO164" i="22" s="1"/>
  <c r="DG164" i="22" a="1"/>
  <c r="DG164" i="22" s="1"/>
  <c r="CI164" i="22" a="1"/>
  <c r="CI164" i="22" s="1"/>
  <c r="BK164" i="22" a="1"/>
  <c r="BK164" i="22" s="1"/>
  <c r="AM164" i="22" a="1"/>
  <c r="AM164" i="22" s="1"/>
  <c r="O164" i="22" a="1"/>
  <c r="O164" i="22" s="1"/>
  <c r="CX164" i="22" a="1"/>
  <c r="CX164" i="22" s="1"/>
  <c r="BZ164" i="22" a="1"/>
  <c r="BZ164" i="22" s="1"/>
  <c r="BB164" i="22" a="1"/>
  <c r="BB164" i="22" s="1"/>
  <c r="AD164" i="22" a="1"/>
  <c r="AD164" i="22" s="1"/>
  <c r="U164" i="22" a="1"/>
  <c r="U164" i="22" s="1"/>
  <c r="DL164" i="22" a="1"/>
  <c r="DL164" i="22" s="1"/>
  <c r="CF164" i="22" a="1"/>
  <c r="CF164" i="22" s="1"/>
  <c r="BH164" i="22" a="1"/>
  <c r="BH164" i="22" s="1"/>
  <c r="AB164" i="22" a="1"/>
  <c r="AB164" i="22" s="1"/>
  <c r="DR164" i="22" a="1"/>
  <c r="DR164" i="22" s="1"/>
  <c r="DJ164" i="22" a="1"/>
  <c r="DJ164" i="22" s="1"/>
  <c r="DB164" i="22" a="1"/>
  <c r="DB164" i="22" s="1"/>
  <c r="CT164" i="22" a="1"/>
  <c r="CT164" i="22" s="1"/>
  <c r="T179" i="22" s="1" a="1"/>
  <c r="T179" i="22" s="1"/>
  <c r="CL164" i="22" a="1"/>
  <c r="CL164" i="22" s="1"/>
  <c r="CD164" i="22" a="1"/>
  <c r="CD164" i="22" s="1"/>
  <c r="BV164" i="22" a="1"/>
  <c r="BV164" i="22" s="1"/>
  <c r="BN164" i="22" a="1"/>
  <c r="BN164" i="22" s="1"/>
  <c r="BF164" i="22" a="1"/>
  <c r="BF164" i="22" s="1"/>
  <c r="AX164" i="22" a="1"/>
  <c r="AX164" i="22" s="1"/>
  <c r="AP164" i="22" a="1"/>
  <c r="AP164" i="22" s="1"/>
  <c r="AH164" i="22" a="1"/>
  <c r="AH164" i="22" s="1"/>
  <c r="Z164" i="22" a="1"/>
  <c r="Z164" i="22" s="1"/>
  <c r="R164" i="22" a="1"/>
  <c r="R164" i="22" s="1"/>
  <c r="J164" i="22" a="1"/>
  <c r="J164" i="22" s="1"/>
  <c r="DP164" i="22" a="1"/>
  <c r="DP164" i="22" s="1"/>
  <c r="CR164" i="22" a="1"/>
  <c r="CR164" i="22" s="1"/>
  <c r="BT164" i="22" a="1"/>
  <c r="BT164" i="22" s="1"/>
  <c r="AV164" i="22" a="1"/>
  <c r="AV164" i="22" s="1"/>
  <c r="X164" i="22" a="1"/>
  <c r="X164" i="22" s="1"/>
  <c r="DW164" i="22" a="1"/>
  <c r="DW164" i="22" s="1"/>
  <c r="CQ164" i="22" a="1"/>
  <c r="CQ164" i="22" s="1"/>
  <c r="CA164" i="22" a="1"/>
  <c r="CA164" i="22" s="1"/>
  <c r="BC164" i="22" a="1"/>
  <c r="BC164" i="22" s="1"/>
  <c r="AE164" i="22" a="1"/>
  <c r="AE164" i="22" s="1"/>
  <c r="CH164" i="22" a="1"/>
  <c r="CH164" i="22" s="1"/>
  <c r="BJ164" i="22" a="1"/>
  <c r="BJ164" i="22" s="1"/>
  <c r="T191" i="22" s="1" a="1"/>
  <c r="T191" i="22" s="1"/>
  <c r="AL164" i="22" a="1"/>
  <c r="AL164" i="22" s="1"/>
  <c r="T199" i="22" s="1" a="1"/>
  <c r="T199" i="22" s="1"/>
  <c r="N164" i="22" a="1"/>
  <c r="N164" i="22" s="1"/>
  <c r="DE164" i="22" a="1"/>
  <c r="DE164" i="22" s="1"/>
  <c r="CO164" i="22" a="1"/>
  <c r="CO164" i="22" s="1"/>
  <c r="BY164" i="22" a="1"/>
  <c r="BY164" i="22" s="1"/>
  <c r="T186" i="22" s="1" a="1"/>
  <c r="T186" i="22" s="1"/>
  <c r="BA164" i="22" a="1"/>
  <c r="BA164" i="22" s="1"/>
  <c r="T194" i="22" s="1" a="1"/>
  <c r="T194" i="22" s="1"/>
  <c r="AC164" i="22" a="1"/>
  <c r="AC164" i="22" s="1"/>
  <c r="DD164" i="22" a="1"/>
  <c r="DD164" i="22" s="1"/>
  <c r="BX164" i="22" a="1"/>
  <c r="BX164" i="22" s="1"/>
  <c r="AR164" i="22" a="1"/>
  <c r="AR164" i="22" s="1"/>
  <c r="T197" i="22" s="1" a="1"/>
  <c r="T197" i="22" s="1"/>
  <c r="L164" i="22" a="1"/>
  <c r="L164" i="22" s="1"/>
  <c r="G164" i="22" a="1"/>
  <c r="G164" i="22" s="1"/>
  <c r="DQ164" i="22" a="1"/>
  <c r="DQ164" i="22" s="1"/>
  <c r="DI164" i="22" a="1"/>
  <c r="DI164" i="22" s="1"/>
  <c r="T174" i="22" s="1" a="1"/>
  <c r="T174" i="22" s="1"/>
  <c r="DA164" i="22" a="1"/>
  <c r="DA164" i="22" s="1"/>
  <c r="CS164" i="22" a="1"/>
  <c r="CS164" i="22" s="1"/>
  <c r="CK164" i="22" a="1"/>
  <c r="CK164" i="22" s="1"/>
  <c r="T182" i="22" s="1" a="1"/>
  <c r="T182" i="22" s="1"/>
  <c r="CC164" i="22" a="1"/>
  <c r="CC164" i="22" s="1"/>
  <c r="BU164" i="22" a="1"/>
  <c r="BU164" i="22" s="1"/>
  <c r="BM164" i="22" a="1"/>
  <c r="BM164" i="22" s="1"/>
  <c r="BE164" i="22" a="1"/>
  <c r="BE164" i="22" s="1"/>
  <c r="AW164" i="22" a="1"/>
  <c r="AW164" i="22" s="1"/>
  <c r="AO164" i="22" a="1"/>
  <c r="AO164" i="22" s="1"/>
  <c r="AG164" i="22" a="1"/>
  <c r="AG164" i="22" s="1"/>
  <c r="Y164" i="22" a="1"/>
  <c r="Y164" i="22" s="1"/>
  <c r="Q164" i="22" a="1"/>
  <c r="Q164" i="22" s="1"/>
  <c r="T206" i="22" s="1" a="1"/>
  <c r="T206" i="22" s="1"/>
  <c r="DX164" i="22" a="1"/>
  <c r="DX164" i="22" s="1"/>
  <c r="CB164" i="22" a="1"/>
  <c r="CB164" i="22" s="1"/>
  <c r="BD164" i="22" a="1"/>
  <c r="BD164" i="22" s="1"/>
  <c r="AF164" i="22" a="1"/>
  <c r="AF164" i="22" s="1"/>
  <c r="T201" i="22" s="1" a="1"/>
  <c r="T201" i="22" s="1"/>
  <c r="CY164" i="22" a="1"/>
  <c r="CY164" i="22" s="1"/>
  <c r="BS164" i="22" a="1"/>
  <c r="BS164" i="22" s="1"/>
  <c r="T188" i="22" s="1" a="1"/>
  <c r="T188" i="22" s="1"/>
  <c r="AU164" i="22" a="1"/>
  <c r="AU164" i="22" s="1"/>
  <c r="W164" i="22" a="1"/>
  <c r="W164" i="22" s="1"/>
  <c r="DF164" i="22" a="1"/>
  <c r="DF164" i="22" s="1"/>
  <c r="BR164" i="22" a="1"/>
  <c r="BR164" i="22" s="1"/>
  <c r="AT164" i="22" a="1"/>
  <c r="AT164" i="22" s="1"/>
  <c r="V164" i="22" a="1"/>
  <c r="V164" i="22" s="1"/>
  <c r="DM164" i="22" a="1"/>
  <c r="DM164" i="22" s="1"/>
  <c r="CW164" i="22" a="1"/>
  <c r="CW164" i="22" s="1"/>
  <c r="CG164" i="22" a="1"/>
  <c r="CG164" i="22" s="1"/>
  <c r="BI164" i="22" a="1"/>
  <c r="BI164" i="22" s="1"/>
  <c r="AS164" i="22" a="1"/>
  <c r="AS164" i="22" s="1"/>
  <c r="DT164" i="22" a="1"/>
  <c r="DT164" i="22" s="1"/>
  <c r="CN164" i="22" a="1"/>
  <c r="CN164" i="22" s="1"/>
  <c r="BP164" i="22" a="1"/>
  <c r="BP164" i="22" s="1"/>
  <c r="T189" i="22" s="1" a="1"/>
  <c r="T189" i="22" s="1"/>
  <c r="AJ164" i="22" a="1"/>
  <c r="AJ164" i="22" s="1"/>
  <c r="T164" i="22" a="1"/>
  <c r="T164" i="22" s="1"/>
  <c r="CZ164" i="22" a="1"/>
  <c r="CZ164" i="22" s="1"/>
  <c r="T177" i="22" s="1" a="1"/>
  <c r="T177" i="22" s="1"/>
  <c r="BQ164" i="22" a="1"/>
  <c r="BQ164" i="22" s="1"/>
  <c r="AK164" i="22" a="1"/>
  <c r="AK164" i="22" s="1"/>
  <c r="CV164" i="22" a="1"/>
  <c r="CV164" i="22" s="1"/>
  <c r="AZ164" i="22" a="1"/>
  <c r="AZ164" i="22" s="1"/>
  <c r="DV164" i="22" a="1"/>
  <c r="DV164" i="22" s="1"/>
  <c r="DN164" i="22" a="1"/>
  <c r="DN164" i="22" s="1"/>
  <c r="CP164" i="22" a="1"/>
  <c r="CP164" i="22" s="1"/>
  <c r="DU164" i="22" a="1"/>
  <c r="DU164" i="22" s="1"/>
  <c r="T170" i="22" s="1" a="1"/>
  <c r="T170" i="22" s="1"/>
  <c r="M164" i="22" a="1"/>
  <c r="M164" i="22" s="1"/>
  <c r="H164" i="22" a="1"/>
  <c r="H164" i="22" s="1"/>
  <c r="T202" i="22" l="1" a="1"/>
  <c r="T202" i="22" s="1"/>
  <c r="T205" i="22" a="1"/>
  <c r="T205" i="22" s="1"/>
  <c r="V205" i="22" s="1"/>
  <c r="AB205" i="22" s="1"/>
  <c r="AC205" i="22" s="1"/>
  <c r="T171" i="22" a="1"/>
  <c r="T171" i="22" s="1"/>
  <c r="T193" i="22" a="1"/>
  <c r="T193" i="22" s="1"/>
  <c r="V193" i="22" s="1"/>
  <c r="AB193" i="22" s="1"/>
  <c r="AC193" i="22" s="1"/>
  <c r="T196" i="22" a="1"/>
  <c r="T196" i="22" s="1"/>
  <c r="V196" i="22" s="1"/>
  <c r="AB196" i="22" s="1"/>
  <c r="AC196" i="22" s="1"/>
  <c r="T204" i="22" a="1"/>
  <c r="T204" i="22" s="1"/>
  <c r="U204" i="22" s="1"/>
  <c r="W204" i="22" s="1"/>
  <c r="T207" i="22" a="1"/>
  <c r="T207" i="22" s="1"/>
  <c r="V207" i="22" s="1"/>
  <c r="AB207" i="22" s="1"/>
  <c r="AC207" i="22" s="1"/>
  <c r="T203" i="22" a="1"/>
  <c r="T203" i="22" s="1"/>
  <c r="U203" i="22" s="1"/>
  <c r="W203" i="22" s="1"/>
  <c r="T173" i="22" a="1"/>
  <c r="T173" i="22" s="1"/>
  <c r="V173" i="22" s="1"/>
  <c r="AB173" i="22" s="1"/>
  <c r="AC173" i="22" s="1"/>
  <c r="T198" i="22" a="1"/>
  <c r="T198" i="22" s="1"/>
  <c r="U198" i="22" s="1"/>
  <c r="W198" i="22" s="1"/>
  <c r="T183" i="22" a="1"/>
  <c r="T183" i="22" s="1"/>
  <c r="V183" i="22" s="1"/>
  <c r="AB183" i="22" s="1"/>
  <c r="AC183" i="22" s="1"/>
  <c r="T195" i="22" a="1"/>
  <c r="T195" i="22" s="1"/>
  <c r="V195" i="22" s="1"/>
  <c r="AB195" i="22" s="1"/>
  <c r="AC195" i="22" s="1"/>
  <c r="T172" i="22" a="1"/>
  <c r="T172" i="22" s="1"/>
  <c r="U172" i="22" s="1"/>
  <c r="W172" i="22" s="1"/>
  <c r="T200" i="22" a="1"/>
  <c r="T200" i="22" s="1"/>
  <c r="U200" i="22" s="1"/>
  <c r="W200" i="22" s="1"/>
  <c r="T181" i="22" a="1"/>
  <c r="T181" i="22" s="1"/>
  <c r="V181" i="22" s="1"/>
  <c r="AB181" i="22" s="1"/>
  <c r="AC181" i="22" s="1"/>
  <c r="T176" i="22" a="1"/>
  <c r="T176" i="22" s="1"/>
  <c r="V176" i="22" s="1"/>
  <c r="AB176" i="22" s="1"/>
  <c r="AC176" i="22" s="1"/>
  <c r="T178" i="22" a="1"/>
  <c r="T178" i="22" s="1"/>
  <c r="T185" i="22" a="1"/>
  <c r="T185" i="22" s="1"/>
  <c r="V185" i="22" s="1"/>
  <c r="AB185" i="22" s="1"/>
  <c r="AC185" i="22" s="1"/>
  <c r="T190" i="22" a="1"/>
  <c r="T190" i="22" s="1"/>
  <c r="V190" i="22" s="1"/>
  <c r="AB190" i="22" s="1"/>
  <c r="AC190" i="22" s="1"/>
  <c r="T187" i="22" a="1"/>
  <c r="T187" i="22" s="1"/>
  <c r="U187" i="22" s="1"/>
  <c r="W187" i="22" s="1"/>
  <c r="T175" i="22" a="1"/>
  <c r="T175" i="22" s="1"/>
  <c r="V175" i="22" s="1"/>
  <c r="AB175" i="22" s="1"/>
  <c r="AC175" i="22" s="1"/>
  <c r="T169" i="22" a="1"/>
  <c r="T169" i="22" s="1"/>
  <c r="U169" i="22" s="1"/>
  <c r="W169" i="22" s="1"/>
  <c r="T168" i="22" a="1"/>
  <c r="T168" i="22" s="1"/>
  <c r="T180" i="22" a="1"/>
  <c r="T180" i="22" s="1"/>
  <c r="V180" i="22" s="1"/>
  <c r="AB180" i="22" s="1"/>
  <c r="AC180" i="22" s="1"/>
  <c r="T192" i="22" a="1"/>
  <c r="T192" i="22" s="1"/>
  <c r="U170" i="22"/>
  <c r="W170" i="22" s="1"/>
  <c r="V170" i="22"/>
  <c r="AB170" i="22" s="1"/>
  <c r="AC170" i="22" s="1"/>
  <c r="U182" i="22"/>
  <c r="W182" i="22" s="1"/>
  <c r="V182" i="22"/>
  <c r="AB182" i="22" s="1"/>
  <c r="AC182" i="22" s="1"/>
  <c r="U196" i="22"/>
  <c r="W196" i="22" s="1"/>
  <c r="U177" i="22"/>
  <c r="W177" i="22" s="1"/>
  <c r="V177" i="22"/>
  <c r="AB177" i="22" s="1"/>
  <c r="AC177" i="22" s="1"/>
  <c r="U206" i="22"/>
  <c r="W206" i="22" s="1"/>
  <c r="V206" i="22"/>
  <c r="AB206" i="22" s="1"/>
  <c r="AC206" i="22" s="1"/>
  <c r="U197" i="22"/>
  <c r="W197" i="22" s="1"/>
  <c r="V197" i="22"/>
  <c r="AB197" i="22" s="1"/>
  <c r="AC197" i="22" s="1"/>
  <c r="U199" i="22"/>
  <c r="W199" i="22" s="1"/>
  <c r="V199" i="22"/>
  <c r="AB199" i="22" s="1"/>
  <c r="AC199" i="22" s="1"/>
  <c r="U179" i="22"/>
  <c r="W179" i="22" s="1"/>
  <c r="V179" i="22"/>
  <c r="AB179" i="22" s="1"/>
  <c r="AC179" i="22" s="1"/>
  <c r="U208" i="22"/>
  <c r="W208" i="22" s="1"/>
  <c r="V208" i="22"/>
  <c r="AB208" i="22" s="1"/>
  <c r="AC208" i="22" s="1"/>
  <c r="U191" i="22"/>
  <c r="W191" i="22" s="1"/>
  <c r="V191" i="22"/>
  <c r="AB191" i="22" s="1"/>
  <c r="AC191" i="22" s="1"/>
  <c r="U184" i="22"/>
  <c r="W184" i="22" s="1"/>
  <c r="V184" i="22"/>
  <c r="AB184" i="22" s="1"/>
  <c r="AC184" i="22" s="1"/>
  <c r="U178" i="22"/>
  <c r="W178" i="22" s="1"/>
  <c r="V178" i="22"/>
  <c r="AB178" i="22" s="1"/>
  <c r="AC178" i="22" s="1"/>
  <c r="V198" i="22"/>
  <c r="AB198" i="22" s="1"/>
  <c r="AC198" i="22" s="1"/>
  <c r="U202" i="22"/>
  <c r="W202" i="22" s="1"/>
  <c r="V202" i="22"/>
  <c r="AB202" i="22" s="1"/>
  <c r="AC202" i="22" s="1"/>
  <c r="V201" i="22"/>
  <c r="AB201" i="22" s="1"/>
  <c r="AC201" i="22" s="1"/>
  <c r="U201" i="22"/>
  <c r="W201" i="22" s="1"/>
  <c r="U194" i="22"/>
  <c r="W194" i="22" s="1"/>
  <c r="V194" i="22"/>
  <c r="AB194" i="22" s="1"/>
  <c r="AC194" i="22" s="1"/>
  <c r="V171" i="22"/>
  <c r="AB171" i="22" s="1"/>
  <c r="AC171" i="22" s="1"/>
  <c r="U171" i="22"/>
  <c r="W171" i="22" s="1"/>
  <c r="V186" i="22"/>
  <c r="AB186" i="22" s="1"/>
  <c r="AC186" i="22" s="1"/>
  <c r="U186" i="22"/>
  <c r="W186" i="22" s="1"/>
  <c r="U188" i="22"/>
  <c r="W188" i="22" s="1"/>
  <c r="V188" i="22"/>
  <c r="AB188" i="22" s="1"/>
  <c r="AC188" i="22" s="1"/>
  <c r="U174" i="22"/>
  <c r="W174" i="22" s="1"/>
  <c r="V174" i="22"/>
  <c r="AB174" i="22" s="1"/>
  <c r="AC174" i="22" s="1"/>
  <c r="U185" i="22"/>
  <c r="W185" i="22" s="1"/>
  <c r="U190" i="22"/>
  <c r="W190" i="22" s="1"/>
  <c r="V189" i="22"/>
  <c r="AB189" i="22" s="1"/>
  <c r="AC189" i="22" s="1"/>
  <c r="U189" i="22"/>
  <c r="W189" i="22" s="1"/>
  <c r="U193" i="22"/>
  <c r="W193" i="22" s="1"/>
  <c r="U192" i="22"/>
  <c r="W192" i="22" s="1"/>
  <c r="V192" i="22"/>
  <c r="AB192" i="22" s="1"/>
  <c r="AC192" i="22" s="1"/>
  <c r="V187" i="22" l="1"/>
  <c r="AB187" i="22" s="1"/>
  <c r="AC187" i="22" s="1"/>
  <c r="V172" i="22"/>
  <c r="AB172" i="22" s="1"/>
  <c r="AC172" i="22" s="1"/>
  <c r="U205" i="22"/>
  <c r="W205" i="22" s="1"/>
  <c r="V200" i="22"/>
  <c r="AB200" i="22" s="1"/>
  <c r="AC200" i="22" s="1"/>
  <c r="U181" i="22"/>
  <c r="W181" i="22" s="1"/>
  <c r="Y181" i="22" s="1"/>
  <c r="V203" i="22"/>
  <c r="AB203" i="22" s="1"/>
  <c r="AC203" i="22" s="1"/>
  <c r="AE203" i="22" s="1"/>
  <c r="V204" i="22"/>
  <c r="AB204" i="22" s="1"/>
  <c r="AC204" i="22" s="1"/>
  <c r="AE204" i="22" s="1"/>
  <c r="U180" i="22"/>
  <c r="W180" i="22" s="1"/>
  <c r="Y180" i="22" s="1"/>
  <c r="U207" i="22"/>
  <c r="W207" i="22" s="1"/>
  <c r="D207" i="22" s="1"/>
  <c r="U176" i="22"/>
  <c r="W176" i="22" s="1"/>
  <c r="I176" i="22" s="1"/>
  <c r="V169" i="22"/>
  <c r="AB169" i="22" s="1"/>
  <c r="AC169" i="22" s="1"/>
  <c r="AD169" i="22" s="1"/>
  <c r="U175" i="22"/>
  <c r="W175" i="22" s="1"/>
  <c r="I175" i="22" s="1"/>
  <c r="U183" i="22"/>
  <c r="W183" i="22" s="1"/>
  <c r="Y183" i="22" s="1"/>
  <c r="U195" i="22"/>
  <c r="W195" i="22" s="1"/>
  <c r="Y195" i="22" s="1"/>
  <c r="U173" i="22"/>
  <c r="W173" i="22" s="1"/>
  <c r="D173" i="22" s="1"/>
  <c r="V168" i="22"/>
  <c r="AB168" i="22" s="1"/>
  <c r="AC168" i="22" s="1"/>
  <c r="U168" i="22"/>
  <c r="W168" i="22" s="1"/>
  <c r="X174" i="22"/>
  <c r="Y174" i="22"/>
  <c r="D174" i="22"/>
  <c r="I174" i="22"/>
  <c r="I171" i="22"/>
  <c r="Y171" i="22"/>
  <c r="X171" i="22"/>
  <c r="D171" i="22"/>
  <c r="AD192" i="22"/>
  <c r="AE192" i="22"/>
  <c r="AD193" i="22"/>
  <c r="AE193" i="22"/>
  <c r="AD185" i="22"/>
  <c r="AE185" i="22"/>
  <c r="AD194" i="22"/>
  <c r="AE194" i="22"/>
  <c r="D183" i="22"/>
  <c r="AD184" i="22"/>
  <c r="AE184" i="22"/>
  <c r="AE199" i="22"/>
  <c r="AD199" i="22"/>
  <c r="AD197" i="22"/>
  <c r="AE197" i="22"/>
  <c r="AE177" i="22"/>
  <c r="AD177" i="22"/>
  <c r="AE176" i="22"/>
  <c r="AD176" i="22"/>
  <c r="AE183" i="22"/>
  <c r="AD183" i="22"/>
  <c r="I184" i="22"/>
  <c r="D184" i="22"/>
  <c r="Y184" i="22"/>
  <c r="X184" i="22"/>
  <c r="X199" i="22"/>
  <c r="D199" i="22"/>
  <c r="Y199" i="22"/>
  <c r="I199" i="22"/>
  <c r="D197" i="22"/>
  <c r="Y197" i="22"/>
  <c r="I197" i="22"/>
  <c r="X197" i="22"/>
  <c r="Y177" i="22"/>
  <c r="D177" i="22"/>
  <c r="X177" i="22"/>
  <c r="I177" i="22"/>
  <c r="Y201" i="22"/>
  <c r="X201" i="22"/>
  <c r="I201" i="22"/>
  <c r="D201" i="22"/>
  <c r="X196" i="22"/>
  <c r="D196" i="22"/>
  <c r="Y196" i="22"/>
  <c r="I196" i="22"/>
  <c r="X194" i="22"/>
  <c r="I194" i="22"/>
  <c r="Y194" i="22"/>
  <c r="D194" i="22"/>
  <c r="AD180" i="22"/>
  <c r="AE180" i="22"/>
  <c r="Y189" i="22"/>
  <c r="I189" i="22"/>
  <c r="D189" i="22"/>
  <c r="X189" i="22"/>
  <c r="I181" i="22"/>
  <c r="X181" i="22"/>
  <c r="X186" i="22"/>
  <c r="Y186" i="22"/>
  <c r="D186" i="22"/>
  <c r="I186" i="22"/>
  <c r="AD202" i="22"/>
  <c r="AE202" i="22"/>
  <c r="AD191" i="22"/>
  <c r="AE191" i="22"/>
  <c r="AE206" i="22"/>
  <c r="AD206" i="22"/>
  <c r="AE189" i="22"/>
  <c r="AD189" i="22"/>
  <c r="AD181" i="22"/>
  <c r="AE181" i="22"/>
  <c r="AE186" i="22"/>
  <c r="AD186" i="22"/>
  <c r="AE201" i="22"/>
  <c r="AD201" i="22"/>
  <c r="I202" i="22"/>
  <c r="Y202" i="22"/>
  <c r="D202" i="22"/>
  <c r="X202" i="22"/>
  <c r="D191" i="22"/>
  <c r="I191" i="22"/>
  <c r="X191" i="22"/>
  <c r="Y191" i="22"/>
  <c r="AD173" i="22"/>
  <c r="AE173" i="22"/>
  <c r="Y206" i="22"/>
  <c r="X206" i="22"/>
  <c r="D206" i="22"/>
  <c r="I206" i="22"/>
  <c r="AD196" i="22"/>
  <c r="AE196" i="22"/>
  <c r="X187" i="22"/>
  <c r="Y187" i="22"/>
  <c r="D187" i="22"/>
  <c r="I187" i="22"/>
  <c r="AE174" i="22"/>
  <c r="AD174" i="22"/>
  <c r="AE200" i="22"/>
  <c r="AD200" i="22"/>
  <c r="AD172" i="22"/>
  <c r="AE172" i="22"/>
  <c r="AD198" i="22"/>
  <c r="AE198" i="22"/>
  <c r="AE208" i="22"/>
  <c r="AD208" i="22"/>
  <c r="D204" i="22"/>
  <c r="Y204" i="22"/>
  <c r="X204" i="22"/>
  <c r="I204" i="22"/>
  <c r="AE182" i="22"/>
  <c r="AD182" i="22"/>
  <c r="Y193" i="22"/>
  <c r="D193" i="22"/>
  <c r="X193" i="22"/>
  <c r="I193" i="22"/>
  <c r="D169" i="22"/>
  <c r="X169" i="22"/>
  <c r="Y169" i="22"/>
  <c r="I169" i="22"/>
  <c r="I200" i="22"/>
  <c r="Y200" i="22"/>
  <c r="X200" i="22"/>
  <c r="D200" i="22"/>
  <c r="Y172" i="22"/>
  <c r="I172" i="22"/>
  <c r="D172" i="22"/>
  <c r="X172" i="22"/>
  <c r="X198" i="22"/>
  <c r="I198" i="22"/>
  <c r="D198" i="22"/>
  <c r="Y198" i="22"/>
  <c r="Y208" i="22"/>
  <c r="D208" i="22"/>
  <c r="I208" i="22"/>
  <c r="X208" i="22"/>
  <c r="Y203" i="22"/>
  <c r="D203" i="22"/>
  <c r="X203" i="22"/>
  <c r="I203" i="22"/>
  <c r="X182" i="22"/>
  <c r="Y182" i="22"/>
  <c r="I182" i="22"/>
  <c r="D182" i="22"/>
  <c r="Y185" i="22"/>
  <c r="D185" i="22"/>
  <c r="I185" i="22"/>
  <c r="X185" i="22"/>
  <c r="AD188" i="22"/>
  <c r="AE188" i="22"/>
  <c r="AD178" i="22"/>
  <c r="AE178" i="22"/>
  <c r="X207" i="22"/>
  <c r="I207" i="22"/>
  <c r="AE170" i="22"/>
  <c r="AD170" i="22"/>
  <c r="I192" i="22"/>
  <c r="Y192" i="22"/>
  <c r="D192" i="22"/>
  <c r="X192" i="22"/>
  <c r="AD187" i="22"/>
  <c r="AE187" i="22"/>
  <c r="D190" i="22"/>
  <c r="I190" i="22"/>
  <c r="Y190" i="22"/>
  <c r="X190" i="22"/>
  <c r="AE195" i="22"/>
  <c r="AD195" i="22"/>
  <c r="AE179" i="22"/>
  <c r="AD179" i="22"/>
  <c r="D205" i="22"/>
  <c r="X205" i="22"/>
  <c r="Y205" i="22"/>
  <c r="I205" i="22"/>
  <c r="AD175" i="22"/>
  <c r="AE175" i="22"/>
  <c r="AD190" i="22"/>
  <c r="AE190" i="22"/>
  <c r="D188" i="22"/>
  <c r="I188" i="22"/>
  <c r="Y188" i="22"/>
  <c r="X188" i="22"/>
  <c r="AE171" i="22"/>
  <c r="AD171" i="22"/>
  <c r="I195" i="22"/>
  <c r="X178" i="22"/>
  <c r="D178" i="22"/>
  <c r="Y178" i="22"/>
  <c r="I178" i="22"/>
  <c r="I179" i="22"/>
  <c r="X179" i="22"/>
  <c r="D179" i="22"/>
  <c r="Y179" i="22"/>
  <c r="AD207" i="22"/>
  <c r="AE207" i="22"/>
  <c r="AE205" i="22"/>
  <c r="AD205" i="22"/>
  <c r="X170" i="22"/>
  <c r="Y170" i="22"/>
  <c r="I170" i="22"/>
  <c r="D170" i="22"/>
  <c r="AD203" i="22" l="1"/>
  <c r="X195" i="22"/>
  <c r="I180" i="22"/>
  <c r="D180" i="22"/>
  <c r="AL180" i="22" s="1"/>
  <c r="AM180" i="22" s="1"/>
  <c r="X180" i="22"/>
  <c r="AD204" i="22"/>
  <c r="D181" i="22"/>
  <c r="AL181" i="22" s="1"/>
  <c r="AM181" i="22" s="1"/>
  <c r="Y207" i="22"/>
  <c r="I173" i="22"/>
  <c r="Y173" i="22"/>
  <c r="D176" i="22"/>
  <c r="H176" i="22" s="1"/>
  <c r="X176" i="22"/>
  <c r="AE169" i="22"/>
  <c r="X173" i="22"/>
  <c r="I183" i="22"/>
  <c r="D175" i="22"/>
  <c r="AL175" i="22" s="1"/>
  <c r="AM175" i="22" s="1"/>
  <c r="X183" i="22"/>
  <c r="X175" i="22"/>
  <c r="Y176" i="22"/>
  <c r="Y175" i="22"/>
  <c r="I168" i="22"/>
  <c r="D168" i="22"/>
  <c r="Y168" i="22"/>
  <c r="X168" i="22"/>
  <c r="D195" i="22"/>
  <c r="H195" i="22" s="1"/>
  <c r="AD168" i="22"/>
  <c r="AE168" i="22"/>
  <c r="AL170" i="22"/>
  <c r="AM170" i="22" s="1"/>
  <c r="H170" i="22"/>
  <c r="G170" i="22"/>
  <c r="G173" i="22"/>
  <c r="H173" i="22"/>
  <c r="AL173" i="22"/>
  <c r="AM173" i="22" s="1"/>
  <c r="H199" i="22"/>
  <c r="AL199" i="22"/>
  <c r="AM199" i="22" s="1"/>
  <c r="G199" i="22"/>
  <c r="AL190" i="22"/>
  <c r="AM190" i="22" s="1"/>
  <c r="G190" i="22"/>
  <c r="H190" i="22"/>
  <c r="G180" i="22"/>
  <c r="AL187" i="22"/>
  <c r="AM187" i="22" s="1"/>
  <c r="H187" i="22"/>
  <c r="G187" i="22"/>
  <c r="AL188" i="22"/>
  <c r="AM188" i="22" s="1"/>
  <c r="G188" i="22"/>
  <c r="H188" i="22"/>
  <c r="G172" i="22"/>
  <c r="AL172" i="22"/>
  <c r="AM172" i="22" s="1"/>
  <c r="H172" i="22"/>
  <c r="G196" i="22"/>
  <c r="AL196" i="22"/>
  <c r="AM196" i="22" s="1"/>
  <c r="H196" i="22"/>
  <c r="AL169" i="22"/>
  <c r="AM169" i="22" s="1"/>
  <c r="G169" i="22"/>
  <c r="H169" i="22"/>
  <c r="G191" i="22"/>
  <c r="AL191" i="22"/>
  <c r="AM191" i="22" s="1"/>
  <c r="H191" i="22"/>
  <c r="AL185" i="22"/>
  <c r="AM185" i="22" s="1"/>
  <c r="H185" i="22"/>
  <c r="G185" i="22"/>
  <c r="H200" i="22"/>
  <c r="G200" i="22"/>
  <c r="AL200" i="22"/>
  <c r="AM200" i="22" s="1"/>
  <c r="H194" i="22"/>
  <c r="G194" i="22"/>
  <c r="AL194" i="22"/>
  <c r="AM194" i="22" s="1"/>
  <c r="H171" i="22"/>
  <c r="AL171" i="22"/>
  <c r="AM171" i="22" s="1"/>
  <c r="G171" i="22"/>
  <c r="H192" i="22"/>
  <c r="AL192" i="22"/>
  <c r="AM192" i="22" s="1"/>
  <c r="G192" i="22"/>
  <c r="AL198" i="22"/>
  <c r="AM198" i="22" s="1"/>
  <c r="G198" i="22"/>
  <c r="H198" i="22"/>
  <c r="H203" i="22"/>
  <c r="G203" i="22"/>
  <c r="AL203" i="22"/>
  <c r="AM203" i="22" s="1"/>
  <c r="AL193" i="22"/>
  <c r="AM193" i="22" s="1"/>
  <c r="H193" i="22"/>
  <c r="G193" i="22"/>
  <c r="AL184" i="22"/>
  <c r="AM184" i="22" s="1"/>
  <c r="G184" i="22"/>
  <c r="H184" i="22"/>
  <c r="H183" i="22"/>
  <c r="AL183" i="22"/>
  <c r="AM183" i="22" s="1"/>
  <c r="G183" i="22"/>
  <c r="G179" i="22"/>
  <c r="AL179" i="22"/>
  <c r="AM179" i="22" s="1"/>
  <c r="H179" i="22"/>
  <c r="H205" i="22"/>
  <c r="AL205" i="22"/>
  <c r="AM205" i="22" s="1"/>
  <c r="G205" i="22"/>
  <c r="G208" i="22"/>
  <c r="AL208" i="22"/>
  <c r="AM208" i="22" s="1"/>
  <c r="H208" i="22"/>
  <c r="H177" i="22"/>
  <c r="AL177" i="22"/>
  <c r="AM177" i="22" s="1"/>
  <c r="G177" i="22"/>
  <c r="H206" i="22"/>
  <c r="AL206" i="22"/>
  <c r="AM206" i="22" s="1"/>
  <c r="G206" i="22"/>
  <c r="H201" i="22"/>
  <c r="G201" i="22"/>
  <c r="AL201" i="22"/>
  <c r="AM201" i="22" s="1"/>
  <c r="G207" i="22"/>
  <c r="AL207" i="22"/>
  <c r="AM207" i="22" s="1"/>
  <c r="H207" i="22"/>
  <c r="H204" i="22"/>
  <c r="AL204" i="22"/>
  <c r="AM204" i="22" s="1"/>
  <c r="G204" i="22"/>
  <c r="G202" i="22"/>
  <c r="AL202" i="22"/>
  <c r="AM202" i="22" s="1"/>
  <c r="H202" i="22"/>
  <c r="AL174" i="22"/>
  <c r="AM174" i="22" s="1"/>
  <c r="H174" i="22"/>
  <c r="G174" i="22"/>
  <c r="G178" i="22"/>
  <c r="AL178" i="22"/>
  <c r="AM178" i="22" s="1"/>
  <c r="H178" i="22"/>
  <c r="G182" i="22"/>
  <c r="AL182" i="22"/>
  <c r="AM182" i="22" s="1"/>
  <c r="H182" i="22"/>
  <c r="G186" i="22"/>
  <c r="H186" i="22"/>
  <c r="AL186" i="22"/>
  <c r="AM186" i="22" s="1"/>
  <c r="AL189" i="22"/>
  <c r="AM189" i="22" s="1"/>
  <c r="H189" i="22"/>
  <c r="G189" i="22"/>
  <c r="G197" i="22"/>
  <c r="H197" i="22"/>
  <c r="AL197" i="22"/>
  <c r="AM197" i="22" s="1"/>
  <c r="H180" i="22" l="1"/>
  <c r="G181" i="22"/>
  <c r="H181" i="22"/>
  <c r="AL176" i="22"/>
  <c r="AM176" i="22" s="1"/>
  <c r="AL195" i="22"/>
  <c r="AM195" i="22" s="1"/>
  <c r="G176" i="22"/>
  <c r="H175" i="22"/>
  <c r="G195" i="22"/>
  <c r="G175" i="22"/>
  <c r="AL168" i="22"/>
  <c r="AM168" i="22" s="1"/>
  <c r="G168" i="22"/>
  <c r="H168" i="22"/>
  <c r="G209" i="22"/>
  <c r="D209" i="22" s="1"/>
  <c r="G210" i="22"/>
  <c r="D210" i="22" s="1"/>
  <c r="H209" i="22" l="1"/>
  <c r="AL209" i="22"/>
  <c r="AM209" i="22" s="1"/>
  <c r="AL210" i="22"/>
  <c r="AM210" i="22" s="1"/>
  <c r="H210" i="2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<sst xmlns="http://schemas.openxmlformats.org/spreadsheetml/2006/main" count="878" uniqueCount="68">
  <si>
    <t>Pago</t>
  </si>
  <si>
    <t>Ratios</t>
  </si>
  <si>
    <t>Periodo inicial</t>
  </si>
  <si>
    <t>Periodo final</t>
  </si>
  <si>
    <t>Percentil</t>
  </si>
  <si>
    <t>Incurrido</t>
  </si>
  <si>
    <t>PROMEDIO</t>
  </si>
  <si>
    <t>MEDIANA</t>
  </si>
  <si>
    <t>PROMEDIO PONDERADO</t>
  </si>
  <si>
    <t>MINIMO</t>
  </si>
  <si>
    <t>MAXIMO</t>
  </si>
  <si>
    <t>PERCENTIL 1</t>
  </si>
  <si>
    <t>PERCENTIL 2</t>
  </si>
  <si>
    <t>PROMEDIO VENTANA</t>
  </si>
  <si>
    <t>MEDIANA VENTANA</t>
  </si>
  <si>
    <t>PROMEDIO PONDERADO VENTANA</t>
  </si>
  <si>
    <t>MINIMO VENTANA</t>
  </si>
  <si>
    <t>MAXIMO VENTANA</t>
  </si>
  <si>
    <t>PERCENTIL 1 VENTANA</t>
  </si>
  <si>
    <t>PERCENTIL 2 VENTANA</t>
  </si>
  <si>
    <t>FACTORES SELECCIONADOS</t>
  </si>
  <si>
    <t>FACTORES ACUMULADOS</t>
  </si>
  <si>
    <t>DESARROLLO</t>
  </si>
  <si>
    <t>Pagos</t>
  </si>
  <si>
    <t>Ultimate</t>
  </si>
  <si>
    <t>Metodologia</t>
  </si>
  <si>
    <t>Comentarios</t>
  </si>
  <si>
    <t>Ninguna</t>
  </si>
  <si>
    <t>Prima Devengada</t>
  </si>
  <si>
    <t>Severidad</t>
  </si>
  <si>
    <t>periodo_ocurrencia</t>
  </si>
  <si>
    <t>pago</t>
  </si>
  <si>
    <t>incurrido</t>
  </si>
  <si>
    <t>Exclusiones</t>
  </si>
  <si>
    <t>Ocurrencia</t>
  </si>
  <si>
    <t>Tipo indexacion</t>
  </si>
  <si>
    <t>Medida indexacion</t>
  </si>
  <si>
    <t>Ultima Ocurrencia</t>
  </si>
  <si>
    <t>Variable a despejar</t>
  </si>
  <si>
    <t>% Siniestralidad</t>
  </si>
  <si>
    <t>FACTOR COMPLETITUD DIAGONAL</t>
  </si>
  <si>
    <t>Completar diagonal</t>
  </si>
  <si>
    <t>Estimar</t>
  </si>
  <si>
    <t>% SUE</t>
  </si>
  <si>
    <t>Ajuste SUE</t>
  </si>
  <si>
    <t>Alerta</t>
  </si>
  <si>
    <t>Ultim Actuarial Ant</t>
  </si>
  <si>
    <t>Ultim Contable Ant</t>
  </si>
  <si>
    <t>Prima Dev Anterior</t>
  </si>
  <si>
    <t>% SUE Anterior</t>
  </si>
  <si>
    <t>Pagos Triangulo</t>
  </si>
  <si>
    <t>Incurridos Triangulo</t>
  </si>
  <si>
    <t>Velocidad Triangulo</t>
  </si>
  <si>
    <t>Factor completitud</t>
  </si>
  <si>
    <t>Diagonal completa</t>
  </si>
  <si>
    <t>Velocidad actual</t>
  </si>
  <si>
    <t>Metodologia 1: Mantener velocidades, completar diagonal</t>
  </si>
  <si>
    <t>% SUE BF</t>
  </si>
  <si>
    <t>Velocidad BF</t>
  </si>
  <si>
    <t>Metodologia 2: Bornhuetter-Ferguson</t>
  </si>
  <si>
    <t>% SUE Nuevo</t>
  </si>
  <si>
    <t>Metodologia 3: % Siniestralidad</t>
  </si>
  <si>
    <t>% Ajuste</t>
  </si>
  <si>
    <t>Ajuste parcial</t>
  </si>
  <si>
    <t>Ultimate Contable</t>
  </si>
  <si>
    <t>Comentarios Aj.</t>
  </si>
  <si>
    <t>Ajuste Parcial</t>
  </si>
  <si>
    <t>Modifique las celdas de este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</si>
</sst>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$&quot;* #,##0_);_(&quot;$&quot;* \(#,##0\);_(&quot;$&quot;* &quot;-&quot;_);_(@_)"/>
    <numFmt numFmtId="165" formatCode="_(* #,##0_);_(* \(#,##0\);_(* &quot;-&quot;_);_(@_)"/>
    <numFmt numFmtId="166" formatCode="#,##0.0000"/>
    <numFmt numFmtId="167" formatCode="&quot;$&quot;#,##0"/>
    <numFmt numFmtId="168" formatCode="0.0000%"/>
    <numFmt numFmtId="170" formatCode="0.000%"/>
  </numFmts>
  <fonts count="5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2"/>
      <color rgb="FFFFFFFF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4">
    <xf numFmtId="0" fontId="0" fillId="0" borderId="0" xfId="0"/>
    <xf numFmtId="164" fontId="0" fillId="0" borderId="0" xfId="1" applyFont="1"/>
    <xf numFmtId="0" fontId="3" fillId="2" borderId="0" xfId="0" applyFont="1" applyFill="1"/>
    <xf numFmtId="0" fontId="0" fillId="3" borderId="0" xfId="0" applyFill="1"/>
    <xf numFmtId="0" fontId="0" fillId="4" borderId="0" xfId="0" applyFill="1"/>
    <xf numFmtId="1" fontId="0" fillId="0" borderId="0" xfId="0" applyNumberFormat="1"/>
    <xf numFmtId="165" fontId="0" fillId="0" borderId="0" xfId="2" applyFont="1"/>
    <xf numFmtId="165" fontId="3" fillId="5" borderId="0" xfId="2" applyFont="1" applyFill="1"/>
    <xf numFmtId="166" fontId="0" fillId="0" borderId="0" xfId="0" applyNumberFormat="1"/>
    <xf numFmtId="3" fontId="0" fillId="0" borderId="0" xfId="0" applyNumberFormat="1"/>
    <xf numFmtId="0" fontId="1" fillId="6" borderId="0" xfId="0" applyFont="1" applyFill="1" applyAlignment="1">
      <alignment horizontal="center"/>
    </xf>
    <xf numFmtId="0" fontId="1" fillId="3" borderId="0" xfId="0" applyFont="1" applyFill="1"/>
    <xf numFmtId="0" fontId="1" fillId="4" borderId="0" xfId="0" applyFont="1" applyFill="1"/>
    <xf numFmtId="10" fontId="0" fillId="0" borderId="0" xfId="0" applyNumberFormat="1"/>
    <xf numFmtId="166" fontId="1" fillId="0" borderId="0" xfId="0" applyNumberFormat="1" applyFont="1"/>
    <xf numFmtId="0" fontId="0" fillId="6" borderId="0" xfId="0" applyFill="1"/>
    <xf numFmtId="167" fontId="0" fillId="0" borderId="0" xfId="0" applyNumberFormat="1"/>
    <xf numFmtId="0" fontId="0" fillId="8" borderId="0" xfId="0" applyFill="1" applyAlignment="1">
      <alignment horizontal="center"/>
    </xf>
    <xf numFmtId="0" fontId="0" fillId="10" borderId="0" xfId="0" applyFill="1" applyAlignment="1">
      <alignment horizontal="center"/>
    </xf>
    <xf numFmtId="168" fontId="0" fillId="0" borderId="0" xfId="0" applyNumberFormat="1"/>
    <xf numFmtId="0" fontId="0" fillId="7" borderId="0" xfId="0" applyFill="1"/>
    <xf numFmtId="164" fontId="3" fillId="12" borderId="0" xfId="1" applyFont="1" applyFill="1"/>
    <xf numFmtId="164" fontId="3" fillId="11" borderId="0" xfId="1" applyFont="1" applyFill="1"/>
    <xf numFmtId="164" fontId="3" fillId="9" borderId="0" xfId="1" applyFont="1" applyFill="1"/>
    <xf numFmtId="164" fontId="3" fillId="13" borderId="0" xfId="1" applyFont="1" applyFill="1"/>
    <xf numFmtId="170" fontId="3" fillId="5" borderId="0" xfId="3" applyNumberFormat="1" applyFont="1" applyFill="1"/>
    <xf numFmtId="170" fontId="0" fillId="0" borderId="0" xfId="3" applyNumberFormat="1" applyFont="1"/>
    <xf numFmtId="0" fontId="3" fillId="14" borderId="0" xfId="0" applyFont="1" applyFill="1"/>
    <xf numFmtId="10" fontId="0" fillId="7" borderId="0" xfId="0" applyNumberFormat="1" applyFill="1"/>
    <xf numFmtId="0" fontId="4" fillId="11" borderId="0" xfId="0" applyFont="1" applyFill="1"/>
    <xf numFmtId="3" fontId="0" fillId="7" borderId="0" xfId="0" applyNumberFormat="1" applyFill="1"/>
    <xf numFmtId="0" fontId="1" fillId="7" borderId="0" xfId="0" applyFont="1" applyFill="1"/>
    <xf numFmtId="167" fontId="1" fillId="7" borderId="0" xfId="0" applyNumberFormat="1" applyFont="1" applyFill="1"/>
    <xf numFmtId="10" fontId="1" fillId="7" borderId="0" xfId="0" applyNumberFormat="1" applyFont="1" applyFill="1"/>
  </cellXfs>
  <cellStyles count="4">
    <cellStyle name="Millares [0]" xfId="2" builtinId="6"/>
    <cellStyle name="Moneda [0]" xfId="1" builtinId="7"/>
    <cellStyle name="Normal" xfId="0" builtinId="0"/>
    <cellStyle name="Porcentaje" xfId="3" builtinId="5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Plata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Plantilla_Entremes!$A$169:$A$210</c:f>
              <c:numCache>
                <c:formatCode>General</c:formatCode>
                <c:ptCount val="42"/>
              </c:numCache>
            </c:numRef>
          </c:cat>
          <c:val>
            <c:numRef>
              <c:f>Plantilla_Entremes!$B$169:$B$210</c:f>
              <c:numCache>
                <c:formatCode>"$"#,##0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0-8541-84D9-22332BD0D68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Plantilla_Entremes!$C$169:$C$210</c:f>
              <c:numCache>
                <c:formatCode>"$"#,##0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0-8541-84D9-22332BD0D684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Plantilla_Entremes!$D$169:$D$210</c:f>
              <c:numCache>
                <c:formatCode>"$"#,##0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0-8541-84D9-22332BD0D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4492832"/>
        <c:axId val="674494544"/>
      </c:lineChart>
      <c:catAx>
        <c:axId val="67449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4494544"/>
        <c:crosses val="autoZero"/>
        <c:auto val="1"/>
        <c:lblAlgn val="ctr"/>
        <c:lblOffset val="100"/>
        <c:noMultiLvlLbl val="0"/>
      </c:catAx>
      <c:valAx>
        <c:axId val="67449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449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543560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pertura_Amparo_Desc 5">
              <a:extLst>
                <a:ext uri="{FF2B5EF4-FFF2-40B4-BE49-F238E27FC236}">
                  <a16:creationId xmlns:a16="http://schemas.microsoft.com/office/drawing/2014/main" id="{E9A5903B-00A0-E44E-A853-C6E0D7E6662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4700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900063</xdr:colOff>
      <xdr:row>0</xdr:row>
      <xdr:rowOff>0</xdr:rowOff>
    </xdr:from>
    <xdr:to>
      <xdr:col>12</xdr:col>
      <xdr:colOff>160923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tributo 5">
              <a:extLst>
                <a:ext uri="{FF2B5EF4-FFF2-40B4-BE49-F238E27FC236}">
                  <a16:creationId xmlns:a16="http://schemas.microsoft.com/office/drawing/2014/main" id="{542DCF0D-31F3-EE4F-BF91-BFA48CE207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1163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</xdr:colOff>
      <xdr:row>9</xdr:row>
      <xdr:rowOff>0</xdr:rowOff>
    </xdr:from>
    <xdr:to>
      <xdr:col>3</xdr:col>
      <xdr:colOff>660401</xdr:colOff>
      <xdr:row>27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amo_Desc 5">
              <a:extLst>
                <a:ext uri="{FF2B5EF4-FFF2-40B4-BE49-F238E27FC236}">
                  <a16:creationId xmlns:a16="http://schemas.microsoft.com/office/drawing/2014/main" id="{3DAC71A7-7745-A744-A4B9-06860E11D1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1" y="1828800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90311</xdr:rowOff>
    </xdr:from>
    <xdr:to>
      <xdr:col>3</xdr:col>
      <xdr:colOff>660400</xdr:colOff>
      <xdr:row>50</xdr:row>
      <xdr:rowOff>64911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pertura_Canal_Desc 5">
              <a:extLst>
                <a:ext uri="{FF2B5EF4-FFF2-40B4-BE49-F238E27FC236}">
                  <a16:creationId xmlns:a16="http://schemas.microsoft.com/office/drawing/2014/main" id="{C4F15B19-D681-A843-81E2-1353B674BD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0" y="5779911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123</xdr:row>
      <xdr:rowOff>0</xdr:rowOff>
    </xdr:from>
    <xdr:to>
      <xdr:col>3</xdr:col>
      <xdr:colOff>1130300</xdr:colOff>
      <xdr:row>136</xdr:row>
      <xdr:rowOff>101600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E738380-C923-9507-F8F2-AC8CFEE614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644.03437361111" createdVersion="8" refreshedVersion="8" minRefreshableVersion="3" recordCount="2" xr:uid="{FF8E7014-2F36-7149-9E19-DB6E5EC995D7}">
  <cacheSource type="worksheet">
    <worksheetSource name="Tabla3"/>
  </cacheSource>
  <cacheFields count="1">
    <cacheField name="Atributo" numFmtId="0">
      <sharedItems count="2">
        <s v="bruto"/>
        <s v="retenido"/>
      </sharedItems>
    </cacheField>
  </cacheFields>
  <extLst>
    <ext xmlns:x14="http://schemas.microsoft.com/office/spreadsheetml/2009/9/main" uri="{725AE2AE-9491-48be-B2B4-4EB974FC3084}">
      <x14:pivotCacheDefinition pivotCacheId="185506842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644.034455324072" createdVersion="8" refreshedVersion="8" minRefreshableVersion="3" recordCount="46" xr:uid="{4761BDA2-4E29-2844-9846-830171AFFCA2}">
  <cacheSource type="worksheet">
    <worksheetSource name="aperturas"/>
  </cacheSource>
  <cacheFields count="5">
    <cacheField name="apertura_reservas" numFmtId="0">
      <sharedItems count="52">
        <s v="01_025_Resto_RESTO"/>
        <s v="01_083_Falabella_RESTO"/>
        <s v="01_083_Otros_RESTO"/>
        <s v="01_083_Scotiabank_RESTO"/>
        <s v="01_084_Resto_RESTO"/>
        <s v="01_086_Resto_RESTO"/>
        <s v="02_069_Resto_RESTO"/>
        <s v="02_081_Banca Voluntarios_VIDA"/>
        <s v="02_081_No Banca_VIDA"/>
        <s v="02_081_Otros Banca_SOBREVIVENCIA"/>
        <s v="02_081_Otros Banca_VIDA"/>
        <s v="02_083_Banco Agrario_RESTO"/>
        <s v="02_083_Banco W_RESTO"/>
        <s v="02_083_Banco de Occidente_RESTO"/>
        <s v="02_083_Banco-L_RESTO"/>
        <s v="02_083_Banco-L_VIDA"/>
        <s v="02_083_Banco-SL_RESTO"/>
        <s v="02_083_Banco-SL_VIDA"/>
        <s v="02_083_Cavipetrol_RESTO"/>
        <s v="02_083_Falabella_RESTO"/>
        <s v="02_083_Falabella_VIDA"/>
        <s v="02_083_No Banca_EG"/>
        <s v="02_083_No Banca_INV"/>
        <s v="02_083_No Banca_RESTO"/>
        <s v="02_083_No Banca_VIDA"/>
        <s v="02_083_Otros Banca_EG"/>
        <s v="02_083_Otros Banca_INV"/>
        <s v="02_083_Otros Banca_RESTO"/>
        <s v="02_083_Otros Banca_VIDA"/>
        <s v="02_083_Scotiabank_RESTO"/>
        <s v="02_083_Serfinanza_RESTO"/>
        <s v="02_083_Serfinanza_VIDA"/>
        <s v="02_083_Sudameris_RESTO"/>
        <s v="02_083_Tarjeta de Credito Bancolombia_RESTO"/>
        <s v="02_083_Tuya_RESTO"/>
        <s v="02_084_Resto_RESTO"/>
        <s v="02_086_Resto_RESTO"/>
        <s v="02_095_Resto_RESTO"/>
        <s v="02_096_Resto_RESTO"/>
        <s v="02_181_Resto_RESTO"/>
        <s v="02_AAV_Banca Voluntarios_INV"/>
        <s v="02_AAV_Banca Voluntarios_RESTO"/>
        <s v="02_AAV_No Banca_EG"/>
        <s v="02_AAV_No Banca_INV"/>
        <s v="02_AAV_No Banca_RESTO"/>
        <s v="02_AAV_Otros Banca_RESTO"/>
        <s v="01_083_RESTO_RESTO" u="1"/>
        <s v="02_081_BANCA VOLUNTARIOS_RESTO" u="1"/>
        <s v="02_081_BANCA_RESTO" u="1"/>
        <s v="02_081_NO BANCA_RESTO" u="1"/>
        <s v="02_083_TC BANCOLOMBIA_RESTO" u="1"/>
        <s v="02_AAV_BANCA_RESTO" u="1"/>
      </sharedItems>
    </cacheField>
    <cacheField name="ramo_desc" numFmtId="0">
      <sharedItems count="25">
        <s v="01 - 025 - SEGURO DESEMPLEO"/>
        <s v="01 - 083 - VIDA DE GRUPO"/>
        <s v="01 - 084 - ACCIDENTES PERSONALES"/>
        <s v="01 - 086 - EXEQUIAL"/>
        <s v="02 - 069 - DESEMPLEO"/>
        <s v="02 - 081 - VIDA INDIVIDUAL"/>
        <s v="02 - 083 - VIDA DE GRUPO"/>
        <s v="02 - 084 - ACCIDENTES PERSONALES"/>
        <s v="02 - 086 - EXEQUIAL"/>
        <s v="02 - 095 - SEGURO COLECTIVO DE PENSIONES"/>
        <s v="02 - 096 - EDUCATIVO"/>
        <s v="02 - 181 - MASVIDA"/>
        <s v="02 - AAV - ANEXOS VI"/>
        <s v="02 - AAV - AMPAROS ADICIONALES DE VIDA" u="1"/>
        <s v="025G - SEGURO DESEMPLEO GENERALES" u="1"/>
        <s v="069 - DESEMPLEO" u="1"/>
        <s v="081 - VIDA INDIVIDUAL" u="1"/>
        <s v="083G - VIDA DE GRUPO GENERALES" u="1"/>
        <s v="083 - VIDA DE GRUPO" u="1"/>
        <s v="084 - ACCIDENTES PERSONALES" u="1"/>
        <s v="084G - ACCIDENTES PERSONALES GENERALES" u="1"/>
        <s v="086 - EXEQUIAL" u="1"/>
        <s v="086G - EXEQUIAL GENERALES" u="1"/>
        <s v="181 - MASVIDA" u="1"/>
        <s v="AAV - ANEXOS VI" u="1"/>
      </sharedItems>
    </cacheField>
    <cacheField name="apertura_canal_desc" numFmtId="0">
      <sharedItems count="19">
        <s v="Resto"/>
        <s v="Falabella"/>
        <s v="Otros"/>
        <s v="Scotiabank"/>
        <s v="Banca Voluntarios"/>
        <s v="No Banca"/>
        <s v="Otros Banca"/>
        <s v="Banco Agrario"/>
        <s v="Banco W"/>
        <s v="Banco de Occidente"/>
        <s v="Banco-L"/>
        <s v="Banco-SL"/>
        <s v="Cavipetrol"/>
        <s v="Serfinanza"/>
        <s v="Sudameris"/>
        <s v="Tarjeta de Credito Bancolombia"/>
        <s v="Tuya"/>
        <s v="BANCA" u="1"/>
        <s v="TC BANCOLOMBIA" u="1"/>
      </sharedItems>
    </cacheField>
    <cacheField name="apertura_amparo_desc" numFmtId="0">
      <sharedItems count="5">
        <s v="RESTO"/>
        <s v="VIDA"/>
        <s v="SOBREVIVENCIA"/>
        <s v="EG"/>
        <s v="INV"/>
      </sharedItems>
    </cacheField>
    <cacheField name="periodicidad" numFmtId="0">
      <sharedItems containsBlank="1" count="2">
        <s v="Trimestral"/>
        <m u="1"/>
      </sharedItems>
    </cacheField>
  </cacheFields>
  <extLst>
    <ext xmlns:x14="http://schemas.microsoft.com/office/spreadsheetml/2009/9/main" uri="{725AE2AE-9491-48be-B2B4-4EB974FC3084}">
      <x14:pivotCacheDefinition pivotCacheId="19127663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</r>
  <r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x v="0"/>
    <x v="0"/>
    <x v="0"/>
    <x v="0"/>
  </r>
  <r>
    <x v="1"/>
    <x v="1"/>
    <x v="1"/>
    <x v="0"/>
    <x v="0"/>
  </r>
  <r>
    <x v="2"/>
    <x v="1"/>
    <x v="2"/>
    <x v="0"/>
    <x v="0"/>
  </r>
  <r>
    <x v="3"/>
    <x v="1"/>
    <x v="3"/>
    <x v="0"/>
    <x v="0"/>
  </r>
  <r>
    <x v="4"/>
    <x v="2"/>
    <x v="0"/>
    <x v="0"/>
    <x v="0"/>
  </r>
  <r>
    <x v="5"/>
    <x v="3"/>
    <x v="0"/>
    <x v="0"/>
    <x v="0"/>
  </r>
  <r>
    <x v="6"/>
    <x v="4"/>
    <x v="0"/>
    <x v="0"/>
    <x v="0"/>
  </r>
  <r>
    <x v="7"/>
    <x v="5"/>
    <x v="4"/>
    <x v="1"/>
    <x v="0"/>
  </r>
  <r>
    <x v="8"/>
    <x v="5"/>
    <x v="5"/>
    <x v="1"/>
    <x v="0"/>
  </r>
  <r>
    <x v="9"/>
    <x v="5"/>
    <x v="6"/>
    <x v="2"/>
    <x v="0"/>
  </r>
  <r>
    <x v="10"/>
    <x v="5"/>
    <x v="6"/>
    <x v="1"/>
    <x v="0"/>
  </r>
  <r>
    <x v="11"/>
    <x v="6"/>
    <x v="7"/>
    <x v="0"/>
    <x v="0"/>
  </r>
  <r>
    <x v="12"/>
    <x v="6"/>
    <x v="8"/>
    <x v="0"/>
    <x v="0"/>
  </r>
  <r>
    <x v="13"/>
    <x v="6"/>
    <x v="9"/>
    <x v="0"/>
    <x v="0"/>
  </r>
  <r>
    <x v="14"/>
    <x v="6"/>
    <x v="10"/>
    <x v="0"/>
    <x v="0"/>
  </r>
  <r>
    <x v="15"/>
    <x v="6"/>
    <x v="10"/>
    <x v="1"/>
    <x v="0"/>
  </r>
  <r>
    <x v="16"/>
    <x v="6"/>
    <x v="11"/>
    <x v="0"/>
    <x v="0"/>
  </r>
  <r>
    <x v="17"/>
    <x v="6"/>
    <x v="11"/>
    <x v="1"/>
    <x v="0"/>
  </r>
  <r>
    <x v="18"/>
    <x v="6"/>
    <x v="12"/>
    <x v="0"/>
    <x v="0"/>
  </r>
  <r>
    <x v="19"/>
    <x v="6"/>
    <x v="1"/>
    <x v="0"/>
    <x v="0"/>
  </r>
  <r>
    <x v="20"/>
    <x v="6"/>
    <x v="1"/>
    <x v="1"/>
    <x v="0"/>
  </r>
  <r>
    <x v="21"/>
    <x v="6"/>
    <x v="5"/>
    <x v="3"/>
    <x v="0"/>
  </r>
  <r>
    <x v="22"/>
    <x v="6"/>
    <x v="5"/>
    <x v="4"/>
    <x v="0"/>
  </r>
  <r>
    <x v="23"/>
    <x v="6"/>
    <x v="5"/>
    <x v="0"/>
    <x v="0"/>
  </r>
  <r>
    <x v="24"/>
    <x v="6"/>
    <x v="5"/>
    <x v="1"/>
    <x v="0"/>
  </r>
  <r>
    <x v="25"/>
    <x v="6"/>
    <x v="6"/>
    <x v="3"/>
    <x v="0"/>
  </r>
  <r>
    <x v="26"/>
    <x v="6"/>
    <x v="6"/>
    <x v="4"/>
    <x v="0"/>
  </r>
  <r>
    <x v="27"/>
    <x v="6"/>
    <x v="6"/>
    <x v="0"/>
    <x v="0"/>
  </r>
  <r>
    <x v="28"/>
    <x v="6"/>
    <x v="6"/>
    <x v="1"/>
    <x v="0"/>
  </r>
  <r>
    <x v="29"/>
    <x v="6"/>
    <x v="3"/>
    <x v="0"/>
    <x v="0"/>
  </r>
  <r>
    <x v="30"/>
    <x v="6"/>
    <x v="13"/>
    <x v="0"/>
    <x v="0"/>
  </r>
  <r>
    <x v="31"/>
    <x v="6"/>
    <x v="13"/>
    <x v="1"/>
    <x v="0"/>
  </r>
  <r>
    <x v="32"/>
    <x v="6"/>
    <x v="14"/>
    <x v="0"/>
    <x v="0"/>
  </r>
  <r>
    <x v="33"/>
    <x v="6"/>
    <x v="15"/>
    <x v="0"/>
    <x v="0"/>
  </r>
  <r>
    <x v="34"/>
    <x v="6"/>
    <x v="16"/>
    <x v="0"/>
    <x v="0"/>
  </r>
  <r>
    <x v="35"/>
    <x v="7"/>
    <x v="0"/>
    <x v="0"/>
    <x v="0"/>
  </r>
  <r>
    <x v="36"/>
    <x v="8"/>
    <x v="0"/>
    <x v="0"/>
    <x v="0"/>
  </r>
  <r>
    <x v="37"/>
    <x v="9"/>
    <x v="0"/>
    <x v="0"/>
    <x v="0"/>
  </r>
  <r>
    <x v="38"/>
    <x v="10"/>
    <x v="0"/>
    <x v="0"/>
    <x v="0"/>
  </r>
  <r>
    <x v="39"/>
    <x v="11"/>
    <x v="0"/>
    <x v="0"/>
    <x v="0"/>
  </r>
  <r>
    <x v="40"/>
    <x v="12"/>
    <x v="4"/>
    <x v="4"/>
    <x v="0"/>
  </r>
  <r>
    <x v="41"/>
    <x v="12"/>
    <x v="4"/>
    <x v="0"/>
    <x v="0"/>
  </r>
  <r>
    <x v="42"/>
    <x v="12"/>
    <x v="5"/>
    <x v="3"/>
    <x v="0"/>
  </r>
  <r>
    <x v="43"/>
    <x v="12"/>
    <x v="5"/>
    <x v="4"/>
    <x v="0"/>
  </r>
  <r>
    <x v="44"/>
    <x v="12"/>
    <x v="5"/>
    <x v="0"/>
    <x v="0"/>
  </r>
  <r>
    <x v="45"/>
    <x v="12"/>
    <x v="6"/>
    <x v="0"/>
    <x v="0"/>
  </r>
</pivotCacheRecord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Desc" xr10:uid="{683C3207-84CC-7944-B51C-11861E29B86C}" sourceName="Ramo_Desc">
  <data>
    <tabular pivotCacheId="1912766327" showMissing="0">
      <items count="25">
        <i x="5" s="1"/>
        <i x="6" s="1"/>
        <i x="0" nd="1"/>
        <i x="1" nd="1"/>
        <i x="2" nd="1"/>
        <i x="3" nd="1"/>
        <i x="4" nd="1"/>
        <i x="7" nd="1"/>
        <i x="8" nd="1"/>
        <i x="9" nd="1"/>
        <i x="10" nd="1"/>
        <i x="11" nd="1"/>
        <i x="12" nd="1"/>
        <i x="13" nd="1"/>
        <i x="14" nd="1"/>
        <i x="15" nd="1"/>
        <i x="16" nd="1"/>
        <i x="18" nd="1"/>
        <i x="17" nd="1"/>
        <i x="19" nd="1"/>
        <i x="20" nd="1"/>
        <i x="21" nd="1"/>
        <i x="22" nd="1"/>
        <i x="23" nd="1"/>
        <i x="24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Canal_Desc" xr10:uid="{6823EC44-11FA-F54D-8BBF-C79C0EE0B41B}" sourceName="Apertura_Canal_Desc">
  <data>
    <tabular pivotCacheId="1912766327" showMissing="0">
      <items count="19">
        <i x="10"/>
        <i x="11"/>
        <i x="1"/>
        <i x="5" s="1"/>
        <i x="6"/>
        <i x="13"/>
        <i x="4" nd="1"/>
        <i x="7" nd="1"/>
        <i x="9" nd="1"/>
        <i x="8" nd="1"/>
        <i x="12" nd="1"/>
        <i x="2" nd="1"/>
        <i x="0" nd="1"/>
        <i x="3" nd="1"/>
        <i x="14" nd="1"/>
        <i x="15" nd="1"/>
        <i x="16" nd="1"/>
        <i x="17" nd="1"/>
        <i x="18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Amparo_Desc" xr10:uid="{F75B4F53-5A43-6146-B6C3-660CE127C906}" sourceName="Apertura_Amparo_Desc">
  <data>
    <tabular pivotCacheId="1912766327" showMissing="0">
      <items count="5">
        <i x="3"/>
        <i x="4"/>
        <i x="0"/>
        <i x="1" s="1"/>
        <i x="2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tributo" xr10:uid="{1E54BEDC-5C1A-BD48-9265-0D423E05D83A}" sourceName="Atributo">
  <data>
    <tabular pivotCacheId="1855068429" showMissing="0">
      <items count="2">
        <i x="0" s="1"/>
        <i x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5" xr10:uid="{12E9E459-7B8B-EF40-A6ED-8F45550197C9}" cache="SegmentaciónDeDatos_Ramo_Desc" caption="Ramo_Desc" rowHeight="251882"/>
  <slicer name="Apertura_Canal_Desc 5" xr10:uid="{26828792-DB6A-A54E-8BE4-624D8C5AD1F0}" cache="SegmentaciónDeDatos_Apertura_Canal_Desc" caption="Apertura_Canal_Desc" rowHeight="251883"/>
  <slicer name="Apertura_Amparo_Desc 5" xr10:uid="{F7408124-FD01-F943-B2D4-DFCEF60B6503}" cache="SegmentaciónDeDatos_Apertura_Amparo_Desc" caption="Apertura_Amparo_Desc" columnCount="3" rowHeight="251883"/>
  <slicer name="Atributo 5" xr10:uid="{CA62AFC1-80BE-674C-95B0-FE562860A6FC}" cache="SegmentaciónDeDatos_Atributo" caption="Atributo" rowHeight="251883"/>
</slicers>
</file>

<file path=xl/theme/theme1.xml><?xml version="1.0" encoding="utf-8"?>
<a:theme xmlns:a="http://schemas.openxmlformats.org/drawingml/2006/main" name="Tema_Office_Sura">
  <a:themeElements>
    <a:clrScheme name="SURA">
      <a:dk1>
        <a:srgbClr val="656867"/>
      </a:dk1>
      <a:lt1>
        <a:sysClr val="window" lastClr="FFFFFF"/>
      </a:lt1>
      <a:dk2>
        <a:srgbClr val="768692"/>
      </a:dk2>
      <a:lt2>
        <a:srgbClr val="C7C9C7"/>
      </a:lt2>
      <a:accent1>
        <a:srgbClr val="0033A0"/>
      </a:accent1>
      <a:accent2>
        <a:srgbClr val="E3E829"/>
      </a:accent2>
      <a:accent3>
        <a:srgbClr val="00AEC7"/>
      </a:accent3>
      <a:accent4>
        <a:srgbClr val="707372"/>
      </a:accent4>
      <a:accent5>
        <a:srgbClr val="ED8B00"/>
      </a:accent5>
      <a:accent6>
        <a:srgbClr val="78BE20"/>
      </a:accent6>
      <a:hlink>
        <a:srgbClr val="4EC3FF"/>
      </a:hlink>
      <a:folHlink>
        <a:srgbClr val="F9423A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A0"/>
        </a:solidFill>
        <a:ln>
          <a:noFill/>
        </a:ln>
        <a:effectLst/>
      </a:spPr>
      <a:bodyPr anchor="ctr"/>
      <a:lstStyle>
        <a:defPPr algn="ctr" defTabSz="608853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>
        <a:ln>
          <a:solidFill>
            <a:srgbClr val="3190CF"/>
          </a:solidFill>
        </a:ln>
        <a:effectLst/>
      </a:spPr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</a:spPr>
      <a:bodyPr wrap="none" rtlCol="0">
        <a:spAutoFit/>
      </a:bodyPr>
      <a:lstStyle>
        <a:defPPr algn="ctr">
          <a:defRPr dirty="0" err="1" smtClean="0">
            <a:solidFill>
              <a:srgbClr val="686968"/>
            </a:solidFill>
          </a:defRPr>
        </a:defPPr>
      </a:lstStyle>
    </a:txDef>
  </a:objectDefaults>
  <a:extraClrSchemeLst/>
  <a:extLst>
    <a:ext uri="{05A4C25C-085E-4340-85A3-A5531E510DB2}">
      <thm15:themeFamily xmlns:thm15="http://schemas.microsoft.com/office/thememl/2012/main" name="Tema_Office_Sura" id="{E32F5AB9-4A42-4802-9E29-E76B3B05C03A}" vid="{9B42DE5C-F1BB-4564-9601-BD5D32A357D4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C8278-558E-EC41-B259-7545915757AE}">
  <sheetPr codeName="Hoja7">
    <tabColor theme="0"/>
  </sheetPr>
  <dimension ref="A4:B6"/>
  <sheetViews>
    <sheetView showGridLines="0" tabSelected="1" workbookViewId="0">
      <selection activeCell="G14" sqref="G14"/>
    </sheetView>
  </sheetViews>
  <sheetFormatPr baseColWidth="10" defaultRowHeight="16" x14ac:dyDescent="0.2"/>
  <sheetData>
    <row r="4" spans="1:2" x14ac:dyDescent="0.2">
      <c r="A4" s="27"/>
      <c r="B4" s="18"/>
    </row>
    <row r="5" spans="1:2" x14ac:dyDescent="0.2">
      <c r="A5" s="27"/>
      <c r="B5" s="18"/>
    </row>
    <row r="6" spans="1:2" x14ac:dyDescent="0.2">
      <c r="A6" s="27"/>
      <c r="B6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FD97-158D-EE47-8EFE-B5BC9FB227ED}">
  <sheetPr codeName="Hoja11">
    <tabColor theme="0"/>
  </sheetPr>
  <dimension ref="A1"/>
  <sheetViews>
    <sheetView workbookViewId="0">
      <selection activeCell="D18" sqref="D18"/>
    </sheetView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4D411-35A5-6047-B625-59D9DE5A9458}">
  <sheetPr codeName="Hoja3">
    <tabColor theme="6" tint="0.79998168889431442"/>
  </sheetPr>
  <dimension ref="B2:C2"/>
  <sheetViews>
    <sheetView showGridLines="0" zoomScale="90" zoomScaleNormal="90" workbookViewId="0">
      <pane xSplit="6" ySplit="2" topLeftCell="G3" activePane="bottomRight" state="frozen"/>
      <selection pane="topRight" activeCell="G1" sqref="G1"/>
      <selection pane="bottomLeft" activeCell="A9" sqref="A9"/>
      <selection pane="bottomRight" activeCell="H19" sqref="H19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17" width="9.5703125" customWidth="1"/>
    <col min="18" max="25" width="10.85546875" bestFit="1" customWidth="1"/>
    <col min="26" max="26" width="11.42578125" bestFit="1" customWidth="1"/>
    <col min="27" max="45" width="10.85546875" bestFit="1" customWidth="1"/>
    <col min="46" max="46" width="11.42578125" bestFit="1" customWidth="1"/>
  </cols>
  <sheetData>
    <row r="2" spans="2:3" x14ac:dyDescent="0.2">
      <c r="B2" s="17" t="s">
        <v>25</v>
      </c>
      <c r="C2" s="18" t="s">
        <v>0</v>
      </c>
    </row>
  </sheetData>
  <dataValidations count="1">
    <dataValidation type="list" allowBlank="1" showInputMessage="1" showErrorMessage="1" sqref="C2" xr:uid="{6F68EC1A-16E1-1645-9B1E-E03A326CA6DA}">
      <formula1>"Pago,Incurrido"</formula1>
    </dataValidation>
  </dataValidation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CF05E-C3E1-8C4F-AFD9-05296E563F27}">
  <sheetPr codeName="Hoja8">
    <tabColor theme="6" tint="0.79998168889431442"/>
  </sheetPr>
  <dimension ref="B2:C4"/>
  <sheetViews>
    <sheetView showGridLines="0" zoomScale="90" zoomScaleNormal="90" workbookViewId="0">
      <pane xSplit="6" ySplit="6" topLeftCell="G7" activePane="bottomRight" state="frozen"/>
      <selection pane="topRight" activeCell="G1" sqref="G1"/>
      <selection pane="bottomLeft" activeCell="A9" sqref="A9"/>
      <selection pane="bottomRight" activeCell="A7" sqref="A7:XFD217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46" width="10.5703125" customWidth="1"/>
  </cols>
  <sheetData>
    <row r="2" spans="2:3" x14ac:dyDescent="0.2">
      <c r="B2" s="17" t="s">
        <v>25</v>
      </c>
      <c r="C2" s="18" t="s">
        <v>0</v>
      </c>
    </row>
    <row r="3" spans="2:3" x14ac:dyDescent="0.2">
      <c r="B3" s="17" t="s">
        <v>35</v>
      </c>
      <c r="C3" s="18" t="s">
        <v>27</v>
      </c>
    </row>
    <row r="4" spans="2:3" x14ac:dyDescent="0.2">
      <c r="B4" s="17" t="s">
        <v>36</v>
      </c>
      <c r="C4" s="18" t="s">
        <v>27</v>
      </c>
    </row>
  </sheetData>
  <dataValidations count="2">
    <dataValidation type="list" allowBlank="1" showInputMessage="1" showErrorMessage="1" sqref="C2" xr:uid="{89602788-3748-CF4C-8E71-A3B8361D7253}">
      <formula1>"Pago,Incurrido"</formula1>
    </dataValidation>
    <dataValidation type="list" allowBlank="1" showInputMessage="1" showErrorMessage="1" sqref="C3" xr:uid="{9262B10B-572E-434B-B367-F071C855D343}">
      <formula1>"Ninguna,Por fecha de ocurrencia,Por fecha de pago"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81B7BE-24D6-7148-A453-26A6C4B53D03}">
          <x14:formula1>
            <xm:f>Vectores_Index!$1:$1</xm:f>
          </x14:formula1>
          <xm:sqref>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9060-8195-E945-9DB5-40F05513DEEC}">
  <sheetPr codeName="Hoja10">
    <tabColor theme="6" tint="0.79998168889431442"/>
  </sheetPr>
  <dimension ref="B2:C2"/>
  <sheetViews>
    <sheetView showGridLines="0" workbookViewId="0">
      <pane xSplit="6" ySplit="4" topLeftCell="G5" activePane="bottomRight" state="frozen"/>
      <selection pane="topRight" activeCell="G1" sqref="G1"/>
      <selection pane="bottomLeft" activeCell="A9" sqref="A9"/>
      <selection pane="bottomRight" activeCell="A5" sqref="A5:XFD344"/>
    </sheetView>
  </sheetViews>
  <sheetFormatPr baseColWidth="10" defaultRowHeight="16" x14ac:dyDescent="0.2"/>
  <cols>
    <col min="1" max="1" width="8" bestFit="1" customWidth="1"/>
    <col min="2" max="4" width="14.7109375" customWidth="1"/>
    <col min="6" max="6" width="22.140625" customWidth="1"/>
    <col min="7" max="46" width="15.28515625" customWidth="1"/>
    <col min="47" max="47" width="85.85546875" bestFit="1" customWidth="1"/>
    <col min="48" max="49" width="15.85546875" bestFit="1" customWidth="1"/>
    <col min="50" max="50" width="16.85546875" bestFit="1" customWidth="1"/>
    <col min="51" max="51" width="23.7109375" bestFit="1" customWidth="1"/>
    <col min="52" max="52" width="18.85546875" bestFit="1" customWidth="1"/>
    <col min="53" max="53" width="21.42578125" bestFit="1" customWidth="1"/>
    <col min="54" max="54" width="23.85546875" bestFit="1" customWidth="1"/>
    <col min="55" max="55" width="24.85546875" bestFit="1" customWidth="1"/>
    <col min="56" max="56" width="27.42578125" bestFit="1" customWidth="1"/>
    <col min="57" max="57" width="28.42578125" bestFit="1" customWidth="1"/>
    <col min="58" max="58" width="30.85546875" bestFit="1" customWidth="1"/>
    <col min="59" max="59" width="33" bestFit="1" customWidth="1"/>
    <col min="60" max="60" width="34.42578125" bestFit="1" customWidth="1"/>
    <col min="61" max="61" width="36.42578125" bestFit="1" customWidth="1"/>
    <col min="62" max="62" width="39" bestFit="1" customWidth="1"/>
    <col min="63" max="63" width="40" bestFit="1" customWidth="1"/>
    <col min="64" max="64" width="42.5703125" bestFit="1" customWidth="1"/>
    <col min="65" max="65" width="43.5703125" bestFit="1" customWidth="1"/>
    <col min="66" max="66" width="46" bestFit="1" customWidth="1"/>
    <col min="67" max="67" width="48.5703125" bestFit="1" customWidth="1"/>
    <col min="68" max="68" width="49.5703125" bestFit="1" customWidth="1"/>
    <col min="69" max="69" width="52.140625" bestFit="1" customWidth="1"/>
    <col min="70" max="70" width="53.140625" bestFit="1" customWidth="1"/>
    <col min="71" max="71" width="55.5703125" bestFit="1" customWidth="1"/>
    <col min="72" max="72" width="57.7109375" bestFit="1" customWidth="1"/>
    <col min="73" max="73" width="59.140625" bestFit="1" customWidth="1"/>
    <col min="74" max="74" width="61.140625" bestFit="1" customWidth="1"/>
    <col min="75" max="75" width="63.7109375" bestFit="1" customWidth="1"/>
    <col min="76" max="76" width="64.7109375" bestFit="1" customWidth="1"/>
    <col min="77" max="77" width="67.140625" bestFit="1" customWidth="1"/>
    <col min="78" max="78" width="68.28515625" bestFit="1" customWidth="1"/>
    <col min="79" max="79" width="70.7109375" bestFit="1" customWidth="1"/>
    <col min="80" max="80" width="73.28515625" bestFit="1" customWidth="1"/>
    <col min="81" max="81" width="74.28515625" bestFit="1" customWidth="1"/>
    <col min="82" max="82" width="76.7109375" bestFit="1" customWidth="1"/>
    <col min="83" max="83" width="77.85546875" bestFit="1" customWidth="1"/>
    <col min="84" max="84" width="80.28515625" bestFit="1" customWidth="1"/>
    <col min="85" max="85" width="82.28515625" bestFit="1" customWidth="1"/>
    <col min="86" max="86" width="83.85546875" bestFit="1" customWidth="1"/>
    <col min="87" max="87" width="85.85546875" bestFit="1" customWidth="1"/>
    <col min="88" max="88" width="88.42578125" bestFit="1" customWidth="1"/>
  </cols>
  <sheetData>
    <row r="2" spans="2:3" x14ac:dyDescent="0.2">
      <c r="B2" s="17" t="s">
        <v>25</v>
      </c>
      <c r="C2" s="18" t="s">
        <v>0</v>
      </c>
    </row>
  </sheetData>
  <dataValidations count="1">
    <dataValidation type="list" allowBlank="1" showInputMessage="1" showErrorMessage="1" sqref="C2" xr:uid="{9D48D32D-ECF0-A141-8303-F9DDE8BF6B00}">
      <formula1>"Pago,Incurrido"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F2800-1BB8-0C45-9C39-447C83C8762E}">
  <sheetPr codeName="Hoja13">
    <tabColor theme="6" tint="0.79998168889431442"/>
  </sheetPr>
  <dimension ref="A2:XFD256"/>
  <sheetViews>
    <sheetView showGridLines="0" zoomScale="109" zoomScaleNormal="50"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H25" sqref="H25"/>
    </sheetView>
  </sheetViews>
  <sheetFormatPr baseColWidth="10" defaultRowHeight="16" x14ac:dyDescent="0.2"/>
  <cols>
    <col min="1" max="1" width="10.140625" bestFit="1" customWidth="1"/>
    <col min="2" max="4" width="14.28515625" bestFit="1" customWidth="1"/>
    <col min="6" max="6" width="16.28515625" bestFit="1" customWidth="1"/>
    <col min="7" max="130" width="14.42578125" customWidth="1"/>
    <col min="132" max="253" width="20.140625" bestFit="1" customWidth="1"/>
    <col min="254" max="256" width="10.85546875" bestFit="1" customWidth="1"/>
  </cols>
  <sheetData>
    <row r="2" spans="2:256" x14ac:dyDescent="0.2">
      <c r="B2" s="17" t="s">
        <v>25</v>
      </c>
      <c r="C2" s="18" t="s">
        <v>0</v>
      </c>
    </row>
    <row r="3" spans="2:256" x14ac:dyDescent="0.2">
      <c r="B3" s="17" t="s">
        <v>37</v>
      </c>
      <c r="C3" s="18" t="s">
        <v>39</v>
      </c>
    </row>
    <row r="4" spans="2:256" x14ac:dyDescent="0.2">
      <c r="B4" s="17" t="s">
        <v>38</v>
      </c>
      <c r="C4" s="18" t="s">
        <v>29</v>
      </c>
    </row>
    <row r="7" spans="2:256" x14ac:dyDescent="0.2">
      <c r="F7" s="15"/>
      <c r="G7" s="3" t="s">
        <v>31</v>
      </c>
      <c r="H7" s="3" t="s">
        <v>31</v>
      </c>
      <c r="I7" s="3" t="s">
        <v>31</v>
      </c>
      <c r="J7" s="3" t="s">
        <v>31</v>
      </c>
      <c r="K7" s="3" t="s">
        <v>31</v>
      </c>
      <c r="L7" s="3" t="s">
        <v>31</v>
      </c>
      <c r="M7" s="3" t="s">
        <v>31</v>
      </c>
      <c r="N7" s="3" t="s">
        <v>31</v>
      </c>
      <c r="O7" s="3" t="s">
        <v>31</v>
      </c>
      <c r="P7" s="3" t="s">
        <v>31</v>
      </c>
      <c r="Q7" s="3" t="s">
        <v>31</v>
      </c>
      <c r="R7" s="3" t="s">
        <v>31</v>
      </c>
      <c r="S7" s="3" t="s">
        <v>31</v>
      </c>
      <c r="T7" s="3" t="s">
        <v>31</v>
      </c>
      <c r="U7" s="3" t="s">
        <v>31</v>
      </c>
      <c r="V7" s="3" t="s">
        <v>31</v>
      </c>
      <c r="W7" s="3" t="s">
        <v>31</v>
      </c>
      <c r="X7" s="3" t="s">
        <v>31</v>
      </c>
      <c r="Y7" s="3" t="s">
        <v>31</v>
      </c>
      <c r="Z7" s="3" t="s">
        <v>31</v>
      </c>
      <c r="AA7" s="3" t="s">
        <v>31</v>
      </c>
      <c r="AB7" s="3" t="s">
        <v>31</v>
      </c>
      <c r="AC7" s="3" t="s">
        <v>31</v>
      </c>
      <c r="AD7" s="3" t="s">
        <v>31</v>
      </c>
      <c r="AE7" s="3" t="s">
        <v>31</v>
      </c>
      <c r="AF7" s="3" t="s">
        <v>31</v>
      </c>
      <c r="AG7" s="3" t="s">
        <v>31</v>
      </c>
      <c r="AH7" s="3" t="s">
        <v>31</v>
      </c>
      <c r="AI7" s="3" t="s">
        <v>31</v>
      </c>
      <c r="AJ7" s="3" t="s">
        <v>31</v>
      </c>
      <c r="AK7" s="3" t="s">
        <v>31</v>
      </c>
      <c r="AL7" s="3" t="s">
        <v>31</v>
      </c>
      <c r="AM7" s="3" t="s">
        <v>31</v>
      </c>
      <c r="AN7" s="3" t="s">
        <v>31</v>
      </c>
      <c r="AO7" s="3" t="s">
        <v>31</v>
      </c>
      <c r="AP7" s="3" t="s">
        <v>31</v>
      </c>
      <c r="AQ7" s="3" t="s">
        <v>31</v>
      </c>
      <c r="AR7" s="3" t="s">
        <v>31</v>
      </c>
      <c r="AS7" s="3" t="s">
        <v>31</v>
      </c>
      <c r="AT7" s="3" t="s">
        <v>31</v>
      </c>
      <c r="AU7" s="3" t="s">
        <v>31</v>
      </c>
      <c r="AV7" s="3" t="s">
        <v>31</v>
      </c>
      <c r="AW7" s="3" t="s">
        <v>31</v>
      </c>
      <c r="AX7" s="3" t="s">
        <v>31</v>
      </c>
      <c r="AY7" s="3" t="s">
        <v>31</v>
      </c>
      <c r="AZ7" s="3" t="s">
        <v>31</v>
      </c>
      <c r="BA7" s="3" t="s">
        <v>31</v>
      </c>
      <c r="BB7" s="3" t="s">
        <v>31</v>
      </c>
      <c r="BC7" s="3" t="s">
        <v>31</v>
      </c>
      <c r="BD7" s="3" t="s">
        <v>31</v>
      </c>
      <c r="BE7" s="3" t="s">
        <v>31</v>
      </c>
      <c r="BF7" s="3" t="s">
        <v>31</v>
      </c>
      <c r="BG7" s="3" t="s">
        <v>31</v>
      </c>
      <c r="BH7" s="3" t="s">
        <v>31</v>
      </c>
      <c r="BI7" s="3" t="s">
        <v>31</v>
      </c>
      <c r="BJ7" s="3" t="s">
        <v>31</v>
      </c>
      <c r="BK7" s="3" t="s">
        <v>31</v>
      </c>
      <c r="BL7" s="3" t="s">
        <v>31</v>
      </c>
      <c r="BM7" s="3" t="s">
        <v>31</v>
      </c>
      <c r="BN7" s="3" t="s">
        <v>31</v>
      </c>
      <c r="BO7" s="3" t="s">
        <v>31</v>
      </c>
      <c r="BP7" s="3" t="s">
        <v>31</v>
      </c>
      <c r="BQ7" s="3" t="s">
        <v>31</v>
      </c>
      <c r="BR7" s="3" t="s">
        <v>31</v>
      </c>
      <c r="BS7" s="3" t="s">
        <v>31</v>
      </c>
      <c r="BT7" s="3" t="s">
        <v>31</v>
      </c>
      <c r="BU7" s="3" t="s">
        <v>31</v>
      </c>
      <c r="BV7" s="3" t="s">
        <v>31</v>
      </c>
      <c r="BW7" s="3" t="s">
        <v>31</v>
      </c>
      <c r="BX7" s="3" t="s">
        <v>31</v>
      </c>
      <c r="BY7" s="3" t="s">
        <v>31</v>
      </c>
      <c r="BZ7" s="3" t="s">
        <v>31</v>
      </c>
      <c r="CA7" s="3" t="s">
        <v>31</v>
      </c>
      <c r="CB7" s="3" t="s">
        <v>31</v>
      </c>
      <c r="CC7" s="3" t="s">
        <v>31</v>
      </c>
      <c r="CD7" s="3" t="s">
        <v>31</v>
      </c>
      <c r="CE7" s="3" t="s">
        <v>31</v>
      </c>
      <c r="CF7" s="3" t="s">
        <v>31</v>
      </c>
      <c r="CG7" s="3" t="s">
        <v>31</v>
      </c>
      <c r="CH7" s="3" t="s">
        <v>31</v>
      </c>
      <c r="CI7" s="3" t="s">
        <v>31</v>
      </c>
      <c r="CJ7" s="3" t="s">
        <v>31</v>
      </c>
      <c r="CK7" s="3" t="s">
        <v>31</v>
      </c>
      <c r="CL7" s="3" t="s">
        <v>31</v>
      </c>
      <c r="CM7" s="3" t="s">
        <v>31</v>
      </c>
      <c r="CN7" s="3" t="s">
        <v>31</v>
      </c>
      <c r="CO7" s="3" t="s">
        <v>31</v>
      </c>
      <c r="CP7" s="3" t="s">
        <v>31</v>
      </c>
      <c r="CQ7" s="3" t="s">
        <v>31</v>
      </c>
      <c r="CR7" s="3" t="s">
        <v>31</v>
      </c>
      <c r="CS7" s="3" t="s">
        <v>31</v>
      </c>
      <c r="CT7" s="3" t="s">
        <v>31</v>
      </c>
      <c r="CU7" s="3" t="s">
        <v>31</v>
      </c>
      <c r="CV7" s="3" t="s">
        <v>31</v>
      </c>
      <c r="CW7" s="3" t="s">
        <v>31</v>
      </c>
      <c r="CX7" s="3" t="s">
        <v>31</v>
      </c>
      <c r="CY7" s="3" t="s">
        <v>31</v>
      </c>
      <c r="CZ7" s="3" t="s">
        <v>31</v>
      </c>
      <c r="DA7" s="3" t="s">
        <v>31</v>
      </c>
      <c r="DB7" s="3" t="s">
        <v>31</v>
      </c>
      <c r="DC7" s="3" t="s">
        <v>31</v>
      </c>
      <c r="DD7" s="3" t="s">
        <v>31</v>
      </c>
      <c r="DE7" s="3" t="s">
        <v>31</v>
      </c>
      <c r="DF7" s="3" t="s">
        <v>31</v>
      </c>
      <c r="DG7" s="3" t="s">
        <v>31</v>
      </c>
      <c r="DH7" s="3" t="s">
        <v>31</v>
      </c>
      <c r="DI7" s="3" t="s">
        <v>31</v>
      </c>
      <c r="DJ7" s="3" t="s">
        <v>31</v>
      </c>
      <c r="DK7" s="3" t="s">
        <v>31</v>
      </c>
      <c r="DL7" s="3" t="s">
        <v>31</v>
      </c>
      <c r="DM7" s="3" t="s">
        <v>31</v>
      </c>
      <c r="DN7" s="3" t="s">
        <v>31</v>
      </c>
      <c r="DO7" s="3" t="s">
        <v>31</v>
      </c>
      <c r="DP7" s="3" t="s">
        <v>31</v>
      </c>
      <c r="DQ7" s="3" t="s">
        <v>31</v>
      </c>
      <c r="DR7" s="3" t="s">
        <v>31</v>
      </c>
      <c r="DS7" s="3" t="s">
        <v>31</v>
      </c>
      <c r="DT7" s="3" t="s">
        <v>31</v>
      </c>
      <c r="DU7" s="3" t="s">
        <v>31</v>
      </c>
      <c r="DV7" s="3" t="s">
        <v>31</v>
      </c>
      <c r="DW7" s="3" t="s">
        <v>31</v>
      </c>
      <c r="DX7" s="3" t="s">
        <v>31</v>
      </c>
      <c r="DY7" s="3" t="s">
        <v>31</v>
      </c>
      <c r="DZ7" s="3" t="s">
        <v>31</v>
      </c>
      <c r="EA7" s="3" t="s">
        <v>31</v>
      </c>
      <c r="EB7" s="4" t="s">
        <v>32</v>
      </c>
      <c r="EC7" s="4" t="s">
        <v>32</v>
      </c>
      <c r="ED7" s="4" t="s">
        <v>32</v>
      </c>
      <c r="EE7" s="4" t="s">
        <v>32</v>
      </c>
      <c r="EF7" s="4" t="s">
        <v>32</v>
      </c>
      <c r="EG7" s="4" t="s">
        <v>32</v>
      </c>
      <c r="EH7" s="4" t="s">
        <v>32</v>
      </c>
      <c r="EI7" s="4" t="s">
        <v>32</v>
      </c>
      <c r="EJ7" s="4" t="s">
        <v>32</v>
      </c>
      <c r="EK7" s="4" t="s">
        <v>32</v>
      </c>
      <c r="EL7" s="4" t="s">
        <v>32</v>
      </c>
      <c r="EM7" s="4" t="s">
        <v>32</v>
      </c>
      <c r="EN7" s="4" t="s">
        <v>32</v>
      </c>
      <c r="EO7" s="4" t="s">
        <v>32</v>
      </c>
      <c r="EP7" s="4" t="s">
        <v>32</v>
      </c>
      <c r="EQ7" s="4" t="s">
        <v>32</v>
      </c>
      <c r="ER7" s="4" t="s">
        <v>32</v>
      </c>
      <c r="ES7" s="4" t="s">
        <v>32</v>
      </c>
      <c r="ET7" s="4" t="s">
        <v>32</v>
      </c>
      <c r="EU7" s="4" t="s">
        <v>32</v>
      </c>
      <c r="EV7" s="4" t="s">
        <v>32</v>
      </c>
      <c r="EW7" s="4" t="s">
        <v>32</v>
      </c>
      <c r="EX7" s="4" t="s">
        <v>32</v>
      </c>
      <c r="EY7" s="4" t="s">
        <v>32</v>
      </c>
      <c r="EZ7" s="4" t="s">
        <v>32</v>
      </c>
      <c r="FA7" s="4" t="s">
        <v>32</v>
      </c>
      <c r="FB7" s="4" t="s">
        <v>32</v>
      </c>
      <c r="FC7" s="4" t="s">
        <v>32</v>
      </c>
      <c r="FD7" s="4" t="s">
        <v>32</v>
      </c>
      <c r="FE7" s="4" t="s">
        <v>32</v>
      </c>
      <c r="FF7" s="4" t="s">
        <v>32</v>
      </c>
      <c r="FG7" s="4" t="s">
        <v>32</v>
      </c>
      <c r="FH7" s="4" t="s">
        <v>32</v>
      </c>
      <c r="FI7" s="4" t="s">
        <v>32</v>
      </c>
      <c r="FJ7" s="4" t="s">
        <v>32</v>
      </c>
      <c r="FK7" s="4" t="s">
        <v>32</v>
      </c>
      <c r="FL7" s="4" t="s">
        <v>32</v>
      </c>
      <c r="FM7" s="4" t="s">
        <v>32</v>
      </c>
      <c r="FN7" s="4" t="s">
        <v>32</v>
      </c>
      <c r="FO7" s="4" t="s">
        <v>32</v>
      </c>
      <c r="FP7" s="4" t="s">
        <v>32</v>
      </c>
      <c r="FQ7" s="4" t="s">
        <v>32</v>
      </c>
      <c r="FR7" s="4" t="s">
        <v>32</v>
      </c>
      <c r="FS7" s="4" t="s">
        <v>32</v>
      </c>
      <c r="FT7" s="4" t="s">
        <v>32</v>
      </c>
      <c r="FU7" s="4" t="s">
        <v>32</v>
      </c>
      <c r="FV7" s="4" t="s">
        <v>32</v>
      </c>
      <c r="FW7" s="4" t="s">
        <v>32</v>
      </c>
      <c r="FX7" s="4" t="s">
        <v>32</v>
      </c>
      <c r="FY7" s="4" t="s">
        <v>32</v>
      </c>
      <c r="FZ7" s="4" t="s">
        <v>32</v>
      </c>
      <c r="GA7" s="4" t="s">
        <v>32</v>
      </c>
      <c r="GB7" s="4" t="s">
        <v>32</v>
      </c>
      <c r="GC7" s="4" t="s">
        <v>32</v>
      </c>
      <c r="GD7" s="4" t="s">
        <v>32</v>
      </c>
      <c r="GE7" s="4" t="s">
        <v>32</v>
      </c>
      <c r="GF7" s="4" t="s">
        <v>32</v>
      </c>
      <c r="GG7" s="4" t="s">
        <v>32</v>
      </c>
      <c r="GH7" s="4" t="s">
        <v>32</v>
      </c>
      <c r="GI7" s="4" t="s">
        <v>32</v>
      </c>
      <c r="GJ7" s="4" t="s">
        <v>32</v>
      </c>
      <c r="GK7" s="4" t="s">
        <v>32</v>
      </c>
      <c r="GL7" s="4" t="s">
        <v>32</v>
      </c>
      <c r="GM7" s="4" t="s">
        <v>32</v>
      </c>
      <c r="GN7" s="4" t="s">
        <v>32</v>
      </c>
      <c r="GO7" s="4" t="s">
        <v>32</v>
      </c>
      <c r="GP7" s="4" t="s">
        <v>32</v>
      </c>
      <c r="GQ7" s="4" t="s">
        <v>32</v>
      </c>
      <c r="GR7" s="4" t="s">
        <v>32</v>
      </c>
      <c r="GS7" s="4" t="s">
        <v>32</v>
      </c>
      <c r="GT7" s="4" t="s">
        <v>32</v>
      </c>
      <c r="GU7" s="4" t="s">
        <v>32</v>
      </c>
      <c r="GV7" s="4" t="s">
        <v>32</v>
      </c>
      <c r="GW7" s="4" t="s">
        <v>32</v>
      </c>
      <c r="GX7" s="4" t="s">
        <v>32</v>
      </c>
      <c r="GY7" s="4" t="s">
        <v>32</v>
      </c>
      <c r="GZ7" s="4" t="s">
        <v>32</v>
      </c>
      <c r="HA7" s="4" t="s">
        <v>32</v>
      </c>
      <c r="HB7" s="4" t="s">
        <v>32</v>
      </c>
      <c r="HC7" s="4" t="s">
        <v>32</v>
      </c>
      <c r="HD7" s="4" t="s">
        <v>32</v>
      </c>
      <c r="HE7" s="4" t="s">
        <v>32</v>
      </c>
      <c r="HF7" s="4" t="s">
        <v>32</v>
      </c>
      <c r="HG7" s="4" t="s">
        <v>32</v>
      </c>
      <c r="HH7" s="4" t="s">
        <v>32</v>
      </c>
      <c r="HI7" s="4" t="s">
        <v>32</v>
      </c>
      <c r="HJ7" s="4" t="s">
        <v>32</v>
      </c>
      <c r="HK7" s="4" t="s">
        <v>32</v>
      </c>
      <c r="HL7" s="4" t="s">
        <v>32</v>
      </c>
      <c r="HM7" s="4" t="s">
        <v>32</v>
      </c>
      <c r="HN7" s="4" t="s">
        <v>32</v>
      </c>
      <c r="HO7" s="4" t="s">
        <v>32</v>
      </c>
      <c r="HP7" s="4" t="s">
        <v>32</v>
      </c>
      <c r="HQ7" s="4" t="s">
        <v>32</v>
      </c>
      <c r="HR7" s="4" t="s">
        <v>32</v>
      </c>
      <c r="HS7" s="4" t="s">
        <v>32</v>
      </c>
      <c r="HT7" s="4" t="s">
        <v>32</v>
      </c>
      <c r="HU7" s="4" t="s">
        <v>32</v>
      </c>
      <c r="HV7" s="4" t="s">
        <v>32</v>
      </c>
      <c r="HW7" s="4" t="s">
        <v>32</v>
      </c>
      <c r="HX7" s="4" t="s">
        <v>32</v>
      </c>
      <c r="HY7" s="4" t="s">
        <v>32</v>
      </c>
      <c r="HZ7" s="4" t="s">
        <v>32</v>
      </c>
      <c r="IA7" s="4" t="s">
        <v>32</v>
      </c>
      <c r="IB7" s="4" t="s">
        <v>32</v>
      </c>
      <c r="IC7" s="4" t="s">
        <v>32</v>
      </c>
      <c r="ID7" s="4" t="s">
        <v>32</v>
      </c>
      <c r="IE7" s="4" t="s">
        <v>32</v>
      </c>
      <c r="IF7" s="4" t="s">
        <v>32</v>
      </c>
      <c r="IG7" s="4" t="s">
        <v>32</v>
      </c>
      <c r="IH7" s="4" t="s">
        <v>32</v>
      </c>
      <c r="II7" s="4" t="s">
        <v>32</v>
      </c>
      <c r="IJ7" s="4" t="s">
        <v>32</v>
      </c>
      <c r="IK7" s="4" t="s">
        <v>32</v>
      </c>
      <c r="IL7" s="4" t="s">
        <v>32</v>
      </c>
      <c r="IM7" s="4" t="s">
        <v>32</v>
      </c>
      <c r="IN7" s="4" t="s">
        <v>32</v>
      </c>
      <c r="IO7" s="4" t="s">
        <v>32</v>
      </c>
      <c r="IP7" s="4" t="s">
        <v>32</v>
      </c>
      <c r="IQ7" s="4" t="s">
        <v>32</v>
      </c>
      <c r="IR7" s="4" t="s">
        <v>32</v>
      </c>
      <c r="IS7" s="4" t="s">
        <v>32</v>
      </c>
      <c r="IT7" s="4" t="s">
        <v>32</v>
      </c>
      <c r="IU7" s="4" t="s">
        <v>32</v>
      </c>
      <c r="IV7" s="4" t="s">
        <v>32</v>
      </c>
    </row>
    <row r="8" spans="2:256" x14ac:dyDescent="0.2">
      <c r="F8" s="15" t="s">
        <v>30</v>
      </c>
      <c r="G8" s="3">
        <v>1</v>
      </c>
      <c r="H8" s="3">
        <v>2</v>
      </c>
      <c r="I8" s="3">
        <v>3</v>
      </c>
      <c r="J8" s="3">
        <v>4</v>
      </c>
      <c r="K8" s="3">
        <v>5</v>
      </c>
      <c r="L8" s="3">
        <v>6</v>
      </c>
      <c r="M8" s="3">
        <v>7</v>
      </c>
      <c r="N8" s="3">
        <v>8</v>
      </c>
      <c r="O8" s="3">
        <v>9</v>
      </c>
      <c r="P8" s="3">
        <v>10</v>
      </c>
      <c r="Q8" s="3">
        <v>11</v>
      </c>
      <c r="R8" s="3">
        <v>12</v>
      </c>
      <c r="S8" s="3">
        <v>13</v>
      </c>
      <c r="T8" s="3">
        <v>14</v>
      </c>
      <c r="U8" s="3">
        <v>15</v>
      </c>
      <c r="V8" s="3">
        <v>16</v>
      </c>
      <c r="W8" s="3">
        <v>17</v>
      </c>
      <c r="X8" s="3">
        <v>18</v>
      </c>
      <c r="Y8" s="3">
        <v>19</v>
      </c>
      <c r="Z8" s="3">
        <v>20</v>
      </c>
      <c r="AA8" s="3">
        <v>21</v>
      </c>
      <c r="AB8" s="3">
        <v>22</v>
      </c>
      <c r="AC8" s="3">
        <v>23</v>
      </c>
      <c r="AD8" s="3">
        <v>24</v>
      </c>
      <c r="AE8" s="3">
        <v>25</v>
      </c>
      <c r="AF8" s="3">
        <v>26</v>
      </c>
      <c r="AG8" s="3">
        <v>27</v>
      </c>
      <c r="AH8" s="3">
        <v>28</v>
      </c>
      <c r="AI8" s="3">
        <v>29</v>
      </c>
      <c r="AJ8" s="3">
        <v>30</v>
      </c>
      <c r="AK8" s="3">
        <v>31</v>
      </c>
      <c r="AL8" s="3">
        <v>32</v>
      </c>
      <c r="AM8" s="3">
        <v>33</v>
      </c>
      <c r="AN8" s="3">
        <v>34</v>
      </c>
      <c r="AO8" s="3">
        <v>35</v>
      </c>
      <c r="AP8" s="3">
        <v>36</v>
      </c>
      <c r="AQ8" s="3">
        <v>37</v>
      </c>
      <c r="AR8" s="3">
        <v>38</v>
      </c>
      <c r="AS8" s="3">
        <v>39</v>
      </c>
      <c r="AT8" s="3">
        <v>40</v>
      </c>
      <c r="AU8" s="3">
        <v>41</v>
      </c>
      <c r="AV8" s="3">
        <v>42</v>
      </c>
      <c r="AW8" s="3">
        <v>43</v>
      </c>
      <c r="AX8" s="3">
        <v>44</v>
      </c>
      <c r="AY8" s="3">
        <v>45</v>
      </c>
      <c r="AZ8" s="3">
        <v>46</v>
      </c>
      <c r="BA8" s="3">
        <v>47</v>
      </c>
      <c r="BB8" s="3">
        <v>48</v>
      </c>
      <c r="BC8" s="3">
        <v>49</v>
      </c>
      <c r="BD8" s="3">
        <v>50</v>
      </c>
      <c r="BE8" s="3">
        <v>51</v>
      </c>
      <c r="BF8" s="3">
        <v>52</v>
      </c>
      <c r="BG8" s="3">
        <v>53</v>
      </c>
      <c r="BH8" s="3">
        <v>54</v>
      </c>
      <c r="BI8" s="3">
        <v>55</v>
      </c>
      <c r="BJ8" s="3">
        <v>56</v>
      </c>
      <c r="BK8" s="3">
        <v>57</v>
      </c>
      <c r="BL8" s="3">
        <v>58</v>
      </c>
      <c r="BM8" s="3">
        <v>59</v>
      </c>
      <c r="BN8" s="3">
        <v>60</v>
      </c>
      <c r="BO8" s="3">
        <v>61</v>
      </c>
      <c r="BP8" s="3">
        <v>62</v>
      </c>
      <c r="BQ8" s="3">
        <v>63</v>
      </c>
      <c r="BR8" s="3">
        <v>64</v>
      </c>
      <c r="BS8" s="3">
        <v>65</v>
      </c>
      <c r="BT8" s="3">
        <v>66</v>
      </c>
      <c r="BU8" s="3">
        <v>67</v>
      </c>
      <c r="BV8" s="3">
        <v>68</v>
      </c>
      <c r="BW8" s="3">
        <v>69</v>
      </c>
      <c r="BX8" s="3">
        <v>70</v>
      </c>
      <c r="BY8" s="3">
        <v>71</v>
      </c>
      <c r="BZ8" s="3">
        <v>72</v>
      </c>
      <c r="CA8" s="3">
        <v>73</v>
      </c>
      <c r="CB8" s="3">
        <v>74</v>
      </c>
      <c r="CC8" s="3">
        <v>75</v>
      </c>
      <c r="CD8" s="3">
        <v>76</v>
      </c>
      <c r="CE8" s="3">
        <v>77</v>
      </c>
      <c r="CF8" s="3">
        <v>78</v>
      </c>
      <c r="CG8" s="3">
        <v>79</v>
      </c>
      <c r="CH8" s="3">
        <v>80</v>
      </c>
      <c r="CI8" s="3">
        <v>81</v>
      </c>
      <c r="CJ8" s="3">
        <v>82</v>
      </c>
      <c r="CK8" s="3">
        <v>83</v>
      </c>
      <c r="CL8" s="3">
        <v>84</v>
      </c>
      <c r="CM8" s="3">
        <v>85</v>
      </c>
      <c r="CN8" s="3">
        <v>86</v>
      </c>
      <c r="CO8" s="3">
        <v>87</v>
      </c>
      <c r="CP8" s="3">
        <v>88</v>
      </c>
      <c r="CQ8" s="3">
        <v>89</v>
      </c>
      <c r="CR8" s="3">
        <v>90</v>
      </c>
      <c r="CS8" s="3">
        <v>91</v>
      </c>
      <c r="CT8" s="3">
        <v>92</v>
      </c>
      <c r="CU8" s="3">
        <v>93</v>
      </c>
      <c r="CV8" s="3">
        <v>94</v>
      </c>
      <c r="CW8" s="3">
        <v>95</v>
      </c>
      <c r="CX8" s="3">
        <v>96</v>
      </c>
      <c r="CY8" s="3">
        <v>97</v>
      </c>
      <c r="CZ8" s="3">
        <v>98</v>
      </c>
      <c r="DA8" s="3">
        <v>99</v>
      </c>
      <c r="DB8" s="3">
        <v>100</v>
      </c>
      <c r="DC8" s="3">
        <v>101</v>
      </c>
      <c r="DD8" s="3">
        <v>102</v>
      </c>
      <c r="DE8" s="3">
        <v>103</v>
      </c>
      <c r="DF8" s="3">
        <v>104</v>
      </c>
      <c r="DG8" s="3">
        <v>105</v>
      </c>
      <c r="DH8" s="3">
        <v>106</v>
      </c>
      <c r="DI8" s="3">
        <v>107</v>
      </c>
      <c r="DJ8" s="3">
        <v>108</v>
      </c>
      <c r="DK8" s="3">
        <v>109</v>
      </c>
      <c r="DL8" s="3">
        <v>110</v>
      </c>
      <c r="DM8" s="3">
        <v>111</v>
      </c>
      <c r="DN8" s="3">
        <v>112</v>
      </c>
      <c r="DO8" s="3">
        <v>113</v>
      </c>
      <c r="DP8" s="3">
        <v>114</v>
      </c>
      <c r="DQ8" s="3">
        <v>115</v>
      </c>
      <c r="DR8" s="3">
        <v>116</v>
      </c>
      <c r="DS8" s="3">
        <v>117</v>
      </c>
      <c r="DT8" s="3">
        <v>118</v>
      </c>
      <c r="DU8" s="3">
        <v>119</v>
      </c>
      <c r="DV8" s="3">
        <v>120</v>
      </c>
      <c r="DW8" s="3">
        <v>121</v>
      </c>
      <c r="DX8" s="3">
        <v>122</v>
      </c>
      <c r="DY8" s="3">
        <v>123</v>
      </c>
      <c r="DZ8" s="3">
        <v>124</v>
      </c>
      <c r="EA8" s="3">
        <v>125</v>
      </c>
      <c r="EB8" s="4">
        <v>1</v>
      </c>
      <c r="EC8" s="4">
        <v>2</v>
      </c>
      <c r="ED8" s="4">
        <v>3</v>
      </c>
      <c r="EE8" s="4">
        <v>4</v>
      </c>
      <c r="EF8" s="4">
        <v>5</v>
      </c>
      <c r="EG8" s="4">
        <v>6</v>
      </c>
      <c r="EH8" s="4">
        <v>7</v>
      </c>
      <c r="EI8" s="4">
        <v>8</v>
      </c>
      <c r="EJ8" s="4">
        <v>9</v>
      </c>
      <c r="EK8" s="4">
        <v>10</v>
      </c>
      <c r="EL8" s="4">
        <v>11</v>
      </c>
      <c r="EM8" s="4">
        <v>12</v>
      </c>
      <c r="EN8" s="4">
        <v>13</v>
      </c>
      <c r="EO8" s="4">
        <v>14</v>
      </c>
      <c r="EP8" s="4">
        <v>15</v>
      </c>
      <c r="EQ8" s="4">
        <v>16</v>
      </c>
      <c r="ER8" s="4">
        <v>17</v>
      </c>
      <c r="ES8" s="4">
        <v>18</v>
      </c>
      <c r="ET8" s="4">
        <v>19</v>
      </c>
      <c r="EU8" s="4">
        <v>20</v>
      </c>
      <c r="EV8" s="4">
        <v>21</v>
      </c>
      <c r="EW8" s="4">
        <v>22</v>
      </c>
      <c r="EX8" s="4">
        <v>23</v>
      </c>
      <c r="EY8" s="4">
        <v>24</v>
      </c>
      <c r="EZ8" s="4">
        <v>25</v>
      </c>
      <c r="FA8" s="4">
        <v>26</v>
      </c>
      <c r="FB8" s="4">
        <v>27</v>
      </c>
      <c r="FC8" s="4">
        <v>28</v>
      </c>
      <c r="FD8" s="4">
        <v>29</v>
      </c>
      <c r="FE8" s="4">
        <v>30</v>
      </c>
      <c r="FF8" s="4">
        <v>31</v>
      </c>
      <c r="FG8" s="4">
        <v>32</v>
      </c>
      <c r="FH8" s="4">
        <v>33</v>
      </c>
      <c r="FI8" s="4">
        <v>34</v>
      </c>
      <c r="FJ8" s="4">
        <v>35</v>
      </c>
      <c r="FK8" s="4">
        <v>36</v>
      </c>
      <c r="FL8" s="4">
        <v>37</v>
      </c>
      <c r="FM8" s="4">
        <v>38</v>
      </c>
      <c r="FN8" s="4">
        <v>39</v>
      </c>
      <c r="FO8" s="4">
        <v>40</v>
      </c>
      <c r="FP8" s="4">
        <v>41</v>
      </c>
      <c r="FQ8" s="4">
        <v>42</v>
      </c>
      <c r="FR8" s="4">
        <v>43</v>
      </c>
      <c r="FS8" s="4">
        <v>44</v>
      </c>
      <c r="FT8" s="4">
        <v>45</v>
      </c>
      <c r="FU8" s="4">
        <v>46</v>
      </c>
      <c r="FV8" s="4">
        <v>47</v>
      </c>
      <c r="FW8" s="4">
        <v>48</v>
      </c>
      <c r="FX8" s="4">
        <v>49</v>
      </c>
      <c r="FY8" s="4">
        <v>50</v>
      </c>
      <c r="FZ8" s="4">
        <v>51</v>
      </c>
      <c r="GA8" s="4">
        <v>52</v>
      </c>
      <c r="GB8" s="4">
        <v>53</v>
      </c>
      <c r="GC8" s="4">
        <v>54</v>
      </c>
      <c r="GD8" s="4">
        <v>55</v>
      </c>
      <c r="GE8" s="4">
        <v>56</v>
      </c>
      <c r="GF8" s="4">
        <v>57</v>
      </c>
      <c r="GG8" s="4">
        <v>58</v>
      </c>
      <c r="GH8" s="4">
        <v>59</v>
      </c>
      <c r="GI8" s="4">
        <v>60</v>
      </c>
      <c r="GJ8" s="4">
        <v>61</v>
      </c>
      <c r="GK8" s="4">
        <v>62</v>
      </c>
      <c r="GL8" s="4">
        <v>63</v>
      </c>
      <c r="GM8" s="4">
        <v>64</v>
      </c>
      <c r="GN8" s="4">
        <v>65</v>
      </c>
      <c r="GO8" s="4">
        <v>66</v>
      </c>
      <c r="GP8" s="4">
        <v>67</v>
      </c>
      <c r="GQ8" s="4">
        <v>68</v>
      </c>
      <c r="GR8" s="4">
        <v>69</v>
      </c>
      <c r="GS8" s="4">
        <v>70</v>
      </c>
      <c r="GT8" s="4">
        <v>71</v>
      </c>
      <c r="GU8" s="4">
        <v>72</v>
      </c>
      <c r="GV8" s="4">
        <v>73</v>
      </c>
      <c r="GW8" s="4">
        <v>74</v>
      </c>
      <c r="GX8" s="4">
        <v>75</v>
      </c>
      <c r="GY8" s="4">
        <v>76</v>
      </c>
      <c r="GZ8" s="4">
        <v>77</v>
      </c>
      <c r="HA8" s="4">
        <v>78</v>
      </c>
      <c r="HB8" s="4">
        <v>79</v>
      </c>
      <c r="HC8" s="4">
        <v>80</v>
      </c>
      <c r="HD8" s="4">
        <v>81</v>
      </c>
      <c r="HE8" s="4">
        <v>82</v>
      </c>
      <c r="HF8" s="4">
        <v>83</v>
      </c>
      <c r="HG8" s="4">
        <v>84</v>
      </c>
      <c r="HH8" s="4">
        <v>85</v>
      </c>
      <c r="HI8" s="4">
        <v>86</v>
      </c>
      <c r="HJ8" s="4">
        <v>87</v>
      </c>
      <c r="HK8" s="4">
        <v>88</v>
      </c>
      <c r="HL8" s="4">
        <v>89</v>
      </c>
      <c r="HM8" s="4">
        <v>90</v>
      </c>
      <c r="HN8" s="4">
        <v>91</v>
      </c>
      <c r="HO8" s="4">
        <v>92</v>
      </c>
      <c r="HP8" s="4">
        <v>93</v>
      </c>
      <c r="HQ8" s="4">
        <v>94</v>
      </c>
      <c r="HR8" s="4">
        <v>95</v>
      </c>
      <c r="HS8" s="4">
        <v>96</v>
      </c>
      <c r="HT8" s="4">
        <v>97</v>
      </c>
      <c r="HU8" s="4">
        <v>98</v>
      </c>
      <c r="HV8" s="4">
        <v>99</v>
      </c>
      <c r="HW8" s="4">
        <v>100</v>
      </c>
      <c r="HX8" s="4">
        <v>101</v>
      </c>
      <c r="HY8" s="4">
        <v>102</v>
      </c>
      <c r="HZ8" s="4">
        <v>103</v>
      </c>
      <c r="IA8" s="4">
        <v>104</v>
      </c>
      <c r="IB8" s="4">
        <v>105</v>
      </c>
      <c r="IC8" s="4">
        <v>106</v>
      </c>
      <c r="ID8" s="4">
        <v>107</v>
      </c>
      <c r="IE8" s="4">
        <v>108</v>
      </c>
      <c r="IF8" s="4">
        <v>109</v>
      </c>
      <c r="IG8" s="4">
        <v>110</v>
      </c>
      <c r="IH8" s="4">
        <v>111</v>
      </c>
      <c r="II8" s="4">
        <v>112</v>
      </c>
      <c r="IJ8" s="4">
        <v>113</v>
      </c>
      <c r="IK8" s="4">
        <v>114</v>
      </c>
      <c r="IL8" s="4">
        <v>115</v>
      </c>
      <c r="IM8" s="4">
        <v>116</v>
      </c>
      <c r="IN8" s="4">
        <v>117</v>
      </c>
      <c r="IO8" s="4">
        <v>118</v>
      </c>
      <c r="IP8" s="4">
        <v>119</v>
      </c>
      <c r="IQ8" s="4">
        <v>120</v>
      </c>
      <c r="IR8" s="4">
        <v>121</v>
      </c>
      <c r="IS8" s="4">
        <v>122</v>
      </c>
      <c r="IT8" s="4">
        <v>123</v>
      </c>
      <c r="IU8" s="4">
        <v>124</v>
      </c>
      <c r="IV8" s="4">
        <v>125</v>
      </c>
    </row>
    <row r="9" spans="2:256" x14ac:dyDescent="0.2">
      <c r="F9">
        <v>201403</v>
      </c>
      <c r="G9">
        <v>2680760738</v>
      </c>
      <c r="H9">
        <v>6263405005</v>
      </c>
      <c r="I9">
        <v>9807479412</v>
      </c>
      <c r="J9">
        <v>13819079991</v>
      </c>
      <c r="K9">
        <v>16691033464</v>
      </c>
      <c r="L9">
        <v>17300029845</v>
      </c>
      <c r="M9">
        <v>19057672126</v>
      </c>
      <c r="N9">
        <v>19146992777</v>
      </c>
      <c r="O9">
        <v>19484226163</v>
      </c>
      <c r="P9">
        <v>19750134263</v>
      </c>
      <c r="Q9">
        <v>19821519097</v>
      </c>
      <c r="R9">
        <v>19954489361</v>
      </c>
      <c r="S9">
        <v>20011664199</v>
      </c>
      <c r="T9">
        <v>20126815523</v>
      </c>
      <c r="U9">
        <v>20230029234</v>
      </c>
      <c r="V9">
        <v>20355495721</v>
      </c>
      <c r="W9">
        <v>20606377969</v>
      </c>
      <c r="X9">
        <v>20899241205</v>
      </c>
      <c r="Y9">
        <v>21026615909</v>
      </c>
      <c r="Z9">
        <v>21136530962</v>
      </c>
      <c r="AA9">
        <v>21240207216</v>
      </c>
      <c r="AB9">
        <v>21341257640</v>
      </c>
      <c r="AC9">
        <v>21449408824</v>
      </c>
      <c r="AD9">
        <v>21518394812</v>
      </c>
      <c r="AE9">
        <v>21607584375</v>
      </c>
      <c r="AF9">
        <v>21700725274</v>
      </c>
      <c r="AG9">
        <v>21804125279</v>
      </c>
      <c r="AH9">
        <v>21965561292</v>
      </c>
      <c r="AI9">
        <v>22205742520</v>
      </c>
      <c r="AJ9">
        <v>22676135252</v>
      </c>
      <c r="AK9">
        <v>22778959679</v>
      </c>
      <c r="AL9">
        <v>22917578716</v>
      </c>
      <c r="AM9">
        <v>23118803946</v>
      </c>
      <c r="AN9">
        <v>23216808327</v>
      </c>
      <c r="AO9">
        <v>23314521812</v>
      </c>
      <c r="AP9">
        <v>23440221837</v>
      </c>
      <c r="AQ9">
        <v>23541532235</v>
      </c>
      <c r="AR9">
        <v>23652129869</v>
      </c>
      <c r="AS9">
        <v>23831546824</v>
      </c>
      <c r="AT9">
        <v>24481337550</v>
      </c>
      <c r="AU9">
        <v>24739087907</v>
      </c>
      <c r="AV9">
        <v>24881582214</v>
      </c>
      <c r="AW9">
        <v>25035377714</v>
      </c>
      <c r="AX9">
        <v>25118900023</v>
      </c>
      <c r="AY9">
        <v>25355722094</v>
      </c>
      <c r="AZ9">
        <v>25486961575</v>
      </c>
      <c r="BA9">
        <v>25555663979</v>
      </c>
      <c r="BB9">
        <v>25844664596</v>
      </c>
      <c r="BC9">
        <v>25980251108</v>
      </c>
      <c r="BD9">
        <v>26021223059</v>
      </c>
      <c r="BE9">
        <v>26118989963</v>
      </c>
      <c r="BF9">
        <v>26233219574</v>
      </c>
      <c r="BG9">
        <v>26312696003</v>
      </c>
      <c r="BH9">
        <v>26447662599</v>
      </c>
      <c r="BI9">
        <v>26908437245</v>
      </c>
      <c r="BJ9">
        <v>27131831647</v>
      </c>
      <c r="BK9">
        <v>27244060115</v>
      </c>
      <c r="BL9">
        <v>27417775097</v>
      </c>
      <c r="BM9">
        <v>27519636275</v>
      </c>
      <c r="BN9">
        <v>27619978901</v>
      </c>
      <c r="BO9">
        <v>27836913801</v>
      </c>
      <c r="BP9">
        <v>27905737125</v>
      </c>
      <c r="BQ9">
        <v>27935774176</v>
      </c>
      <c r="BR9">
        <v>28037442711</v>
      </c>
      <c r="BS9">
        <v>28179124520</v>
      </c>
      <c r="BT9">
        <v>28311474726</v>
      </c>
      <c r="BU9">
        <v>28447248619</v>
      </c>
      <c r="BV9">
        <v>28465309766</v>
      </c>
      <c r="BW9">
        <v>28585753799</v>
      </c>
      <c r="BX9">
        <v>28716398601</v>
      </c>
      <c r="BY9">
        <v>28849420723</v>
      </c>
      <c r="BZ9">
        <v>28961340830</v>
      </c>
      <c r="CA9">
        <v>29082308289</v>
      </c>
      <c r="CB9">
        <v>29139668378</v>
      </c>
      <c r="CC9">
        <v>29315364299</v>
      </c>
      <c r="CD9">
        <v>29495392724</v>
      </c>
      <c r="CE9">
        <v>29610742930</v>
      </c>
      <c r="CF9">
        <v>29703105413</v>
      </c>
      <c r="CG9">
        <v>30193401934</v>
      </c>
      <c r="CH9">
        <v>30328389450</v>
      </c>
      <c r="CI9">
        <v>30376165836</v>
      </c>
      <c r="CJ9">
        <v>30564842059</v>
      </c>
      <c r="CK9">
        <v>30649183928</v>
      </c>
      <c r="CL9">
        <v>30861336901</v>
      </c>
      <c r="CM9">
        <v>30995672289</v>
      </c>
      <c r="CN9">
        <v>31101426896</v>
      </c>
      <c r="CO9">
        <v>31171877328</v>
      </c>
      <c r="CP9">
        <v>31333506781</v>
      </c>
      <c r="CQ9">
        <v>31460350797</v>
      </c>
      <c r="CR9">
        <v>31603891091</v>
      </c>
      <c r="CS9">
        <v>31711515382</v>
      </c>
      <c r="CT9">
        <v>31870291958</v>
      </c>
      <c r="CU9">
        <v>32250090305</v>
      </c>
      <c r="CV9">
        <v>32428970003</v>
      </c>
      <c r="CW9">
        <v>32495765962</v>
      </c>
      <c r="CX9">
        <v>32674237148</v>
      </c>
      <c r="CY9">
        <v>32775679972</v>
      </c>
      <c r="CZ9">
        <v>32846618008</v>
      </c>
      <c r="DA9">
        <v>32997977767</v>
      </c>
      <c r="DB9">
        <v>33109261563</v>
      </c>
      <c r="DC9">
        <v>33292341358</v>
      </c>
      <c r="DD9">
        <v>33402782175</v>
      </c>
      <c r="DE9">
        <v>33513714767</v>
      </c>
      <c r="DF9">
        <v>33687001893</v>
      </c>
      <c r="DG9">
        <v>33793272681</v>
      </c>
      <c r="DH9">
        <v>33952534848</v>
      </c>
      <c r="DI9">
        <v>34095448826</v>
      </c>
      <c r="DJ9">
        <v>34156441651</v>
      </c>
      <c r="DK9">
        <v>34237909445</v>
      </c>
      <c r="DL9">
        <v>34578840025</v>
      </c>
      <c r="DM9">
        <v>34676548274</v>
      </c>
      <c r="DN9">
        <v>34834308591</v>
      </c>
      <c r="DO9">
        <v>34994635923</v>
      </c>
      <c r="DP9">
        <v>35147087900</v>
      </c>
      <c r="DQ9">
        <v>35266399157</v>
      </c>
      <c r="DR9">
        <v>35334038217</v>
      </c>
      <c r="DS9">
        <v>35456157489</v>
      </c>
      <c r="DT9">
        <v>35693232400</v>
      </c>
      <c r="DU9">
        <v>35777294491</v>
      </c>
      <c r="DV9">
        <v>35842168783</v>
      </c>
      <c r="DW9">
        <v>35942862616</v>
      </c>
      <c r="DX9">
        <v>36067957331</v>
      </c>
      <c r="DY9">
        <v>36206868760</v>
      </c>
      <c r="DZ9">
        <v>36371762809</v>
      </c>
      <c r="EA9">
        <v>36521207668</v>
      </c>
      <c r="EB9">
        <v>1881104828</v>
      </c>
      <c r="EC9">
        <v>5866083794</v>
      </c>
      <c r="ED9">
        <v>8487294066.3999996</v>
      </c>
      <c r="EE9">
        <v>14694775291.4</v>
      </c>
      <c r="EF9">
        <v>15382378786.4</v>
      </c>
      <c r="EG9">
        <v>15426314010.4</v>
      </c>
      <c r="EH9">
        <v>15422277141.4</v>
      </c>
      <c r="EI9">
        <v>15495562243.4</v>
      </c>
      <c r="EJ9">
        <v>15891623734.4</v>
      </c>
      <c r="EK9">
        <v>16203705379.4</v>
      </c>
      <c r="EL9">
        <v>16356546213.4</v>
      </c>
      <c r="EM9">
        <v>16559000675.4</v>
      </c>
      <c r="EN9">
        <v>16696702339.4</v>
      </c>
      <c r="EO9">
        <v>16780168908.08</v>
      </c>
      <c r="EP9">
        <v>16899638157.799999</v>
      </c>
      <c r="EQ9">
        <v>16982472350.039999</v>
      </c>
      <c r="ER9">
        <v>17298683789.059998</v>
      </c>
      <c r="ES9">
        <v>17472913346.559998</v>
      </c>
      <c r="ET9">
        <v>17145610130.259998</v>
      </c>
      <c r="EU9">
        <v>17241078876.549999</v>
      </c>
      <c r="EV9">
        <v>17345402633.689999</v>
      </c>
      <c r="EW9">
        <v>17444020126.109997</v>
      </c>
      <c r="EX9">
        <v>17618081373.579998</v>
      </c>
      <c r="EY9">
        <v>17853753846.759998</v>
      </c>
      <c r="EZ9">
        <v>17994463938.969997</v>
      </c>
      <c r="FA9">
        <v>18025271410.539997</v>
      </c>
      <c r="FB9">
        <v>18123438148.739998</v>
      </c>
      <c r="FC9">
        <v>18297416876.82</v>
      </c>
      <c r="FD9">
        <v>18556671982.060001</v>
      </c>
      <c r="FE9">
        <v>19148725166.52</v>
      </c>
      <c r="FF9">
        <v>19598712426.880001</v>
      </c>
      <c r="FG9">
        <v>19386905512.549999</v>
      </c>
      <c r="FH9">
        <v>19570597285.009998</v>
      </c>
      <c r="FI9">
        <v>19565790880.699997</v>
      </c>
      <c r="FJ9">
        <v>19717145797.799995</v>
      </c>
      <c r="FK9">
        <v>19783994816.769997</v>
      </c>
      <c r="FL9">
        <v>19835729454.549995</v>
      </c>
      <c r="FM9">
        <v>20218856655.239994</v>
      </c>
      <c r="FN9">
        <v>20262258432.709995</v>
      </c>
      <c r="FO9">
        <v>20797238206.509995</v>
      </c>
      <c r="FP9">
        <v>20848958096.519993</v>
      </c>
      <c r="FQ9">
        <v>20957086776.369991</v>
      </c>
      <c r="FR9">
        <v>20795372465.98999</v>
      </c>
      <c r="FS9">
        <v>20878894296.109989</v>
      </c>
      <c r="FT9">
        <v>20978103086.319988</v>
      </c>
      <c r="FU9">
        <v>21008312472.569988</v>
      </c>
      <c r="FV9">
        <v>21076419969.939987</v>
      </c>
      <c r="FW9">
        <v>21364854387.239986</v>
      </c>
      <c r="FX9">
        <v>21499897793.409985</v>
      </c>
      <c r="FY9">
        <v>21452034270.899986</v>
      </c>
      <c r="FZ9">
        <v>21529848674.609985</v>
      </c>
      <c r="GA9">
        <v>21637498623.179985</v>
      </c>
      <c r="GB9">
        <v>21911872757.189983</v>
      </c>
      <c r="GC9">
        <v>21849423828.929985</v>
      </c>
      <c r="GD9">
        <v>22378673962.919987</v>
      </c>
      <c r="GE9">
        <v>22618909797.839985</v>
      </c>
      <c r="GF9">
        <v>22725050633.289986</v>
      </c>
      <c r="GG9">
        <v>22784686137.269985</v>
      </c>
      <c r="GH9">
        <v>22868867787.029984</v>
      </c>
      <c r="GI9">
        <v>22124522701.739983</v>
      </c>
      <c r="GJ9">
        <v>22272274001.759983</v>
      </c>
      <c r="GK9">
        <v>22336664700.239983</v>
      </c>
      <c r="GL9">
        <v>22365940600.499981</v>
      </c>
      <c r="GM9">
        <v>22467609135.499981</v>
      </c>
      <c r="GN9">
        <v>22606266099.859982</v>
      </c>
      <c r="GO9">
        <v>22738073549.349983</v>
      </c>
      <c r="GP9">
        <v>22869364614.259983</v>
      </c>
      <c r="GQ9">
        <v>22760970791.269981</v>
      </c>
      <c r="GR9">
        <v>22865131463.409981</v>
      </c>
      <c r="GS9">
        <v>22994469811.45998</v>
      </c>
      <c r="GT9">
        <v>23116828523.109982</v>
      </c>
      <c r="GU9">
        <v>23360969589.579983</v>
      </c>
      <c r="GV9">
        <v>23343177546.929981</v>
      </c>
      <c r="GW9">
        <v>23529598139.969982</v>
      </c>
      <c r="GX9">
        <v>23570245031.449982</v>
      </c>
      <c r="GY9">
        <v>23748778901.019981</v>
      </c>
      <c r="GZ9">
        <v>23862220474.589981</v>
      </c>
      <c r="HA9">
        <v>23952900003.849979</v>
      </c>
      <c r="HB9">
        <v>24441075295.949978</v>
      </c>
      <c r="HC9">
        <v>24573503983.719978</v>
      </c>
      <c r="HD9">
        <v>24618559691.669979</v>
      </c>
      <c r="HE9">
        <v>24804435551.04998</v>
      </c>
      <c r="HF9">
        <v>24942465207.749981</v>
      </c>
      <c r="HG9">
        <v>25055125975.129982</v>
      </c>
      <c r="HH9">
        <v>25186387299.929981</v>
      </c>
      <c r="HI9">
        <v>25389356816.769981</v>
      </c>
      <c r="HJ9">
        <v>25353023098.699982</v>
      </c>
      <c r="HK9">
        <v>25514936522.469982</v>
      </c>
      <c r="HL9">
        <v>25639780914.589981</v>
      </c>
      <c r="HM9">
        <v>25779385290.499981</v>
      </c>
      <c r="HN9">
        <v>25884640699.93998</v>
      </c>
      <c r="HO9">
        <v>26404887542.04998</v>
      </c>
      <c r="HP9">
        <v>26519456659.95998</v>
      </c>
      <c r="HQ9">
        <v>26696738522.95998</v>
      </c>
      <c r="HR9">
        <v>26761942070.839981</v>
      </c>
      <c r="HS9">
        <v>26838741956.54998</v>
      </c>
      <c r="HT9">
        <v>26938583671.569981</v>
      </c>
      <c r="HU9">
        <v>27009004067.539982</v>
      </c>
      <c r="HV9">
        <v>27160005777.609982</v>
      </c>
      <c r="HW9">
        <v>27271489400.289982</v>
      </c>
      <c r="HX9">
        <v>27598489878.939983</v>
      </c>
      <c r="HY9">
        <v>27709947952.579983</v>
      </c>
      <c r="HZ9">
        <v>27821604639.369984</v>
      </c>
      <c r="IA9">
        <v>27996028734.069984</v>
      </c>
      <c r="IB9">
        <v>28103740233.279984</v>
      </c>
      <c r="IC9">
        <v>28264804789.269985</v>
      </c>
      <c r="ID9">
        <v>28409862188.299984</v>
      </c>
      <c r="IE9">
        <v>28473456252.669983</v>
      </c>
      <c r="IF9">
        <v>28557676957.699982</v>
      </c>
      <c r="IG9">
        <v>28890333948.659981</v>
      </c>
      <c r="IH9">
        <v>28979061831.789982</v>
      </c>
      <c r="II9">
        <v>29127747981.13998</v>
      </c>
      <c r="IJ9">
        <v>29278905958.599979</v>
      </c>
      <c r="IK9">
        <v>29422095946.569981</v>
      </c>
      <c r="IL9">
        <v>29532054828.349979</v>
      </c>
      <c r="IM9">
        <v>29591427798.559978</v>
      </c>
      <c r="IN9">
        <v>29702841067.36998</v>
      </c>
      <c r="IO9">
        <v>29930299576.849979</v>
      </c>
      <c r="IP9">
        <v>30007833838.919979</v>
      </c>
      <c r="IQ9">
        <v>30059754411.839977</v>
      </c>
      <c r="IR9">
        <v>30150587904.069977</v>
      </c>
      <c r="IS9">
        <v>30266126691.879978</v>
      </c>
      <c r="IT9">
        <v>30434100035.419979</v>
      </c>
      <c r="IU9">
        <v>30588926612.879978</v>
      </c>
      <c r="IV9">
        <v>30728244243.419979</v>
      </c>
    </row>
    <row r="10" spans="2:256" x14ac:dyDescent="0.2">
      <c r="F10">
        <v>201406</v>
      </c>
      <c r="G10">
        <v>2466281</v>
      </c>
      <c r="H10">
        <v>1756572659</v>
      </c>
      <c r="I10">
        <v>3220543756</v>
      </c>
      <c r="J10">
        <v>7114734170</v>
      </c>
      <c r="K10">
        <v>9376900639</v>
      </c>
      <c r="L10">
        <v>9472097869</v>
      </c>
      <c r="M10">
        <v>9585367380</v>
      </c>
      <c r="N10">
        <v>9586053380</v>
      </c>
      <c r="O10">
        <v>9591863387</v>
      </c>
      <c r="P10">
        <v>9594574035</v>
      </c>
      <c r="Q10">
        <v>9605115420</v>
      </c>
      <c r="R10">
        <v>9637547777</v>
      </c>
      <c r="S10">
        <v>9639265598</v>
      </c>
      <c r="T10">
        <v>9641510801</v>
      </c>
      <c r="U10">
        <v>9660688675</v>
      </c>
      <c r="V10">
        <v>9715061639</v>
      </c>
      <c r="W10">
        <v>9721312978</v>
      </c>
      <c r="X10">
        <v>9723026081</v>
      </c>
      <c r="Y10">
        <v>9723026081</v>
      </c>
      <c r="Z10">
        <v>9723026081</v>
      </c>
      <c r="AA10">
        <v>9723026081</v>
      </c>
      <c r="AB10">
        <v>9723026081</v>
      </c>
      <c r="AC10">
        <v>9730878733</v>
      </c>
      <c r="AD10">
        <v>9730878733</v>
      </c>
      <c r="AE10">
        <v>9730878733</v>
      </c>
      <c r="AF10">
        <v>9788092050</v>
      </c>
      <c r="AG10">
        <v>9791044873</v>
      </c>
      <c r="AH10">
        <v>9791044873</v>
      </c>
      <c r="AI10">
        <v>9791044873</v>
      </c>
      <c r="AJ10">
        <v>9793080015</v>
      </c>
      <c r="AK10">
        <v>9793421415</v>
      </c>
      <c r="AL10">
        <v>9793421415</v>
      </c>
      <c r="AM10">
        <v>9793421415</v>
      </c>
      <c r="AN10">
        <v>9793421415</v>
      </c>
      <c r="AO10">
        <v>9793421415</v>
      </c>
      <c r="AP10">
        <v>9825853772</v>
      </c>
      <c r="AQ10">
        <v>9869022325</v>
      </c>
      <c r="AR10">
        <v>9851562272</v>
      </c>
      <c r="AS10">
        <v>9853807475</v>
      </c>
      <c r="AT10">
        <v>9853807475</v>
      </c>
      <c r="AU10">
        <v>9854148875</v>
      </c>
      <c r="AV10">
        <v>9856369956</v>
      </c>
      <c r="AW10">
        <v>9856369956</v>
      </c>
      <c r="AX10">
        <v>9856369956</v>
      </c>
      <c r="AY10">
        <v>9856369956</v>
      </c>
      <c r="AZ10">
        <v>9856369956</v>
      </c>
      <c r="BA10">
        <v>9856369956</v>
      </c>
      <c r="BB10">
        <v>9856369956</v>
      </c>
      <c r="BC10">
        <v>9913012913</v>
      </c>
      <c r="BD10">
        <v>9914730734</v>
      </c>
      <c r="BE10">
        <v>9916975937</v>
      </c>
      <c r="BF10">
        <v>9916975937</v>
      </c>
      <c r="BG10">
        <v>9917317337</v>
      </c>
      <c r="BH10">
        <v>9917317337</v>
      </c>
      <c r="BI10">
        <v>9919435112</v>
      </c>
      <c r="BJ10">
        <v>9919435112</v>
      </c>
      <c r="BK10">
        <v>9919435112</v>
      </c>
      <c r="BL10">
        <v>9951867469</v>
      </c>
      <c r="BM10">
        <v>9951867469</v>
      </c>
      <c r="BN10">
        <v>9951867469</v>
      </c>
      <c r="BO10">
        <v>9977373785</v>
      </c>
      <c r="BP10">
        <v>9985556722</v>
      </c>
      <c r="BQ10">
        <v>9987801925</v>
      </c>
      <c r="BR10">
        <v>9987801925</v>
      </c>
      <c r="BS10">
        <v>9987801925</v>
      </c>
      <c r="BT10">
        <v>9990451500</v>
      </c>
      <c r="BU10">
        <v>9990451500</v>
      </c>
      <c r="BV10">
        <v>9990451500</v>
      </c>
      <c r="BW10">
        <v>9990451500</v>
      </c>
      <c r="BX10">
        <v>9990451500</v>
      </c>
      <c r="BY10">
        <v>9990451500</v>
      </c>
      <c r="BZ10">
        <v>9990451500</v>
      </c>
      <c r="CA10">
        <v>9990451500</v>
      </c>
      <c r="CB10">
        <v>10062146734</v>
      </c>
      <c r="CC10">
        <v>10064902757</v>
      </c>
      <c r="CD10">
        <v>10075527113</v>
      </c>
      <c r="CE10">
        <v>10075527113</v>
      </c>
      <c r="CF10">
        <v>10077644888</v>
      </c>
      <c r="CG10">
        <v>10077644888</v>
      </c>
      <c r="CH10">
        <v>10077644888</v>
      </c>
      <c r="CI10">
        <v>10077644888</v>
      </c>
      <c r="CJ10">
        <v>10077644888</v>
      </c>
      <c r="CK10">
        <v>10077644888</v>
      </c>
      <c r="CL10">
        <v>10122584913</v>
      </c>
      <c r="CM10">
        <v>10154865108</v>
      </c>
      <c r="CN10">
        <v>10158870024</v>
      </c>
      <c r="CO10">
        <v>10158870024</v>
      </c>
      <c r="CP10">
        <v>10162188701</v>
      </c>
      <c r="CQ10">
        <v>10162720501</v>
      </c>
      <c r="CR10">
        <v>10162720501</v>
      </c>
      <c r="CS10">
        <v>10165367720</v>
      </c>
      <c r="CT10">
        <v>10165367720</v>
      </c>
      <c r="CU10">
        <v>10165367720</v>
      </c>
      <c r="CV10">
        <v>10165367720</v>
      </c>
      <c r="CW10">
        <v>10210307745</v>
      </c>
      <c r="CX10">
        <v>10210307745</v>
      </c>
      <c r="CY10">
        <v>10242587940</v>
      </c>
      <c r="CZ10">
        <v>10242587940</v>
      </c>
      <c r="DA10">
        <v>10247155510</v>
      </c>
      <c r="DB10">
        <v>10247155510</v>
      </c>
      <c r="DC10">
        <v>10247155510</v>
      </c>
      <c r="DD10">
        <v>10249802729</v>
      </c>
      <c r="DE10">
        <v>10250334529</v>
      </c>
      <c r="DF10">
        <v>10250334529</v>
      </c>
      <c r="DG10">
        <v>10250334529</v>
      </c>
      <c r="DH10">
        <v>10250334529</v>
      </c>
      <c r="DI10">
        <v>10295274554</v>
      </c>
      <c r="DJ10">
        <v>10295274554</v>
      </c>
      <c r="DK10">
        <v>10327554749</v>
      </c>
      <c r="DL10">
        <v>10328803642</v>
      </c>
      <c r="DM10">
        <v>10332122319</v>
      </c>
      <c r="DN10">
        <v>10332122319</v>
      </c>
      <c r="DO10">
        <v>10332122319</v>
      </c>
      <c r="DP10">
        <v>10332654119</v>
      </c>
      <c r="DQ10">
        <v>10332654119</v>
      </c>
      <c r="DR10">
        <v>10332654119</v>
      </c>
      <c r="DS10">
        <v>10332654119</v>
      </c>
      <c r="DT10">
        <v>10332654119</v>
      </c>
      <c r="DU10">
        <v>10377594144</v>
      </c>
      <c r="DV10">
        <v>10377594144</v>
      </c>
      <c r="DW10">
        <v>10419043512</v>
      </c>
      <c r="DX10">
        <v>10427743738</v>
      </c>
      <c r="EB10">
        <v>533615021</v>
      </c>
      <c r="EC10">
        <v>4193013542</v>
      </c>
      <c r="ED10">
        <v>6242328119</v>
      </c>
      <c r="EE10">
        <v>9726168870</v>
      </c>
      <c r="EF10">
        <v>9680753216</v>
      </c>
      <c r="EG10">
        <v>9507817283</v>
      </c>
      <c r="EH10">
        <v>9593220033</v>
      </c>
      <c r="EI10">
        <v>9593906033</v>
      </c>
      <c r="EJ10">
        <v>9604486687</v>
      </c>
      <c r="EK10">
        <v>9607197335</v>
      </c>
      <c r="EL10">
        <v>9613001054.1399994</v>
      </c>
      <c r="EM10">
        <v>9645433411.1399994</v>
      </c>
      <c r="EN10">
        <v>9647151232.1399994</v>
      </c>
      <c r="EO10">
        <v>9693324347.7299995</v>
      </c>
      <c r="EP10">
        <v>9712502221.7299995</v>
      </c>
      <c r="EQ10">
        <v>9766875185.7299995</v>
      </c>
      <c r="ER10">
        <v>9729198612.1399994</v>
      </c>
      <c r="ES10">
        <v>9730911715.1399994</v>
      </c>
      <c r="ET10">
        <v>9730911715.1399994</v>
      </c>
      <c r="EU10">
        <v>9730911715.1399994</v>
      </c>
      <c r="EV10">
        <v>9730911715.1399994</v>
      </c>
      <c r="EW10">
        <v>9730911715.1399994</v>
      </c>
      <c r="EX10">
        <v>9730878733</v>
      </c>
      <c r="EY10">
        <v>9730878733</v>
      </c>
      <c r="EZ10">
        <v>9730878733</v>
      </c>
      <c r="FA10">
        <v>9788092050</v>
      </c>
      <c r="FB10">
        <v>9791044873</v>
      </c>
      <c r="FC10">
        <v>9791044873</v>
      </c>
      <c r="FD10">
        <v>9791044873</v>
      </c>
      <c r="FE10">
        <v>9793080015</v>
      </c>
      <c r="FF10">
        <v>9793421415</v>
      </c>
      <c r="FG10">
        <v>9793421415</v>
      </c>
      <c r="FH10">
        <v>9793421415</v>
      </c>
      <c r="FI10">
        <v>9793421415</v>
      </c>
      <c r="FJ10">
        <v>9793421415</v>
      </c>
      <c r="FK10">
        <v>9825853772</v>
      </c>
      <c r="FL10">
        <v>9869022325</v>
      </c>
      <c r="FM10">
        <v>9851562272</v>
      </c>
      <c r="FN10">
        <v>9853807475</v>
      </c>
      <c r="FO10">
        <v>9853807475</v>
      </c>
      <c r="FP10">
        <v>9854148875</v>
      </c>
      <c r="FQ10">
        <v>9856369956</v>
      </c>
      <c r="FR10">
        <v>9856369956</v>
      </c>
      <c r="FS10">
        <v>9856369956</v>
      </c>
      <c r="FT10">
        <v>9856369956</v>
      </c>
      <c r="FU10">
        <v>9856369956</v>
      </c>
      <c r="FV10">
        <v>9856369956</v>
      </c>
      <c r="FW10">
        <v>9856369956</v>
      </c>
      <c r="FX10">
        <v>9913012913</v>
      </c>
      <c r="FY10">
        <v>9914730734</v>
      </c>
      <c r="FZ10">
        <v>9916975937</v>
      </c>
      <c r="GA10">
        <v>9916975937</v>
      </c>
      <c r="GB10">
        <v>9917317337</v>
      </c>
      <c r="GC10">
        <v>9917317337</v>
      </c>
      <c r="GD10">
        <v>9919435112</v>
      </c>
      <c r="GE10">
        <v>9919435112</v>
      </c>
      <c r="GF10">
        <v>9919435112</v>
      </c>
      <c r="GG10">
        <v>9951867469</v>
      </c>
      <c r="GH10">
        <v>9951867469</v>
      </c>
      <c r="GI10">
        <v>9951867469</v>
      </c>
      <c r="GJ10">
        <v>9977373785</v>
      </c>
      <c r="GK10">
        <v>9985556722</v>
      </c>
      <c r="GL10">
        <v>9987801925</v>
      </c>
      <c r="GM10">
        <v>9987801925</v>
      </c>
      <c r="GN10">
        <v>9987801925</v>
      </c>
      <c r="GO10">
        <v>9990451500</v>
      </c>
      <c r="GP10">
        <v>9990451500</v>
      </c>
      <c r="GQ10">
        <v>9990451500</v>
      </c>
      <c r="GR10">
        <v>9990451500</v>
      </c>
      <c r="GS10">
        <v>9990451500</v>
      </c>
      <c r="GT10">
        <v>9990451500</v>
      </c>
      <c r="GU10">
        <v>9990451500</v>
      </c>
      <c r="GV10">
        <v>9990451500</v>
      </c>
      <c r="GW10">
        <v>10062146734</v>
      </c>
      <c r="GX10">
        <v>10064902757</v>
      </c>
      <c r="GY10">
        <v>10075527113</v>
      </c>
      <c r="GZ10">
        <v>10075527113</v>
      </c>
      <c r="HA10">
        <v>10077644888</v>
      </c>
      <c r="HB10">
        <v>10077644888</v>
      </c>
      <c r="HC10">
        <v>10077644888</v>
      </c>
      <c r="HD10">
        <v>10077644888</v>
      </c>
      <c r="HE10">
        <v>10077644888</v>
      </c>
      <c r="HF10">
        <v>10077644888</v>
      </c>
      <c r="HG10">
        <v>10122584913</v>
      </c>
      <c r="HH10">
        <v>10154865108</v>
      </c>
      <c r="HI10">
        <v>10158870024</v>
      </c>
      <c r="HJ10">
        <v>10158870024</v>
      </c>
      <c r="HK10">
        <v>10162188701</v>
      </c>
      <c r="HL10">
        <v>10162720501</v>
      </c>
      <c r="HM10">
        <v>10162720501</v>
      </c>
      <c r="HN10">
        <v>10165367720</v>
      </c>
      <c r="HO10">
        <v>10165367720</v>
      </c>
      <c r="HP10">
        <v>10165367720</v>
      </c>
      <c r="HQ10">
        <v>10165367720</v>
      </c>
      <c r="HR10">
        <v>10210307745</v>
      </c>
      <c r="HS10">
        <v>10210307745</v>
      </c>
      <c r="HT10">
        <v>10242587940</v>
      </c>
      <c r="HU10">
        <v>10242587940</v>
      </c>
      <c r="HV10">
        <v>10247155510</v>
      </c>
      <c r="HW10">
        <v>10247155510</v>
      </c>
      <c r="HX10">
        <v>10247155510</v>
      </c>
      <c r="HY10">
        <v>10249802729</v>
      </c>
      <c r="HZ10">
        <v>10250334529</v>
      </c>
      <c r="IA10">
        <v>10250334529</v>
      </c>
      <c r="IB10">
        <v>10250334529</v>
      </c>
      <c r="IC10">
        <v>10250334529</v>
      </c>
      <c r="ID10">
        <v>10295274554</v>
      </c>
      <c r="IE10">
        <v>10295274554</v>
      </c>
      <c r="IF10">
        <v>10327554749</v>
      </c>
      <c r="IG10">
        <v>10328803642</v>
      </c>
      <c r="IH10">
        <v>10332122319</v>
      </c>
      <c r="II10">
        <v>10332122319</v>
      </c>
      <c r="IJ10">
        <v>10332122319</v>
      </c>
      <c r="IK10">
        <v>10332654119</v>
      </c>
      <c r="IL10">
        <v>10332654119</v>
      </c>
      <c r="IM10">
        <v>10332654119</v>
      </c>
      <c r="IN10">
        <v>10332654119</v>
      </c>
      <c r="IO10">
        <v>10332654119</v>
      </c>
      <c r="IP10">
        <v>10377594144</v>
      </c>
      <c r="IQ10">
        <v>10377594144</v>
      </c>
      <c r="IR10">
        <v>10419043512</v>
      </c>
      <c r="IS10">
        <v>10427743738</v>
      </c>
    </row>
    <row r="11" spans="2:256" x14ac:dyDescent="0.2">
      <c r="F11">
        <v>201409</v>
      </c>
      <c r="G11">
        <v>69792776</v>
      </c>
      <c r="H11">
        <v>1377156102</v>
      </c>
      <c r="I11">
        <v>4938352248</v>
      </c>
      <c r="J11">
        <v>7968248870</v>
      </c>
      <c r="K11">
        <v>9505206588</v>
      </c>
      <c r="L11">
        <v>10143052670</v>
      </c>
      <c r="M11">
        <v>10146496130</v>
      </c>
      <c r="N11">
        <v>10148229880</v>
      </c>
      <c r="O11">
        <v>10153756753</v>
      </c>
      <c r="P11">
        <v>10154106753</v>
      </c>
      <c r="Q11">
        <v>10155058022</v>
      </c>
      <c r="R11">
        <v>10155341332</v>
      </c>
      <c r="S11">
        <v>10185422250</v>
      </c>
      <c r="T11">
        <v>10185853304</v>
      </c>
      <c r="U11">
        <v>10198666001</v>
      </c>
      <c r="V11">
        <v>10198666001</v>
      </c>
      <c r="W11">
        <v>10199413447</v>
      </c>
      <c r="X11">
        <v>10199916997</v>
      </c>
      <c r="Y11">
        <v>10201704313</v>
      </c>
      <c r="Z11">
        <v>10201704313</v>
      </c>
      <c r="AA11">
        <v>10201704313</v>
      </c>
      <c r="AB11">
        <v>10208480812</v>
      </c>
      <c r="AC11">
        <v>10208480812</v>
      </c>
      <c r="AD11">
        <v>10215111865</v>
      </c>
      <c r="AE11">
        <v>10215395175</v>
      </c>
      <c r="AF11">
        <v>10223704834</v>
      </c>
      <c r="AG11">
        <v>10230210068</v>
      </c>
      <c r="AH11">
        <v>10230210068</v>
      </c>
      <c r="AI11">
        <v>10230210068</v>
      </c>
      <c r="AJ11">
        <v>10230713618</v>
      </c>
      <c r="AK11">
        <v>10248079088</v>
      </c>
      <c r="AL11">
        <v>10248079088</v>
      </c>
      <c r="AM11">
        <v>10248079088</v>
      </c>
      <c r="AN11">
        <v>10255914080</v>
      </c>
      <c r="AO11">
        <v>10256197390</v>
      </c>
      <c r="AP11">
        <v>10261877174</v>
      </c>
      <c r="AQ11">
        <v>10261877174</v>
      </c>
      <c r="AR11">
        <v>10271149422</v>
      </c>
      <c r="AS11">
        <v>10273202914</v>
      </c>
      <c r="AT11">
        <v>10276732330</v>
      </c>
      <c r="AU11">
        <v>10276732330</v>
      </c>
      <c r="AV11">
        <v>10277235880</v>
      </c>
      <c r="AW11">
        <v>10279811619</v>
      </c>
      <c r="AX11">
        <v>10279811619</v>
      </c>
      <c r="AY11">
        <v>10293083620</v>
      </c>
      <c r="AZ11">
        <v>10293083620</v>
      </c>
      <c r="BA11">
        <v>10294034889</v>
      </c>
      <c r="BB11">
        <v>10300802056</v>
      </c>
      <c r="BC11">
        <v>10302364281</v>
      </c>
      <c r="BD11">
        <v>10309192242</v>
      </c>
      <c r="BE11">
        <v>10313253189</v>
      </c>
      <c r="BF11">
        <v>10313253189</v>
      </c>
      <c r="BG11">
        <v>10497138861</v>
      </c>
      <c r="BH11">
        <v>10500218150</v>
      </c>
      <c r="BI11">
        <v>10500218150</v>
      </c>
      <c r="BJ11">
        <v>10512349375</v>
      </c>
      <c r="BK11">
        <v>10514423729</v>
      </c>
      <c r="BL11">
        <v>10525263767</v>
      </c>
      <c r="BM11">
        <v>11308550645</v>
      </c>
      <c r="BN11">
        <v>11308550645</v>
      </c>
      <c r="BO11">
        <v>11316992527</v>
      </c>
      <c r="BP11">
        <v>11324352019</v>
      </c>
      <c r="BQ11">
        <v>11331430461</v>
      </c>
      <c r="BR11">
        <v>11331430461</v>
      </c>
      <c r="BS11">
        <v>11331430461</v>
      </c>
      <c r="BT11">
        <v>11334771115</v>
      </c>
      <c r="BU11">
        <v>11334771115</v>
      </c>
      <c r="BV11">
        <v>11334771115</v>
      </c>
      <c r="BW11">
        <v>11334771115</v>
      </c>
      <c r="BX11">
        <v>11344861796</v>
      </c>
      <c r="BY11">
        <v>11346329074</v>
      </c>
      <c r="BZ11">
        <v>11355054266</v>
      </c>
      <c r="CA11">
        <v>11357630005</v>
      </c>
      <c r="CB11">
        <v>11368592953</v>
      </c>
      <c r="CC11">
        <v>11374068907</v>
      </c>
      <c r="CD11">
        <v>11374068907</v>
      </c>
      <c r="CE11">
        <v>11374068907</v>
      </c>
      <c r="CF11">
        <v>11379140323</v>
      </c>
      <c r="CG11">
        <v>11379140323</v>
      </c>
      <c r="CH11">
        <v>11382364062</v>
      </c>
      <c r="CI11">
        <v>11382364062</v>
      </c>
      <c r="CJ11">
        <v>11382364062</v>
      </c>
      <c r="CK11">
        <v>11386539666</v>
      </c>
      <c r="CL11">
        <v>11390658668</v>
      </c>
      <c r="CM11">
        <v>11396448826</v>
      </c>
      <c r="CN11">
        <v>11412396461</v>
      </c>
      <c r="CO11">
        <v>11413191840</v>
      </c>
      <c r="CP11">
        <v>11413191840</v>
      </c>
      <c r="CQ11">
        <v>11418546566</v>
      </c>
      <c r="CR11">
        <v>11418546566</v>
      </c>
      <c r="CS11">
        <v>11421756907</v>
      </c>
      <c r="CT11">
        <v>11422404907</v>
      </c>
      <c r="CU11">
        <v>11422688217</v>
      </c>
      <c r="CV11">
        <v>11422688217</v>
      </c>
      <c r="CW11">
        <v>11426863821</v>
      </c>
      <c r="CX11">
        <v>11436772981</v>
      </c>
      <c r="CY11">
        <v>11436772981</v>
      </c>
      <c r="CZ11">
        <v>11453556258</v>
      </c>
      <c r="DA11">
        <v>11453556258</v>
      </c>
      <c r="DB11">
        <v>11453556258</v>
      </c>
      <c r="DC11">
        <v>11453556258</v>
      </c>
      <c r="DD11">
        <v>11458627674</v>
      </c>
      <c r="DE11">
        <v>11461838015</v>
      </c>
      <c r="DF11">
        <v>11462486015</v>
      </c>
      <c r="DG11">
        <v>11462486015</v>
      </c>
      <c r="DH11">
        <v>11462486015</v>
      </c>
      <c r="DI11">
        <v>11468128897</v>
      </c>
      <c r="DJ11">
        <v>11474118913</v>
      </c>
      <c r="DK11">
        <v>11480003471</v>
      </c>
      <c r="DL11">
        <v>11512868812</v>
      </c>
      <c r="DM11">
        <v>11518344766</v>
      </c>
      <c r="DN11">
        <v>11518344766</v>
      </c>
      <c r="DO11">
        <v>11518344766</v>
      </c>
      <c r="DP11">
        <v>11527278155</v>
      </c>
      <c r="DQ11">
        <v>11530488496</v>
      </c>
      <c r="DR11">
        <v>11531136496</v>
      </c>
      <c r="DS11">
        <v>11531136496</v>
      </c>
      <c r="DT11">
        <v>11535312100</v>
      </c>
      <c r="DU11">
        <v>11535312100</v>
      </c>
      <c r="EB11">
        <v>730769904</v>
      </c>
      <c r="EC11">
        <v>3020910885</v>
      </c>
      <c r="ED11">
        <v>7633836272</v>
      </c>
      <c r="EE11">
        <v>9449497558</v>
      </c>
      <c r="EF11">
        <v>9751166018</v>
      </c>
      <c r="EG11">
        <v>10165745795</v>
      </c>
      <c r="EH11">
        <v>10169189255</v>
      </c>
      <c r="EI11">
        <v>10171021866.76</v>
      </c>
      <c r="EJ11">
        <v>10176548739.76</v>
      </c>
      <c r="EK11">
        <v>10176898739.76</v>
      </c>
      <c r="EL11">
        <v>10177850008.76</v>
      </c>
      <c r="EM11">
        <v>10178133318.76</v>
      </c>
      <c r="EN11">
        <v>10255716250</v>
      </c>
      <c r="EO11">
        <v>10188318936.34</v>
      </c>
      <c r="EP11">
        <v>10198666001</v>
      </c>
      <c r="EQ11">
        <v>10198666001</v>
      </c>
      <c r="ER11">
        <v>10199413447</v>
      </c>
      <c r="ES11">
        <v>10408870933</v>
      </c>
      <c r="ET11">
        <v>10201704313</v>
      </c>
      <c r="EU11">
        <v>10201704313</v>
      </c>
      <c r="EV11">
        <v>10201704313</v>
      </c>
      <c r="EW11">
        <v>10317938612</v>
      </c>
      <c r="EX11">
        <v>10317938612</v>
      </c>
      <c r="EY11">
        <v>10215111865</v>
      </c>
      <c r="EZ11">
        <v>10215395175</v>
      </c>
      <c r="FA11">
        <v>10223704834</v>
      </c>
      <c r="FB11">
        <v>10230210068</v>
      </c>
      <c r="FC11">
        <v>10230210068</v>
      </c>
      <c r="FD11">
        <v>10230716387.530001</v>
      </c>
      <c r="FE11">
        <v>10286111531.91</v>
      </c>
      <c r="FF11">
        <v>10248079088</v>
      </c>
      <c r="FG11">
        <v>10248079088</v>
      </c>
      <c r="FH11">
        <v>10305204993.879999</v>
      </c>
      <c r="FI11">
        <v>10313039985.879999</v>
      </c>
      <c r="FJ11">
        <v>10313235235.059999</v>
      </c>
      <c r="FK11">
        <v>10318915019.059999</v>
      </c>
      <c r="FL11">
        <v>10318915019.059999</v>
      </c>
      <c r="FM11">
        <v>10328187267.059999</v>
      </c>
      <c r="FN11">
        <v>10330240759.059999</v>
      </c>
      <c r="FO11">
        <v>10333770175.059999</v>
      </c>
      <c r="FP11">
        <v>10333770175.059999</v>
      </c>
      <c r="FQ11">
        <v>10334273725.059999</v>
      </c>
      <c r="FR11">
        <v>10336849464.059999</v>
      </c>
      <c r="FS11">
        <v>10336849464.059999</v>
      </c>
      <c r="FT11">
        <v>10350121465.059999</v>
      </c>
      <c r="FU11">
        <v>10350121465.059999</v>
      </c>
      <c r="FV11">
        <v>10351072734.059999</v>
      </c>
      <c r="FW11">
        <v>10357839901.059999</v>
      </c>
      <c r="FX11">
        <v>10359402126.059999</v>
      </c>
      <c r="FY11">
        <v>10366230087.059999</v>
      </c>
      <c r="FZ11">
        <v>10370291034.059999</v>
      </c>
      <c r="GA11">
        <v>10554903054.459999</v>
      </c>
      <c r="GB11">
        <v>10554102848.589998</v>
      </c>
      <c r="GC11">
        <v>10557182137.589998</v>
      </c>
      <c r="GD11">
        <v>10557182137.589998</v>
      </c>
      <c r="GE11">
        <v>10569313362.589998</v>
      </c>
      <c r="GF11">
        <v>10571387716.589998</v>
      </c>
      <c r="GG11">
        <v>11094997052.829998</v>
      </c>
      <c r="GH11">
        <v>11308550644.999998</v>
      </c>
      <c r="GI11">
        <v>11326307576.499998</v>
      </c>
      <c r="GJ11">
        <v>11334749458.499998</v>
      </c>
      <c r="GK11">
        <v>11342108950.499998</v>
      </c>
      <c r="GL11">
        <v>11349187392.499998</v>
      </c>
      <c r="GM11">
        <v>11349187392.499998</v>
      </c>
      <c r="GN11">
        <v>11349187392.499998</v>
      </c>
      <c r="GO11">
        <v>11352528046.499998</v>
      </c>
      <c r="GP11">
        <v>11352528931.999998</v>
      </c>
      <c r="GQ11">
        <v>11352528931.999998</v>
      </c>
      <c r="GR11">
        <v>11352528931.999998</v>
      </c>
      <c r="GS11">
        <v>11362619612.999998</v>
      </c>
      <c r="GT11">
        <v>11364086890.999998</v>
      </c>
      <c r="GU11">
        <v>11372812082.999998</v>
      </c>
      <c r="GV11">
        <v>11375387821.999998</v>
      </c>
      <c r="GW11">
        <v>11386350769.999998</v>
      </c>
      <c r="GX11">
        <v>11391826723.999998</v>
      </c>
      <c r="GY11">
        <v>11391826723.999998</v>
      </c>
      <c r="GZ11">
        <v>11374068906.999998</v>
      </c>
      <c r="HA11">
        <v>11379140322.999998</v>
      </c>
      <c r="HB11">
        <v>11379140322.999998</v>
      </c>
      <c r="HC11">
        <v>11382364061.999998</v>
      </c>
      <c r="HD11">
        <v>11382364061.999998</v>
      </c>
      <c r="HE11">
        <v>11382364061.999998</v>
      </c>
      <c r="HF11">
        <v>11386539665.999998</v>
      </c>
      <c r="HG11">
        <v>11390658667.999998</v>
      </c>
      <c r="HH11">
        <v>11396448825.999998</v>
      </c>
      <c r="HI11">
        <v>11412396460.999998</v>
      </c>
      <c r="HJ11">
        <v>11413191839.999998</v>
      </c>
      <c r="HK11">
        <v>11413191839.999998</v>
      </c>
      <c r="HL11">
        <v>11418546565.999998</v>
      </c>
      <c r="HM11">
        <v>11418546565.999998</v>
      </c>
      <c r="HN11">
        <v>11421756906.999998</v>
      </c>
      <c r="HO11">
        <v>11422404906.999998</v>
      </c>
      <c r="HP11">
        <v>11422688216.999998</v>
      </c>
      <c r="HQ11">
        <v>11422688216.999998</v>
      </c>
      <c r="HR11">
        <v>11426863820.999998</v>
      </c>
      <c r="HS11">
        <v>11436772980.999998</v>
      </c>
      <c r="HT11">
        <v>11436772980.999998</v>
      </c>
      <c r="HU11">
        <v>11453556257.999998</v>
      </c>
      <c r="HV11">
        <v>11453556257.999998</v>
      </c>
      <c r="HW11">
        <v>11453556257.999998</v>
      </c>
      <c r="HX11">
        <v>11453556257.999998</v>
      </c>
      <c r="HY11">
        <v>11458627673.999998</v>
      </c>
      <c r="HZ11">
        <v>11461838014.999998</v>
      </c>
      <c r="IA11">
        <v>11462486014.999998</v>
      </c>
      <c r="IB11">
        <v>11462486014.999998</v>
      </c>
      <c r="IC11">
        <v>11462486014.999998</v>
      </c>
      <c r="ID11">
        <v>11468128896.999998</v>
      </c>
      <c r="IE11">
        <v>11497204012.999998</v>
      </c>
      <c r="IF11">
        <v>11503088570.999998</v>
      </c>
      <c r="IG11">
        <v>11512868811.999998</v>
      </c>
      <c r="IH11">
        <v>11518344765.999998</v>
      </c>
      <c r="II11">
        <v>11518344765.999998</v>
      </c>
      <c r="IJ11">
        <v>11518344765.999998</v>
      </c>
      <c r="IK11">
        <v>11527278154.999998</v>
      </c>
      <c r="IL11">
        <v>11530488495.999998</v>
      </c>
      <c r="IM11">
        <v>11531136495.999998</v>
      </c>
      <c r="IN11">
        <v>11531136495.999998</v>
      </c>
      <c r="IO11">
        <v>11535312099.999998</v>
      </c>
      <c r="IP11">
        <v>11535312099.999998</v>
      </c>
    </row>
    <row r="12" spans="2:256" x14ac:dyDescent="0.2">
      <c r="F12">
        <v>201412</v>
      </c>
      <c r="G12">
        <v>311999568</v>
      </c>
      <c r="H12">
        <v>1387477584</v>
      </c>
      <c r="I12">
        <v>6896760972</v>
      </c>
      <c r="J12">
        <v>8955076750</v>
      </c>
      <c r="K12">
        <v>10908556378</v>
      </c>
      <c r="L12">
        <v>11082262804</v>
      </c>
      <c r="M12">
        <v>11481409868</v>
      </c>
      <c r="N12">
        <v>11547394718</v>
      </c>
      <c r="O12">
        <v>11667662752</v>
      </c>
      <c r="P12">
        <v>11667662752</v>
      </c>
      <c r="Q12">
        <v>11669776505</v>
      </c>
      <c r="R12">
        <v>11670833305</v>
      </c>
      <c r="S12">
        <v>11671477655</v>
      </c>
      <c r="T12">
        <v>11672385239</v>
      </c>
      <c r="U12">
        <v>11672385239</v>
      </c>
      <c r="V12">
        <v>11700615731</v>
      </c>
      <c r="W12">
        <v>11703981360</v>
      </c>
      <c r="X12">
        <v>11715933031</v>
      </c>
      <c r="Y12">
        <v>11715933031</v>
      </c>
      <c r="Z12">
        <v>11719582860</v>
      </c>
      <c r="AA12">
        <v>11719582860</v>
      </c>
      <c r="AB12">
        <v>11719582860</v>
      </c>
      <c r="AC12">
        <v>11719582860</v>
      </c>
      <c r="AD12">
        <v>11722696213</v>
      </c>
      <c r="AE12">
        <v>11722696213</v>
      </c>
      <c r="AF12">
        <v>11755196213</v>
      </c>
      <c r="AG12">
        <v>11760664769</v>
      </c>
      <c r="AH12">
        <v>11763622650</v>
      </c>
      <c r="AI12">
        <v>11763622650</v>
      </c>
      <c r="AJ12">
        <v>11776837790</v>
      </c>
      <c r="AK12">
        <v>11779693273</v>
      </c>
      <c r="AL12">
        <v>11782751156</v>
      </c>
      <c r="AM12">
        <v>11792407872</v>
      </c>
      <c r="AN12">
        <v>11793176455</v>
      </c>
      <c r="AO12">
        <v>11793176455</v>
      </c>
      <c r="AP12">
        <v>11793176455</v>
      </c>
      <c r="AQ12">
        <v>11793176455</v>
      </c>
      <c r="AR12">
        <v>11804084083</v>
      </c>
      <c r="AS12">
        <v>11809731674</v>
      </c>
      <c r="AT12">
        <v>11809731674</v>
      </c>
      <c r="AU12">
        <v>11809731674</v>
      </c>
      <c r="AV12">
        <v>11835053208</v>
      </c>
      <c r="AW12">
        <v>11837443781</v>
      </c>
      <c r="AX12">
        <v>11840232815</v>
      </c>
      <c r="AY12">
        <v>11842412815</v>
      </c>
      <c r="AZ12">
        <v>11842412815</v>
      </c>
      <c r="BA12">
        <v>11842412815</v>
      </c>
      <c r="BB12">
        <v>11844403615</v>
      </c>
      <c r="BC12">
        <v>11846465290</v>
      </c>
      <c r="BD12">
        <v>11851933846</v>
      </c>
      <c r="BE12">
        <v>11861155917</v>
      </c>
      <c r="BF12">
        <v>11914105594</v>
      </c>
      <c r="BG12">
        <v>11925497771</v>
      </c>
      <c r="BH12">
        <v>11925497771</v>
      </c>
      <c r="BI12">
        <v>11931423344</v>
      </c>
      <c r="BJ12">
        <v>11931423344</v>
      </c>
      <c r="BK12">
        <v>11931423344</v>
      </c>
      <c r="BL12">
        <v>11931423344</v>
      </c>
      <c r="BM12">
        <v>11931423344</v>
      </c>
      <c r="BN12">
        <v>11901493074</v>
      </c>
      <c r="BO12">
        <v>11903193781</v>
      </c>
      <c r="BP12">
        <v>11908662337</v>
      </c>
      <c r="BQ12">
        <v>11911492377</v>
      </c>
      <c r="BR12">
        <v>11911492377</v>
      </c>
      <c r="BS12">
        <v>11911492377</v>
      </c>
      <c r="BT12">
        <v>11923321189</v>
      </c>
      <c r="BU12">
        <v>11926856189</v>
      </c>
      <c r="BV12">
        <v>11926856189</v>
      </c>
      <c r="BW12">
        <v>11926856189</v>
      </c>
      <c r="BX12">
        <v>11926856189</v>
      </c>
      <c r="BY12">
        <v>11933339919</v>
      </c>
      <c r="BZ12">
        <v>11933753326</v>
      </c>
      <c r="CA12">
        <v>11933753326</v>
      </c>
      <c r="CB12">
        <v>11933753326</v>
      </c>
      <c r="CC12">
        <v>11940509182</v>
      </c>
      <c r="CD12">
        <v>11944001189</v>
      </c>
      <c r="CE12">
        <v>11944001189</v>
      </c>
      <c r="CF12">
        <v>11955830001</v>
      </c>
      <c r="CG12">
        <v>11955830001</v>
      </c>
      <c r="CH12">
        <v>11955830001</v>
      </c>
      <c r="CI12">
        <v>11955830001</v>
      </c>
      <c r="CJ12">
        <v>11956243408</v>
      </c>
      <c r="CK12">
        <v>11964391138</v>
      </c>
      <c r="CL12">
        <v>11967256438</v>
      </c>
      <c r="CM12">
        <v>11967256438</v>
      </c>
      <c r="CN12">
        <v>11976908006</v>
      </c>
      <c r="CO12">
        <v>11980819054</v>
      </c>
      <c r="CP12">
        <v>11980819054</v>
      </c>
      <c r="CQ12">
        <v>11982820014</v>
      </c>
      <c r="CR12">
        <v>11993282514</v>
      </c>
      <c r="CS12">
        <v>11993282514</v>
      </c>
      <c r="CT12">
        <v>11993282514</v>
      </c>
      <c r="CU12">
        <v>11993282514</v>
      </c>
      <c r="CV12">
        <v>11993282514</v>
      </c>
      <c r="CW12">
        <v>12001053544</v>
      </c>
      <c r="CX12">
        <v>12001053544</v>
      </c>
      <c r="CY12">
        <v>12001053544</v>
      </c>
      <c r="CZ12">
        <v>12012283112</v>
      </c>
      <c r="DA12">
        <v>12016613201</v>
      </c>
      <c r="DB12">
        <v>12016613201</v>
      </c>
      <c r="DC12">
        <v>12018614161</v>
      </c>
      <c r="DD12">
        <v>12029076661</v>
      </c>
      <c r="DE12">
        <v>12029076661</v>
      </c>
      <c r="DF12">
        <v>12029076661</v>
      </c>
      <c r="DG12">
        <v>12029076661</v>
      </c>
      <c r="DH12">
        <v>12029076661</v>
      </c>
      <c r="DI12">
        <v>12035560391</v>
      </c>
      <c r="DJ12">
        <v>12036847691</v>
      </c>
      <c r="DK12">
        <v>12036847691</v>
      </c>
      <c r="DL12">
        <v>12048077259</v>
      </c>
      <c r="DM12">
        <v>12052826389</v>
      </c>
      <c r="DN12">
        <v>12052826389</v>
      </c>
      <c r="DO12">
        <v>12052826389</v>
      </c>
      <c r="DP12">
        <v>12065289849</v>
      </c>
      <c r="DQ12">
        <v>12065289849</v>
      </c>
      <c r="DR12">
        <v>12065289849</v>
      </c>
      <c r="EB12">
        <v>971157892</v>
      </c>
      <c r="EC12">
        <v>5047900418</v>
      </c>
      <c r="ED12">
        <v>9907746161</v>
      </c>
      <c r="EE12">
        <v>11704130498</v>
      </c>
      <c r="EF12">
        <v>12329112045.01</v>
      </c>
      <c r="EG12">
        <v>12573388847.32</v>
      </c>
      <c r="EH12">
        <v>12592415147.01</v>
      </c>
      <c r="EI12">
        <v>13454386979.85</v>
      </c>
      <c r="EJ12">
        <v>12712030752</v>
      </c>
      <c r="EK12">
        <v>12712030752</v>
      </c>
      <c r="EL12">
        <v>12714144505</v>
      </c>
      <c r="EM12">
        <v>12715201305</v>
      </c>
      <c r="EN12">
        <v>12715845655</v>
      </c>
      <c r="EO12">
        <v>11672385239</v>
      </c>
      <c r="EP12">
        <v>11672385239</v>
      </c>
      <c r="EQ12">
        <v>11700615731</v>
      </c>
      <c r="ER12">
        <v>11703981360</v>
      </c>
      <c r="ES12">
        <v>11715933031</v>
      </c>
      <c r="ET12">
        <v>11715933031</v>
      </c>
      <c r="EU12">
        <v>11719582860</v>
      </c>
      <c r="EV12">
        <v>11719582860</v>
      </c>
      <c r="EW12">
        <v>11719582860</v>
      </c>
      <c r="EX12">
        <v>11719582860</v>
      </c>
      <c r="EY12">
        <v>11772971213</v>
      </c>
      <c r="EZ12">
        <v>11772971213</v>
      </c>
      <c r="FA12">
        <v>11772792463</v>
      </c>
      <c r="FB12">
        <v>11818981422.16</v>
      </c>
      <c r="FC12">
        <v>11821939303.16</v>
      </c>
      <c r="FD12">
        <v>11773109721.48</v>
      </c>
      <c r="FE12">
        <v>11786324861.48</v>
      </c>
      <c r="FF12">
        <v>11960307710.709999</v>
      </c>
      <c r="FG12">
        <v>11964302150.919998</v>
      </c>
      <c r="FH12">
        <v>11964264006.889997</v>
      </c>
      <c r="FI12">
        <v>11964260970.989998</v>
      </c>
      <c r="FJ12">
        <v>11964260970.989998</v>
      </c>
      <c r="FK12">
        <v>11952692195.119997</v>
      </c>
      <c r="FL12">
        <v>11952692195.119997</v>
      </c>
      <c r="FM12">
        <v>11963599823.119997</v>
      </c>
      <c r="FN12">
        <v>11981586326.059998</v>
      </c>
      <c r="FO12">
        <v>11981586326.059998</v>
      </c>
      <c r="FP12">
        <v>11981586326.059998</v>
      </c>
      <c r="FQ12">
        <v>12006907860.059998</v>
      </c>
      <c r="FR12">
        <v>12009298433.059998</v>
      </c>
      <c r="FS12">
        <v>12009287416.379997</v>
      </c>
      <c r="FT12">
        <v>12011467416.379997</v>
      </c>
      <c r="FU12">
        <v>12011467416.379997</v>
      </c>
      <c r="FV12">
        <v>12011467416.379997</v>
      </c>
      <c r="FW12">
        <v>12015075114.999998</v>
      </c>
      <c r="FX12">
        <v>12015066971.379997</v>
      </c>
      <c r="FY12">
        <v>12072475060.559998</v>
      </c>
      <c r="FZ12">
        <v>11923567328.109997</v>
      </c>
      <c r="GA12">
        <v>11923427011.469997</v>
      </c>
      <c r="GB12">
        <v>11933887047.829998</v>
      </c>
      <c r="GC12">
        <v>11933887047.829998</v>
      </c>
      <c r="GD12">
        <v>11940744761.469997</v>
      </c>
      <c r="GE12">
        <v>11940744761.469997</v>
      </c>
      <c r="GF12">
        <v>11940744761.469997</v>
      </c>
      <c r="GG12">
        <v>11940744761.469997</v>
      </c>
      <c r="GH12">
        <v>11940744761.469997</v>
      </c>
      <c r="GI12">
        <v>11947324988.569998</v>
      </c>
      <c r="GJ12">
        <v>11949025695.569998</v>
      </c>
      <c r="GK12">
        <v>11908662336.999998</v>
      </c>
      <c r="GL12">
        <v>11911492376.999998</v>
      </c>
      <c r="GM12">
        <v>11911492376.999998</v>
      </c>
      <c r="GN12">
        <v>11911492376.999998</v>
      </c>
      <c r="GO12">
        <v>11923321188.999998</v>
      </c>
      <c r="GP12">
        <v>11926856188.999998</v>
      </c>
      <c r="GQ12">
        <v>11926856188.999998</v>
      </c>
      <c r="GR12">
        <v>11926856188.999998</v>
      </c>
      <c r="GS12">
        <v>11926856188.999998</v>
      </c>
      <c r="GT12">
        <v>11933339918.999998</v>
      </c>
      <c r="GU12">
        <v>11933753325.999998</v>
      </c>
      <c r="GV12">
        <v>11933753325.999998</v>
      </c>
      <c r="GW12">
        <v>11933753325.999998</v>
      </c>
      <c r="GX12">
        <v>11940509181.999998</v>
      </c>
      <c r="GY12">
        <v>11944001188.999998</v>
      </c>
      <c r="GZ12">
        <v>11944001188.999998</v>
      </c>
      <c r="HA12">
        <v>11955830000.999998</v>
      </c>
      <c r="HB12">
        <v>11955830000.999998</v>
      </c>
      <c r="HC12">
        <v>11955830000.999998</v>
      </c>
      <c r="HD12">
        <v>11955830000.999998</v>
      </c>
      <c r="HE12">
        <v>11956243407.999998</v>
      </c>
      <c r="HF12">
        <v>11964391137.999998</v>
      </c>
      <c r="HG12">
        <v>11967256437.999998</v>
      </c>
      <c r="HH12">
        <v>11967256437.999998</v>
      </c>
      <c r="HI12">
        <v>11976908005.999998</v>
      </c>
      <c r="HJ12">
        <v>11980819053.999998</v>
      </c>
      <c r="HK12">
        <v>11980819053.999998</v>
      </c>
      <c r="HL12">
        <v>11982820013.999998</v>
      </c>
      <c r="HM12">
        <v>11993282513.999998</v>
      </c>
      <c r="HN12">
        <v>11993282513.999998</v>
      </c>
      <c r="HO12">
        <v>11993282513.999998</v>
      </c>
      <c r="HP12">
        <v>11993282513.999998</v>
      </c>
      <c r="HQ12">
        <v>11993282513.999998</v>
      </c>
      <c r="HR12">
        <v>12001053543.999998</v>
      </c>
      <c r="HS12">
        <v>12001053543.999998</v>
      </c>
      <c r="HT12">
        <v>12001053543.999998</v>
      </c>
      <c r="HU12">
        <v>12012283111.999998</v>
      </c>
      <c r="HV12">
        <v>12016613200.999998</v>
      </c>
      <c r="HW12">
        <v>12016613200.999998</v>
      </c>
      <c r="HX12">
        <v>12018614160.999998</v>
      </c>
      <c r="HY12">
        <v>12029076660.999998</v>
      </c>
      <c r="HZ12">
        <v>12029076660.999998</v>
      </c>
      <c r="IA12">
        <v>12029076660.999998</v>
      </c>
      <c r="IB12">
        <v>12029076660.999998</v>
      </c>
      <c r="IC12">
        <v>12029076660.999998</v>
      </c>
      <c r="ID12">
        <v>12035560390.999998</v>
      </c>
      <c r="IE12">
        <v>12036847690.999998</v>
      </c>
      <c r="IF12">
        <v>12036847690.999998</v>
      </c>
      <c r="IG12">
        <v>12048077258.999998</v>
      </c>
      <c r="IH12">
        <v>12052826388.999998</v>
      </c>
      <c r="II12">
        <v>12052826388.999998</v>
      </c>
      <c r="IJ12">
        <v>12052826388.999998</v>
      </c>
      <c r="IK12">
        <v>12065289848.999998</v>
      </c>
      <c r="IL12">
        <v>12065289848.999998</v>
      </c>
      <c r="IM12">
        <v>12093206608.999998</v>
      </c>
    </row>
    <row r="13" spans="2:256" x14ac:dyDescent="0.2">
      <c r="F13">
        <v>201503</v>
      </c>
      <c r="G13">
        <v>273251006</v>
      </c>
      <c r="H13">
        <v>1952336550</v>
      </c>
      <c r="I13">
        <v>4786354750</v>
      </c>
      <c r="J13">
        <v>5794041107</v>
      </c>
      <c r="K13">
        <v>6778158824</v>
      </c>
      <c r="L13">
        <v>7090435916</v>
      </c>
      <c r="M13">
        <v>7615738866</v>
      </c>
      <c r="N13">
        <v>7822189726</v>
      </c>
      <c r="O13">
        <v>7935968951</v>
      </c>
      <c r="P13">
        <v>7941342884</v>
      </c>
      <c r="Q13">
        <v>7942249366</v>
      </c>
      <c r="R13">
        <v>7948884195</v>
      </c>
      <c r="S13">
        <v>7948884195</v>
      </c>
      <c r="T13">
        <v>7957858544</v>
      </c>
      <c r="U13">
        <v>7958672388</v>
      </c>
      <c r="V13">
        <v>7977266446</v>
      </c>
      <c r="W13">
        <v>7989148312</v>
      </c>
      <c r="X13">
        <v>7989148312</v>
      </c>
      <c r="Y13">
        <v>7989148312</v>
      </c>
      <c r="Z13">
        <v>7989148312</v>
      </c>
      <c r="AA13">
        <v>8001310991</v>
      </c>
      <c r="AB13">
        <v>8004885627</v>
      </c>
      <c r="AC13">
        <v>8004885627</v>
      </c>
      <c r="AD13">
        <v>8012691052</v>
      </c>
      <c r="AE13">
        <v>8012691052</v>
      </c>
      <c r="AF13">
        <v>8022756628</v>
      </c>
      <c r="AG13">
        <v>8025035012</v>
      </c>
      <c r="AH13">
        <v>8042522510</v>
      </c>
      <c r="AI13">
        <v>8043575969</v>
      </c>
      <c r="AJ13">
        <v>8045940022</v>
      </c>
      <c r="AK13">
        <v>8083440022</v>
      </c>
      <c r="AL13">
        <v>8092017331</v>
      </c>
      <c r="AM13">
        <v>8103380244</v>
      </c>
      <c r="AN13">
        <v>8103380244</v>
      </c>
      <c r="AO13">
        <v>8103380244</v>
      </c>
      <c r="AP13">
        <v>8110756730</v>
      </c>
      <c r="AQ13">
        <v>8113308520</v>
      </c>
      <c r="AR13">
        <v>8113308520</v>
      </c>
      <c r="AS13">
        <v>8118555209</v>
      </c>
      <c r="AT13">
        <v>8118555209</v>
      </c>
      <c r="AU13">
        <v>8129061322</v>
      </c>
      <c r="AV13">
        <v>8129061322</v>
      </c>
      <c r="AW13">
        <v>8147027203</v>
      </c>
      <c r="AX13">
        <v>8161457550</v>
      </c>
      <c r="AY13">
        <v>8161457550</v>
      </c>
      <c r="AZ13">
        <v>8169204865</v>
      </c>
      <c r="BA13">
        <v>8169204865</v>
      </c>
      <c r="BB13">
        <v>8169204865</v>
      </c>
      <c r="BC13">
        <v>8176191896</v>
      </c>
      <c r="BD13">
        <v>8177005740</v>
      </c>
      <c r="BE13">
        <v>8177005740</v>
      </c>
      <c r="BF13">
        <v>8183312671</v>
      </c>
      <c r="BG13">
        <v>8195866519</v>
      </c>
      <c r="BH13">
        <v>8195866519</v>
      </c>
      <c r="BI13">
        <v>8210296866</v>
      </c>
      <c r="BJ13">
        <v>8215616792</v>
      </c>
      <c r="BK13">
        <v>8215616792</v>
      </c>
      <c r="BL13">
        <v>8215616792</v>
      </c>
      <c r="BM13">
        <v>8215616792</v>
      </c>
      <c r="BN13">
        <v>8214609803</v>
      </c>
      <c r="BO13">
        <v>8214609803</v>
      </c>
      <c r="BP13">
        <v>8214609803</v>
      </c>
      <c r="BQ13">
        <v>8215692205</v>
      </c>
      <c r="BR13">
        <v>8222679236</v>
      </c>
      <c r="BS13">
        <v>8238387263</v>
      </c>
      <c r="BT13">
        <v>8238387263</v>
      </c>
      <c r="BU13">
        <v>8254865345</v>
      </c>
      <c r="BV13">
        <v>8260185271</v>
      </c>
      <c r="BW13">
        <v>8260985038</v>
      </c>
      <c r="BX13">
        <v>8260985038</v>
      </c>
      <c r="BY13">
        <v>8260985038</v>
      </c>
      <c r="BZ13">
        <v>8260985038</v>
      </c>
      <c r="CA13">
        <v>8260985038</v>
      </c>
      <c r="CB13">
        <v>8265417883</v>
      </c>
      <c r="CC13">
        <v>8273906856</v>
      </c>
      <c r="CD13">
        <v>8276461042</v>
      </c>
      <c r="CE13">
        <v>8293251471</v>
      </c>
      <c r="CF13">
        <v>8293251471</v>
      </c>
      <c r="CG13">
        <v>8295299206</v>
      </c>
      <c r="CH13">
        <v>8315049479</v>
      </c>
      <c r="CI13">
        <v>8315049479</v>
      </c>
      <c r="CJ13">
        <v>8315049479</v>
      </c>
      <c r="CK13">
        <v>8315049479</v>
      </c>
      <c r="CL13">
        <v>8315049479</v>
      </c>
      <c r="CM13">
        <v>8315049479</v>
      </c>
      <c r="CN13">
        <v>8315049479</v>
      </c>
      <c r="CO13">
        <v>8326734399</v>
      </c>
      <c r="CP13">
        <v>8326734399</v>
      </c>
      <c r="CQ13">
        <v>8342442426</v>
      </c>
      <c r="CR13">
        <v>8344490161</v>
      </c>
      <c r="CS13">
        <v>8358669889</v>
      </c>
      <c r="CT13">
        <v>8373100236</v>
      </c>
      <c r="CU13">
        <v>8374885236</v>
      </c>
      <c r="CV13">
        <v>8384115866</v>
      </c>
      <c r="CW13">
        <v>8384115866</v>
      </c>
      <c r="CX13">
        <v>8384115866</v>
      </c>
      <c r="CY13">
        <v>8384115866</v>
      </c>
      <c r="CZ13">
        <v>8384115866</v>
      </c>
      <c r="DA13">
        <v>8395800786</v>
      </c>
      <c r="DB13">
        <v>8395800786</v>
      </c>
      <c r="DC13">
        <v>8411508813</v>
      </c>
      <c r="DD13">
        <v>8415604283</v>
      </c>
      <c r="DE13">
        <v>8415604283</v>
      </c>
      <c r="DF13">
        <v>8420924209</v>
      </c>
      <c r="DG13">
        <v>8444075848</v>
      </c>
      <c r="DH13">
        <v>8471502146</v>
      </c>
      <c r="DI13">
        <v>8471502146</v>
      </c>
      <c r="DJ13">
        <v>8471502146</v>
      </c>
      <c r="DK13">
        <v>8471502146</v>
      </c>
      <c r="DL13">
        <v>8478407204</v>
      </c>
      <c r="DM13">
        <v>8482104664</v>
      </c>
      <c r="DN13">
        <v>8482104664</v>
      </c>
      <c r="DO13">
        <v>8497812691</v>
      </c>
      <c r="EB13">
        <v>1534719475</v>
      </c>
      <c r="EC13">
        <v>3989990831.0900002</v>
      </c>
      <c r="ED13">
        <v>6478667736</v>
      </c>
      <c r="EE13">
        <v>7375195920.46</v>
      </c>
      <c r="EF13">
        <v>7690817673.7799997</v>
      </c>
      <c r="EG13">
        <v>7876892337.5900002</v>
      </c>
      <c r="EH13">
        <v>7954688279.4800005</v>
      </c>
      <c r="EI13">
        <v>7961883287.0700006</v>
      </c>
      <c r="EJ13">
        <v>7962155998.5900011</v>
      </c>
      <c r="EK13">
        <v>7963937384.000001</v>
      </c>
      <c r="EL13">
        <v>7964843866.000001</v>
      </c>
      <c r="EM13">
        <v>8024746484.000001</v>
      </c>
      <c r="EN13">
        <v>7971478695.000001</v>
      </c>
      <c r="EO13">
        <v>7972921544.000001</v>
      </c>
      <c r="EP13">
        <v>7973735388.000001</v>
      </c>
      <c r="EQ13">
        <v>7987308446.000001</v>
      </c>
      <c r="ER13">
        <v>7999190312.000001</v>
      </c>
      <c r="ES13">
        <v>7989148312.000001</v>
      </c>
      <c r="ET13">
        <v>7989148312.000001</v>
      </c>
      <c r="EU13">
        <v>7989148312.000001</v>
      </c>
      <c r="EV13">
        <v>8001310991.000001</v>
      </c>
      <c r="EW13">
        <v>8004885627.000001</v>
      </c>
      <c r="EX13">
        <v>8004885627.000001</v>
      </c>
      <c r="EY13">
        <v>8012691052.000001</v>
      </c>
      <c r="EZ13">
        <v>8012691053.0100012</v>
      </c>
      <c r="FA13">
        <v>8022756628.000001</v>
      </c>
      <c r="FB13">
        <v>8051140577.2400007</v>
      </c>
      <c r="FC13">
        <v>8061608292.6200008</v>
      </c>
      <c r="FD13">
        <v>8062632330.4700012</v>
      </c>
      <c r="FE13">
        <v>8090597108.4700012</v>
      </c>
      <c r="FF13">
        <v>8088199315.2400017</v>
      </c>
      <c r="FG13">
        <v>8092571249.3700018</v>
      </c>
      <c r="FH13">
        <v>8103934162.3700018</v>
      </c>
      <c r="FI13">
        <v>8103934162.3700018</v>
      </c>
      <c r="FJ13">
        <v>8103934162.3700018</v>
      </c>
      <c r="FK13">
        <v>8110756730.0000019</v>
      </c>
      <c r="FL13">
        <v>8113308520.0000019</v>
      </c>
      <c r="FM13">
        <v>8113308520.0000019</v>
      </c>
      <c r="FN13">
        <v>8118555209.0000019</v>
      </c>
      <c r="FO13">
        <v>8118555209.0000019</v>
      </c>
      <c r="FP13">
        <v>8129061322.0000019</v>
      </c>
      <c r="FQ13">
        <v>8198504020.4400015</v>
      </c>
      <c r="FR13">
        <v>8211803150.3000011</v>
      </c>
      <c r="FS13">
        <v>8226233497.3000011</v>
      </c>
      <c r="FT13">
        <v>8226233497.3000011</v>
      </c>
      <c r="FU13">
        <v>8233980812.3000011</v>
      </c>
      <c r="FV13">
        <v>8233896934.8900013</v>
      </c>
      <c r="FW13">
        <v>8233896934.8900013</v>
      </c>
      <c r="FX13">
        <v>8240883965.8900013</v>
      </c>
      <c r="FY13">
        <v>8241697809.8900013</v>
      </c>
      <c r="FZ13">
        <v>8241697809.8900013</v>
      </c>
      <c r="GA13">
        <v>8183312671.000001</v>
      </c>
      <c r="GB13">
        <v>8195866519.000001</v>
      </c>
      <c r="GC13">
        <v>8195866519.000001</v>
      </c>
      <c r="GD13">
        <v>8210296866.000001</v>
      </c>
      <c r="GE13">
        <v>8215616792.000001</v>
      </c>
      <c r="GF13">
        <v>8215616792.000001</v>
      </c>
      <c r="GG13">
        <v>8215616792.000001</v>
      </c>
      <c r="GH13">
        <v>8215616792.000001</v>
      </c>
      <c r="GI13">
        <v>8214609803.000001</v>
      </c>
      <c r="GJ13">
        <v>8214609803.000001</v>
      </c>
      <c r="GK13">
        <v>8214609803.000001</v>
      </c>
      <c r="GL13">
        <v>8215692205.000001</v>
      </c>
      <c r="GM13">
        <v>8222679236.000001</v>
      </c>
      <c r="GN13">
        <v>8238387263.000001</v>
      </c>
      <c r="GO13">
        <v>8238387263.000001</v>
      </c>
      <c r="GP13">
        <v>8254865345.000001</v>
      </c>
      <c r="GQ13">
        <v>8260185271.000001</v>
      </c>
      <c r="GR13">
        <v>8260985038.000001</v>
      </c>
      <c r="GS13">
        <v>8260985038.000001</v>
      </c>
      <c r="GT13">
        <v>8260985038.000001</v>
      </c>
      <c r="GU13">
        <v>8260985038.000001</v>
      </c>
      <c r="GV13">
        <v>8260985038.000001</v>
      </c>
      <c r="GW13">
        <v>8265417883.000001</v>
      </c>
      <c r="GX13">
        <v>8273906856.000001</v>
      </c>
      <c r="GY13">
        <v>8276461042.000001</v>
      </c>
      <c r="GZ13">
        <v>8293251471.000001</v>
      </c>
      <c r="HA13">
        <v>8293251471.000001</v>
      </c>
      <c r="HB13">
        <v>8295299206.000001</v>
      </c>
      <c r="HC13">
        <v>8315049479.000001</v>
      </c>
      <c r="HD13">
        <v>8315049479.000001</v>
      </c>
      <c r="HE13">
        <v>8315049479.000001</v>
      </c>
      <c r="HF13">
        <v>8315049479.000001</v>
      </c>
      <c r="HG13">
        <v>8315049479.000001</v>
      </c>
      <c r="HH13">
        <v>8315049479.000001</v>
      </c>
      <c r="HI13">
        <v>8315049479.000001</v>
      </c>
      <c r="HJ13">
        <v>8326734399.000001</v>
      </c>
      <c r="HK13">
        <v>8326734399.000001</v>
      </c>
      <c r="HL13">
        <v>8342442426.000001</v>
      </c>
      <c r="HM13">
        <v>8344490161.000001</v>
      </c>
      <c r="HN13">
        <v>8358669889.000001</v>
      </c>
      <c r="HO13">
        <v>8373100236.000001</v>
      </c>
      <c r="HP13">
        <v>8374885236.000001</v>
      </c>
      <c r="HQ13">
        <v>8384115866.000001</v>
      </c>
      <c r="HR13">
        <v>8384115866.000001</v>
      </c>
      <c r="HS13">
        <v>8384115866.000001</v>
      </c>
      <c r="HT13">
        <v>8384115866.000001</v>
      </c>
      <c r="HU13">
        <v>8384115866.000001</v>
      </c>
      <c r="HV13">
        <v>8395800786.000001</v>
      </c>
      <c r="HW13">
        <v>8395800786.000001</v>
      </c>
      <c r="HX13">
        <v>8411508813.000001</v>
      </c>
      <c r="HY13">
        <v>8415604283.000001</v>
      </c>
      <c r="HZ13">
        <v>8415604283.000001</v>
      </c>
      <c r="IA13">
        <v>8420924209.000001</v>
      </c>
      <c r="IB13">
        <v>8444075848.000001</v>
      </c>
      <c r="IC13">
        <v>8471502146.000001</v>
      </c>
      <c r="ID13">
        <v>8471502146.000001</v>
      </c>
      <c r="IE13">
        <v>8471502146.000001</v>
      </c>
      <c r="IF13">
        <v>8471502146.000001</v>
      </c>
      <c r="IG13">
        <v>8478407204.000001</v>
      </c>
      <c r="IH13">
        <v>8482104664.000001</v>
      </c>
      <c r="II13">
        <v>8482104664.000001</v>
      </c>
      <c r="IJ13">
        <v>8497812691.000001</v>
      </c>
    </row>
    <row r="14" spans="2:256" x14ac:dyDescent="0.2">
      <c r="F14">
        <v>201506</v>
      </c>
      <c r="G14">
        <v>46137847</v>
      </c>
      <c r="H14">
        <v>919816852</v>
      </c>
      <c r="I14">
        <v>3535973404</v>
      </c>
      <c r="J14">
        <v>8032926499</v>
      </c>
      <c r="K14">
        <v>10433505074</v>
      </c>
      <c r="L14">
        <v>10758393876</v>
      </c>
      <c r="M14">
        <v>10827469249</v>
      </c>
      <c r="N14">
        <v>11345421452</v>
      </c>
      <c r="O14">
        <v>11527127265</v>
      </c>
      <c r="P14">
        <v>11531067005</v>
      </c>
      <c r="Q14">
        <v>11534266071</v>
      </c>
      <c r="R14">
        <v>11539901782</v>
      </c>
      <c r="S14">
        <v>11600250994</v>
      </c>
      <c r="T14">
        <v>11600598544</v>
      </c>
      <c r="U14">
        <v>11604137868</v>
      </c>
      <c r="V14">
        <v>11604137868</v>
      </c>
      <c r="W14">
        <v>11605627090</v>
      </c>
      <c r="X14">
        <v>11609073512</v>
      </c>
      <c r="Y14">
        <v>11609676212</v>
      </c>
      <c r="Z14">
        <v>11611823535</v>
      </c>
      <c r="AA14">
        <v>11711823535</v>
      </c>
      <c r="AB14">
        <v>11711823535</v>
      </c>
      <c r="AC14">
        <v>11712783254</v>
      </c>
      <c r="AD14">
        <v>11712783254</v>
      </c>
      <c r="AE14">
        <v>11723932428</v>
      </c>
      <c r="AF14">
        <v>11723932428</v>
      </c>
      <c r="AG14">
        <v>11723932428</v>
      </c>
      <c r="AH14">
        <v>11727378850</v>
      </c>
      <c r="AI14">
        <v>11727378850</v>
      </c>
      <c r="AJ14">
        <v>11727378850</v>
      </c>
      <c r="AK14">
        <v>11730184173</v>
      </c>
      <c r="AL14">
        <v>11730184173</v>
      </c>
      <c r="AM14">
        <v>11730184173</v>
      </c>
      <c r="AN14">
        <v>11730184173</v>
      </c>
      <c r="AO14">
        <v>11730184173</v>
      </c>
      <c r="AP14">
        <v>11730184173</v>
      </c>
      <c r="AQ14">
        <v>11739982240</v>
      </c>
      <c r="AR14">
        <v>11744105077</v>
      </c>
      <c r="AS14">
        <v>11744105077</v>
      </c>
      <c r="AT14">
        <v>11747551499</v>
      </c>
      <c r="AU14">
        <v>11747551499</v>
      </c>
      <c r="AV14">
        <v>11747551499</v>
      </c>
      <c r="AW14">
        <v>11750417722</v>
      </c>
      <c r="AX14">
        <v>11750417722</v>
      </c>
      <c r="AY14">
        <v>11750417722</v>
      </c>
      <c r="AZ14">
        <v>11750417722</v>
      </c>
      <c r="BA14">
        <v>11750417722</v>
      </c>
      <c r="BB14">
        <v>11750417722</v>
      </c>
      <c r="BC14">
        <v>11760215789</v>
      </c>
      <c r="BD14">
        <v>11765496440</v>
      </c>
      <c r="BE14">
        <v>11765496440</v>
      </c>
      <c r="BF14">
        <v>11768942862</v>
      </c>
      <c r="BG14">
        <v>11768942862</v>
      </c>
      <c r="BH14">
        <v>11768942862</v>
      </c>
      <c r="BI14">
        <v>11768942862</v>
      </c>
      <c r="BJ14">
        <v>11773020447</v>
      </c>
      <c r="BK14">
        <v>11773020447</v>
      </c>
      <c r="BL14">
        <v>11773694608</v>
      </c>
      <c r="BM14">
        <v>11773694608</v>
      </c>
      <c r="BN14">
        <v>12049061812</v>
      </c>
      <c r="BO14">
        <v>12089456235</v>
      </c>
      <c r="BP14">
        <v>12091011514</v>
      </c>
      <c r="BQ14">
        <v>12095449997</v>
      </c>
      <c r="BR14">
        <v>12099545794</v>
      </c>
      <c r="BS14">
        <v>12099545794</v>
      </c>
      <c r="BT14">
        <v>12099545794</v>
      </c>
      <c r="BU14">
        <v>12100392094</v>
      </c>
      <c r="BV14">
        <v>12103687079</v>
      </c>
      <c r="BW14">
        <v>12103687079</v>
      </c>
      <c r="BX14">
        <v>12103687079</v>
      </c>
      <c r="BY14">
        <v>12103687079</v>
      </c>
      <c r="BZ14">
        <v>12103687079</v>
      </c>
      <c r="CA14">
        <v>12112155246</v>
      </c>
      <c r="CB14">
        <v>12112155246</v>
      </c>
      <c r="CC14">
        <v>12115728157</v>
      </c>
      <c r="CD14">
        <v>12126438606</v>
      </c>
      <c r="CE14">
        <v>12126438606</v>
      </c>
      <c r="CF14">
        <v>12126438606</v>
      </c>
      <c r="CG14">
        <v>12129733591</v>
      </c>
      <c r="CH14">
        <v>12130640791</v>
      </c>
      <c r="CI14">
        <v>12130640791</v>
      </c>
      <c r="CJ14">
        <v>12130640791</v>
      </c>
      <c r="CK14">
        <v>12130640791</v>
      </c>
      <c r="CL14">
        <v>12130640791</v>
      </c>
      <c r="CM14">
        <v>12139108958</v>
      </c>
      <c r="CN14">
        <v>12144070503</v>
      </c>
      <c r="CO14">
        <v>12151603524</v>
      </c>
      <c r="CP14">
        <v>12151603524</v>
      </c>
      <c r="CQ14">
        <v>12151603524</v>
      </c>
      <c r="CR14">
        <v>12152566724</v>
      </c>
      <c r="CS14">
        <v>12152566724</v>
      </c>
      <c r="CT14">
        <v>12155861709</v>
      </c>
      <c r="CU14">
        <v>12155861709</v>
      </c>
      <c r="CV14">
        <v>12155861709</v>
      </c>
      <c r="CW14">
        <v>12155861709</v>
      </c>
      <c r="CX14">
        <v>12155861709</v>
      </c>
      <c r="CY14">
        <v>12166768124</v>
      </c>
      <c r="CZ14">
        <v>12171831100</v>
      </c>
      <c r="DA14">
        <v>12173793480</v>
      </c>
      <c r="DB14">
        <v>12179390096</v>
      </c>
      <c r="DC14">
        <v>12179390096</v>
      </c>
      <c r="DD14">
        <v>12180400896</v>
      </c>
      <c r="DE14">
        <v>12180400896</v>
      </c>
      <c r="DF14">
        <v>12183695881</v>
      </c>
      <c r="DG14">
        <v>12183695881</v>
      </c>
      <c r="DH14">
        <v>12183695881</v>
      </c>
      <c r="DI14">
        <v>12183695881</v>
      </c>
      <c r="DJ14">
        <v>12183695881</v>
      </c>
      <c r="DK14">
        <v>12194602296</v>
      </c>
      <c r="DL14">
        <v>12201666767</v>
      </c>
      <c r="EB14">
        <v>839470910</v>
      </c>
      <c r="EC14">
        <v>3307231948.5500002</v>
      </c>
      <c r="ED14">
        <v>9116668056.8199997</v>
      </c>
      <c r="EE14">
        <v>10962725986.35</v>
      </c>
      <c r="EF14">
        <v>11309810284.52</v>
      </c>
      <c r="EG14">
        <v>11367199350.58</v>
      </c>
      <c r="EH14">
        <v>11546296883.98</v>
      </c>
      <c r="EI14">
        <v>11626023623</v>
      </c>
      <c r="EJ14">
        <v>11627547265</v>
      </c>
      <c r="EK14">
        <v>11690754198.110001</v>
      </c>
      <c r="EL14">
        <v>11693953264.110001</v>
      </c>
      <c r="EM14">
        <v>11699588975.110001</v>
      </c>
      <c r="EN14">
        <v>11700670994</v>
      </c>
      <c r="EO14">
        <v>11701018544</v>
      </c>
      <c r="EP14">
        <v>11704687868</v>
      </c>
      <c r="EQ14">
        <v>11705652865.450001</v>
      </c>
      <c r="ER14">
        <v>11707142087.450001</v>
      </c>
      <c r="ES14">
        <v>11710588509.450001</v>
      </c>
      <c r="ET14">
        <v>11711191209.450001</v>
      </c>
      <c r="EU14">
        <v>11713338532.450001</v>
      </c>
      <c r="EV14">
        <v>11711823535</v>
      </c>
      <c r="EW14">
        <v>11712788532.450001</v>
      </c>
      <c r="EX14">
        <v>11712783254</v>
      </c>
      <c r="EY14">
        <v>11712783254</v>
      </c>
      <c r="EZ14">
        <v>11723932428</v>
      </c>
      <c r="FA14">
        <v>11723932428</v>
      </c>
      <c r="FB14">
        <v>11723932428</v>
      </c>
      <c r="FC14">
        <v>11727378850</v>
      </c>
      <c r="FD14">
        <v>11727378850</v>
      </c>
      <c r="FE14">
        <v>11727378850</v>
      </c>
      <c r="FF14">
        <v>11730184173</v>
      </c>
      <c r="FG14">
        <v>11730184173</v>
      </c>
      <c r="FH14">
        <v>11730184173</v>
      </c>
      <c r="FI14">
        <v>11730184173</v>
      </c>
      <c r="FJ14">
        <v>11730184173</v>
      </c>
      <c r="FK14">
        <v>11730184173</v>
      </c>
      <c r="FL14">
        <v>11739982240</v>
      </c>
      <c r="FM14">
        <v>11744105077</v>
      </c>
      <c r="FN14">
        <v>11744105077</v>
      </c>
      <c r="FO14">
        <v>11747551499</v>
      </c>
      <c r="FP14">
        <v>11747551499</v>
      </c>
      <c r="FQ14">
        <v>11747551499</v>
      </c>
      <c r="FR14">
        <v>11750417722</v>
      </c>
      <c r="FS14">
        <v>11750417722</v>
      </c>
      <c r="FT14">
        <v>11750417722</v>
      </c>
      <c r="FU14">
        <v>11750417722</v>
      </c>
      <c r="FV14">
        <v>11750417722</v>
      </c>
      <c r="FW14">
        <v>11750417722</v>
      </c>
      <c r="FX14">
        <v>11760215789</v>
      </c>
      <c r="FY14">
        <v>11765496440</v>
      </c>
      <c r="FZ14">
        <v>11765496440</v>
      </c>
      <c r="GA14">
        <v>11768942862</v>
      </c>
      <c r="GB14">
        <v>11768942862</v>
      </c>
      <c r="GC14">
        <v>11768942862</v>
      </c>
      <c r="GD14">
        <v>11768942862</v>
      </c>
      <c r="GE14">
        <v>11773020447</v>
      </c>
      <c r="GF14">
        <v>11773020447</v>
      </c>
      <c r="GG14">
        <v>11773694608</v>
      </c>
      <c r="GH14">
        <v>12080484270.610001</v>
      </c>
      <c r="GI14">
        <v>12079740779.16</v>
      </c>
      <c r="GJ14">
        <v>12089456235</v>
      </c>
      <c r="GK14">
        <v>12091011514</v>
      </c>
      <c r="GL14">
        <v>12095449997</v>
      </c>
      <c r="GM14">
        <v>12099545794</v>
      </c>
      <c r="GN14">
        <v>12099545794</v>
      </c>
      <c r="GO14">
        <v>12099545794</v>
      </c>
      <c r="GP14">
        <v>12100392094</v>
      </c>
      <c r="GQ14">
        <v>12103687079</v>
      </c>
      <c r="GR14">
        <v>12103687079</v>
      </c>
      <c r="GS14">
        <v>12103687079</v>
      </c>
      <c r="GT14">
        <v>12103687079</v>
      </c>
      <c r="GU14">
        <v>12103687079</v>
      </c>
      <c r="GV14">
        <v>12112155246</v>
      </c>
      <c r="GW14">
        <v>12112155246</v>
      </c>
      <c r="GX14">
        <v>12115728157</v>
      </c>
      <c r="GY14">
        <v>12126438606</v>
      </c>
      <c r="GZ14">
        <v>12126438606</v>
      </c>
      <c r="HA14">
        <v>12126438606</v>
      </c>
      <c r="HB14">
        <v>12129733591</v>
      </c>
      <c r="HC14">
        <v>12130640791</v>
      </c>
      <c r="HD14">
        <v>12130640791</v>
      </c>
      <c r="HE14">
        <v>12130640791</v>
      </c>
      <c r="HF14">
        <v>12130640791</v>
      </c>
      <c r="HG14">
        <v>12130640791</v>
      </c>
      <c r="HH14">
        <v>12139108958</v>
      </c>
      <c r="HI14">
        <v>12144070503</v>
      </c>
      <c r="HJ14">
        <v>12151603524</v>
      </c>
      <c r="HK14">
        <v>12151603524</v>
      </c>
      <c r="HL14">
        <v>12151603524</v>
      </c>
      <c r="HM14">
        <v>12152566724</v>
      </c>
      <c r="HN14">
        <v>12152566724</v>
      </c>
      <c r="HO14">
        <v>12155861709</v>
      </c>
      <c r="HP14">
        <v>12155861709</v>
      </c>
      <c r="HQ14">
        <v>12155861709</v>
      </c>
      <c r="HR14">
        <v>12155861709</v>
      </c>
      <c r="HS14">
        <v>12155861709</v>
      </c>
      <c r="HT14">
        <v>12166768124</v>
      </c>
      <c r="HU14">
        <v>12171831100</v>
      </c>
      <c r="HV14">
        <v>12173793480</v>
      </c>
      <c r="HW14">
        <v>12179390096</v>
      </c>
      <c r="HX14">
        <v>12179390096</v>
      </c>
      <c r="HY14">
        <v>12180400896</v>
      </c>
      <c r="HZ14">
        <v>12180400896</v>
      </c>
      <c r="IA14">
        <v>12183695881</v>
      </c>
      <c r="IB14">
        <v>12183695881</v>
      </c>
      <c r="IC14">
        <v>12183695881</v>
      </c>
      <c r="ID14">
        <v>12183695881</v>
      </c>
      <c r="IE14">
        <v>12183695881</v>
      </c>
      <c r="IF14">
        <v>12194602296</v>
      </c>
      <c r="IG14">
        <v>12201666767</v>
      </c>
    </row>
    <row r="15" spans="2:256" x14ac:dyDescent="0.2">
      <c r="F15">
        <v>201509</v>
      </c>
      <c r="G15">
        <v>58124812</v>
      </c>
      <c r="H15">
        <v>1553247603</v>
      </c>
      <c r="I15">
        <v>4525055191</v>
      </c>
      <c r="J15">
        <v>7036962852</v>
      </c>
      <c r="K15">
        <v>7880709901</v>
      </c>
      <c r="L15">
        <v>8061239710</v>
      </c>
      <c r="M15">
        <v>8092402192</v>
      </c>
      <c r="N15">
        <v>8506442192</v>
      </c>
      <c r="O15">
        <v>8541442192</v>
      </c>
      <c r="P15">
        <v>8745307152</v>
      </c>
      <c r="Q15">
        <v>8760307152</v>
      </c>
      <c r="R15">
        <v>8760537152</v>
      </c>
      <c r="S15">
        <v>8761226606</v>
      </c>
      <c r="T15">
        <v>8763697846</v>
      </c>
      <c r="U15">
        <v>8792227748</v>
      </c>
      <c r="V15">
        <v>8842227748</v>
      </c>
      <c r="W15">
        <v>9138227748</v>
      </c>
      <c r="X15">
        <v>9138227748</v>
      </c>
      <c r="Y15">
        <v>9138357858</v>
      </c>
      <c r="Z15">
        <v>9138357858</v>
      </c>
      <c r="AA15">
        <v>9168787119</v>
      </c>
      <c r="AB15">
        <v>9168787119</v>
      </c>
      <c r="AC15">
        <v>9168787119</v>
      </c>
      <c r="AD15">
        <v>9168787119</v>
      </c>
      <c r="AE15">
        <v>9183787119</v>
      </c>
      <c r="AF15">
        <v>9186476409</v>
      </c>
      <c r="AG15">
        <v>9186476409</v>
      </c>
      <c r="AH15">
        <v>9187214126</v>
      </c>
      <c r="AI15">
        <v>9187214126</v>
      </c>
      <c r="AJ15">
        <v>9187214126</v>
      </c>
      <c r="AK15">
        <v>9187214126</v>
      </c>
      <c r="AL15">
        <v>9187214126</v>
      </c>
      <c r="AM15">
        <v>9187214126</v>
      </c>
      <c r="AN15">
        <v>9187214126</v>
      </c>
      <c r="AO15">
        <v>9187214126</v>
      </c>
      <c r="AP15">
        <v>9187214126</v>
      </c>
      <c r="AQ15">
        <v>9191041838</v>
      </c>
      <c r="AR15">
        <v>9191120005</v>
      </c>
      <c r="AS15">
        <v>9191120005</v>
      </c>
      <c r="AT15">
        <v>9191120005</v>
      </c>
      <c r="AU15">
        <v>9191120005</v>
      </c>
      <c r="AV15">
        <v>9191120005</v>
      </c>
      <c r="AW15">
        <v>9191120005</v>
      </c>
      <c r="AX15">
        <v>9191120005</v>
      </c>
      <c r="AY15">
        <v>9191120005</v>
      </c>
      <c r="AZ15">
        <v>9191120005</v>
      </c>
      <c r="BA15">
        <v>9191120005</v>
      </c>
      <c r="BB15">
        <v>9191120005</v>
      </c>
      <c r="BC15">
        <v>9191120005</v>
      </c>
      <c r="BD15">
        <v>9191120005</v>
      </c>
      <c r="BE15">
        <v>9194947717</v>
      </c>
      <c r="BF15">
        <v>9194947717</v>
      </c>
      <c r="BG15">
        <v>9194947717</v>
      </c>
      <c r="BH15">
        <v>9194947717</v>
      </c>
      <c r="BI15">
        <v>9194947717</v>
      </c>
      <c r="BJ15">
        <v>9194947717</v>
      </c>
      <c r="BK15">
        <v>9194947717</v>
      </c>
      <c r="BL15">
        <v>9194947717</v>
      </c>
      <c r="BM15">
        <v>9194947717</v>
      </c>
      <c r="BN15">
        <v>9194947717</v>
      </c>
      <c r="BO15">
        <v>9198775429</v>
      </c>
      <c r="BP15">
        <v>9198775429</v>
      </c>
      <c r="BQ15">
        <v>9198775429</v>
      </c>
      <c r="BR15">
        <v>9198775429</v>
      </c>
      <c r="BS15">
        <v>9198775429</v>
      </c>
      <c r="BT15">
        <v>9198775429</v>
      </c>
      <c r="BU15">
        <v>9198775429</v>
      </c>
      <c r="BV15">
        <v>9198775429</v>
      </c>
      <c r="BW15">
        <v>9198775429</v>
      </c>
      <c r="BX15">
        <v>9198775429</v>
      </c>
      <c r="BY15">
        <v>9198775429</v>
      </c>
      <c r="BZ15">
        <v>9198775429</v>
      </c>
      <c r="CA15">
        <v>9198775429</v>
      </c>
      <c r="CB15">
        <v>9202603141</v>
      </c>
      <c r="CC15">
        <v>9202603141</v>
      </c>
      <c r="CD15">
        <v>9202603141</v>
      </c>
      <c r="CE15">
        <v>9202603141</v>
      </c>
      <c r="CF15">
        <v>9202603141</v>
      </c>
      <c r="CG15">
        <v>9202603141</v>
      </c>
      <c r="CH15">
        <v>9202603141</v>
      </c>
      <c r="CI15">
        <v>9202603141</v>
      </c>
      <c r="CJ15">
        <v>9202603141</v>
      </c>
      <c r="CK15">
        <v>9202603141</v>
      </c>
      <c r="CL15">
        <v>9202603141</v>
      </c>
      <c r="CM15">
        <v>9202603141</v>
      </c>
      <c r="CN15">
        <v>9202603141</v>
      </c>
      <c r="CO15">
        <v>9206430853</v>
      </c>
      <c r="CP15">
        <v>9206430853</v>
      </c>
      <c r="CQ15">
        <v>9206430853</v>
      </c>
      <c r="CR15">
        <v>9206430853</v>
      </c>
      <c r="CS15">
        <v>9206430853</v>
      </c>
      <c r="CT15">
        <v>9206430853</v>
      </c>
      <c r="CU15">
        <v>9206430853</v>
      </c>
      <c r="CV15">
        <v>9206430853</v>
      </c>
      <c r="CW15">
        <v>9206430853</v>
      </c>
      <c r="CX15">
        <v>9206430853</v>
      </c>
      <c r="CY15">
        <v>9206430853</v>
      </c>
      <c r="CZ15">
        <v>9206430853</v>
      </c>
      <c r="DA15">
        <v>9211150264</v>
      </c>
      <c r="DB15">
        <v>9211150264</v>
      </c>
      <c r="DC15">
        <v>9211150264</v>
      </c>
      <c r="DD15">
        <v>9211150264</v>
      </c>
      <c r="DE15">
        <v>9211150264</v>
      </c>
      <c r="DF15">
        <v>9211150264</v>
      </c>
      <c r="DG15">
        <v>9211150264</v>
      </c>
      <c r="DH15">
        <v>9211150264</v>
      </c>
      <c r="DI15">
        <v>9211150264</v>
      </c>
      <c r="EB15">
        <v>1444644617.2700002</v>
      </c>
      <c r="EC15">
        <v>4441413292.75</v>
      </c>
      <c r="ED15">
        <v>7366594743</v>
      </c>
      <c r="EE15">
        <v>8291973339.25</v>
      </c>
      <c r="EF15">
        <v>8404394208.9300003</v>
      </c>
      <c r="EG15">
        <v>8518943537.9500008</v>
      </c>
      <c r="EH15">
        <v>9114466419.9500008</v>
      </c>
      <c r="EI15">
        <v>9172979451.9500008</v>
      </c>
      <c r="EJ15">
        <v>9174840851.9500008</v>
      </c>
      <c r="EK15">
        <v>9077797772</v>
      </c>
      <c r="EL15">
        <v>9228364772</v>
      </c>
      <c r="EM15">
        <v>9229200702</v>
      </c>
      <c r="EN15">
        <v>9280165157.0100002</v>
      </c>
      <c r="EO15">
        <v>9282636396</v>
      </c>
      <c r="EP15">
        <v>9425913565.8600006</v>
      </c>
      <c r="EQ15">
        <v>9259630515.8600006</v>
      </c>
      <c r="ER15">
        <v>9258002515.8600006</v>
      </c>
      <c r="ES15">
        <v>9258002515.8600006</v>
      </c>
      <c r="ET15">
        <v>9258132625.8600006</v>
      </c>
      <c r="EU15">
        <v>9258132625.8600006</v>
      </c>
      <c r="EV15">
        <v>9173814619</v>
      </c>
      <c r="EW15">
        <v>9173814619</v>
      </c>
      <c r="EX15">
        <v>9168787119</v>
      </c>
      <c r="EY15">
        <v>9168787120</v>
      </c>
      <c r="EZ15">
        <v>9183787120</v>
      </c>
      <c r="FA15">
        <v>9186476410</v>
      </c>
      <c r="FB15">
        <v>9186476410</v>
      </c>
      <c r="FC15">
        <v>9187214126</v>
      </c>
      <c r="FD15">
        <v>9187214126</v>
      </c>
      <c r="FE15">
        <v>9187214126</v>
      </c>
      <c r="FF15">
        <v>9187214126</v>
      </c>
      <c r="FG15">
        <v>9187214126</v>
      </c>
      <c r="FH15">
        <v>9187214126</v>
      </c>
      <c r="FI15">
        <v>9187214126</v>
      </c>
      <c r="FJ15">
        <v>9187214126</v>
      </c>
      <c r="FK15">
        <v>9187214126</v>
      </c>
      <c r="FL15">
        <v>9191041838</v>
      </c>
      <c r="FM15">
        <v>9191120005</v>
      </c>
      <c r="FN15">
        <v>9191120005</v>
      </c>
      <c r="FO15">
        <v>9191120005</v>
      </c>
      <c r="FP15">
        <v>9191120005</v>
      </c>
      <c r="FQ15">
        <v>9191120005</v>
      </c>
      <c r="FR15">
        <v>9191120005</v>
      </c>
      <c r="FS15">
        <v>9191120005</v>
      </c>
      <c r="FT15">
        <v>9191120005</v>
      </c>
      <c r="FU15">
        <v>9191120005</v>
      </c>
      <c r="FV15">
        <v>9191120005</v>
      </c>
      <c r="FW15">
        <v>9191120005</v>
      </c>
      <c r="FX15">
        <v>9191120005</v>
      </c>
      <c r="FY15">
        <v>9191120005</v>
      </c>
      <c r="FZ15">
        <v>9194947717</v>
      </c>
      <c r="GA15">
        <v>9194947717</v>
      </c>
      <c r="GB15">
        <v>9194947717</v>
      </c>
      <c r="GC15">
        <v>9194947717</v>
      </c>
      <c r="GD15">
        <v>9194947717</v>
      </c>
      <c r="GE15">
        <v>9194947717</v>
      </c>
      <c r="GF15">
        <v>9194947717</v>
      </c>
      <c r="GG15">
        <v>9194947717</v>
      </c>
      <c r="GH15">
        <v>9194947717</v>
      </c>
      <c r="GI15">
        <v>9194947717</v>
      </c>
      <c r="GJ15">
        <v>9198775429</v>
      </c>
      <c r="GK15">
        <v>9198775429</v>
      </c>
      <c r="GL15">
        <v>9198775429</v>
      </c>
      <c r="GM15">
        <v>9198775429</v>
      </c>
      <c r="GN15">
        <v>9198775429</v>
      </c>
      <c r="GO15">
        <v>9198775429</v>
      </c>
      <c r="GP15">
        <v>9198775429</v>
      </c>
      <c r="GQ15">
        <v>9198775429</v>
      </c>
      <c r="GR15">
        <v>9198775429</v>
      </c>
      <c r="GS15">
        <v>9198775429</v>
      </c>
      <c r="GT15">
        <v>9198775429</v>
      </c>
      <c r="GU15">
        <v>9198775429</v>
      </c>
      <c r="GV15">
        <v>9198775429</v>
      </c>
      <c r="GW15">
        <v>9202603141</v>
      </c>
      <c r="GX15">
        <v>9202603141</v>
      </c>
      <c r="GY15">
        <v>9202603141</v>
      </c>
      <c r="GZ15">
        <v>9202603141</v>
      </c>
      <c r="HA15">
        <v>9202603141</v>
      </c>
      <c r="HB15">
        <v>9202603141</v>
      </c>
      <c r="HC15">
        <v>9202603141</v>
      </c>
      <c r="HD15">
        <v>9202603141</v>
      </c>
      <c r="HE15">
        <v>9202603141</v>
      </c>
      <c r="HF15">
        <v>9202603141</v>
      </c>
      <c r="HG15">
        <v>9202603141</v>
      </c>
      <c r="HH15">
        <v>9202603141</v>
      </c>
      <c r="HI15">
        <v>9202603141</v>
      </c>
      <c r="HJ15">
        <v>9206430853</v>
      </c>
      <c r="HK15">
        <v>9206430853</v>
      </c>
      <c r="HL15">
        <v>9206430853</v>
      </c>
      <c r="HM15">
        <v>9206430853</v>
      </c>
      <c r="HN15">
        <v>9206430853</v>
      </c>
      <c r="HO15">
        <v>9206430853</v>
      </c>
      <c r="HP15">
        <v>9206430853</v>
      </c>
      <c r="HQ15">
        <v>9206430853</v>
      </c>
      <c r="HR15">
        <v>9206430853</v>
      </c>
      <c r="HS15">
        <v>9206430853</v>
      </c>
      <c r="HT15">
        <v>9206430853</v>
      </c>
      <c r="HU15">
        <v>9206430853</v>
      </c>
      <c r="HV15">
        <v>9211150264</v>
      </c>
      <c r="HW15">
        <v>9211150264</v>
      </c>
      <c r="HX15">
        <v>9211150264</v>
      </c>
      <c r="HY15">
        <v>9211150264</v>
      </c>
      <c r="HZ15">
        <v>9211150264</v>
      </c>
      <c r="IA15">
        <v>9211150264</v>
      </c>
      <c r="IB15">
        <v>9211150264</v>
      </c>
      <c r="IC15">
        <v>9211150264</v>
      </c>
      <c r="ID15">
        <v>9211150264</v>
      </c>
    </row>
    <row r="16" spans="2:256" x14ac:dyDescent="0.2">
      <c r="F16">
        <v>201512</v>
      </c>
      <c r="G16">
        <v>1219216</v>
      </c>
      <c r="H16">
        <v>870941307</v>
      </c>
      <c r="I16">
        <v>3007650591</v>
      </c>
      <c r="J16">
        <v>6581211105</v>
      </c>
      <c r="K16">
        <v>8937958493</v>
      </c>
      <c r="L16">
        <v>9252066732.6399994</v>
      </c>
      <c r="M16">
        <v>9661677204.6399994</v>
      </c>
      <c r="N16">
        <v>9971089638.6399994</v>
      </c>
      <c r="O16">
        <v>10016434152.639999</v>
      </c>
      <c r="P16">
        <v>10020978203.639999</v>
      </c>
      <c r="Q16">
        <v>10110679551.639999</v>
      </c>
      <c r="R16">
        <v>10112671641.639999</v>
      </c>
      <c r="S16">
        <v>10172377642.639999</v>
      </c>
      <c r="T16">
        <v>10175050042.639999</v>
      </c>
      <c r="U16">
        <v>10251887442.639999</v>
      </c>
      <c r="V16">
        <v>10254857118.639999</v>
      </c>
      <c r="W16">
        <v>10254857118.639999</v>
      </c>
      <c r="X16">
        <v>10261055169.639999</v>
      </c>
      <c r="Y16">
        <v>10261055169.639999</v>
      </c>
      <c r="Z16">
        <v>10261055169.639999</v>
      </c>
      <c r="AA16">
        <v>10265376680.639999</v>
      </c>
      <c r="AB16">
        <v>10265376680.639999</v>
      </c>
      <c r="AC16">
        <v>10265376680.639999</v>
      </c>
      <c r="AD16">
        <v>10267936502.639999</v>
      </c>
      <c r="AE16">
        <v>10271585343.639999</v>
      </c>
      <c r="AF16">
        <v>10273019715.639999</v>
      </c>
      <c r="AG16">
        <v>10276962015.639999</v>
      </c>
      <c r="AH16">
        <v>10326962015.639999</v>
      </c>
      <c r="AI16">
        <v>10328661791.639999</v>
      </c>
      <c r="AJ16">
        <v>10331320221.639999</v>
      </c>
      <c r="AK16">
        <v>10331320221.639999</v>
      </c>
      <c r="AL16">
        <v>10331320221.639999</v>
      </c>
      <c r="AM16">
        <v>10336626630.639999</v>
      </c>
      <c r="AN16">
        <v>10339082670.639999</v>
      </c>
      <c r="AO16">
        <v>10339082670.639999</v>
      </c>
      <c r="AP16">
        <v>10344547125.639999</v>
      </c>
      <c r="AQ16">
        <v>10344547125.639999</v>
      </c>
      <c r="AR16">
        <v>10344547125.639999</v>
      </c>
      <c r="AS16">
        <v>10351239801.639999</v>
      </c>
      <c r="AT16">
        <v>10354162798.639999</v>
      </c>
      <c r="AU16">
        <v>10354162798.639999</v>
      </c>
      <c r="AV16">
        <v>10354575046.639999</v>
      </c>
      <c r="AW16">
        <v>10354162798.639999</v>
      </c>
      <c r="AX16">
        <v>10354162798.639999</v>
      </c>
      <c r="AY16">
        <v>10356219923.639999</v>
      </c>
      <c r="AZ16">
        <v>10358675963.639999</v>
      </c>
      <c r="BA16">
        <v>10358675963.639999</v>
      </c>
      <c r="BB16">
        <v>10362420247.639999</v>
      </c>
      <c r="BC16">
        <v>10368488925.639999</v>
      </c>
      <c r="BD16">
        <v>10372685093.639999</v>
      </c>
      <c r="BE16">
        <v>10372685093.639999</v>
      </c>
      <c r="BF16">
        <v>10374988619.639999</v>
      </c>
      <c r="BG16">
        <v>10374988619.639999</v>
      </c>
      <c r="BH16">
        <v>10374988619.639999</v>
      </c>
      <c r="BI16">
        <v>10374988619.639999</v>
      </c>
      <c r="BJ16">
        <v>10374988619.639999</v>
      </c>
      <c r="BK16">
        <v>10376641095.639999</v>
      </c>
      <c r="BL16">
        <v>10376641095.639999</v>
      </c>
      <c r="BM16">
        <v>10380577033.639999</v>
      </c>
      <c r="BN16">
        <v>10385046864.639999</v>
      </c>
      <c r="BO16">
        <v>10393210298.639999</v>
      </c>
      <c r="BP16">
        <v>10394967404.639999</v>
      </c>
      <c r="BQ16">
        <v>10397270919.639999</v>
      </c>
      <c r="BR16">
        <v>10397270919.639999</v>
      </c>
      <c r="BS16">
        <v>10397270919.639999</v>
      </c>
      <c r="BT16">
        <v>10397270919.639999</v>
      </c>
      <c r="BU16">
        <v>10397270919.639999</v>
      </c>
      <c r="BV16">
        <v>10398105207.639999</v>
      </c>
      <c r="BW16">
        <v>10398923395.639999</v>
      </c>
      <c r="BX16">
        <v>10400403293.639999</v>
      </c>
      <c r="BY16">
        <v>10413435312.639999</v>
      </c>
      <c r="BZ16">
        <v>10413435312.639999</v>
      </c>
      <c r="CA16">
        <v>10419719146.639999</v>
      </c>
      <c r="CB16">
        <v>10419719146.639999</v>
      </c>
      <c r="CC16">
        <v>10421981973.639999</v>
      </c>
      <c r="CD16">
        <v>10422585723.639999</v>
      </c>
      <c r="CE16">
        <v>10422585723.639999</v>
      </c>
      <c r="CF16">
        <v>10422585723.639999</v>
      </c>
      <c r="CG16">
        <v>10422585723.639999</v>
      </c>
      <c r="CH16">
        <v>10422585723.639999</v>
      </c>
      <c r="CI16">
        <v>10425718097.639999</v>
      </c>
      <c r="CJ16">
        <v>10425718097.639999</v>
      </c>
      <c r="CK16">
        <v>10431550582.639999</v>
      </c>
      <c r="CL16">
        <v>10439023779.639999</v>
      </c>
      <c r="CM16">
        <v>10440996041.639999</v>
      </c>
      <c r="CN16">
        <v>10445415191.639999</v>
      </c>
      <c r="CO16">
        <v>10446018941.639999</v>
      </c>
      <c r="CP16">
        <v>10448281768.639999</v>
      </c>
      <c r="CQ16">
        <v>10448281768.639999</v>
      </c>
      <c r="CR16">
        <v>10448281768.639999</v>
      </c>
      <c r="CS16">
        <v>10448281768.639999</v>
      </c>
      <c r="CT16">
        <v>10449934244.639999</v>
      </c>
      <c r="CU16">
        <v>10451414142.639999</v>
      </c>
      <c r="CV16">
        <v>10451414142.639999</v>
      </c>
      <c r="CW16">
        <v>10457246627.639999</v>
      </c>
      <c r="CX16">
        <v>10465928910.639999</v>
      </c>
      <c r="CY16">
        <v>10468008750.639999</v>
      </c>
      <c r="CZ16">
        <v>10474462800.639999</v>
      </c>
      <c r="DA16">
        <v>10476725627.639999</v>
      </c>
      <c r="DB16">
        <v>10477371377.639999</v>
      </c>
      <c r="DC16">
        <v>10477371377.639999</v>
      </c>
      <c r="DD16">
        <v>10477371377.639999</v>
      </c>
      <c r="DE16">
        <v>10478205665.639999</v>
      </c>
      <c r="DF16">
        <v>10478205665.639999</v>
      </c>
      <c r="EB16">
        <v>1279872303.8599999</v>
      </c>
      <c r="EC16">
        <v>2675562326.9099998</v>
      </c>
      <c r="ED16">
        <v>6679229730.6700001</v>
      </c>
      <c r="EE16">
        <v>8988352110.6900005</v>
      </c>
      <c r="EF16">
        <v>10112713788.940001</v>
      </c>
      <c r="EG16">
        <v>10320187419.68</v>
      </c>
      <c r="EH16">
        <v>10199116173.540001</v>
      </c>
      <c r="EI16">
        <v>10257696676.6</v>
      </c>
      <c r="EJ16">
        <v>10263192221.42</v>
      </c>
      <c r="EK16">
        <v>10167605732.83</v>
      </c>
      <c r="EL16">
        <v>10238487690.35</v>
      </c>
      <c r="EM16">
        <v>10240060319.940001</v>
      </c>
      <c r="EN16">
        <v>10299766320.940001</v>
      </c>
      <c r="EO16">
        <v>10302438720.940001</v>
      </c>
      <c r="EP16">
        <v>10308891120.940001</v>
      </c>
      <c r="EQ16">
        <v>10306833296.940001</v>
      </c>
      <c r="ER16">
        <v>10306833296.940001</v>
      </c>
      <c r="ES16">
        <v>10313031347.940001</v>
      </c>
      <c r="ET16">
        <v>10313031347.940001</v>
      </c>
      <c r="EU16">
        <v>10263333232.59</v>
      </c>
      <c r="EV16">
        <v>10267075236.540001</v>
      </c>
      <c r="EW16">
        <v>10267075236.540001</v>
      </c>
      <c r="EX16">
        <v>10267075236.540001</v>
      </c>
      <c r="EY16">
        <v>10269635058.540001</v>
      </c>
      <c r="EZ16">
        <v>10273283899.540001</v>
      </c>
      <c r="FA16">
        <v>10274718271.540001</v>
      </c>
      <c r="FB16">
        <v>10278660571.540001</v>
      </c>
      <c r="FC16">
        <v>10328660571.540001</v>
      </c>
      <c r="FD16">
        <v>10330360347.540001</v>
      </c>
      <c r="FE16">
        <v>10331320221.640001</v>
      </c>
      <c r="FF16">
        <v>10331320221.640001</v>
      </c>
      <c r="FG16">
        <v>10331320221.640001</v>
      </c>
      <c r="FH16">
        <v>10336626630.640001</v>
      </c>
      <c r="FI16">
        <v>10339082670.640001</v>
      </c>
      <c r="FJ16">
        <v>10339082670.640001</v>
      </c>
      <c r="FK16">
        <v>10344547125.640001</v>
      </c>
      <c r="FL16">
        <v>10344547125.640001</v>
      </c>
      <c r="FM16">
        <v>10344547125.640001</v>
      </c>
      <c r="FN16">
        <v>10351239801.640001</v>
      </c>
      <c r="FO16">
        <v>10354162798.640001</v>
      </c>
      <c r="FP16">
        <v>10354162798.640001</v>
      </c>
      <c r="FQ16">
        <v>10354575046.640001</v>
      </c>
      <c r="FR16">
        <v>10354162798.640001</v>
      </c>
      <c r="FS16">
        <v>10354162798.640001</v>
      </c>
      <c r="FT16">
        <v>10356219923.640001</v>
      </c>
      <c r="FU16">
        <v>10358675963.640001</v>
      </c>
      <c r="FV16">
        <v>10358675963.640001</v>
      </c>
      <c r="FW16">
        <v>10362420247.640001</v>
      </c>
      <c r="FX16">
        <v>10368488925.640001</v>
      </c>
      <c r="FY16">
        <v>10373122582.920002</v>
      </c>
      <c r="FZ16">
        <v>10373122582.920002</v>
      </c>
      <c r="GA16">
        <v>10374988619.640001</v>
      </c>
      <c r="GB16">
        <v>10374988619.640001</v>
      </c>
      <c r="GC16">
        <v>10374988619.640001</v>
      </c>
      <c r="GD16">
        <v>10374988619.640001</v>
      </c>
      <c r="GE16">
        <v>10374988619.640001</v>
      </c>
      <c r="GF16">
        <v>10376641095.640001</v>
      </c>
      <c r="GG16">
        <v>10376641095.640001</v>
      </c>
      <c r="GH16">
        <v>10380577033.640001</v>
      </c>
      <c r="GI16">
        <v>10385046864.640001</v>
      </c>
      <c r="GJ16">
        <v>10393210298.640001</v>
      </c>
      <c r="GK16">
        <v>10394967404.640001</v>
      </c>
      <c r="GL16">
        <v>10397270919.640001</v>
      </c>
      <c r="GM16">
        <v>10397270919.640001</v>
      </c>
      <c r="GN16">
        <v>10397270919.640001</v>
      </c>
      <c r="GO16">
        <v>10397270919.640001</v>
      </c>
      <c r="GP16">
        <v>10397270919.640001</v>
      </c>
      <c r="GQ16">
        <v>10398105207.640001</v>
      </c>
      <c r="GR16">
        <v>10398923395.640001</v>
      </c>
      <c r="GS16">
        <v>10400403293.640001</v>
      </c>
      <c r="GT16">
        <v>10413435312.640001</v>
      </c>
      <c r="GU16">
        <v>10413435312.640001</v>
      </c>
      <c r="GV16">
        <v>10419719146.640001</v>
      </c>
      <c r="GW16">
        <v>10419719146.640001</v>
      </c>
      <c r="GX16">
        <v>10421981973.640001</v>
      </c>
      <c r="GY16">
        <v>10422585723.640001</v>
      </c>
      <c r="GZ16">
        <v>10422585723.640001</v>
      </c>
      <c r="HA16">
        <v>10422585723.640001</v>
      </c>
      <c r="HB16">
        <v>10422585723.640001</v>
      </c>
      <c r="HC16">
        <v>10422585723.640001</v>
      </c>
      <c r="HD16">
        <v>10425718097.640001</v>
      </c>
      <c r="HE16">
        <v>10425718097.640001</v>
      </c>
      <c r="HF16">
        <v>10431550582.640001</v>
      </c>
      <c r="HG16">
        <v>10439023779.640001</v>
      </c>
      <c r="HH16">
        <v>10440996041.640001</v>
      </c>
      <c r="HI16">
        <v>10445415191.640001</v>
      </c>
      <c r="HJ16">
        <v>10446018941.640001</v>
      </c>
      <c r="HK16">
        <v>10448281768.640001</v>
      </c>
      <c r="HL16">
        <v>10448281768.640001</v>
      </c>
      <c r="HM16">
        <v>10448281768.640001</v>
      </c>
      <c r="HN16">
        <v>10448281768.640001</v>
      </c>
      <c r="HO16">
        <v>10449934244.640001</v>
      </c>
      <c r="HP16">
        <v>10451414142.640001</v>
      </c>
      <c r="HQ16">
        <v>10451414142.640001</v>
      </c>
      <c r="HR16">
        <v>10457246627.640001</v>
      </c>
      <c r="HS16">
        <v>10465928910.640001</v>
      </c>
      <c r="HT16">
        <v>10468008750.640001</v>
      </c>
      <c r="HU16">
        <v>10474462800.640001</v>
      </c>
      <c r="HV16">
        <v>10476725627.640001</v>
      </c>
      <c r="HW16">
        <v>10477371377.640001</v>
      </c>
      <c r="HX16">
        <v>10477371377.640001</v>
      </c>
      <c r="HY16">
        <v>10477371377.640001</v>
      </c>
      <c r="HZ16">
        <v>10478205665.640001</v>
      </c>
      <c r="IA16">
        <v>10478205665.640001</v>
      </c>
    </row>
    <row r="17" spans="6:232" x14ac:dyDescent="0.2">
      <c r="F17">
        <v>201603</v>
      </c>
      <c r="G17">
        <v>60000000</v>
      </c>
      <c r="H17">
        <v>1119616980</v>
      </c>
      <c r="I17">
        <v>2217804806</v>
      </c>
      <c r="J17">
        <v>3860646028</v>
      </c>
      <c r="K17">
        <v>7194261033</v>
      </c>
      <c r="L17">
        <v>8905331400</v>
      </c>
      <c r="M17">
        <v>8956242850</v>
      </c>
      <c r="N17">
        <v>9172100991</v>
      </c>
      <c r="O17">
        <v>10356877851</v>
      </c>
      <c r="P17">
        <v>10357927851</v>
      </c>
      <c r="Q17">
        <v>10508977851</v>
      </c>
      <c r="R17">
        <v>10519777988</v>
      </c>
      <c r="S17">
        <v>10524037401</v>
      </c>
      <c r="T17">
        <v>10541502389</v>
      </c>
      <c r="U17">
        <v>10558986399</v>
      </c>
      <c r="V17">
        <v>10558986399</v>
      </c>
      <c r="W17">
        <v>10558986399</v>
      </c>
      <c r="X17">
        <v>10559692133</v>
      </c>
      <c r="Y17">
        <v>10559692133</v>
      </c>
      <c r="Z17">
        <v>10573311050</v>
      </c>
      <c r="AA17">
        <v>10717127524</v>
      </c>
      <c r="AB17">
        <v>10717127524</v>
      </c>
      <c r="AC17">
        <v>10719350470</v>
      </c>
      <c r="AD17">
        <v>10751328479</v>
      </c>
      <c r="AE17">
        <v>10783563713</v>
      </c>
      <c r="AF17">
        <v>10785159489</v>
      </c>
      <c r="AG17">
        <v>10790921476</v>
      </c>
      <c r="AH17">
        <v>10790921476</v>
      </c>
      <c r="AI17">
        <v>10790921476</v>
      </c>
      <c r="AJ17">
        <v>10790921476</v>
      </c>
      <c r="AK17">
        <v>10790921476</v>
      </c>
      <c r="AL17">
        <v>10797429222</v>
      </c>
      <c r="AM17">
        <v>10809452363</v>
      </c>
      <c r="AN17">
        <v>10809452363</v>
      </c>
      <c r="AO17">
        <v>10809452363</v>
      </c>
      <c r="AP17">
        <v>10817324510</v>
      </c>
      <c r="AQ17">
        <v>10857145751</v>
      </c>
      <c r="AR17">
        <v>10866615978</v>
      </c>
      <c r="AS17">
        <v>10866615978</v>
      </c>
      <c r="AT17">
        <v>10866615978</v>
      </c>
      <c r="AU17">
        <v>10866615978</v>
      </c>
      <c r="AV17">
        <v>10866615978</v>
      </c>
      <c r="AW17">
        <v>10866615978</v>
      </c>
      <c r="AX17">
        <v>10866615978</v>
      </c>
      <c r="AY17">
        <v>10884175452</v>
      </c>
      <c r="AZ17">
        <v>10884175452</v>
      </c>
      <c r="BA17">
        <v>10884175452</v>
      </c>
      <c r="BB17">
        <v>10887613407</v>
      </c>
      <c r="BC17">
        <v>10888376407</v>
      </c>
      <c r="BD17">
        <v>10925525766</v>
      </c>
      <c r="BE17">
        <v>10928583086</v>
      </c>
      <c r="BF17">
        <v>10931158144</v>
      </c>
      <c r="BG17">
        <v>10937588340</v>
      </c>
      <c r="BH17">
        <v>10937588340</v>
      </c>
      <c r="BI17">
        <v>10937588340</v>
      </c>
      <c r="BJ17">
        <v>10955147814</v>
      </c>
      <c r="BK17">
        <v>10955147814</v>
      </c>
      <c r="BL17">
        <v>10955147814</v>
      </c>
      <c r="BM17">
        <v>10955147814</v>
      </c>
      <c r="BN17">
        <v>10958133760</v>
      </c>
      <c r="BO17">
        <v>11003868784</v>
      </c>
      <c r="BP17">
        <v>11004446503</v>
      </c>
      <c r="BQ17">
        <v>11008122055</v>
      </c>
      <c r="BR17">
        <v>11008122055</v>
      </c>
      <c r="BS17">
        <v>11008122055</v>
      </c>
      <c r="BT17">
        <v>11016049859</v>
      </c>
      <c r="BU17">
        <v>11016049859</v>
      </c>
      <c r="BV17">
        <v>11033609333</v>
      </c>
      <c r="BW17">
        <v>11033609333</v>
      </c>
      <c r="BX17">
        <v>11033609333</v>
      </c>
      <c r="BY17">
        <v>11033609333</v>
      </c>
      <c r="BZ17">
        <v>11045800947</v>
      </c>
      <c r="CA17">
        <v>11066152987</v>
      </c>
      <c r="CB17">
        <v>11088619535</v>
      </c>
      <c r="CC17">
        <v>11100801577</v>
      </c>
      <c r="CD17">
        <v>11100801577</v>
      </c>
      <c r="CE17">
        <v>11100801577</v>
      </c>
      <c r="CF17">
        <v>11100801577</v>
      </c>
      <c r="CG17">
        <v>11118361051</v>
      </c>
      <c r="CH17">
        <v>11118361051</v>
      </c>
      <c r="CI17">
        <v>11118361051</v>
      </c>
      <c r="CJ17">
        <v>11118361051</v>
      </c>
      <c r="CK17">
        <v>11118361051</v>
      </c>
      <c r="CL17">
        <v>11121579006</v>
      </c>
      <c r="CM17">
        <v>11144706398</v>
      </c>
      <c r="CN17">
        <v>11167172946</v>
      </c>
      <c r="CO17">
        <v>11176779930</v>
      </c>
      <c r="CP17">
        <v>11176779930</v>
      </c>
      <c r="CQ17">
        <v>11176779930</v>
      </c>
      <c r="CR17">
        <v>11176779930</v>
      </c>
      <c r="CS17">
        <v>11194339404</v>
      </c>
      <c r="CT17">
        <v>11194339404</v>
      </c>
      <c r="CU17">
        <v>11194339404</v>
      </c>
      <c r="CV17">
        <v>11194339404</v>
      </c>
      <c r="CW17">
        <v>11194339404</v>
      </c>
      <c r="CX17">
        <v>11198288729</v>
      </c>
      <c r="CY17">
        <v>11225434541</v>
      </c>
      <c r="CZ17">
        <v>11247901089</v>
      </c>
      <c r="DA17">
        <v>11257116914</v>
      </c>
      <c r="DB17">
        <v>11262234166</v>
      </c>
      <c r="DC17">
        <v>11262811885</v>
      </c>
      <c r="EB17">
        <v>549002012.52999997</v>
      </c>
      <c r="EC17">
        <v>2273370715.5900002</v>
      </c>
      <c r="ED17">
        <v>4269936397.48</v>
      </c>
      <c r="EE17">
        <v>7155977533.2700005</v>
      </c>
      <c r="EF17">
        <v>9373775014.9099998</v>
      </c>
      <c r="EG17">
        <v>9492543400</v>
      </c>
      <c r="EH17">
        <v>10566739803.889999</v>
      </c>
      <c r="EI17">
        <v>10694803240.279999</v>
      </c>
      <c r="EJ17">
        <v>10691709352.009998</v>
      </c>
      <c r="EK17">
        <v>10538917850.999998</v>
      </c>
      <c r="EL17">
        <v>10599472850.999998</v>
      </c>
      <c r="EM17">
        <v>10549942987.999998</v>
      </c>
      <c r="EN17">
        <v>10708043900.999998</v>
      </c>
      <c r="EO17">
        <v>10725508888.999998</v>
      </c>
      <c r="EP17">
        <v>10742992898.999998</v>
      </c>
      <c r="EQ17">
        <v>10742992898.999998</v>
      </c>
      <c r="ER17">
        <v>10742709248.999998</v>
      </c>
      <c r="ES17">
        <v>10743414982.999998</v>
      </c>
      <c r="ET17">
        <v>10589810632.999998</v>
      </c>
      <c r="EU17">
        <v>10603429549.999998</v>
      </c>
      <c r="EV17">
        <v>10747246023.999998</v>
      </c>
      <c r="EW17">
        <v>10747246023.999998</v>
      </c>
      <c r="EX17">
        <v>10749468969.999998</v>
      </c>
      <c r="EY17">
        <v>10751328478.999998</v>
      </c>
      <c r="EZ17">
        <v>10783563712.999998</v>
      </c>
      <c r="FA17">
        <v>10785159488.999998</v>
      </c>
      <c r="FB17">
        <v>10790921475.999998</v>
      </c>
      <c r="FC17">
        <v>10790921475.999998</v>
      </c>
      <c r="FD17">
        <v>10790921475.999998</v>
      </c>
      <c r="FE17">
        <v>10790921475.999998</v>
      </c>
      <c r="FF17">
        <v>10790921475.999998</v>
      </c>
      <c r="FG17">
        <v>10803947120.399998</v>
      </c>
      <c r="FH17">
        <v>10815970261.399998</v>
      </c>
      <c r="FI17">
        <v>10815970261.399998</v>
      </c>
      <c r="FJ17">
        <v>10815961821.469997</v>
      </c>
      <c r="FK17">
        <v>10819918974.159998</v>
      </c>
      <c r="FL17">
        <v>10857145750.999998</v>
      </c>
      <c r="FM17">
        <v>10866615977.999998</v>
      </c>
      <c r="FN17">
        <v>10866615977.999998</v>
      </c>
      <c r="FO17">
        <v>10866615977.999998</v>
      </c>
      <c r="FP17">
        <v>10866615977.999998</v>
      </c>
      <c r="FQ17">
        <v>10866615977.999998</v>
      </c>
      <c r="FR17">
        <v>10866615977.999998</v>
      </c>
      <c r="FS17">
        <v>10866615977.999998</v>
      </c>
      <c r="FT17">
        <v>10884175451.999998</v>
      </c>
      <c r="FU17">
        <v>10884175451.999998</v>
      </c>
      <c r="FV17">
        <v>10884175451.999998</v>
      </c>
      <c r="FW17">
        <v>10892026642.999998</v>
      </c>
      <c r="FX17">
        <v>10892789642.999998</v>
      </c>
      <c r="FY17">
        <v>10929939001.999998</v>
      </c>
      <c r="FZ17">
        <v>10932996321.999998</v>
      </c>
      <c r="GA17">
        <v>10935571379.999998</v>
      </c>
      <c r="GB17">
        <v>10942001575.999998</v>
      </c>
      <c r="GC17">
        <v>10942001575.999998</v>
      </c>
      <c r="GD17">
        <v>10942001575.999998</v>
      </c>
      <c r="GE17">
        <v>10959561049.999998</v>
      </c>
      <c r="GF17">
        <v>10959561049.999998</v>
      </c>
      <c r="GG17">
        <v>10959561049.999998</v>
      </c>
      <c r="GH17">
        <v>10959561049.999998</v>
      </c>
      <c r="GI17">
        <v>10962546995.999998</v>
      </c>
      <c r="GJ17">
        <v>11008282019.999998</v>
      </c>
      <c r="GK17">
        <v>11008859738.999998</v>
      </c>
      <c r="GL17">
        <v>11012535290.999998</v>
      </c>
      <c r="GM17">
        <v>11012535290.999998</v>
      </c>
      <c r="GN17">
        <v>11012535290.999998</v>
      </c>
      <c r="GO17">
        <v>11020463094.999998</v>
      </c>
      <c r="GP17">
        <v>11020463094.999998</v>
      </c>
      <c r="GQ17">
        <v>11038022568.999998</v>
      </c>
      <c r="GR17">
        <v>11038022568.999998</v>
      </c>
      <c r="GS17">
        <v>11038022568.999998</v>
      </c>
      <c r="GT17">
        <v>11038022568.999998</v>
      </c>
      <c r="GU17">
        <v>11050214182.999998</v>
      </c>
      <c r="GV17">
        <v>11070566222.999998</v>
      </c>
      <c r="GW17">
        <v>11093032770.999998</v>
      </c>
      <c r="GX17">
        <v>11105214812.999998</v>
      </c>
      <c r="GY17">
        <v>11105214812.999998</v>
      </c>
      <c r="GZ17">
        <v>11105214812.999998</v>
      </c>
      <c r="HA17">
        <v>11105214812.999998</v>
      </c>
      <c r="HB17">
        <v>11122774286.999998</v>
      </c>
      <c r="HC17">
        <v>11122774286.999998</v>
      </c>
      <c r="HD17">
        <v>11122774286.999998</v>
      </c>
      <c r="HE17">
        <v>11122774286.999998</v>
      </c>
      <c r="HF17">
        <v>11122774286.999998</v>
      </c>
      <c r="HG17">
        <v>11125992241.999998</v>
      </c>
      <c r="HH17">
        <v>11149119633.999998</v>
      </c>
      <c r="HI17">
        <v>11171586181.999998</v>
      </c>
      <c r="HJ17">
        <v>11181193165.999998</v>
      </c>
      <c r="HK17">
        <v>11181193165.999998</v>
      </c>
      <c r="HL17">
        <v>11181193165.999998</v>
      </c>
      <c r="HM17">
        <v>11181193165.999998</v>
      </c>
      <c r="HN17">
        <v>11198752639.999998</v>
      </c>
      <c r="HO17">
        <v>11198752639.999998</v>
      </c>
      <c r="HP17">
        <v>11198752639.999998</v>
      </c>
      <c r="HQ17">
        <v>11198752639.999998</v>
      </c>
      <c r="HR17">
        <v>11198752639.999998</v>
      </c>
      <c r="HS17">
        <v>11202701964.999998</v>
      </c>
      <c r="HT17">
        <v>11229847776.999998</v>
      </c>
      <c r="HU17">
        <v>11252314324.999998</v>
      </c>
      <c r="HV17">
        <v>11261530149.999998</v>
      </c>
      <c r="HW17">
        <v>11266647401.999998</v>
      </c>
      <c r="HX17">
        <v>11267225120.999998</v>
      </c>
    </row>
    <row r="18" spans="6:232" x14ac:dyDescent="0.2">
      <c r="F18">
        <v>201606</v>
      </c>
      <c r="G18">
        <v>306058579</v>
      </c>
      <c r="H18">
        <v>1335636247</v>
      </c>
      <c r="I18">
        <v>4105665853</v>
      </c>
      <c r="J18">
        <v>7279042329</v>
      </c>
      <c r="K18">
        <v>8607887366</v>
      </c>
      <c r="L18">
        <v>8695721490</v>
      </c>
      <c r="M18">
        <v>9136914463</v>
      </c>
      <c r="N18">
        <v>9150561606</v>
      </c>
      <c r="O18">
        <v>9184732976</v>
      </c>
      <c r="P18">
        <v>9184732976</v>
      </c>
      <c r="Q18">
        <v>9184732976</v>
      </c>
      <c r="R18">
        <v>9186356562</v>
      </c>
      <c r="S18">
        <v>9189004476</v>
      </c>
      <c r="T18">
        <v>9253835161</v>
      </c>
      <c r="U18">
        <v>9265234113</v>
      </c>
      <c r="V18">
        <v>9265234113</v>
      </c>
      <c r="W18">
        <v>9273468341</v>
      </c>
      <c r="X18">
        <v>9284615916</v>
      </c>
      <c r="Y18">
        <v>9317431047</v>
      </c>
      <c r="Z18">
        <v>9317930118</v>
      </c>
      <c r="AA18">
        <v>9667930118</v>
      </c>
      <c r="AB18">
        <v>9673548569</v>
      </c>
      <c r="AC18">
        <v>9673548569</v>
      </c>
      <c r="AD18">
        <v>9673916533</v>
      </c>
      <c r="AE18">
        <v>9676564447</v>
      </c>
      <c r="AF18">
        <v>9681180172</v>
      </c>
      <c r="AG18">
        <v>9681180172</v>
      </c>
      <c r="AH18">
        <v>9689882479</v>
      </c>
      <c r="AI18">
        <v>9689882479</v>
      </c>
      <c r="AJ18">
        <v>9695597388</v>
      </c>
      <c r="AK18">
        <v>9713244009</v>
      </c>
      <c r="AL18">
        <v>9725573534</v>
      </c>
      <c r="AM18">
        <v>9725573534</v>
      </c>
      <c r="AN18">
        <v>9725941498</v>
      </c>
      <c r="AO18">
        <v>9725941498</v>
      </c>
      <c r="AP18">
        <v>9725941498</v>
      </c>
      <c r="AQ18">
        <v>9729463189</v>
      </c>
      <c r="AR18">
        <v>9734579555</v>
      </c>
      <c r="AS18">
        <v>9734579555</v>
      </c>
      <c r="AT18">
        <v>9743448677</v>
      </c>
      <c r="AU18">
        <v>9743448677</v>
      </c>
      <c r="AV18">
        <v>9761481578</v>
      </c>
      <c r="AW18">
        <v>9766315567</v>
      </c>
      <c r="AX18">
        <v>9766315567</v>
      </c>
      <c r="AY18">
        <v>9912188240</v>
      </c>
      <c r="AZ18">
        <v>9912556204</v>
      </c>
      <c r="BA18">
        <v>9912556204</v>
      </c>
      <c r="BB18">
        <v>9912556204</v>
      </c>
      <c r="BC18">
        <v>9919303167</v>
      </c>
      <c r="BD18">
        <v>9919711434</v>
      </c>
      <c r="BE18">
        <v>9921334921</v>
      </c>
      <c r="BF18">
        <v>9921334921</v>
      </c>
      <c r="BG18">
        <v>9921334921</v>
      </c>
      <c r="BH18">
        <v>9927689625</v>
      </c>
      <c r="BI18">
        <v>9950262406</v>
      </c>
      <c r="BJ18">
        <v>9966710190</v>
      </c>
      <c r="BK18">
        <v>9967209261</v>
      </c>
      <c r="BL18">
        <v>9967577225</v>
      </c>
      <c r="BM18">
        <v>9967577225</v>
      </c>
      <c r="BN18">
        <v>9967577225</v>
      </c>
      <c r="BO18">
        <v>9974441559</v>
      </c>
      <c r="BP18">
        <v>9974441559</v>
      </c>
      <c r="BQ18">
        <v>9976498408</v>
      </c>
      <c r="BR18">
        <v>9976498408</v>
      </c>
      <c r="BS18">
        <v>9976498408</v>
      </c>
      <c r="BT18">
        <v>9982853112</v>
      </c>
      <c r="BU18">
        <v>10007594850</v>
      </c>
      <c r="BV18">
        <v>10008957639</v>
      </c>
      <c r="BW18">
        <v>10009456710</v>
      </c>
      <c r="BX18">
        <v>10009456710</v>
      </c>
      <c r="BY18">
        <v>10009855396</v>
      </c>
      <c r="BZ18">
        <v>10009855396</v>
      </c>
      <c r="CA18">
        <v>10013377087</v>
      </c>
      <c r="CB18">
        <v>10022634904</v>
      </c>
      <c r="CC18">
        <v>10024811265</v>
      </c>
      <c r="CD18">
        <v>10024811265</v>
      </c>
      <c r="CE18">
        <v>10024811265</v>
      </c>
      <c r="CF18">
        <v>10031291058</v>
      </c>
      <c r="CG18">
        <v>10054854634</v>
      </c>
      <c r="CH18">
        <v>10057553511</v>
      </c>
      <c r="CI18">
        <v>10058189797</v>
      </c>
      <c r="CJ18">
        <v>10124189797</v>
      </c>
      <c r="CK18">
        <v>10124189797</v>
      </c>
      <c r="CL18">
        <v>10124588483</v>
      </c>
      <c r="CM18">
        <v>10128593429</v>
      </c>
      <c r="CN18">
        <v>10139569348</v>
      </c>
      <c r="CO18">
        <v>10139569348</v>
      </c>
      <c r="CP18">
        <v>10139569348</v>
      </c>
      <c r="CQ18">
        <v>10139569348</v>
      </c>
      <c r="CR18">
        <v>10146453972</v>
      </c>
      <c r="CS18">
        <v>10166361721</v>
      </c>
      <c r="CT18">
        <v>10166361721</v>
      </c>
      <c r="CU18">
        <v>10166998007</v>
      </c>
      <c r="CV18">
        <v>10167396693</v>
      </c>
      <c r="CW18">
        <v>10167396693</v>
      </c>
      <c r="CX18">
        <v>10167396693</v>
      </c>
      <c r="CY18">
        <v>10173119662</v>
      </c>
      <c r="CZ18">
        <v>10181919220</v>
      </c>
      <c r="EB18">
        <v>2249638014.2799997</v>
      </c>
      <c r="EC18">
        <v>5227570634.8499994</v>
      </c>
      <c r="ED18">
        <v>8067496104.5599995</v>
      </c>
      <c r="EE18">
        <v>9588729903.0499992</v>
      </c>
      <c r="EF18">
        <v>9357337968.7099991</v>
      </c>
      <c r="EG18">
        <v>9286150169.2399998</v>
      </c>
      <c r="EH18">
        <v>9332876394.4799995</v>
      </c>
      <c r="EI18">
        <v>9408395701.9899998</v>
      </c>
      <c r="EJ18">
        <v>9412802338.4099998</v>
      </c>
      <c r="EK18">
        <v>9412802338.4099998</v>
      </c>
      <c r="EL18">
        <v>9412802338.4099998</v>
      </c>
      <c r="EM18">
        <v>9414425924.4099998</v>
      </c>
      <c r="EN18">
        <v>9765644474.3199997</v>
      </c>
      <c r="EO18">
        <v>9930600463.3299999</v>
      </c>
      <c r="EP18">
        <v>9934067257.5799999</v>
      </c>
      <c r="EQ18">
        <v>9934067257.5799999</v>
      </c>
      <c r="ER18">
        <v>9934369327.8299999</v>
      </c>
      <c r="ES18">
        <v>9744726902.8299999</v>
      </c>
      <c r="ET18">
        <v>9777542033.8299999</v>
      </c>
      <c r="EU18">
        <v>9848317604.8299999</v>
      </c>
      <c r="EV18">
        <v>9846935104.8299999</v>
      </c>
      <c r="EW18">
        <v>9844616251.7600002</v>
      </c>
      <c r="EX18">
        <v>9856663651.7600002</v>
      </c>
      <c r="EY18">
        <v>9857031615.7600002</v>
      </c>
      <c r="EZ18">
        <v>9859679529.7600002</v>
      </c>
      <c r="FA18">
        <v>9864295254.7600002</v>
      </c>
      <c r="FB18">
        <v>9864295254.7600002</v>
      </c>
      <c r="FC18">
        <v>9872997561.7600002</v>
      </c>
      <c r="FD18">
        <v>9872997561.7600002</v>
      </c>
      <c r="FE18">
        <v>9878712470.7600002</v>
      </c>
      <c r="FF18">
        <v>9896342358.9300003</v>
      </c>
      <c r="FG18">
        <v>9908434792.5900002</v>
      </c>
      <c r="FH18">
        <v>9908434792.5900002</v>
      </c>
      <c r="FI18">
        <v>9908802756.5900002</v>
      </c>
      <c r="FJ18">
        <v>9908802756.5900002</v>
      </c>
      <c r="FK18">
        <v>9908802756.5900002</v>
      </c>
      <c r="FL18">
        <v>9912324447.5900002</v>
      </c>
      <c r="FM18">
        <v>10117970813.59</v>
      </c>
      <c r="FN18">
        <v>10123014689.530001</v>
      </c>
      <c r="FO18">
        <v>10122991186.360001</v>
      </c>
      <c r="FP18">
        <v>10121447727</v>
      </c>
      <c r="FQ18">
        <v>10139480628</v>
      </c>
      <c r="FR18">
        <v>10144314617</v>
      </c>
      <c r="FS18">
        <v>10144314617</v>
      </c>
      <c r="FT18">
        <v>10155832190</v>
      </c>
      <c r="FU18">
        <v>10156212304</v>
      </c>
      <c r="FV18">
        <v>10156212304</v>
      </c>
      <c r="FW18">
        <v>10156212304</v>
      </c>
      <c r="FX18">
        <v>10165054078.76</v>
      </c>
      <c r="FY18">
        <v>10165462345.76</v>
      </c>
      <c r="FZ18">
        <v>10001640332.76</v>
      </c>
      <c r="GA18">
        <v>10001640332.76</v>
      </c>
      <c r="GB18">
        <v>10001640332.76</v>
      </c>
      <c r="GC18">
        <v>10007995036.76</v>
      </c>
      <c r="GD18">
        <v>10030567817.76</v>
      </c>
      <c r="GE18">
        <v>10044920790</v>
      </c>
      <c r="GF18">
        <v>10045419861</v>
      </c>
      <c r="GG18">
        <v>10045791725</v>
      </c>
      <c r="GH18">
        <v>10045791725</v>
      </c>
      <c r="GI18">
        <v>10045791725</v>
      </c>
      <c r="GJ18">
        <v>10052656059</v>
      </c>
      <c r="GK18">
        <v>10052656059</v>
      </c>
      <c r="GL18">
        <v>10054712908</v>
      </c>
      <c r="GM18">
        <v>10054712908</v>
      </c>
      <c r="GN18">
        <v>10054712908</v>
      </c>
      <c r="GO18">
        <v>10061067612</v>
      </c>
      <c r="GP18">
        <v>10085809350</v>
      </c>
      <c r="GQ18">
        <v>10087172139</v>
      </c>
      <c r="GR18">
        <v>10087671210</v>
      </c>
      <c r="GS18">
        <v>10087671210</v>
      </c>
      <c r="GT18">
        <v>10088089396</v>
      </c>
      <c r="GU18">
        <v>10088089396</v>
      </c>
      <c r="GV18">
        <v>10091611087</v>
      </c>
      <c r="GW18">
        <v>10100868904</v>
      </c>
      <c r="GX18">
        <v>10103045265</v>
      </c>
      <c r="GY18">
        <v>10103045265</v>
      </c>
      <c r="GZ18">
        <v>10103045265</v>
      </c>
      <c r="HA18">
        <v>10109525058</v>
      </c>
      <c r="HB18">
        <v>10133088634</v>
      </c>
      <c r="HC18">
        <v>10069589511</v>
      </c>
      <c r="HD18">
        <v>10070225797</v>
      </c>
      <c r="HE18">
        <v>10136230812</v>
      </c>
      <c r="HF18">
        <v>10136234197</v>
      </c>
      <c r="HG18">
        <v>10136632883</v>
      </c>
      <c r="HH18">
        <v>10140637829</v>
      </c>
      <c r="HI18">
        <v>10151613748</v>
      </c>
      <c r="HJ18">
        <v>10151613748</v>
      </c>
      <c r="HK18">
        <v>10151613748</v>
      </c>
      <c r="HL18">
        <v>10151613748</v>
      </c>
      <c r="HM18">
        <v>10158498372</v>
      </c>
      <c r="HN18">
        <v>10178406121</v>
      </c>
      <c r="HO18">
        <v>10178406121</v>
      </c>
      <c r="HP18">
        <v>10179042407</v>
      </c>
      <c r="HQ18">
        <v>10179441093</v>
      </c>
      <c r="HR18">
        <v>10179447093</v>
      </c>
      <c r="HS18">
        <v>10179447093</v>
      </c>
      <c r="HT18">
        <v>10185170062</v>
      </c>
      <c r="HU18">
        <v>10193969620</v>
      </c>
    </row>
    <row r="19" spans="6:232" x14ac:dyDescent="0.2">
      <c r="F19">
        <v>201609</v>
      </c>
      <c r="G19">
        <v>405797726</v>
      </c>
      <c r="H19">
        <v>3368494223</v>
      </c>
      <c r="I19">
        <v>6163374996</v>
      </c>
      <c r="J19">
        <v>8209193097</v>
      </c>
      <c r="K19">
        <v>9373108052</v>
      </c>
      <c r="L19">
        <v>9941827165</v>
      </c>
      <c r="M19">
        <v>10038139165</v>
      </c>
      <c r="N19">
        <v>10038139165</v>
      </c>
      <c r="O19">
        <v>10080715653</v>
      </c>
      <c r="P19">
        <v>10090009994</v>
      </c>
      <c r="Q19">
        <v>10190009994</v>
      </c>
      <c r="R19">
        <v>10271515889</v>
      </c>
      <c r="S19">
        <v>10274148129</v>
      </c>
      <c r="T19">
        <v>10301081607</v>
      </c>
      <c r="U19">
        <v>10301081607</v>
      </c>
      <c r="V19">
        <v>10314675194</v>
      </c>
      <c r="W19">
        <v>10314675194</v>
      </c>
      <c r="X19">
        <v>10314675194</v>
      </c>
      <c r="Y19">
        <v>10329746522</v>
      </c>
      <c r="Z19">
        <v>10331046522</v>
      </c>
      <c r="AA19">
        <v>10338451169</v>
      </c>
      <c r="AB19">
        <v>10339059843</v>
      </c>
      <c r="AC19">
        <v>10339059843</v>
      </c>
      <c r="AD19">
        <v>10339059843</v>
      </c>
      <c r="AE19">
        <v>10390559843</v>
      </c>
      <c r="AF19">
        <v>10420125561</v>
      </c>
      <c r="AG19">
        <v>10420125561</v>
      </c>
      <c r="AH19">
        <v>10434648825</v>
      </c>
      <c r="AI19">
        <v>10434648825</v>
      </c>
      <c r="AJ19">
        <v>10434648825</v>
      </c>
      <c r="AK19">
        <v>10452168483</v>
      </c>
      <c r="AL19">
        <v>10453791917</v>
      </c>
      <c r="AM19">
        <v>10453791917</v>
      </c>
      <c r="AN19">
        <v>10453791917</v>
      </c>
      <c r="AO19">
        <v>10455604672</v>
      </c>
      <c r="AP19">
        <v>10458236912</v>
      </c>
      <c r="AQ19">
        <v>10469777317</v>
      </c>
      <c r="AR19">
        <v>10485170390</v>
      </c>
      <c r="AS19">
        <v>10496710795</v>
      </c>
      <c r="AT19">
        <v>10510304382</v>
      </c>
      <c r="AU19">
        <v>10510304382</v>
      </c>
      <c r="AV19">
        <v>10510304382</v>
      </c>
      <c r="AW19">
        <v>10510304382</v>
      </c>
      <c r="AX19">
        <v>10510304382</v>
      </c>
      <c r="AY19">
        <v>10510304382</v>
      </c>
      <c r="AZ19">
        <v>10525375710</v>
      </c>
      <c r="BA19">
        <v>10525375710</v>
      </c>
      <c r="BB19">
        <v>10542763171</v>
      </c>
      <c r="BC19">
        <v>10558155938</v>
      </c>
      <c r="BD19">
        <v>10560788178</v>
      </c>
      <c r="BE19">
        <v>10560788178</v>
      </c>
      <c r="BF19">
        <v>10581962956</v>
      </c>
      <c r="BG19">
        <v>10581962956</v>
      </c>
      <c r="BH19">
        <v>10581962956</v>
      </c>
      <c r="BI19">
        <v>10581962956</v>
      </c>
      <c r="BJ19">
        <v>10581962956</v>
      </c>
      <c r="BK19">
        <v>10597034284</v>
      </c>
      <c r="BL19">
        <v>10597034284</v>
      </c>
      <c r="BM19">
        <v>10597034284</v>
      </c>
      <c r="BN19">
        <v>10597034284</v>
      </c>
      <c r="BO19">
        <v>10618109765</v>
      </c>
      <c r="BP19">
        <v>10633502838</v>
      </c>
      <c r="BQ19">
        <v>10633502838</v>
      </c>
      <c r="BR19">
        <v>10654677616</v>
      </c>
      <c r="BS19">
        <v>10654677616</v>
      </c>
      <c r="BT19">
        <v>10654677616</v>
      </c>
      <c r="BU19">
        <v>10654677616</v>
      </c>
      <c r="BV19">
        <v>10654677616</v>
      </c>
      <c r="BW19">
        <v>10669748944</v>
      </c>
      <c r="BX19">
        <v>10669748944</v>
      </c>
      <c r="BY19">
        <v>10669748944</v>
      </c>
      <c r="BZ19">
        <v>10687136585</v>
      </c>
      <c r="CA19">
        <v>10690824425</v>
      </c>
      <c r="CB19">
        <v>10709697875</v>
      </c>
      <c r="CC19">
        <v>10709697875</v>
      </c>
      <c r="CD19">
        <v>10730872653</v>
      </c>
      <c r="CE19">
        <v>10730872653</v>
      </c>
      <c r="CF19">
        <v>10730872653</v>
      </c>
      <c r="CG19">
        <v>10730872653</v>
      </c>
      <c r="CH19">
        <v>10754031763</v>
      </c>
      <c r="CI19">
        <v>10754031763</v>
      </c>
      <c r="CJ19">
        <v>10754031763</v>
      </c>
      <c r="CK19">
        <v>10754031763</v>
      </c>
      <c r="CL19">
        <v>10754031763</v>
      </c>
      <c r="CM19">
        <v>10776593053</v>
      </c>
      <c r="CN19">
        <v>10793980694</v>
      </c>
      <c r="CO19">
        <v>10793980694</v>
      </c>
      <c r="CP19">
        <v>10815155472</v>
      </c>
      <c r="CQ19">
        <v>10815155472</v>
      </c>
      <c r="CR19">
        <v>10815155472</v>
      </c>
      <c r="CS19">
        <v>10815155472</v>
      </c>
      <c r="CT19">
        <v>10838314582</v>
      </c>
      <c r="CU19">
        <v>10838314582</v>
      </c>
      <c r="CV19">
        <v>10838314582</v>
      </c>
      <c r="CW19">
        <v>10838314582</v>
      </c>
      <c r="EB19">
        <v>2734261167.1900001</v>
      </c>
      <c r="EC19">
        <v>6370575301.3400002</v>
      </c>
      <c r="ED19">
        <v>8361438154.3100004</v>
      </c>
      <c r="EE19">
        <v>9486170275.2299995</v>
      </c>
      <c r="EF19">
        <v>9816618540.8899994</v>
      </c>
      <c r="EG19">
        <v>10267187973.119999</v>
      </c>
      <c r="EH19">
        <v>10166108257.119999</v>
      </c>
      <c r="EI19">
        <v>10166108257.119999</v>
      </c>
      <c r="EJ19">
        <v>10308673213.589998</v>
      </c>
      <c r="EK19">
        <v>10217417554.589998</v>
      </c>
      <c r="EL19">
        <v>10486985218.969997</v>
      </c>
      <c r="EM19">
        <v>10398882048.069998</v>
      </c>
      <c r="EN19">
        <v>10401382775.639997</v>
      </c>
      <c r="EO19">
        <v>10428316253.639997</v>
      </c>
      <c r="EP19">
        <v>10428316253.639997</v>
      </c>
      <c r="EQ19">
        <v>10734391357.139997</v>
      </c>
      <c r="ER19">
        <v>10441909840.639997</v>
      </c>
      <c r="ES19">
        <v>10441909840.639997</v>
      </c>
      <c r="ET19">
        <v>10430296522.999998</v>
      </c>
      <c r="EU19">
        <v>10431596522.999998</v>
      </c>
      <c r="EV19">
        <v>10439001169.999998</v>
      </c>
      <c r="EW19">
        <v>10491313268.999998</v>
      </c>
      <c r="EX19">
        <v>10491313268.999998</v>
      </c>
      <c r="EY19">
        <v>10491313268.999998</v>
      </c>
      <c r="EZ19">
        <v>10491109842.999998</v>
      </c>
      <c r="FA19">
        <v>10520675560.999998</v>
      </c>
      <c r="FB19">
        <v>10520675560.999998</v>
      </c>
      <c r="FC19">
        <v>10535198824.999998</v>
      </c>
      <c r="FD19">
        <v>10535198824.999998</v>
      </c>
      <c r="FE19">
        <v>10535198824.999998</v>
      </c>
      <c r="FF19">
        <v>10568029374.629997</v>
      </c>
      <c r="FG19">
        <v>10554341916.999998</v>
      </c>
      <c r="FH19">
        <v>10554341916.999998</v>
      </c>
      <c r="FI19">
        <v>10554341916.999998</v>
      </c>
      <c r="FJ19">
        <v>10556154671.999998</v>
      </c>
      <c r="FK19">
        <v>10558786911.999998</v>
      </c>
      <c r="FL19">
        <v>10570327316.999998</v>
      </c>
      <c r="FM19">
        <v>10585720389.999998</v>
      </c>
      <c r="FN19">
        <v>10597260794.999998</v>
      </c>
      <c r="FO19">
        <v>10610854381.999998</v>
      </c>
      <c r="FP19">
        <v>10610854381.999998</v>
      </c>
      <c r="FQ19">
        <v>10610854381.999998</v>
      </c>
      <c r="FR19">
        <v>10610854381.999998</v>
      </c>
      <c r="FS19">
        <v>10610854381.999998</v>
      </c>
      <c r="FT19">
        <v>10610854381.999998</v>
      </c>
      <c r="FU19">
        <v>10625925709.999998</v>
      </c>
      <c r="FV19">
        <v>10625925709.999998</v>
      </c>
      <c r="FW19">
        <v>10643313170.999998</v>
      </c>
      <c r="FX19">
        <v>10658705937.999998</v>
      </c>
      <c r="FY19">
        <v>10661338177.999998</v>
      </c>
      <c r="FZ19">
        <v>10661338177.999998</v>
      </c>
      <c r="GA19">
        <v>10682512955.999998</v>
      </c>
      <c r="GB19">
        <v>10682512955.999998</v>
      </c>
      <c r="GC19">
        <v>10682512955.999998</v>
      </c>
      <c r="GD19">
        <v>10682512955.999998</v>
      </c>
      <c r="GE19">
        <v>10682512955.999998</v>
      </c>
      <c r="GF19">
        <v>10697584283.999998</v>
      </c>
      <c r="GG19">
        <v>10697584283.999998</v>
      </c>
      <c r="GH19">
        <v>10697584283.999998</v>
      </c>
      <c r="GI19">
        <v>10697584283.999998</v>
      </c>
      <c r="GJ19">
        <v>10718659764.999998</v>
      </c>
      <c r="GK19">
        <v>10734052837.999998</v>
      </c>
      <c r="GL19">
        <v>10734052837.999998</v>
      </c>
      <c r="GM19">
        <v>10755227615.999998</v>
      </c>
      <c r="GN19">
        <v>10755227615.999998</v>
      </c>
      <c r="GO19">
        <v>10863685055.999998</v>
      </c>
      <c r="GP19">
        <v>10863685055.999998</v>
      </c>
      <c r="GQ19">
        <v>10755227615.999998</v>
      </c>
      <c r="GR19">
        <v>10770298943.999998</v>
      </c>
      <c r="GS19">
        <v>10770298943.999998</v>
      </c>
      <c r="GT19">
        <v>10770298943.999998</v>
      </c>
      <c r="GU19">
        <v>10787686584.999998</v>
      </c>
      <c r="GV19">
        <v>10791374424.999998</v>
      </c>
      <c r="GW19">
        <v>10810247874.999998</v>
      </c>
      <c r="GX19">
        <v>10810247874.999998</v>
      </c>
      <c r="GY19">
        <v>10831422652.999998</v>
      </c>
      <c r="GZ19">
        <v>10831422652.999998</v>
      </c>
      <c r="HA19">
        <v>10831422652.999998</v>
      </c>
      <c r="HB19">
        <v>10831422652.999998</v>
      </c>
      <c r="HC19">
        <v>10854581762.999998</v>
      </c>
      <c r="HD19">
        <v>10854581762.999998</v>
      </c>
      <c r="HE19">
        <v>10854581762.999998</v>
      </c>
      <c r="HF19">
        <v>10854581762.999998</v>
      </c>
      <c r="HG19">
        <v>10854581762.999998</v>
      </c>
      <c r="HH19">
        <v>10877143052.999998</v>
      </c>
      <c r="HI19">
        <v>10894530693.999998</v>
      </c>
      <c r="HJ19">
        <v>10894530693.999998</v>
      </c>
      <c r="HK19">
        <v>10915705471.999998</v>
      </c>
      <c r="HL19">
        <v>10915705471.999998</v>
      </c>
      <c r="HM19">
        <v>10915705471.999998</v>
      </c>
      <c r="HN19">
        <v>10915705471.999998</v>
      </c>
      <c r="HO19">
        <v>10938864581.999998</v>
      </c>
      <c r="HP19">
        <v>10938864581.999998</v>
      </c>
      <c r="HQ19">
        <v>10938864581.999998</v>
      </c>
      <c r="HR19">
        <v>10938864581.999998</v>
      </c>
    </row>
    <row r="20" spans="6:232" x14ac:dyDescent="0.2">
      <c r="F20">
        <v>201612</v>
      </c>
      <c r="G20">
        <v>0</v>
      </c>
      <c r="H20">
        <v>247818374</v>
      </c>
      <c r="I20">
        <v>2554332976</v>
      </c>
      <c r="J20">
        <v>5849759984</v>
      </c>
      <c r="K20">
        <v>7566067739</v>
      </c>
      <c r="L20">
        <v>7892694287</v>
      </c>
      <c r="M20">
        <v>9062111151</v>
      </c>
      <c r="N20">
        <v>9205727555</v>
      </c>
      <c r="O20">
        <v>9761291485</v>
      </c>
      <c r="P20">
        <v>10843615401</v>
      </c>
      <c r="Q20">
        <v>10850763139</v>
      </c>
      <c r="R20">
        <v>10850763139</v>
      </c>
      <c r="S20">
        <v>11016884444</v>
      </c>
      <c r="T20">
        <v>11017939118</v>
      </c>
      <c r="U20">
        <v>11020912490</v>
      </c>
      <c r="V20">
        <v>11020912490</v>
      </c>
      <c r="W20">
        <v>11020912490</v>
      </c>
      <c r="X20">
        <v>11022756782</v>
      </c>
      <c r="Y20">
        <v>11022756782</v>
      </c>
      <c r="Z20">
        <v>11037994016</v>
      </c>
      <c r="AA20">
        <v>11046361118</v>
      </c>
      <c r="AB20">
        <v>11046361118</v>
      </c>
      <c r="AC20">
        <v>11052203103</v>
      </c>
      <c r="AD20">
        <v>11052203103</v>
      </c>
      <c r="AE20">
        <v>11053347072</v>
      </c>
      <c r="AF20">
        <v>11053347072</v>
      </c>
      <c r="AG20">
        <v>11054265852</v>
      </c>
      <c r="AH20">
        <v>11054265852</v>
      </c>
      <c r="AI20">
        <v>11054265852</v>
      </c>
      <c r="AJ20">
        <v>11054265852</v>
      </c>
      <c r="AK20">
        <v>11058914250</v>
      </c>
      <c r="AL20">
        <v>11062151484</v>
      </c>
      <c r="AM20">
        <v>11062151484</v>
      </c>
      <c r="AN20">
        <v>11064221774</v>
      </c>
      <c r="AO20">
        <v>11077435640</v>
      </c>
      <c r="AP20">
        <v>11078421098</v>
      </c>
      <c r="AQ20">
        <v>11079431592</v>
      </c>
      <c r="AR20">
        <v>11087456314</v>
      </c>
      <c r="AS20">
        <v>11086283513</v>
      </c>
      <c r="AT20">
        <v>11086283513</v>
      </c>
      <c r="AU20">
        <v>11086283513</v>
      </c>
      <c r="AV20">
        <v>11086283513</v>
      </c>
      <c r="AW20">
        <v>11086283513</v>
      </c>
      <c r="AX20">
        <v>11089520747</v>
      </c>
      <c r="AY20">
        <v>11089520747</v>
      </c>
      <c r="AZ20">
        <v>11096669739</v>
      </c>
      <c r="BA20">
        <v>11096669739</v>
      </c>
      <c r="BB20">
        <v>11096669739</v>
      </c>
      <c r="BC20">
        <v>11097169739</v>
      </c>
      <c r="BD20">
        <v>11104447747</v>
      </c>
      <c r="BE20">
        <v>11104447747</v>
      </c>
      <c r="BF20">
        <v>11104799547</v>
      </c>
      <c r="BG20">
        <v>11105926063</v>
      </c>
      <c r="BH20">
        <v>11105926063</v>
      </c>
      <c r="BI20">
        <v>11105926063</v>
      </c>
      <c r="BJ20">
        <v>11105926063</v>
      </c>
      <c r="BK20">
        <v>11109163297</v>
      </c>
      <c r="BL20">
        <v>11109163297</v>
      </c>
      <c r="BM20">
        <v>11116426306</v>
      </c>
      <c r="BN20">
        <v>11116426306</v>
      </c>
      <c r="BO20">
        <v>11116426306</v>
      </c>
      <c r="BP20">
        <v>11117709584</v>
      </c>
      <c r="BQ20">
        <v>11214069266</v>
      </c>
      <c r="BR20">
        <v>11214069266</v>
      </c>
      <c r="BS20">
        <v>11215195782</v>
      </c>
      <c r="BT20">
        <v>11215195782</v>
      </c>
      <c r="BU20">
        <v>11215195782</v>
      </c>
      <c r="BV20">
        <v>11221933016</v>
      </c>
      <c r="BW20">
        <v>11221933016</v>
      </c>
      <c r="BX20">
        <v>11229669699</v>
      </c>
      <c r="BY20">
        <v>11229669699</v>
      </c>
      <c r="BZ20">
        <v>11239400012</v>
      </c>
      <c r="CA20">
        <v>11239400012</v>
      </c>
      <c r="CB20">
        <v>11240683290</v>
      </c>
      <c r="CC20">
        <v>11240683290</v>
      </c>
      <c r="CD20">
        <v>11240683290</v>
      </c>
      <c r="CE20">
        <v>11241809806</v>
      </c>
      <c r="CF20">
        <v>11241809806</v>
      </c>
      <c r="CG20">
        <v>11241809806</v>
      </c>
      <c r="CH20">
        <v>11246319597</v>
      </c>
      <c r="CI20">
        <v>11246319597</v>
      </c>
      <c r="CJ20">
        <v>11246319597</v>
      </c>
      <c r="CK20">
        <v>11254529955</v>
      </c>
      <c r="CL20">
        <v>11254529955</v>
      </c>
      <c r="CM20">
        <v>11254529955</v>
      </c>
      <c r="CN20">
        <v>11255813233</v>
      </c>
      <c r="CO20">
        <v>11258477236</v>
      </c>
      <c r="CP20">
        <v>12996763879</v>
      </c>
      <c r="CQ20">
        <v>12996763879</v>
      </c>
      <c r="CR20">
        <v>12996763879</v>
      </c>
      <c r="CS20">
        <v>12996763879</v>
      </c>
      <c r="CT20">
        <v>13001273670</v>
      </c>
      <c r="EB20">
        <v>411301474.30000001</v>
      </c>
      <c r="EC20">
        <v>2563280255.7600002</v>
      </c>
      <c r="ED20">
        <v>5458490329.5500002</v>
      </c>
      <c r="EE20">
        <v>7924566664.1400003</v>
      </c>
      <c r="EF20">
        <v>9066272397.6700001</v>
      </c>
      <c r="EG20">
        <v>10567342095.41</v>
      </c>
      <c r="EH20">
        <v>12257002888.719999</v>
      </c>
      <c r="EI20">
        <v>11735251306.209999</v>
      </c>
      <c r="EJ20">
        <v>11739420946.9</v>
      </c>
      <c r="EK20">
        <v>11735145343.91</v>
      </c>
      <c r="EL20">
        <v>11682056081.91</v>
      </c>
      <c r="EM20">
        <v>11682056081.91</v>
      </c>
      <c r="EN20">
        <v>11681399901.75</v>
      </c>
      <c r="EO20">
        <v>11682454575.75</v>
      </c>
      <c r="EP20">
        <v>11685427947.75</v>
      </c>
      <c r="EQ20">
        <v>11685427947.75</v>
      </c>
      <c r="ER20">
        <v>11685427947.75</v>
      </c>
      <c r="ES20">
        <v>11083050663.799999</v>
      </c>
      <c r="ET20">
        <v>11679456603.449999</v>
      </c>
      <c r="EU20">
        <v>11674557956.65</v>
      </c>
      <c r="EV20">
        <v>11672885558.65</v>
      </c>
      <c r="EW20">
        <v>11672885558.65</v>
      </c>
      <c r="EX20">
        <v>11678727543.65</v>
      </c>
      <c r="EY20">
        <v>11738964543.65</v>
      </c>
      <c r="EZ20">
        <v>11740108512.65</v>
      </c>
      <c r="FA20">
        <v>11739258235.43</v>
      </c>
      <c r="FB20">
        <v>11749498431.9</v>
      </c>
      <c r="FC20">
        <v>11749498431.9</v>
      </c>
      <c r="FD20">
        <v>11749498431.9</v>
      </c>
      <c r="FE20">
        <v>11749498431.9</v>
      </c>
      <c r="FF20">
        <v>11749486113.639999</v>
      </c>
      <c r="FG20">
        <v>11752723347.639999</v>
      </c>
      <c r="FH20">
        <v>11752723347.639999</v>
      </c>
      <c r="FI20">
        <v>11874921753.779999</v>
      </c>
      <c r="FJ20">
        <v>11881219133.529999</v>
      </c>
      <c r="FK20">
        <v>11881709993.309999</v>
      </c>
      <c r="FL20">
        <v>11286593352.639999</v>
      </c>
      <c r="FM20">
        <v>11287701588.389999</v>
      </c>
      <c r="FN20">
        <v>11285540717.93</v>
      </c>
      <c r="FO20">
        <v>11281876338.620001</v>
      </c>
      <c r="FP20">
        <v>11181404965.380001</v>
      </c>
      <c r="FQ20">
        <v>11181404965.380001</v>
      </c>
      <c r="FR20">
        <v>11121242965.380001</v>
      </c>
      <c r="FS20">
        <v>11124480199.380001</v>
      </c>
      <c r="FT20">
        <v>11124480199.380001</v>
      </c>
      <c r="FU20">
        <v>11131268562.300001</v>
      </c>
      <c r="FV20">
        <v>11131268562.300001</v>
      </c>
      <c r="FW20">
        <v>11131268562.300001</v>
      </c>
      <c r="FX20">
        <v>11131267212.300001</v>
      </c>
      <c r="FY20">
        <v>11134566248.000002</v>
      </c>
      <c r="FZ20">
        <v>11134566248.000002</v>
      </c>
      <c r="GA20">
        <v>11875678404.340002</v>
      </c>
      <c r="GB20">
        <v>11876804920.340002</v>
      </c>
      <c r="GC20">
        <v>11876804920.340002</v>
      </c>
      <c r="GD20">
        <v>11876804920.340002</v>
      </c>
      <c r="GE20">
        <v>11876804920.340002</v>
      </c>
      <c r="GF20">
        <v>11880042154.340002</v>
      </c>
      <c r="GG20">
        <v>11880042154.340002</v>
      </c>
      <c r="GH20">
        <v>11887305163.340002</v>
      </c>
      <c r="GI20">
        <v>11887305163.340002</v>
      </c>
      <c r="GJ20">
        <v>11887305163.340002</v>
      </c>
      <c r="GK20">
        <v>11888588441.340002</v>
      </c>
      <c r="GL20">
        <v>11984948123.340002</v>
      </c>
      <c r="GM20">
        <v>11984948123.340002</v>
      </c>
      <c r="GN20">
        <v>11986259321.560001</v>
      </c>
      <c r="GO20">
        <v>11986259321.560001</v>
      </c>
      <c r="GP20">
        <v>11986259321.560001</v>
      </c>
      <c r="GQ20">
        <v>11989486055.560001</v>
      </c>
      <c r="GR20">
        <v>11989486055.560001</v>
      </c>
      <c r="GS20">
        <v>11997222738.560001</v>
      </c>
      <c r="GT20">
        <v>11997222738.560001</v>
      </c>
      <c r="GU20">
        <v>12006953051.560001</v>
      </c>
      <c r="GV20">
        <v>12006953051.560001</v>
      </c>
      <c r="GW20">
        <v>12008236329.560001</v>
      </c>
      <c r="GX20">
        <v>12008236329.560001</v>
      </c>
      <c r="GY20">
        <v>12008236329.560001</v>
      </c>
      <c r="GZ20">
        <v>12009877505.750002</v>
      </c>
      <c r="HA20">
        <v>12009877505.750002</v>
      </c>
      <c r="HB20">
        <v>12009877505.750002</v>
      </c>
      <c r="HC20">
        <v>12014387296.750002</v>
      </c>
      <c r="HD20">
        <v>12014387296.750002</v>
      </c>
      <c r="HE20">
        <v>12014387296.750002</v>
      </c>
      <c r="HF20">
        <v>12022597654.750002</v>
      </c>
      <c r="HG20">
        <v>12347132503.190002</v>
      </c>
      <c r="HH20">
        <v>12347132503.190002</v>
      </c>
      <c r="HI20">
        <v>12348415781.190002</v>
      </c>
      <c r="HJ20">
        <v>12984414483.190002</v>
      </c>
      <c r="HK20">
        <v>13026882379.000002</v>
      </c>
      <c r="HL20">
        <v>13026882379.000002</v>
      </c>
      <c r="HM20">
        <v>13026882379.000002</v>
      </c>
      <c r="HN20">
        <v>13026882379.000002</v>
      </c>
      <c r="HO20">
        <v>13031392170.000002</v>
      </c>
    </row>
    <row r="21" spans="6:232" x14ac:dyDescent="0.2">
      <c r="F21">
        <v>201703</v>
      </c>
      <c r="G21">
        <v>965266901</v>
      </c>
      <c r="H21">
        <v>2903030644</v>
      </c>
      <c r="I21">
        <v>6104823385</v>
      </c>
      <c r="J21">
        <v>8230168053</v>
      </c>
      <c r="K21">
        <v>9311097779</v>
      </c>
      <c r="L21">
        <v>9546023131</v>
      </c>
      <c r="M21">
        <v>9961436071</v>
      </c>
      <c r="N21">
        <v>10001743954</v>
      </c>
      <c r="O21">
        <v>10003062526</v>
      </c>
      <c r="P21">
        <v>10284828305</v>
      </c>
      <c r="Q21">
        <v>10831611623</v>
      </c>
      <c r="R21">
        <v>10834245273</v>
      </c>
      <c r="S21">
        <v>10861290025</v>
      </c>
      <c r="T21">
        <v>10861290025</v>
      </c>
      <c r="U21">
        <v>10906176995</v>
      </c>
      <c r="V21">
        <v>10961830146</v>
      </c>
      <c r="W21">
        <v>10962878788</v>
      </c>
      <c r="X21">
        <v>10962878788</v>
      </c>
      <c r="Y21">
        <v>10962878788</v>
      </c>
      <c r="Z21">
        <v>10983499810</v>
      </c>
      <c r="AA21">
        <v>11046184021</v>
      </c>
      <c r="AB21">
        <v>11046184021</v>
      </c>
      <c r="AC21">
        <v>11046184021</v>
      </c>
      <c r="AD21">
        <v>11046184021</v>
      </c>
      <c r="AE21">
        <v>11047435628</v>
      </c>
      <c r="AF21">
        <v>11047435628</v>
      </c>
      <c r="AG21">
        <v>11047947240</v>
      </c>
      <c r="AH21">
        <v>11048023290</v>
      </c>
      <c r="AI21">
        <v>11048165390</v>
      </c>
      <c r="AJ21">
        <v>11048165390</v>
      </c>
      <c r="AK21">
        <v>11050137278</v>
      </c>
      <c r="AL21">
        <v>11050137278</v>
      </c>
      <c r="AM21">
        <v>11050137278</v>
      </c>
      <c r="AN21">
        <v>11050137278</v>
      </c>
      <c r="AO21">
        <v>11050137278</v>
      </c>
      <c r="AP21">
        <v>11050137278</v>
      </c>
      <c r="AQ21">
        <v>11087575820</v>
      </c>
      <c r="AR21">
        <v>11087575820</v>
      </c>
      <c r="AS21">
        <v>11089029707</v>
      </c>
      <c r="AT21">
        <v>11089029707</v>
      </c>
      <c r="AU21">
        <v>11089029707</v>
      </c>
      <c r="AV21">
        <v>11089486972</v>
      </c>
      <c r="AW21">
        <v>11089486972</v>
      </c>
      <c r="AX21">
        <v>11091600960</v>
      </c>
      <c r="AY21">
        <v>11091600960</v>
      </c>
      <c r="AZ21">
        <v>11091600960</v>
      </c>
      <c r="BA21">
        <v>11091600960</v>
      </c>
      <c r="BB21">
        <v>11091600960</v>
      </c>
      <c r="BC21">
        <v>11091600960</v>
      </c>
      <c r="BD21">
        <v>11091600960</v>
      </c>
      <c r="BE21">
        <v>11093674514</v>
      </c>
      <c r="BF21">
        <v>11093674514</v>
      </c>
      <c r="BG21">
        <v>11093674514</v>
      </c>
      <c r="BH21">
        <v>11093674514</v>
      </c>
      <c r="BI21">
        <v>11093674514</v>
      </c>
      <c r="BJ21">
        <v>11095788502</v>
      </c>
      <c r="BK21">
        <v>11095788502</v>
      </c>
      <c r="BL21">
        <v>11095788502</v>
      </c>
      <c r="BM21">
        <v>11095788502</v>
      </c>
      <c r="BN21">
        <v>11095788502</v>
      </c>
      <c r="BO21">
        <v>11095788502</v>
      </c>
      <c r="BP21">
        <v>11095788502</v>
      </c>
      <c r="BQ21">
        <v>11097870636</v>
      </c>
      <c r="BR21">
        <v>11097870636</v>
      </c>
      <c r="BS21">
        <v>11097870636</v>
      </c>
      <c r="BT21">
        <v>11097870636</v>
      </c>
      <c r="BU21">
        <v>11097870636</v>
      </c>
      <c r="BV21">
        <v>11099984624</v>
      </c>
      <c r="BW21">
        <v>11099984624</v>
      </c>
      <c r="BX21">
        <v>11099984624</v>
      </c>
      <c r="BY21">
        <v>11099984624</v>
      </c>
      <c r="BZ21">
        <v>11105877229</v>
      </c>
      <c r="CA21">
        <v>11105877229</v>
      </c>
      <c r="CB21">
        <v>11105877229</v>
      </c>
      <c r="CC21">
        <v>11107739923</v>
      </c>
      <c r="CD21">
        <v>11107739923</v>
      </c>
      <c r="CE21">
        <v>11107967813</v>
      </c>
      <c r="CF21">
        <v>11107967813</v>
      </c>
      <c r="CG21">
        <v>11107967813</v>
      </c>
      <c r="CH21">
        <v>11111478320</v>
      </c>
      <c r="CI21">
        <v>11111699920</v>
      </c>
      <c r="CJ21">
        <v>11111699920</v>
      </c>
      <c r="CK21">
        <v>11111699920</v>
      </c>
      <c r="CL21">
        <v>11111699920</v>
      </c>
      <c r="CM21">
        <v>11111699920</v>
      </c>
      <c r="CN21">
        <v>11113562614</v>
      </c>
      <c r="CO21">
        <v>11114274104</v>
      </c>
      <c r="CP21">
        <v>11114274104</v>
      </c>
      <c r="CQ21">
        <v>11114274104</v>
      </c>
      <c r="EB21">
        <v>3422019874.0799999</v>
      </c>
      <c r="EC21">
        <v>5531076119.5799999</v>
      </c>
      <c r="ED21">
        <v>9484442551.1300011</v>
      </c>
      <c r="EE21">
        <v>10720223009.1</v>
      </c>
      <c r="EF21">
        <v>10971269833.690001</v>
      </c>
      <c r="EG21">
        <v>11217131644.74</v>
      </c>
      <c r="EH21">
        <v>11220801019.610001</v>
      </c>
      <c r="EI21">
        <v>11229297416.630001</v>
      </c>
      <c r="EJ21">
        <v>10929430988.630001</v>
      </c>
      <c r="EK21">
        <v>10947261977.050001</v>
      </c>
      <c r="EL21">
        <v>10945102182.940001</v>
      </c>
      <c r="EM21">
        <v>10972231083.49</v>
      </c>
      <c r="EN21">
        <v>10906168316.789999</v>
      </c>
      <c r="EO21">
        <v>11018732909.549999</v>
      </c>
      <c r="EP21">
        <v>11018741587.759998</v>
      </c>
      <c r="EQ21">
        <v>11024761959.629999</v>
      </c>
      <c r="ER21">
        <v>11025810601.629999</v>
      </c>
      <c r="ES21">
        <v>11027677302.089998</v>
      </c>
      <c r="ET21">
        <v>11027677302.089998</v>
      </c>
      <c r="EU21">
        <v>11046431623.629999</v>
      </c>
      <c r="EV21">
        <v>11046184021</v>
      </c>
      <c r="EW21">
        <v>11046184021</v>
      </c>
      <c r="EX21">
        <v>11046184021</v>
      </c>
      <c r="EY21">
        <v>11046184021</v>
      </c>
      <c r="EZ21">
        <v>11047435628</v>
      </c>
      <c r="FA21">
        <v>11047435628</v>
      </c>
      <c r="FB21">
        <v>11047947240</v>
      </c>
      <c r="FC21">
        <v>11048023290</v>
      </c>
      <c r="FD21">
        <v>11048165390</v>
      </c>
      <c r="FE21">
        <v>11048165390</v>
      </c>
      <c r="FF21">
        <v>11050137278</v>
      </c>
      <c r="FG21">
        <v>11050137278</v>
      </c>
      <c r="FH21">
        <v>11050137278</v>
      </c>
      <c r="FI21">
        <v>11050137278</v>
      </c>
      <c r="FJ21">
        <v>11050137278</v>
      </c>
      <c r="FK21">
        <v>11087675032.139999</v>
      </c>
      <c r="FL21">
        <v>11087575820</v>
      </c>
      <c r="FM21">
        <v>11087575820</v>
      </c>
      <c r="FN21">
        <v>11089029707</v>
      </c>
      <c r="FO21">
        <v>11089029707</v>
      </c>
      <c r="FP21">
        <v>11089029707</v>
      </c>
      <c r="FQ21">
        <v>11089486972</v>
      </c>
      <c r="FR21">
        <v>11089486972</v>
      </c>
      <c r="FS21">
        <v>11091600960</v>
      </c>
      <c r="FT21">
        <v>11091600960</v>
      </c>
      <c r="FU21">
        <v>11091600960</v>
      </c>
      <c r="FV21">
        <v>11091600960</v>
      </c>
      <c r="FW21">
        <v>11091600960</v>
      </c>
      <c r="FX21">
        <v>11091600960</v>
      </c>
      <c r="FY21">
        <v>11091600960</v>
      </c>
      <c r="FZ21">
        <v>11093674514</v>
      </c>
      <c r="GA21">
        <v>11093674514</v>
      </c>
      <c r="GB21">
        <v>11093674514</v>
      </c>
      <c r="GC21">
        <v>11093674514</v>
      </c>
      <c r="GD21">
        <v>11093674514</v>
      </c>
      <c r="GE21">
        <v>11095788502</v>
      </c>
      <c r="GF21">
        <v>11095788502</v>
      </c>
      <c r="GG21">
        <v>11095788502</v>
      </c>
      <c r="GH21">
        <v>11095788502</v>
      </c>
      <c r="GI21">
        <v>11095788502</v>
      </c>
      <c r="GJ21">
        <v>11095788502</v>
      </c>
      <c r="GK21">
        <v>11095788502</v>
      </c>
      <c r="GL21">
        <v>11097870636</v>
      </c>
      <c r="GM21">
        <v>11097870636</v>
      </c>
      <c r="GN21">
        <v>11097870636</v>
      </c>
      <c r="GO21">
        <v>11097870636</v>
      </c>
      <c r="GP21">
        <v>11097870636</v>
      </c>
      <c r="GQ21">
        <v>11099984624</v>
      </c>
      <c r="GR21">
        <v>11099984624</v>
      </c>
      <c r="GS21">
        <v>11099984624</v>
      </c>
      <c r="GT21">
        <v>11099984624</v>
      </c>
      <c r="GU21">
        <v>11105877229</v>
      </c>
      <c r="GV21">
        <v>11105877229</v>
      </c>
      <c r="GW21">
        <v>11105877229</v>
      </c>
      <c r="GX21">
        <v>11107739923</v>
      </c>
      <c r="GY21">
        <v>11107739923</v>
      </c>
      <c r="GZ21">
        <v>11107967813</v>
      </c>
      <c r="HA21">
        <v>11107967813</v>
      </c>
      <c r="HB21">
        <v>11107967813</v>
      </c>
      <c r="HC21">
        <v>11111478320</v>
      </c>
      <c r="HD21">
        <v>11111699920</v>
      </c>
      <c r="HE21">
        <v>11111699920</v>
      </c>
      <c r="HF21">
        <v>11111699920</v>
      </c>
      <c r="HG21">
        <v>11111699920</v>
      </c>
      <c r="HH21">
        <v>11111699920</v>
      </c>
      <c r="HI21">
        <v>11113562614</v>
      </c>
      <c r="HJ21">
        <v>11114274104</v>
      </c>
      <c r="HK21">
        <v>11114274104</v>
      </c>
      <c r="HL21">
        <v>11114274104</v>
      </c>
    </row>
    <row r="22" spans="6:232" x14ac:dyDescent="0.2">
      <c r="F22">
        <v>201706</v>
      </c>
      <c r="G22">
        <v>187593376</v>
      </c>
      <c r="H22">
        <v>3351501136</v>
      </c>
      <c r="I22">
        <v>6217454757</v>
      </c>
      <c r="J22">
        <v>9151519094</v>
      </c>
      <c r="K22">
        <v>10095227870</v>
      </c>
      <c r="L22">
        <v>10170621949</v>
      </c>
      <c r="M22">
        <v>10529376157</v>
      </c>
      <c r="N22">
        <v>10631107689</v>
      </c>
      <c r="O22">
        <v>10631107689</v>
      </c>
      <c r="P22">
        <v>10679937138</v>
      </c>
      <c r="Q22">
        <v>10715836842</v>
      </c>
      <c r="R22">
        <v>10743206556</v>
      </c>
      <c r="S22">
        <v>10738079062</v>
      </c>
      <c r="T22">
        <v>10738185182</v>
      </c>
      <c r="U22">
        <v>10759308586</v>
      </c>
      <c r="V22">
        <v>10812563249</v>
      </c>
      <c r="W22">
        <v>10812563249</v>
      </c>
      <c r="X22">
        <v>10817433453</v>
      </c>
      <c r="Y22">
        <v>10841470411</v>
      </c>
      <c r="Z22">
        <v>10841470411</v>
      </c>
      <c r="AA22">
        <v>10844010596</v>
      </c>
      <c r="AB22">
        <v>10844666343</v>
      </c>
      <c r="AC22">
        <v>10853744611</v>
      </c>
      <c r="AD22">
        <v>10854045456</v>
      </c>
      <c r="AE22">
        <v>10855141003</v>
      </c>
      <c r="AF22">
        <v>10867378120</v>
      </c>
      <c r="AG22">
        <v>10905492763</v>
      </c>
      <c r="AH22">
        <v>10905492763</v>
      </c>
      <c r="AI22">
        <v>10905492763</v>
      </c>
      <c r="AJ22">
        <v>10905492763</v>
      </c>
      <c r="AK22">
        <v>10905875907.17</v>
      </c>
      <c r="AL22">
        <v>10920109487.17</v>
      </c>
      <c r="AM22">
        <v>10924022913.17</v>
      </c>
      <c r="AN22">
        <v>10924653923.17</v>
      </c>
      <c r="AO22">
        <v>10932128723.17</v>
      </c>
      <c r="AP22">
        <v>10932128723.17</v>
      </c>
      <c r="AQ22">
        <v>10932753338.17</v>
      </c>
      <c r="AR22">
        <v>10933639629.17</v>
      </c>
      <c r="AS22">
        <v>10983750018.17</v>
      </c>
      <c r="AT22">
        <v>10983750018.17</v>
      </c>
      <c r="AU22">
        <v>10983750018.17</v>
      </c>
      <c r="AV22">
        <v>10983750018.17</v>
      </c>
      <c r="AW22">
        <v>10986071310.17</v>
      </c>
      <c r="AX22">
        <v>10983750018.17</v>
      </c>
      <c r="AY22">
        <v>11000753258.17</v>
      </c>
      <c r="AZ22">
        <v>11000867772.17</v>
      </c>
      <c r="BA22">
        <v>11000867772.17</v>
      </c>
      <c r="BB22">
        <v>11003189064.17</v>
      </c>
      <c r="BC22">
        <v>11004585456.17</v>
      </c>
      <c r="BD22">
        <v>11012060256.17</v>
      </c>
      <c r="BE22">
        <v>11069912669.17</v>
      </c>
      <c r="BF22">
        <v>11069912669.17</v>
      </c>
      <c r="BG22">
        <v>11069912669.17</v>
      </c>
      <c r="BH22">
        <v>11069912669.17</v>
      </c>
      <c r="BI22">
        <v>11082532871.17</v>
      </c>
      <c r="BJ22">
        <v>11087385520.17</v>
      </c>
      <c r="BK22">
        <v>11087385520.17</v>
      </c>
      <c r="BL22">
        <v>11089785740.17</v>
      </c>
      <c r="BM22">
        <v>11089900254.17</v>
      </c>
      <c r="BN22">
        <v>11090719121.17</v>
      </c>
      <c r="BO22">
        <v>11091605412.17</v>
      </c>
      <c r="BP22">
        <v>11118817982.17</v>
      </c>
      <c r="BQ22">
        <v>11156932625.17</v>
      </c>
      <c r="BR22">
        <v>11183653144.17</v>
      </c>
      <c r="BS22">
        <v>11183653144.17</v>
      </c>
      <c r="BT22">
        <v>11183653144.17</v>
      </c>
      <c r="BU22">
        <v>11196273346.17</v>
      </c>
      <c r="BV22">
        <v>11198752494.17</v>
      </c>
      <c r="BW22">
        <v>11219378517.17</v>
      </c>
      <c r="BX22">
        <v>11219378517.17</v>
      </c>
      <c r="BY22">
        <v>11227021023.17</v>
      </c>
      <c r="BZ22">
        <v>11227021023.17</v>
      </c>
      <c r="CA22">
        <v>11228726181.17</v>
      </c>
      <c r="CB22">
        <v>11248463951.17</v>
      </c>
      <c r="CC22">
        <v>11309088321.17</v>
      </c>
      <c r="CD22">
        <v>11309088321.17</v>
      </c>
      <c r="CE22">
        <v>11309088321.17</v>
      </c>
      <c r="CF22">
        <v>11309088321.17</v>
      </c>
      <c r="CG22">
        <v>11344414839.17</v>
      </c>
      <c r="CH22">
        <v>11344414839.17</v>
      </c>
      <c r="CI22">
        <v>11350206710.17</v>
      </c>
      <c r="CJ22">
        <v>11352764786.17</v>
      </c>
      <c r="CK22">
        <v>11360239586.17</v>
      </c>
      <c r="CL22">
        <v>11361226159.17</v>
      </c>
      <c r="CM22">
        <v>11362393308.17</v>
      </c>
      <c r="CN22">
        <v>11382131078.17</v>
      </c>
      <c r="EB22">
        <v>2460712266.4900002</v>
      </c>
      <c r="EC22">
        <v>5961595283.1300001</v>
      </c>
      <c r="ED22">
        <v>9944252317.1599998</v>
      </c>
      <c r="EE22">
        <v>10850755735.109999</v>
      </c>
      <c r="EF22">
        <v>11046486235.999998</v>
      </c>
      <c r="EG22">
        <v>10710261778.989998</v>
      </c>
      <c r="EH22">
        <v>10713957022.449997</v>
      </c>
      <c r="EI22">
        <v>10715649956.699997</v>
      </c>
      <c r="EJ22">
        <v>10715850746.699997</v>
      </c>
      <c r="EK22">
        <v>10697207029.299997</v>
      </c>
      <c r="EL22">
        <v>10733106733.299997</v>
      </c>
      <c r="EM22">
        <v>10745795453.529997</v>
      </c>
      <c r="EN22">
        <v>10740667959.529997</v>
      </c>
      <c r="EO22">
        <v>10740774079.529997</v>
      </c>
      <c r="EP22">
        <v>10763764183.989996</v>
      </c>
      <c r="EQ22">
        <v>10814530344.879995</v>
      </c>
      <c r="ER22">
        <v>10815380076.119995</v>
      </c>
      <c r="ES22">
        <v>10817533848.419994</v>
      </c>
      <c r="ET22">
        <v>10841570806.419994</v>
      </c>
      <c r="EU22">
        <v>10841570676.419994</v>
      </c>
      <c r="EV22">
        <v>10844110861.419994</v>
      </c>
      <c r="EW22">
        <v>10845677477.839994</v>
      </c>
      <c r="EX22">
        <v>10853844876.419994</v>
      </c>
      <c r="EY22">
        <v>10854145721.419994</v>
      </c>
      <c r="EZ22">
        <v>10855241268.419994</v>
      </c>
      <c r="FA22">
        <v>10867478385.419994</v>
      </c>
      <c r="FB22">
        <v>10905593028.419994</v>
      </c>
      <c r="FC22">
        <v>10905593028.419994</v>
      </c>
      <c r="FD22">
        <v>10905593028.419994</v>
      </c>
      <c r="FE22">
        <v>10905593028.419994</v>
      </c>
      <c r="FF22">
        <v>10905976172.589994</v>
      </c>
      <c r="FG22">
        <v>10920209752.589994</v>
      </c>
      <c r="FH22">
        <v>10924123178.589994</v>
      </c>
      <c r="FI22">
        <v>10924754193.589994</v>
      </c>
      <c r="FJ22">
        <v>10932128723.589994</v>
      </c>
      <c r="FK22">
        <v>10932128723.589994</v>
      </c>
      <c r="FL22">
        <v>10932753338.589994</v>
      </c>
      <c r="FM22">
        <v>10933639629.589994</v>
      </c>
      <c r="FN22">
        <v>10983750018.589994</v>
      </c>
      <c r="FO22">
        <v>10983750018.589994</v>
      </c>
      <c r="FP22">
        <v>10983750018.589994</v>
      </c>
      <c r="FQ22">
        <v>10983750018.589994</v>
      </c>
      <c r="FR22">
        <v>10986071310.589994</v>
      </c>
      <c r="FS22">
        <v>10983750018.589994</v>
      </c>
      <c r="FT22">
        <v>11000753258.589994</v>
      </c>
      <c r="FU22">
        <v>11000867772.589994</v>
      </c>
      <c r="FV22">
        <v>11000867772.589994</v>
      </c>
      <c r="FW22">
        <v>11003189064.589994</v>
      </c>
      <c r="FX22">
        <v>11004585456.589994</v>
      </c>
      <c r="FY22">
        <v>11012060256.589994</v>
      </c>
      <c r="FZ22">
        <v>11069912669.589994</v>
      </c>
      <c r="GA22">
        <v>11120752095.599995</v>
      </c>
      <c r="GB22">
        <v>11069912669.589994</v>
      </c>
      <c r="GC22">
        <v>11069912669.589994</v>
      </c>
      <c r="GD22">
        <v>11082532871.589994</v>
      </c>
      <c r="GE22">
        <v>11087385520.589994</v>
      </c>
      <c r="GF22">
        <v>11087385520.589994</v>
      </c>
      <c r="GG22">
        <v>11089785740.589994</v>
      </c>
      <c r="GH22">
        <v>11089900254.589994</v>
      </c>
      <c r="GI22">
        <v>11090719121.589994</v>
      </c>
      <c r="GJ22">
        <v>11091605412.589994</v>
      </c>
      <c r="GK22">
        <v>11118817982.589994</v>
      </c>
      <c r="GL22">
        <v>11156932625.589994</v>
      </c>
      <c r="GM22">
        <v>11183653144.589994</v>
      </c>
      <c r="GN22">
        <v>11183653144.589994</v>
      </c>
      <c r="GO22">
        <v>11183653144.589994</v>
      </c>
      <c r="GP22">
        <v>11196273346.589994</v>
      </c>
      <c r="GQ22">
        <v>11198752494.589994</v>
      </c>
      <c r="GR22">
        <v>11219378517.589994</v>
      </c>
      <c r="GS22">
        <v>11219378517.589994</v>
      </c>
      <c r="GT22">
        <v>11227021023.589994</v>
      </c>
      <c r="GU22">
        <v>11227021023.589994</v>
      </c>
      <c r="GV22">
        <v>11228726181.589994</v>
      </c>
      <c r="GW22">
        <v>11248463951.589994</v>
      </c>
      <c r="GX22">
        <v>11309088321.589994</v>
      </c>
      <c r="GY22">
        <v>11309088321.589994</v>
      </c>
      <c r="GZ22">
        <v>11309088321.589994</v>
      </c>
      <c r="HA22">
        <v>11309088321.589994</v>
      </c>
      <c r="HB22">
        <v>11344414839.589994</v>
      </c>
      <c r="HC22">
        <v>11344414839.589994</v>
      </c>
      <c r="HD22">
        <v>11350206710.589994</v>
      </c>
      <c r="HE22">
        <v>11352764786.589994</v>
      </c>
      <c r="HF22">
        <v>11360239586.589994</v>
      </c>
      <c r="HG22">
        <v>11361226159.589994</v>
      </c>
      <c r="HH22">
        <v>11362393308.589994</v>
      </c>
      <c r="HI22">
        <v>11382131078.589994</v>
      </c>
    </row>
    <row r="23" spans="6:232" x14ac:dyDescent="0.2">
      <c r="F23">
        <v>201709</v>
      </c>
      <c r="G23">
        <v>0</v>
      </c>
      <c r="H23">
        <v>1633102105</v>
      </c>
      <c r="I23">
        <v>5692943959.3800001</v>
      </c>
      <c r="J23">
        <v>8606975180.3800011</v>
      </c>
      <c r="K23">
        <v>10870556713.380001</v>
      </c>
      <c r="L23">
        <v>10949710855.610001</v>
      </c>
      <c r="M23">
        <v>11210590664.610001</v>
      </c>
      <c r="N23">
        <v>11303829580.610001</v>
      </c>
      <c r="O23">
        <v>11309375654.610001</v>
      </c>
      <c r="P23">
        <v>11325847493.610001</v>
      </c>
      <c r="Q23">
        <v>11325847493.610001</v>
      </c>
      <c r="R23">
        <v>11326333013.610001</v>
      </c>
      <c r="S23">
        <v>11328293006.610001</v>
      </c>
      <c r="T23">
        <v>11475103585.610001</v>
      </c>
      <c r="U23">
        <v>11475591345.610001</v>
      </c>
      <c r="V23">
        <v>11529998833.610001</v>
      </c>
      <c r="W23">
        <v>11529998833.610001</v>
      </c>
      <c r="X23">
        <v>11555157141.610001</v>
      </c>
      <c r="Y23">
        <v>12302823745.610001</v>
      </c>
      <c r="Z23">
        <v>12304065919.610001</v>
      </c>
      <c r="AA23">
        <v>12304065919.610001</v>
      </c>
      <c r="AB23">
        <v>12304065919.610001</v>
      </c>
      <c r="AC23">
        <v>12304862239.610001</v>
      </c>
      <c r="AD23">
        <v>12304862239.610001</v>
      </c>
      <c r="AE23">
        <v>12305211724.610001</v>
      </c>
      <c r="AF23">
        <v>12362874902.610001</v>
      </c>
      <c r="AG23">
        <v>12463174847.610001</v>
      </c>
      <c r="AH23">
        <v>12463174847.610001</v>
      </c>
      <c r="AI23">
        <v>12463174847.610001</v>
      </c>
      <c r="AJ23">
        <v>12488842650.610001</v>
      </c>
      <c r="AK23">
        <v>12488842650.610001</v>
      </c>
      <c r="AL23">
        <v>12488842650.610001</v>
      </c>
      <c r="AM23">
        <v>12488842650.610001</v>
      </c>
      <c r="AN23">
        <v>12496820021.610001</v>
      </c>
      <c r="AO23">
        <v>12497615783.610001</v>
      </c>
      <c r="AP23">
        <v>12497615783.610001</v>
      </c>
      <c r="AQ23">
        <v>12497615783.610001</v>
      </c>
      <c r="AR23">
        <v>12501123441.610001</v>
      </c>
      <c r="AS23">
        <v>12501123441.610001</v>
      </c>
      <c r="AT23">
        <v>12503086174.610001</v>
      </c>
      <c r="AU23">
        <v>12503086174.610001</v>
      </c>
      <c r="AV23">
        <v>12520918482.610001</v>
      </c>
      <c r="AW23">
        <v>12520918482.610001</v>
      </c>
      <c r="AX23">
        <v>12521018482.610001</v>
      </c>
      <c r="AY23">
        <v>12528995853.610001</v>
      </c>
      <c r="AZ23">
        <v>12528995853.610001</v>
      </c>
      <c r="BA23">
        <v>12528995853.610001</v>
      </c>
      <c r="BB23">
        <v>12529792129.610001</v>
      </c>
      <c r="BC23">
        <v>12529792129.610001</v>
      </c>
      <c r="BD23">
        <v>12532455307.610001</v>
      </c>
      <c r="BE23">
        <v>12532804792.610001</v>
      </c>
      <c r="BF23">
        <v>12535262520.610001</v>
      </c>
      <c r="BG23">
        <v>12535262520.610001</v>
      </c>
      <c r="BH23">
        <v>12553094828.610001</v>
      </c>
      <c r="BI23">
        <v>12553094828.610001</v>
      </c>
      <c r="BJ23">
        <v>12553094828.610001</v>
      </c>
      <c r="BK23">
        <v>12561072199.610001</v>
      </c>
      <c r="BL23">
        <v>12561072199.610001</v>
      </c>
      <c r="BM23">
        <v>12561868519.610001</v>
      </c>
      <c r="BN23">
        <v>12561868519.610001</v>
      </c>
      <c r="BO23">
        <v>12564531697.610001</v>
      </c>
      <c r="BP23">
        <v>12797599582.610001</v>
      </c>
      <c r="BQ23">
        <v>12798941656.610001</v>
      </c>
      <c r="BR23">
        <v>12800554904.610001</v>
      </c>
      <c r="BS23">
        <v>12800554904.610001</v>
      </c>
      <c r="BT23">
        <v>12823630087.610001</v>
      </c>
      <c r="BU23">
        <v>12823630087.610001</v>
      </c>
      <c r="BV23">
        <v>12823630087.610001</v>
      </c>
      <c r="BW23">
        <v>12831607458.610001</v>
      </c>
      <c r="BX23">
        <v>12831607458.610001</v>
      </c>
      <c r="BY23">
        <v>12832403778.610001</v>
      </c>
      <c r="BZ23">
        <v>12832403778.610001</v>
      </c>
      <c r="CA23">
        <v>12835564550.610001</v>
      </c>
      <c r="CB23">
        <v>12836409030.610001</v>
      </c>
      <c r="CC23">
        <v>12836409030.610001</v>
      </c>
      <c r="CD23">
        <v>12838022278.610001</v>
      </c>
      <c r="CE23">
        <v>12838022278.610001</v>
      </c>
      <c r="CF23">
        <v>12860016316.610001</v>
      </c>
      <c r="CG23">
        <v>12860016316.610001</v>
      </c>
      <c r="CH23">
        <v>12860016316.610001</v>
      </c>
      <c r="CI23">
        <v>12874989070.610001</v>
      </c>
      <c r="CJ23">
        <v>12874989070.610001</v>
      </c>
      <c r="CK23">
        <v>12874989070.610001</v>
      </c>
      <c r="EB23">
        <v>1120536227.72</v>
      </c>
      <c r="EC23">
        <v>6826209249.5700006</v>
      </c>
      <c r="ED23">
        <v>9639657384.0900002</v>
      </c>
      <c r="EE23">
        <v>11423502490.120001</v>
      </c>
      <c r="EF23">
        <v>11418782871.830002</v>
      </c>
      <c r="EG23">
        <v>11680881800.630001</v>
      </c>
      <c r="EH23">
        <v>11674288205.52</v>
      </c>
      <c r="EI23">
        <v>11673919911.800001</v>
      </c>
      <c r="EJ23">
        <v>11679465985.800001</v>
      </c>
      <c r="EK23">
        <v>11681429402.01</v>
      </c>
      <c r="EL23">
        <v>11680110400.450001</v>
      </c>
      <c r="EM23">
        <v>11680545722.950001</v>
      </c>
      <c r="EN23">
        <v>11582110715.950001</v>
      </c>
      <c r="EO23">
        <v>11677217869.950001</v>
      </c>
      <c r="EP23">
        <v>11697165192.800001</v>
      </c>
      <c r="EQ23">
        <v>11697988857.450001</v>
      </c>
      <c r="ER23">
        <v>11697771329.66</v>
      </c>
      <c r="ES23">
        <v>12462933754.629999</v>
      </c>
      <c r="ET23">
        <v>12470269007.779999</v>
      </c>
      <c r="EU23">
        <v>12471511181.779999</v>
      </c>
      <c r="EV23">
        <v>12471511181.779999</v>
      </c>
      <c r="EW23">
        <v>13173366181.779999</v>
      </c>
      <c r="EX23">
        <v>12472307501.779999</v>
      </c>
      <c r="EY23">
        <v>12472307501.779999</v>
      </c>
      <c r="EZ23">
        <v>12472656986.779999</v>
      </c>
      <c r="FA23">
        <v>12531308234.239998</v>
      </c>
      <c r="FB23">
        <v>12536335297.389997</v>
      </c>
      <c r="FC23">
        <v>12536335297.389997</v>
      </c>
      <c r="FD23">
        <v>12532367724.109997</v>
      </c>
      <c r="FE23">
        <v>12579222401.939997</v>
      </c>
      <c r="FF23">
        <v>12579226908.979998</v>
      </c>
      <c r="FG23">
        <v>12579226908.979998</v>
      </c>
      <c r="FH23">
        <v>12579226908.979998</v>
      </c>
      <c r="FI23">
        <v>12587204279.979998</v>
      </c>
      <c r="FJ23">
        <v>12588000041.979998</v>
      </c>
      <c r="FK23">
        <v>12518803714.979998</v>
      </c>
      <c r="FL23">
        <v>12518803714.979998</v>
      </c>
      <c r="FM23">
        <v>12522311372.979998</v>
      </c>
      <c r="FN23">
        <v>12522311372.979998</v>
      </c>
      <c r="FO23">
        <v>12524374375.979998</v>
      </c>
      <c r="FP23">
        <v>12524374375.979998</v>
      </c>
      <c r="FQ23">
        <v>12560087139.209997</v>
      </c>
      <c r="FR23">
        <v>12542207745.519997</v>
      </c>
      <c r="FS23">
        <v>12542207470.519997</v>
      </c>
      <c r="FT23">
        <v>12550184841.519997</v>
      </c>
      <c r="FU23">
        <v>12550184841.519997</v>
      </c>
      <c r="FV23">
        <v>12550184841.519997</v>
      </c>
      <c r="FW23">
        <v>12550981117.519997</v>
      </c>
      <c r="FX23">
        <v>12550981117.519997</v>
      </c>
      <c r="FY23">
        <v>12553644295.519997</v>
      </c>
      <c r="FZ23">
        <v>12553993780.519997</v>
      </c>
      <c r="GA23">
        <v>12556451508.519997</v>
      </c>
      <c r="GB23">
        <v>12556451508.519997</v>
      </c>
      <c r="GC23">
        <v>12574283816.519997</v>
      </c>
      <c r="GD23">
        <v>12574283816.519997</v>
      </c>
      <c r="GE23">
        <v>12574289099.239996</v>
      </c>
      <c r="GF23">
        <v>12582266470.239996</v>
      </c>
      <c r="GG23">
        <v>12582266470.239996</v>
      </c>
      <c r="GH23">
        <v>12583062790.239996</v>
      </c>
      <c r="GI23">
        <v>12583062790.239996</v>
      </c>
      <c r="GJ23">
        <v>12585725968.239996</v>
      </c>
      <c r="GK23">
        <v>12818793853.239996</v>
      </c>
      <c r="GL23">
        <v>12820135927.239996</v>
      </c>
      <c r="GM23">
        <v>12821749175.239996</v>
      </c>
      <c r="GN23">
        <v>12800554904.609997</v>
      </c>
      <c r="GO23">
        <v>12823630087.609997</v>
      </c>
      <c r="GP23">
        <v>12823630087.609997</v>
      </c>
      <c r="GQ23">
        <v>12823630087.609997</v>
      </c>
      <c r="GR23">
        <v>12831607458.609997</v>
      </c>
      <c r="GS23">
        <v>12831607458.609997</v>
      </c>
      <c r="GT23">
        <v>12832403778.609997</v>
      </c>
      <c r="GU23">
        <v>12832403778.609997</v>
      </c>
      <c r="GV23">
        <v>12835564550.609997</v>
      </c>
      <c r="GW23">
        <v>12836409030.609997</v>
      </c>
      <c r="GX23">
        <v>12836409030.609997</v>
      </c>
      <c r="GY23">
        <v>12838022278.609997</v>
      </c>
      <c r="GZ23">
        <v>12838022278.609997</v>
      </c>
      <c r="HA23">
        <v>12860016316.609997</v>
      </c>
      <c r="HB23">
        <v>12860016316.609997</v>
      </c>
      <c r="HC23">
        <v>12860016316.609997</v>
      </c>
      <c r="HD23">
        <v>12874989070.609997</v>
      </c>
      <c r="HE23">
        <v>12874989070.609997</v>
      </c>
      <c r="HF23">
        <v>12874989070.609997</v>
      </c>
    </row>
    <row r="24" spans="6:232" x14ac:dyDescent="0.2">
      <c r="F24">
        <v>201712</v>
      </c>
      <c r="G24">
        <v>228773868</v>
      </c>
      <c r="H24">
        <v>3237035012</v>
      </c>
      <c r="I24">
        <v>6640829411</v>
      </c>
      <c r="J24">
        <v>9453116546.6399994</v>
      </c>
      <c r="K24">
        <v>10569101251.639999</v>
      </c>
      <c r="L24">
        <v>11628922282.639999</v>
      </c>
      <c r="M24">
        <v>12237568021.639999</v>
      </c>
      <c r="N24">
        <v>12323378256.639999</v>
      </c>
      <c r="O24">
        <v>12323378256.639999</v>
      </c>
      <c r="P24">
        <v>12373378256.639999</v>
      </c>
      <c r="Q24">
        <v>12372877910.639999</v>
      </c>
      <c r="R24">
        <v>12372877910.639999</v>
      </c>
      <c r="S24">
        <v>12448777911.639999</v>
      </c>
      <c r="T24">
        <v>12448777911.639999</v>
      </c>
      <c r="U24">
        <v>12456300761.639999</v>
      </c>
      <c r="V24">
        <v>12457140932.639999</v>
      </c>
      <c r="W24">
        <v>12457140932.639999</v>
      </c>
      <c r="X24">
        <v>12457140932.639999</v>
      </c>
      <c r="Y24">
        <v>12457140932.639999</v>
      </c>
      <c r="Z24">
        <v>12463361901.639999</v>
      </c>
      <c r="AA24">
        <v>12470260107.639999</v>
      </c>
      <c r="AB24">
        <v>12470260107.639999</v>
      </c>
      <c r="AC24">
        <v>12470260107.639999</v>
      </c>
      <c r="AD24">
        <v>12470260107.639999</v>
      </c>
      <c r="AE24">
        <v>12470260107.639999</v>
      </c>
      <c r="AF24">
        <v>12780803775.639999</v>
      </c>
      <c r="AG24">
        <v>12780294484.639999</v>
      </c>
      <c r="AH24">
        <v>12782205174.639999</v>
      </c>
      <c r="AI24">
        <v>12783249759.639999</v>
      </c>
      <c r="AJ24">
        <v>12788861919.639999</v>
      </c>
      <c r="AK24">
        <v>12790553056.639999</v>
      </c>
      <c r="AL24">
        <v>12790553056.639999</v>
      </c>
      <c r="AM24">
        <v>12794209104.639999</v>
      </c>
      <c r="AN24">
        <v>12805919453.639999</v>
      </c>
      <c r="AO24">
        <v>12805919453.639999</v>
      </c>
      <c r="AP24">
        <v>12805919453.639999</v>
      </c>
      <c r="AQ24">
        <v>12805919453.639999</v>
      </c>
      <c r="AR24">
        <v>12806640953.639999</v>
      </c>
      <c r="AS24">
        <v>12810180615.639999</v>
      </c>
      <c r="AT24">
        <v>12810180615.639999</v>
      </c>
      <c r="AU24">
        <v>12814200870.639999</v>
      </c>
      <c r="AV24">
        <v>12814200870.639999</v>
      </c>
      <c r="AW24">
        <v>12815041041.639999</v>
      </c>
      <c r="AX24">
        <v>12832545806.639999</v>
      </c>
      <c r="AY24">
        <v>12832545806.639999</v>
      </c>
      <c r="AZ24">
        <v>12840551342.639999</v>
      </c>
      <c r="BA24">
        <v>12841592668.639999</v>
      </c>
      <c r="BB24">
        <v>12841592668.639999</v>
      </c>
      <c r="BC24">
        <v>12841592668.639999</v>
      </c>
      <c r="BD24">
        <v>12842314168.639999</v>
      </c>
      <c r="BE24">
        <v>12964661412.639999</v>
      </c>
      <c r="BF24">
        <v>12964661412.639999</v>
      </c>
      <c r="BG24">
        <v>12964661412.639999</v>
      </c>
      <c r="BH24">
        <v>12970273572.639999</v>
      </c>
      <c r="BI24">
        <v>12974195571.639999</v>
      </c>
      <c r="BJ24">
        <v>12982201107.639999</v>
      </c>
      <c r="BK24">
        <v>12982201107.639999</v>
      </c>
      <c r="BL24">
        <v>12982201107.639999</v>
      </c>
      <c r="BM24">
        <v>12982201107.639999</v>
      </c>
      <c r="BN24">
        <v>12982201107.639999</v>
      </c>
      <c r="BO24">
        <v>12982201107.639999</v>
      </c>
      <c r="BP24">
        <v>12984112607.639999</v>
      </c>
      <c r="BQ24">
        <v>12985159314.639999</v>
      </c>
      <c r="BR24">
        <v>12992935826.639999</v>
      </c>
      <c r="BS24">
        <v>12992935826.639999</v>
      </c>
      <c r="BT24">
        <v>12996017654.639999</v>
      </c>
      <c r="BU24">
        <v>12997099737.639999</v>
      </c>
      <c r="BV24">
        <v>12997099737.639999</v>
      </c>
      <c r="BW24">
        <v>12998978901.639999</v>
      </c>
      <c r="BX24">
        <v>13006984437.639999</v>
      </c>
      <c r="BY24">
        <v>13006984437.639999</v>
      </c>
      <c r="BZ24">
        <v>13006984437.639999</v>
      </c>
      <c r="CA24">
        <v>13007297631.639999</v>
      </c>
      <c r="CB24">
        <v>13009119978.639999</v>
      </c>
      <c r="CC24">
        <v>13009119978.639999</v>
      </c>
      <c r="CD24">
        <v>13016896490.639999</v>
      </c>
      <c r="CE24">
        <v>13016896490.639999</v>
      </c>
      <c r="CF24">
        <v>13019978318.639999</v>
      </c>
      <c r="CG24">
        <v>13021060401.639999</v>
      </c>
      <c r="CH24">
        <v>13029065937.639999</v>
      </c>
      <c r="EB24">
        <v>2136126626.01</v>
      </c>
      <c r="EC24">
        <v>6760882001.3200006</v>
      </c>
      <c r="ED24">
        <v>8612110951.9899998</v>
      </c>
      <c r="EE24">
        <v>11747785988.02</v>
      </c>
      <c r="EF24">
        <v>12473403388.950001</v>
      </c>
      <c r="EG24">
        <v>12471254916.550001</v>
      </c>
      <c r="EH24">
        <v>12472222507.860001</v>
      </c>
      <c r="EI24">
        <v>12507333267.860001</v>
      </c>
      <c r="EJ24">
        <v>12487254267.860001</v>
      </c>
      <c r="EK24">
        <v>12487056767.860001</v>
      </c>
      <c r="EL24">
        <v>12486556421.860001</v>
      </c>
      <c r="EM24">
        <v>12486556421.860001</v>
      </c>
      <c r="EN24">
        <v>12562456422.860001</v>
      </c>
      <c r="EO24">
        <v>12562309221.970001</v>
      </c>
      <c r="EP24">
        <v>12569832071.970001</v>
      </c>
      <c r="EQ24">
        <v>12570672242.970001</v>
      </c>
      <c r="ER24">
        <v>12570672242.970001</v>
      </c>
      <c r="ES24">
        <v>12570672242.970001</v>
      </c>
      <c r="ET24">
        <v>12570672242.970001</v>
      </c>
      <c r="EU24">
        <v>12477194875.130001</v>
      </c>
      <c r="EV24">
        <v>12477176594.890001</v>
      </c>
      <c r="EW24">
        <v>12477176594.890001</v>
      </c>
      <c r="EX24">
        <v>12477176594.890001</v>
      </c>
      <c r="EY24">
        <v>12784017574.390001</v>
      </c>
      <c r="EZ24">
        <v>12784017574.390001</v>
      </c>
      <c r="FA24">
        <v>12787720262.890001</v>
      </c>
      <c r="FB24">
        <v>12786222902.420002</v>
      </c>
      <c r="FC24">
        <v>12788133888.060001</v>
      </c>
      <c r="FD24">
        <v>12789178473.060001</v>
      </c>
      <c r="FE24">
        <v>12794790633.060001</v>
      </c>
      <c r="FF24">
        <v>12796170933.060001</v>
      </c>
      <c r="FG24">
        <v>12822365945.150002</v>
      </c>
      <c r="FH24">
        <v>12826021993.150002</v>
      </c>
      <c r="FI24">
        <v>12832114465.730001</v>
      </c>
      <c r="FJ24">
        <v>12832114465.730001</v>
      </c>
      <c r="FK24">
        <v>12832114465.730001</v>
      </c>
      <c r="FL24">
        <v>12832114465.730001</v>
      </c>
      <c r="FM24">
        <v>12847876465.730001</v>
      </c>
      <c r="FN24">
        <v>12847750207.400002</v>
      </c>
      <c r="FO24">
        <v>12847752080.820002</v>
      </c>
      <c r="FP24">
        <v>12851772335.820002</v>
      </c>
      <c r="FQ24">
        <v>12851772335.820002</v>
      </c>
      <c r="FR24">
        <v>12946953742.720001</v>
      </c>
      <c r="FS24">
        <v>12952533198.060001</v>
      </c>
      <c r="FT24">
        <v>12952533198.060001</v>
      </c>
      <c r="FU24">
        <v>12960538734.060001</v>
      </c>
      <c r="FV24">
        <v>12919285690.510002</v>
      </c>
      <c r="FW24">
        <v>12919285690.510002</v>
      </c>
      <c r="FX24">
        <v>12919285690.510002</v>
      </c>
      <c r="FY24">
        <v>12920007190.510002</v>
      </c>
      <c r="FZ24">
        <v>13042354434.510002</v>
      </c>
      <c r="GA24">
        <v>13042354434.510002</v>
      </c>
      <c r="GB24">
        <v>13042373804.490002</v>
      </c>
      <c r="GC24">
        <v>13047985964.490002</v>
      </c>
      <c r="GD24">
        <v>13051907963.490002</v>
      </c>
      <c r="GE24">
        <v>13059913499.490002</v>
      </c>
      <c r="GF24">
        <v>13059913499.490002</v>
      </c>
      <c r="GG24">
        <v>13059913499.490002</v>
      </c>
      <c r="GH24">
        <v>13059913499.490002</v>
      </c>
      <c r="GI24">
        <v>13059913499.490002</v>
      </c>
      <c r="GJ24">
        <v>13059913499.490002</v>
      </c>
      <c r="GK24">
        <v>13060631429.490002</v>
      </c>
      <c r="GL24">
        <v>13061678136.490002</v>
      </c>
      <c r="GM24">
        <v>13069454648.490002</v>
      </c>
      <c r="GN24">
        <v>13069508051.470001</v>
      </c>
      <c r="GO24">
        <v>13072589879.470001</v>
      </c>
      <c r="GP24">
        <v>13073671962.470001</v>
      </c>
      <c r="GQ24">
        <v>13073671962.470001</v>
      </c>
      <c r="GR24">
        <v>13083586282.950001</v>
      </c>
      <c r="GS24">
        <v>13083556662.470001</v>
      </c>
      <c r="GT24">
        <v>13083556662.470001</v>
      </c>
      <c r="GU24">
        <v>13083556662.470001</v>
      </c>
      <c r="GV24">
        <v>13083869856.470001</v>
      </c>
      <c r="GW24">
        <v>13085692203.470001</v>
      </c>
      <c r="GX24">
        <v>13085692203.470001</v>
      </c>
      <c r="GY24">
        <v>13093468715.470001</v>
      </c>
      <c r="GZ24">
        <v>13093506860.440001</v>
      </c>
      <c r="HA24">
        <v>13096588688.440001</v>
      </c>
      <c r="HB24">
        <v>13097670771.440001</v>
      </c>
      <c r="HC24">
        <v>13029065937.640001</v>
      </c>
    </row>
    <row r="25" spans="6:232" x14ac:dyDescent="0.2">
      <c r="F25">
        <v>201803</v>
      </c>
      <c r="G25">
        <v>114543265.38</v>
      </c>
      <c r="H25">
        <v>5322152273.3800001</v>
      </c>
      <c r="I25">
        <v>7219412488.6800003</v>
      </c>
      <c r="J25">
        <v>12838635665.68</v>
      </c>
      <c r="K25">
        <v>14221994473.68</v>
      </c>
      <c r="L25">
        <v>16390068288.650002</v>
      </c>
      <c r="M25">
        <v>16784049358.650002</v>
      </c>
      <c r="N25">
        <v>16825403702.650002</v>
      </c>
      <c r="O25">
        <v>16853699654.650002</v>
      </c>
      <c r="P25">
        <v>16855634040.650002</v>
      </c>
      <c r="Q25">
        <v>16856143436.650002</v>
      </c>
      <c r="R25">
        <v>17361379002.650002</v>
      </c>
      <c r="S25">
        <v>17361379002.650002</v>
      </c>
      <c r="T25">
        <v>17385165563.650002</v>
      </c>
      <c r="U25">
        <v>17439915063.650002</v>
      </c>
      <c r="V25">
        <v>17439617563.650002</v>
      </c>
      <c r="W25">
        <v>17442730383.650002</v>
      </c>
      <c r="X25">
        <v>17451599505.650002</v>
      </c>
      <c r="Y25">
        <v>17452534681.650002</v>
      </c>
      <c r="Z25">
        <v>17454357899.650002</v>
      </c>
      <c r="AA25">
        <v>17454357899.650002</v>
      </c>
      <c r="AB25">
        <v>17454357899.650002</v>
      </c>
      <c r="AC25">
        <v>17456027766.650002</v>
      </c>
      <c r="AD25">
        <v>17476409300.650002</v>
      </c>
      <c r="AE25">
        <v>17485691133.650002</v>
      </c>
      <c r="AF25">
        <v>17485691133.650002</v>
      </c>
      <c r="AG25">
        <v>17489380093.650002</v>
      </c>
      <c r="AH25">
        <v>17493111830.650002</v>
      </c>
      <c r="AI25">
        <v>17501529063.650002</v>
      </c>
      <c r="AJ25">
        <v>17503162894.040001</v>
      </c>
      <c r="AK25">
        <v>17504951774.040001</v>
      </c>
      <c r="AL25">
        <v>17505249207.040001</v>
      </c>
      <c r="AM25">
        <v>17503486965.040001</v>
      </c>
      <c r="AN25">
        <v>17503486965.040001</v>
      </c>
      <c r="AO25">
        <v>17542717178.040001</v>
      </c>
      <c r="AP25">
        <v>17542717178.040001</v>
      </c>
      <c r="AQ25">
        <v>17550146086.040001</v>
      </c>
      <c r="AR25">
        <v>17552919371.040001</v>
      </c>
      <c r="AS25">
        <v>17553216804.040001</v>
      </c>
      <c r="AT25">
        <v>17556905764.040001</v>
      </c>
      <c r="AU25">
        <v>17556905764.040001</v>
      </c>
      <c r="AV25">
        <v>17557718924.040001</v>
      </c>
      <c r="AW25">
        <v>17557718924.040001</v>
      </c>
      <c r="AX25">
        <v>17557718924.040001</v>
      </c>
      <c r="AY25">
        <v>17558705468.040001</v>
      </c>
      <c r="AZ25">
        <v>17558705468.040001</v>
      </c>
      <c r="BA25">
        <v>17598500302.040001</v>
      </c>
      <c r="BB25">
        <v>17606867188.040001</v>
      </c>
      <c r="BC25">
        <v>17606867188.040001</v>
      </c>
      <c r="BD25">
        <v>17606867188.040001</v>
      </c>
      <c r="BE25">
        <v>17619471848.040001</v>
      </c>
      <c r="BF25">
        <v>17619471848.040001</v>
      </c>
      <c r="BG25">
        <v>17619471848.040001</v>
      </c>
      <c r="BH25">
        <v>17620748305.040001</v>
      </c>
      <c r="BI25">
        <v>17620748305.040001</v>
      </c>
      <c r="BJ25">
        <v>17620748305.040001</v>
      </c>
      <c r="BK25">
        <v>17620748305.040001</v>
      </c>
      <c r="BL25">
        <v>17662399439.040001</v>
      </c>
      <c r="BM25">
        <v>17665165999.040001</v>
      </c>
      <c r="BN25">
        <v>17668486598.040001</v>
      </c>
      <c r="BO25">
        <v>17671515109.040001</v>
      </c>
      <c r="BP25">
        <v>17671918609.040001</v>
      </c>
      <c r="BQ25">
        <v>17675607569.040001</v>
      </c>
      <c r="BR25">
        <v>17675607569.040001</v>
      </c>
      <c r="BS25">
        <v>17675607569.040001</v>
      </c>
      <c r="BT25">
        <v>17676736785.040001</v>
      </c>
      <c r="BU25">
        <v>17677400601.040001</v>
      </c>
      <c r="BV25">
        <v>17677400601.040001</v>
      </c>
      <c r="BW25">
        <v>17677400601.040001</v>
      </c>
      <c r="BX25">
        <v>17677400601.040001</v>
      </c>
      <c r="BY25">
        <v>17721485453.040001</v>
      </c>
      <c r="BZ25">
        <v>17738350805.040001</v>
      </c>
      <c r="CA25">
        <v>17740095809.040001</v>
      </c>
      <c r="CB25">
        <v>17741255809.040001</v>
      </c>
      <c r="CC25">
        <v>17744944769.040001</v>
      </c>
      <c r="CD25">
        <v>17744944769.040001</v>
      </c>
      <c r="CE25">
        <v>17746525535.040001</v>
      </c>
      <c r="EB25">
        <v>3388908255.8099999</v>
      </c>
      <c r="EC25">
        <v>8359910902.8199997</v>
      </c>
      <c r="ED25">
        <v>13632159752.139999</v>
      </c>
      <c r="EE25">
        <v>16734322974.23</v>
      </c>
      <c r="EF25">
        <v>16978260166.73</v>
      </c>
      <c r="EG25">
        <v>17897793752.509998</v>
      </c>
      <c r="EH25">
        <v>16912925624.019999</v>
      </c>
      <c r="EI25">
        <v>16954279968.019999</v>
      </c>
      <c r="EJ25">
        <v>16853855628.319998</v>
      </c>
      <c r="EK25">
        <v>16855790014.319998</v>
      </c>
      <c r="EL25">
        <v>16932194989.599998</v>
      </c>
      <c r="EM25">
        <v>17361534774.349998</v>
      </c>
      <c r="EN25">
        <v>17361534774.349998</v>
      </c>
      <c r="EO25">
        <v>17495245960.699997</v>
      </c>
      <c r="EP25">
        <v>17440123820.389996</v>
      </c>
      <c r="EQ25">
        <v>17439773335.349995</v>
      </c>
      <c r="ER25">
        <v>17478981555.349995</v>
      </c>
      <c r="ES25">
        <v>17478958052.179996</v>
      </c>
      <c r="ET25">
        <v>17479893228.179996</v>
      </c>
      <c r="EU25">
        <v>17481716446.179996</v>
      </c>
      <c r="EV25">
        <v>17481716446.179996</v>
      </c>
      <c r="EW25">
        <v>17481623041.319996</v>
      </c>
      <c r="EX25">
        <v>17483230541.479996</v>
      </c>
      <c r="EY25">
        <v>17503612075.479996</v>
      </c>
      <c r="EZ25">
        <v>17512895265.019997</v>
      </c>
      <c r="FA25">
        <v>17512895265.019997</v>
      </c>
      <c r="FB25">
        <v>17516584225.019997</v>
      </c>
      <c r="FC25">
        <v>17519327843.279995</v>
      </c>
      <c r="FD25">
        <v>17527745076.279995</v>
      </c>
      <c r="FE25">
        <v>17529378906.669994</v>
      </c>
      <c r="FF25">
        <v>17531167786.669994</v>
      </c>
      <c r="FG25">
        <v>17531465219.669994</v>
      </c>
      <c r="FH25">
        <v>17529702977.669994</v>
      </c>
      <c r="FI25">
        <v>17529702977.669994</v>
      </c>
      <c r="FJ25">
        <v>17568933190.669994</v>
      </c>
      <c r="FK25">
        <v>17568933190.669994</v>
      </c>
      <c r="FL25">
        <v>17576363405.949993</v>
      </c>
      <c r="FM25">
        <v>17579136690.949993</v>
      </c>
      <c r="FN25">
        <v>17579434123.949993</v>
      </c>
      <c r="FO25">
        <v>17583123083.949993</v>
      </c>
      <c r="FP25">
        <v>17583123083.949993</v>
      </c>
      <c r="FQ25">
        <v>17583936243.949993</v>
      </c>
      <c r="FR25">
        <v>17583936243.949993</v>
      </c>
      <c r="FS25">
        <v>17583936243.949993</v>
      </c>
      <c r="FT25">
        <v>17584922787.949993</v>
      </c>
      <c r="FU25">
        <v>17584922787.949993</v>
      </c>
      <c r="FV25">
        <v>17624717621.949993</v>
      </c>
      <c r="FW25">
        <v>17633084507.949993</v>
      </c>
      <c r="FX25">
        <v>17633084507.949993</v>
      </c>
      <c r="FY25">
        <v>17633091044.299992</v>
      </c>
      <c r="FZ25">
        <v>17645695704.299992</v>
      </c>
      <c r="GA25">
        <v>17645695704.299992</v>
      </c>
      <c r="GB25">
        <v>17645695704.299992</v>
      </c>
      <c r="GC25">
        <v>17646972161.299992</v>
      </c>
      <c r="GD25">
        <v>17646972161.299992</v>
      </c>
      <c r="GE25">
        <v>17646972161.299992</v>
      </c>
      <c r="GF25">
        <v>17646972161.299992</v>
      </c>
      <c r="GG25">
        <v>17688623295.299992</v>
      </c>
      <c r="GH25">
        <v>17691389855.299992</v>
      </c>
      <c r="GI25">
        <v>17694710454.299992</v>
      </c>
      <c r="GJ25">
        <v>17697738965.299992</v>
      </c>
      <c r="GK25">
        <v>17698160767.089993</v>
      </c>
      <c r="GL25">
        <v>17701849727.089993</v>
      </c>
      <c r="GM25">
        <v>17701849727.089993</v>
      </c>
      <c r="GN25">
        <v>17701849727.089993</v>
      </c>
      <c r="GO25">
        <v>17735572058.059994</v>
      </c>
      <c r="GP25">
        <v>17736235874.059994</v>
      </c>
      <c r="GQ25">
        <v>17736235874.059994</v>
      </c>
      <c r="GR25">
        <v>17736235874.059994</v>
      </c>
      <c r="GS25">
        <v>17736235874.059994</v>
      </c>
      <c r="GT25">
        <v>17780320726.059994</v>
      </c>
      <c r="GU25">
        <v>17784716510.739994</v>
      </c>
      <c r="GV25">
        <v>17774074431.489994</v>
      </c>
      <c r="GW25">
        <v>17773865160.489994</v>
      </c>
      <c r="GX25">
        <v>17777554120.489994</v>
      </c>
      <c r="GY25">
        <v>17777554120.489994</v>
      </c>
      <c r="GZ25">
        <v>17779134886.489994</v>
      </c>
    </row>
    <row r="26" spans="6:232" x14ac:dyDescent="0.2">
      <c r="F26">
        <v>201806</v>
      </c>
      <c r="G26">
        <v>367909993.63999999</v>
      </c>
      <c r="H26">
        <v>3195469085.6399999</v>
      </c>
      <c r="I26">
        <v>5337413458.6399994</v>
      </c>
      <c r="J26">
        <v>7866444314.6399994</v>
      </c>
      <c r="K26">
        <v>10161078395.639999</v>
      </c>
      <c r="L26">
        <v>10362923422.639999</v>
      </c>
      <c r="M26">
        <v>10369408327.639999</v>
      </c>
      <c r="N26">
        <v>10469408327.639999</v>
      </c>
      <c r="O26">
        <v>10640961527.639999</v>
      </c>
      <c r="P26">
        <v>10652277061.639999</v>
      </c>
      <c r="Q26">
        <v>10882695876.639999</v>
      </c>
      <c r="R26">
        <v>10882695876.639999</v>
      </c>
      <c r="S26">
        <v>10919508589.639999</v>
      </c>
      <c r="T26">
        <v>12197903624.639999</v>
      </c>
      <c r="U26">
        <v>12197903624.639999</v>
      </c>
      <c r="V26">
        <v>12247693526.639999</v>
      </c>
      <c r="W26">
        <v>12249006926.639999</v>
      </c>
      <c r="X26">
        <v>12250550846.639999</v>
      </c>
      <c r="Y26">
        <v>12250550846.639999</v>
      </c>
      <c r="Z26">
        <v>12250550846.639999</v>
      </c>
      <c r="AA26">
        <v>12248536695.639999</v>
      </c>
      <c r="AB26">
        <v>12248536695.639999</v>
      </c>
      <c r="AC26">
        <v>12248747244.639999</v>
      </c>
      <c r="AD26">
        <v>12264829867.639999</v>
      </c>
      <c r="AE26">
        <v>12264829867.639999</v>
      </c>
      <c r="AF26">
        <v>12269264428.639999</v>
      </c>
      <c r="AG26">
        <v>12272238432.639999</v>
      </c>
      <c r="AH26">
        <v>12273782352.639999</v>
      </c>
      <c r="AI26">
        <v>12273782352.639999</v>
      </c>
      <c r="AJ26">
        <v>12273782352.639999</v>
      </c>
      <c r="AK26">
        <v>12343782352.639999</v>
      </c>
      <c r="AL26">
        <v>12343782352.639999</v>
      </c>
      <c r="AM26">
        <v>12706118352.639999</v>
      </c>
      <c r="AN26">
        <v>12706118352.639999</v>
      </c>
      <c r="AO26">
        <v>12716378576.639999</v>
      </c>
      <c r="AP26">
        <v>13107022576.639999</v>
      </c>
      <c r="AQ26">
        <v>13107022576.639999</v>
      </c>
      <c r="AR26">
        <v>13107022576.639999</v>
      </c>
      <c r="AS26">
        <v>13108566496.639999</v>
      </c>
      <c r="AT26">
        <v>13108566496.639999</v>
      </c>
      <c r="AU26">
        <v>13108566496.639999</v>
      </c>
      <c r="AV26">
        <v>13108566496.639999</v>
      </c>
      <c r="AW26">
        <v>13108566496.639999</v>
      </c>
      <c r="AX26">
        <v>13108566496.639999</v>
      </c>
      <c r="AY26">
        <v>13108566496.639999</v>
      </c>
      <c r="AZ26">
        <v>13108566496.639999</v>
      </c>
      <c r="BA26">
        <v>13117219151.639999</v>
      </c>
      <c r="BB26">
        <v>13123578833.639999</v>
      </c>
      <c r="BC26">
        <v>13123578833.639999</v>
      </c>
      <c r="BD26">
        <v>13123578833.639999</v>
      </c>
      <c r="BE26">
        <v>13123578833.639999</v>
      </c>
      <c r="BF26">
        <v>13126273553.639999</v>
      </c>
      <c r="BG26">
        <v>13126273553.639999</v>
      </c>
      <c r="BH26">
        <v>13126273553.639999</v>
      </c>
      <c r="BI26">
        <v>13126273553.639999</v>
      </c>
      <c r="BJ26">
        <v>13126273553.639999</v>
      </c>
      <c r="BK26">
        <v>13126273553.639999</v>
      </c>
      <c r="BL26">
        <v>13128122258.639999</v>
      </c>
      <c r="BM26">
        <v>13136774913.639999</v>
      </c>
      <c r="BN26">
        <v>13136774913.639999</v>
      </c>
      <c r="BO26">
        <v>13136774913.639999</v>
      </c>
      <c r="BP26">
        <v>13136774913.639999</v>
      </c>
      <c r="BQ26">
        <v>13136774913.639999</v>
      </c>
      <c r="BR26">
        <v>13136774913.639999</v>
      </c>
      <c r="BS26">
        <v>13139469633.639999</v>
      </c>
      <c r="BT26">
        <v>13139469633.639999</v>
      </c>
      <c r="BU26">
        <v>13139469633.639999</v>
      </c>
      <c r="BV26">
        <v>13139469633.639999</v>
      </c>
      <c r="BW26">
        <v>13141438906.639999</v>
      </c>
      <c r="BX26">
        <v>13141438906.639999</v>
      </c>
      <c r="BY26">
        <v>13153733342.639999</v>
      </c>
      <c r="BZ26">
        <v>13153733342.639999</v>
      </c>
      <c r="CA26">
        <v>13153733342.639999</v>
      </c>
      <c r="CB26">
        <v>13153733342.639999</v>
      </c>
      <c r="EB26">
        <v>1808894008</v>
      </c>
      <c r="EC26">
        <v>6656071600.9700003</v>
      </c>
      <c r="ED26">
        <v>10717380523.889999</v>
      </c>
      <c r="EE26">
        <v>10872804380.73</v>
      </c>
      <c r="EF26">
        <v>10676730175.369999</v>
      </c>
      <c r="EG26">
        <v>10684187422.639999</v>
      </c>
      <c r="EH26">
        <v>10489882327.639999</v>
      </c>
      <c r="EI26">
        <v>10889117617.639999</v>
      </c>
      <c r="EJ26">
        <v>10870167317.639999</v>
      </c>
      <c r="EK26">
        <v>10881482851.639999</v>
      </c>
      <c r="EL26">
        <v>10882695876.639999</v>
      </c>
      <c r="EM26">
        <v>10882695876.639999</v>
      </c>
      <c r="EN26">
        <v>12250178766.68</v>
      </c>
      <c r="EO26">
        <v>12246791019.83</v>
      </c>
      <c r="EP26">
        <v>12246791019.83</v>
      </c>
      <c r="EQ26">
        <v>12249010407.15</v>
      </c>
      <c r="ER26">
        <v>12249006926.639999</v>
      </c>
      <c r="ES26">
        <v>12250550846.639999</v>
      </c>
      <c r="ET26">
        <v>12251513693.439999</v>
      </c>
      <c r="EU26">
        <v>12251513750.649998</v>
      </c>
      <c r="EV26">
        <v>12251295786.909998</v>
      </c>
      <c r="EW26">
        <v>12248536695.639997</v>
      </c>
      <c r="EX26">
        <v>12248747244.639997</v>
      </c>
      <c r="EY26">
        <v>12264829868.639997</v>
      </c>
      <c r="EZ26">
        <v>12264829868.639997</v>
      </c>
      <c r="FA26">
        <v>12269264429.639997</v>
      </c>
      <c r="FB26">
        <v>12272238432.639997</v>
      </c>
      <c r="FC26">
        <v>12273782352.639997</v>
      </c>
      <c r="FD26">
        <v>12273782352.639997</v>
      </c>
      <c r="FE26">
        <v>12273782352.639997</v>
      </c>
      <c r="FF26">
        <v>13098795398.639997</v>
      </c>
      <c r="FG26">
        <v>13098795398.639997</v>
      </c>
      <c r="FH26">
        <v>13097817091.439997</v>
      </c>
      <c r="FI26">
        <v>13097836623.639997</v>
      </c>
      <c r="FJ26">
        <v>13108096847.639997</v>
      </c>
      <c r="FK26">
        <v>13107022576.639997</v>
      </c>
      <c r="FL26">
        <v>13107022576.639997</v>
      </c>
      <c r="FM26">
        <v>13107022576.639997</v>
      </c>
      <c r="FN26">
        <v>13108566496.639997</v>
      </c>
      <c r="FO26">
        <v>13108566496.639997</v>
      </c>
      <c r="FP26">
        <v>13108566496.639997</v>
      </c>
      <c r="FQ26">
        <v>13108566496.639997</v>
      </c>
      <c r="FR26">
        <v>13108566496.639997</v>
      </c>
      <c r="FS26">
        <v>13108566496.639997</v>
      </c>
      <c r="FT26">
        <v>13108566496.639997</v>
      </c>
      <c r="FU26">
        <v>13114582996.639997</v>
      </c>
      <c r="FV26">
        <v>13123237151.639997</v>
      </c>
      <c r="FW26">
        <v>13129596833.639997</v>
      </c>
      <c r="FX26">
        <v>13129596833.639997</v>
      </c>
      <c r="FY26">
        <v>13129596833.639997</v>
      </c>
      <c r="FZ26">
        <v>13129596833.639997</v>
      </c>
      <c r="GA26">
        <v>13132291553.639997</v>
      </c>
      <c r="GB26">
        <v>13132291553.639997</v>
      </c>
      <c r="GC26">
        <v>13132291553.639997</v>
      </c>
      <c r="GD26">
        <v>13132291553.639997</v>
      </c>
      <c r="GE26">
        <v>13132291553.639997</v>
      </c>
      <c r="GF26">
        <v>13132291553.639997</v>
      </c>
      <c r="GG26">
        <v>13134140258.639997</v>
      </c>
      <c r="GH26">
        <v>13142797113.639997</v>
      </c>
      <c r="GI26">
        <v>13142797113.639997</v>
      </c>
      <c r="GJ26">
        <v>13142797113.639997</v>
      </c>
      <c r="GK26">
        <v>13142797113.639997</v>
      </c>
      <c r="GL26">
        <v>13142797113.639997</v>
      </c>
      <c r="GM26">
        <v>13142797113.639997</v>
      </c>
      <c r="GN26">
        <v>13145491833.639997</v>
      </c>
      <c r="GO26">
        <v>13145491833.639997</v>
      </c>
      <c r="GP26">
        <v>13145491833.639997</v>
      </c>
      <c r="GQ26">
        <v>13145491833.639997</v>
      </c>
      <c r="GR26">
        <v>13144450006.639997</v>
      </c>
      <c r="GS26">
        <v>13144450006.639997</v>
      </c>
      <c r="GT26">
        <v>13156745942.639997</v>
      </c>
      <c r="GU26">
        <v>13156745942.639997</v>
      </c>
      <c r="GV26">
        <v>13156745942.639997</v>
      </c>
      <c r="GW26">
        <v>13153733342.639997</v>
      </c>
    </row>
    <row r="27" spans="6:232" x14ac:dyDescent="0.2">
      <c r="F27">
        <v>201809</v>
      </c>
      <c r="G27">
        <v>10767018</v>
      </c>
      <c r="H27">
        <v>3629563556</v>
      </c>
      <c r="I27">
        <v>6993197214</v>
      </c>
      <c r="J27">
        <v>9913631217</v>
      </c>
      <c r="K27">
        <v>12213497212.76</v>
      </c>
      <c r="L27">
        <v>12561652399.76</v>
      </c>
      <c r="M27">
        <v>12624914770.76</v>
      </c>
      <c r="N27">
        <v>12807821120.76</v>
      </c>
      <c r="O27">
        <v>12851826637.76</v>
      </c>
      <c r="P27">
        <v>13018984388.76</v>
      </c>
      <c r="Q27">
        <v>13021715854.76</v>
      </c>
      <c r="R27">
        <v>13025582206.76</v>
      </c>
      <c r="S27">
        <v>13035875172.76</v>
      </c>
      <c r="T27">
        <v>13036703288.76</v>
      </c>
      <c r="U27">
        <v>13050721324.76</v>
      </c>
      <c r="V27">
        <v>13052132498.76</v>
      </c>
      <c r="W27">
        <v>13052132498.76</v>
      </c>
      <c r="X27">
        <v>13051739143.76</v>
      </c>
      <c r="Y27">
        <v>13103489143.76</v>
      </c>
      <c r="Z27">
        <v>13116706713.76</v>
      </c>
      <c r="AA27">
        <v>13117579397.76</v>
      </c>
      <c r="AB27">
        <v>13117579397.76</v>
      </c>
      <c r="AC27">
        <v>13129069838.76</v>
      </c>
      <c r="AD27">
        <v>13129069838.76</v>
      </c>
      <c r="AE27">
        <v>13149893253.76</v>
      </c>
      <c r="AF27">
        <v>13156525323.76</v>
      </c>
      <c r="AG27">
        <v>13261410818.76</v>
      </c>
      <c r="AH27">
        <v>13309086043.76</v>
      </c>
      <c r="AI27">
        <v>13309086043.76</v>
      </c>
      <c r="AJ27">
        <v>13331719275.76</v>
      </c>
      <c r="AK27">
        <v>13332763861.76</v>
      </c>
      <c r="AL27">
        <v>13332763861.76</v>
      </c>
      <c r="AM27">
        <v>13334792358.76</v>
      </c>
      <c r="AN27">
        <v>13334792358.76</v>
      </c>
      <c r="AO27">
        <v>13335279831.76</v>
      </c>
      <c r="AP27">
        <v>13341766707.76</v>
      </c>
      <c r="AQ27">
        <v>13352723430.76</v>
      </c>
      <c r="AR27">
        <v>13372655367.76</v>
      </c>
      <c r="AS27">
        <v>13372655367.76</v>
      </c>
      <c r="AT27">
        <v>13372655367.76</v>
      </c>
      <c r="AU27">
        <v>13372655367.76</v>
      </c>
      <c r="AV27">
        <v>13372655367.76</v>
      </c>
      <c r="AW27">
        <v>13372655367.76</v>
      </c>
      <c r="AX27">
        <v>13491669720.76</v>
      </c>
      <c r="AY27">
        <v>13491669720.76</v>
      </c>
      <c r="AZ27">
        <v>13491669720.76</v>
      </c>
      <c r="BA27">
        <v>13491669720.76</v>
      </c>
      <c r="BB27">
        <v>13505194193.76</v>
      </c>
      <c r="BC27">
        <v>13512691316.76</v>
      </c>
      <c r="BD27">
        <v>13529363116.76</v>
      </c>
      <c r="BE27">
        <v>13529363116.76</v>
      </c>
      <c r="BF27">
        <v>13529363116.76</v>
      </c>
      <c r="BG27">
        <v>13529363116.76</v>
      </c>
      <c r="BH27">
        <v>13529363116.76</v>
      </c>
      <c r="BI27">
        <v>13529363116.76</v>
      </c>
      <c r="BJ27">
        <v>13529363116.76</v>
      </c>
      <c r="BK27">
        <v>13530235800.76</v>
      </c>
      <c r="BL27">
        <v>13531977235.76</v>
      </c>
      <c r="BM27">
        <v>13531977235.76</v>
      </c>
      <c r="BN27">
        <v>13540259635.76</v>
      </c>
      <c r="BO27">
        <v>13560445734.76</v>
      </c>
      <c r="BP27">
        <v>13576724169.76</v>
      </c>
      <c r="BQ27">
        <v>13576724169.76</v>
      </c>
      <c r="BR27">
        <v>13576724169.76</v>
      </c>
      <c r="BS27">
        <v>13576724169.76</v>
      </c>
      <c r="BT27">
        <v>13576724169.76</v>
      </c>
      <c r="BU27">
        <v>13576724169.76</v>
      </c>
      <c r="BV27">
        <v>13577596853.76</v>
      </c>
      <c r="BW27">
        <v>13577596853.76</v>
      </c>
      <c r="BX27">
        <v>13577596853.76</v>
      </c>
      <c r="BY27">
        <v>13580424522.76</v>
      </c>
      <c r="EB27">
        <v>1815634347.4100001</v>
      </c>
      <c r="EC27">
        <v>6426495925.8199997</v>
      </c>
      <c r="ED27">
        <v>9048946849.4200001</v>
      </c>
      <c r="EE27">
        <v>12791093390.620001</v>
      </c>
      <c r="EF27">
        <v>13030715107.440001</v>
      </c>
      <c r="EG27">
        <v>13302366668.65</v>
      </c>
      <c r="EH27">
        <v>12994949333.65</v>
      </c>
      <c r="EI27">
        <v>13653130435.949999</v>
      </c>
      <c r="EJ27">
        <v>13723199321.329998</v>
      </c>
      <c r="EK27">
        <v>13321534026.259998</v>
      </c>
      <c r="EL27">
        <v>13324265492.259998</v>
      </c>
      <c r="EM27">
        <v>13328131844.259998</v>
      </c>
      <c r="EN27">
        <v>13338424810.259998</v>
      </c>
      <c r="EO27">
        <v>13339252926.259998</v>
      </c>
      <c r="EP27">
        <v>13353270962.259998</v>
      </c>
      <c r="EQ27">
        <v>13104019636.259998</v>
      </c>
      <c r="ER27">
        <v>13104019636.259998</v>
      </c>
      <c r="ES27">
        <v>13103626281.259998</v>
      </c>
      <c r="ET27">
        <v>13168664643.759998</v>
      </c>
      <c r="EU27">
        <v>13181882213.759998</v>
      </c>
      <c r="EV27">
        <v>13182754897.759998</v>
      </c>
      <c r="EW27">
        <v>13182754897.759998</v>
      </c>
      <c r="EX27">
        <v>13194245338.759998</v>
      </c>
      <c r="EY27">
        <v>13194245338.759998</v>
      </c>
      <c r="EZ27">
        <v>13215068753.759998</v>
      </c>
      <c r="FA27">
        <v>13221700823.759998</v>
      </c>
      <c r="FB27">
        <v>13374390266.869999</v>
      </c>
      <c r="FC27">
        <v>13374261543.759998</v>
      </c>
      <c r="FD27">
        <v>13374261543.759998</v>
      </c>
      <c r="FE27">
        <v>13349544345.859999</v>
      </c>
      <c r="FF27">
        <v>13350589820.709999</v>
      </c>
      <c r="FG27">
        <v>13350589820.709999</v>
      </c>
      <c r="FH27">
        <v>13352618317.709999</v>
      </c>
      <c r="FI27">
        <v>13352618317.709999</v>
      </c>
      <c r="FJ27">
        <v>13365626405.969999</v>
      </c>
      <c r="FK27">
        <v>13365608568.07</v>
      </c>
      <c r="FL27">
        <v>13376565291.07</v>
      </c>
      <c r="FM27">
        <v>13410267479.41</v>
      </c>
      <c r="FN27">
        <v>13410267479.41</v>
      </c>
      <c r="FO27">
        <v>13440650804.41</v>
      </c>
      <c r="FP27">
        <v>13440650804.41</v>
      </c>
      <c r="FQ27">
        <v>13440650804.41</v>
      </c>
      <c r="FR27">
        <v>13440650804.41</v>
      </c>
      <c r="FS27">
        <v>13559682109.65</v>
      </c>
      <c r="FT27">
        <v>13559682109.65</v>
      </c>
      <c r="FU27">
        <v>13559682109.65</v>
      </c>
      <c r="FV27">
        <v>13559682109.65</v>
      </c>
      <c r="FW27">
        <v>13563176582.65</v>
      </c>
      <c r="FX27">
        <v>13570673705.65</v>
      </c>
      <c r="FY27">
        <v>13587345505.65</v>
      </c>
      <c r="FZ27">
        <v>13587345505.65</v>
      </c>
      <c r="GA27">
        <v>13587345505.65</v>
      </c>
      <c r="GB27">
        <v>13587345505.65</v>
      </c>
      <c r="GC27">
        <v>13587345505.65</v>
      </c>
      <c r="GD27">
        <v>13587345505.65</v>
      </c>
      <c r="GE27">
        <v>13575833827.549999</v>
      </c>
      <c r="GF27">
        <v>13576706511.549999</v>
      </c>
      <c r="GG27">
        <v>13578447946.549999</v>
      </c>
      <c r="GH27">
        <v>13570702391.639999</v>
      </c>
      <c r="GI27">
        <v>13570671746.76</v>
      </c>
      <c r="GJ27">
        <v>13590857845.76</v>
      </c>
      <c r="GK27">
        <v>13607136280.76</v>
      </c>
      <c r="GL27">
        <v>13607136280.76</v>
      </c>
      <c r="GM27">
        <v>13607136280.76</v>
      </c>
      <c r="GN27">
        <v>13607136280.76</v>
      </c>
      <c r="GO27">
        <v>13607136280.76</v>
      </c>
      <c r="GP27">
        <v>13607136280.76</v>
      </c>
      <c r="GQ27">
        <v>13608024114.76</v>
      </c>
      <c r="GR27">
        <v>13608024114.76</v>
      </c>
      <c r="GS27">
        <v>13608024114.76</v>
      </c>
      <c r="GT27">
        <v>13580424522.76</v>
      </c>
    </row>
    <row r="28" spans="6:232" x14ac:dyDescent="0.2">
      <c r="F28">
        <v>201812</v>
      </c>
      <c r="G28">
        <v>13849871</v>
      </c>
      <c r="H28">
        <v>1418560394.26</v>
      </c>
      <c r="I28">
        <v>4810734452.2600002</v>
      </c>
      <c r="J28">
        <v>7581080728.1499996</v>
      </c>
      <c r="K28">
        <v>7999127504.9699993</v>
      </c>
      <c r="L28">
        <v>9291025882.9699993</v>
      </c>
      <c r="M28">
        <v>9368710855.9699993</v>
      </c>
      <c r="N28">
        <v>9579002693.9699993</v>
      </c>
      <c r="O28">
        <v>9799818853.9699993</v>
      </c>
      <c r="P28">
        <v>9802005699.039999</v>
      </c>
      <c r="Q28">
        <v>9832817252.039999</v>
      </c>
      <c r="R28">
        <v>9845641544.039999</v>
      </c>
      <c r="S28">
        <v>9979139161.039999</v>
      </c>
      <c r="T28">
        <v>9984890061.039999</v>
      </c>
      <c r="U28">
        <v>10029221882.039999</v>
      </c>
      <c r="V28">
        <v>10029840657.039999</v>
      </c>
      <c r="W28">
        <v>10029840657.039999</v>
      </c>
      <c r="X28">
        <v>10031702358.039999</v>
      </c>
      <c r="Y28">
        <v>10031702358.039999</v>
      </c>
      <c r="Z28">
        <v>10037782622.039999</v>
      </c>
      <c r="AA28">
        <v>10048897529.039999</v>
      </c>
      <c r="AB28">
        <v>10048897529.039999</v>
      </c>
      <c r="AC28">
        <v>10048897529.039999</v>
      </c>
      <c r="AD28">
        <v>10048897529.039999</v>
      </c>
      <c r="AE28">
        <v>10053443529.039999</v>
      </c>
      <c r="AF28">
        <v>10053443529.039999</v>
      </c>
      <c r="AG28">
        <v>10057134007.039999</v>
      </c>
      <c r="AH28">
        <v>10063212816.039999</v>
      </c>
      <c r="AI28">
        <v>10063212816.039999</v>
      </c>
      <c r="AJ28">
        <v>10066335828.039999</v>
      </c>
      <c r="AK28">
        <v>10066557896.039999</v>
      </c>
      <c r="AL28">
        <v>10067639043.039999</v>
      </c>
      <c r="AM28">
        <v>10067639043.039999</v>
      </c>
      <c r="AN28">
        <v>10067639043.039999</v>
      </c>
      <c r="AO28">
        <v>10067639043.039999</v>
      </c>
      <c r="AP28">
        <v>10074789233.039999</v>
      </c>
      <c r="AQ28">
        <v>10074789233.039999</v>
      </c>
      <c r="AR28">
        <v>10077678567.039999</v>
      </c>
      <c r="AS28">
        <v>10078528760.039999</v>
      </c>
      <c r="AT28">
        <v>10078528760.039999</v>
      </c>
      <c r="AU28">
        <v>10084609024.039999</v>
      </c>
      <c r="AV28">
        <v>10086831055.039999</v>
      </c>
      <c r="AW28">
        <v>10091276136.039999</v>
      </c>
      <c r="AX28">
        <v>10091276136.039999</v>
      </c>
      <c r="AY28">
        <v>10091276136.039999</v>
      </c>
      <c r="AZ28">
        <v>10091276136.039999</v>
      </c>
      <c r="BA28">
        <v>10091276136.039999</v>
      </c>
      <c r="BB28">
        <v>10100394891.039999</v>
      </c>
      <c r="BC28">
        <v>10103284225.039999</v>
      </c>
      <c r="BD28">
        <v>10103284225.039999</v>
      </c>
      <c r="BE28">
        <v>10104183468.039999</v>
      </c>
      <c r="BF28">
        <v>10104183468.039999</v>
      </c>
      <c r="BG28">
        <v>10104183468.039999</v>
      </c>
      <c r="BH28">
        <v>10106585663.039999</v>
      </c>
      <c r="BI28">
        <v>10106585663.039999</v>
      </c>
      <c r="BJ28">
        <v>10106585663.039999</v>
      </c>
      <c r="BK28">
        <v>10111364125.039999</v>
      </c>
      <c r="BL28">
        <v>10111364125.039999</v>
      </c>
      <c r="BM28">
        <v>10113904999.039999</v>
      </c>
      <c r="BN28">
        <v>10114511885.039999</v>
      </c>
      <c r="BO28">
        <v>10119434661.039999</v>
      </c>
      <c r="BP28">
        <v>10120382954.039999</v>
      </c>
      <c r="BQ28">
        <v>10129495768.039999</v>
      </c>
      <c r="BR28">
        <v>10129495768.039999</v>
      </c>
      <c r="BS28">
        <v>10129495768.039999</v>
      </c>
      <c r="BT28">
        <v>10132078128.039999</v>
      </c>
      <c r="BU28">
        <v>10132078128.039999</v>
      </c>
      <c r="BV28">
        <v>10137189971.039999</v>
      </c>
      <c r="EB28">
        <v>1844858753.1800001</v>
      </c>
      <c r="EC28">
        <v>5745476044.2800007</v>
      </c>
      <c r="ED28">
        <v>8143120207.7000008</v>
      </c>
      <c r="EE28">
        <v>9631015123.6800003</v>
      </c>
      <c r="EF28">
        <v>9705544728.9799995</v>
      </c>
      <c r="EG28">
        <v>10039092072.969999</v>
      </c>
      <c r="EH28">
        <v>10049526409.799999</v>
      </c>
      <c r="EI28">
        <v>9978929673.3999996</v>
      </c>
      <c r="EJ28">
        <v>9978344510.5799999</v>
      </c>
      <c r="EK28">
        <v>9980531355.6499996</v>
      </c>
      <c r="EL28">
        <v>10011342908.65</v>
      </c>
      <c r="EM28">
        <v>10021105294.039999</v>
      </c>
      <c r="EN28">
        <v>10021551256.039999</v>
      </c>
      <c r="EO28">
        <v>10036163717.189999</v>
      </c>
      <c r="EP28">
        <v>10029221882.039999</v>
      </c>
      <c r="EQ28">
        <v>10029840657.039999</v>
      </c>
      <c r="ER28">
        <v>10029840657.039999</v>
      </c>
      <c r="ES28">
        <v>10031702358.039999</v>
      </c>
      <c r="ET28">
        <v>10031702358.039999</v>
      </c>
      <c r="EU28">
        <v>10037782622.039999</v>
      </c>
      <c r="EV28">
        <v>10048897529.039999</v>
      </c>
      <c r="EW28">
        <v>10048897529.039999</v>
      </c>
      <c r="EX28">
        <v>10048897529.039999</v>
      </c>
      <c r="EY28">
        <v>10048897529.039999</v>
      </c>
      <c r="EZ28">
        <v>10053443529.039999</v>
      </c>
      <c r="FA28">
        <v>10053443529.039999</v>
      </c>
      <c r="FB28">
        <v>10057134007.039999</v>
      </c>
      <c r="FC28">
        <v>10063212816.039999</v>
      </c>
      <c r="FD28">
        <v>10063212816.039999</v>
      </c>
      <c r="FE28">
        <v>10066335828.039999</v>
      </c>
      <c r="FF28">
        <v>10066557896.039999</v>
      </c>
      <c r="FG28">
        <v>10067639044.039999</v>
      </c>
      <c r="FH28">
        <v>10067639043.039999</v>
      </c>
      <c r="FI28">
        <v>10067639043.039999</v>
      </c>
      <c r="FJ28">
        <v>10067639043.039999</v>
      </c>
      <c r="FK28">
        <v>10074789233.039999</v>
      </c>
      <c r="FL28">
        <v>10074789233.039999</v>
      </c>
      <c r="FM28">
        <v>10083828763.699999</v>
      </c>
      <c r="FN28">
        <v>10078528760.039999</v>
      </c>
      <c r="FO28">
        <v>10078528760.039999</v>
      </c>
      <c r="FP28">
        <v>10084609024.039999</v>
      </c>
      <c r="FQ28">
        <v>10086831055.039999</v>
      </c>
      <c r="FR28">
        <v>10091276136.039999</v>
      </c>
      <c r="FS28">
        <v>10091276136.039999</v>
      </c>
      <c r="FT28">
        <v>10091276136.039999</v>
      </c>
      <c r="FU28">
        <v>10091276136.039999</v>
      </c>
      <c r="FV28">
        <v>10091276136.039999</v>
      </c>
      <c r="FW28">
        <v>10100394891.039999</v>
      </c>
      <c r="FX28">
        <v>10103284225.039999</v>
      </c>
      <c r="FY28">
        <v>10103284225.039999</v>
      </c>
      <c r="FZ28">
        <v>10104183468.039999</v>
      </c>
      <c r="GA28">
        <v>10104183468.039999</v>
      </c>
      <c r="GB28">
        <v>10104183468.039999</v>
      </c>
      <c r="GC28">
        <v>10106585663.039999</v>
      </c>
      <c r="GD28">
        <v>10106585663.039999</v>
      </c>
      <c r="GE28">
        <v>10106585663.039999</v>
      </c>
      <c r="GF28">
        <v>10111364125.039999</v>
      </c>
      <c r="GG28">
        <v>10111364125.039999</v>
      </c>
      <c r="GH28">
        <v>10113904999.039999</v>
      </c>
      <c r="GI28">
        <v>10114511885.039999</v>
      </c>
      <c r="GJ28">
        <v>10119434661.039999</v>
      </c>
      <c r="GK28">
        <v>10120382954.039999</v>
      </c>
      <c r="GL28">
        <v>10129495768.039999</v>
      </c>
      <c r="GM28">
        <v>10129495768.039999</v>
      </c>
      <c r="GN28">
        <v>10129495768.039999</v>
      </c>
      <c r="GO28">
        <v>10132078128.039999</v>
      </c>
      <c r="GP28">
        <v>10132078128.039999</v>
      </c>
      <c r="GQ28">
        <v>10137189971.039999</v>
      </c>
    </row>
    <row r="29" spans="6:232" x14ac:dyDescent="0.2">
      <c r="F29">
        <v>201903</v>
      </c>
      <c r="G29">
        <v>241962598</v>
      </c>
      <c r="H29">
        <v>2416078814.3699999</v>
      </c>
      <c r="I29">
        <v>5015819096.5299997</v>
      </c>
      <c r="J29">
        <v>9240948502.5299988</v>
      </c>
      <c r="K29">
        <v>11152056602.529999</v>
      </c>
      <c r="L29">
        <v>11983477005.529999</v>
      </c>
      <c r="M29">
        <v>13122713208.529999</v>
      </c>
      <c r="N29">
        <v>13122713208.529999</v>
      </c>
      <c r="O29">
        <v>13309083040.529999</v>
      </c>
      <c r="P29">
        <v>13310502640.529999</v>
      </c>
      <c r="Q29">
        <v>13612722957.529999</v>
      </c>
      <c r="R29">
        <v>13611553459.529999</v>
      </c>
      <c r="S29">
        <v>13613046633.529999</v>
      </c>
      <c r="T29">
        <v>13613268855.529999</v>
      </c>
      <c r="U29">
        <v>13613980313.529999</v>
      </c>
      <c r="V29">
        <v>13614968030.529999</v>
      </c>
      <c r="W29">
        <v>13614968030.529999</v>
      </c>
      <c r="X29">
        <v>13617874293.529999</v>
      </c>
      <c r="Y29">
        <v>13617874293.529999</v>
      </c>
      <c r="Z29">
        <v>13617874293.529999</v>
      </c>
      <c r="AA29">
        <v>13617874293.529999</v>
      </c>
      <c r="AB29">
        <v>13617934809.529999</v>
      </c>
      <c r="AC29">
        <v>13620332552.529999</v>
      </c>
      <c r="AD29">
        <v>13620332552.529999</v>
      </c>
      <c r="AE29">
        <v>13620370787.529999</v>
      </c>
      <c r="AF29">
        <v>13639015449.529999</v>
      </c>
      <c r="AG29">
        <v>13641396290.529999</v>
      </c>
      <c r="AH29">
        <v>13641681808.529999</v>
      </c>
      <c r="AI29">
        <v>13641681808.529999</v>
      </c>
      <c r="AJ29">
        <v>13641948149.529999</v>
      </c>
      <c r="AK29">
        <v>13644026458.529999</v>
      </c>
      <c r="AL29">
        <v>13644934984.529999</v>
      </c>
      <c r="AM29">
        <v>13644995523.529999</v>
      </c>
      <c r="AN29">
        <v>13646415123.529999</v>
      </c>
      <c r="AO29">
        <v>13647393266.529999</v>
      </c>
      <c r="AP29">
        <v>13647393266.529999</v>
      </c>
      <c r="AQ29">
        <v>13647393266.529999</v>
      </c>
      <c r="AR29">
        <v>13647615488.529999</v>
      </c>
      <c r="AS29">
        <v>13656190474.529999</v>
      </c>
      <c r="AT29">
        <v>13676420474.529999</v>
      </c>
      <c r="AU29">
        <v>13680420474.529999</v>
      </c>
      <c r="AV29">
        <v>13682521451.529999</v>
      </c>
      <c r="AW29">
        <v>13682521451.529999</v>
      </c>
      <c r="AX29">
        <v>14863710868.529999</v>
      </c>
      <c r="AY29">
        <v>14865130468.529999</v>
      </c>
      <c r="AZ29">
        <v>14865191007.529999</v>
      </c>
      <c r="BA29">
        <v>14866169150.529999</v>
      </c>
      <c r="BB29">
        <v>14867250296.529999</v>
      </c>
      <c r="BC29">
        <v>14867250296.529999</v>
      </c>
      <c r="BD29">
        <v>14867250296.529999</v>
      </c>
      <c r="BE29">
        <v>14867472518.529999</v>
      </c>
      <c r="BF29">
        <v>14872441958.529999</v>
      </c>
      <c r="BG29">
        <v>14874662585.529999</v>
      </c>
      <c r="BH29">
        <v>14874662585.529999</v>
      </c>
      <c r="BI29">
        <v>14874662585.529999</v>
      </c>
      <c r="BJ29">
        <v>14874662585.529999</v>
      </c>
      <c r="BK29">
        <v>14874723124.529999</v>
      </c>
      <c r="BL29">
        <v>14876466424.529999</v>
      </c>
      <c r="BM29">
        <v>14886331419.529999</v>
      </c>
      <c r="BN29">
        <v>14886331419.529999</v>
      </c>
      <c r="BO29">
        <v>14886331419.529999</v>
      </c>
      <c r="BP29">
        <v>14895981954.529999</v>
      </c>
      <c r="BQ29">
        <v>14901741954.529999</v>
      </c>
      <c r="BR29">
        <v>14901741954.529999</v>
      </c>
      <c r="BS29">
        <v>14903815891.529999</v>
      </c>
      <c r="EB29">
        <v>1783736377.03</v>
      </c>
      <c r="EC29">
        <v>6890201896.0499992</v>
      </c>
      <c r="ED29">
        <v>9867415832.6199989</v>
      </c>
      <c r="EE29">
        <v>14017394347.099998</v>
      </c>
      <c r="EF29">
        <v>13794591398.579998</v>
      </c>
      <c r="EG29">
        <v>13665274139.729998</v>
      </c>
      <c r="EH29">
        <v>14079859549.539997</v>
      </c>
      <c r="EI29">
        <v>13678780246.519997</v>
      </c>
      <c r="EJ29">
        <v>13614891290.529997</v>
      </c>
      <c r="EK29">
        <v>13611297640.529997</v>
      </c>
      <c r="EL29">
        <v>13612722957.529997</v>
      </c>
      <c r="EM29">
        <v>13613896936.329996</v>
      </c>
      <c r="EN29">
        <v>13613046633.529997</v>
      </c>
      <c r="EO29">
        <v>13613268855.529997</v>
      </c>
      <c r="EP29">
        <v>13613980313.529997</v>
      </c>
      <c r="EQ29">
        <v>13614968030.529997</v>
      </c>
      <c r="ER29">
        <v>13614968030.529997</v>
      </c>
      <c r="ES29">
        <v>13617874293.529997</v>
      </c>
      <c r="ET29">
        <v>13617874293.529997</v>
      </c>
      <c r="EU29">
        <v>13617874293.529997</v>
      </c>
      <c r="EV29">
        <v>13617874293.529997</v>
      </c>
      <c r="EW29">
        <v>13617934809.529997</v>
      </c>
      <c r="EX29">
        <v>13620332552.529997</v>
      </c>
      <c r="EY29">
        <v>13620332552.529997</v>
      </c>
      <c r="EZ29">
        <v>13620370788.529997</v>
      </c>
      <c r="FA29">
        <v>13639015450.529997</v>
      </c>
      <c r="FB29">
        <v>14192908791.529997</v>
      </c>
      <c r="FC29">
        <v>14193194309.529997</v>
      </c>
      <c r="FD29">
        <v>13641681809.529997</v>
      </c>
      <c r="FE29">
        <v>13641948150.529997</v>
      </c>
      <c r="FF29">
        <v>13644026460.529997</v>
      </c>
      <c r="FG29">
        <v>13644934986.529997</v>
      </c>
      <c r="FH29">
        <v>13644995525.529997</v>
      </c>
      <c r="FI29">
        <v>13646415125.529997</v>
      </c>
      <c r="FJ29">
        <v>13647393268.529997</v>
      </c>
      <c r="FK29">
        <v>13647393268.529997</v>
      </c>
      <c r="FL29">
        <v>13648897393.529997</v>
      </c>
      <c r="FM29">
        <v>13647615489.529997</v>
      </c>
      <c r="FN29">
        <v>13656190475.529997</v>
      </c>
      <c r="FO29">
        <v>13676420475.529997</v>
      </c>
      <c r="FP29">
        <v>14869330956.779997</v>
      </c>
      <c r="FQ29">
        <v>14871431933.779997</v>
      </c>
      <c r="FR29">
        <v>14871431933.779997</v>
      </c>
      <c r="FS29">
        <v>14867888364.529997</v>
      </c>
      <c r="FT29">
        <v>14869307963.529997</v>
      </c>
      <c r="FU29">
        <v>14869368502.529997</v>
      </c>
      <c r="FV29">
        <v>14870346645.529997</v>
      </c>
      <c r="FW29">
        <v>14867250296.529997</v>
      </c>
      <c r="FX29">
        <v>14867250296.529997</v>
      </c>
      <c r="FY29">
        <v>14867250296.529997</v>
      </c>
      <c r="FZ29">
        <v>14867472518.529997</v>
      </c>
      <c r="GA29">
        <v>14872441958.529997</v>
      </c>
      <c r="GB29">
        <v>14874662585.529997</v>
      </c>
      <c r="GC29">
        <v>14874662585.529997</v>
      </c>
      <c r="GD29">
        <v>14874662585.529997</v>
      </c>
      <c r="GE29">
        <v>14874662585.529997</v>
      </c>
      <c r="GF29">
        <v>14874723124.529997</v>
      </c>
      <c r="GG29">
        <v>14876466424.529997</v>
      </c>
      <c r="GH29">
        <v>14886331419.529997</v>
      </c>
      <c r="GI29">
        <v>14886331419.529997</v>
      </c>
      <c r="GJ29">
        <v>14886331419.529997</v>
      </c>
      <c r="GK29">
        <v>14895981954.529997</v>
      </c>
      <c r="GL29">
        <v>14901741954.529997</v>
      </c>
      <c r="GM29">
        <v>14901741954.529997</v>
      </c>
      <c r="GN29">
        <v>14903815891.529997</v>
      </c>
    </row>
    <row r="30" spans="6:232" x14ac:dyDescent="0.2">
      <c r="F30">
        <v>201906</v>
      </c>
      <c r="G30">
        <v>42529840.369999997</v>
      </c>
      <c r="H30">
        <v>1635817108.29</v>
      </c>
      <c r="I30">
        <v>5438181665</v>
      </c>
      <c r="J30">
        <v>9436050903</v>
      </c>
      <c r="K30">
        <v>11485739503</v>
      </c>
      <c r="L30">
        <v>11888810233</v>
      </c>
      <c r="M30">
        <v>12213689163</v>
      </c>
      <c r="N30">
        <v>12218750511</v>
      </c>
      <c r="O30">
        <v>12258836453</v>
      </c>
      <c r="P30">
        <v>12269739145</v>
      </c>
      <c r="Q30">
        <v>12273751233</v>
      </c>
      <c r="R30">
        <v>12352558350</v>
      </c>
      <c r="S30">
        <v>12355154355</v>
      </c>
      <c r="T30">
        <v>12355946575</v>
      </c>
      <c r="U30">
        <v>12427765823</v>
      </c>
      <c r="V30">
        <v>12427765823</v>
      </c>
      <c r="W30">
        <v>12427970968</v>
      </c>
      <c r="X30">
        <v>12428099118</v>
      </c>
      <c r="Y30">
        <v>12428099118</v>
      </c>
      <c r="Z30">
        <v>12454872365</v>
      </c>
      <c r="AA30">
        <v>12457106784</v>
      </c>
      <c r="AB30">
        <v>12465214880</v>
      </c>
      <c r="AC30">
        <v>12466570875</v>
      </c>
      <c r="AD30">
        <v>12470763128</v>
      </c>
      <c r="AE30">
        <v>12471555348</v>
      </c>
      <c r="AF30">
        <v>12471555348</v>
      </c>
      <c r="AG30">
        <v>12473111690</v>
      </c>
      <c r="AH30">
        <v>12473327931</v>
      </c>
      <c r="AI30">
        <v>12473327931</v>
      </c>
      <c r="AJ30">
        <v>12473327931</v>
      </c>
      <c r="AK30">
        <v>12473327931</v>
      </c>
      <c r="AL30">
        <v>12476976570</v>
      </c>
      <c r="AM30">
        <v>12476976570</v>
      </c>
      <c r="AN30">
        <v>12476976570</v>
      </c>
      <c r="AO30">
        <v>12482144993</v>
      </c>
      <c r="AP30">
        <v>12483579218</v>
      </c>
      <c r="AQ30">
        <v>12483579218</v>
      </c>
      <c r="AR30">
        <v>12503824801</v>
      </c>
      <c r="AS30">
        <v>12503914554</v>
      </c>
      <c r="AT30">
        <v>12503914554</v>
      </c>
      <c r="AU30">
        <v>12503914554</v>
      </c>
      <c r="AV30">
        <v>12526414896</v>
      </c>
      <c r="AW30">
        <v>12526414896</v>
      </c>
      <c r="AX30">
        <v>12527576323</v>
      </c>
      <c r="AY30">
        <v>12530451715</v>
      </c>
      <c r="AZ30">
        <v>12534123112</v>
      </c>
      <c r="BA30">
        <v>12540188150</v>
      </c>
      <c r="BB30">
        <v>12540411150</v>
      </c>
      <c r="BC30">
        <v>12540411150</v>
      </c>
      <c r="BD30">
        <v>12540500902</v>
      </c>
      <c r="BE30">
        <v>12540792236</v>
      </c>
      <c r="BF30">
        <v>12542348578</v>
      </c>
      <c r="BG30">
        <v>12542348578</v>
      </c>
      <c r="BH30">
        <v>12542348578</v>
      </c>
      <c r="BI30">
        <v>12542348578</v>
      </c>
      <c r="BJ30">
        <v>12546385397</v>
      </c>
      <c r="BK30">
        <v>12546385397</v>
      </c>
      <c r="BL30">
        <v>12547181402</v>
      </c>
      <c r="BM30">
        <v>12554069860</v>
      </c>
      <c r="BN30">
        <v>12554069860</v>
      </c>
      <c r="BO30">
        <v>12554069860</v>
      </c>
      <c r="BP30">
        <v>12554069860</v>
      </c>
      <c r="EB30">
        <v>169044217.37</v>
      </c>
      <c r="EC30">
        <v>5419623906.7599993</v>
      </c>
      <c r="ED30">
        <v>10478590525.769999</v>
      </c>
      <c r="EE30">
        <v>11547941586.759998</v>
      </c>
      <c r="EF30">
        <v>12234783685.209999</v>
      </c>
      <c r="EG30">
        <v>12837528516.689999</v>
      </c>
      <c r="EH30">
        <v>12267075310.369999</v>
      </c>
      <c r="EI30">
        <v>12270063189.209999</v>
      </c>
      <c r="EJ30">
        <v>12279797525.029999</v>
      </c>
      <c r="EK30">
        <v>12331386311.15</v>
      </c>
      <c r="EL30">
        <v>12337203259.15</v>
      </c>
      <c r="EM30">
        <v>12391945576.15</v>
      </c>
      <c r="EN30">
        <v>12392736721.15</v>
      </c>
      <c r="EO30">
        <v>12393785934.16</v>
      </c>
      <c r="EP30">
        <v>12453964519.01</v>
      </c>
      <c r="EQ30">
        <v>12453964519.01</v>
      </c>
      <c r="ER30">
        <v>12454169664.01</v>
      </c>
      <c r="ES30">
        <v>12454169318</v>
      </c>
      <c r="ET30">
        <v>12454169318</v>
      </c>
      <c r="EU30">
        <v>12454872365</v>
      </c>
      <c r="EV30">
        <v>12457106784</v>
      </c>
      <c r="EW30">
        <v>12465214880</v>
      </c>
      <c r="EX30">
        <v>12466570875</v>
      </c>
      <c r="EY30">
        <v>12470763128</v>
      </c>
      <c r="EZ30">
        <v>12471555348</v>
      </c>
      <c r="FA30">
        <v>12471555348</v>
      </c>
      <c r="FB30">
        <v>12473111690</v>
      </c>
      <c r="FC30">
        <v>12473327931</v>
      </c>
      <c r="FD30">
        <v>12473327931</v>
      </c>
      <c r="FE30">
        <v>12473327931</v>
      </c>
      <c r="FF30">
        <v>12473327931</v>
      </c>
      <c r="FG30">
        <v>12476976570</v>
      </c>
      <c r="FH30">
        <v>12476976570</v>
      </c>
      <c r="FI30">
        <v>12476976570</v>
      </c>
      <c r="FJ30">
        <v>12482144993</v>
      </c>
      <c r="FK30">
        <v>12483579218</v>
      </c>
      <c r="FL30">
        <v>12483579218</v>
      </c>
      <c r="FM30">
        <v>12503824801</v>
      </c>
      <c r="FN30">
        <v>12503914554</v>
      </c>
      <c r="FO30">
        <v>12503914554</v>
      </c>
      <c r="FP30">
        <v>12503914554</v>
      </c>
      <c r="FQ30">
        <v>12527474064</v>
      </c>
      <c r="FR30">
        <v>12527474064</v>
      </c>
      <c r="FS30">
        <v>12527576323</v>
      </c>
      <c r="FT30">
        <v>12530451715</v>
      </c>
      <c r="FU30">
        <v>12534123112</v>
      </c>
      <c r="FV30">
        <v>12540411975.1</v>
      </c>
      <c r="FW30">
        <v>12540411150</v>
      </c>
      <c r="FX30">
        <v>12540411150</v>
      </c>
      <c r="FY30">
        <v>12540500902</v>
      </c>
      <c r="FZ30">
        <v>12540792236</v>
      </c>
      <c r="GA30">
        <v>12542348578</v>
      </c>
      <c r="GB30">
        <v>12542348578</v>
      </c>
      <c r="GC30">
        <v>12542348578</v>
      </c>
      <c r="GD30">
        <v>12542348578</v>
      </c>
      <c r="GE30">
        <v>12546385397</v>
      </c>
      <c r="GF30">
        <v>12546385397</v>
      </c>
      <c r="GG30">
        <v>12547181402</v>
      </c>
      <c r="GH30">
        <v>12554069860</v>
      </c>
      <c r="GI30">
        <v>12554069860</v>
      </c>
      <c r="GJ30">
        <v>12554069860</v>
      </c>
      <c r="GK30">
        <v>12554069860</v>
      </c>
    </row>
    <row r="31" spans="6:232" x14ac:dyDescent="0.2">
      <c r="F31">
        <v>201909</v>
      </c>
      <c r="G31">
        <v>294546887</v>
      </c>
      <c r="H31">
        <v>2637086226.0100002</v>
      </c>
      <c r="I31">
        <v>8333769357.0100002</v>
      </c>
      <c r="J31">
        <v>10823710264.01</v>
      </c>
      <c r="K31">
        <v>12629187671.01</v>
      </c>
      <c r="L31">
        <v>13643123328.01</v>
      </c>
      <c r="M31">
        <v>16130655882.01</v>
      </c>
      <c r="N31">
        <v>17276631530.010002</v>
      </c>
      <c r="O31">
        <v>17386910102.010002</v>
      </c>
      <c r="P31">
        <v>18386910102.010002</v>
      </c>
      <c r="Q31">
        <v>18386910102.010002</v>
      </c>
      <c r="R31">
        <v>18386910102.010002</v>
      </c>
      <c r="S31">
        <v>18388226802.010002</v>
      </c>
      <c r="T31">
        <v>18406592834.010002</v>
      </c>
      <c r="U31">
        <v>18406592834.010002</v>
      </c>
      <c r="V31">
        <v>18406592834.010002</v>
      </c>
      <c r="W31">
        <v>18406592834.010002</v>
      </c>
      <c r="X31">
        <v>18415704541.010002</v>
      </c>
      <c r="Y31">
        <v>18415800206.860001</v>
      </c>
      <c r="Z31">
        <v>18420799381.860001</v>
      </c>
      <c r="AA31">
        <v>18420799381.860001</v>
      </c>
      <c r="AB31">
        <v>18420799381.860001</v>
      </c>
      <c r="AC31">
        <v>18420799381.860001</v>
      </c>
      <c r="AD31">
        <v>18620799381.860001</v>
      </c>
      <c r="AE31">
        <v>18621586076.860001</v>
      </c>
      <c r="AF31">
        <v>18622494602.860001</v>
      </c>
      <c r="AG31">
        <v>18622494602.860001</v>
      </c>
      <c r="AH31">
        <v>18622494602.860001</v>
      </c>
      <c r="AI31">
        <v>18631606309.860001</v>
      </c>
      <c r="AJ31">
        <v>18633469098.860001</v>
      </c>
      <c r="AK31">
        <v>18633469098.860001</v>
      </c>
      <c r="AL31">
        <v>18633469098.860001</v>
      </c>
      <c r="AM31">
        <v>18642469098.860001</v>
      </c>
      <c r="AN31">
        <v>18643550244.860001</v>
      </c>
      <c r="AO31">
        <v>18643550244.860001</v>
      </c>
      <c r="AP31">
        <v>18643550244.860001</v>
      </c>
      <c r="AQ31">
        <v>18644372902.860001</v>
      </c>
      <c r="AR31">
        <v>18644372902.860001</v>
      </c>
      <c r="AS31">
        <v>18741801402.860001</v>
      </c>
      <c r="AT31">
        <v>18763034499.860001</v>
      </c>
      <c r="AU31">
        <v>18763034499.860001</v>
      </c>
      <c r="AV31">
        <v>18763034499.860001</v>
      </c>
      <c r="AW31">
        <v>18763034499.860001</v>
      </c>
      <c r="AX31">
        <v>18763034499.860001</v>
      </c>
      <c r="AY31">
        <v>18764414899.860001</v>
      </c>
      <c r="AZ31">
        <v>18764414899.860001</v>
      </c>
      <c r="BA31">
        <v>18764414899.860001</v>
      </c>
      <c r="BB31">
        <v>18764414899.860001</v>
      </c>
      <c r="BC31">
        <v>18764414899.860001</v>
      </c>
      <c r="BD31">
        <v>18765482397.860001</v>
      </c>
      <c r="BE31">
        <v>18765482397.860001</v>
      </c>
      <c r="BF31">
        <v>18780289494.860001</v>
      </c>
      <c r="BG31">
        <v>18788571894.860001</v>
      </c>
      <c r="BH31">
        <v>18788571894.860001</v>
      </c>
      <c r="BI31">
        <v>18788571894.860001</v>
      </c>
      <c r="BJ31">
        <v>18788571894.860001</v>
      </c>
      <c r="BK31">
        <v>18788571894.860001</v>
      </c>
      <c r="BL31">
        <v>18788571894.860001</v>
      </c>
      <c r="BM31">
        <v>18788571894.860001</v>
      </c>
      <c r="EB31">
        <v>781041153.43000007</v>
      </c>
      <c r="EC31">
        <v>8428989488.5200005</v>
      </c>
      <c r="ED31">
        <v>13548116935.51</v>
      </c>
      <c r="EE31">
        <v>15709435704.110001</v>
      </c>
      <c r="EF31">
        <v>16824481165.76</v>
      </c>
      <c r="EG31">
        <v>17340945305.93</v>
      </c>
      <c r="EH31">
        <v>17355354269.639999</v>
      </c>
      <c r="EI31">
        <v>18358506595.049999</v>
      </c>
      <c r="EJ31">
        <v>18389610102.009998</v>
      </c>
      <c r="EK31">
        <v>18386910102.009998</v>
      </c>
      <c r="EL31">
        <v>18386910102.009998</v>
      </c>
      <c r="EM31">
        <v>18386910102.009998</v>
      </c>
      <c r="EN31">
        <v>18388226802.009998</v>
      </c>
      <c r="EO31">
        <v>18406592834.009998</v>
      </c>
      <c r="EP31">
        <v>18406592834.009998</v>
      </c>
      <c r="EQ31">
        <v>18406592834.009998</v>
      </c>
      <c r="ER31">
        <v>18406592834.009998</v>
      </c>
      <c r="ES31">
        <v>18616244541.009998</v>
      </c>
      <c r="ET31">
        <v>18616350206.859997</v>
      </c>
      <c r="EU31">
        <v>18621349381.859997</v>
      </c>
      <c r="EV31">
        <v>18621349381.859997</v>
      </c>
      <c r="EW31">
        <v>18621349381.859997</v>
      </c>
      <c r="EX31">
        <v>19172861881.859997</v>
      </c>
      <c r="EY31">
        <v>18620799381.859997</v>
      </c>
      <c r="EZ31">
        <v>18621586076.859997</v>
      </c>
      <c r="FA31">
        <v>18622494602.859997</v>
      </c>
      <c r="FB31">
        <v>18622494602.859997</v>
      </c>
      <c r="FC31">
        <v>18622494602.859997</v>
      </c>
      <c r="FD31">
        <v>18631606309.859997</v>
      </c>
      <c r="FE31">
        <v>18633469098.859997</v>
      </c>
      <c r="FF31">
        <v>18633469098.859997</v>
      </c>
      <c r="FG31">
        <v>18633469098.859997</v>
      </c>
      <c r="FH31">
        <v>18653211228.859997</v>
      </c>
      <c r="FI31">
        <v>18654292374.859997</v>
      </c>
      <c r="FJ31">
        <v>18654292374.859997</v>
      </c>
      <c r="FK31">
        <v>18654292374.859997</v>
      </c>
      <c r="FL31">
        <v>18655115032.859997</v>
      </c>
      <c r="FM31">
        <v>18655115032.859997</v>
      </c>
      <c r="FN31">
        <v>18836427933.359997</v>
      </c>
      <c r="FO31">
        <v>18864106308.359997</v>
      </c>
      <c r="FP31">
        <v>18857661030.359997</v>
      </c>
      <c r="FQ31">
        <v>18857661030.359997</v>
      </c>
      <c r="FR31">
        <v>18857661030.359997</v>
      </c>
      <c r="FS31">
        <v>18857727070.809998</v>
      </c>
      <c r="FT31">
        <v>18859107470.809998</v>
      </c>
      <c r="FU31">
        <v>18859107470.809998</v>
      </c>
      <c r="FV31">
        <v>18859107470.809998</v>
      </c>
      <c r="FW31">
        <v>18859107470.809998</v>
      </c>
      <c r="FX31">
        <v>18859107470.809998</v>
      </c>
      <c r="FY31">
        <v>18860174968.809998</v>
      </c>
      <c r="FZ31">
        <v>18860174968.809998</v>
      </c>
      <c r="GA31">
        <v>18874982065.809998</v>
      </c>
      <c r="GB31">
        <v>18884988420.929996</v>
      </c>
      <c r="GC31">
        <v>18884988420.929996</v>
      </c>
      <c r="GD31">
        <v>18884988420.929996</v>
      </c>
      <c r="GE31">
        <v>18885036451.479996</v>
      </c>
      <c r="GF31">
        <v>18885036451.479996</v>
      </c>
      <c r="GG31">
        <v>18885036451.479996</v>
      </c>
      <c r="GH31">
        <v>18788571894.859997</v>
      </c>
    </row>
    <row r="32" spans="6:232" x14ac:dyDescent="0.2">
      <c r="F32">
        <v>201912</v>
      </c>
      <c r="G32">
        <v>1448843.26</v>
      </c>
      <c r="H32">
        <v>3940876070.2600002</v>
      </c>
      <c r="I32">
        <v>7150341108.0100002</v>
      </c>
      <c r="J32">
        <v>10521220966.01</v>
      </c>
      <c r="K32">
        <v>13795423900.01</v>
      </c>
      <c r="L32">
        <v>14204404538.01</v>
      </c>
      <c r="M32">
        <v>14446668396.01</v>
      </c>
      <c r="N32">
        <v>14381566393.01</v>
      </c>
      <c r="O32">
        <v>14494884988.01</v>
      </c>
      <c r="P32">
        <v>14590768237.01</v>
      </c>
      <c r="Q32">
        <v>14594043235.01</v>
      </c>
      <c r="R32">
        <v>14594043235.01</v>
      </c>
      <c r="S32">
        <v>14601096788.01</v>
      </c>
      <c r="T32">
        <v>14604371786.01</v>
      </c>
      <c r="U32">
        <v>14910803786.01</v>
      </c>
      <c r="V32">
        <v>14912298862.01</v>
      </c>
      <c r="W32">
        <v>14918194750.01</v>
      </c>
      <c r="X32">
        <v>14918194750.01</v>
      </c>
      <c r="Y32">
        <v>14918194750.01</v>
      </c>
      <c r="Z32">
        <v>14918194750.01</v>
      </c>
      <c r="AA32">
        <v>14933240961.01</v>
      </c>
      <c r="AB32">
        <v>14938230961.01</v>
      </c>
      <c r="AC32">
        <v>14938230961.01</v>
      </c>
      <c r="AD32">
        <v>15072804660.01</v>
      </c>
      <c r="AE32">
        <v>15076708728.01</v>
      </c>
      <c r="AF32">
        <v>15076708728.01</v>
      </c>
      <c r="AG32">
        <v>15078203804.01</v>
      </c>
      <c r="AH32">
        <v>15078203804.01</v>
      </c>
      <c r="AI32">
        <v>15078203804.01</v>
      </c>
      <c r="AJ32">
        <v>15078203804.01</v>
      </c>
      <c r="AK32">
        <v>15078203804.01</v>
      </c>
      <c r="AL32">
        <v>15078203804.01</v>
      </c>
      <c r="AM32">
        <v>15078203804.01</v>
      </c>
      <c r="AN32">
        <v>15078203804.01</v>
      </c>
      <c r="AO32">
        <v>15078020120.01</v>
      </c>
      <c r="AP32">
        <v>15078020120.01</v>
      </c>
      <c r="AQ32">
        <v>15088348671.01</v>
      </c>
      <c r="AR32">
        <v>15088977741.01</v>
      </c>
      <c r="AS32">
        <v>15088977741.01</v>
      </c>
      <c r="AT32">
        <v>15088977741.01</v>
      </c>
      <c r="AU32">
        <v>15088977741.01</v>
      </c>
      <c r="AV32">
        <v>15088977741.01</v>
      </c>
      <c r="AW32">
        <v>15093947181.01</v>
      </c>
      <c r="AX32">
        <v>15093947181.01</v>
      </c>
      <c r="AY32">
        <v>15094169235.01</v>
      </c>
      <c r="AZ32">
        <v>15094169235.01</v>
      </c>
      <c r="BA32">
        <v>15094169235.01</v>
      </c>
      <c r="BB32">
        <v>15097444233.01</v>
      </c>
      <c r="BC32">
        <v>15104497786.01</v>
      </c>
      <c r="BD32">
        <v>15104497786.01</v>
      </c>
      <c r="BE32">
        <v>15104497786.01</v>
      </c>
      <c r="BF32">
        <v>15105453286.01</v>
      </c>
      <c r="BG32">
        <v>15105453286.01</v>
      </c>
      <c r="BH32">
        <v>15105453286.01</v>
      </c>
      <c r="BI32">
        <v>15105453286.01</v>
      </c>
      <c r="BJ32">
        <v>15105453286.01</v>
      </c>
      <c r="EB32">
        <v>5832058040.4099998</v>
      </c>
      <c r="EC32">
        <v>7975616719.9100008</v>
      </c>
      <c r="ED32">
        <v>10700216427.09</v>
      </c>
      <c r="EE32">
        <v>14718091869.639999</v>
      </c>
      <c r="EF32">
        <v>15066558278.219999</v>
      </c>
      <c r="EG32">
        <v>15417172330.129999</v>
      </c>
      <c r="EH32">
        <v>15370185344.459999</v>
      </c>
      <c r="EI32">
        <v>14872440110.209999</v>
      </c>
      <c r="EJ32">
        <v>14905281830.75</v>
      </c>
      <c r="EK32">
        <v>14608966323.540001</v>
      </c>
      <c r="EL32">
        <v>14612241321.540001</v>
      </c>
      <c r="EM32">
        <v>14918050471.900002</v>
      </c>
      <c r="EN32">
        <v>14925104024.900002</v>
      </c>
      <c r="EO32">
        <v>14928379022.900002</v>
      </c>
      <c r="EP32">
        <v>14938113733.320002</v>
      </c>
      <c r="EQ32">
        <v>14939610171.140001</v>
      </c>
      <c r="ER32">
        <v>14939221310.480001</v>
      </c>
      <c r="ES32">
        <v>14939221310.480001</v>
      </c>
      <c r="ET32">
        <v>14939221310.480001</v>
      </c>
      <c r="EU32">
        <v>14939221310.480001</v>
      </c>
      <c r="EV32">
        <v>14942522538.350002</v>
      </c>
      <c r="EW32">
        <v>14942508815.850002</v>
      </c>
      <c r="EX32">
        <v>15063039335.770002</v>
      </c>
      <c r="EY32">
        <v>15077082514.850002</v>
      </c>
      <c r="EZ32">
        <v>15080986582.850002</v>
      </c>
      <c r="FA32">
        <v>15080986582.850002</v>
      </c>
      <c r="FB32">
        <v>15082481658.850002</v>
      </c>
      <c r="FC32">
        <v>15082481658.850002</v>
      </c>
      <c r="FD32">
        <v>15082482725.380003</v>
      </c>
      <c r="FE32">
        <v>15082482725.380003</v>
      </c>
      <c r="FF32">
        <v>15082482725.380003</v>
      </c>
      <c r="FG32">
        <v>15082482725.380003</v>
      </c>
      <c r="FH32">
        <v>15082482725.380003</v>
      </c>
      <c r="FI32">
        <v>15082482725.380003</v>
      </c>
      <c r="FJ32">
        <v>15082299041.380003</v>
      </c>
      <c r="FK32">
        <v>15082299041.380003</v>
      </c>
      <c r="FL32">
        <v>15092627592.380003</v>
      </c>
      <c r="FM32">
        <v>15093256662.380003</v>
      </c>
      <c r="FN32">
        <v>15093256662.380003</v>
      </c>
      <c r="FO32">
        <v>15093256662.380003</v>
      </c>
      <c r="FP32">
        <v>15093259648.670004</v>
      </c>
      <c r="FQ32">
        <v>15093259648.670004</v>
      </c>
      <c r="FR32">
        <v>15098229088.670004</v>
      </c>
      <c r="FS32">
        <v>15098229088.670004</v>
      </c>
      <c r="FT32">
        <v>15098451142.670004</v>
      </c>
      <c r="FU32">
        <v>15098451142.670004</v>
      </c>
      <c r="FV32">
        <v>15098451142.670004</v>
      </c>
      <c r="FW32">
        <v>15101726140.670004</v>
      </c>
      <c r="FX32">
        <v>15108779693.670004</v>
      </c>
      <c r="FY32">
        <v>15108779693.670004</v>
      </c>
      <c r="FZ32">
        <v>15108779693.670004</v>
      </c>
      <c r="GA32">
        <v>15109735193.670004</v>
      </c>
      <c r="GB32">
        <v>15109737326.730003</v>
      </c>
      <c r="GC32">
        <v>15109737326.730003</v>
      </c>
      <c r="GD32">
        <v>15109737326.730003</v>
      </c>
      <c r="GE32">
        <v>15105453286.010004</v>
      </c>
    </row>
    <row r="33" spans="6:184" x14ac:dyDescent="0.2">
      <c r="F33">
        <v>202003</v>
      </c>
      <c r="G33">
        <v>96000000</v>
      </c>
      <c r="H33">
        <v>2370411244.5300002</v>
      </c>
      <c r="I33">
        <v>7984877444.2199993</v>
      </c>
      <c r="J33">
        <v>14023449559.219999</v>
      </c>
      <c r="K33">
        <v>16790713849.219999</v>
      </c>
      <c r="L33">
        <v>18381164062.220001</v>
      </c>
      <c r="M33">
        <v>19641857946.220001</v>
      </c>
      <c r="N33">
        <v>19760457855.220001</v>
      </c>
      <c r="O33">
        <v>19987375393.220001</v>
      </c>
      <c r="P33">
        <v>19989568947.220001</v>
      </c>
      <c r="Q33">
        <v>20455518843.220001</v>
      </c>
      <c r="R33">
        <v>20472718298.220001</v>
      </c>
      <c r="S33">
        <v>20473491302.220001</v>
      </c>
      <c r="T33">
        <v>20492868005.32</v>
      </c>
      <c r="U33">
        <v>20546868005.32</v>
      </c>
      <c r="V33">
        <v>20548868005.32</v>
      </c>
      <c r="W33">
        <v>20548868005.32</v>
      </c>
      <c r="X33">
        <v>20548868005.32</v>
      </c>
      <c r="Y33">
        <v>20548868005.32</v>
      </c>
      <c r="Z33">
        <v>20567721565.32</v>
      </c>
      <c r="AA33">
        <v>20568630091.32</v>
      </c>
      <c r="AB33">
        <v>20568630091.32</v>
      </c>
      <c r="AC33">
        <v>20578993707.32</v>
      </c>
      <c r="AD33">
        <v>20599831597.32</v>
      </c>
      <c r="AE33">
        <v>20599831597.32</v>
      </c>
      <c r="AF33">
        <v>20599939695.32</v>
      </c>
      <c r="AG33">
        <v>20599939695.32</v>
      </c>
      <c r="AH33">
        <v>20601533544.32</v>
      </c>
      <c r="AI33">
        <v>20601533544.32</v>
      </c>
      <c r="AJ33">
        <v>20601575544.32</v>
      </c>
      <c r="AK33">
        <v>20602765544.32</v>
      </c>
      <c r="AL33">
        <v>20602533523.32</v>
      </c>
      <c r="AM33">
        <v>20636994093.32</v>
      </c>
      <c r="AN33">
        <v>20652004254.32</v>
      </c>
      <c r="AO33">
        <v>20664303034.32</v>
      </c>
      <c r="AP33">
        <v>20668781242.32</v>
      </c>
      <c r="AQ33">
        <v>20668781242.32</v>
      </c>
      <c r="AR33">
        <v>20668781242.32</v>
      </c>
      <c r="AS33">
        <v>20668781242.32</v>
      </c>
      <c r="AT33">
        <v>20670467043.32</v>
      </c>
      <c r="AU33">
        <v>20670467043.32</v>
      </c>
      <c r="AV33">
        <v>20670467043.32</v>
      </c>
      <c r="AW33">
        <v>20670467043.32</v>
      </c>
      <c r="AX33">
        <v>20672252043.32</v>
      </c>
      <c r="AY33">
        <v>20672252043.32</v>
      </c>
      <c r="AZ33">
        <v>20687262204.32</v>
      </c>
      <c r="BA33">
        <v>20687262204.32</v>
      </c>
      <c r="BB33">
        <v>20691740412.32</v>
      </c>
      <c r="BC33">
        <v>20691740412.32</v>
      </c>
      <c r="BD33">
        <v>20691740412.32</v>
      </c>
      <c r="BE33">
        <v>20691740412.32</v>
      </c>
      <c r="BF33">
        <v>20693518166.32</v>
      </c>
      <c r="BG33">
        <v>20702618166.32</v>
      </c>
      <c r="EB33">
        <v>4160603973.5299997</v>
      </c>
      <c r="EC33">
        <v>9388091381.7700005</v>
      </c>
      <c r="ED33">
        <v>14644619542.1</v>
      </c>
      <c r="EE33">
        <v>18660348051.240002</v>
      </c>
      <c r="EF33">
        <v>19236755684.640003</v>
      </c>
      <c r="EG33">
        <v>20222167209.610004</v>
      </c>
      <c r="EH33">
        <v>20283467610.670006</v>
      </c>
      <c r="EI33">
        <v>20319707874.790005</v>
      </c>
      <c r="EJ33">
        <v>20293498513.490005</v>
      </c>
      <c r="EK33">
        <v>20640370193.920006</v>
      </c>
      <c r="EL33">
        <v>20652624475.300007</v>
      </c>
      <c r="EM33">
        <v>20664540810.280006</v>
      </c>
      <c r="EN33">
        <v>21314416861.770008</v>
      </c>
      <c r="EO33">
        <v>20680607388.050007</v>
      </c>
      <c r="EP33">
        <v>20678527895.380009</v>
      </c>
      <c r="EQ33">
        <v>20680527895.380009</v>
      </c>
      <c r="ER33">
        <v>20583523751.570007</v>
      </c>
      <c r="ES33">
        <v>20583523751.570007</v>
      </c>
      <c r="ET33">
        <v>20583523751.570007</v>
      </c>
      <c r="EU33">
        <v>20602377311.570007</v>
      </c>
      <c r="EV33">
        <v>20625022869.470009</v>
      </c>
      <c r="EW33">
        <v>20603285837.570007</v>
      </c>
      <c r="EX33">
        <v>20713924453.570007</v>
      </c>
      <c r="EY33">
        <v>20734762343.570007</v>
      </c>
      <c r="EZ33">
        <v>20734762343.570007</v>
      </c>
      <c r="FA33">
        <v>20734803647.100006</v>
      </c>
      <c r="FB33">
        <v>20734803647.100006</v>
      </c>
      <c r="FC33">
        <v>20736397496.100006</v>
      </c>
      <c r="FD33">
        <v>20736397496.100006</v>
      </c>
      <c r="FE33">
        <v>20636139496.100006</v>
      </c>
      <c r="FF33">
        <v>20638523066.100006</v>
      </c>
      <c r="FG33">
        <v>20638291045.100006</v>
      </c>
      <c r="FH33">
        <v>20638187663.390007</v>
      </c>
      <c r="FI33">
        <v>20731431824.390007</v>
      </c>
      <c r="FJ33">
        <v>20743730604.390007</v>
      </c>
      <c r="FK33">
        <v>20748208812.390007</v>
      </c>
      <c r="FL33">
        <v>20748208812.390007</v>
      </c>
      <c r="FM33">
        <v>20748264245.390007</v>
      </c>
      <c r="FN33">
        <v>20748264245.390007</v>
      </c>
      <c r="FO33">
        <v>20749950046.390007</v>
      </c>
      <c r="FP33">
        <v>20749950046.390007</v>
      </c>
      <c r="FQ33">
        <v>20749950046.390007</v>
      </c>
      <c r="FR33">
        <v>20749950046.390007</v>
      </c>
      <c r="FS33">
        <v>20749943441.890007</v>
      </c>
      <c r="FT33">
        <v>20749943441.890007</v>
      </c>
      <c r="FU33">
        <v>20764953602.890007</v>
      </c>
      <c r="FV33">
        <v>20764953602.890007</v>
      </c>
      <c r="FW33">
        <v>20769431810.890007</v>
      </c>
      <c r="FX33">
        <v>20769431810.890007</v>
      </c>
      <c r="FY33">
        <v>20769470513.390007</v>
      </c>
      <c r="FZ33">
        <v>20709218513.390007</v>
      </c>
      <c r="GA33">
        <v>20710996267.390007</v>
      </c>
      <c r="GB33">
        <v>20702618166.390007</v>
      </c>
    </row>
    <row r="34" spans="6:184" x14ac:dyDescent="0.2">
      <c r="F34">
        <v>202006</v>
      </c>
      <c r="G34">
        <v>705462997.48000002</v>
      </c>
      <c r="H34">
        <v>1891776022.48</v>
      </c>
      <c r="I34">
        <v>3718030332.0999999</v>
      </c>
      <c r="J34">
        <v>5697451986.04</v>
      </c>
      <c r="K34">
        <v>7373320638.04</v>
      </c>
      <c r="L34">
        <v>8016770936.04</v>
      </c>
      <c r="M34">
        <v>8069607607.04</v>
      </c>
      <c r="N34">
        <v>8070262648.04</v>
      </c>
      <c r="O34">
        <v>8070262648.04</v>
      </c>
      <c r="P34">
        <v>8133246662.04</v>
      </c>
      <c r="Q34">
        <v>8133246662.04</v>
      </c>
      <c r="R34">
        <v>8176316777.04</v>
      </c>
      <c r="S34">
        <v>8176316777.04</v>
      </c>
      <c r="T34">
        <v>8011193257.04</v>
      </c>
      <c r="U34">
        <v>8111714945.04</v>
      </c>
      <c r="V34">
        <v>8111714945.04</v>
      </c>
      <c r="W34">
        <v>8111714945.04</v>
      </c>
      <c r="X34">
        <v>8162979218.04</v>
      </c>
      <c r="Y34">
        <v>8163634259.04</v>
      </c>
      <c r="Z34">
        <v>8194788866.04</v>
      </c>
      <c r="AA34">
        <v>8194788866.04</v>
      </c>
      <c r="AB34">
        <v>8287640454.04</v>
      </c>
      <c r="AC34">
        <v>8287640454.04</v>
      </c>
      <c r="AD34">
        <v>8296140454.04</v>
      </c>
      <c r="AE34">
        <v>8303172866.04</v>
      </c>
      <c r="AF34">
        <v>8307757057.04</v>
      </c>
      <c r="AG34">
        <v>8308634971.04</v>
      </c>
      <c r="AH34">
        <v>8308634971.04</v>
      </c>
      <c r="AI34">
        <v>8308634971.04</v>
      </c>
      <c r="AJ34">
        <v>8367707439.04</v>
      </c>
      <c r="AK34">
        <v>8367707439.04</v>
      </c>
      <c r="AL34">
        <v>8524455825.04</v>
      </c>
      <c r="AM34">
        <v>8438082789.04</v>
      </c>
      <c r="AN34">
        <v>8435834210.04</v>
      </c>
      <c r="AO34">
        <v>8435834210.04</v>
      </c>
      <c r="AP34">
        <v>8606793830.0400009</v>
      </c>
      <c r="AQ34">
        <v>8606793830.0400009</v>
      </c>
      <c r="AR34">
        <v>8612368023.0400009</v>
      </c>
      <c r="AS34">
        <v>8616997211.0400009</v>
      </c>
      <c r="AT34">
        <v>8618377611.0400009</v>
      </c>
      <c r="AU34">
        <v>8618377611.0400009</v>
      </c>
      <c r="AV34">
        <v>8619368304.0400009</v>
      </c>
      <c r="AW34">
        <v>8619368304.0400009</v>
      </c>
      <c r="AX34">
        <v>8619368304.0400009</v>
      </c>
      <c r="AY34">
        <v>8622119725.0400009</v>
      </c>
      <c r="AZ34">
        <v>8622119725.0400009</v>
      </c>
      <c r="BA34">
        <v>8623126933.0400009</v>
      </c>
      <c r="BB34">
        <v>8623126933.0400009</v>
      </c>
      <c r="BC34">
        <v>8623126933.0400009</v>
      </c>
      <c r="BD34">
        <v>8626824457.0400009</v>
      </c>
      <c r="EB34">
        <v>1963299866.0900002</v>
      </c>
      <c r="EC34">
        <v>2978114004.9499998</v>
      </c>
      <c r="ED34">
        <v>5595919758.3699999</v>
      </c>
      <c r="EE34">
        <v>8215206540.6399994</v>
      </c>
      <c r="EF34">
        <v>8331370629.6399994</v>
      </c>
      <c r="EG34">
        <v>8328912132.8899994</v>
      </c>
      <c r="EH34">
        <v>8381748802.8799992</v>
      </c>
      <c r="EI34">
        <v>8382403843.8799992</v>
      </c>
      <c r="EJ34">
        <v>8382403843.8799992</v>
      </c>
      <c r="EK34">
        <v>8445403422.9199991</v>
      </c>
      <c r="EL34">
        <v>8465458422.9199991</v>
      </c>
      <c r="EM34">
        <v>8488473537.9199991</v>
      </c>
      <c r="EN34">
        <v>8488473537.9199991</v>
      </c>
      <c r="EO34">
        <v>8489190254.8399992</v>
      </c>
      <c r="EP34">
        <v>8589711942.8399992</v>
      </c>
      <c r="EQ34">
        <v>8589711942.8399992</v>
      </c>
      <c r="ER34">
        <v>8589711942.8399992</v>
      </c>
      <c r="ES34">
        <v>8640976215.8400002</v>
      </c>
      <c r="ET34">
        <v>8800359335.9699993</v>
      </c>
      <c r="EU34">
        <v>8803298844.2399998</v>
      </c>
      <c r="EV34">
        <v>8803298844.2399998</v>
      </c>
      <c r="EW34">
        <v>8929390002.3699989</v>
      </c>
      <c r="EX34">
        <v>8929549999.7699986</v>
      </c>
      <c r="EY34">
        <v>8811671999.7699986</v>
      </c>
      <c r="EZ34">
        <v>8811650902.5299988</v>
      </c>
      <c r="FA34">
        <v>8816235093.5299988</v>
      </c>
      <c r="FB34">
        <v>8817113007.5299988</v>
      </c>
      <c r="FC34">
        <v>8817113007.5299988</v>
      </c>
      <c r="FD34">
        <v>8817113007.5299988</v>
      </c>
      <c r="FE34">
        <v>9022222275.5299988</v>
      </c>
      <c r="FF34">
        <v>9022222275.5299988</v>
      </c>
      <c r="FG34">
        <v>8737739577.4799995</v>
      </c>
      <c r="FH34">
        <v>8485484958.1999998</v>
      </c>
      <c r="FI34">
        <v>8488311559.1999998</v>
      </c>
      <c r="FJ34">
        <v>8488348183.4799995</v>
      </c>
      <c r="FK34">
        <v>8653712985.9599991</v>
      </c>
      <c r="FL34">
        <v>8617467371.5599995</v>
      </c>
      <c r="FM34">
        <v>8617446745.039999</v>
      </c>
      <c r="FN34">
        <v>8622075933.039999</v>
      </c>
      <c r="FO34">
        <v>8623456333.039999</v>
      </c>
      <c r="FP34">
        <v>8623456333.039999</v>
      </c>
      <c r="FQ34">
        <v>8624447026.039999</v>
      </c>
      <c r="FR34">
        <v>8624447026.039999</v>
      </c>
      <c r="FS34">
        <v>8624447026.039999</v>
      </c>
      <c r="FT34">
        <v>8627198447.039999</v>
      </c>
      <c r="FU34">
        <v>8627198447.039999</v>
      </c>
      <c r="FV34">
        <v>8623187185.039999</v>
      </c>
      <c r="FW34">
        <v>8623187185.039999</v>
      </c>
      <c r="FX34">
        <v>8623187185.039999</v>
      </c>
      <c r="FY34">
        <v>8626824457.039999</v>
      </c>
    </row>
    <row r="35" spans="6:184" x14ac:dyDescent="0.2">
      <c r="F35">
        <v>202009</v>
      </c>
      <c r="G35">
        <v>12805179</v>
      </c>
      <c r="H35">
        <v>2004600496</v>
      </c>
      <c r="I35">
        <v>5231470250</v>
      </c>
      <c r="J35">
        <v>12721805691</v>
      </c>
      <c r="K35">
        <v>17551484304</v>
      </c>
      <c r="L35">
        <v>18846225733</v>
      </c>
      <c r="M35">
        <v>19711900502</v>
      </c>
      <c r="N35">
        <v>20439927510.889999</v>
      </c>
      <c r="O35">
        <v>20889892091.889999</v>
      </c>
      <c r="P35">
        <v>20891208795.889999</v>
      </c>
      <c r="Q35">
        <v>20891967441.889999</v>
      </c>
      <c r="R35">
        <v>20912512587.889999</v>
      </c>
      <c r="S35">
        <v>21127333060.889999</v>
      </c>
      <c r="T35">
        <v>21164955402.889999</v>
      </c>
      <c r="U35">
        <v>21169674561.889999</v>
      </c>
      <c r="V35">
        <v>21232573767.889999</v>
      </c>
      <c r="W35">
        <v>21264737828.889999</v>
      </c>
      <c r="X35">
        <v>21277878588.889999</v>
      </c>
      <c r="Y35">
        <v>21277878588.889999</v>
      </c>
      <c r="Z35">
        <v>21277878588.889999</v>
      </c>
      <c r="AA35">
        <v>21316753137.889999</v>
      </c>
      <c r="AB35">
        <v>21317511783.889999</v>
      </c>
      <c r="AC35">
        <v>21352441148.889999</v>
      </c>
      <c r="AD35">
        <v>21352441148.889999</v>
      </c>
      <c r="AE35">
        <v>21352441148.889999</v>
      </c>
      <c r="AF35">
        <v>21352441148.889999</v>
      </c>
      <c r="AG35">
        <v>21353885649.889999</v>
      </c>
      <c r="AH35">
        <v>21353885649.889999</v>
      </c>
      <c r="AI35">
        <v>21361025649.889999</v>
      </c>
      <c r="AJ35">
        <v>21361025649.889999</v>
      </c>
      <c r="AK35">
        <v>21361025649.889999</v>
      </c>
      <c r="AL35">
        <v>21385710449.889999</v>
      </c>
      <c r="AM35">
        <v>21392363913.889999</v>
      </c>
      <c r="AN35">
        <v>21425012805.889999</v>
      </c>
      <c r="AO35">
        <v>21425012805.889999</v>
      </c>
      <c r="AP35">
        <v>21425012805.889999</v>
      </c>
      <c r="AQ35">
        <v>21425012805.889999</v>
      </c>
      <c r="AR35">
        <v>21427263669.889999</v>
      </c>
      <c r="AS35">
        <v>21430357935.889999</v>
      </c>
      <c r="AT35">
        <v>21430357935.889999</v>
      </c>
      <c r="AU35">
        <v>21453037127.889999</v>
      </c>
      <c r="AV35">
        <v>21453037127.889999</v>
      </c>
      <c r="AW35">
        <v>21454417527.889999</v>
      </c>
      <c r="AX35">
        <v>21454417527.889999</v>
      </c>
      <c r="AY35">
        <v>21454417527.889999</v>
      </c>
      <c r="AZ35">
        <v>21487066419.889999</v>
      </c>
      <c r="BA35">
        <v>21487066419.889999</v>
      </c>
      <c r="EB35">
        <v>3049008109.5900002</v>
      </c>
      <c r="EC35">
        <v>8178814415.3099995</v>
      </c>
      <c r="ED35">
        <v>17848314705.599998</v>
      </c>
      <c r="EE35">
        <v>20340161142.459999</v>
      </c>
      <c r="EF35">
        <v>21158251076.209999</v>
      </c>
      <c r="EG35">
        <v>20778864538.799999</v>
      </c>
      <c r="EH35">
        <v>20753841677.689999</v>
      </c>
      <c r="EI35">
        <v>21106331484.419998</v>
      </c>
      <c r="EJ35">
        <v>21217716754.179996</v>
      </c>
      <c r="EK35">
        <v>21155318723.179996</v>
      </c>
      <c r="EL35">
        <v>21156077369.179996</v>
      </c>
      <c r="EM35">
        <v>21144892661.379997</v>
      </c>
      <c r="EN35">
        <v>21145585899.379997</v>
      </c>
      <c r="EO35">
        <v>21183208241.379997</v>
      </c>
      <c r="EP35">
        <v>21338310683.249996</v>
      </c>
      <c r="EQ35">
        <v>21293106619.549995</v>
      </c>
      <c r="ER35">
        <v>21293018167.379997</v>
      </c>
      <c r="ES35">
        <v>21296131427.379997</v>
      </c>
      <c r="ET35">
        <v>21570884927.379997</v>
      </c>
      <c r="EU35">
        <v>21570958015.419998</v>
      </c>
      <c r="EV35">
        <v>21609832564.419998</v>
      </c>
      <c r="EW35">
        <v>21610591210.419998</v>
      </c>
      <c r="EX35">
        <v>21645520575.419998</v>
      </c>
      <c r="EY35">
        <v>21645520575.419998</v>
      </c>
      <c r="EZ35">
        <v>21645520575.419998</v>
      </c>
      <c r="FA35">
        <v>21645520575.419998</v>
      </c>
      <c r="FB35">
        <v>21646965076.419998</v>
      </c>
      <c r="FC35">
        <v>21659001076.419998</v>
      </c>
      <c r="FD35">
        <v>21658979656.419998</v>
      </c>
      <c r="FE35">
        <v>21640722229.889999</v>
      </c>
      <c r="FF35">
        <v>21640722229.889999</v>
      </c>
      <c r="FG35">
        <v>21679457306.689999</v>
      </c>
      <c r="FH35">
        <v>21685844468</v>
      </c>
      <c r="FI35">
        <v>21718493360</v>
      </c>
      <c r="FJ35">
        <v>21718493360</v>
      </c>
      <c r="FK35">
        <v>21718493360</v>
      </c>
      <c r="FL35">
        <v>21718493360</v>
      </c>
      <c r="FM35">
        <v>21720744224</v>
      </c>
      <c r="FN35">
        <v>21722452982.52</v>
      </c>
      <c r="FO35">
        <v>21722452982.52</v>
      </c>
      <c r="FP35">
        <v>21745132175.529999</v>
      </c>
      <c r="FQ35">
        <v>21745132175.529999</v>
      </c>
      <c r="FR35">
        <v>21745127068.049999</v>
      </c>
      <c r="FS35">
        <v>21745271886.989998</v>
      </c>
      <c r="FT35">
        <v>21899680269.82</v>
      </c>
      <c r="FU35">
        <v>21932329161.82</v>
      </c>
      <c r="FV35">
        <v>21618816365.310001</v>
      </c>
    </row>
    <row r="36" spans="6:184" x14ac:dyDescent="0.2">
      <c r="F36">
        <v>202012</v>
      </c>
      <c r="G36">
        <v>829938</v>
      </c>
      <c r="H36">
        <v>3009227292</v>
      </c>
      <c r="I36">
        <v>10198419715</v>
      </c>
      <c r="J36">
        <v>16871083439.790001</v>
      </c>
      <c r="K36">
        <v>21782895033.010002</v>
      </c>
      <c r="L36">
        <v>23749319184.010002</v>
      </c>
      <c r="M36">
        <v>26274864566.990002</v>
      </c>
      <c r="N36">
        <v>26760391521.990002</v>
      </c>
      <c r="O36">
        <v>26772709210.990002</v>
      </c>
      <c r="P36">
        <v>27021832274.990002</v>
      </c>
      <c r="Q36">
        <v>27021832274.990002</v>
      </c>
      <c r="R36">
        <v>27058664950.990002</v>
      </c>
      <c r="S36">
        <v>27508664950.990002</v>
      </c>
      <c r="T36">
        <v>27521465113.990002</v>
      </c>
      <c r="U36">
        <v>27521687181.990002</v>
      </c>
      <c r="V36">
        <v>27533634827.990002</v>
      </c>
      <c r="W36">
        <v>27574145353.990002</v>
      </c>
      <c r="X36">
        <v>27588966300.990002</v>
      </c>
      <c r="Y36">
        <v>27594916300.990002</v>
      </c>
      <c r="Z36">
        <v>27619038801.990002</v>
      </c>
      <c r="AA36">
        <v>27619038801.990002</v>
      </c>
      <c r="AB36">
        <v>27619038801.990002</v>
      </c>
      <c r="AC36">
        <v>27616147207.990002</v>
      </c>
      <c r="AD36">
        <v>27617228353.990002</v>
      </c>
      <c r="AE36">
        <v>27617228353.990002</v>
      </c>
      <c r="AF36">
        <v>27617228353.990002</v>
      </c>
      <c r="AG36">
        <v>27628211464.990002</v>
      </c>
      <c r="AH36">
        <v>27628211464.990002</v>
      </c>
      <c r="AI36">
        <v>27643395864.990002</v>
      </c>
      <c r="AJ36">
        <v>27661641211.990002</v>
      </c>
      <c r="AK36">
        <v>27667237732.990002</v>
      </c>
      <c r="AL36">
        <v>27667237732.990002</v>
      </c>
      <c r="AM36">
        <v>27667337732.990002</v>
      </c>
      <c r="AN36">
        <v>27679761332.990002</v>
      </c>
      <c r="AO36">
        <v>27679761332.990002</v>
      </c>
      <c r="AP36">
        <v>27679761332.990002</v>
      </c>
      <c r="AQ36">
        <v>27679761332.990002</v>
      </c>
      <c r="AR36">
        <v>27679761332.990002</v>
      </c>
      <c r="AS36">
        <v>27690744443.990002</v>
      </c>
      <c r="AT36">
        <v>27690744443.990002</v>
      </c>
      <c r="AU36">
        <v>27694103243.990002</v>
      </c>
      <c r="AV36">
        <v>27710084190.990002</v>
      </c>
      <c r="AW36">
        <v>27742564190.990002</v>
      </c>
      <c r="AX36">
        <v>27742564190.990002</v>
      </c>
      <c r="EB36">
        <v>6528996794.3000002</v>
      </c>
      <c r="EC36">
        <v>14829100913</v>
      </c>
      <c r="ED36">
        <v>21200194384.630001</v>
      </c>
      <c r="EE36">
        <v>27194399446.75</v>
      </c>
      <c r="EF36">
        <v>28832697426.959999</v>
      </c>
      <c r="EG36">
        <v>28073114165.079998</v>
      </c>
      <c r="EH36">
        <v>28206070443.439999</v>
      </c>
      <c r="EI36">
        <v>27758347918.719997</v>
      </c>
      <c r="EJ36">
        <v>27218490379.219997</v>
      </c>
      <c r="EK36">
        <v>27691163245.219997</v>
      </c>
      <c r="EL36">
        <v>27689889772.769997</v>
      </c>
      <c r="EM36">
        <v>27689898081.489998</v>
      </c>
      <c r="EN36">
        <v>27688660582.489998</v>
      </c>
      <c r="EO36">
        <v>27701460744.489998</v>
      </c>
      <c r="EP36">
        <v>27701682812.489998</v>
      </c>
      <c r="EQ36">
        <v>27815610133.489998</v>
      </c>
      <c r="ER36">
        <v>27733722653.989998</v>
      </c>
      <c r="ES36">
        <v>27748543600.989998</v>
      </c>
      <c r="ET36">
        <v>27754493600.989998</v>
      </c>
      <c r="EU36">
        <v>27778616101.989998</v>
      </c>
      <c r="EV36">
        <v>27778616101.989998</v>
      </c>
      <c r="EW36">
        <v>27778616101.989998</v>
      </c>
      <c r="EX36">
        <v>27775724507.989998</v>
      </c>
      <c r="EY36">
        <v>27776805653.989998</v>
      </c>
      <c r="EZ36">
        <v>27776805653.989998</v>
      </c>
      <c r="FA36">
        <v>27776805653.989998</v>
      </c>
      <c r="FB36">
        <v>27770135964.989998</v>
      </c>
      <c r="FC36">
        <v>27860775871.389999</v>
      </c>
      <c r="FD36">
        <v>28314353657.27</v>
      </c>
      <c r="FE36">
        <v>28324384723.470001</v>
      </c>
      <c r="FF36">
        <v>28307467730.540001</v>
      </c>
      <c r="FG36">
        <v>28307467730.540001</v>
      </c>
      <c r="FH36">
        <v>28310338745.5</v>
      </c>
      <c r="FI36">
        <v>28310292778.18</v>
      </c>
      <c r="FJ36">
        <v>28310292778.18</v>
      </c>
      <c r="FK36">
        <v>28310292778.18</v>
      </c>
      <c r="FL36">
        <v>27881913618.18</v>
      </c>
      <c r="FM36">
        <v>27881913618.18</v>
      </c>
      <c r="FN36">
        <v>27892896729.18</v>
      </c>
      <c r="FO36">
        <v>27892896729.18</v>
      </c>
      <c r="FP36">
        <v>27894288785.760002</v>
      </c>
      <c r="FQ36">
        <v>27910269732.760002</v>
      </c>
      <c r="FR36">
        <v>27927501558.280003</v>
      </c>
      <c r="FS36">
        <v>27742564190.990002</v>
      </c>
    </row>
    <row r="37" spans="6:184" x14ac:dyDescent="0.2">
      <c r="F37">
        <v>202103</v>
      </c>
      <c r="G37">
        <v>270376552</v>
      </c>
      <c r="H37">
        <v>2369351910</v>
      </c>
      <c r="I37">
        <v>8948457014</v>
      </c>
      <c r="J37">
        <v>16864736331.049999</v>
      </c>
      <c r="K37">
        <v>23078294500.049999</v>
      </c>
      <c r="L37">
        <v>27662480605.049999</v>
      </c>
      <c r="M37">
        <v>28744455824.049999</v>
      </c>
      <c r="N37">
        <v>29965204316.049999</v>
      </c>
      <c r="O37">
        <v>32243390380.049999</v>
      </c>
      <c r="P37">
        <v>32450701676.049999</v>
      </c>
      <c r="Q37">
        <v>32507148455.049999</v>
      </c>
      <c r="R37">
        <v>32554632242.049999</v>
      </c>
      <c r="S37">
        <v>32569959846.049999</v>
      </c>
      <c r="T37">
        <v>32536717202.049999</v>
      </c>
      <c r="U37">
        <v>32717508419.049999</v>
      </c>
      <c r="V37">
        <v>32982955508.049999</v>
      </c>
      <c r="W37">
        <v>32982955508.049999</v>
      </c>
      <c r="X37">
        <v>33023755508.049999</v>
      </c>
      <c r="Y37">
        <v>33023755508.049999</v>
      </c>
      <c r="Z37">
        <v>33026203480.049999</v>
      </c>
      <c r="AA37">
        <v>33026203480.049999</v>
      </c>
      <c r="AB37">
        <v>33027393480.049999</v>
      </c>
      <c r="AC37">
        <v>33027393480.049999</v>
      </c>
      <c r="AD37">
        <v>33028583480.049999</v>
      </c>
      <c r="AE37">
        <v>33034155142.049999</v>
      </c>
      <c r="AF37">
        <v>33034155142.049999</v>
      </c>
      <c r="AG37">
        <v>33034155142.049999</v>
      </c>
      <c r="AH37">
        <v>33035800863.049999</v>
      </c>
      <c r="AI37">
        <v>33036643681.049999</v>
      </c>
      <c r="AJ37">
        <v>33036643681.049999</v>
      </c>
      <c r="AK37">
        <v>33036643681.049999</v>
      </c>
      <c r="AL37">
        <v>33038471481.049999</v>
      </c>
      <c r="AM37">
        <v>33055631481.049999</v>
      </c>
      <c r="AN37">
        <v>33055631481.049999</v>
      </c>
      <c r="AO37">
        <v>33055631481.049999</v>
      </c>
      <c r="AP37">
        <v>33055631481.049999</v>
      </c>
      <c r="AQ37">
        <v>33055631481.049999</v>
      </c>
      <c r="AR37">
        <v>33057471480.049999</v>
      </c>
      <c r="AS37">
        <v>33454345899.049999</v>
      </c>
      <c r="AT37">
        <v>33454345899.049999</v>
      </c>
      <c r="AU37">
        <v>33454608195.049999</v>
      </c>
      <c r="EB37">
        <v>6980767382.6199999</v>
      </c>
      <c r="EC37">
        <v>19571968913.759998</v>
      </c>
      <c r="ED37">
        <v>27970288457.299999</v>
      </c>
      <c r="EE37">
        <v>33155801108.290001</v>
      </c>
      <c r="EF37">
        <v>35433138606.470001</v>
      </c>
      <c r="EG37">
        <v>35342156837.800003</v>
      </c>
      <c r="EH37">
        <v>35479263149.280006</v>
      </c>
      <c r="EI37">
        <v>34874255924.090004</v>
      </c>
      <c r="EJ37">
        <v>34316342688.190002</v>
      </c>
      <c r="EK37">
        <v>34304341232.130001</v>
      </c>
      <c r="EL37">
        <v>34278664227.080002</v>
      </c>
      <c r="EM37">
        <v>34280247113.780003</v>
      </c>
      <c r="EN37">
        <v>34280204962.870003</v>
      </c>
      <c r="EO37">
        <v>34205907279.510002</v>
      </c>
      <c r="EP37">
        <v>34426332077.620003</v>
      </c>
      <c r="EQ37">
        <v>34425535736.350006</v>
      </c>
      <c r="ER37">
        <v>34425535736.350006</v>
      </c>
      <c r="ES37">
        <v>34466335736.350006</v>
      </c>
      <c r="ET37">
        <v>34469999273.090004</v>
      </c>
      <c r="EU37">
        <v>34468783708.350006</v>
      </c>
      <c r="EV37">
        <v>34468783708.350006</v>
      </c>
      <c r="EW37">
        <v>34469973708.350006</v>
      </c>
      <c r="EX37">
        <v>34469973708.350006</v>
      </c>
      <c r="EY37">
        <v>34470198923.650009</v>
      </c>
      <c r="EZ37">
        <v>34475770585.650009</v>
      </c>
      <c r="FA37">
        <v>34476776698.12001</v>
      </c>
      <c r="FB37">
        <v>34476776698.12001</v>
      </c>
      <c r="FC37">
        <v>33417875964.590012</v>
      </c>
      <c r="FD37">
        <v>33419067239.130013</v>
      </c>
      <c r="FE37">
        <v>33419067239.130013</v>
      </c>
      <c r="FF37">
        <v>33419067239.130013</v>
      </c>
      <c r="FG37">
        <v>33420895039.130013</v>
      </c>
      <c r="FH37">
        <v>33438055039.130013</v>
      </c>
      <c r="FI37">
        <v>33438055039.130013</v>
      </c>
      <c r="FJ37">
        <v>34040275039.130013</v>
      </c>
      <c r="FK37">
        <v>34040275039.130013</v>
      </c>
      <c r="FL37">
        <v>34040275039.130013</v>
      </c>
      <c r="FM37">
        <v>34043459115.040012</v>
      </c>
      <c r="FN37">
        <v>33837813534.040012</v>
      </c>
      <c r="FO37">
        <v>33836959964.040012</v>
      </c>
      <c r="FP37">
        <v>33835798203.020012</v>
      </c>
    </row>
    <row r="38" spans="6:184" x14ac:dyDescent="0.2">
      <c r="F38">
        <v>202106</v>
      </c>
      <c r="G38">
        <v>0</v>
      </c>
      <c r="H38">
        <v>3584655620</v>
      </c>
      <c r="I38">
        <v>11781870334</v>
      </c>
      <c r="J38">
        <v>25507747019</v>
      </c>
      <c r="K38">
        <v>38737407640</v>
      </c>
      <c r="L38">
        <v>43006535011</v>
      </c>
      <c r="M38">
        <v>44261281493</v>
      </c>
      <c r="N38">
        <v>44777765113</v>
      </c>
      <c r="O38">
        <v>45439975024</v>
      </c>
      <c r="P38">
        <v>46170997292</v>
      </c>
      <c r="Q38">
        <v>46198931123</v>
      </c>
      <c r="R38">
        <v>46380662676</v>
      </c>
      <c r="S38">
        <v>46386333692</v>
      </c>
      <c r="T38">
        <v>46735805912</v>
      </c>
      <c r="U38">
        <v>46781558958</v>
      </c>
      <c r="V38">
        <v>46781558958</v>
      </c>
      <c r="W38">
        <v>46781558958</v>
      </c>
      <c r="X38">
        <v>46884034463</v>
      </c>
      <c r="Y38">
        <v>46884034463</v>
      </c>
      <c r="Z38">
        <v>46884034463</v>
      </c>
      <c r="AA38">
        <v>46910541975</v>
      </c>
      <c r="AB38">
        <v>47005748958</v>
      </c>
      <c r="AC38">
        <v>47005766970</v>
      </c>
      <c r="AD38">
        <v>47005766970</v>
      </c>
      <c r="AE38">
        <v>47006032291</v>
      </c>
      <c r="AF38">
        <v>47022777081</v>
      </c>
      <c r="AG38">
        <v>47022777081</v>
      </c>
      <c r="AH38">
        <v>47037961481</v>
      </c>
      <c r="AI38">
        <v>47059220641</v>
      </c>
      <c r="AJ38">
        <v>47059220641</v>
      </c>
      <c r="AK38">
        <v>47312284444</v>
      </c>
      <c r="AL38">
        <v>47325022204</v>
      </c>
      <c r="AM38">
        <v>47402103491</v>
      </c>
      <c r="AN38">
        <v>47402103491</v>
      </c>
      <c r="AO38">
        <v>47402103491</v>
      </c>
      <c r="AP38">
        <v>46802103491</v>
      </c>
      <c r="AQ38">
        <v>47498024565</v>
      </c>
      <c r="AR38">
        <v>47498024565</v>
      </c>
      <c r="EB38">
        <v>5983646203.8500004</v>
      </c>
      <c r="EC38">
        <v>23653485703.909996</v>
      </c>
      <c r="ED38">
        <v>34517838104.889999</v>
      </c>
      <c r="EE38">
        <v>45820575250.089996</v>
      </c>
      <c r="EF38">
        <v>46934180987.5</v>
      </c>
      <c r="EG38">
        <v>47278861071.849998</v>
      </c>
      <c r="EH38">
        <v>47106070111.419998</v>
      </c>
      <c r="EI38">
        <v>47143384007.540001</v>
      </c>
      <c r="EJ38">
        <v>47310430335.099998</v>
      </c>
      <c r="EK38">
        <v>47488572870.860001</v>
      </c>
      <c r="EL38">
        <v>47494523423.870003</v>
      </c>
      <c r="EM38">
        <v>47474787629.82</v>
      </c>
      <c r="EN38">
        <v>47474770616.769997</v>
      </c>
      <c r="EO38">
        <v>47633506097.419998</v>
      </c>
      <c r="EP38">
        <v>47638383838.279999</v>
      </c>
      <c r="EQ38">
        <v>47638383838.279999</v>
      </c>
      <c r="ER38">
        <v>47638383838.279999</v>
      </c>
      <c r="ES38">
        <v>47371278411.769997</v>
      </c>
      <c r="ET38">
        <v>47421428411.769997</v>
      </c>
      <c r="EU38">
        <v>47389332411.769997</v>
      </c>
      <c r="EV38">
        <v>47390255889.229996</v>
      </c>
      <c r="EW38">
        <v>47391163838.279999</v>
      </c>
      <c r="EX38">
        <v>47361339833.739998</v>
      </c>
      <c r="EY38">
        <v>47361339833.739998</v>
      </c>
      <c r="EZ38">
        <v>47027050561.919998</v>
      </c>
      <c r="FA38">
        <v>47040843681</v>
      </c>
      <c r="FB38">
        <v>47040843681</v>
      </c>
      <c r="FC38">
        <v>47056028081</v>
      </c>
      <c r="FD38">
        <v>47057334929.589996</v>
      </c>
      <c r="FE38">
        <v>47057334929.589996</v>
      </c>
      <c r="FF38">
        <v>47310398732.589996</v>
      </c>
      <c r="FG38">
        <v>47317539459.909996</v>
      </c>
      <c r="FH38">
        <v>47409360435.719994</v>
      </c>
      <c r="FI38">
        <v>47409360435.719994</v>
      </c>
      <c r="FJ38">
        <v>47409364050.80999</v>
      </c>
      <c r="FK38">
        <v>47508207993.319992</v>
      </c>
      <c r="FL38">
        <v>47505285124.80999</v>
      </c>
      <c r="FM38">
        <v>47498024564.999992</v>
      </c>
    </row>
    <row r="39" spans="6:184" x14ac:dyDescent="0.2">
      <c r="F39">
        <v>202109</v>
      </c>
      <c r="G39">
        <v>9423168</v>
      </c>
      <c r="H39">
        <v>2158525955</v>
      </c>
      <c r="I39">
        <v>8461648106</v>
      </c>
      <c r="J39">
        <v>14144494002</v>
      </c>
      <c r="K39">
        <v>16869938703</v>
      </c>
      <c r="L39">
        <v>18008914544</v>
      </c>
      <c r="M39">
        <v>18012708246</v>
      </c>
      <c r="N39">
        <v>18054738975</v>
      </c>
      <c r="O39">
        <v>18441007301</v>
      </c>
      <c r="P39">
        <v>18501620898</v>
      </c>
      <c r="Q39">
        <v>18501620898</v>
      </c>
      <c r="R39">
        <v>18501723352</v>
      </c>
      <c r="S39">
        <v>18505122144</v>
      </c>
      <c r="T39">
        <v>18537221509</v>
      </c>
      <c r="U39">
        <v>18548461429</v>
      </c>
      <c r="V39">
        <v>18548461429</v>
      </c>
      <c r="W39">
        <v>18550841429</v>
      </c>
      <c r="X39">
        <v>18551075978</v>
      </c>
      <c r="Y39">
        <v>18576861551</v>
      </c>
      <c r="Z39">
        <v>18577529618</v>
      </c>
      <c r="AA39">
        <v>18577529618</v>
      </c>
      <c r="AB39">
        <v>18580884918</v>
      </c>
      <c r="AC39">
        <v>18580884918</v>
      </c>
      <c r="AD39">
        <v>18580884918</v>
      </c>
      <c r="AE39">
        <v>18584057981</v>
      </c>
      <c r="AF39">
        <v>18592340381</v>
      </c>
      <c r="AG39">
        <v>18592340381</v>
      </c>
      <c r="AH39">
        <v>18592340381</v>
      </c>
      <c r="AI39">
        <v>18593720781</v>
      </c>
      <c r="AJ39">
        <v>18595606759</v>
      </c>
      <c r="AK39">
        <v>18595872080</v>
      </c>
      <c r="AL39">
        <v>18595872080</v>
      </c>
      <c r="AM39">
        <v>18637699044</v>
      </c>
      <c r="AN39">
        <v>18651999044</v>
      </c>
      <c r="AO39">
        <v>18652579044</v>
      </c>
      <c r="EB39">
        <v>4811666735.4499998</v>
      </c>
      <c r="EC39">
        <v>11028653341.939999</v>
      </c>
      <c r="ED39">
        <v>17511796187.169998</v>
      </c>
      <c r="EE39">
        <v>17894305340.019997</v>
      </c>
      <c r="EF39">
        <v>18628197590.579998</v>
      </c>
      <c r="EG39">
        <v>18530965843.079998</v>
      </c>
      <c r="EH39">
        <v>18534759543.07</v>
      </c>
      <c r="EI39">
        <v>18535382164.900002</v>
      </c>
      <c r="EJ39">
        <v>18563310359.920002</v>
      </c>
      <c r="EK39">
        <v>18559900787.900002</v>
      </c>
      <c r="EL39">
        <v>18559900787.900002</v>
      </c>
      <c r="EM39">
        <v>18560003241.900002</v>
      </c>
      <c r="EN39">
        <v>18563402033.900002</v>
      </c>
      <c r="EO39">
        <v>18563104498.900002</v>
      </c>
      <c r="EP39">
        <v>18574344418.900002</v>
      </c>
      <c r="EQ39">
        <v>18574344418.900002</v>
      </c>
      <c r="ER39">
        <v>18576724418.900002</v>
      </c>
      <c r="ES39">
        <v>18576958967.900002</v>
      </c>
      <c r="ET39">
        <v>18576881611.18</v>
      </c>
      <c r="EU39">
        <v>18577529618.18</v>
      </c>
      <c r="EV39">
        <v>18578914724.18</v>
      </c>
      <c r="EW39">
        <v>18580884918.18</v>
      </c>
      <c r="EX39">
        <v>18580884918.18</v>
      </c>
      <c r="EY39">
        <v>18580884918.18</v>
      </c>
      <c r="EZ39">
        <v>18584057981.18</v>
      </c>
      <c r="FA39">
        <v>18592340381.18</v>
      </c>
      <c r="FB39">
        <v>18592340381.18</v>
      </c>
      <c r="FC39">
        <v>18592340381.18</v>
      </c>
      <c r="FD39">
        <v>18593720781.18</v>
      </c>
      <c r="FE39">
        <v>18595606759.18</v>
      </c>
      <c r="FF39">
        <v>18595872080.18</v>
      </c>
      <c r="FG39">
        <v>18637874717.43</v>
      </c>
      <c r="FH39">
        <v>19039379044.18</v>
      </c>
      <c r="FI39">
        <v>19053679044.18</v>
      </c>
      <c r="FJ39">
        <v>19054259044.18</v>
      </c>
    </row>
    <row r="40" spans="6:184" x14ac:dyDescent="0.2">
      <c r="F40">
        <v>202112</v>
      </c>
      <c r="G40">
        <v>31583022</v>
      </c>
      <c r="H40">
        <v>1147820724</v>
      </c>
      <c r="I40">
        <v>5820055887</v>
      </c>
      <c r="J40">
        <v>11880485569</v>
      </c>
      <c r="K40">
        <v>14441915226</v>
      </c>
      <c r="L40">
        <v>15648256447</v>
      </c>
      <c r="M40">
        <v>16684982207</v>
      </c>
      <c r="N40">
        <v>16723224430</v>
      </c>
      <c r="O40">
        <v>16981061752</v>
      </c>
      <c r="P40">
        <v>17037304952</v>
      </c>
      <c r="Q40">
        <v>17123679563</v>
      </c>
      <c r="R40">
        <v>17359530966</v>
      </c>
      <c r="S40">
        <v>17411825163</v>
      </c>
      <c r="T40">
        <v>17607948304</v>
      </c>
      <c r="U40">
        <v>17796180012</v>
      </c>
      <c r="V40">
        <v>17796180012</v>
      </c>
      <c r="W40">
        <v>17796180012</v>
      </c>
      <c r="X40">
        <v>17813697933</v>
      </c>
      <c r="Y40">
        <v>17824689837</v>
      </c>
      <c r="Z40">
        <v>17824689837</v>
      </c>
      <c r="AA40">
        <v>17824689837</v>
      </c>
      <c r="AB40">
        <v>17824689837</v>
      </c>
      <c r="AC40">
        <v>17824689837</v>
      </c>
      <c r="AD40">
        <v>17888104079</v>
      </c>
      <c r="AE40">
        <v>17891584079</v>
      </c>
      <c r="AF40">
        <v>17891584079</v>
      </c>
      <c r="AG40">
        <v>17891584079</v>
      </c>
      <c r="AH40">
        <v>17891584079</v>
      </c>
      <c r="AI40">
        <v>17891584079</v>
      </c>
      <c r="AJ40">
        <v>17893707980</v>
      </c>
      <c r="AK40">
        <v>17899557980</v>
      </c>
      <c r="AL40">
        <v>17916387868</v>
      </c>
      <c r="EB40">
        <v>3899602039.6300001</v>
      </c>
      <c r="EC40">
        <v>7142413811.210001</v>
      </c>
      <c r="ED40">
        <v>13485816868.35</v>
      </c>
      <c r="EE40">
        <v>18190480717.189999</v>
      </c>
      <c r="EF40">
        <v>18457513947.899998</v>
      </c>
      <c r="EG40">
        <v>18486583358.589996</v>
      </c>
      <c r="EH40">
        <v>18397792808.619995</v>
      </c>
      <c r="EI40">
        <v>18651882225.389996</v>
      </c>
      <c r="EJ40">
        <v>18719423657.259995</v>
      </c>
      <c r="EK40">
        <v>19094091634.339996</v>
      </c>
      <c r="EL40">
        <v>19275779131.749996</v>
      </c>
      <c r="EM40">
        <v>19282493171.919994</v>
      </c>
      <c r="EN40">
        <v>19282571541.979996</v>
      </c>
      <c r="EO40">
        <v>19478694682.979996</v>
      </c>
      <c r="EP40">
        <v>19478129987.859997</v>
      </c>
      <c r="EQ40">
        <v>19478129987.859997</v>
      </c>
      <c r="ER40">
        <v>19479303831.309998</v>
      </c>
      <c r="ES40">
        <v>19480087932.289997</v>
      </c>
      <c r="ET40">
        <v>19418365899.629997</v>
      </c>
      <c r="EU40">
        <v>19418365899.629997</v>
      </c>
      <c r="EV40">
        <v>19418365899.629997</v>
      </c>
      <c r="EW40">
        <v>19481020868.429996</v>
      </c>
      <c r="EX40">
        <v>19481020868.429996</v>
      </c>
      <c r="EY40">
        <v>19481780141.629997</v>
      </c>
      <c r="EZ40">
        <v>19485260141.629997</v>
      </c>
      <c r="FA40">
        <v>19485260141.629997</v>
      </c>
      <c r="FB40">
        <v>19485260141.629997</v>
      </c>
      <c r="FC40">
        <v>19485260141.629997</v>
      </c>
      <c r="FD40">
        <v>19486054042.229996</v>
      </c>
      <c r="FE40">
        <v>19924811634.729996</v>
      </c>
      <c r="FF40">
        <v>19929884886.029995</v>
      </c>
      <c r="FG40">
        <v>19934286851.069996</v>
      </c>
    </row>
    <row r="41" spans="6:184" x14ac:dyDescent="0.2">
      <c r="F41">
        <v>202203</v>
      </c>
      <c r="G41">
        <v>64798936</v>
      </c>
      <c r="H41">
        <v>585425636</v>
      </c>
      <c r="I41">
        <v>6357337991</v>
      </c>
      <c r="J41">
        <v>10236627416</v>
      </c>
      <c r="K41">
        <v>11134582581</v>
      </c>
      <c r="L41">
        <v>11736730072</v>
      </c>
      <c r="M41">
        <v>11843969597</v>
      </c>
      <c r="N41">
        <v>12289754648</v>
      </c>
      <c r="O41">
        <v>12332187204</v>
      </c>
      <c r="P41">
        <v>12337611753</v>
      </c>
      <c r="Q41">
        <v>12357611753</v>
      </c>
      <c r="R41">
        <v>12406237349</v>
      </c>
      <c r="S41">
        <v>12362713054</v>
      </c>
      <c r="T41">
        <v>12427163634</v>
      </c>
      <c r="U41">
        <v>12479903360</v>
      </c>
      <c r="V41">
        <v>12481283760</v>
      </c>
      <c r="W41">
        <v>12481283760</v>
      </c>
      <c r="X41">
        <v>12481626637</v>
      </c>
      <c r="Y41">
        <v>12481626637</v>
      </c>
      <c r="Z41">
        <v>12484644696</v>
      </c>
      <c r="AA41">
        <v>12485191696</v>
      </c>
      <c r="AB41">
        <v>12485191696</v>
      </c>
      <c r="AC41">
        <v>12485191696</v>
      </c>
      <c r="AD41">
        <v>12497371696</v>
      </c>
      <c r="AE41">
        <v>12497371696</v>
      </c>
      <c r="AF41">
        <v>12497371696</v>
      </c>
      <c r="AG41">
        <v>12497371696</v>
      </c>
      <c r="AH41">
        <v>12497371696</v>
      </c>
      <c r="AI41">
        <v>12501271696</v>
      </c>
      <c r="EB41">
        <v>1047546931.3299999</v>
      </c>
      <c r="EC41">
        <v>3977222691.1500001</v>
      </c>
      <c r="ED41">
        <v>9256853414.6800003</v>
      </c>
      <c r="EE41">
        <v>12123171152.1</v>
      </c>
      <c r="EF41">
        <v>12259457560.34</v>
      </c>
      <c r="EG41">
        <v>12310359664.559999</v>
      </c>
      <c r="EH41">
        <v>12317337982.59</v>
      </c>
      <c r="EI41">
        <v>12493751271.4</v>
      </c>
      <c r="EJ41">
        <v>12521688909.709999</v>
      </c>
      <c r="EK41">
        <v>12543161458.709999</v>
      </c>
      <c r="EL41">
        <v>12543101458.709999</v>
      </c>
      <c r="EM41">
        <v>12542955581.919998</v>
      </c>
      <c r="EN41">
        <v>12480254936.939999</v>
      </c>
      <c r="EO41">
        <v>12480098503.009998</v>
      </c>
      <c r="EP41">
        <v>12479903360.999998</v>
      </c>
      <c r="EQ41">
        <v>12481283760.999998</v>
      </c>
      <c r="ER41">
        <v>12481283760.999998</v>
      </c>
      <c r="ES41">
        <v>12481626637.999998</v>
      </c>
      <c r="ET41">
        <v>12481626637.999998</v>
      </c>
      <c r="EU41">
        <v>12484644696.999998</v>
      </c>
      <c r="EV41">
        <v>12485191696.999998</v>
      </c>
      <c r="EW41">
        <v>12485191696.999998</v>
      </c>
      <c r="EX41">
        <v>12485191696.999998</v>
      </c>
      <c r="EY41">
        <v>12497371696.999998</v>
      </c>
      <c r="EZ41">
        <v>12497371696.999998</v>
      </c>
      <c r="FA41">
        <v>12497371696.999998</v>
      </c>
      <c r="FB41">
        <v>12497371696.999998</v>
      </c>
      <c r="FC41">
        <v>12497371696.999998</v>
      </c>
      <c r="FD41">
        <v>12501271696.999998</v>
      </c>
    </row>
    <row r="42" spans="6:184" x14ac:dyDescent="0.2">
      <c r="F42">
        <v>202206</v>
      </c>
      <c r="G42">
        <v>116769303</v>
      </c>
      <c r="H42">
        <v>1032678145</v>
      </c>
      <c r="I42">
        <v>3993874667</v>
      </c>
      <c r="J42">
        <v>5474246700</v>
      </c>
      <c r="K42">
        <v>6437144941</v>
      </c>
      <c r="L42">
        <v>7423179185</v>
      </c>
      <c r="M42">
        <v>7471950129</v>
      </c>
      <c r="N42">
        <v>7534871666</v>
      </c>
      <c r="O42">
        <v>7847605663</v>
      </c>
      <c r="P42">
        <v>7863016568</v>
      </c>
      <c r="Q42">
        <v>7867157768</v>
      </c>
      <c r="R42">
        <v>7867423089</v>
      </c>
      <c r="S42">
        <v>7877959510</v>
      </c>
      <c r="T42">
        <v>7877959510</v>
      </c>
      <c r="U42">
        <v>7877959510</v>
      </c>
      <c r="V42">
        <v>7877959510</v>
      </c>
      <c r="W42">
        <v>7904122681</v>
      </c>
      <c r="X42">
        <v>7923911491</v>
      </c>
      <c r="Y42">
        <v>7929711491</v>
      </c>
      <c r="Z42">
        <v>7946276291</v>
      </c>
      <c r="AA42">
        <v>7946276291</v>
      </c>
      <c r="AB42">
        <v>7948929991</v>
      </c>
      <c r="AC42">
        <v>7948929991</v>
      </c>
      <c r="AD42">
        <v>7948929991</v>
      </c>
      <c r="AE42">
        <v>8777210094</v>
      </c>
      <c r="AF42">
        <v>8781400038</v>
      </c>
      <c r="EB42">
        <v>1200776194.79</v>
      </c>
      <c r="EC42">
        <v>5124833023.3999996</v>
      </c>
      <c r="ED42">
        <v>8073876061.6700001</v>
      </c>
      <c r="EE42">
        <v>9018193520.1200008</v>
      </c>
      <c r="EF42">
        <v>7388554690.960001</v>
      </c>
      <c r="EG42">
        <v>7879853917.8000011</v>
      </c>
      <c r="EH42">
        <v>7919330394.8000011</v>
      </c>
      <c r="EI42">
        <v>7823193213.8900013</v>
      </c>
      <c r="EJ42">
        <v>8016020714.5500011</v>
      </c>
      <c r="EK42">
        <v>8031431619.5500011</v>
      </c>
      <c r="EL42">
        <v>8036921416.6000013</v>
      </c>
      <c r="EM42">
        <v>7979397067.0400009</v>
      </c>
      <c r="EN42">
        <v>7979128335.3500013</v>
      </c>
      <c r="EO42">
        <v>8005388310.0800009</v>
      </c>
      <c r="EP42">
        <v>7905018310.0800009</v>
      </c>
      <c r="EQ42">
        <v>7905018310.0800009</v>
      </c>
      <c r="ER42">
        <v>7904921506.3500013</v>
      </c>
      <c r="ES42">
        <v>8426560316.3500013</v>
      </c>
      <c r="ET42">
        <v>8432360316.3500013</v>
      </c>
      <c r="EU42">
        <v>8448925116.3500013</v>
      </c>
      <c r="EV42">
        <v>8448925116.3500013</v>
      </c>
      <c r="EW42">
        <v>8451578816.3500013</v>
      </c>
      <c r="EX42">
        <v>8451829214.2900009</v>
      </c>
      <c r="EY42">
        <v>8451829214.2900009</v>
      </c>
      <c r="EZ42">
        <v>8778009317.2900009</v>
      </c>
      <c r="FA42">
        <v>8781500515.8400002</v>
      </c>
    </row>
    <row r="43" spans="6:184" x14ac:dyDescent="0.2">
      <c r="F43">
        <v>202209</v>
      </c>
      <c r="G43">
        <v>28111615</v>
      </c>
      <c r="H43">
        <v>4191410411</v>
      </c>
      <c r="I43">
        <v>8010212916</v>
      </c>
      <c r="J43">
        <v>14658592101</v>
      </c>
      <c r="K43">
        <v>16292240782</v>
      </c>
      <c r="L43">
        <v>18705560730</v>
      </c>
      <c r="M43">
        <v>18901733528</v>
      </c>
      <c r="N43">
        <v>19437576053</v>
      </c>
      <c r="O43">
        <v>19654149227</v>
      </c>
      <c r="P43">
        <v>19660539527</v>
      </c>
      <c r="Q43">
        <v>19978771027</v>
      </c>
      <c r="R43">
        <v>20029805027</v>
      </c>
      <c r="S43">
        <v>20310197938</v>
      </c>
      <c r="T43">
        <v>20332753268</v>
      </c>
      <c r="U43">
        <v>20332753268</v>
      </c>
      <c r="V43">
        <v>20340323033</v>
      </c>
      <c r="W43">
        <v>20341703433</v>
      </c>
      <c r="X43">
        <v>20343175576</v>
      </c>
      <c r="Y43">
        <v>20343175576</v>
      </c>
      <c r="Z43">
        <v>20356748857</v>
      </c>
      <c r="AA43">
        <v>20377962888</v>
      </c>
      <c r="AB43">
        <v>20377962888</v>
      </c>
      <c r="AC43">
        <v>20378421756</v>
      </c>
      <c r="EB43">
        <v>3472378858.0500002</v>
      </c>
      <c r="EC43">
        <v>10129212528.880001</v>
      </c>
      <c r="ED43">
        <v>17358171987.84</v>
      </c>
      <c r="EE43">
        <v>20166812042.580002</v>
      </c>
      <c r="EF43">
        <v>20198020303.730003</v>
      </c>
      <c r="EG43">
        <v>20406468477.870003</v>
      </c>
      <c r="EH43">
        <v>20400495034.020004</v>
      </c>
      <c r="EI43">
        <v>20343018936.850006</v>
      </c>
      <c r="EJ43">
        <v>20396559138.550007</v>
      </c>
      <c r="EK43">
        <v>20399374501.040009</v>
      </c>
      <c r="EL43">
        <v>20383317392.730007</v>
      </c>
      <c r="EM43">
        <v>20383128566.930008</v>
      </c>
      <c r="EN43">
        <v>20382357415.850006</v>
      </c>
      <c r="EO43">
        <v>20404912745.850006</v>
      </c>
      <c r="EP43">
        <v>20404912745.850006</v>
      </c>
      <c r="EQ43">
        <v>20412482510.850006</v>
      </c>
      <c r="ER43">
        <v>20413862910.850006</v>
      </c>
      <c r="ES43">
        <v>20415335053.850006</v>
      </c>
      <c r="ET43">
        <v>20415335053.850006</v>
      </c>
      <c r="EU43">
        <v>20428261986.930008</v>
      </c>
      <c r="EV43">
        <v>20428172888.000008</v>
      </c>
      <c r="EW43">
        <v>20428172888.000008</v>
      </c>
      <c r="EX43">
        <v>20428631756.000008</v>
      </c>
    </row>
    <row r="44" spans="6:184" x14ac:dyDescent="0.2">
      <c r="F44">
        <v>202212</v>
      </c>
      <c r="G44">
        <v>242272895</v>
      </c>
      <c r="H44">
        <v>2322048389</v>
      </c>
      <c r="I44">
        <v>6427742668</v>
      </c>
      <c r="J44">
        <v>10327191440</v>
      </c>
      <c r="K44">
        <v>14390510405</v>
      </c>
      <c r="L44">
        <v>15897329828</v>
      </c>
      <c r="M44">
        <v>15983815176</v>
      </c>
      <c r="N44">
        <v>16533863672</v>
      </c>
      <c r="O44">
        <v>17027746754</v>
      </c>
      <c r="P44">
        <v>17037712204</v>
      </c>
      <c r="Q44">
        <v>17200749978</v>
      </c>
      <c r="R44">
        <v>17033451480</v>
      </c>
      <c r="S44">
        <v>17033451480</v>
      </c>
      <c r="T44">
        <v>17038084936</v>
      </c>
      <c r="U44">
        <v>17044759093</v>
      </c>
      <c r="V44">
        <v>17044759093</v>
      </c>
      <c r="W44">
        <v>17045895118</v>
      </c>
      <c r="X44">
        <v>17054101991</v>
      </c>
      <c r="Y44">
        <v>17065801991</v>
      </c>
      <c r="Z44">
        <v>17077970050</v>
      </c>
      <c r="EB44">
        <v>4476536708.0499992</v>
      </c>
      <c r="EC44">
        <v>10073587282.43</v>
      </c>
      <c r="ED44">
        <v>13173658511.91</v>
      </c>
      <c r="EE44">
        <v>15481710164.49</v>
      </c>
      <c r="EF44">
        <v>16434922091.440001</v>
      </c>
      <c r="EG44">
        <v>16550461762.76</v>
      </c>
      <c r="EH44">
        <v>16959052886.469999</v>
      </c>
      <c r="EI44">
        <v>16928021965.559999</v>
      </c>
      <c r="EJ44">
        <v>17617306675.389999</v>
      </c>
      <c r="EK44">
        <v>17627272125.389999</v>
      </c>
      <c r="EL44">
        <v>17627920678.18</v>
      </c>
      <c r="EM44">
        <v>17184720921.700001</v>
      </c>
      <c r="EN44">
        <v>17184720921.700001</v>
      </c>
      <c r="EO44">
        <v>17188860300.350002</v>
      </c>
      <c r="EP44">
        <v>17195534457.350002</v>
      </c>
      <c r="EQ44">
        <v>17195534457.350002</v>
      </c>
      <c r="ER44">
        <v>17196745592.120003</v>
      </c>
      <c r="ES44">
        <v>17204952465.120003</v>
      </c>
      <c r="ET44">
        <v>17226169268.520004</v>
      </c>
      <c r="EU44">
        <v>17238337327.520004</v>
      </c>
    </row>
    <row r="45" spans="6:184" x14ac:dyDescent="0.2">
      <c r="F45">
        <v>202303</v>
      </c>
      <c r="G45">
        <v>320974423</v>
      </c>
      <c r="H45">
        <v>3567877369</v>
      </c>
      <c r="I45">
        <v>7603916207</v>
      </c>
      <c r="J45">
        <v>12214464674</v>
      </c>
      <c r="K45">
        <v>15422298446</v>
      </c>
      <c r="L45">
        <v>15991644086</v>
      </c>
      <c r="M45">
        <v>16594054460</v>
      </c>
      <c r="N45">
        <v>16717567578</v>
      </c>
      <c r="O45">
        <v>16761556163</v>
      </c>
      <c r="P45">
        <v>16970447619</v>
      </c>
      <c r="Q45">
        <v>17412062322</v>
      </c>
      <c r="R45">
        <v>17508164340</v>
      </c>
      <c r="S45">
        <v>17509544740</v>
      </c>
      <c r="T45">
        <v>17509544740</v>
      </c>
      <c r="U45">
        <v>17548011880</v>
      </c>
      <c r="V45">
        <v>17557111880</v>
      </c>
      <c r="W45">
        <v>17568301446</v>
      </c>
      <c r="EB45">
        <v>4282665820.6200004</v>
      </c>
      <c r="EC45">
        <v>11124234877.59</v>
      </c>
      <c r="ED45">
        <v>15115455228.33</v>
      </c>
      <c r="EE45">
        <v>17012110788.879999</v>
      </c>
      <c r="EF45">
        <v>17412158275.719997</v>
      </c>
      <c r="EG45">
        <v>18291393098.129997</v>
      </c>
      <c r="EH45">
        <v>18743305861.409996</v>
      </c>
      <c r="EI45">
        <v>18875015933.329994</v>
      </c>
      <c r="EJ45">
        <v>18867298862.639996</v>
      </c>
      <c r="EK45">
        <v>18887157484.639996</v>
      </c>
      <c r="EL45">
        <v>19174765661.069996</v>
      </c>
      <c r="EM45">
        <v>19179521380.519997</v>
      </c>
      <c r="EN45">
        <v>19180901780.519997</v>
      </c>
      <c r="EO45">
        <v>18655172066.419998</v>
      </c>
      <c r="EP45">
        <v>18655772336.75</v>
      </c>
      <c r="EQ45">
        <v>18664872336.75</v>
      </c>
      <c r="ER45">
        <v>18162988738.220001</v>
      </c>
    </row>
    <row r="46" spans="6:184" x14ac:dyDescent="0.2">
      <c r="F46">
        <v>202306</v>
      </c>
      <c r="G46">
        <v>348501266</v>
      </c>
      <c r="H46">
        <v>1682971735</v>
      </c>
      <c r="I46">
        <v>3978639676</v>
      </c>
      <c r="J46">
        <v>5756088574</v>
      </c>
      <c r="K46">
        <v>11976686536</v>
      </c>
      <c r="L46">
        <v>13364467083</v>
      </c>
      <c r="M46">
        <v>14728086406</v>
      </c>
      <c r="N46">
        <v>15213791843</v>
      </c>
      <c r="O46">
        <v>15272287456</v>
      </c>
      <c r="P46">
        <v>15273667856</v>
      </c>
      <c r="Q46">
        <v>15325453580</v>
      </c>
      <c r="R46">
        <v>15330943524</v>
      </c>
      <c r="S46">
        <v>15330943524</v>
      </c>
      <c r="T46">
        <v>15341605820</v>
      </c>
      <c r="EB46">
        <v>1822673502.8000002</v>
      </c>
      <c r="EC46">
        <v>7168749048.3100004</v>
      </c>
      <c r="ED46">
        <v>13618715804.560001</v>
      </c>
      <c r="EE46">
        <v>15905967490.300001</v>
      </c>
      <c r="EF46">
        <v>16480589978.610001</v>
      </c>
      <c r="EG46">
        <v>16164479532.980001</v>
      </c>
      <c r="EH46">
        <v>16485892513.720001</v>
      </c>
      <c r="EI46">
        <v>16177169501.080002</v>
      </c>
      <c r="EJ46">
        <v>16184863463.890001</v>
      </c>
      <c r="EK46">
        <v>16151315103.890001</v>
      </c>
      <c r="EL46">
        <v>16171618809.800001</v>
      </c>
      <c r="EM46">
        <v>16177108753.800001</v>
      </c>
      <c r="EN46">
        <v>16173093862.780001</v>
      </c>
      <c r="EO46">
        <v>16183756158.780001</v>
      </c>
    </row>
    <row r="47" spans="6:184" x14ac:dyDescent="0.2">
      <c r="F47">
        <v>202309</v>
      </c>
      <c r="G47">
        <v>67121149</v>
      </c>
      <c r="H47">
        <v>3772794682</v>
      </c>
      <c r="I47">
        <v>8105113842</v>
      </c>
      <c r="J47">
        <v>13635253350</v>
      </c>
      <c r="K47">
        <v>16779236567</v>
      </c>
      <c r="L47">
        <v>17436897180</v>
      </c>
      <c r="M47">
        <v>17732763426</v>
      </c>
      <c r="N47">
        <v>17962913609</v>
      </c>
      <c r="O47">
        <v>18017974747</v>
      </c>
      <c r="P47">
        <v>18045831757</v>
      </c>
      <c r="Q47">
        <v>18047131757</v>
      </c>
      <c r="EB47">
        <v>1809198718.72</v>
      </c>
      <c r="EC47">
        <v>8337841162.4200001</v>
      </c>
      <c r="ED47">
        <v>16653314218.68</v>
      </c>
      <c r="EE47">
        <v>19422472147.32</v>
      </c>
      <c r="EF47">
        <v>18177750312.950001</v>
      </c>
      <c r="EG47">
        <v>17993940048.400002</v>
      </c>
      <c r="EH47">
        <v>18199509349.310001</v>
      </c>
      <c r="EI47">
        <v>18359882268.450001</v>
      </c>
      <c r="EJ47">
        <v>18361124968.400002</v>
      </c>
      <c r="EK47">
        <v>18363381080.440002</v>
      </c>
      <c r="EL47">
        <v>18402327634.660004</v>
      </c>
    </row>
    <row r="48" spans="6:184" x14ac:dyDescent="0.2">
      <c r="F48">
        <v>202312</v>
      </c>
      <c r="G48">
        <v>1148987857</v>
      </c>
      <c r="H48">
        <v>1923193242</v>
      </c>
      <c r="I48">
        <v>4576748123</v>
      </c>
      <c r="J48">
        <v>7957705561</v>
      </c>
      <c r="K48">
        <v>9716471250</v>
      </c>
      <c r="L48">
        <v>10439715559</v>
      </c>
      <c r="M48">
        <v>14123729535</v>
      </c>
      <c r="N48">
        <v>14675073298</v>
      </c>
      <c r="EB48">
        <v>1555946241.26</v>
      </c>
      <c r="EC48">
        <v>3808390978.5699997</v>
      </c>
      <c r="ED48">
        <v>11547887182.610001</v>
      </c>
      <c r="EE48">
        <v>14842000942</v>
      </c>
      <c r="EF48">
        <v>14880182908.059999</v>
      </c>
      <c r="EG48">
        <v>15016247510.039999</v>
      </c>
      <c r="EH48">
        <v>16026993636.109999</v>
      </c>
      <c r="EI48">
        <v>15989769732.809999</v>
      </c>
    </row>
    <row r="49" spans="6:256" x14ac:dyDescent="0.2">
      <c r="F49">
        <v>202403</v>
      </c>
      <c r="G49">
        <v>57325116</v>
      </c>
      <c r="H49">
        <v>1001461937</v>
      </c>
      <c r="I49">
        <v>2087732866</v>
      </c>
      <c r="J49">
        <v>5406598089</v>
      </c>
      <c r="K49">
        <v>7879045414</v>
      </c>
      <c r="EB49">
        <v>2034316937.1400001</v>
      </c>
      <c r="EC49">
        <v>3464903188.8900003</v>
      </c>
      <c r="ED49">
        <v>7262915239.960001</v>
      </c>
      <c r="EE49">
        <v>9973848778.1600018</v>
      </c>
      <c r="EF49">
        <v>9872734979.0600014</v>
      </c>
    </row>
    <row r="50" spans="6:256" x14ac:dyDescent="0.2">
      <c r="F50">
        <v>202406</v>
      </c>
      <c r="G50">
        <v>355106929</v>
      </c>
      <c r="H50">
        <v>3783145727</v>
      </c>
      <c r="EB50">
        <v>5368475234.8500004</v>
      </c>
      <c r="EC50">
        <v>9947159136.3699989</v>
      </c>
    </row>
    <row r="53" spans="6:256" x14ac:dyDescent="0.2">
      <c r="F53" s="15" t="s">
        <v>1</v>
      </c>
      <c r="G53" s="3" t="s">
        <v>31</v>
      </c>
      <c r="H53" s="3" t="s">
        <v>31</v>
      </c>
      <c r="I53" s="3" t="s">
        <v>31</v>
      </c>
      <c r="J53" s="3" t="s">
        <v>31</v>
      </c>
      <c r="K53" s="3" t="s">
        <v>31</v>
      </c>
      <c r="L53" s="3" t="s">
        <v>31</v>
      </c>
      <c r="M53" s="3" t="s">
        <v>31</v>
      </c>
      <c r="N53" s="3" t="s">
        <v>31</v>
      </c>
      <c r="O53" s="3" t="s">
        <v>31</v>
      </c>
      <c r="P53" s="3" t="s">
        <v>31</v>
      </c>
      <c r="Q53" s="3" t="s">
        <v>31</v>
      </c>
      <c r="R53" s="3" t="s">
        <v>31</v>
      </c>
      <c r="S53" s="3" t="s">
        <v>31</v>
      </c>
      <c r="T53" s="3" t="s">
        <v>31</v>
      </c>
      <c r="U53" s="3" t="s">
        <v>31</v>
      </c>
      <c r="V53" s="3" t="s">
        <v>31</v>
      </c>
      <c r="W53" s="3" t="s">
        <v>31</v>
      </c>
      <c r="X53" s="3" t="s">
        <v>31</v>
      </c>
      <c r="Y53" s="3" t="s">
        <v>31</v>
      </c>
      <c r="Z53" s="3" t="s">
        <v>31</v>
      </c>
      <c r="AA53" s="3" t="s">
        <v>31</v>
      </c>
      <c r="AB53" s="3" t="s">
        <v>31</v>
      </c>
      <c r="AC53" s="3" t="s">
        <v>31</v>
      </c>
      <c r="AD53" s="3" t="s">
        <v>31</v>
      </c>
      <c r="AE53" s="3" t="s">
        <v>31</v>
      </c>
      <c r="AF53" s="3" t="s">
        <v>31</v>
      </c>
      <c r="AG53" s="3" t="s">
        <v>31</v>
      </c>
      <c r="AH53" s="3" t="s">
        <v>31</v>
      </c>
      <c r="AI53" s="3" t="s">
        <v>31</v>
      </c>
      <c r="AJ53" s="3" t="s">
        <v>31</v>
      </c>
      <c r="AK53" s="3" t="s">
        <v>31</v>
      </c>
      <c r="AL53" s="3" t="s">
        <v>31</v>
      </c>
      <c r="AM53" s="3" t="s">
        <v>31</v>
      </c>
      <c r="AN53" s="3" t="s">
        <v>31</v>
      </c>
      <c r="AO53" s="3" t="s">
        <v>31</v>
      </c>
      <c r="AP53" s="3" t="s">
        <v>31</v>
      </c>
      <c r="AQ53" s="3" t="s">
        <v>31</v>
      </c>
      <c r="AR53" s="3" t="s">
        <v>31</v>
      </c>
      <c r="AS53" s="3" t="s">
        <v>31</v>
      </c>
      <c r="AT53" s="3" t="s">
        <v>31</v>
      </c>
      <c r="AU53" s="3" t="s">
        <v>31</v>
      </c>
      <c r="AV53" s="3" t="s">
        <v>31</v>
      </c>
      <c r="AW53" s="3" t="s">
        <v>31</v>
      </c>
      <c r="AX53" s="3" t="s">
        <v>31</v>
      </c>
      <c r="AY53" s="3" t="s">
        <v>31</v>
      </c>
      <c r="AZ53" s="3" t="s">
        <v>31</v>
      </c>
      <c r="BA53" s="3" t="s">
        <v>31</v>
      </c>
      <c r="BB53" s="3" t="s">
        <v>31</v>
      </c>
      <c r="BC53" s="3" t="s">
        <v>31</v>
      </c>
      <c r="BD53" s="3" t="s">
        <v>31</v>
      </c>
      <c r="BE53" s="3" t="s">
        <v>31</v>
      </c>
      <c r="BF53" s="3" t="s">
        <v>31</v>
      </c>
      <c r="BG53" s="3" t="s">
        <v>31</v>
      </c>
      <c r="BH53" s="3" t="s">
        <v>31</v>
      </c>
      <c r="BI53" s="3" t="s">
        <v>31</v>
      </c>
      <c r="BJ53" s="3" t="s">
        <v>31</v>
      </c>
      <c r="BK53" s="3" t="s">
        <v>31</v>
      </c>
      <c r="BL53" s="3" t="s">
        <v>31</v>
      </c>
      <c r="BM53" s="3" t="s">
        <v>31</v>
      </c>
      <c r="BN53" s="3" t="s">
        <v>31</v>
      </c>
      <c r="BO53" s="3" t="s">
        <v>31</v>
      </c>
      <c r="BP53" s="3" t="s">
        <v>31</v>
      </c>
      <c r="BQ53" s="3" t="s">
        <v>31</v>
      </c>
      <c r="BR53" s="3" t="s">
        <v>31</v>
      </c>
      <c r="BS53" s="3" t="s">
        <v>31</v>
      </c>
      <c r="BT53" s="3" t="s">
        <v>31</v>
      </c>
      <c r="BU53" s="3" t="s">
        <v>31</v>
      </c>
      <c r="BV53" s="3" t="s">
        <v>31</v>
      </c>
      <c r="BW53" s="3" t="s">
        <v>31</v>
      </c>
      <c r="BX53" s="3" t="s">
        <v>31</v>
      </c>
      <c r="BY53" s="3" t="s">
        <v>31</v>
      </c>
      <c r="BZ53" s="3" t="s">
        <v>31</v>
      </c>
      <c r="CA53" s="3" t="s">
        <v>31</v>
      </c>
      <c r="CB53" s="3" t="s">
        <v>31</v>
      </c>
      <c r="CC53" s="3" t="s">
        <v>31</v>
      </c>
      <c r="CD53" s="3" t="s">
        <v>31</v>
      </c>
      <c r="CE53" s="3" t="s">
        <v>31</v>
      </c>
      <c r="CF53" s="3" t="s">
        <v>31</v>
      </c>
      <c r="CG53" s="3" t="s">
        <v>31</v>
      </c>
      <c r="CH53" s="3" t="s">
        <v>31</v>
      </c>
      <c r="CI53" s="3" t="s">
        <v>31</v>
      </c>
      <c r="CJ53" s="3" t="s">
        <v>31</v>
      </c>
      <c r="CK53" s="3" t="s">
        <v>31</v>
      </c>
      <c r="CL53" s="3" t="s">
        <v>31</v>
      </c>
      <c r="CM53" s="3" t="s">
        <v>31</v>
      </c>
      <c r="CN53" s="3" t="s">
        <v>31</v>
      </c>
      <c r="CO53" s="3" t="s">
        <v>31</v>
      </c>
      <c r="CP53" s="3" t="s">
        <v>31</v>
      </c>
      <c r="CQ53" s="3" t="s">
        <v>31</v>
      </c>
      <c r="CR53" s="3" t="s">
        <v>31</v>
      </c>
      <c r="CS53" s="3" t="s">
        <v>31</v>
      </c>
      <c r="CT53" s="3" t="s">
        <v>31</v>
      </c>
      <c r="CU53" s="3" t="s">
        <v>31</v>
      </c>
      <c r="CV53" s="3" t="s">
        <v>31</v>
      </c>
      <c r="CW53" s="3" t="s">
        <v>31</v>
      </c>
      <c r="CX53" s="3" t="s">
        <v>31</v>
      </c>
      <c r="CY53" s="3" t="s">
        <v>31</v>
      </c>
      <c r="CZ53" s="3" t="s">
        <v>31</v>
      </c>
      <c r="DA53" s="3" t="s">
        <v>31</v>
      </c>
      <c r="DB53" s="3" t="s">
        <v>31</v>
      </c>
      <c r="DC53" s="3" t="s">
        <v>31</v>
      </c>
      <c r="DD53" s="3" t="s">
        <v>31</v>
      </c>
      <c r="DE53" s="3" t="s">
        <v>31</v>
      </c>
      <c r="DF53" s="3" t="s">
        <v>31</v>
      </c>
      <c r="DG53" s="3" t="s">
        <v>31</v>
      </c>
      <c r="DH53" s="3" t="s">
        <v>31</v>
      </c>
      <c r="DI53" s="3" t="s">
        <v>31</v>
      </c>
      <c r="DJ53" s="3" t="s">
        <v>31</v>
      </c>
      <c r="DK53" s="3" t="s">
        <v>31</v>
      </c>
      <c r="DL53" s="3" t="s">
        <v>31</v>
      </c>
      <c r="DM53" s="3" t="s">
        <v>31</v>
      </c>
      <c r="DN53" s="3" t="s">
        <v>31</v>
      </c>
      <c r="DO53" s="3" t="s">
        <v>31</v>
      </c>
      <c r="DP53" s="3" t="s">
        <v>31</v>
      </c>
      <c r="DQ53" s="3" t="s">
        <v>31</v>
      </c>
      <c r="DR53" s="3" t="s">
        <v>31</v>
      </c>
      <c r="DS53" s="3" t="s">
        <v>31</v>
      </c>
      <c r="DT53" s="3" t="s">
        <v>31</v>
      </c>
      <c r="DU53" s="3" t="s">
        <v>31</v>
      </c>
      <c r="DV53" s="3" t="s">
        <v>31</v>
      </c>
      <c r="DW53" s="3" t="s">
        <v>31</v>
      </c>
      <c r="DX53" s="3" t="s">
        <v>31</v>
      </c>
      <c r="DY53" s="3" t="s">
        <v>31</v>
      </c>
      <c r="DZ53" s="3" t="s">
        <v>31</v>
      </c>
      <c r="EA53" s="3" t="s">
        <v>31</v>
      </c>
      <c r="EB53" s="4" t="s">
        <v>32</v>
      </c>
      <c r="EC53" s="4" t="s">
        <v>32</v>
      </c>
      <c r="ED53" s="4" t="s">
        <v>32</v>
      </c>
      <c r="EE53" s="4" t="s">
        <v>32</v>
      </c>
      <c r="EF53" s="4" t="s">
        <v>32</v>
      </c>
      <c r="EG53" s="4" t="s">
        <v>32</v>
      </c>
      <c r="EH53" s="4" t="s">
        <v>32</v>
      </c>
      <c r="EI53" s="4" t="s">
        <v>32</v>
      </c>
      <c r="EJ53" s="4" t="s">
        <v>32</v>
      </c>
      <c r="EK53" s="4" t="s">
        <v>32</v>
      </c>
      <c r="EL53" s="4" t="s">
        <v>32</v>
      </c>
      <c r="EM53" s="4" t="s">
        <v>32</v>
      </c>
      <c r="EN53" s="4" t="s">
        <v>32</v>
      </c>
      <c r="EO53" s="4" t="s">
        <v>32</v>
      </c>
      <c r="EP53" s="4" t="s">
        <v>32</v>
      </c>
      <c r="EQ53" s="4" t="s">
        <v>32</v>
      </c>
      <c r="ER53" s="4" t="s">
        <v>32</v>
      </c>
      <c r="ES53" s="4" t="s">
        <v>32</v>
      </c>
      <c r="ET53" s="4" t="s">
        <v>32</v>
      </c>
      <c r="EU53" s="4" t="s">
        <v>32</v>
      </c>
      <c r="EV53" s="4" t="s">
        <v>32</v>
      </c>
      <c r="EW53" s="4" t="s">
        <v>32</v>
      </c>
      <c r="EX53" s="4" t="s">
        <v>32</v>
      </c>
      <c r="EY53" s="4" t="s">
        <v>32</v>
      </c>
      <c r="EZ53" s="4" t="s">
        <v>32</v>
      </c>
      <c r="FA53" s="4" t="s">
        <v>32</v>
      </c>
      <c r="FB53" s="4" t="s">
        <v>32</v>
      </c>
      <c r="FC53" s="4" t="s">
        <v>32</v>
      </c>
      <c r="FD53" s="4" t="s">
        <v>32</v>
      </c>
      <c r="FE53" s="4" t="s">
        <v>32</v>
      </c>
      <c r="FF53" s="4" t="s">
        <v>32</v>
      </c>
      <c r="FG53" s="4" t="s">
        <v>32</v>
      </c>
      <c r="FH53" s="4" t="s">
        <v>32</v>
      </c>
      <c r="FI53" s="4" t="s">
        <v>32</v>
      </c>
      <c r="FJ53" s="4" t="s">
        <v>32</v>
      </c>
      <c r="FK53" s="4" t="s">
        <v>32</v>
      </c>
      <c r="FL53" s="4" t="s">
        <v>32</v>
      </c>
      <c r="FM53" s="4" t="s">
        <v>32</v>
      </c>
      <c r="FN53" s="4" t="s">
        <v>32</v>
      </c>
      <c r="FO53" s="4" t="s">
        <v>32</v>
      </c>
      <c r="FP53" s="4" t="s">
        <v>32</v>
      </c>
      <c r="FQ53" s="4" t="s">
        <v>32</v>
      </c>
      <c r="FR53" s="4" t="s">
        <v>32</v>
      </c>
      <c r="FS53" s="4" t="s">
        <v>32</v>
      </c>
      <c r="FT53" s="4" t="s">
        <v>32</v>
      </c>
      <c r="FU53" s="4" t="s">
        <v>32</v>
      </c>
      <c r="FV53" s="4" t="s">
        <v>32</v>
      </c>
      <c r="FW53" s="4" t="s">
        <v>32</v>
      </c>
      <c r="FX53" s="4" t="s">
        <v>32</v>
      </c>
      <c r="FY53" s="4" t="s">
        <v>32</v>
      </c>
      <c r="FZ53" s="4" t="s">
        <v>32</v>
      </c>
      <c r="GA53" s="4" t="s">
        <v>32</v>
      </c>
      <c r="GB53" s="4" t="s">
        <v>32</v>
      </c>
      <c r="GC53" s="4" t="s">
        <v>32</v>
      </c>
      <c r="GD53" s="4" t="s">
        <v>32</v>
      </c>
      <c r="GE53" s="4" t="s">
        <v>32</v>
      </c>
      <c r="GF53" s="4" t="s">
        <v>32</v>
      </c>
      <c r="GG53" s="4" t="s">
        <v>32</v>
      </c>
      <c r="GH53" s="4" t="s">
        <v>32</v>
      </c>
      <c r="GI53" s="4" t="s">
        <v>32</v>
      </c>
      <c r="GJ53" s="4" t="s">
        <v>32</v>
      </c>
      <c r="GK53" s="4" t="s">
        <v>32</v>
      </c>
      <c r="GL53" s="4" t="s">
        <v>32</v>
      </c>
      <c r="GM53" s="4" t="s">
        <v>32</v>
      </c>
      <c r="GN53" s="4" t="s">
        <v>32</v>
      </c>
      <c r="GO53" s="4" t="s">
        <v>32</v>
      </c>
      <c r="GP53" s="4" t="s">
        <v>32</v>
      </c>
      <c r="GQ53" s="4" t="s">
        <v>32</v>
      </c>
      <c r="GR53" s="4" t="s">
        <v>32</v>
      </c>
      <c r="GS53" s="4" t="s">
        <v>32</v>
      </c>
      <c r="GT53" s="4" t="s">
        <v>32</v>
      </c>
      <c r="GU53" s="4" t="s">
        <v>32</v>
      </c>
      <c r="GV53" s="4" t="s">
        <v>32</v>
      </c>
      <c r="GW53" s="4" t="s">
        <v>32</v>
      </c>
      <c r="GX53" s="4" t="s">
        <v>32</v>
      </c>
      <c r="GY53" s="4" t="s">
        <v>32</v>
      </c>
      <c r="GZ53" s="4" t="s">
        <v>32</v>
      </c>
      <c r="HA53" s="4" t="s">
        <v>32</v>
      </c>
      <c r="HB53" s="4" t="s">
        <v>32</v>
      </c>
      <c r="HC53" s="4" t="s">
        <v>32</v>
      </c>
      <c r="HD53" s="4" t="s">
        <v>32</v>
      </c>
      <c r="HE53" s="4" t="s">
        <v>32</v>
      </c>
      <c r="HF53" s="4" t="s">
        <v>32</v>
      </c>
      <c r="HG53" s="4" t="s">
        <v>32</v>
      </c>
      <c r="HH53" s="4" t="s">
        <v>32</v>
      </c>
      <c r="HI53" s="4" t="s">
        <v>32</v>
      </c>
      <c r="HJ53" s="4" t="s">
        <v>32</v>
      </c>
      <c r="HK53" s="4" t="s">
        <v>32</v>
      </c>
      <c r="HL53" s="4" t="s">
        <v>32</v>
      </c>
      <c r="HM53" s="4" t="s">
        <v>32</v>
      </c>
      <c r="HN53" s="4" t="s">
        <v>32</v>
      </c>
      <c r="HO53" s="4" t="s">
        <v>32</v>
      </c>
      <c r="HP53" s="4" t="s">
        <v>32</v>
      </c>
      <c r="HQ53" s="4" t="s">
        <v>32</v>
      </c>
      <c r="HR53" s="4" t="s">
        <v>32</v>
      </c>
      <c r="HS53" s="4" t="s">
        <v>32</v>
      </c>
      <c r="HT53" s="4" t="s">
        <v>32</v>
      </c>
      <c r="HU53" s="4" t="s">
        <v>32</v>
      </c>
      <c r="HV53" s="4" t="s">
        <v>32</v>
      </c>
      <c r="HW53" s="4" t="s">
        <v>32</v>
      </c>
      <c r="HX53" s="4" t="s">
        <v>32</v>
      </c>
      <c r="HY53" s="4" t="s">
        <v>32</v>
      </c>
      <c r="HZ53" s="4" t="s">
        <v>32</v>
      </c>
      <c r="IA53" s="4" t="s">
        <v>32</v>
      </c>
      <c r="IB53" s="4" t="s">
        <v>32</v>
      </c>
      <c r="IC53" s="4" t="s">
        <v>32</v>
      </c>
      <c r="ID53" s="4" t="s">
        <v>32</v>
      </c>
      <c r="IE53" s="4" t="s">
        <v>32</v>
      </c>
      <c r="IF53" s="4" t="s">
        <v>32</v>
      </c>
      <c r="IG53" s="4" t="s">
        <v>32</v>
      </c>
      <c r="IH53" s="4" t="s">
        <v>32</v>
      </c>
      <c r="II53" s="4" t="s">
        <v>32</v>
      </c>
      <c r="IJ53" s="4" t="s">
        <v>32</v>
      </c>
      <c r="IK53" s="4" t="s">
        <v>32</v>
      </c>
      <c r="IL53" s="4" t="s">
        <v>32</v>
      </c>
      <c r="IM53" s="4" t="s">
        <v>32</v>
      </c>
      <c r="IN53" s="4" t="s">
        <v>32</v>
      </c>
      <c r="IO53" s="4" t="s">
        <v>32</v>
      </c>
      <c r="IP53" s="4" t="s">
        <v>32</v>
      </c>
      <c r="IQ53" s="4" t="s">
        <v>32</v>
      </c>
      <c r="IR53" s="4" t="s">
        <v>32</v>
      </c>
      <c r="IS53" s="4" t="s">
        <v>32</v>
      </c>
      <c r="IT53" s="4" t="s">
        <v>32</v>
      </c>
      <c r="IU53" s="4" t="s">
        <v>32</v>
      </c>
      <c r="IV53" s="4" t="s">
        <v>32</v>
      </c>
    </row>
    <row r="54" spans="6:256" x14ac:dyDescent="0.2">
      <c r="F54" s="15" t="s">
        <v>30</v>
      </c>
      <c r="G54" s="3">
        <v>1</v>
      </c>
      <c r="H54" s="3">
        <v>2</v>
      </c>
      <c r="I54" s="3">
        <v>3</v>
      </c>
      <c r="J54" s="3">
        <v>4</v>
      </c>
      <c r="K54" s="3">
        <v>5</v>
      </c>
      <c r="L54" s="3">
        <v>6</v>
      </c>
      <c r="M54" s="3">
        <v>7</v>
      </c>
      <c r="N54" s="3">
        <v>8</v>
      </c>
      <c r="O54" s="3">
        <v>9</v>
      </c>
      <c r="P54" s="3">
        <v>10</v>
      </c>
      <c r="Q54" s="3">
        <v>11</v>
      </c>
      <c r="R54" s="3">
        <v>12</v>
      </c>
      <c r="S54" s="3">
        <v>13</v>
      </c>
      <c r="T54" s="3">
        <v>14</v>
      </c>
      <c r="U54" s="3">
        <v>15</v>
      </c>
      <c r="V54" s="3">
        <v>16</v>
      </c>
      <c r="W54" s="3">
        <v>17</v>
      </c>
      <c r="X54" s="3">
        <v>18</v>
      </c>
      <c r="Y54" s="3">
        <v>19</v>
      </c>
      <c r="Z54" s="3">
        <v>20</v>
      </c>
      <c r="AA54" s="3">
        <v>21</v>
      </c>
      <c r="AB54" s="3">
        <v>22</v>
      </c>
      <c r="AC54" s="3">
        <v>23</v>
      </c>
      <c r="AD54" s="3">
        <v>24</v>
      </c>
      <c r="AE54" s="3">
        <v>25</v>
      </c>
      <c r="AF54" s="3">
        <v>26</v>
      </c>
      <c r="AG54" s="3">
        <v>27</v>
      </c>
      <c r="AH54" s="3">
        <v>28</v>
      </c>
      <c r="AI54" s="3">
        <v>29</v>
      </c>
      <c r="AJ54" s="3">
        <v>30</v>
      </c>
      <c r="AK54" s="3">
        <v>31</v>
      </c>
      <c r="AL54" s="3">
        <v>32</v>
      </c>
      <c r="AM54" s="3">
        <v>33</v>
      </c>
      <c r="AN54" s="3">
        <v>34</v>
      </c>
      <c r="AO54" s="3">
        <v>35</v>
      </c>
      <c r="AP54" s="3">
        <v>36</v>
      </c>
      <c r="AQ54" s="3">
        <v>37</v>
      </c>
      <c r="AR54" s="3">
        <v>38</v>
      </c>
      <c r="AS54" s="3">
        <v>39</v>
      </c>
      <c r="AT54" s="3">
        <v>40</v>
      </c>
      <c r="AU54" s="3">
        <v>41</v>
      </c>
      <c r="AV54" s="3">
        <v>42</v>
      </c>
      <c r="AW54" s="3">
        <v>43</v>
      </c>
      <c r="AX54" s="3">
        <v>44</v>
      </c>
      <c r="AY54" s="3">
        <v>45</v>
      </c>
      <c r="AZ54" s="3">
        <v>46</v>
      </c>
      <c r="BA54" s="3">
        <v>47</v>
      </c>
      <c r="BB54" s="3">
        <v>48</v>
      </c>
      <c r="BC54" s="3">
        <v>49</v>
      </c>
      <c r="BD54" s="3">
        <v>50</v>
      </c>
      <c r="BE54" s="3">
        <v>51</v>
      </c>
      <c r="BF54" s="3">
        <v>52</v>
      </c>
      <c r="BG54" s="3">
        <v>53</v>
      </c>
      <c r="BH54" s="3">
        <v>54</v>
      </c>
      <c r="BI54" s="3">
        <v>55</v>
      </c>
      <c r="BJ54" s="3">
        <v>56</v>
      </c>
      <c r="BK54" s="3">
        <v>57</v>
      </c>
      <c r="BL54" s="3">
        <v>58</v>
      </c>
      <c r="BM54" s="3">
        <v>59</v>
      </c>
      <c r="BN54" s="3">
        <v>60</v>
      </c>
      <c r="BO54" s="3">
        <v>61</v>
      </c>
      <c r="BP54" s="3">
        <v>62</v>
      </c>
      <c r="BQ54" s="3">
        <v>63</v>
      </c>
      <c r="BR54" s="3">
        <v>64</v>
      </c>
      <c r="BS54" s="3">
        <v>65</v>
      </c>
      <c r="BT54" s="3">
        <v>66</v>
      </c>
      <c r="BU54" s="3">
        <v>67</v>
      </c>
      <c r="BV54" s="3">
        <v>68</v>
      </c>
      <c r="BW54" s="3">
        <v>69</v>
      </c>
      <c r="BX54" s="3">
        <v>70</v>
      </c>
      <c r="BY54" s="3">
        <v>71</v>
      </c>
      <c r="BZ54" s="3">
        <v>72</v>
      </c>
      <c r="CA54" s="3">
        <v>73</v>
      </c>
      <c r="CB54" s="3">
        <v>74</v>
      </c>
      <c r="CC54" s="3">
        <v>75</v>
      </c>
      <c r="CD54" s="3">
        <v>76</v>
      </c>
      <c r="CE54" s="3">
        <v>77</v>
      </c>
      <c r="CF54" s="3">
        <v>78</v>
      </c>
      <c r="CG54" s="3">
        <v>79</v>
      </c>
      <c r="CH54" s="3">
        <v>80</v>
      </c>
      <c r="CI54" s="3">
        <v>81</v>
      </c>
      <c r="CJ54" s="3">
        <v>82</v>
      </c>
      <c r="CK54" s="3">
        <v>83</v>
      </c>
      <c r="CL54" s="3">
        <v>84</v>
      </c>
      <c r="CM54" s="3">
        <v>85</v>
      </c>
      <c r="CN54" s="3">
        <v>86</v>
      </c>
      <c r="CO54" s="3">
        <v>87</v>
      </c>
      <c r="CP54" s="3">
        <v>88</v>
      </c>
      <c r="CQ54" s="3">
        <v>89</v>
      </c>
      <c r="CR54" s="3">
        <v>90</v>
      </c>
      <c r="CS54" s="3">
        <v>91</v>
      </c>
      <c r="CT54" s="3">
        <v>92</v>
      </c>
      <c r="CU54" s="3">
        <v>93</v>
      </c>
      <c r="CV54" s="3">
        <v>94</v>
      </c>
      <c r="CW54" s="3">
        <v>95</v>
      </c>
      <c r="CX54" s="3">
        <v>96</v>
      </c>
      <c r="CY54" s="3">
        <v>97</v>
      </c>
      <c r="CZ54" s="3">
        <v>98</v>
      </c>
      <c r="DA54" s="3">
        <v>99</v>
      </c>
      <c r="DB54" s="3">
        <v>100</v>
      </c>
      <c r="DC54" s="3">
        <v>101</v>
      </c>
      <c r="DD54" s="3">
        <v>102</v>
      </c>
      <c r="DE54" s="3">
        <v>103</v>
      </c>
      <c r="DF54" s="3">
        <v>104</v>
      </c>
      <c r="DG54" s="3">
        <v>105</v>
      </c>
      <c r="DH54" s="3">
        <v>106</v>
      </c>
      <c r="DI54" s="3">
        <v>107</v>
      </c>
      <c r="DJ54" s="3">
        <v>108</v>
      </c>
      <c r="DK54" s="3">
        <v>109</v>
      </c>
      <c r="DL54" s="3">
        <v>110</v>
      </c>
      <c r="DM54" s="3">
        <v>111</v>
      </c>
      <c r="DN54" s="3">
        <v>112</v>
      </c>
      <c r="DO54" s="3">
        <v>113</v>
      </c>
      <c r="DP54" s="3">
        <v>114</v>
      </c>
      <c r="DQ54" s="3">
        <v>115</v>
      </c>
      <c r="DR54" s="3">
        <v>116</v>
      </c>
      <c r="DS54" s="3">
        <v>117</v>
      </c>
      <c r="DT54" s="3">
        <v>118</v>
      </c>
      <c r="DU54" s="3">
        <v>119</v>
      </c>
      <c r="DV54" s="3">
        <v>120</v>
      </c>
      <c r="DW54" s="3">
        <v>121</v>
      </c>
      <c r="DX54" s="3">
        <v>122</v>
      </c>
      <c r="DY54" s="3">
        <v>123</v>
      </c>
      <c r="DZ54" s="3">
        <v>124</v>
      </c>
      <c r="EA54" s="3">
        <v>125</v>
      </c>
      <c r="EB54" s="4">
        <v>1</v>
      </c>
      <c r="EC54" s="4">
        <v>2</v>
      </c>
      <c r="ED54" s="4">
        <v>3</v>
      </c>
      <c r="EE54" s="4">
        <v>4</v>
      </c>
      <c r="EF54" s="4">
        <v>5</v>
      </c>
      <c r="EG54" s="4">
        <v>6</v>
      </c>
      <c r="EH54" s="4">
        <v>7</v>
      </c>
      <c r="EI54" s="4">
        <v>8</v>
      </c>
      <c r="EJ54" s="4">
        <v>9</v>
      </c>
      <c r="EK54" s="4">
        <v>10</v>
      </c>
      <c r="EL54" s="4">
        <v>11</v>
      </c>
      <c r="EM54" s="4">
        <v>12</v>
      </c>
      <c r="EN54" s="4">
        <v>13</v>
      </c>
      <c r="EO54" s="4">
        <v>14</v>
      </c>
      <c r="EP54" s="4">
        <v>15</v>
      </c>
      <c r="EQ54" s="4">
        <v>16</v>
      </c>
      <c r="ER54" s="4">
        <v>17</v>
      </c>
      <c r="ES54" s="4">
        <v>18</v>
      </c>
      <c r="ET54" s="4">
        <v>19</v>
      </c>
      <c r="EU54" s="4">
        <v>20</v>
      </c>
      <c r="EV54" s="4">
        <v>21</v>
      </c>
      <c r="EW54" s="4">
        <v>22</v>
      </c>
      <c r="EX54" s="4">
        <v>23</v>
      </c>
      <c r="EY54" s="4">
        <v>24</v>
      </c>
      <c r="EZ54" s="4">
        <v>25</v>
      </c>
      <c r="FA54" s="4">
        <v>26</v>
      </c>
      <c r="FB54" s="4">
        <v>27</v>
      </c>
      <c r="FC54" s="4">
        <v>28</v>
      </c>
      <c r="FD54" s="4">
        <v>29</v>
      </c>
      <c r="FE54" s="4">
        <v>30</v>
      </c>
      <c r="FF54" s="4">
        <v>31</v>
      </c>
      <c r="FG54" s="4">
        <v>32</v>
      </c>
      <c r="FH54" s="4">
        <v>33</v>
      </c>
      <c r="FI54" s="4">
        <v>34</v>
      </c>
      <c r="FJ54" s="4">
        <v>35</v>
      </c>
      <c r="FK54" s="4">
        <v>36</v>
      </c>
      <c r="FL54" s="4">
        <v>37</v>
      </c>
      <c r="FM54" s="4">
        <v>38</v>
      </c>
      <c r="FN54" s="4">
        <v>39</v>
      </c>
      <c r="FO54" s="4">
        <v>40</v>
      </c>
      <c r="FP54" s="4">
        <v>41</v>
      </c>
      <c r="FQ54" s="4">
        <v>42</v>
      </c>
      <c r="FR54" s="4">
        <v>43</v>
      </c>
      <c r="FS54" s="4">
        <v>44</v>
      </c>
      <c r="FT54" s="4">
        <v>45</v>
      </c>
      <c r="FU54" s="4">
        <v>46</v>
      </c>
      <c r="FV54" s="4">
        <v>47</v>
      </c>
      <c r="FW54" s="4">
        <v>48</v>
      </c>
      <c r="FX54" s="4">
        <v>49</v>
      </c>
      <c r="FY54" s="4">
        <v>50</v>
      </c>
      <c r="FZ54" s="4">
        <v>51</v>
      </c>
      <c r="GA54" s="4">
        <v>52</v>
      </c>
      <c r="GB54" s="4">
        <v>53</v>
      </c>
      <c r="GC54" s="4">
        <v>54</v>
      </c>
      <c r="GD54" s="4">
        <v>55</v>
      </c>
      <c r="GE54" s="4">
        <v>56</v>
      </c>
      <c r="GF54" s="4">
        <v>57</v>
      </c>
      <c r="GG54" s="4">
        <v>58</v>
      </c>
      <c r="GH54" s="4">
        <v>59</v>
      </c>
      <c r="GI54" s="4">
        <v>60</v>
      </c>
      <c r="GJ54" s="4">
        <v>61</v>
      </c>
      <c r="GK54" s="4">
        <v>62</v>
      </c>
      <c r="GL54" s="4">
        <v>63</v>
      </c>
      <c r="GM54" s="4">
        <v>64</v>
      </c>
      <c r="GN54" s="4">
        <v>65</v>
      </c>
      <c r="GO54" s="4">
        <v>66</v>
      </c>
      <c r="GP54" s="4">
        <v>67</v>
      </c>
      <c r="GQ54" s="4">
        <v>68</v>
      </c>
      <c r="GR54" s="4">
        <v>69</v>
      </c>
      <c r="GS54" s="4">
        <v>70</v>
      </c>
      <c r="GT54" s="4">
        <v>71</v>
      </c>
      <c r="GU54" s="4">
        <v>72</v>
      </c>
      <c r="GV54" s="4">
        <v>73</v>
      </c>
      <c r="GW54" s="4">
        <v>74</v>
      </c>
      <c r="GX54" s="4">
        <v>75</v>
      </c>
      <c r="GY54" s="4">
        <v>76</v>
      </c>
      <c r="GZ54" s="4">
        <v>77</v>
      </c>
      <c r="HA54" s="4">
        <v>78</v>
      </c>
      <c r="HB54" s="4">
        <v>79</v>
      </c>
      <c r="HC54" s="4">
        <v>80</v>
      </c>
      <c r="HD54" s="4">
        <v>81</v>
      </c>
      <c r="HE54" s="4">
        <v>82</v>
      </c>
      <c r="HF54" s="4">
        <v>83</v>
      </c>
      <c r="HG54" s="4">
        <v>84</v>
      </c>
      <c r="HH54" s="4">
        <v>85</v>
      </c>
      <c r="HI54" s="4">
        <v>86</v>
      </c>
      <c r="HJ54" s="4">
        <v>87</v>
      </c>
      <c r="HK54" s="4">
        <v>88</v>
      </c>
      <c r="HL54" s="4">
        <v>89</v>
      </c>
      <c r="HM54" s="4">
        <v>90</v>
      </c>
      <c r="HN54" s="4">
        <v>91</v>
      </c>
      <c r="HO54" s="4">
        <v>92</v>
      </c>
      <c r="HP54" s="4">
        <v>93</v>
      </c>
      <c r="HQ54" s="4">
        <v>94</v>
      </c>
      <c r="HR54" s="4">
        <v>95</v>
      </c>
      <c r="HS54" s="4">
        <v>96</v>
      </c>
      <c r="HT54" s="4">
        <v>97</v>
      </c>
      <c r="HU54" s="4">
        <v>98</v>
      </c>
      <c r="HV54" s="4">
        <v>99</v>
      </c>
      <c r="HW54" s="4">
        <v>100</v>
      </c>
      <c r="HX54" s="4">
        <v>101</v>
      </c>
      <c r="HY54" s="4">
        <v>102</v>
      </c>
      <c r="HZ54" s="4">
        <v>103</v>
      </c>
      <c r="IA54" s="4">
        <v>104</v>
      </c>
      <c r="IB54" s="4">
        <v>105</v>
      </c>
      <c r="IC54" s="4">
        <v>106</v>
      </c>
      <c r="ID54" s="4">
        <v>107</v>
      </c>
      <c r="IE54" s="4">
        <v>108</v>
      </c>
      <c r="IF54" s="4">
        <v>109</v>
      </c>
      <c r="IG54" s="4">
        <v>110</v>
      </c>
      <c r="IH54" s="4">
        <v>111</v>
      </c>
      <c r="II54" s="4">
        <v>112</v>
      </c>
      <c r="IJ54" s="4">
        <v>113</v>
      </c>
      <c r="IK54" s="4">
        <v>114</v>
      </c>
      <c r="IL54" s="4">
        <v>115</v>
      </c>
      <c r="IM54" s="4">
        <v>116</v>
      </c>
      <c r="IN54" s="4">
        <v>117</v>
      </c>
      <c r="IO54" s="4">
        <v>118</v>
      </c>
      <c r="IP54" s="4">
        <v>119</v>
      </c>
      <c r="IQ54" s="4">
        <v>120</v>
      </c>
      <c r="IR54" s="4">
        <v>121</v>
      </c>
      <c r="IS54" s="4">
        <v>122</v>
      </c>
      <c r="IT54" s="4">
        <v>123</v>
      </c>
      <c r="IU54" s="4">
        <v>124</v>
      </c>
      <c r="IV54" s="4">
        <v>125</v>
      </c>
    </row>
    <row r="55" spans="6:256" x14ac:dyDescent="0.2">
      <c r="F55">
        <v>201403</v>
      </c>
      <c r="G55" s="8">
        <f t="shared" ref="G55:BR55" si="0">IF(OR(H9 = "", H$8 &lt; G$8), "", IFERROR(H9/G9, ""))</f>
        <v>2.3364282071934763</v>
      </c>
      <c r="H55" s="8">
        <f t="shared" si="0"/>
        <v>1.5658382946928722</v>
      </c>
      <c r="I55" s="8">
        <f t="shared" si="0"/>
        <v>1.4090348203118921</v>
      </c>
      <c r="J55" s="8">
        <f t="shared" si="0"/>
        <v>1.2078252296730627</v>
      </c>
      <c r="K55" s="8">
        <f t="shared" si="0"/>
        <v>1.0364864393995441</v>
      </c>
      <c r="L55" s="8">
        <f t="shared" si="0"/>
        <v>1.1015976444403643</v>
      </c>
      <c r="M55" s="8">
        <f t="shared" si="0"/>
        <v>1.0046868605152537</v>
      </c>
      <c r="N55" s="8">
        <f t="shared" si="0"/>
        <v>1.0176128643243181</v>
      </c>
      <c r="O55" s="8">
        <f t="shared" si="0"/>
        <v>1.0136473523647016</v>
      </c>
      <c r="P55" s="8">
        <f t="shared" si="0"/>
        <v>1.0036143974035525</v>
      </c>
      <c r="Q55" s="8">
        <f t="shared" si="0"/>
        <v>1.0067083790777733</v>
      </c>
      <c r="R55" s="8">
        <f t="shared" si="0"/>
        <v>1.0028652618949871</v>
      </c>
      <c r="S55" s="8">
        <f t="shared" si="0"/>
        <v>1.005754210287306</v>
      </c>
      <c r="T55" s="8">
        <f t="shared" si="0"/>
        <v>1.0051281689784484</v>
      </c>
      <c r="U55" s="8">
        <f t="shared" si="0"/>
        <v>1.0062019923722667</v>
      </c>
      <c r="V55" s="8">
        <f t="shared" si="0"/>
        <v>1.01232503749546</v>
      </c>
      <c r="W55" s="8">
        <f t="shared" si="0"/>
        <v>1.0142122616813387</v>
      </c>
      <c r="X55" s="8">
        <f t="shared" si="0"/>
        <v>1.006094704719209</v>
      </c>
      <c r="Y55" s="8">
        <f t="shared" si="0"/>
        <v>1.0052274247779907</v>
      </c>
      <c r="Z55" s="8">
        <f t="shared" si="0"/>
        <v>1.0049050742615424</v>
      </c>
      <c r="AA55" s="8">
        <f t="shared" si="0"/>
        <v>1.0047575065051098</v>
      </c>
      <c r="AB55" s="8">
        <f t="shared" si="0"/>
        <v>1.0050677043417202</v>
      </c>
      <c r="AC55" s="8">
        <f t="shared" si="0"/>
        <v>1.0032162186177742</v>
      </c>
      <c r="AD55" s="8">
        <f t="shared" si="0"/>
        <v>1.0041448055851387</v>
      </c>
      <c r="AE55" s="8">
        <f t="shared" si="0"/>
        <v>1.0043105650952711</v>
      </c>
      <c r="AF55" s="8">
        <f t="shared" si="0"/>
        <v>1.0047648179355502</v>
      </c>
      <c r="AG55" s="8">
        <f t="shared" si="0"/>
        <v>1.0074039206312708</v>
      </c>
      <c r="AH55" s="8">
        <f t="shared" si="0"/>
        <v>1.0109344452803706</v>
      </c>
      <c r="AI55" s="8">
        <f t="shared" si="0"/>
        <v>1.021183382252421</v>
      </c>
      <c r="AJ55" s="8">
        <f t="shared" si="0"/>
        <v>1.0045344775843552</v>
      </c>
      <c r="AK55" s="8">
        <f t="shared" si="0"/>
        <v>1.00608539805827</v>
      </c>
      <c r="AL55" s="8">
        <f t="shared" si="0"/>
        <v>1.0087803878626809</v>
      </c>
      <c r="AM55" s="8">
        <f t="shared" si="0"/>
        <v>1.0042391631171281</v>
      </c>
      <c r="AN55" s="8">
        <f t="shared" si="0"/>
        <v>1.0042087389284411</v>
      </c>
      <c r="AO55" s="8">
        <f t="shared" si="0"/>
        <v>1.0053914905917265</v>
      </c>
      <c r="AP55" s="8">
        <f t="shared" si="0"/>
        <v>1.0043220750513582</v>
      </c>
      <c r="AQ55" s="8">
        <f t="shared" si="0"/>
        <v>1.0046979794218989</v>
      </c>
      <c r="AR55" s="8">
        <f t="shared" si="0"/>
        <v>1.0075856574436941</v>
      </c>
      <c r="AS55" s="8">
        <f t="shared" si="0"/>
        <v>1.0272659903613817</v>
      </c>
      <c r="AT55" s="8">
        <f t="shared" si="0"/>
        <v>1.0105284425932031</v>
      </c>
      <c r="AU55" s="8">
        <f t="shared" si="0"/>
        <v>1.0057598852284155</v>
      </c>
      <c r="AV55" s="8">
        <f t="shared" si="0"/>
        <v>1.0061810980779777</v>
      </c>
      <c r="AW55" s="8">
        <f t="shared" si="0"/>
        <v>1.0033361713154139</v>
      </c>
      <c r="AX55" s="8">
        <f t="shared" si="0"/>
        <v>1.0094280430585398</v>
      </c>
      <c r="AY55" s="8">
        <f t="shared" si="0"/>
        <v>1.0051759315121638</v>
      </c>
      <c r="AZ55" s="8">
        <f t="shared" si="0"/>
        <v>1.0026955902059109</v>
      </c>
      <c r="BA55" s="8">
        <f t="shared" si="0"/>
        <v>1.011308671816842</v>
      </c>
      <c r="BB55" s="8">
        <f t="shared" si="0"/>
        <v>1.0052462089997865</v>
      </c>
      <c r="BC55" s="8">
        <f t="shared" si="0"/>
        <v>1.0015770421475019</v>
      </c>
      <c r="BD55" s="8">
        <f t="shared" si="0"/>
        <v>1.0037571986442884</v>
      </c>
      <c r="BE55" s="8">
        <f t="shared" si="0"/>
        <v>1.0043734314061079</v>
      </c>
      <c r="BF55" s="8">
        <f t="shared" si="0"/>
        <v>1.0030296101771194</v>
      </c>
      <c r="BG55" s="8">
        <f t="shared" si="0"/>
        <v>1.0051293336108398</v>
      </c>
      <c r="BH55" s="8">
        <f t="shared" si="0"/>
        <v>1.0174221311344702</v>
      </c>
      <c r="BI55" s="8">
        <f t="shared" si="0"/>
        <v>1.0083020206623672</v>
      </c>
      <c r="BJ55" s="8">
        <f t="shared" si="0"/>
        <v>1.0041364132528963</v>
      </c>
      <c r="BK55" s="8">
        <f t="shared" si="0"/>
        <v>1.0063762516037158</v>
      </c>
      <c r="BL55" s="8">
        <f t="shared" si="0"/>
        <v>1.0037151511251234</v>
      </c>
      <c r="BM55" s="8">
        <f t="shared" si="0"/>
        <v>1.0036462191940798</v>
      </c>
      <c r="BN55" s="8">
        <f t="shared" si="0"/>
        <v>1.0078542746458126</v>
      </c>
      <c r="BO55" s="8">
        <f t="shared" si="0"/>
        <v>1.0024723762300665</v>
      </c>
      <c r="BP55" s="8">
        <f t="shared" si="0"/>
        <v>1.0010763754730956</v>
      </c>
      <c r="BQ55" s="8">
        <f t="shared" si="0"/>
        <v>1.0036393670123287</v>
      </c>
      <c r="BR55" s="8">
        <f t="shared" si="0"/>
        <v>1.0050533071243481</v>
      </c>
      <c r="BS55" s="8">
        <f t="shared" ref="BS55:ED55" si="1">IF(OR(BT9 = "", BT$8 &lt; BS$8), "", IFERROR(BT9/BS9, ""))</f>
        <v>1.0046967465545662</v>
      </c>
      <c r="BT55" s="8">
        <f t="shared" si="1"/>
        <v>1.0047957195559054</v>
      </c>
      <c r="BU55" s="8">
        <f t="shared" si="1"/>
        <v>1.0006348996081096</v>
      </c>
      <c r="BV55" s="8">
        <f t="shared" si="1"/>
        <v>1.0042312567117699</v>
      </c>
      <c r="BW55" s="8">
        <f t="shared" si="1"/>
        <v>1.0045702766111617</v>
      </c>
      <c r="BX55" s="8">
        <f t="shared" si="1"/>
        <v>1.0046322703570276</v>
      </c>
      <c r="BY55" s="8">
        <f t="shared" si="1"/>
        <v>1.0038794576873695</v>
      </c>
      <c r="BZ55" s="8">
        <f t="shared" si="1"/>
        <v>1.0041768597562546</v>
      </c>
      <c r="CA55" s="8">
        <f t="shared" si="1"/>
        <v>1.0019723361856285</v>
      </c>
      <c r="CB55" s="8">
        <f t="shared" si="1"/>
        <v>1.0060294413347768</v>
      </c>
      <c r="CC55" s="8">
        <f t="shared" si="1"/>
        <v>1.0061410945865727</v>
      </c>
      <c r="CD55" s="8">
        <f t="shared" si="1"/>
        <v>1.0039107872568227</v>
      </c>
      <c r="CE55" s="8">
        <f t="shared" si="1"/>
        <v>1.0031192220748513</v>
      </c>
      <c r="CF55" s="8">
        <f t="shared" si="1"/>
        <v>1.0165065744535053</v>
      </c>
      <c r="CG55" s="8">
        <f t="shared" si="1"/>
        <v>1.0044707620656681</v>
      </c>
      <c r="CH55" s="8">
        <f t="shared" si="1"/>
        <v>1.0015753024432361</v>
      </c>
      <c r="CI55" s="8">
        <f t="shared" si="1"/>
        <v>1.0062113244975899</v>
      </c>
      <c r="CJ55" s="8">
        <f t="shared" si="1"/>
        <v>1.0027594406945468</v>
      </c>
      <c r="CK55" s="8">
        <f t="shared" si="1"/>
        <v>1.0069219778738117</v>
      </c>
      <c r="CL55" s="8">
        <f t="shared" si="1"/>
        <v>1.0043528700143787</v>
      </c>
      <c r="CM55" s="8">
        <f t="shared" si="1"/>
        <v>1.0034119152510699</v>
      </c>
      <c r="CN55" s="8">
        <f t="shared" si="1"/>
        <v>1.0022651832739244</v>
      </c>
      <c r="CO55" s="8">
        <f t="shared" si="1"/>
        <v>1.0051851048719103</v>
      </c>
      <c r="CP55" s="8">
        <f t="shared" si="1"/>
        <v>1.0040481908675769</v>
      </c>
      <c r="CQ55" s="8">
        <f t="shared" si="1"/>
        <v>1.0045625776688316</v>
      </c>
      <c r="CR55" s="8">
        <f t="shared" si="1"/>
        <v>1.0034054126654881</v>
      </c>
      <c r="CS55" s="8">
        <f t="shared" si="1"/>
        <v>1.0050069059799684</v>
      </c>
      <c r="CT55" s="8">
        <f t="shared" si="1"/>
        <v>1.0119170024391528</v>
      </c>
      <c r="CU55" s="8">
        <f t="shared" si="1"/>
        <v>1.0055466417708687</v>
      </c>
      <c r="CV55" s="8">
        <f t="shared" si="1"/>
        <v>1.0020597619657308</v>
      </c>
      <c r="CW55" s="8">
        <f t="shared" si="1"/>
        <v>1.0054921366127729</v>
      </c>
      <c r="CX55" s="8">
        <f t="shared" si="1"/>
        <v>1.0031046730652198</v>
      </c>
      <c r="CY55" s="8">
        <f t="shared" si="1"/>
        <v>1.0021643497880319</v>
      </c>
      <c r="CZ55" s="8">
        <f t="shared" si="1"/>
        <v>1.0046080774271231</v>
      </c>
      <c r="DA55" s="8">
        <f t="shared" si="1"/>
        <v>1.0033724429050102</v>
      </c>
      <c r="DB55" s="8">
        <f t="shared" si="1"/>
        <v>1.0055295644287214</v>
      </c>
      <c r="DC55" s="8">
        <f t="shared" si="1"/>
        <v>1.0033173039953065</v>
      </c>
      <c r="DD55" s="8">
        <f t="shared" si="1"/>
        <v>1.003321058450126</v>
      </c>
      <c r="DE55" s="8">
        <f t="shared" si="1"/>
        <v>1.0051706331931496</v>
      </c>
      <c r="DF55" s="8">
        <f t="shared" si="1"/>
        <v>1.0031546525967954</v>
      </c>
      <c r="DG55" s="8">
        <f t="shared" si="1"/>
        <v>1.0047128364424303</v>
      </c>
      <c r="DH55" s="8">
        <f t="shared" si="1"/>
        <v>1.0042092285197497</v>
      </c>
      <c r="DI55" s="8">
        <f t="shared" si="1"/>
        <v>1.0017888846488359</v>
      </c>
      <c r="DJ55" s="8">
        <f t="shared" si="1"/>
        <v>1.0023851370360066</v>
      </c>
      <c r="DK55" s="8">
        <f t="shared" si="1"/>
        <v>1.0099576926724358</v>
      </c>
      <c r="DL55" s="8">
        <f t="shared" si="1"/>
        <v>1.002825665896524</v>
      </c>
      <c r="DM55" s="8">
        <f t="shared" si="1"/>
        <v>1.0045494815618163</v>
      </c>
      <c r="DN55" s="8">
        <f t="shared" si="1"/>
        <v>1.004602569664363</v>
      </c>
      <c r="DO55" s="8">
        <f t="shared" si="1"/>
        <v>1.0043564384363206</v>
      </c>
      <c r="DP55" s="8">
        <f t="shared" si="1"/>
        <v>1.0033946270979679</v>
      </c>
      <c r="DQ55" s="8">
        <f t="shared" si="1"/>
        <v>1.0019179463063093</v>
      </c>
      <c r="DR55" s="8">
        <f t="shared" si="1"/>
        <v>1.003456136862988</v>
      </c>
      <c r="DS55" s="8">
        <f t="shared" si="1"/>
        <v>1.0066864242430542</v>
      </c>
      <c r="DT55" s="8">
        <f t="shared" si="1"/>
        <v>1.0023551268783379</v>
      </c>
      <c r="DU55" s="8">
        <f t="shared" si="1"/>
        <v>1.0018132811025249</v>
      </c>
      <c r="DV55" s="8">
        <f t="shared" si="1"/>
        <v>1.0028093677480745</v>
      </c>
      <c r="DW55" s="8">
        <f t="shared" si="1"/>
        <v>1.0034803770733696</v>
      </c>
      <c r="DX55" s="8">
        <f t="shared" si="1"/>
        <v>1.0038513805404945</v>
      </c>
      <c r="DY55" s="8">
        <f t="shared" si="1"/>
        <v>1.0045542200871611</v>
      </c>
      <c r="DZ55" s="8">
        <f t="shared" si="1"/>
        <v>1.0041088153957449</v>
      </c>
      <c r="EA55" s="8" t="str">
        <f t="shared" si="1"/>
        <v/>
      </c>
      <c r="EB55" s="8">
        <f t="shared" si="1"/>
        <v>3.1184247186462488</v>
      </c>
      <c r="EC55" s="8">
        <f t="shared" si="1"/>
        <v>1.4468416007083038</v>
      </c>
      <c r="ED55" s="8">
        <f t="shared" si="1"/>
        <v>1.731385194908533</v>
      </c>
      <c r="EE55" s="8">
        <f t="shared" ref="EE55:GP55" si="2">IF(OR(EF9 = "", EF$8 &lt; EE$8), "", IFERROR(EF9/EE9, ""))</f>
        <v>1.0467923790166709</v>
      </c>
      <c r="EF55" s="8">
        <f t="shared" si="2"/>
        <v>1.0028562047918652</v>
      </c>
      <c r="EG55" s="8">
        <f t="shared" si="2"/>
        <v>0.99973831279479475</v>
      </c>
      <c r="EH55" s="8">
        <f t="shared" si="2"/>
        <v>1.0047518989140243</v>
      </c>
      <c r="EI55" s="8">
        <f t="shared" si="2"/>
        <v>1.0255596721679907</v>
      </c>
      <c r="EJ55" s="8">
        <f t="shared" si="2"/>
        <v>1.0196381219575725</v>
      </c>
      <c r="EK55" s="8">
        <f t="shared" si="2"/>
        <v>1.0094324619228334</v>
      </c>
      <c r="EL55" s="8">
        <f t="shared" si="2"/>
        <v>1.0123775801662909</v>
      </c>
      <c r="EM55" s="8">
        <f t="shared" si="2"/>
        <v>1.0083158196982605</v>
      </c>
      <c r="EN55" s="8">
        <f t="shared" si="2"/>
        <v>1.0049989852477061</v>
      </c>
      <c r="EO55" s="8">
        <f t="shared" si="2"/>
        <v>1.0071196690792827</v>
      </c>
      <c r="EP55" s="8">
        <f t="shared" si="2"/>
        <v>1.0049015364392146</v>
      </c>
      <c r="EQ55" s="8">
        <f t="shared" si="2"/>
        <v>1.018619870682095</v>
      </c>
      <c r="ER55" s="8">
        <f t="shared" si="2"/>
        <v>1.0100718389690542</v>
      </c>
      <c r="ES55" s="8">
        <f t="shared" si="2"/>
        <v>0.98126796546126993</v>
      </c>
      <c r="ET55" s="8">
        <f t="shared" si="2"/>
        <v>1.0055681160113112</v>
      </c>
      <c r="EU55" s="8">
        <f t="shared" si="2"/>
        <v>1.0060508833517312</v>
      </c>
      <c r="EV55" s="8">
        <f t="shared" si="2"/>
        <v>1.005685511861711</v>
      </c>
      <c r="EW55" s="8">
        <f t="shared" si="2"/>
        <v>1.0099782760058542</v>
      </c>
      <c r="EX55" s="8">
        <f t="shared" si="2"/>
        <v>1.0133767388277257</v>
      </c>
      <c r="EY55" s="8">
        <f t="shared" si="2"/>
        <v>1.0078812609055621</v>
      </c>
      <c r="EZ55" s="8">
        <f t="shared" si="2"/>
        <v>1.0017120527554744</v>
      </c>
      <c r="FA55" s="8">
        <f t="shared" si="2"/>
        <v>1.005446061585658</v>
      </c>
      <c r="FB55" s="8">
        <f t="shared" si="2"/>
        <v>1.0095996535895755</v>
      </c>
      <c r="FC55" s="8">
        <f t="shared" si="2"/>
        <v>1.0141689456487402</v>
      </c>
      <c r="FD55" s="8">
        <f t="shared" si="2"/>
        <v>1.0319051382183388</v>
      </c>
      <c r="FE55" s="8">
        <f t="shared" si="2"/>
        <v>1.023499593651632</v>
      </c>
      <c r="FF55" s="8">
        <f t="shared" si="2"/>
        <v>0.98919281482800347</v>
      </c>
      <c r="FG55" s="8">
        <f t="shared" si="2"/>
        <v>1.0094750434689583</v>
      </c>
      <c r="FH55" s="8">
        <f t="shared" si="2"/>
        <v>0.99975440686658634</v>
      </c>
      <c r="FI55" s="8">
        <f t="shared" si="2"/>
        <v>1.0077356912390032</v>
      </c>
      <c r="FJ55" s="8">
        <f t="shared" si="2"/>
        <v>1.0033904003984928</v>
      </c>
      <c r="FK55" s="8">
        <f t="shared" si="2"/>
        <v>1.002614974289022</v>
      </c>
      <c r="FL55" s="8">
        <f t="shared" si="2"/>
        <v>1.019315004349493</v>
      </c>
      <c r="FM55" s="8">
        <f t="shared" si="2"/>
        <v>1.0021465989996399</v>
      </c>
      <c r="FN55" s="8">
        <f t="shared" si="2"/>
        <v>1.0264027712200317</v>
      </c>
      <c r="FO55" s="8">
        <f t="shared" si="2"/>
        <v>1.0024868633756288</v>
      </c>
      <c r="FP55" s="8">
        <f t="shared" si="2"/>
        <v>1.0051862869765202</v>
      </c>
      <c r="FQ55" s="8">
        <f t="shared" si="2"/>
        <v>0.99228355008949332</v>
      </c>
      <c r="FR55" s="8">
        <f t="shared" si="2"/>
        <v>1.0040163661534121</v>
      </c>
      <c r="FS55" s="8">
        <f t="shared" si="2"/>
        <v>1.0047516304648605</v>
      </c>
      <c r="FT55" s="8">
        <f t="shared" si="2"/>
        <v>1.0014400437506525</v>
      </c>
      <c r="FU55" s="8">
        <f t="shared" si="2"/>
        <v>1.0032419309003959</v>
      </c>
      <c r="FV55" s="8">
        <f t="shared" si="2"/>
        <v>1.0136851712820003</v>
      </c>
      <c r="FW55" s="8">
        <f t="shared" si="2"/>
        <v>1.0063208203399061</v>
      </c>
      <c r="FX55" s="8">
        <f t="shared" si="2"/>
        <v>0.99777377906770004</v>
      </c>
      <c r="FY55" s="8">
        <f t="shared" si="2"/>
        <v>1.003627367117139</v>
      </c>
      <c r="FZ55" s="8">
        <f t="shared" si="2"/>
        <v>1.0050000327543849</v>
      </c>
      <c r="GA55" s="8">
        <f t="shared" si="2"/>
        <v>1.0126804922689199</v>
      </c>
      <c r="GB55" s="8">
        <f t="shared" si="2"/>
        <v>0.99714999585147246</v>
      </c>
      <c r="GC55" s="8">
        <f t="shared" si="2"/>
        <v>1.0242226128310643</v>
      </c>
      <c r="GD55" s="8">
        <f t="shared" si="2"/>
        <v>1.0107350344045432</v>
      </c>
      <c r="GE55" s="8">
        <f t="shared" si="2"/>
        <v>1.004692570791371</v>
      </c>
      <c r="GF55" s="8">
        <f t="shared" si="2"/>
        <v>1.0026242187505905</v>
      </c>
      <c r="GG55" s="8">
        <f t="shared" si="2"/>
        <v>1.0036946591782232</v>
      </c>
      <c r="GH55" s="8">
        <f t="shared" si="2"/>
        <v>0.96745159873143549</v>
      </c>
      <c r="GI55" s="8">
        <f t="shared" si="2"/>
        <v>1.0066781689264819</v>
      </c>
      <c r="GJ55" s="8">
        <f t="shared" si="2"/>
        <v>1.002891069788155</v>
      </c>
      <c r="GK55" s="8">
        <f t="shared" si="2"/>
        <v>1.0013106656993283</v>
      </c>
      <c r="GL55" s="8">
        <f t="shared" si="2"/>
        <v>1.0045456856394284</v>
      </c>
      <c r="GM55" s="8">
        <f t="shared" si="2"/>
        <v>1.0061714160827604</v>
      </c>
      <c r="GN55" s="8">
        <f t="shared" si="2"/>
        <v>1.0058305714401379</v>
      </c>
      <c r="GO55" s="8">
        <f t="shared" si="2"/>
        <v>1.0057740628125356</v>
      </c>
      <c r="GP55" s="8">
        <f t="shared" si="2"/>
        <v>0.99526030456821635</v>
      </c>
      <c r="GQ55" s="8">
        <f t="shared" ref="GQ55:IV55" si="3">IF(OR(GR9 = "", GR$8 &lt; GQ$8), "", IFERROR(GR9/GQ9, ""))</f>
        <v>1.0045762842497012</v>
      </c>
      <c r="GR55" s="8">
        <f t="shared" si="3"/>
        <v>1.0056565757453428</v>
      </c>
      <c r="GS55" s="8">
        <f t="shared" si="3"/>
        <v>1.0053212234356028</v>
      </c>
      <c r="GT55" s="8">
        <f t="shared" si="3"/>
        <v>1.0105611834350863</v>
      </c>
      <c r="GU55" s="8">
        <f t="shared" si="3"/>
        <v>0.99923838595047276</v>
      </c>
      <c r="GV55" s="8">
        <f t="shared" si="3"/>
        <v>1.0079860846992752</v>
      </c>
      <c r="GW55" s="8">
        <f t="shared" si="3"/>
        <v>1.0017274792046258</v>
      </c>
      <c r="GX55" s="8">
        <f t="shared" si="3"/>
        <v>1.0075745444874153</v>
      </c>
      <c r="GY55" s="8">
        <f t="shared" si="3"/>
        <v>1.0047767329024706</v>
      </c>
      <c r="GZ55" s="8">
        <f t="shared" si="3"/>
        <v>1.0038001295544376</v>
      </c>
      <c r="HA55" s="8">
        <f t="shared" si="3"/>
        <v>1.0203806341621071</v>
      </c>
      <c r="HB55" s="8">
        <f t="shared" si="3"/>
        <v>1.0054182840225505</v>
      </c>
      <c r="HC55" s="8">
        <f t="shared" si="3"/>
        <v>1.0018335076666254</v>
      </c>
      <c r="HD55" s="8">
        <f t="shared" si="3"/>
        <v>1.0075502329018418</v>
      </c>
      <c r="HE55" s="8">
        <f t="shared" si="3"/>
        <v>1.0055647166981858</v>
      </c>
      <c r="HF55" s="8">
        <f t="shared" si="3"/>
        <v>1.0045168256802859</v>
      </c>
      <c r="HG55" s="8">
        <f t="shared" si="3"/>
        <v>1.0052389010109264</v>
      </c>
      <c r="HH55" s="8">
        <f t="shared" si="3"/>
        <v>1.0080586991069007</v>
      </c>
      <c r="HI55" s="8">
        <f t="shared" si="3"/>
        <v>0.99856893901124744</v>
      </c>
      <c r="HJ55" s="8">
        <f t="shared" si="3"/>
        <v>1.0063863557075488</v>
      </c>
      <c r="HK55" s="8">
        <f t="shared" si="3"/>
        <v>1.0048929924638477</v>
      </c>
      <c r="HL55" s="8">
        <f t="shared" si="3"/>
        <v>1.0054448349763612</v>
      </c>
      <c r="HM55" s="8">
        <f t="shared" si="3"/>
        <v>1.0040829293737576</v>
      </c>
      <c r="HN55" s="8">
        <f t="shared" si="3"/>
        <v>1.0200986696373655</v>
      </c>
      <c r="HO55" s="8">
        <f t="shared" si="3"/>
        <v>1.0043389360294586</v>
      </c>
      <c r="HP55" s="8">
        <f t="shared" si="3"/>
        <v>1.0066849734243488</v>
      </c>
      <c r="HQ55" s="8">
        <f t="shared" si="3"/>
        <v>1.0024423787881027</v>
      </c>
      <c r="HR55" s="8">
        <f t="shared" si="3"/>
        <v>1.0028697426183311</v>
      </c>
      <c r="HS55" s="8">
        <f t="shared" si="3"/>
        <v>1.0037200594268403</v>
      </c>
      <c r="HT55" s="8">
        <f t="shared" si="3"/>
        <v>1.0026141090722718</v>
      </c>
      <c r="HU55" s="8">
        <f t="shared" si="3"/>
        <v>1.0055907914891049</v>
      </c>
      <c r="HV55" s="8">
        <f t="shared" si="3"/>
        <v>1.0041046980472996</v>
      </c>
      <c r="HW55" s="8">
        <f t="shared" si="3"/>
        <v>1.0119905617859846</v>
      </c>
      <c r="HX55" s="8">
        <f t="shared" si="3"/>
        <v>1.0040385569692003</v>
      </c>
      <c r="HY55" s="8">
        <f t="shared" si="3"/>
        <v>1.0040294802062089</v>
      </c>
      <c r="HZ55" s="8">
        <f t="shared" si="3"/>
        <v>1.0062693757948518</v>
      </c>
      <c r="IA55" s="8">
        <f t="shared" si="3"/>
        <v>1.0038473849356684</v>
      </c>
      <c r="IB55" s="8">
        <f t="shared" si="3"/>
        <v>1.0057310719019268</v>
      </c>
      <c r="IC55" s="8">
        <f t="shared" si="3"/>
        <v>1.0051320856489716</v>
      </c>
      <c r="ID55" s="8">
        <f t="shared" si="3"/>
        <v>1.002238450294074</v>
      </c>
      <c r="IE55" s="8">
        <f t="shared" si="3"/>
        <v>1.002957867295162</v>
      </c>
      <c r="IF55" s="8">
        <f t="shared" si="3"/>
        <v>1.0116486012308612</v>
      </c>
      <c r="IG55" s="8">
        <f t="shared" si="3"/>
        <v>1.0030711961754293</v>
      </c>
      <c r="IH55" s="8">
        <f t="shared" si="3"/>
        <v>1.0051308130750765</v>
      </c>
      <c r="II55" s="8">
        <f t="shared" si="3"/>
        <v>1.0051894838405588</v>
      </c>
      <c r="IJ55" s="8">
        <f t="shared" si="3"/>
        <v>1.0048905511760744</v>
      </c>
      <c r="IK55" s="8">
        <f t="shared" si="3"/>
        <v>1.0037372892121514</v>
      </c>
      <c r="IL55" s="8">
        <f t="shared" si="3"/>
        <v>1.0020104584850291</v>
      </c>
      <c r="IM55" s="8">
        <f t="shared" si="3"/>
        <v>1.0037650521484949</v>
      </c>
      <c r="IN55" s="8">
        <f t="shared" si="3"/>
        <v>1.0076578031362082</v>
      </c>
      <c r="IO55" s="8">
        <f t="shared" si="3"/>
        <v>1.0025904940199786</v>
      </c>
      <c r="IP55" s="8">
        <f t="shared" si="3"/>
        <v>1.0017302339515308</v>
      </c>
      <c r="IQ55" s="8">
        <f t="shared" si="3"/>
        <v>1.0030217642827521</v>
      </c>
      <c r="IR55" s="8">
        <f t="shared" si="3"/>
        <v>1.0038320575432098</v>
      </c>
      <c r="IS55" s="8">
        <f t="shared" si="3"/>
        <v>1.0055498790859507</v>
      </c>
      <c r="IT55" s="8">
        <f t="shared" si="3"/>
        <v>1.0050872730680325</v>
      </c>
      <c r="IU55" s="8">
        <f t="shared" si="3"/>
        <v>1.0045545119089383</v>
      </c>
      <c r="IV55" s="8" t="str">
        <f t="shared" si="3"/>
        <v/>
      </c>
    </row>
    <row r="56" spans="6:256" x14ac:dyDescent="0.2">
      <c r="F56">
        <v>201406</v>
      </c>
      <c r="G56" s="8">
        <f t="shared" ref="G56:BR56" si="4">IF(OR(H10 = "", H$8 &lt; G$8), "", IFERROR(H10/G10, ""))</f>
        <v>712.23540991476636</v>
      </c>
      <c r="H56" s="8">
        <f t="shared" si="4"/>
        <v>1.8334247316780079</v>
      </c>
      <c r="I56" s="8">
        <f t="shared" si="4"/>
        <v>2.2091717141693756</v>
      </c>
      <c r="J56" s="8">
        <f t="shared" si="4"/>
        <v>1.3179551638821103</v>
      </c>
      <c r="K56" s="8">
        <f t="shared" si="4"/>
        <v>1.0101523129725893</v>
      </c>
      <c r="L56" s="8">
        <f t="shared" si="4"/>
        <v>1.0119582285325308</v>
      </c>
      <c r="M56" s="8">
        <f t="shared" si="4"/>
        <v>1.0000715674186293</v>
      </c>
      <c r="N56" s="8">
        <f t="shared" si="4"/>
        <v>1.0006060895730167</v>
      </c>
      <c r="O56" s="8">
        <f t="shared" si="4"/>
        <v>1.0002825986870991</v>
      </c>
      <c r="P56" s="8">
        <f t="shared" si="4"/>
        <v>1.0010986819176699</v>
      </c>
      <c r="Q56" s="8">
        <f t="shared" si="4"/>
        <v>1.0033765712937159</v>
      </c>
      <c r="R56" s="8">
        <f t="shared" si="4"/>
        <v>1.0001782425405039</v>
      </c>
      <c r="S56" s="8">
        <f t="shared" si="4"/>
        <v>1.0002329226202114</v>
      </c>
      <c r="T56" s="8">
        <f t="shared" si="4"/>
        <v>1.0019890942815737</v>
      </c>
      <c r="U56" s="8">
        <f t="shared" si="4"/>
        <v>1.0056282699742418</v>
      </c>
      <c r="V56" s="8">
        <f t="shared" si="4"/>
        <v>1.0006434687943619</v>
      </c>
      <c r="W56" s="8">
        <f t="shared" si="4"/>
        <v>1.0001762213606205</v>
      </c>
      <c r="X56" s="8">
        <f t="shared" si="4"/>
        <v>1</v>
      </c>
      <c r="Y56" s="8">
        <f t="shared" si="4"/>
        <v>1</v>
      </c>
      <c r="Z56" s="8">
        <f t="shared" si="4"/>
        <v>1</v>
      </c>
      <c r="AA56" s="8">
        <f t="shared" si="4"/>
        <v>1</v>
      </c>
      <c r="AB56" s="8">
        <f t="shared" si="4"/>
        <v>1.0008076345712313</v>
      </c>
      <c r="AC56" s="8">
        <f t="shared" si="4"/>
        <v>1</v>
      </c>
      <c r="AD56" s="8">
        <f t="shared" si="4"/>
        <v>1</v>
      </c>
      <c r="AE56" s="8">
        <f t="shared" si="4"/>
        <v>1.0058795632511557</v>
      </c>
      <c r="AF56" s="8">
        <f t="shared" si="4"/>
        <v>1.0003016750337979</v>
      </c>
      <c r="AG56" s="8">
        <f t="shared" si="4"/>
        <v>1</v>
      </c>
      <c r="AH56" s="8">
        <f t="shared" si="4"/>
        <v>1</v>
      </c>
      <c r="AI56" s="8">
        <f t="shared" si="4"/>
        <v>1.0002078574887969</v>
      </c>
      <c r="AJ56" s="8">
        <f t="shared" si="4"/>
        <v>1.000034861351023</v>
      </c>
      <c r="AK56" s="8">
        <f t="shared" si="4"/>
        <v>1</v>
      </c>
      <c r="AL56" s="8">
        <f t="shared" si="4"/>
        <v>1</v>
      </c>
      <c r="AM56" s="8">
        <f t="shared" si="4"/>
        <v>1</v>
      </c>
      <c r="AN56" s="8">
        <f t="shared" si="4"/>
        <v>1</v>
      </c>
      <c r="AO56" s="8">
        <f t="shared" si="4"/>
        <v>1.0033116472400876</v>
      </c>
      <c r="AP56" s="8">
        <f t="shared" si="4"/>
        <v>1.0043933640782456</v>
      </c>
      <c r="AQ56" s="8">
        <f t="shared" si="4"/>
        <v>0.99823082242343597</v>
      </c>
      <c r="AR56" s="8">
        <f t="shared" si="4"/>
        <v>1.000227903243974</v>
      </c>
      <c r="AS56" s="8">
        <f t="shared" si="4"/>
        <v>1</v>
      </c>
      <c r="AT56" s="8">
        <f t="shared" si="4"/>
        <v>1.0000346465060197</v>
      </c>
      <c r="AU56" s="8">
        <f t="shared" si="4"/>
        <v>1.0002253955190017</v>
      </c>
      <c r="AV56" s="8">
        <f t="shared" si="4"/>
        <v>1</v>
      </c>
      <c r="AW56" s="8">
        <f t="shared" si="4"/>
        <v>1</v>
      </c>
      <c r="AX56" s="8">
        <f t="shared" si="4"/>
        <v>1</v>
      </c>
      <c r="AY56" s="8">
        <f t="shared" si="4"/>
        <v>1</v>
      </c>
      <c r="AZ56" s="8">
        <f t="shared" si="4"/>
        <v>1</v>
      </c>
      <c r="BA56" s="8">
        <f t="shared" si="4"/>
        <v>1</v>
      </c>
      <c r="BB56" s="8">
        <f t="shared" si="4"/>
        <v>1.0057468375530607</v>
      </c>
      <c r="BC56" s="8">
        <f t="shared" si="4"/>
        <v>1.0001732894948363</v>
      </c>
      <c r="BD56" s="8">
        <f t="shared" si="4"/>
        <v>1.0002264512330425</v>
      </c>
      <c r="BE56" s="8">
        <f t="shared" si="4"/>
        <v>1</v>
      </c>
      <c r="BF56" s="8">
        <f t="shared" si="4"/>
        <v>1.000034425817121</v>
      </c>
      <c r="BG56" s="8">
        <f t="shared" si="4"/>
        <v>1</v>
      </c>
      <c r="BH56" s="8">
        <f t="shared" si="4"/>
        <v>1.0002135431314776</v>
      </c>
      <c r="BI56" s="8">
        <f t="shared" si="4"/>
        <v>1</v>
      </c>
      <c r="BJ56" s="8">
        <f t="shared" si="4"/>
        <v>1</v>
      </c>
      <c r="BK56" s="8">
        <f t="shared" si="4"/>
        <v>1.0032695770105664</v>
      </c>
      <c r="BL56" s="8">
        <f t="shared" si="4"/>
        <v>1</v>
      </c>
      <c r="BM56" s="8">
        <f t="shared" si="4"/>
        <v>1</v>
      </c>
      <c r="BN56" s="8">
        <f t="shared" si="4"/>
        <v>1.0025629678127701</v>
      </c>
      <c r="BO56" s="8">
        <f t="shared" si="4"/>
        <v>1.0008201493876376</v>
      </c>
      <c r="BP56" s="8">
        <f t="shared" si="4"/>
        <v>1.0002248450499562</v>
      </c>
      <c r="BQ56" s="8">
        <f t="shared" si="4"/>
        <v>1</v>
      </c>
      <c r="BR56" s="8">
        <f t="shared" si="4"/>
        <v>1</v>
      </c>
      <c r="BS56" s="8">
        <f t="shared" ref="BS56:ED56" si="5">IF(OR(BT10 = "", BT$8 &lt; BS$8), "", IFERROR(BT10/BS10, ""))</f>
        <v>1.0002652810918655</v>
      </c>
      <c r="BT56" s="8">
        <f t="shared" si="5"/>
        <v>1</v>
      </c>
      <c r="BU56" s="8">
        <f t="shared" si="5"/>
        <v>1</v>
      </c>
      <c r="BV56" s="8">
        <f t="shared" si="5"/>
        <v>1</v>
      </c>
      <c r="BW56" s="8">
        <f t="shared" si="5"/>
        <v>1</v>
      </c>
      <c r="BX56" s="8">
        <f t="shared" si="5"/>
        <v>1</v>
      </c>
      <c r="BY56" s="8">
        <f t="shared" si="5"/>
        <v>1</v>
      </c>
      <c r="BZ56" s="8">
        <f t="shared" si="5"/>
        <v>1</v>
      </c>
      <c r="CA56" s="8">
        <f t="shared" si="5"/>
        <v>1.0071763757623968</v>
      </c>
      <c r="CB56" s="8">
        <f t="shared" si="5"/>
        <v>1.0002739001003322</v>
      </c>
      <c r="CC56" s="8">
        <f t="shared" si="5"/>
        <v>1.0010555845651474</v>
      </c>
      <c r="CD56" s="8">
        <f t="shared" si="5"/>
        <v>1</v>
      </c>
      <c r="CE56" s="8">
        <f t="shared" si="5"/>
        <v>1.0002101899956448</v>
      </c>
      <c r="CF56" s="8">
        <f t="shared" si="5"/>
        <v>1</v>
      </c>
      <c r="CG56" s="8">
        <f t="shared" si="5"/>
        <v>1</v>
      </c>
      <c r="CH56" s="8">
        <f t="shared" si="5"/>
        <v>1</v>
      </c>
      <c r="CI56" s="8">
        <f t="shared" si="5"/>
        <v>1</v>
      </c>
      <c r="CJ56" s="8">
        <f t="shared" si="5"/>
        <v>1</v>
      </c>
      <c r="CK56" s="8">
        <f t="shared" si="5"/>
        <v>1.0044593777117026</v>
      </c>
      <c r="CL56" s="8">
        <f t="shared" si="5"/>
        <v>1.0031889280532036</v>
      </c>
      <c r="CM56" s="8">
        <f t="shared" si="5"/>
        <v>1.0003943839684137</v>
      </c>
      <c r="CN56" s="8">
        <f t="shared" si="5"/>
        <v>1</v>
      </c>
      <c r="CO56" s="8">
        <f t="shared" si="5"/>
        <v>1.0003266777694921</v>
      </c>
      <c r="CP56" s="8">
        <f t="shared" si="5"/>
        <v>1.0000523312463139</v>
      </c>
      <c r="CQ56" s="8">
        <f t="shared" si="5"/>
        <v>1</v>
      </c>
      <c r="CR56" s="8">
        <f t="shared" si="5"/>
        <v>1.0002604833026492</v>
      </c>
      <c r="CS56" s="8">
        <f t="shared" si="5"/>
        <v>1</v>
      </c>
      <c r="CT56" s="8">
        <f t="shared" si="5"/>
        <v>1</v>
      </c>
      <c r="CU56" s="8">
        <f t="shared" si="5"/>
        <v>1</v>
      </c>
      <c r="CV56" s="8">
        <f t="shared" si="5"/>
        <v>1.0044208951646267</v>
      </c>
      <c r="CW56" s="8">
        <f t="shared" si="5"/>
        <v>1</v>
      </c>
      <c r="CX56" s="8">
        <f t="shared" si="5"/>
        <v>1.00316153007394</v>
      </c>
      <c r="CY56" s="8">
        <f t="shared" si="5"/>
        <v>1</v>
      </c>
      <c r="CZ56" s="8">
        <f t="shared" si="5"/>
        <v>1.0004459390562968</v>
      </c>
      <c r="DA56" s="8">
        <f t="shared" si="5"/>
        <v>1</v>
      </c>
      <c r="DB56" s="8">
        <f t="shared" si="5"/>
        <v>1</v>
      </c>
      <c r="DC56" s="8">
        <f t="shared" si="5"/>
        <v>1.0002583369596973</v>
      </c>
      <c r="DD56" s="8">
        <f t="shared" si="5"/>
        <v>1.0000518839253847</v>
      </c>
      <c r="DE56" s="8">
        <f t="shared" si="5"/>
        <v>1</v>
      </c>
      <c r="DF56" s="8">
        <f t="shared" si="5"/>
        <v>1</v>
      </c>
      <c r="DG56" s="8">
        <f t="shared" si="5"/>
        <v>1</v>
      </c>
      <c r="DH56" s="8">
        <f t="shared" si="5"/>
        <v>1.0043842495942799</v>
      </c>
      <c r="DI56" s="8">
        <f t="shared" si="5"/>
        <v>1</v>
      </c>
      <c r="DJ56" s="8">
        <f t="shared" si="5"/>
        <v>1.003135437994459</v>
      </c>
      <c r="DK56" s="8">
        <f t="shared" si="5"/>
        <v>1.0001209282381311</v>
      </c>
      <c r="DL56" s="8">
        <f t="shared" si="5"/>
        <v>1.000321303135874</v>
      </c>
      <c r="DM56" s="8">
        <f t="shared" si="5"/>
        <v>1</v>
      </c>
      <c r="DN56" s="8">
        <f t="shared" si="5"/>
        <v>1</v>
      </c>
      <c r="DO56" s="8">
        <f t="shared" si="5"/>
        <v>1.0000514705482166</v>
      </c>
      <c r="DP56" s="8">
        <f t="shared" si="5"/>
        <v>1</v>
      </c>
      <c r="DQ56" s="8">
        <f t="shared" si="5"/>
        <v>1</v>
      </c>
      <c r="DR56" s="8">
        <f t="shared" si="5"/>
        <v>1</v>
      </c>
      <c r="DS56" s="8">
        <f t="shared" si="5"/>
        <v>1</v>
      </c>
      <c r="DT56" s="8">
        <f t="shared" si="5"/>
        <v>1.0043493205600837</v>
      </c>
      <c r="DU56" s="8">
        <f t="shared" si="5"/>
        <v>1</v>
      </c>
      <c r="DV56" s="8">
        <f t="shared" si="5"/>
        <v>1.0039941211252672</v>
      </c>
      <c r="DW56" s="8">
        <f t="shared" si="5"/>
        <v>1.0008350311609679</v>
      </c>
      <c r="DX56" s="8" t="str">
        <f t="shared" si="5"/>
        <v/>
      </c>
      <c r="DY56" s="8" t="str">
        <f t="shared" si="5"/>
        <v/>
      </c>
      <c r="DZ56" s="8" t="str">
        <f t="shared" si="5"/>
        <v/>
      </c>
      <c r="EA56" s="8" t="str">
        <f t="shared" si="5"/>
        <v/>
      </c>
      <c r="EB56" s="8">
        <f t="shared" si="5"/>
        <v>7.8577502075227379</v>
      </c>
      <c r="EC56" s="8">
        <f t="shared" si="5"/>
        <v>1.4887450413581327</v>
      </c>
      <c r="ED56" s="8">
        <f t="shared" si="5"/>
        <v>1.5580995879399719</v>
      </c>
      <c r="EE56" s="8">
        <f t="shared" ref="EE56:GP56" si="6">IF(OR(EF10 = "", EF$8 &lt; EE$8), "", IFERROR(EF10/EE10, ""))</f>
        <v>0.99533057110080791</v>
      </c>
      <c r="EF56" s="8">
        <f t="shared" si="6"/>
        <v>0.98213610768280124</v>
      </c>
      <c r="EG56" s="8">
        <f t="shared" si="6"/>
        <v>1.0089823718165789</v>
      </c>
      <c r="EH56" s="8">
        <f t="shared" si="6"/>
        <v>1.0000715088362031</v>
      </c>
      <c r="EI56" s="8">
        <f t="shared" si="6"/>
        <v>1.0011028515355065</v>
      </c>
      <c r="EJ56" s="8">
        <f t="shared" si="6"/>
        <v>1.0002822272640213</v>
      </c>
      <c r="EK56" s="8">
        <f t="shared" si="6"/>
        <v>1.0006041011689075</v>
      </c>
      <c r="EL56" s="8">
        <f t="shared" si="6"/>
        <v>1.0033738014608906</v>
      </c>
      <c r="EM56" s="8">
        <f t="shared" si="6"/>
        <v>1.0001780968181291</v>
      </c>
      <c r="EN56" s="8">
        <f t="shared" si="6"/>
        <v>1.0047861917449963</v>
      </c>
      <c r="EO56" s="8">
        <f t="shared" si="6"/>
        <v>1.0019784620128276</v>
      </c>
      <c r="EP56" s="8">
        <f t="shared" si="6"/>
        <v>1.00559824469109</v>
      </c>
      <c r="EQ56" s="8">
        <f t="shared" si="6"/>
        <v>0.99614241270892379</v>
      </c>
      <c r="ER56" s="8">
        <f t="shared" si="6"/>
        <v>1.0001760785310583</v>
      </c>
      <c r="ES56" s="8">
        <f t="shared" si="6"/>
        <v>1</v>
      </c>
      <c r="ET56" s="8">
        <f t="shared" si="6"/>
        <v>1</v>
      </c>
      <c r="EU56" s="8">
        <f t="shared" si="6"/>
        <v>1</v>
      </c>
      <c r="EV56" s="8">
        <f t="shared" si="6"/>
        <v>1</v>
      </c>
      <c r="EW56" s="8">
        <f t="shared" si="6"/>
        <v>0.99999661058069733</v>
      </c>
      <c r="EX56" s="8">
        <f t="shared" si="6"/>
        <v>1</v>
      </c>
      <c r="EY56" s="8">
        <f t="shared" si="6"/>
        <v>1</v>
      </c>
      <c r="EZ56" s="8">
        <f t="shared" si="6"/>
        <v>1.0058795632511557</v>
      </c>
      <c r="FA56" s="8">
        <f t="shared" si="6"/>
        <v>1.0003016750337979</v>
      </c>
      <c r="FB56" s="8">
        <f t="shared" si="6"/>
        <v>1</v>
      </c>
      <c r="FC56" s="8">
        <f t="shared" si="6"/>
        <v>1</v>
      </c>
      <c r="FD56" s="8">
        <f t="shared" si="6"/>
        <v>1.0002078574887969</v>
      </c>
      <c r="FE56" s="8">
        <f t="shared" si="6"/>
        <v>1.000034861351023</v>
      </c>
      <c r="FF56" s="8">
        <f t="shared" si="6"/>
        <v>1</v>
      </c>
      <c r="FG56" s="8">
        <f t="shared" si="6"/>
        <v>1</v>
      </c>
      <c r="FH56" s="8">
        <f t="shared" si="6"/>
        <v>1</v>
      </c>
      <c r="FI56" s="8">
        <f t="shared" si="6"/>
        <v>1</v>
      </c>
      <c r="FJ56" s="8">
        <f t="shared" si="6"/>
        <v>1.0033116472400876</v>
      </c>
      <c r="FK56" s="8">
        <f t="shared" si="6"/>
        <v>1.0043933640782456</v>
      </c>
      <c r="FL56" s="8">
        <f t="shared" si="6"/>
        <v>0.99823082242343597</v>
      </c>
      <c r="FM56" s="8">
        <f t="shared" si="6"/>
        <v>1.000227903243974</v>
      </c>
      <c r="FN56" s="8">
        <f t="shared" si="6"/>
        <v>1</v>
      </c>
      <c r="FO56" s="8">
        <f t="shared" si="6"/>
        <v>1.0000346465060197</v>
      </c>
      <c r="FP56" s="8">
        <f t="shared" si="6"/>
        <v>1.0002253955190017</v>
      </c>
      <c r="FQ56" s="8">
        <f t="shared" si="6"/>
        <v>1</v>
      </c>
      <c r="FR56" s="8">
        <f t="shared" si="6"/>
        <v>1</v>
      </c>
      <c r="FS56" s="8">
        <f t="shared" si="6"/>
        <v>1</v>
      </c>
      <c r="FT56" s="8">
        <f t="shared" si="6"/>
        <v>1</v>
      </c>
      <c r="FU56" s="8">
        <f t="shared" si="6"/>
        <v>1</v>
      </c>
      <c r="FV56" s="8">
        <f t="shared" si="6"/>
        <v>1</v>
      </c>
      <c r="FW56" s="8">
        <f t="shared" si="6"/>
        <v>1.0057468375530607</v>
      </c>
      <c r="FX56" s="8">
        <f t="shared" si="6"/>
        <v>1.0001732894948363</v>
      </c>
      <c r="FY56" s="8">
        <f t="shared" si="6"/>
        <v>1.0002264512330425</v>
      </c>
      <c r="FZ56" s="8">
        <f t="shared" si="6"/>
        <v>1</v>
      </c>
      <c r="GA56" s="8">
        <f t="shared" si="6"/>
        <v>1.000034425817121</v>
      </c>
      <c r="GB56" s="8">
        <f t="shared" si="6"/>
        <v>1</v>
      </c>
      <c r="GC56" s="8">
        <f t="shared" si="6"/>
        <v>1.0002135431314776</v>
      </c>
      <c r="GD56" s="8">
        <f t="shared" si="6"/>
        <v>1</v>
      </c>
      <c r="GE56" s="8">
        <f t="shared" si="6"/>
        <v>1</v>
      </c>
      <c r="GF56" s="8">
        <f t="shared" si="6"/>
        <v>1.0032695770105664</v>
      </c>
      <c r="GG56" s="8">
        <f t="shared" si="6"/>
        <v>1</v>
      </c>
      <c r="GH56" s="8">
        <f t="shared" si="6"/>
        <v>1</v>
      </c>
      <c r="GI56" s="8">
        <f t="shared" si="6"/>
        <v>1.0025629678127701</v>
      </c>
      <c r="GJ56" s="8">
        <f t="shared" si="6"/>
        <v>1.0008201493876376</v>
      </c>
      <c r="GK56" s="8">
        <f t="shared" si="6"/>
        <v>1.0002248450499562</v>
      </c>
      <c r="GL56" s="8">
        <f t="shared" si="6"/>
        <v>1</v>
      </c>
      <c r="GM56" s="8">
        <f t="shared" si="6"/>
        <v>1</v>
      </c>
      <c r="GN56" s="8">
        <f t="shared" si="6"/>
        <v>1.0002652810918655</v>
      </c>
      <c r="GO56" s="8">
        <f t="shared" si="6"/>
        <v>1</v>
      </c>
      <c r="GP56" s="8">
        <f t="shared" si="6"/>
        <v>1</v>
      </c>
      <c r="GQ56" s="8">
        <f t="shared" ref="GQ56:IV56" si="7">IF(OR(GR10 = "", GR$8 &lt; GQ$8), "", IFERROR(GR10/GQ10, ""))</f>
        <v>1</v>
      </c>
      <c r="GR56" s="8">
        <f t="shared" si="7"/>
        <v>1</v>
      </c>
      <c r="GS56" s="8">
        <f t="shared" si="7"/>
        <v>1</v>
      </c>
      <c r="GT56" s="8">
        <f t="shared" si="7"/>
        <v>1</v>
      </c>
      <c r="GU56" s="8">
        <f t="shared" si="7"/>
        <v>1</v>
      </c>
      <c r="GV56" s="8">
        <f t="shared" si="7"/>
        <v>1.0071763757623968</v>
      </c>
      <c r="GW56" s="8">
        <f t="shared" si="7"/>
        <v>1.0002739001003322</v>
      </c>
      <c r="GX56" s="8">
        <f t="shared" si="7"/>
        <v>1.0010555845651474</v>
      </c>
      <c r="GY56" s="8">
        <f t="shared" si="7"/>
        <v>1</v>
      </c>
      <c r="GZ56" s="8">
        <f t="shared" si="7"/>
        <v>1.0002101899956448</v>
      </c>
      <c r="HA56" s="8">
        <f t="shared" si="7"/>
        <v>1</v>
      </c>
      <c r="HB56" s="8">
        <f t="shared" si="7"/>
        <v>1</v>
      </c>
      <c r="HC56" s="8">
        <f t="shared" si="7"/>
        <v>1</v>
      </c>
      <c r="HD56" s="8">
        <f t="shared" si="7"/>
        <v>1</v>
      </c>
      <c r="HE56" s="8">
        <f t="shared" si="7"/>
        <v>1</v>
      </c>
      <c r="HF56" s="8">
        <f t="shared" si="7"/>
        <v>1.0044593777117026</v>
      </c>
      <c r="HG56" s="8">
        <f t="shared" si="7"/>
        <v>1.0031889280532036</v>
      </c>
      <c r="HH56" s="8">
        <f t="shared" si="7"/>
        <v>1.0003943839684137</v>
      </c>
      <c r="HI56" s="8">
        <f t="shared" si="7"/>
        <v>1</v>
      </c>
      <c r="HJ56" s="8">
        <f t="shared" si="7"/>
        <v>1.0003266777694921</v>
      </c>
      <c r="HK56" s="8">
        <f t="shared" si="7"/>
        <v>1.0000523312463139</v>
      </c>
      <c r="HL56" s="8">
        <f t="shared" si="7"/>
        <v>1</v>
      </c>
      <c r="HM56" s="8">
        <f t="shared" si="7"/>
        <v>1.0002604833026492</v>
      </c>
      <c r="HN56" s="8">
        <f t="shared" si="7"/>
        <v>1</v>
      </c>
      <c r="HO56" s="8">
        <f t="shared" si="7"/>
        <v>1</v>
      </c>
      <c r="HP56" s="8">
        <f t="shared" si="7"/>
        <v>1</v>
      </c>
      <c r="HQ56" s="8">
        <f t="shared" si="7"/>
        <v>1.0044208951646267</v>
      </c>
      <c r="HR56" s="8">
        <f t="shared" si="7"/>
        <v>1</v>
      </c>
      <c r="HS56" s="8">
        <f t="shared" si="7"/>
        <v>1.00316153007394</v>
      </c>
      <c r="HT56" s="8">
        <f t="shared" si="7"/>
        <v>1</v>
      </c>
      <c r="HU56" s="8">
        <f t="shared" si="7"/>
        <v>1.0004459390562968</v>
      </c>
      <c r="HV56" s="8">
        <f t="shared" si="7"/>
        <v>1</v>
      </c>
      <c r="HW56" s="8">
        <f t="shared" si="7"/>
        <v>1</v>
      </c>
      <c r="HX56" s="8">
        <f t="shared" si="7"/>
        <v>1.0002583369596973</v>
      </c>
      <c r="HY56" s="8">
        <f t="shared" si="7"/>
        <v>1.0000518839253847</v>
      </c>
      <c r="HZ56" s="8">
        <f t="shared" si="7"/>
        <v>1</v>
      </c>
      <c r="IA56" s="8">
        <f t="shared" si="7"/>
        <v>1</v>
      </c>
      <c r="IB56" s="8">
        <f t="shared" si="7"/>
        <v>1</v>
      </c>
      <c r="IC56" s="8">
        <f t="shared" si="7"/>
        <v>1.0043842495942799</v>
      </c>
      <c r="ID56" s="8">
        <f t="shared" si="7"/>
        <v>1</v>
      </c>
      <c r="IE56" s="8">
        <f t="shared" si="7"/>
        <v>1.003135437994459</v>
      </c>
      <c r="IF56" s="8">
        <f t="shared" si="7"/>
        <v>1.0001209282381311</v>
      </c>
      <c r="IG56" s="8">
        <f t="shared" si="7"/>
        <v>1.000321303135874</v>
      </c>
      <c r="IH56" s="8">
        <f t="shared" si="7"/>
        <v>1</v>
      </c>
      <c r="II56" s="8">
        <f t="shared" si="7"/>
        <v>1</v>
      </c>
      <c r="IJ56" s="8">
        <f t="shared" si="7"/>
        <v>1.0000514705482166</v>
      </c>
      <c r="IK56" s="8">
        <f t="shared" si="7"/>
        <v>1</v>
      </c>
      <c r="IL56" s="8">
        <f t="shared" si="7"/>
        <v>1</v>
      </c>
      <c r="IM56" s="8">
        <f t="shared" si="7"/>
        <v>1</v>
      </c>
      <c r="IN56" s="8">
        <f t="shared" si="7"/>
        <v>1</v>
      </c>
      <c r="IO56" s="8">
        <f t="shared" si="7"/>
        <v>1.0043493205600837</v>
      </c>
      <c r="IP56" s="8">
        <f t="shared" si="7"/>
        <v>1</v>
      </c>
      <c r="IQ56" s="8">
        <f t="shared" si="7"/>
        <v>1.0039941211252672</v>
      </c>
      <c r="IR56" s="8">
        <f t="shared" si="7"/>
        <v>1.0008350311609679</v>
      </c>
      <c r="IS56" s="8" t="str">
        <f t="shared" si="7"/>
        <v/>
      </c>
      <c r="IT56" s="8" t="str">
        <f t="shared" si="7"/>
        <v/>
      </c>
      <c r="IU56" s="8" t="str">
        <f t="shared" si="7"/>
        <v/>
      </c>
      <c r="IV56" s="8" t="str">
        <f t="shared" si="7"/>
        <v/>
      </c>
    </row>
    <row r="57" spans="6:256" x14ac:dyDescent="0.2">
      <c r="F57">
        <v>201409</v>
      </c>
      <c r="G57" s="8">
        <f t="shared" ref="G57:BR57" si="8">IF(OR(H11 = "", H$8 &lt; G$8), "", IFERROR(H11/G11, ""))</f>
        <v>19.732072299287822</v>
      </c>
      <c r="H57" s="8">
        <f t="shared" si="8"/>
        <v>3.5859059411116778</v>
      </c>
      <c r="I57" s="8">
        <f t="shared" si="8"/>
        <v>1.6135440466457387</v>
      </c>
      <c r="J57" s="8">
        <f t="shared" si="8"/>
        <v>1.1928852553522213</v>
      </c>
      <c r="K57" s="8">
        <f t="shared" si="8"/>
        <v>1.0671049151951373</v>
      </c>
      <c r="L57" s="8">
        <f t="shared" si="8"/>
        <v>1.0003394895118887</v>
      </c>
      <c r="M57" s="8">
        <f t="shared" si="8"/>
        <v>1.0001708717943403</v>
      </c>
      <c r="N57" s="8">
        <f t="shared" si="8"/>
        <v>1.0005446144860093</v>
      </c>
      <c r="O57" s="8">
        <f t="shared" si="8"/>
        <v>1.0000344700004653</v>
      </c>
      <c r="P57" s="8">
        <f t="shared" si="8"/>
        <v>1.0000936831789482</v>
      </c>
      <c r="Q57" s="8">
        <f t="shared" si="8"/>
        <v>1.0000278984127304</v>
      </c>
      <c r="R57" s="8">
        <f t="shared" si="8"/>
        <v>1.0029620784783682</v>
      </c>
      <c r="S57" s="8">
        <f t="shared" si="8"/>
        <v>1.0000423206804214</v>
      </c>
      <c r="T57" s="8">
        <f t="shared" si="8"/>
        <v>1.0012578913732213</v>
      </c>
      <c r="U57" s="8">
        <f t="shared" si="8"/>
        <v>1</v>
      </c>
      <c r="V57" s="8">
        <f t="shared" si="8"/>
        <v>1.0000732886046004</v>
      </c>
      <c r="W57" s="8">
        <f t="shared" si="8"/>
        <v>1.0000493704861184</v>
      </c>
      <c r="X57" s="8">
        <f t="shared" si="8"/>
        <v>1.0001752284847538</v>
      </c>
      <c r="Y57" s="8">
        <f t="shared" si="8"/>
        <v>1</v>
      </c>
      <c r="Z57" s="8">
        <f t="shared" si="8"/>
        <v>1</v>
      </c>
      <c r="AA57" s="8">
        <f t="shared" si="8"/>
        <v>1.000664251657575</v>
      </c>
      <c r="AB57" s="8">
        <f t="shared" si="8"/>
        <v>1</v>
      </c>
      <c r="AC57" s="8">
        <f t="shared" si="8"/>
        <v>1.0006495631546082</v>
      </c>
      <c r="AD57" s="8">
        <f t="shared" si="8"/>
        <v>1.000027734400146</v>
      </c>
      <c r="AE57" s="8">
        <f t="shared" si="8"/>
        <v>1.0008134446937831</v>
      </c>
      <c r="AF57" s="8">
        <f t="shared" si="8"/>
        <v>1.0006362893007597</v>
      </c>
      <c r="AG57" s="8">
        <f t="shared" si="8"/>
        <v>1</v>
      </c>
      <c r="AH57" s="8">
        <f t="shared" si="8"/>
        <v>1</v>
      </c>
      <c r="AI57" s="8">
        <f t="shared" si="8"/>
        <v>1.0000492218631536</v>
      </c>
      <c r="AJ57" s="8">
        <f t="shared" si="8"/>
        <v>1.0016973859936267</v>
      </c>
      <c r="AK57" s="8">
        <f t="shared" si="8"/>
        <v>1</v>
      </c>
      <c r="AL57" s="8">
        <f t="shared" si="8"/>
        <v>1</v>
      </c>
      <c r="AM57" s="8">
        <f t="shared" si="8"/>
        <v>1.0007645327414749</v>
      </c>
      <c r="AN57" s="8">
        <f t="shared" si="8"/>
        <v>1.0000276240613748</v>
      </c>
      <c r="AO57" s="8">
        <f t="shared" si="8"/>
        <v>1.0005537904336297</v>
      </c>
      <c r="AP57" s="8">
        <f t="shared" si="8"/>
        <v>1</v>
      </c>
      <c r="AQ57" s="8">
        <f t="shared" si="8"/>
        <v>1.0009035625590503</v>
      </c>
      <c r="AR57" s="8">
        <f t="shared" si="8"/>
        <v>1.0001999281595106</v>
      </c>
      <c r="AS57" s="8">
        <f t="shared" si="8"/>
        <v>1.0003435555619358</v>
      </c>
      <c r="AT57" s="8">
        <f t="shared" si="8"/>
        <v>1</v>
      </c>
      <c r="AU57" s="8">
        <f t="shared" si="8"/>
        <v>1.0000489990381991</v>
      </c>
      <c r="AV57" s="8">
        <f t="shared" si="8"/>
        <v>1.0002506256575285</v>
      </c>
      <c r="AW57" s="8">
        <f t="shared" si="8"/>
        <v>1</v>
      </c>
      <c r="AX57" s="8">
        <f t="shared" si="8"/>
        <v>1.0012910743398711</v>
      </c>
      <c r="AY57" s="8">
        <f t="shared" si="8"/>
        <v>1</v>
      </c>
      <c r="AZ57" s="8">
        <f t="shared" si="8"/>
        <v>1.0000924182718336</v>
      </c>
      <c r="BA57" s="8">
        <f t="shared" si="8"/>
        <v>1.0006573872221116</v>
      </c>
      <c r="BB57" s="8">
        <f t="shared" si="8"/>
        <v>1.000151660520366</v>
      </c>
      <c r="BC57" s="8">
        <f t="shared" si="8"/>
        <v>1.000662756704555</v>
      </c>
      <c r="BD57" s="8">
        <f t="shared" si="8"/>
        <v>1.0003939151491865</v>
      </c>
      <c r="BE57" s="8">
        <f t="shared" si="8"/>
        <v>1</v>
      </c>
      <c r="BF57" s="8">
        <f t="shared" si="8"/>
        <v>1.0178300356473484</v>
      </c>
      <c r="BG57" s="8">
        <f t="shared" si="8"/>
        <v>1.0002933455526095</v>
      </c>
      <c r="BH57" s="8">
        <f t="shared" si="8"/>
        <v>1</v>
      </c>
      <c r="BI57" s="8">
        <f t="shared" si="8"/>
        <v>1.0011553307585328</v>
      </c>
      <c r="BJ57" s="8">
        <f t="shared" si="8"/>
        <v>1.0001973254432481</v>
      </c>
      <c r="BK57" s="8">
        <f t="shared" si="8"/>
        <v>1.0010309683420977</v>
      </c>
      <c r="BL57" s="8">
        <f t="shared" si="8"/>
        <v>1.0744196910728119</v>
      </c>
      <c r="BM57" s="8">
        <f t="shared" si="8"/>
        <v>1</v>
      </c>
      <c r="BN57" s="8">
        <f t="shared" si="8"/>
        <v>1.0007465043280088</v>
      </c>
      <c r="BO57" s="8">
        <f t="shared" si="8"/>
        <v>1.0006503045736261</v>
      </c>
      <c r="BP57" s="8">
        <f t="shared" si="8"/>
        <v>1.0006250637553586</v>
      </c>
      <c r="BQ57" s="8">
        <f t="shared" si="8"/>
        <v>1</v>
      </c>
      <c r="BR57" s="8">
        <f t="shared" si="8"/>
        <v>1</v>
      </c>
      <c r="BS57" s="8">
        <f t="shared" ref="BS57:ED57" si="9">IF(OR(BT11 = "", BT$8 &lt; BS$8), "", IFERROR(BT11/BS11, ""))</f>
        <v>1.0002948130875</v>
      </c>
      <c r="BT57" s="8">
        <f t="shared" si="9"/>
        <v>1</v>
      </c>
      <c r="BU57" s="8">
        <f t="shared" si="9"/>
        <v>1</v>
      </c>
      <c r="BV57" s="8">
        <f t="shared" si="9"/>
        <v>1</v>
      </c>
      <c r="BW57" s="8">
        <f t="shared" si="9"/>
        <v>1.0008902412671259</v>
      </c>
      <c r="BX57" s="8">
        <f t="shared" si="9"/>
        <v>1.0001293341449533</v>
      </c>
      <c r="BY57" s="8">
        <f t="shared" si="9"/>
        <v>1.0007689880967752</v>
      </c>
      <c r="BZ57" s="8">
        <f t="shared" si="9"/>
        <v>1.0002268363443856</v>
      </c>
      <c r="CA57" s="8">
        <f t="shared" si="9"/>
        <v>1.0009652496159123</v>
      </c>
      <c r="CB57" s="8">
        <f t="shared" si="9"/>
        <v>1.0004816738555631</v>
      </c>
      <c r="CC57" s="8">
        <f t="shared" si="9"/>
        <v>1</v>
      </c>
      <c r="CD57" s="8">
        <f t="shared" si="9"/>
        <v>1</v>
      </c>
      <c r="CE57" s="8">
        <f t="shared" si="9"/>
        <v>1.0004458752660519</v>
      </c>
      <c r="CF57" s="8">
        <f t="shared" si="9"/>
        <v>1</v>
      </c>
      <c r="CG57" s="8">
        <f t="shared" si="9"/>
        <v>1.0002833025086688</v>
      </c>
      <c r="CH57" s="8">
        <f t="shared" si="9"/>
        <v>1</v>
      </c>
      <c r="CI57" s="8">
        <f t="shared" si="9"/>
        <v>1</v>
      </c>
      <c r="CJ57" s="8">
        <f t="shared" si="9"/>
        <v>1.0003668485718129</v>
      </c>
      <c r="CK57" s="8">
        <f t="shared" si="9"/>
        <v>1.0003617430862073</v>
      </c>
      <c r="CL57" s="8">
        <f t="shared" si="9"/>
        <v>1.0005083251257687</v>
      </c>
      <c r="CM57" s="8">
        <f t="shared" si="9"/>
        <v>1.0013993512578776</v>
      </c>
      <c r="CN57" s="8">
        <f t="shared" si="9"/>
        <v>1.0000696943015184</v>
      </c>
      <c r="CO57" s="8">
        <f t="shared" si="9"/>
        <v>1</v>
      </c>
      <c r="CP57" s="8">
        <f t="shared" si="9"/>
        <v>1.000469169893494</v>
      </c>
      <c r="CQ57" s="8">
        <f t="shared" si="9"/>
        <v>1</v>
      </c>
      <c r="CR57" s="8">
        <f t="shared" si="9"/>
        <v>1.0002811514566625</v>
      </c>
      <c r="CS57" s="8">
        <f t="shared" si="9"/>
        <v>1.0000567338287163</v>
      </c>
      <c r="CT57" s="8">
        <f t="shared" si="9"/>
        <v>1.0000248030079748</v>
      </c>
      <c r="CU57" s="8">
        <f t="shared" si="9"/>
        <v>1</v>
      </c>
      <c r="CV57" s="8">
        <f t="shared" si="9"/>
        <v>1.0003655535300162</v>
      </c>
      <c r="CW57" s="8">
        <f t="shared" si="9"/>
        <v>1.0008671810704342</v>
      </c>
      <c r="CX57" s="8">
        <f t="shared" si="9"/>
        <v>1</v>
      </c>
      <c r="CY57" s="8">
        <f t="shared" si="9"/>
        <v>1.0014674836186643</v>
      </c>
      <c r="CZ57" s="8">
        <f t="shared" si="9"/>
        <v>1</v>
      </c>
      <c r="DA57" s="8">
        <f t="shared" si="9"/>
        <v>1</v>
      </c>
      <c r="DB57" s="8">
        <f t="shared" si="9"/>
        <v>1</v>
      </c>
      <c r="DC57" s="8">
        <f t="shared" si="9"/>
        <v>1.0004427809045298</v>
      </c>
      <c r="DD57" s="8">
        <f t="shared" si="9"/>
        <v>1.0002801680176139</v>
      </c>
      <c r="DE57" s="8">
        <f t="shared" si="9"/>
        <v>1.0000565354351678</v>
      </c>
      <c r="DF57" s="8">
        <f t="shared" si="9"/>
        <v>1</v>
      </c>
      <c r="DG57" s="8">
        <f t="shared" si="9"/>
        <v>1</v>
      </c>
      <c r="DH57" s="8">
        <f t="shared" si="9"/>
        <v>1.0004922912876504</v>
      </c>
      <c r="DI57" s="8">
        <f t="shared" si="9"/>
        <v>1.000522318510177</v>
      </c>
      <c r="DJ57" s="8">
        <f t="shared" si="9"/>
        <v>1.0005128548906124</v>
      </c>
      <c r="DK57" s="8">
        <f t="shared" si="9"/>
        <v>1.0028628337162984</v>
      </c>
      <c r="DL57" s="8">
        <f t="shared" si="9"/>
        <v>1.000475637661596</v>
      </c>
      <c r="DM57" s="8">
        <f t="shared" si="9"/>
        <v>1</v>
      </c>
      <c r="DN57" s="8">
        <f t="shared" si="9"/>
        <v>1</v>
      </c>
      <c r="DO57" s="8">
        <f t="shared" si="9"/>
        <v>1.000775579233083</v>
      </c>
      <c r="DP57" s="8">
        <f t="shared" si="9"/>
        <v>1.0002784994824305</v>
      </c>
      <c r="DQ57" s="8">
        <f t="shared" si="9"/>
        <v>1.0000561988332259</v>
      </c>
      <c r="DR57" s="8">
        <f t="shared" si="9"/>
        <v>1</v>
      </c>
      <c r="DS57" s="8">
        <f t="shared" si="9"/>
        <v>1.0003621155643634</v>
      </c>
      <c r="DT57" s="8">
        <f t="shared" si="9"/>
        <v>1</v>
      </c>
      <c r="DU57" s="8" t="str">
        <f t="shared" si="9"/>
        <v/>
      </c>
      <c r="DV57" s="8" t="str">
        <f t="shared" si="9"/>
        <v/>
      </c>
      <c r="DW57" s="8" t="str">
        <f t="shared" si="9"/>
        <v/>
      </c>
      <c r="DX57" s="8" t="str">
        <f t="shared" si="9"/>
        <v/>
      </c>
      <c r="DY57" s="8" t="str">
        <f t="shared" si="9"/>
        <v/>
      </c>
      <c r="DZ57" s="8" t="str">
        <f t="shared" si="9"/>
        <v/>
      </c>
      <c r="EA57" s="8" t="str">
        <f t="shared" si="9"/>
        <v/>
      </c>
      <c r="EB57" s="8">
        <f t="shared" si="9"/>
        <v>4.1338742447718539</v>
      </c>
      <c r="EC57" s="8">
        <f t="shared" si="9"/>
        <v>2.5269981679714459</v>
      </c>
      <c r="ED57" s="8">
        <f t="shared" si="9"/>
        <v>1.2378438862593411</v>
      </c>
      <c r="EE57" s="8">
        <f t="shared" ref="EE57:GP57" si="10">IF(OR(EF11 = "", EF$8 &lt; EE$8), "", IFERROR(EF11/EE11, ""))</f>
        <v>1.0319242857250761</v>
      </c>
      <c r="EF57" s="8">
        <f t="shared" si="10"/>
        <v>1.0425159182229811</v>
      </c>
      <c r="EG57" s="8">
        <f t="shared" si="10"/>
        <v>1.0003387316650878</v>
      </c>
      <c r="EH57" s="8">
        <f t="shared" si="10"/>
        <v>1.0001802121795598</v>
      </c>
      <c r="EI57" s="8">
        <f t="shared" si="10"/>
        <v>1.0005433940731228</v>
      </c>
      <c r="EJ57" s="8">
        <f t="shared" si="10"/>
        <v>1.0000343927994599</v>
      </c>
      <c r="EK57" s="8">
        <f t="shared" si="10"/>
        <v>1.0000934733679017</v>
      </c>
      <c r="EL57" s="8">
        <f t="shared" si="10"/>
        <v>1.0000278359378214</v>
      </c>
      <c r="EM57" s="8">
        <f t="shared" si="10"/>
        <v>1.0076225108092267</v>
      </c>
      <c r="EN57" s="8">
        <f t="shared" si="10"/>
        <v>0.99342831724112879</v>
      </c>
      <c r="EO57" s="8">
        <f t="shared" si="10"/>
        <v>1.00101558114981</v>
      </c>
      <c r="EP57" s="8">
        <f t="shared" si="10"/>
        <v>1</v>
      </c>
      <c r="EQ57" s="8">
        <f t="shared" si="10"/>
        <v>1.0000732886046004</v>
      </c>
      <c r="ER57" s="8">
        <f t="shared" si="10"/>
        <v>1.0205362285869104</v>
      </c>
      <c r="ES57" s="8">
        <f t="shared" si="10"/>
        <v>0.98009710934706618</v>
      </c>
      <c r="ET57" s="8">
        <f t="shared" si="10"/>
        <v>1</v>
      </c>
      <c r="EU57" s="8">
        <f t="shared" si="10"/>
        <v>1</v>
      </c>
      <c r="EV57" s="8">
        <f t="shared" si="10"/>
        <v>1.0113936157561323</v>
      </c>
      <c r="EW57" s="8">
        <f t="shared" si="10"/>
        <v>1</v>
      </c>
      <c r="EX57" s="8">
        <f t="shared" si="10"/>
        <v>0.99003417728417087</v>
      </c>
      <c r="EY57" s="8">
        <f t="shared" si="10"/>
        <v>1.000027734400146</v>
      </c>
      <c r="EZ57" s="8">
        <f t="shared" si="10"/>
        <v>1.0008134446937831</v>
      </c>
      <c r="FA57" s="8">
        <f t="shared" si="10"/>
        <v>1.0006362893007597</v>
      </c>
      <c r="FB57" s="8">
        <f t="shared" si="10"/>
        <v>1</v>
      </c>
      <c r="FC57" s="8">
        <f t="shared" si="10"/>
        <v>1.0000494925838899</v>
      </c>
      <c r="FD57" s="8">
        <f t="shared" si="10"/>
        <v>1.0054145909515699</v>
      </c>
      <c r="FE57" s="8">
        <f t="shared" si="10"/>
        <v>0.9963025440865565</v>
      </c>
      <c r="FF57" s="8">
        <f t="shared" si="10"/>
        <v>1</v>
      </c>
      <c r="FG57" s="8">
        <f t="shared" si="10"/>
        <v>1.0055743037684877</v>
      </c>
      <c r="FH57" s="8">
        <f t="shared" si="10"/>
        <v>1.0007602946282634</v>
      </c>
      <c r="FI57" s="8">
        <f t="shared" si="10"/>
        <v>1.000018932262482</v>
      </c>
      <c r="FJ57" s="8">
        <f t="shared" si="10"/>
        <v>1.0005507276689172</v>
      </c>
      <c r="FK57" s="8">
        <f t="shared" si="10"/>
        <v>1</v>
      </c>
      <c r="FL57" s="8">
        <f t="shared" si="10"/>
        <v>1.000898568113302</v>
      </c>
      <c r="FM57" s="8">
        <f t="shared" si="10"/>
        <v>1.0001988240479092</v>
      </c>
      <c r="FN57" s="8">
        <f t="shared" si="10"/>
        <v>1.0003416586391662</v>
      </c>
      <c r="FO57" s="8">
        <f t="shared" si="10"/>
        <v>1</v>
      </c>
      <c r="FP57" s="8">
        <f t="shared" si="10"/>
        <v>1.00004872858516</v>
      </c>
      <c r="FQ57" s="8">
        <f t="shared" si="10"/>
        <v>1.0002492423820508</v>
      </c>
      <c r="FR57" s="8">
        <f t="shared" si="10"/>
        <v>1</v>
      </c>
      <c r="FS57" s="8">
        <f t="shared" si="10"/>
        <v>1.0012839503028601</v>
      </c>
      <c r="FT57" s="8">
        <f t="shared" si="10"/>
        <v>1</v>
      </c>
      <c r="FU57" s="8">
        <f t="shared" si="10"/>
        <v>1.000091908969688</v>
      </c>
      <c r="FV57" s="8">
        <f t="shared" si="10"/>
        <v>1.0006537648004088</v>
      </c>
      <c r="FW57" s="8">
        <f t="shared" si="10"/>
        <v>1.0001508253665747</v>
      </c>
      <c r="FX57" s="8">
        <f t="shared" si="10"/>
        <v>1.0006591076315905</v>
      </c>
      <c r="FY57" s="8">
        <f t="shared" si="10"/>
        <v>1.0003917477198456</v>
      </c>
      <c r="FZ57" s="8">
        <f t="shared" si="10"/>
        <v>1.0178020095861979</v>
      </c>
      <c r="GA57" s="8">
        <f t="shared" si="10"/>
        <v>0.99992418633635272</v>
      </c>
      <c r="GB57" s="8">
        <f t="shared" si="10"/>
        <v>1.000291762269534</v>
      </c>
      <c r="GC57" s="8">
        <f t="shared" si="10"/>
        <v>1</v>
      </c>
      <c r="GD57" s="8">
        <f t="shared" si="10"/>
        <v>1.0011490968747054</v>
      </c>
      <c r="GE57" s="8">
        <f t="shared" si="10"/>
        <v>1.0001962619452027</v>
      </c>
      <c r="GF57" s="8">
        <f t="shared" si="10"/>
        <v>1.0495308043066365</v>
      </c>
      <c r="GG57" s="8">
        <f t="shared" si="10"/>
        <v>1.0192477376202214</v>
      </c>
      <c r="GH57" s="8">
        <f t="shared" si="10"/>
        <v>1.0015702216895364</v>
      </c>
      <c r="GI57" s="8">
        <f t="shared" si="10"/>
        <v>1.0007453339884143</v>
      </c>
      <c r="GJ57" s="8">
        <f t="shared" si="10"/>
        <v>1.0006492858114726</v>
      </c>
      <c r="GK57" s="8">
        <f t="shared" si="10"/>
        <v>1.0006240851706585</v>
      </c>
      <c r="GL57" s="8">
        <f t="shared" si="10"/>
        <v>1</v>
      </c>
      <c r="GM57" s="8">
        <f t="shared" si="10"/>
        <v>1</v>
      </c>
      <c r="GN57" s="8">
        <f t="shared" si="10"/>
        <v>1.0002943518231278</v>
      </c>
      <c r="GO57" s="8">
        <f t="shared" si="10"/>
        <v>1.0000000780002478</v>
      </c>
      <c r="GP57" s="8">
        <f t="shared" si="10"/>
        <v>1</v>
      </c>
      <c r="GQ57" s="8">
        <f t="shared" ref="GQ57:IV57" si="11">IF(OR(GR11 = "", GR$8 &lt; GQ$8), "", IFERROR(GR11/GQ11, ""))</f>
        <v>1</v>
      </c>
      <c r="GR57" s="8">
        <f t="shared" si="11"/>
        <v>1.0008888487367389</v>
      </c>
      <c r="GS57" s="8">
        <f t="shared" si="11"/>
        <v>1.0001291320179655</v>
      </c>
      <c r="GT57" s="8">
        <f t="shared" si="11"/>
        <v>1.0007677864560249</v>
      </c>
      <c r="GU57" s="8">
        <f t="shared" si="11"/>
        <v>1.0002264821559701</v>
      </c>
      <c r="GV57" s="8">
        <f t="shared" si="11"/>
        <v>1.000963742790272</v>
      </c>
      <c r="GW57" s="8">
        <f t="shared" si="11"/>
        <v>1.0004809226512175</v>
      </c>
      <c r="GX57" s="8">
        <f t="shared" si="11"/>
        <v>1</v>
      </c>
      <c r="GY57" s="8">
        <f t="shared" si="11"/>
        <v>0.99844117915148867</v>
      </c>
      <c r="GZ57" s="8">
        <f t="shared" si="11"/>
        <v>1.0004458752660519</v>
      </c>
      <c r="HA57" s="8">
        <f t="shared" si="11"/>
        <v>1</v>
      </c>
      <c r="HB57" s="8">
        <f t="shared" si="11"/>
        <v>1.0002833025086688</v>
      </c>
      <c r="HC57" s="8">
        <f t="shared" si="11"/>
        <v>1</v>
      </c>
      <c r="HD57" s="8">
        <f t="shared" si="11"/>
        <v>1</v>
      </c>
      <c r="HE57" s="8">
        <f t="shared" si="11"/>
        <v>1.0003668485718129</v>
      </c>
      <c r="HF57" s="8">
        <f t="shared" si="11"/>
        <v>1.0003617430862073</v>
      </c>
      <c r="HG57" s="8">
        <f t="shared" si="11"/>
        <v>1.0005083251257687</v>
      </c>
      <c r="HH57" s="8">
        <f t="shared" si="11"/>
        <v>1.0013993512578776</v>
      </c>
      <c r="HI57" s="8">
        <f t="shared" si="11"/>
        <v>1.0000696943015184</v>
      </c>
      <c r="HJ57" s="8">
        <f t="shared" si="11"/>
        <v>1</v>
      </c>
      <c r="HK57" s="8">
        <f t="shared" si="11"/>
        <v>1.000469169893494</v>
      </c>
      <c r="HL57" s="8">
        <f t="shared" si="11"/>
        <v>1</v>
      </c>
      <c r="HM57" s="8">
        <f t="shared" si="11"/>
        <v>1.0002811514566625</v>
      </c>
      <c r="HN57" s="8">
        <f t="shared" si="11"/>
        <v>1.0000567338287163</v>
      </c>
      <c r="HO57" s="8">
        <f t="shared" si="11"/>
        <v>1.0000248030079748</v>
      </c>
      <c r="HP57" s="8">
        <f t="shared" si="11"/>
        <v>1</v>
      </c>
      <c r="HQ57" s="8">
        <f t="shared" si="11"/>
        <v>1.0003655535300162</v>
      </c>
      <c r="HR57" s="8">
        <f t="shared" si="11"/>
        <v>1.0008671810704342</v>
      </c>
      <c r="HS57" s="8">
        <f t="shared" si="11"/>
        <v>1</v>
      </c>
      <c r="HT57" s="8">
        <f t="shared" si="11"/>
        <v>1.0014674836186643</v>
      </c>
      <c r="HU57" s="8">
        <f t="shared" si="11"/>
        <v>1</v>
      </c>
      <c r="HV57" s="8">
        <f t="shared" si="11"/>
        <v>1</v>
      </c>
      <c r="HW57" s="8">
        <f t="shared" si="11"/>
        <v>1</v>
      </c>
      <c r="HX57" s="8">
        <f t="shared" si="11"/>
        <v>1.0004427809045298</v>
      </c>
      <c r="HY57" s="8">
        <f t="shared" si="11"/>
        <v>1.0002801680176139</v>
      </c>
      <c r="HZ57" s="8">
        <f t="shared" si="11"/>
        <v>1.0000565354351678</v>
      </c>
      <c r="IA57" s="8">
        <f t="shared" si="11"/>
        <v>1</v>
      </c>
      <c r="IB57" s="8">
        <f t="shared" si="11"/>
        <v>1</v>
      </c>
      <c r="IC57" s="8">
        <f t="shared" si="11"/>
        <v>1.0004922912876504</v>
      </c>
      <c r="ID57" s="8">
        <f t="shared" si="11"/>
        <v>1.0025352972800652</v>
      </c>
      <c r="IE57" s="8">
        <f t="shared" si="11"/>
        <v>1.0005118251353413</v>
      </c>
      <c r="IF57" s="8">
        <f t="shared" si="11"/>
        <v>1.0008502273923767</v>
      </c>
      <c r="IG57" s="8">
        <f t="shared" si="11"/>
        <v>1.000475637661596</v>
      </c>
      <c r="IH57" s="8">
        <f t="shared" si="11"/>
        <v>1</v>
      </c>
      <c r="II57" s="8">
        <f t="shared" si="11"/>
        <v>1</v>
      </c>
      <c r="IJ57" s="8">
        <f t="shared" si="11"/>
        <v>1.000775579233083</v>
      </c>
      <c r="IK57" s="8">
        <f t="shared" si="11"/>
        <v>1.0002784994824305</v>
      </c>
      <c r="IL57" s="8">
        <f t="shared" si="11"/>
        <v>1.0000561988332259</v>
      </c>
      <c r="IM57" s="8">
        <f t="shared" si="11"/>
        <v>1</v>
      </c>
      <c r="IN57" s="8">
        <f t="shared" si="11"/>
        <v>1.0003621155643634</v>
      </c>
      <c r="IO57" s="8">
        <f t="shared" si="11"/>
        <v>1</v>
      </c>
      <c r="IP57" s="8" t="str">
        <f t="shared" si="11"/>
        <v/>
      </c>
      <c r="IQ57" s="8" t="str">
        <f t="shared" si="11"/>
        <v/>
      </c>
      <c r="IR57" s="8" t="str">
        <f t="shared" si="11"/>
        <v/>
      </c>
      <c r="IS57" s="8" t="str">
        <f t="shared" si="11"/>
        <v/>
      </c>
      <c r="IT57" s="8" t="str">
        <f t="shared" si="11"/>
        <v/>
      </c>
      <c r="IU57" s="8" t="str">
        <f t="shared" si="11"/>
        <v/>
      </c>
      <c r="IV57" s="8" t="str">
        <f t="shared" si="11"/>
        <v/>
      </c>
    </row>
    <row r="58" spans="6:256" x14ac:dyDescent="0.2">
      <c r="F58">
        <v>201412</v>
      </c>
      <c r="G58" s="8">
        <f t="shared" ref="G58:BR58" si="12">IF(OR(H12 = "", H$8 &lt; G$8), "", IFERROR(H12/G12, ""))</f>
        <v>4.4470496959149637</v>
      </c>
      <c r="H58" s="8">
        <f t="shared" si="12"/>
        <v>4.9707188436998919</v>
      </c>
      <c r="I58" s="8">
        <f t="shared" si="12"/>
        <v>1.2984467326555913</v>
      </c>
      <c r="J58" s="8">
        <f t="shared" si="12"/>
        <v>1.2181421424445078</v>
      </c>
      <c r="K58" s="8">
        <f t="shared" si="12"/>
        <v>1.0159238692986292</v>
      </c>
      <c r="L58" s="8">
        <f t="shared" si="12"/>
        <v>1.036016747758042</v>
      </c>
      <c r="M58" s="8">
        <f t="shared" si="12"/>
        <v>1.005747103427072</v>
      </c>
      <c r="N58" s="8">
        <f t="shared" si="12"/>
        <v>1.0104151660991139</v>
      </c>
      <c r="O58" s="8">
        <f t="shared" si="12"/>
        <v>1</v>
      </c>
      <c r="P58" s="8">
        <f t="shared" si="12"/>
        <v>1.0001811633610713</v>
      </c>
      <c r="Q58" s="8">
        <f t="shared" si="12"/>
        <v>1.0000905587180309</v>
      </c>
      <c r="R58" s="8">
        <f t="shared" si="12"/>
        <v>1.0000552102821763</v>
      </c>
      <c r="S58" s="8">
        <f t="shared" si="12"/>
        <v>1.0000777608480116</v>
      </c>
      <c r="T58" s="8">
        <f t="shared" si="12"/>
        <v>1</v>
      </c>
      <c r="U58" s="8">
        <f t="shared" si="12"/>
        <v>1.002418570962315</v>
      </c>
      <c r="V58" s="8">
        <f t="shared" si="12"/>
        <v>1.0002876454604934</v>
      </c>
      <c r="W58" s="8">
        <f t="shared" si="12"/>
        <v>1.0010211628532533</v>
      </c>
      <c r="X58" s="8">
        <f t="shared" si="12"/>
        <v>1</v>
      </c>
      <c r="Y58" s="8">
        <f t="shared" si="12"/>
        <v>1.0003115269599394</v>
      </c>
      <c r="Z58" s="8">
        <f t="shared" si="12"/>
        <v>1</v>
      </c>
      <c r="AA58" s="8">
        <f t="shared" si="12"/>
        <v>1</v>
      </c>
      <c r="AB58" s="8">
        <f t="shared" si="12"/>
        <v>1</v>
      </c>
      <c r="AC58" s="8">
        <f t="shared" si="12"/>
        <v>1.0002656539091188</v>
      </c>
      <c r="AD58" s="8">
        <f t="shared" si="12"/>
        <v>1</v>
      </c>
      <c r="AE58" s="8">
        <f t="shared" si="12"/>
        <v>1.0027723997457136</v>
      </c>
      <c r="AF58" s="8">
        <f t="shared" si="12"/>
        <v>1.0004652032940082</v>
      </c>
      <c r="AG58" s="8">
        <f t="shared" si="12"/>
        <v>1.0002515062760564</v>
      </c>
      <c r="AH58" s="8">
        <f t="shared" si="12"/>
        <v>1</v>
      </c>
      <c r="AI58" s="8">
        <f t="shared" si="12"/>
        <v>1.0011233903358843</v>
      </c>
      <c r="AJ58" s="8">
        <f t="shared" si="12"/>
        <v>1.0002424660210931</v>
      </c>
      <c r="AK58" s="8">
        <f t="shared" si="12"/>
        <v>1.0002595893567967</v>
      </c>
      <c r="AL58" s="8">
        <f t="shared" si="12"/>
        <v>1.000819563773532</v>
      </c>
      <c r="AM58" s="8">
        <f t="shared" si="12"/>
        <v>1.0000651760868808</v>
      </c>
      <c r="AN58" s="8">
        <f t="shared" si="12"/>
        <v>1</v>
      </c>
      <c r="AO58" s="8">
        <f t="shared" si="12"/>
        <v>1</v>
      </c>
      <c r="AP58" s="8">
        <f t="shared" si="12"/>
        <v>1</v>
      </c>
      <c r="AQ58" s="8">
        <f t="shared" si="12"/>
        <v>1.0009249100987865</v>
      </c>
      <c r="AR58" s="8">
        <f t="shared" si="12"/>
        <v>1.0004784438131997</v>
      </c>
      <c r="AS58" s="8">
        <f t="shared" si="12"/>
        <v>1</v>
      </c>
      <c r="AT58" s="8">
        <f t="shared" si="12"/>
        <v>1</v>
      </c>
      <c r="AU58" s="8">
        <f t="shared" si="12"/>
        <v>1.0021441244135756</v>
      </c>
      <c r="AV58" s="8">
        <f t="shared" si="12"/>
        <v>1.000201990895857</v>
      </c>
      <c r="AW58" s="8">
        <f t="shared" si="12"/>
        <v>1.0002356111717698</v>
      </c>
      <c r="AX58" s="8">
        <f t="shared" si="12"/>
        <v>1.0001841180012303</v>
      </c>
      <c r="AY58" s="8">
        <f t="shared" si="12"/>
        <v>1</v>
      </c>
      <c r="AZ58" s="8">
        <f t="shared" si="12"/>
        <v>1</v>
      </c>
      <c r="BA58" s="8">
        <f t="shared" si="12"/>
        <v>1.0001681076340692</v>
      </c>
      <c r="BB58" s="8">
        <f t="shared" si="12"/>
        <v>1.0001740632172809</v>
      </c>
      <c r="BC58" s="8">
        <f t="shared" si="12"/>
        <v>1.0004616192143505</v>
      </c>
      <c r="BD58" s="8">
        <f t="shared" si="12"/>
        <v>1.0007781068574824</v>
      </c>
      <c r="BE58" s="8">
        <f t="shared" si="12"/>
        <v>1.0044641245229826</v>
      </c>
      <c r="BF58" s="8">
        <f t="shared" si="12"/>
        <v>1.000956192381385</v>
      </c>
      <c r="BG58" s="8">
        <f t="shared" si="12"/>
        <v>1</v>
      </c>
      <c r="BH58" s="8">
        <f t="shared" si="12"/>
        <v>1.0004968826554486</v>
      </c>
      <c r="BI58" s="8">
        <f t="shared" si="12"/>
        <v>1</v>
      </c>
      <c r="BJ58" s="8">
        <f t="shared" si="12"/>
        <v>1</v>
      </c>
      <c r="BK58" s="8">
        <f t="shared" si="12"/>
        <v>1</v>
      </c>
      <c r="BL58" s="8">
        <f t="shared" si="12"/>
        <v>1</v>
      </c>
      <c r="BM58" s="8">
        <f t="shared" si="12"/>
        <v>0.9974914753137939</v>
      </c>
      <c r="BN58" s="8">
        <f t="shared" si="12"/>
        <v>1.0001428986253595</v>
      </c>
      <c r="BO58" s="8">
        <f t="shared" si="12"/>
        <v>1.0004594192198004</v>
      </c>
      <c r="BP58" s="8">
        <f t="shared" si="12"/>
        <v>1.0002376454987061</v>
      </c>
      <c r="BQ58" s="8">
        <f t="shared" si="12"/>
        <v>1</v>
      </c>
      <c r="BR58" s="8">
        <f t="shared" si="12"/>
        <v>1</v>
      </c>
      <c r="BS58" s="8">
        <f t="shared" ref="BS58:ED58" si="13">IF(OR(BT12 = "", BT$8 &lt; BS$8), "", IFERROR(BT12/BS12, ""))</f>
        <v>1.0009930587726219</v>
      </c>
      <c r="BT58" s="8">
        <f t="shared" si="13"/>
        <v>1.0002964777970806</v>
      </c>
      <c r="BU58" s="8">
        <f t="shared" si="13"/>
        <v>1</v>
      </c>
      <c r="BV58" s="8">
        <f t="shared" si="13"/>
        <v>1</v>
      </c>
      <c r="BW58" s="8">
        <f t="shared" si="13"/>
        <v>1</v>
      </c>
      <c r="BX58" s="8">
        <f t="shared" si="13"/>
        <v>1.0005436243966772</v>
      </c>
      <c r="BY58" s="8">
        <f t="shared" si="13"/>
        <v>1.0000346430255742</v>
      </c>
      <c r="BZ58" s="8">
        <f t="shared" si="13"/>
        <v>1</v>
      </c>
      <c r="CA58" s="8">
        <f t="shared" si="13"/>
        <v>1</v>
      </c>
      <c r="CB58" s="8">
        <f t="shared" si="13"/>
        <v>1.0005661132600487</v>
      </c>
      <c r="CC58" s="8">
        <f t="shared" si="13"/>
        <v>1.0002924504262569</v>
      </c>
      <c r="CD58" s="8">
        <f t="shared" si="13"/>
        <v>1</v>
      </c>
      <c r="CE58" s="8">
        <f t="shared" si="13"/>
        <v>1.0009903558960538</v>
      </c>
      <c r="CF58" s="8">
        <f t="shared" si="13"/>
        <v>1</v>
      </c>
      <c r="CG58" s="8">
        <f t="shared" si="13"/>
        <v>1</v>
      </c>
      <c r="CH58" s="8">
        <f t="shared" si="13"/>
        <v>1</v>
      </c>
      <c r="CI58" s="8">
        <f t="shared" si="13"/>
        <v>1.0000345778586652</v>
      </c>
      <c r="CJ58" s="8">
        <f t="shared" si="13"/>
        <v>1.0006814623725833</v>
      </c>
      <c r="CK58" s="8">
        <f t="shared" si="13"/>
        <v>1.000239485650958</v>
      </c>
      <c r="CL58" s="8">
        <f t="shared" si="13"/>
        <v>1</v>
      </c>
      <c r="CM58" s="8">
        <f t="shared" si="13"/>
        <v>1.0008064979680182</v>
      </c>
      <c r="CN58" s="8">
        <f t="shared" si="13"/>
        <v>1.0003265490557363</v>
      </c>
      <c r="CO58" s="8">
        <f t="shared" si="13"/>
        <v>1</v>
      </c>
      <c r="CP58" s="8">
        <f t="shared" si="13"/>
        <v>1.0001670136232741</v>
      </c>
      <c r="CQ58" s="8">
        <f t="shared" si="13"/>
        <v>1.0008731250229725</v>
      </c>
      <c r="CR58" s="8">
        <f t="shared" si="13"/>
        <v>1</v>
      </c>
      <c r="CS58" s="8">
        <f t="shared" si="13"/>
        <v>1</v>
      </c>
      <c r="CT58" s="8">
        <f t="shared" si="13"/>
        <v>1</v>
      </c>
      <c r="CU58" s="8">
        <f t="shared" si="13"/>
        <v>1</v>
      </c>
      <c r="CV58" s="8">
        <f t="shared" si="13"/>
        <v>1.0006479485487754</v>
      </c>
      <c r="CW58" s="8">
        <f t="shared" si="13"/>
        <v>1</v>
      </c>
      <c r="CX58" s="8">
        <f t="shared" si="13"/>
        <v>1</v>
      </c>
      <c r="CY58" s="8">
        <f t="shared" si="13"/>
        <v>1.0009357151819069</v>
      </c>
      <c r="CZ58" s="8">
        <f t="shared" si="13"/>
        <v>1.0003604717737358</v>
      </c>
      <c r="DA58" s="8">
        <f t="shared" si="13"/>
        <v>1</v>
      </c>
      <c r="DB58" s="8">
        <f t="shared" si="13"/>
        <v>1.0001665161361633</v>
      </c>
      <c r="DC58" s="8">
        <f t="shared" si="13"/>
        <v>1.0008705246594862</v>
      </c>
      <c r="DD58" s="8">
        <f t="shared" si="13"/>
        <v>1</v>
      </c>
      <c r="DE58" s="8">
        <f t="shared" si="13"/>
        <v>1</v>
      </c>
      <c r="DF58" s="8">
        <f t="shared" si="13"/>
        <v>1</v>
      </c>
      <c r="DG58" s="8">
        <f t="shared" si="13"/>
        <v>1</v>
      </c>
      <c r="DH58" s="8">
        <f t="shared" si="13"/>
        <v>1.0005390047950249</v>
      </c>
      <c r="DI58" s="8">
        <f t="shared" si="13"/>
        <v>1.0001069580441773</v>
      </c>
      <c r="DJ58" s="8">
        <f t="shared" si="13"/>
        <v>1</v>
      </c>
      <c r="DK58" s="8">
        <f t="shared" si="13"/>
        <v>1.0009329326322203</v>
      </c>
      <c r="DL58" s="8">
        <f t="shared" si="13"/>
        <v>1.000394181569217</v>
      </c>
      <c r="DM58" s="8">
        <f t="shared" si="13"/>
        <v>1</v>
      </c>
      <c r="DN58" s="8">
        <f t="shared" si="13"/>
        <v>1</v>
      </c>
      <c r="DO58" s="8">
        <f t="shared" si="13"/>
        <v>1.0010340694869193</v>
      </c>
      <c r="DP58" s="8">
        <f t="shared" si="13"/>
        <v>1</v>
      </c>
      <c r="DQ58" s="8">
        <f t="shared" si="13"/>
        <v>1</v>
      </c>
      <c r="DR58" s="8" t="str">
        <f t="shared" si="13"/>
        <v/>
      </c>
      <c r="DS58" s="8" t="str">
        <f t="shared" si="13"/>
        <v/>
      </c>
      <c r="DT58" s="8" t="str">
        <f t="shared" si="13"/>
        <v/>
      </c>
      <c r="DU58" s="8" t="str">
        <f t="shared" si="13"/>
        <v/>
      </c>
      <c r="DV58" s="8" t="str">
        <f t="shared" si="13"/>
        <v/>
      </c>
      <c r="DW58" s="8" t="str">
        <f t="shared" si="13"/>
        <v/>
      </c>
      <c r="DX58" s="8" t="str">
        <f t="shared" si="13"/>
        <v/>
      </c>
      <c r="DY58" s="8" t="str">
        <f t="shared" si="13"/>
        <v/>
      </c>
      <c r="DZ58" s="8" t="str">
        <f t="shared" si="13"/>
        <v/>
      </c>
      <c r="EA58" s="8" t="str">
        <f t="shared" si="13"/>
        <v/>
      </c>
      <c r="EB58" s="8">
        <f t="shared" si="13"/>
        <v>5.1978163999721687</v>
      </c>
      <c r="EC58" s="8">
        <f t="shared" si="13"/>
        <v>1.96274596180039</v>
      </c>
      <c r="ED58" s="8">
        <f t="shared" si="13"/>
        <v>1.1813110981860973</v>
      </c>
      <c r="EE58" s="8">
        <f t="shared" ref="EE58:GP58" si="14">IF(OR(EF12 = "", EF$8 &lt; EE$8), "", IFERROR(EF12/EE12, ""))</f>
        <v>1.0533983747974098</v>
      </c>
      <c r="EF58" s="8">
        <f t="shared" si="14"/>
        <v>1.0198130085458073</v>
      </c>
      <c r="EG58" s="8">
        <f t="shared" si="14"/>
        <v>1.0015132196992425</v>
      </c>
      <c r="EH58" s="8">
        <f t="shared" si="14"/>
        <v>1.0684516689433219</v>
      </c>
      <c r="EI58" s="8">
        <f t="shared" si="14"/>
        <v>0.94482422506786878</v>
      </c>
      <c r="EJ58" s="8">
        <f t="shared" si="14"/>
        <v>1</v>
      </c>
      <c r="EK58" s="8">
        <f t="shared" si="14"/>
        <v>1.0001662797267594</v>
      </c>
      <c r="EL58" s="8">
        <f t="shared" si="14"/>
        <v>1.0000831200242835</v>
      </c>
      <c r="EM58" s="8">
        <f t="shared" si="14"/>
        <v>1.0000506755641962</v>
      </c>
      <c r="EN58" s="8">
        <f t="shared" si="14"/>
        <v>0.9179401477250787</v>
      </c>
      <c r="EO58" s="8">
        <f t="shared" si="14"/>
        <v>1</v>
      </c>
      <c r="EP58" s="8">
        <f t="shared" si="14"/>
        <v>1.002418570962315</v>
      </c>
      <c r="EQ58" s="8">
        <f t="shared" si="14"/>
        <v>1.0002876454604934</v>
      </c>
      <c r="ER58" s="8">
        <f t="shared" si="14"/>
        <v>1.0010211628532533</v>
      </c>
      <c r="ES58" s="8">
        <f t="shared" si="14"/>
        <v>1</v>
      </c>
      <c r="ET58" s="8">
        <f t="shared" si="14"/>
        <v>1.0003115269599394</v>
      </c>
      <c r="EU58" s="8">
        <f t="shared" si="14"/>
        <v>1</v>
      </c>
      <c r="EV58" s="8">
        <f t="shared" si="14"/>
        <v>1</v>
      </c>
      <c r="EW58" s="8">
        <f t="shared" si="14"/>
        <v>1</v>
      </c>
      <c r="EX58" s="8">
        <f t="shared" si="14"/>
        <v>1.0045554823612552</v>
      </c>
      <c r="EY58" s="8">
        <f t="shared" si="14"/>
        <v>1</v>
      </c>
      <c r="EZ58" s="8">
        <f t="shared" si="14"/>
        <v>0.9999848169169222</v>
      </c>
      <c r="FA58" s="8">
        <f t="shared" si="14"/>
        <v>1.0039233647671242</v>
      </c>
      <c r="FB58" s="8">
        <f t="shared" si="14"/>
        <v>1.0002502653058116</v>
      </c>
      <c r="FC58" s="8">
        <f t="shared" si="14"/>
        <v>0.99586957939574705</v>
      </c>
      <c r="FD58" s="8">
        <f t="shared" si="14"/>
        <v>1.0011224850793574</v>
      </c>
      <c r="FE58" s="8">
        <f t="shared" si="14"/>
        <v>1.0147614164105225</v>
      </c>
      <c r="FF58" s="8">
        <f t="shared" si="14"/>
        <v>1.0003339747025424</v>
      </c>
      <c r="FG58" s="8">
        <f t="shared" si="14"/>
        <v>0.99999681184664846</v>
      </c>
      <c r="FH58" s="8">
        <f t="shared" si="14"/>
        <v>0.99999974625267396</v>
      </c>
      <c r="FI58" s="8">
        <f t="shared" si="14"/>
        <v>1</v>
      </c>
      <c r="FJ58" s="8">
        <f t="shared" si="14"/>
        <v>0.99903305553948951</v>
      </c>
      <c r="FK58" s="8">
        <f t="shared" si="14"/>
        <v>1</v>
      </c>
      <c r="FL58" s="8">
        <f t="shared" si="14"/>
        <v>1.0009125666269942</v>
      </c>
      <c r="FM58" s="8">
        <f t="shared" si="14"/>
        <v>1.00150343568875</v>
      </c>
      <c r="FN58" s="8">
        <f t="shared" si="14"/>
        <v>1</v>
      </c>
      <c r="FO58" s="8">
        <f t="shared" si="14"/>
        <v>1</v>
      </c>
      <c r="FP58" s="8">
        <f t="shared" si="14"/>
        <v>1.0021133707433152</v>
      </c>
      <c r="FQ58" s="8">
        <f t="shared" si="14"/>
        <v>1.0001990998038681</v>
      </c>
      <c r="FR58" s="8">
        <f t="shared" si="14"/>
        <v>0.9999990826541566</v>
      </c>
      <c r="FS58" s="8">
        <f t="shared" si="14"/>
        <v>1.0001815261742364</v>
      </c>
      <c r="FT58" s="8">
        <f t="shared" si="14"/>
        <v>1</v>
      </c>
      <c r="FU58" s="8">
        <f t="shared" si="14"/>
        <v>1</v>
      </c>
      <c r="FV58" s="8">
        <f t="shared" si="14"/>
        <v>1.0003003545274645</v>
      </c>
      <c r="FW58" s="8">
        <f t="shared" si="14"/>
        <v>0.99999932221647203</v>
      </c>
      <c r="FX58" s="8">
        <f t="shared" si="14"/>
        <v>1.00477800825553</v>
      </c>
      <c r="FY58" s="8">
        <f t="shared" si="14"/>
        <v>0.98766551749305553</v>
      </c>
      <c r="FZ58" s="8">
        <f t="shared" si="14"/>
        <v>0.99998823199163989</v>
      </c>
      <c r="GA58" s="8">
        <f t="shared" si="14"/>
        <v>1.000877267613576</v>
      </c>
      <c r="GB58" s="8">
        <f t="shared" si="14"/>
        <v>1</v>
      </c>
      <c r="GC58" s="8">
        <f t="shared" si="14"/>
        <v>1.0005746420770127</v>
      </c>
      <c r="GD58" s="8">
        <f t="shared" si="14"/>
        <v>1</v>
      </c>
      <c r="GE58" s="8">
        <f t="shared" si="14"/>
        <v>1</v>
      </c>
      <c r="GF58" s="8">
        <f t="shared" si="14"/>
        <v>1</v>
      </c>
      <c r="GG58" s="8">
        <f t="shared" si="14"/>
        <v>1</v>
      </c>
      <c r="GH58" s="8">
        <f t="shared" si="14"/>
        <v>1.000551073423932</v>
      </c>
      <c r="GI58" s="8">
        <f t="shared" si="14"/>
        <v>1.0001423504425992</v>
      </c>
      <c r="GJ58" s="8">
        <f t="shared" si="14"/>
        <v>0.99662203767919222</v>
      </c>
      <c r="GK58" s="8">
        <f t="shared" si="14"/>
        <v>1.0002376454987061</v>
      </c>
      <c r="GL58" s="8">
        <f t="shared" si="14"/>
        <v>1</v>
      </c>
      <c r="GM58" s="8">
        <f t="shared" si="14"/>
        <v>1</v>
      </c>
      <c r="GN58" s="8">
        <f t="shared" si="14"/>
        <v>1.0009930587726219</v>
      </c>
      <c r="GO58" s="8">
        <f t="shared" si="14"/>
        <v>1.0002964777970806</v>
      </c>
      <c r="GP58" s="8">
        <f t="shared" si="14"/>
        <v>1</v>
      </c>
      <c r="GQ58" s="8">
        <f t="shared" ref="GQ58:IV58" si="15">IF(OR(GR12 = "", GR$8 &lt; GQ$8), "", IFERROR(GR12/GQ12, ""))</f>
        <v>1</v>
      </c>
      <c r="GR58" s="8">
        <f t="shared" si="15"/>
        <v>1</v>
      </c>
      <c r="GS58" s="8">
        <f t="shared" si="15"/>
        <v>1.0005436243966772</v>
      </c>
      <c r="GT58" s="8">
        <f t="shared" si="15"/>
        <v>1.0000346430255742</v>
      </c>
      <c r="GU58" s="8">
        <f t="shared" si="15"/>
        <v>1</v>
      </c>
      <c r="GV58" s="8">
        <f t="shared" si="15"/>
        <v>1</v>
      </c>
      <c r="GW58" s="8">
        <f t="shared" si="15"/>
        <v>1.0005661132600487</v>
      </c>
      <c r="GX58" s="8">
        <f t="shared" si="15"/>
        <v>1.0002924504262569</v>
      </c>
      <c r="GY58" s="8">
        <f t="shared" si="15"/>
        <v>1</v>
      </c>
      <c r="GZ58" s="8">
        <f t="shared" si="15"/>
        <v>1.0009903558960538</v>
      </c>
      <c r="HA58" s="8">
        <f t="shared" si="15"/>
        <v>1</v>
      </c>
      <c r="HB58" s="8">
        <f t="shared" si="15"/>
        <v>1</v>
      </c>
      <c r="HC58" s="8">
        <f t="shared" si="15"/>
        <v>1</v>
      </c>
      <c r="HD58" s="8">
        <f t="shared" si="15"/>
        <v>1.0000345778586652</v>
      </c>
      <c r="HE58" s="8">
        <f t="shared" si="15"/>
        <v>1.0006814623725833</v>
      </c>
      <c r="HF58" s="8">
        <f t="shared" si="15"/>
        <v>1.000239485650958</v>
      </c>
      <c r="HG58" s="8">
        <f t="shared" si="15"/>
        <v>1</v>
      </c>
      <c r="HH58" s="8">
        <f t="shared" si="15"/>
        <v>1.0008064979680182</v>
      </c>
      <c r="HI58" s="8">
        <f t="shared" si="15"/>
        <v>1.0003265490557363</v>
      </c>
      <c r="HJ58" s="8">
        <f t="shared" si="15"/>
        <v>1</v>
      </c>
      <c r="HK58" s="8">
        <f t="shared" si="15"/>
        <v>1.0001670136232741</v>
      </c>
      <c r="HL58" s="8">
        <f t="shared" si="15"/>
        <v>1.0008731250229725</v>
      </c>
      <c r="HM58" s="8">
        <f t="shared" si="15"/>
        <v>1</v>
      </c>
      <c r="HN58" s="8">
        <f t="shared" si="15"/>
        <v>1</v>
      </c>
      <c r="HO58" s="8">
        <f t="shared" si="15"/>
        <v>1</v>
      </c>
      <c r="HP58" s="8">
        <f t="shared" si="15"/>
        <v>1</v>
      </c>
      <c r="HQ58" s="8">
        <f t="shared" si="15"/>
        <v>1.0006479485487754</v>
      </c>
      <c r="HR58" s="8">
        <f t="shared" si="15"/>
        <v>1</v>
      </c>
      <c r="HS58" s="8">
        <f t="shared" si="15"/>
        <v>1</v>
      </c>
      <c r="HT58" s="8">
        <f t="shared" si="15"/>
        <v>1.0009357151819069</v>
      </c>
      <c r="HU58" s="8">
        <f t="shared" si="15"/>
        <v>1.0003604717737358</v>
      </c>
      <c r="HV58" s="8">
        <f t="shared" si="15"/>
        <v>1</v>
      </c>
      <c r="HW58" s="8">
        <f t="shared" si="15"/>
        <v>1.0001665161361633</v>
      </c>
      <c r="HX58" s="8">
        <f t="shared" si="15"/>
        <v>1.0008705246594862</v>
      </c>
      <c r="HY58" s="8">
        <f t="shared" si="15"/>
        <v>1</v>
      </c>
      <c r="HZ58" s="8">
        <f t="shared" si="15"/>
        <v>1</v>
      </c>
      <c r="IA58" s="8">
        <f t="shared" si="15"/>
        <v>1</v>
      </c>
      <c r="IB58" s="8">
        <f t="shared" si="15"/>
        <v>1</v>
      </c>
      <c r="IC58" s="8">
        <f t="shared" si="15"/>
        <v>1.0005390047950249</v>
      </c>
      <c r="ID58" s="8">
        <f t="shared" si="15"/>
        <v>1.0001069580441773</v>
      </c>
      <c r="IE58" s="8">
        <f t="shared" si="15"/>
        <v>1</v>
      </c>
      <c r="IF58" s="8">
        <f t="shared" si="15"/>
        <v>1.0009329326322203</v>
      </c>
      <c r="IG58" s="8">
        <f t="shared" si="15"/>
        <v>1.000394181569217</v>
      </c>
      <c r="IH58" s="8">
        <f t="shared" si="15"/>
        <v>1</v>
      </c>
      <c r="II58" s="8">
        <f t="shared" si="15"/>
        <v>1</v>
      </c>
      <c r="IJ58" s="8">
        <f t="shared" si="15"/>
        <v>1.0010340694869193</v>
      </c>
      <c r="IK58" s="8">
        <f t="shared" si="15"/>
        <v>1</v>
      </c>
      <c r="IL58" s="8">
        <f t="shared" si="15"/>
        <v>1.0023138076539715</v>
      </c>
      <c r="IM58" s="8" t="str">
        <f t="shared" si="15"/>
        <v/>
      </c>
      <c r="IN58" s="8" t="str">
        <f t="shared" si="15"/>
        <v/>
      </c>
      <c r="IO58" s="8" t="str">
        <f t="shared" si="15"/>
        <v/>
      </c>
      <c r="IP58" s="8" t="str">
        <f t="shared" si="15"/>
        <v/>
      </c>
      <c r="IQ58" s="8" t="str">
        <f t="shared" si="15"/>
        <v/>
      </c>
      <c r="IR58" s="8" t="str">
        <f t="shared" si="15"/>
        <v/>
      </c>
      <c r="IS58" s="8" t="str">
        <f t="shared" si="15"/>
        <v/>
      </c>
      <c r="IT58" s="8" t="str">
        <f t="shared" si="15"/>
        <v/>
      </c>
      <c r="IU58" s="8" t="str">
        <f t="shared" si="15"/>
        <v/>
      </c>
      <c r="IV58" s="8" t="str">
        <f t="shared" si="15"/>
        <v/>
      </c>
    </row>
    <row r="59" spans="6:256" x14ac:dyDescent="0.2">
      <c r="F59">
        <v>201503</v>
      </c>
      <c r="G59" s="8">
        <f t="shared" ref="G59:BR59" si="16">IF(OR(H13 = "", H$8 &lt; G$8), "", IFERROR(H13/G13, ""))</f>
        <v>7.1448467055231992</v>
      </c>
      <c r="H59" s="8">
        <f t="shared" si="16"/>
        <v>2.4516033109148112</v>
      </c>
      <c r="I59" s="8">
        <f t="shared" si="16"/>
        <v>1.2105331530221406</v>
      </c>
      <c r="J59" s="8">
        <f t="shared" si="16"/>
        <v>1.1698499715183328</v>
      </c>
      <c r="K59" s="8">
        <f t="shared" si="16"/>
        <v>1.046071079198424</v>
      </c>
      <c r="L59" s="8">
        <f t="shared" si="16"/>
        <v>1.0740861290086019</v>
      </c>
      <c r="M59" s="8">
        <f t="shared" si="16"/>
        <v>1.0271084478646828</v>
      </c>
      <c r="N59" s="8">
        <f t="shared" si="16"/>
        <v>1.0145456999875382</v>
      </c>
      <c r="O59" s="8">
        <f t="shared" si="16"/>
        <v>1.0006771615455128</v>
      </c>
      <c r="P59" s="8">
        <f t="shared" si="16"/>
        <v>1.0001141471931436</v>
      </c>
      <c r="Q59" s="8">
        <f t="shared" si="16"/>
        <v>1.0008353841203228</v>
      </c>
      <c r="R59" s="8">
        <f t="shared" si="16"/>
        <v>1</v>
      </c>
      <c r="S59" s="8">
        <f t="shared" si="16"/>
        <v>1.0011290073902002</v>
      </c>
      <c r="T59" s="8">
        <f t="shared" si="16"/>
        <v>1.0001022692217385</v>
      </c>
      <c r="U59" s="8">
        <f t="shared" si="16"/>
        <v>1.0023363265999032</v>
      </c>
      <c r="V59" s="8">
        <f t="shared" si="16"/>
        <v>1.0014894658565601</v>
      </c>
      <c r="W59" s="8">
        <f t="shared" si="16"/>
        <v>1</v>
      </c>
      <c r="X59" s="8">
        <f t="shared" si="16"/>
        <v>1</v>
      </c>
      <c r="Y59" s="8">
        <f t="shared" si="16"/>
        <v>1</v>
      </c>
      <c r="Z59" s="8">
        <f t="shared" si="16"/>
        <v>1.0015223999511602</v>
      </c>
      <c r="AA59" s="8">
        <f t="shared" si="16"/>
        <v>1.0004467562883159</v>
      </c>
      <c r="AB59" s="8">
        <f t="shared" si="16"/>
        <v>1</v>
      </c>
      <c r="AC59" s="8">
        <f t="shared" si="16"/>
        <v>1.0009750826387416</v>
      </c>
      <c r="AD59" s="8">
        <f t="shared" si="16"/>
        <v>1</v>
      </c>
      <c r="AE59" s="8">
        <f t="shared" si="16"/>
        <v>1.0012562041809272</v>
      </c>
      <c r="AF59" s="8">
        <f t="shared" si="16"/>
        <v>1.0002839901676748</v>
      </c>
      <c r="AG59" s="8">
        <f t="shared" si="16"/>
        <v>1.0021791179694357</v>
      </c>
      <c r="AH59" s="8">
        <f t="shared" si="16"/>
        <v>1.0001309861425554</v>
      </c>
      <c r="AI59" s="8">
        <f t="shared" si="16"/>
        <v>1.0002939057216729</v>
      </c>
      <c r="AJ59" s="8">
        <f t="shared" si="16"/>
        <v>1.0046607357123547</v>
      </c>
      <c r="AK59" s="8">
        <f t="shared" si="16"/>
        <v>1.0010610963867681</v>
      </c>
      <c r="AL59" s="8">
        <f t="shared" si="16"/>
        <v>1.0014042126376164</v>
      </c>
      <c r="AM59" s="8">
        <f t="shared" si="16"/>
        <v>1</v>
      </c>
      <c r="AN59" s="8">
        <f t="shared" si="16"/>
        <v>1</v>
      </c>
      <c r="AO59" s="8">
        <f t="shared" si="16"/>
        <v>1.0009102974040323</v>
      </c>
      <c r="AP59" s="8">
        <f t="shared" si="16"/>
        <v>1.000314617992494</v>
      </c>
      <c r="AQ59" s="8">
        <f t="shared" si="16"/>
        <v>1</v>
      </c>
      <c r="AR59" s="8">
        <f t="shared" si="16"/>
        <v>1.0006466768750464</v>
      </c>
      <c r="AS59" s="8">
        <f t="shared" si="16"/>
        <v>1</v>
      </c>
      <c r="AT59" s="8">
        <f t="shared" si="16"/>
        <v>1.0012940865375102</v>
      </c>
      <c r="AU59" s="8">
        <f t="shared" si="16"/>
        <v>1</v>
      </c>
      <c r="AV59" s="8">
        <f t="shared" si="16"/>
        <v>1.0022100806339569</v>
      </c>
      <c r="AW59" s="8">
        <f t="shared" si="16"/>
        <v>1.0017712408023733</v>
      </c>
      <c r="AX59" s="8">
        <f t="shared" si="16"/>
        <v>1</v>
      </c>
      <c r="AY59" s="8">
        <f t="shared" si="16"/>
        <v>1.0009492563004263</v>
      </c>
      <c r="AZ59" s="8">
        <f t="shared" si="16"/>
        <v>1</v>
      </c>
      <c r="BA59" s="8">
        <f t="shared" si="16"/>
        <v>1</v>
      </c>
      <c r="BB59" s="8">
        <f t="shared" si="16"/>
        <v>1.0008552889926821</v>
      </c>
      <c r="BC59" s="8">
        <f t="shared" si="16"/>
        <v>1.0000995382704261</v>
      </c>
      <c r="BD59" s="8">
        <f t="shared" si="16"/>
        <v>1</v>
      </c>
      <c r="BE59" s="8">
        <f t="shared" si="16"/>
        <v>1.0007713007915779</v>
      </c>
      <c r="BF59" s="8">
        <f t="shared" si="16"/>
        <v>1.0015340789854563</v>
      </c>
      <c r="BG59" s="8">
        <f t="shared" si="16"/>
        <v>1</v>
      </c>
      <c r="BH59" s="8">
        <f t="shared" si="16"/>
        <v>1.001760685946574</v>
      </c>
      <c r="BI59" s="8">
        <f t="shared" si="16"/>
        <v>1.0006479578128327</v>
      </c>
      <c r="BJ59" s="8">
        <f t="shared" si="16"/>
        <v>1</v>
      </c>
      <c r="BK59" s="8">
        <f t="shared" si="16"/>
        <v>1</v>
      </c>
      <c r="BL59" s="8">
        <f t="shared" si="16"/>
        <v>1</v>
      </c>
      <c r="BM59" s="8">
        <f t="shared" si="16"/>
        <v>0.99987742989656225</v>
      </c>
      <c r="BN59" s="8">
        <f t="shared" si="16"/>
        <v>1</v>
      </c>
      <c r="BO59" s="8">
        <f t="shared" si="16"/>
        <v>1</v>
      </c>
      <c r="BP59" s="8">
        <f t="shared" si="16"/>
        <v>1.000131765479549</v>
      </c>
      <c r="BQ59" s="8">
        <f t="shared" si="16"/>
        <v>1.0008504494600889</v>
      </c>
      <c r="BR59" s="8">
        <f t="shared" si="16"/>
        <v>1.0019103295348344</v>
      </c>
      <c r="BS59" s="8">
        <f t="shared" ref="BS59:ED59" si="17">IF(OR(BT13 = "", BT$8 &lt; BS$8), "", IFERROR(BT13/BS13, ""))</f>
        <v>1</v>
      </c>
      <c r="BT59" s="8">
        <f t="shared" si="17"/>
        <v>1.0020001587050911</v>
      </c>
      <c r="BU59" s="8">
        <f t="shared" si="17"/>
        <v>1.0006444594524153</v>
      </c>
      <c r="BV59" s="8">
        <f t="shared" si="17"/>
        <v>1.0000968219203035</v>
      </c>
      <c r="BW59" s="8">
        <f t="shared" si="17"/>
        <v>1</v>
      </c>
      <c r="BX59" s="8">
        <f t="shared" si="17"/>
        <v>1</v>
      </c>
      <c r="BY59" s="8">
        <f t="shared" si="17"/>
        <v>1</v>
      </c>
      <c r="BZ59" s="8">
        <f t="shared" si="17"/>
        <v>1</v>
      </c>
      <c r="CA59" s="8">
        <f t="shared" si="17"/>
        <v>1.0005366000518836</v>
      </c>
      <c r="CB59" s="8">
        <f t="shared" si="17"/>
        <v>1.0010270470434968</v>
      </c>
      <c r="CC59" s="8">
        <f t="shared" si="17"/>
        <v>1.0003087037411049</v>
      </c>
      <c r="CD59" s="8">
        <f t="shared" si="17"/>
        <v>1.002028696675402</v>
      </c>
      <c r="CE59" s="8">
        <f t="shared" si="17"/>
        <v>1</v>
      </c>
      <c r="CF59" s="8">
        <f t="shared" si="17"/>
        <v>1.0002469158215159</v>
      </c>
      <c r="CG59" s="8">
        <f t="shared" si="17"/>
        <v>1.0023808994117673</v>
      </c>
      <c r="CH59" s="8">
        <f t="shared" si="17"/>
        <v>1</v>
      </c>
      <c r="CI59" s="8">
        <f t="shared" si="17"/>
        <v>1</v>
      </c>
      <c r="CJ59" s="8">
        <f t="shared" si="17"/>
        <v>1</v>
      </c>
      <c r="CK59" s="8">
        <f t="shared" si="17"/>
        <v>1</v>
      </c>
      <c r="CL59" s="8">
        <f t="shared" si="17"/>
        <v>1</v>
      </c>
      <c r="CM59" s="8">
        <f t="shared" si="17"/>
        <v>1</v>
      </c>
      <c r="CN59" s="8">
        <f t="shared" si="17"/>
        <v>1.0014052736582639</v>
      </c>
      <c r="CO59" s="8">
        <f t="shared" si="17"/>
        <v>1</v>
      </c>
      <c r="CP59" s="8">
        <f t="shared" si="17"/>
        <v>1.0018864570727615</v>
      </c>
      <c r="CQ59" s="8">
        <f t="shared" si="17"/>
        <v>1.0002454598899739</v>
      </c>
      <c r="CR59" s="8">
        <f t="shared" si="17"/>
        <v>1.0016992923146188</v>
      </c>
      <c r="CS59" s="8">
        <f t="shared" si="17"/>
        <v>1.0017263927385134</v>
      </c>
      <c r="CT59" s="8">
        <f t="shared" si="17"/>
        <v>1.0002131826861842</v>
      </c>
      <c r="CU59" s="8">
        <f t="shared" si="17"/>
        <v>1.0011021798794713</v>
      </c>
      <c r="CV59" s="8">
        <f t="shared" si="17"/>
        <v>1</v>
      </c>
      <c r="CW59" s="8">
        <f t="shared" si="17"/>
        <v>1</v>
      </c>
      <c r="CX59" s="8">
        <f t="shared" si="17"/>
        <v>1</v>
      </c>
      <c r="CY59" s="8">
        <f t="shared" si="17"/>
        <v>1</v>
      </c>
      <c r="CZ59" s="8">
        <f t="shared" si="17"/>
        <v>1.0013936973423025</v>
      </c>
      <c r="DA59" s="8">
        <f t="shared" si="17"/>
        <v>1</v>
      </c>
      <c r="DB59" s="8">
        <f t="shared" si="17"/>
        <v>1.0018709385084736</v>
      </c>
      <c r="DC59" s="8">
        <f t="shared" si="17"/>
        <v>1.0004868888675085</v>
      </c>
      <c r="DD59" s="8">
        <f t="shared" si="17"/>
        <v>1</v>
      </c>
      <c r="DE59" s="8">
        <f t="shared" si="17"/>
        <v>1.0006321502082443</v>
      </c>
      <c r="DF59" s="8">
        <f t="shared" si="17"/>
        <v>1.0027492990585589</v>
      </c>
      <c r="DG59" s="8">
        <f t="shared" si="17"/>
        <v>1.0032479928524678</v>
      </c>
      <c r="DH59" s="8">
        <f t="shared" si="17"/>
        <v>1</v>
      </c>
      <c r="DI59" s="8">
        <f t="shared" si="17"/>
        <v>1</v>
      </c>
      <c r="DJ59" s="8">
        <f t="shared" si="17"/>
        <v>1</v>
      </c>
      <c r="DK59" s="8">
        <f t="shared" si="17"/>
        <v>1.0008150925161792</v>
      </c>
      <c r="DL59" s="8">
        <f t="shared" si="17"/>
        <v>1.0004361031395443</v>
      </c>
      <c r="DM59" s="8">
        <f t="shared" si="17"/>
        <v>1</v>
      </c>
      <c r="DN59" s="8">
        <f t="shared" si="17"/>
        <v>1.0018519020481635</v>
      </c>
      <c r="DO59" s="8" t="str">
        <f t="shared" si="17"/>
        <v/>
      </c>
      <c r="DP59" s="8" t="str">
        <f t="shared" si="17"/>
        <v/>
      </c>
      <c r="DQ59" s="8" t="str">
        <f t="shared" si="17"/>
        <v/>
      </c>
      <c r="DR59" s="8" t="str">
        <f t="shared" si="17"/>
        <v/>
      </c>
      <c r="DS59" s="8" t="str">
        <f t="shared" si="17"/>
        <v/>
      </c>
      <c r="DT59" s="8" t="str">
        <f t="shared" si="17"/>
        <v/>
      </c>
      <c r="DU59" s="8" t="str">
        <f t="shared" si="17"/>
        <v/>
      </c>
      <c r="DV59" s="8" t="str">
        <f t="shared" si="17"/>
        <v/>
      </c>
      <c r="DW59" s="8" t="str">
        <f t="shared" si="17"/>
        <v/>
      </c>
      <c r="DX59" s="8" t="str">
        <f t="shared" si="17"/>
        <v/>
      </c>
      <c r="DY59" s="8" t="str">
        <f t="shared" si="17"/>
        <v/>
      </c>
      <c r="DZ59" s="8" t="str">
        <f t="shared" si="17"/>
        <v/>
      </c>
      <c r="EA59" s="8" t="str">
        <f t="shared" si="17"/>
        <v/>
      </c>
      <c r="EB59" s="8">
        <f t="shared" si="17"/>
        <v>2.5998176840037819</v>
      </c>
      <c r="EC59" s="8">
        <f t="shared" si="17"/>
        <v>1.6237299809107917</v>
      </c>
      <c r="ED59" s="8">
        <f t="shared" si="17"/>
        <v>1.1383815656231704</v>
      </c>
      <c r="EE59" s="8">
        <f t="shared" ref="EE59:GP59" si="18">IF(OR(EF13 = "", EF$8 &lt; EE$8), "", IFERROR(EF13/EE13, ""))</f>
        <v>1.0427950330708387</v>
      </c>
      <c r="EF59" s="8">
        <f t="shared" si="18"/>
        <v>1.0241943928074615</v>
      </c>
      <c r="EG59" s="8">
        <f t="shared" si="18"/>
        <v>1.009876476477753</v>
      </c>
      <c r="EH59" s="8">
        <f t="shared" si="18"/>
        <v>1.0009044989994844</v>
      </c>
      <c r="EI59" s="8">
        <f t="shared" si="18"/>
        <v>1.0000342521373609</v>
      </c>
      <c r="EJ59" s="8">
        <f t="shared" si="18"/>
        <v>1.0002237315383316</v>
      </c>
      <c r="EK59" s="8">
        <f t="shared" si="18"/>
        <v>1.0001138233459521</v>
      </c>
      <c r="EL59" s="8">
        <f t="shared" si="18"/>
        <v>1.0075208778737912</v>
      </c>
      <c r="EM59" s="8">
        <f t="shared" si="18"/>
        <v>0.99336205958578172</v>
      </c>
      <c r="EN59" s="8">
        <f t="shared" si="18"/>
        <v>1.0001810014246046</v>
      </c>
      <c r="EO59" s="8">
        <f t="shared" si="18"/>
        <v>1.0001020760075849</v>
      </c>
      <c r="EP59" s="8">
        <f t="shared" si="18"/>
        <v>1.0017022207710111</v>
      </c>
      <c r="EQ59" s="8">
        <f t="shared" si="18"/>
        <v>1.0014875932337319</v>
      </c>
      <c r="ER59" s="8">
        <f t="shared" si="18"/>
        <v>0.99874462294203259</v>
      </c>
      <c r="ES59" s="8">
        <f t="shared" si="18"/>
        <v>1</v>
      </c>
      <c r="ET59" s="8">
        <f t="shared" si="18"/>
        <v>1</v>
      </c>
      <c r="EU59" s="8">
        <f t="shared" si="18"/>
        <v>1.0015223999511602</v>
      </c>
      <c r="EV59" s="8">
        <f t="shared" si="18"/>
        <v>1.0004467562883159</v>
      </c>
      <c r="EW59" s="8">
        <f t="shared" si="18"/>
        <v>1</v>
      </c>
      <c r="EX59" s="8">
        <f t="shared" si="18"/>
        <v>1.0009750826387416</v>
      </c>
      <c r="EY59" s="8">
        <f t="shared" si="18"/>
        <v>1.0000000001260501</v>
      </c>
      <c r="EZ59" s="8">
        <f t="shared" si="18"/>
        <v>1.0012562040547188</v>
      </c>
      <c r="FA59" s="8">
        <f t="shared" si="18"/>
        <v>1.003537929736138</v>
      </c>
      <c r="FB59" s="8">
        <f t="shared" si="18"/>
        <v>1.0013001530999956</v>
      </c>
      <c r="FC59" s="8">
        <f t="shared" si="18"/>
        <v>1.0001270264955615</v>
      </c>
      <c r="FD59" s="8">
        <f t="shared" si="18"/>
        <v>1.0034684426690668</v>
      </c>
      <c r="FE59" s="8">
        <f t="shared" si="18"/>
        <v>0.99970363210553526</v>
      </c>
      <c r="FF59" s="8">
        <f t="shared" si="18"/>
        <v>1.00054053244234</v>
      </c>
      <c r="FG59" s="8">
        <f t="shared" si="18"/>
        <v>1.0014041165224075</v>
      </c>
      <c r="FH59" s="8">
        <f t="shared" si="18"/>
        <v>1</v>
      </c>
      <c r="FI59" s="8">
        <f t="shared" si="18"/>
        <v>1</v>
      </c>
      <c r="FJ59" s="8">
        <f t="shared" si="18"/>
        <v>1.0008418833980266</v>
      </c>
      <c r="FK59" s="8">
        <f t="shared" si="18"/>
        <v>1.000314617992494</v>
      </c>
      <c r="FL59" s="8">
        <f t="shared" si="18"/>
        <v>1</v>
      </c>
      <c r="FM59" s="8">
        <f t="shared" si="18"/>
        <v>1.0006466768750464</v>
      </c>
      <c r="FN59" s="8">
        <f t="shared" si="18"/>
        <v>1</v>
      </c>
      <c r="FO59" s="8">
        <f t="shared" si="18"/>
        <v>1.0012940865375102</v>
      </c>
      <c r="FP59" s="8">
        <f t="shared" si="18"/>
        <v>1.0085425236308729</v>
      </c>
      <c r="FQ59" s="8">
        <f t="shared" si="18"/>
        <v>1.0016221410426638</v>
      </c>
      <c r="FR59" s="8">
        <f t="shared" si="18"/>
        <v>1.0017572689865895</v>
      </c>
      <c r="FS59" s="8">
        <f t="shared" si="18"/>
        <v>1</v>
      </c>
      <c r="FT59" s="8">
        <f t="shared" si="18"/>
        <v>1.0009417815580537</v>
      </c>
      <c r="FU59" s="8">
        <f t="shared" si="18"/>
        <v>0.999989813261421</v>
      </c>
      <c r="FV59" s="8">
        <f t="shared" si="18"/>
        <v>1</v>
      </c>
      <c r="FW59" s="8">
        <f t="shared" si="18"/>
        <v>1.0008485691593241</v>
      </c>
      <c r="FX59" s="8">
        <f t="shared" si="18"/>
        <v>1.0000987568813453</v>
      </c>
      <c r="FY59" s="8">
        <f t="shared" si="18"/>
        <v>1</v>
      </c>
      <c r="FZ59" s="8">
        <f t="shared" si="18"/>
        <v>0.99291588453777835</v>
      </c>
      <c r="GA59" s="8">
        <f t="shared" si="18"/>
        <v>1.0015340789854563</v>
      </c>
      <c r="GB59" s="8">
        <f t="shared" si="18"/>
        <v>1</v>
      </c>
      <c r="GC59" s="8">
        <f t="shared" si="18"/>
        <v>1.001760685946574</v>
      </c>
      <c r="GD59" s="8">
        <f t="shared" si="18"/>
        <v>1.0006479578128327</v>
      </c>
      <c r="GE59" s="8">
        <f t="shared" si="18"/>
        <v>1</v>
      </c>
      <c r="GF59" s="8">
        <f t="shared" si="18"/>
        <v>1</v>
      </c>
      <c r="GG59" s="8">
        <f t="shared" si="18"/>
        <v>1</v>
      </c>
      <c r="GH59" s="8">
        <f t="shared" si="18"/>
        <v>0.99987742989656225</v>
      </c>
      <c r="GI59" s="8">
        <f t="shared" si="18"/>
        <v>1</v>
      </c>
      <c r="GJ59" s="8">
        <f t="shared" si="18"/>
        <v>1</v>
      </c>
      <c r="GK59" s="8">
        <f t="shared" si="18"/>
        <v>1.000131765479549</v>
      </c>
      <c r="GL59" s="8">
        <f t="shared" si="18"/>
        <v>1.0008504494600889</v>
      </c>
      <c r="GM59" s="8">
        <f t="shared" si="18"/>
        <v>1.0019103295348344</v>
      </c>
      <c r="GN59" s="8">
        <f t="shared" si="18"/>
        <v>1</v>
      </c>
      <c r="GO59" s="8">
        <f t="shared" si="18"/>
        <v>1.0020001587050911</v>
      </c>
      <c r="GP59" s="8">
        <f t="shared" si="18"/>
        <v>1.0006444594524153</v>
      </c>
      <c r="GQ59" s="8">
        <f t="shared" ref="GQ59:IV59" si="19">IF(OR(GR13 = "", GR$8 &lt; GQ$8), "", IFERROR(GR13/GQ13, ""))</f>
        <v>1.0000968219203035</v>
      </c>
      <c r="GR59" s="8">
        <f t="shared" si="19"/>
        <v>1</v>
      </c>
      <c r="GS59" s="8">
        <f t="shared" si="19"/>
        <v>1</v>
      </c>
      <c r="GT59" s="8">
        <f t="shared" si="19"/>
        <v>1</v>
      </c>
      <c r="GU59" s="8">
        <f t="shared" si="19"/>
        <v>1</v>
      </c>
      <c r="GV59" s="8">
        <f t="shared" si="19"/>
        <v>1.0005366000518836</v>
      </c>
      <c r="GW59" s="8">
        <f t="shared" si="19"/>
        <v>1.0010270470434968</v>
      </c>
      <c r="GX59" s="8">
        <f t="shared" si="19"/>
        <v>1.0003087037411049</v>
      </c>
      <c r="GY59" s="8">
        <f t="shared" si="19"/>
        <v>1.002028696675402</v>
      </c>
      <c r="GZ59" s="8">
        <f t="shared" si="19"/>
        <v>1</v>
      </c>
      <c r="HA59" s="8">
        <f t="shared" si="19"/>
        <v>1.0002469158215159</v>
      </c>
      <c r="HB59" s="8">
        <f t="shared" si="19"/>
        <v>1.0023808994117673</v>
      </c>
      <c r="HC59" s="8">
        <f t="shared" si="19"/>
        <v>1</v>
      </c>
      <c r="HD59" s="8">
        <f t="shared" si="19"/>
        <v>1</v>
      </c>
      <c r="HE59" s="8">
        <f t="shared" si="19"/>
        <v>1</v>
      </c>
      <c r="HF59" s="8">
        <f t="shared" si="19"/>
        <v>1</v>
      </c>
      <c r="HG59" s="8">
        <f t="shared" si="19"/>
        <v>1</v>
      </c>
      <c r="HH59" s="8">
        <f t="shared" si="19"/>
        <v>1</v>
      </c>
      <c r="HI59" s="8">
        <f t="shared" si="19"/>
        <v>1.0014052736582639</v>
      </c>
      <c r="HJ59" s="8">
        <f t="shared" si="19"/>
        <v>1</v>
      </c>
      <c r="HK59" s="8">
        <f t="shared" si="19"/>
        <v>1.0018864570727615</v>
      </c>
      <c r="HL59" s="8">
        <f t="shared" si="19"/>
        <v>1.0002454598899739</v>
      </c>
      <c r="HM59" s="8">
        <f t="shared" si="19"/>
        <v>1.0016992923146188</v>
      </c>
      <c r="HN59" s="8">
        <f t="shared" si="19"/>
        <v>1.0017263927385134</v>
      </c>
      <c r="HO59" s="8">
        <f t="shared" si="19"/>
        <v>1.0002131826861842</v>
      </c>
      <c r="HP59" s="8">
        <f t="shared" si="19"/>
        <v>1.0011021798794713</v>
      </c>
      <c r="HQ59" s="8">
        <f t="shared" si="19"/>
        <v>1</v>
      </c>
      <c r="HR59" s="8">
        <f t="shared" si="19"/>
        <v>1</v>
      </c>
      <c r="HS59" s="8">
        <f t="shared" si="19"/>
        <v>1</v>
      </c>
      <c r="HT59" s="8">
        <f t="shared" si="19"/>
        <v>1</v>
      </c>
      <c r="HU59" s="8">
        <f t="shared" si="19"/>
        <v>1.0013936973423025</v>
      </c>
      <c r="HV59" s="8">
        <f t="shared" si="19"/>
        <v>1</v>
      </c>
      <c r="HW59" s="8">
        <f t="shared" si="19"/>
        <v>1.0018709385084736</v>
      </c>
      <c r="HX59" s="8">
        <f t="shared" si="19"/>
        <v>1.0004868888675085</v>
      </c>
      <c r="HY59" s="8">
        <f t="shared" si="19"/>
        <v>1</v>
      </c>
      <c r="HZ59" s="8">
        <f t="shared" si="19"/>
        <v>1.0006321502082443</v>
      </c>
      <c r="IA59" s="8">
        <f t="shared" si="19"/>
        <v>1.0027492990585589</v>
      </c>
      <c r="IB59" s="8">
        <f t="shared" si="19"/>
        <v>1.0032479928524678</v>
      </c>
      <c r="IC59" s="8">
        <f t="shared" si="19"/>
        <v>1</v>
      </c>
      <c r="ID59" s="8">
        <f t="shared" si="19"/>
        <v>1</v>
      </c>
      <c r="IE59" s="8">
        <f t="shared" si="19"/>
        <v>1</v>
      </c>
      <c r="IF59" s="8">
        <f t="shared" si="19"/>
        <v>1.0008150925161792</v>
      </c>
      <c r="IG59" s="8">
        <f t="shared" si="19"/>
        <v>1.0004361031395443</v>
      </c>
      <c r="IH59" s="8">
        <f t="shared" si="19"/>
        <v>1</v>
      </c>
      <c r="II59" s="8">
        <f t="shared" si="19"/>
        <v>1.0018519020481635</v>
      </c>
      <c r="IJ59" s="8" t="str">
        <f t="shared" si="19"/>
        <v/>
      </c>
      <c r="IK59" s="8" t="str">
        <f t="shared" si="19"/>
        <v/>
      </c>
      <c r="IL59" s="8" t="str">
        <f t="shared" si="19"/>
        <v/>
      </c>
      <c r="IM59" s="8" t="str">
        <f t="shared" si="19"/>
        <v/>
      </c>
      <c r="IN59" s="8" t="str">
        <f t="shared" si="19"/>
        <v/>
      </c>
      <c r="IO59" s="8" t="str">
        <f t="shared" si="19"/>
        <v/>
      </c>
      <c r="IP59" s="8" t="str">
        <f t="shared" si="19"/>
        <v/>
      </c>
      <c r="IQ59" s="8" t="str">
        <f t="shared" si="19"/>
        <v/>
      </c>
      <c r="IR59" s="8" t="str">
        <f t="shared" si="19"/>
        <v/>
      </c>
      <c r="IS59" s="8" t="str">
        <f t="shared" si="19"/>
        <v/>
      </c>
      <c r="IT59" s="8" t="str">
        <f t="shared" si="19"/>
        <v/>
      </c>
      <c r="IU59" s="8" t="str">
        <f t="shared" si="19"/>
        <v/>
      </c>
      <c r="IV59" s="8" t="str">
        <f t="shared" si="19"/>
        <v/>
      </c>
    </row>
    <row r="60" spans="6:256" x14ac:dyDescent="0.2">
      <c r="F60">
        <v>201506</v>
      </c>
      <c r="G60" s="8">
        <f t="shared" ref="G60:BR60" si="20">IF(OR(H14 = "", H$8 &lt; G$8), "", IFERROR(H14/G14, ""))</f>
        <v>19.936276003516159</v>
      </c>
      <c r="H60" s="8">
        <f t="shared" si="20"/>
        <v>3.8442146350238864</v>
      </c>
      <c r="I60" s="8">
        <f t="shared" si="20"/>
        <v>2.2717723187377232</v>
      </c>
      <c r="J60" s="8">
        <f t="shared" si="20"/>
        <v>1.2988423428620743</v>
      </c>
      <c r="K60" s="8">
        <f t="shared" si="20"/>
        <v>1.0311389892174982</v>
      </c>
      <c r="L60" s="8">
        <f t="shared" si="20"/>
        <v>1.006420602721573</v>
      </c>
      <c r="M60" s="8">
        <f t="shared" si="20"/>
        <v>1.0478368666849676</v>
      </c>
      <c r="N60" s="8">
        <f t="shared" si="20"/>
        <v>1.0160157834390513</v>
      </c>
      <c r="O60" s="8">
        <f t="shared" si="20"/>
        <v>1.0003417798649592</v>
      </c>
      <c r="P60" s="8">
        <f t="shared" si="20"/>
        <v>1.0002774301804518</v>
      </c>
      <c r="Q60" s="8">
        <f t="shared" si="20"/>
        <v>1.0004886059472973</v>
      </c>
      <c r="R60" s="8">
        <f t="shared" si="20"/>
        <v>1.0052296122740085</v>
      </c>
      <c r="S60" s="8">
        <f t="shared" si="20"/>
        <v>1.0000299605586276</v>
      </c>
      <c r="T60" s="8">
        <f t="shared" si="20"/>
        <v>1.0003050983952746</v>
      </c>
      <c r="U60" s="8">
        <f t="shared" si="20"/>
        <v>1</v>
      </c>
      <c r="V60" s="8">
        <f t="shared" si="20"/>
        <v>1.0001283354280119</v>
      </c>
      <c r="W60" s="8">
        <f t="shared" si="20"/>
        <v>1.0002969612906976</v>
      </c>
      <c r="X60" s="8">
        <f t="shared" si="20"/>
        <v>1.0000519162876673</v>
      </c>
      <c r="Y60" s="8">
        <f t="shared" si="20"/>
        <v>1.000184959766387</v>
      </c>
      <c r="Z60" s="8">
        <f t="shared" si="20"/>
        <v>1.0086119117896153</v>
      </c>
      <c r="AA60" s="8">
        <f t="shared" si="20"/>
        <v>1</v>
      </c>
      <c r="AB60" s="8">
        <f t="shared" si="20"/>
        <v>1.0000819444552875</v>
      </c>
      <c r="AC60" s="8">
        <f t="shared" si="20"/>
        <v>1</v>
      </c>
      <c r="AD60" s="8">
        <f t="shared" si="20"/>
        <v>1.000951880843197</v>
      </c>
      <c r="AE60" s="8">
        <f t="shared" si="20"/>
        <v>1</v>
      </c>
      <c r="AF60" s="8">
        <f t="shared" si="20"/>
        <v>1</v>
      </c>
      <c r="AG60" s="8">
        <f t="shared" si="20"/>
        <v>1.000293964676201</v>
      </c>
      <c r="AH60" s="8">
        <f t="shared" si="20"/>
        <v>1</v>
      </c>
      <c r="AI60" s="8">
        <f t="shared" si="20"/>
        <v>1</v>
      </c>
      <c r="AJ60" s="8">
        <f t="shared" si="20"/>
        <v>1.0002392114244694</v>
      </c>
      <c r="AK60" s="8">
        <f t="shared" si="20"/>
        <v>1</v>
      </c>
      <c r="AL60" s="8">
        <f t="shared" si="20"/>
        <v>1</v>
      </c>
      <c r="AM60" s="8">
        <f t="shared" si="20"/>
        <v>1</v>
      </c>
      <c r="AN60" s="8">
        <f t="shared" si="20"/>
        <v>1</v>
      </c>
      <c r="AO60" s="8">
        <f t="shared" si="20"/>
        <v>1</v>
      </c>
      <c r="AP60" s="8">
        <f t="shared" si="20"/>
        <v>1.0008352867146411</v>
      </c>
      <c r="AQ60" s="8">
        <f t="shared" si="20"/>
        <v>1.000351179151358</v>
      </c>
      <c r="AR60" s="8">
        <f t="shared" si="20"/>
        <v>1</v>
      </c>
      <c r="AS60" s="8">
        <f t="shared" si="20"/>
        <v>1.0002934597380901</v>
      </c>
      <c r="AT60" s="8">
        <f t="shared" si="20"/>
        <v>1</v>
      </c>
      <c r="AU60" s="8">
        <f t="shared" si="20"/>
        <v>1</v>
      </c>
      <c r="AV60" s="8">
        <f t="shared" si="20"/>
        <v>1.0002439847146227</v>
      </c>
      <c r="AW60" s="8">
        <f t="shared" si="20"/>
        <v>1</v>
      </c>
      <c r="AX60" s="8">
        <f t="shared" si="20"/>
        <v>1</v>
      </c>
      <c r="AY60" s="8">
        <f t="shared" si="20"/>
        <v>1</v>
      </c>
      <c r="AZ60" s="8">
        <f t="shared" si="20"/>
        <v>1</v>
      </c>
      <c r="BA60" s="8">
        <f t="shared" si="20"/>
        <v>1</v>
      </c>
      <c r="BB60" s="8">
        <f t="shared" si="20"/>
        <v>1.0008338483985684</v>
      </c>
      <c r="BC60" s="8">
        <f t="shared" si="20"/>
        <v>1.0004490267096067</v>
      </c>
      <c r="BD60" s="8">
        <f t="shared" si="20"/>
        <v>1</v>
      </c>
      <c r="BE60" s="8">
        <f t="shared" si="20"/>
        <v>1.000292926186122</v>
      </c>
      <c r="BF60" s="8">
        <f t="shared" si="20"/>
        <v>1</v>
      </c>
      <c r="BG60" s="8">
        <f t="shared" si="20"/>
        <v>1</v>
      </c>
      <c r="BH60" s="8">
        <f t="shared" si="20"/>
        <v>1</v>
      </c>
      <c r="BI60" s="8">
        <f t="shared" si="20"/>
        <v>1.0003464699461806</v>
      </c>
      <c r="BJ60" s="8">
        <f t="shared" si="20"/>
        <v>1</v>
      </c>
      <c r="BK60" s="8">
        <f t="shared" si="20"/>
        <v>1.0000572632149103</v>
      </c>
      <c r="BL60" s="8">
        <f t="shared" si="20"/>
        <v>1</v>
      </c>
      <c r="BM60" s="8">
        <f t="shared" si="20"/>
        <v>1.023388342671373</v>
      </c>
      <c r="BN60" s="8">
        <f t="shared" si="20"/>
        <v>1.0033524952921871</v>
      </c>
      <c r="BO60" s="8">
        <f t="shared" si="20"/>
        <v>1.0001286475561653</v>
      </c>
      <c r="BP60" s="8">
        <f t="shared" si="20"/>
        <v>1.0003670894693022</v>
      </c>
      <c r="BQ60" s="8">
        <f t="shared" si="20"/>
        <v>1.0003386229533433</v>
      </c>
      <c r="BR60" s="8">
        <f t="shared" si="20"/>
        <v>1</v>
      </c>
      <c r="BS60" s="8">
        <f t="shared" ref="BS60:ED60" si="21">IF(OR(BT14 = "", BT$8 &lt; BS$8), "", IFERROR(BT14/BS14, ""))</f>
        <v>1</v>
      </c>
      <c r="BT60" s="8">
        <f t="shared" si="21"/>
        <v>1.0000699447743253</v>
      </c>
      <c r="BU60" s="8">
        <f t="shared" si="21"/>
        <v>1.000272303986053</v>
      </c>
      <c r="BV60" s="8">
        <f t="shared" si="21"/>
        <v>1</v>
      </c>
      <c r="BW60" s="8">
        <f t="shared" si="21"/>
        <v>1</v>
      </c>
      <c r="BX60" s="8">
        <f t="shared" si="21"/>
        <v>1</v>
      </c>
      <c r="BY60" s="8">
        <f t="shared" si="21"/>
        <v>1</v>
      </c>
      <c r="BZ60" s="8">
        <f t="shared" si="21"/>
        <v>1.0006996353214297</v>
      </c>
      <c r="CA60" s="8">
        <f t="shared" si="21"/>
        <v>1</v>
      </c>
      <c r="CB60" s="8">
        <f t="shared" si="21"/>
        <v>1.0002949855684173</v>
      </c>
      <c r="CC60" s="8">
        <f t="shared" si="21"/>
        <v>1.0008840119934361</v>
      </c>
      <c r="CD60" s="8">
        <f t="shared" si="21"/>
        <v>1</v>
      </c>
      <c r="CE60" s="8">
        <f t="shared" si="21"/>
        <v>1</v>
      </c>
      <c r="CF60" s="8">
        <f t="shared" si="21"/>
        <v>1.0002717191013006</v>
      </c>
      <c r="CG60" s="8">
        <f t="shared" si="21"/>
        <v>1.0000747914200419</v>
      </c>
      <c r="CH60" s="8">
        <f t="shared" si="21"/>
        <v>1</v>
      </c>
      <c r="CI60" s="8">
        <f t="shared" si="21"/>
        <v>1</v>
      </c>
      <c r="CJ60" s="8">
        <f t="shared" si="21"/>
        <v>1</v>
      </c>
      <c r="CK60" s="8">
        <f t="shared" si="21"/>
        <v>1</v>
      </c>
      <c r="CL60" s="8">
        <f t="shared" si="21"/>
        <v>1.0006980807647261</v>
      </c>
      <c r="CM60" s="8">
        <f t="shared" si="21"/>
        <v>1.0004087239860162</v>
      </c>
      <c r="CN60" s="8">
        <f t="shared" si="21"/>
        <v>1.0006203044521307</v>
      </c>
      <c r="CO60" s="8">
        <f t="shared" si="21"/>
        <v>1</v>
      </c>
      <c r="CP60" s="8">
        <f t="shared" si="21"/>
        <v>1</v>
      </c>
      <c r="CQ60" s="8">
        <f t="shared" si="21"/>
        <v>1.000079265258951</v>
      </c>
      <c r="CR60" s="8">
        <f t="shared" si="21"/>
        <v>1</v>
      </c>
      <c r="CS60" s="8">
        <f t="shared" si="21"/>
        <v>1.0002711349030071</v>
      </c>
      <c r="CT60" s="8">
        <f t="shared" si="21"/>
        <v>1</v>
      </c>
      <c r="CU60" s="8">
        <f t="shared" si="21"/>
        <v>1</v>
      </c>
      <c r="CV60" s="8">
        <f t="shared" si="21"/>
        <v>1</v>
      </c>
      <c r="CW60" s="8">
        <f t="shared" si="21"/>
        <v>1</v>
      </c>
      <c r="CX60" s="8">
        <f t="shared" si="21"/>
        <v>1.0008972144683026</v>
      </c>
      <c r="CY60" s="8">
        <f t="shared" si="21"/>
        <v>1.0004161315435949</v>
      </c>
      <c r="CZ60" s="8">
        <f t="shared" si="21"/>
        <v>1.0001612230718515</v>
      </c>
      <c r="DA60" s="8">
        <f t="shared" si="21"/>
        <v>1.0004597265436772</v>
      </c>
      <c r="DB60" s="8">
        <f t="shared" si="21"/>
        <v>1</v>
      </c>
      <c r="DC60" s="8">
        <f t="shared" si="21"/>
        <v>1.00008299266154</v>
      </c>
      <c r="DD60" s="8">
        <f t="shared" si="21"/>
        <v>1</v>
      </c>
      <c r="DE60" s="8">
        <f t="shared" si="21"/>
        <v>1.0002705153162144</v>
      </c>
      <c r="DF60" s="8">
        <f t="shared" si="21"/>
        <v>1</v>
      </c>
      <c r="DG60" s="8">
        <f t="shared" si="21"/>
        <v>1</v>
      </c>
      <c r="DH60" s="8">
        <f t="shared" si="21"/>
        <v>1</v>
      </c>
      <c r="DI60" s="8">
        <f t="shared" si="21"/>
        <v>1</v>
      </c>
      <c r="DJ60" s="8">
        <f t="shared" si="21"/>
        <v>1.0008951647436479</v>
      </c>
      <c r="DK60" s="8">
        <f t="shared" si="21"/>
        <v>1.0005793113074559</v>
      </c>
      <c r="DL60" s="8" t="str">
        <f t="shared" si="21"/>
        <v/>
      </c>
      <c r="DM60" s="8" t="str">
        <f t="shared" si="21"/>
        <v/>
      </c>
      <c r="DN60" s="8" t="str">
        <f t="shared" si="21"/>
        <v/>
      </c>
      <c r="DO60" s="8" t="str">
        <f t="shared" si="21"/>
        <v/>
      </c>
      <c r="DP60" s="8" t="str">
        <f t="shared" si="21"/>
        <v/>
      </c>
      <c r="DQ60" s="8" t="str">
        <f t="shared" si="21"/>
        <v/>
      </c>
      <c r="DR60" s="8" t="str">
        <f t="shared" si="21"/>
        <v/>
      </c>
      <c r="DS60" s="8" t="str">
        <f t="shared" si="21"/>
        <v/>
      </c>
      <c r="DT60" s="8" t="str">
        <f t="shared" si="21"/>
        <v/>
      </c>
      <c r="DU60" s="8" t="str">
        <f t="shared" si="21"/>
        <v/>
      </c>
      <c r="DV60" s="8" t="str">
        <f t="shared" si="21"/>
        <v/>
      </c>
      <c r="DW60" s="8" t="str">
        <f t="shared" si="21"/>
        <v/>
      </c>
      <c r="DX60" s="8" t="str">
        <f t="shared" si="21"/>
        <v/>
      </c>
      <c r="DY60" s="8" t="str">
        <f t="shared" si="21"/>
        <v/>
      </c>
      <c r="DZ60" s="8" t="str">
        <f t="shared" si="21"/>
        <v/>
      </c>
      <c r="EA60" s="8" t="str">
        <f t="shared" si="21"/>
        <v/>
      </c>
      <c r="EB60" s="8">
        <f t="shared" si="21"/>
        <v>3.939662362511168</v>
      </c>
      <c r="EC60" s="8">
        <f t="shared" si="21"/>
        <v>2.7565856276929859</v>
      </c>
      <c r="ED60" s="8">
        <f t="shared" si="21"/>
        <v>1.2024926122158195</v>
      </c>
      <c r="EE60" s="8">
        <f t="shared" ref="EE60:GP60" si="22">IF(OR(EF14 = "", EF$8 &lt; EE$8), "", IFERROR(EF14/EE14, ""))</f>
        <v>1.0316604007618329</v>
      </c>
      <c r="EF60" s="8">
        <f t="shared" si="22"/>
        <v>1.0050742730970961</v>
      </c>
      <c r="EG60" s="8">
        <f t="shared" si="22"/>
        <v>1.0157556428700145</v>
      </c>
      <c r="EH60" s="8">
        <f t="shared" si="22"/>
        <v>1.0069049618090644</v>
      </c>
      <c r="EI60" s="8">
        <f t="shared" si="22"/>
        <v>1.0001310544386806</v>
      </c>
      <c r="EJ60" s="8">
        <f t="shared" si="22"/>
        <v>1.0054359644101607</v>
      </c>
      <c r="EK60" s="8">
        <f t="shared" si="22"/>
        <v>1.0002736406861172</v>
      </c>
      <c r="EL60" s="8">
        <f t="shared" si="22"/>
        <v>1.0004819337714728</v>
      </c>
      <c r="EM60" s="8">
        <f t="shared" si="22"/>
        <v>1.0000924834959846</v>
      </c>
      <c r="EN60" s="8">
        <f t="shared" si="22"/>
        <v>1.0000297034247163</v>
      </c>
      <c r="EO60" s="8">
        <f t="shared" si="22"/>
        <v>1.0003135901362947</v>
      </c>
      <c r="EP60" s="8">
        <f t="shared" si="22"/>
        <v>1.0000824453809349</v>
      </c>
      <c r="EQ60" s="8">
        <f t="shared" si="22"/>
        <v>1.0001272224639768</v>
      </c>
      <c r="ER60" s="8">
        <f t="shared" si="22"/>
        <v>1.0002943862792693</v>
      </c>
      <c r="ES60" s="8">
        <f t="shared" si="22"/>
        <v>1.0000514662435209</v>
      </c>
      <c r="ET60" s="8">
        <f t="shared" si="22"/>
        <v>1.0001833564973532</v>
      </c>
      <c r="EU60" s="8">
        <f t="shared" si="22"/>
        <v>0.9998706604913874</v>
      </c>
      <c r="EV60" s="8">
        <f t="shared" si="22"/>
        <v>1.0000823951494076</v>
      </c>
      <c r="EW60" s="8">
        <f t="shared" si="22"/>
        <v>0.99999954934301205</v>
      </c>
      <c r="EX60" s="8">
        <f t="shared" si="22"/>
        <v>1</v>
      </c>
      <c r="EY60" s="8">
        <f t="shared" si="22"/>
        <v>1.000951880843197</v>
      </c>
      <c r="EZ60" s="8">
        <f t="shared" si="22"/>
        <v>1</v>
      </c>
      <c r="FA60" s="8">
        <f t="shared" si="22"/>
        <v>1</v>
      </c>
      <c r="FB60" s="8">
        <f t="shared" si="22"/>
        <v>1.000293964676201</v>
      </c>
      <c r="FC60" s="8">
        <f t="shared" si="22"/>
        <v>1</v>
      </c>
      <c r="FD60" s="8">
        <f t="shared" si="22"/>
        <v>1</v>
      </c>
      <c r="FE60" s="8">
        <f t="shared" si="22"/>
        <v>1.0002392114244694</v>
      </c>
      <c r="FF60" s="8">
        <f t="shared" si="22"/>
        <v>1</v>
      </c>
      <c r="FG60" s="8">
        <f t="shared" si="22"/>
        <v>1</v>
      </c>
      <c r="FH60" s="8">
        <f t="shared" si="22"/>
        <v>1</v>
      </c>
      <c r="FI60" s="8">
        <f t="shared" si="22"/>
        <v>1</v>
      </c>
      <c r="FJ60" s="8">
        <f t="shared" si="22"/>
        <v>1</v>
      </c>
      <c r="FK60" s="8">
        <f t="shared" si="22"/>
        <v>1.0008352867146411</v>
      </c>
      <c r="FL60" s="8">
        <f t="shared" si="22"/>
        <v>1.000351179151358</v>
      </c>
      <c r="FM60" s="8">
        <f t="shared" si="22"/>
        <v>1</v>
      </c>
      <c r="FN60" s="8">
        <f t="shared" si="22"/>
        <v>1.0002934597380901</v>
      </c>
      <c r="FO60" s="8">
        <f t="shared" si="22"/>
        <v>1</v>
      </c>
      <c r="FP60" s="8">
        <f t="shared" si="22"/>
        <v>1</v>
      </c>
      <c r="FQ60" s="8">
        <f t="shared" si="22"/>
        <v>1.0002439847146227</v>
      </c>
      <c r="FR60" s="8">
        <f t="shared" si="22"/>
        <v>1</v>
      </c>
      <c r="FS60" s="8">
        <f t="shared" si="22"/>
        <v>1</v>
      </c>
      <c r="FT60" s="8">
        <f t="shared" si="22"/>
        <v>1</v>
      </c>
      <c r="FU60" s="8">
        <f t="shared" si="22"/>
        <v>1</v>
      </c>
      <c r="FV60" s="8">
        <f t="shared" si="22"/>
        <v>1</v>
      </c>
      <c r="FW60" s="8">
        <f t="shared" si="22"/>
        <v>1.0008338483985684</v>
      </c>
      <c r="FX60" s="8">
        <f t="shared" si="22"/>
        <v>1.0004490267096067</v>
      </c>
      <c r="FY60" s="8">
        <f t="shared" si="22"/>
        <v>1</v>
      </c>
      <c r="FZ60" s="8">
        <f t="shared" si="22"/>
        <v>1.000292926186122</v>
      </c>
      <c r="GA60" s="8">
        <f t="shared" si="22"/>
        <v>1</v>
      </c>
      <c r="GB60" s="8">
        <f t="shared" si="22"/>
        <v>1</v>
      </c>
      <c r="GC60" s="8">
        <f t="shared" si="22"/>
        <v>1</v>
      </c>
      <c r="GD60" s="8">
        <f t="shared" si="22"/>
        <v>1.0003464699461806</v>
      </c>
      <c r="GE60" s="8">
        <f t="shared" si="22"/>
        <v>1</v>
      </c>
      <c r="GF60" s="8">
        <f t="shared" si="22"/>
        <v>1.0000572632149103</v>
      </c>
      <c r="GG60" s="8">
        <f t="shared" si="22"/>
        <v>1.0260572125254159</v>
      </c>
      <c r="GH60" s="8">
        <f t="shared" si="22"/>
        <v>0.99993845516178437</v>
      </c>
      <c r="GI60" s="8">
        <f t="shared" si="22"/>
        <v>1.0008042768481225</v>
      </c>
      <c r="GJ60" s="8">
        <f t="shared" si="22"/>
        <v>1.0001286475561653</v>
      </c>
      <c r="GK60" s="8">
        <f t="shared" si="22"/>
        <v>1.0003670894693022</v>
      </c>
      <c r="GL60" s="8">
        <f t="shared" si="22"/>
        <v>1.0003386229533433</v>
      </c>
      <c r="GM60" s="8">
        <f t="shared" si="22"/>
        <v>1</v>
      </c>
      <c r="GN60" s="8">
        <f t="shared" si="22"/>
        <v>1</v>
      </c>
      <c r="GO60" s="8">
        <f t="shared" si="22"/>
        <v>1.0000699447743253</v>
      </c>
      <c r="GP60" s="8">
        <f t="shared" si="22"/>
        <v>1.000272303986053</v>
      </c>
      <c r="GQ60" s="8">
        <f t="shared" ref="GQ60:IV60" si="23">IF(OR(GR14 = "", GR$8 &lt; GQ$8), "", IFERROR(GR14/GQ14, ""))</f>
        <v>1</v>
      </c>
      <c r="GR60" s="8">
        <f t="shared" si="23"/>
        <v>1</v>
      </c>
      <c r="GS60" s="8">
        <f t="shared" si="23"/>
        <v>1</v>
      </c>
      <c r="GT60" s="8">
        <f t="shared" si="23"/>
        <v>1</v>
      </c>
      <c r="GU60" s="8">
        <f t="shared" si="23"/>
        <v>1.0006996353214297</v>
      </c>
      <c r="GV60" s="8">
        <f t="shared" si="23"/>
        <v>1</v>
      </c>
      <c r="GW60" s="8">
        <f t="shared" si="23"/>
        <v>1.0002949855684173</v>
      </c>
      <c r="GX60" s="8">
        <f t="shared" si="23"/>
        <v>1.0008840119934361</v>
      </c>
      <c r="GY60" s="8">
        <f t="shared" si="23"/>
        <v>1</v>
      </c>
      <c r="GZ60" s="8">
        <f t="shared" si="23"/>
        <v>1</v>
      </c>
      <c r="HA60" s="8">
        <f t="shared" si="23"/>
        <v>1.0002717191013006</v>
      </c>
      <c r="HB60" s="8">
        <f t="shared" si="23"/>
        <v>1.0000747914200419</v>
      </c>
      <c r="HC60" s="8">
        <f t="shared" si="23"/>
        <v>1</v>
      </c>
      <c r="HD60" s="8">
        <f t="shared" si="23"/>
        <v>1</v>
      </c>
      <c r="HE60" s="8">
        <f t="shared" si="23"/>
        <v>1</v>
      </c>
      <c r="HF60" s="8">
        <f t="shared" si="23"/>
        <v>1</v>
      </c>
      <c r="HG60" s="8">
        <f t="shared" si="23"/>
        <v>1.0006980807647261</v>
      </c>
      <c r="HH60" s="8">
        <f t="shared" si="23"/>
        <v>1.0004087239860162</v>
      </c>
      <c r="HI60" s="8">
        <f t="shared" si="23"/>
        <v>1.0006203044521307</v>
      </c>
      <c r="HJ60" s="8">
        <f t="shared" si="23"/>
        <v>1</v>
      </c>
      <c r="HK60" s="8">
        <f t="shared" si="23"/>
        <v>1</v>
      </c>
      <c r="HL60" s="8">
        <f t="shared" si="23"/>
        <v>1.000079265258951</v>
      </c>
      <c r="HM60" s="8">
        <f t="shared" si="23"/>
        <v>1</v>
      </c>
      <c r="HN60" s="8">
        <f t="shared" si="23"/>
        <v>1.0002711349030071</v>
      </c>
      <c r="HO60" s="8">
        <f t="shared" si="23"/>
        <v>1</v>
      </c>
      <c r="HP60" s="8">
        <f t="shared" si="23"/>
        <v>1</v>
      </c>
      <c r="HQ60" s="8">
        <f t="shared" si="23"/>
        <v>1</v>
      </c>
      <c r="HR60" s="8">
        <f t="shared" si="23"/>
        <v>1</v>
      </c>
      <c r="HS60" s="8">
        <f t="shared" si="23"/>
        <v>1.0008972144683026</v>
      </c>
      <c r="HT60" s="8">
        <f t="shared" si="23"/>
        <v>1.0004161315435949</v>
      </c>
      <c r="HU60" s="8">
        <f t="shared" si="23"/>
        <v>1.0001612230718515</v>
      </c>
      <c r="HV60" s="8">
        <f t="shared" si="23"/>
        <v>1.0004597265436772</v>
      </c>
      <c r="HW60" s="8">
        <f t="shared" si="23"/>
        <v>1</v>
      </c>
      <c r="HX60" s="8">
        <f t="shared" si="23"/>
        <v>1.00008299266154</v>
      </c>
      <c r="HY60" s="8">
        <f t="shared" si="23"/>
        <v>1</v>
      </c>
      <c r="HZ60" s="8">
        <f t="shared" si="23"/>
        <v>1.0002705153162144</v>
      </c>
      <c r="IA60" s="8">
        <f t="shared" si="23"/>
        <v>1</v>
      </c>
      <c r="IB60" s="8">
        <f t="shared" si="23"/>
        <v>1</v>
      </c>
      <c r="IC60" s="8">
        <f t="shared" si="23"/>
        <v>1</v>
      </c>
      <c r="ID60" s="8">
        <f t="shared" si="23"/>
        <v>1</v>
      </c>
      <c r="IE60" s="8">
        <f t="shared" si="23"/>
        <v>1.0008951647436479</v>
      </c>
      <c r="IF60" s="8">
        <f t="shared" si="23"/>
        <v>1.0005793113074559</v>
      </c>
      <c r="IG60" s="8" t="str">
        <f t="shared" si="23"/>
        <v/>
      </c>
      <c r="IH60" s="8" t="str">
        <f t="shared" si="23"/>
        <v/>
      </c>
      <c r="II60" s="8" t="str">
        <f t="shared" si="23"/>
        <v/>
      </c>
      <c r="IJ60" s="8" t="str">
        <f t="shared" si="23"/>
        <v/>
      </c>
      <c r="IK60" s="8" t="str">
        <f t="shared" si="23"/>
        <v/>
      </c>
      <c r="IL60" s="8" t="str">
        <f t="shared" si="23"/>
        <v/>
      </c>
      <c r="IM60" s="8" t="str">
        <f t="shared" si="23"/>
        <v/>
      </c>
      <c r="IN60" s="8" t="str">
        <f t="shared" si="23"/>
        <v/>
      </c>
      <c r="IO60" s="8" t="str">
        <f t="shared" si="23"/>
        <v/>
      </c>
      <c r="IP60" s="8" t="str">
        <f t="shared" si="23"/>
        <v/>
      </c>
      <c r="IQ60" s="8" t="str">
        <f t="shared" si="23"/>
        <v/>
      </c>
      <c r="IR60" s="8" t="str">
        <f t="shared" si="23"/>
        <v/>
      </c>
      <c r="IS60" s="8" t="str">
        <f t="shared" si="23"/>
        <v/>
      </c>
      <c r="IT60" s="8" t="str">
        <f t="shared" si="23"/>
        <v/>
      </c>
      <c r="IU60" s="8" t="str">
        <f t="shared" si="23"/>
        <v/>
      </c>
      <c r="IV60" s="8" t="str">
        <f t="shared" si="23"/>
        <v/>
      </c>
    </row>
    <row r="61" spans="6:256" x14ac:dyDescent="0.2">
      <c r="F61">
        <v>201509</v>
      </c>
      <c r="G61" s="8">
        <f t="shared" ref="G61:BR61" si="24">IF(OR(H15 = "", H$8 &lt; G$8), "", IFERROR(H15/G15, ""))</f>
        <v>26.722625838342495</v>
      </c>
      <c r="H61" s="8">
        <f t="shared" si="24"/>
        <v>2.9132864472220272</v>
      </c>
      <c r="I61" s="8">
        <f t="shared" si="24"/>
        <v>1.555110944502069</v>
      </c>
      <c r="J61" s="8">
        <f t="shared" si="24"/>
        <v>1.1199021604555146</v>
      </c>
      <c r="K61" s="8">
        <f t="shared" si="24"/>
        <v>1.0229078104977689</v>
      </c>
      <c r="L61" s="8">
        <f t="shared" si="24"/>
        <v>1.0038657183164201</v>
      </c>
      <c r="M61" s="8">
        <f t="shared" si="24"/>
        <v>1.0511640413039915</v>
      </c>
      <c r="N61" s="8">
        <f t="shared" si="24"/>
        <v>1.0041145286372388</v>
      </c>
      <c r="O61" s="8">
        <f t="shared" si="24"/>
        <v>1.0238677445116871</v>
      </c>
      <c r="P61" s="8">
        <f t="shared" si="24"/>
        <v>1.0017152056227745</v>
      </c>
      <c r="Q61" s="8">
        <f t="shared" si="24"/>
        <v>1.0000262547871905</v>
      </c>
      <c r="R61" s="8">
        <f t="shared" si="24"/>
        <v>1.000078699968739</v>
      </c>
      <c r="S61" s="8">
        <f t="shared" si="24"/>
        <v>1.0002820655270241</v>
      </c>
      <c r="T61" s="8">
        <f t="shared" si="24"/>
        <v>1.0032554639036331</v>
      </c>
      <c r="U61" s="8">
        <f t="shared" si="24"/>
        <v>1.0056868408591182</v>
      </c>
      <c r="V61" s="8">
        <f t="shared" si="24"/>
        <v>1.0334757267552797</v>
      </c>
      <c r="W61" s="8">
        <f t="shared" si="24"/>
        <v>1</v>
      </c>
      <c r="X61" s="8">
        <f t="shared" si="24"/>
        <v>1.000014237990515</v>
      </c>
      <c r="Y61" s="8">
        <f t="shared" si="24"/>
        <v>1</v>
      </c>
      <c r="Z61" s="8">
        <f t="shared" si="24"/>
        <v>1.0033298390665848</v>
      </c>
      <c r="AA61" s="8">
        <f t="shared" si="24"/>
        <v>1</v>
      </c>
      <c r="AB61" s="8">
        <f t="shared" si="24"/>
        <v>1</v>
      </c>
      <c r="AC61" s="8">
        <f t="shared" si="24"/>
        <v>1</v>
      </c>
      <c r="AD61" s="8">
        <f t="shared" si="24"/>
        <v>1.001635985196877</v>
      </c>
      <c r="AE61" s="8">
        <f t="shared" si="24"/>
        <v>1.0002928301761738</v>
      </c>
      <c r="AF61" s="8">
        <f t="shared" si="24"/>
        <v>1</v>
      </c>
      <c r="AG61" s="8">
        <f t="shared" si="24"/>
        <v>1.0000803046747366</v>
      </c>
      <c r="AH61" s="8">
        <f t="shared" si="24"/>
        <v>1</v>
      </c>
      <c r="AI61" s="8">
        <f t="shared" si="24"/>
        <v>1</v>
      </c>
      <c r="AJ61" s="8">
        <f t="shared" si="24"/>
        <v>1</v>
      </c>
      <c r="AK61" s="8">
        <f t="shared" si="24"/>
        <v>1</v>
      </c>
      <c r="AL61" s="8">
        <f t="shared" si="24"/>
        <v>1</v>
      </c>
      <c r="AM61" s="8">
        <f t="shared" si="24"/>
        <v>1</v>
      </c>
      <c r="AN61" s="8">
        <f t="shared" si="24"/>
        <v>1</v>
      </c>
      <c r="AO61" s="8">
        <f t="shared" si="24"/>
        <v>1</v>
      </c>
      <c r="AP61" s="8">
        <f t="shared" si="24"/>
        <v>1.0004166346780976</v>
      </c>
      <c r="AQ61" s="8">
        <f t="shared" si="24"/>
        <v>1.0000085046941769</v>
      </c>
      <c r="AR61" s="8">
        <f t="shared" si="24"/>
        <v>1</v>
      </c>
      <c r="AS61" s="8">
        <f t="shared" si="24"/>
        <v>1</v>
      </c>
      <c r="AT61" s="8">
        <f t="shared" si="24"/>
        <v>1</v>
      </c>
      <c r="AU61" s="8">
        <f t="shared" si="24"/>
        <v>1</v>
      </c>
      <c r="AV61" s="8">
        <f t="shared" si="24"/>
        <v>1</v>
      </c>
      <c r="AW61" s="8">
        <f t="shared" si="24"/>
        <v>1</v>
      </c>
      <c r="AX61" s="8">
        <f t="shared" si="24"/>
        <v>1</v>
      </c>
      <c r="AY61" s="8">
        <f t="shared" si="24"/>
        <v>1</v>
      </c>
      <c r="AZ61" s="8">
        <f t="shared" si="24"/>
        <v>1</v>
      </c>
      <c r="BA61" s="8">
        <f t="shared" si="24"/>
        <v>1</v>
      </c>
      <c r="BB61" s="8">
        <f t="shared" si="24"/>
        <v>1</v>
      </c>
      <c r="BC61" s="8">
        <f t="shared" si="24"/>
        <v>1</v>
      </c>
      <c r="BD61" s="8">
        <f t="shared" si="24"/>
        <v>1.000416457624089</v>
      </c>
      <c r="BE61" s="8">
        <f t="shared" si="24"/>
        <v>1</v>
      </c>
      <c r="BF61" s="8">
        <f t="shared" si="24"/>
        <v>1</v>
      </c>
      <c r="BG61" s="8">
        <f t="shared" si="24"/>
        <v>1</v>
      </c>
      <c r="BH61" s="8">
        <f t="shared" si="24"/>
        <v>1</v>
      </c>
      <c r="BI61" s="8">
        <f t="shared" si="24"/>
        <v>1</v>
      </c>
      <c r="BJ61" s="8">
        <f t="shared" si="24"/>
        <v>1</v>
      </c>
      <c r="BK61" s="8">
        <f t="shared" si="24"/>
        <v>1</v>
      </c>
      <c r="BL61" s="8">
        <f t="shared" si="24"/>
        <v>1</v>
      </c>
      <c r="BM61" s="8">
        <f t="shared" si="24"/>
        <v>1</v>
      </c>
      <c r="BN61" s="8">
        <f t="shared" si="24"/>
        <v>1.0004162842593356</v>
      </c>
      <c r="BO61" s="8">
        <f t="shared" si="24"/>
        <v>1</v>
      </c>
      <c r="BP61" s="8">
        <f t="shared" si="24"/>
        <v>1</v>
      </c>
      <c r="BQ61" s="8">
        <f t="shared" si="24"/>
        <v>1</v>
      </c>
      <c r="BR61" s="8">
        <f t="shared" si="24"/>
        <v>1</v>
      </c>
      <c r="BS61" s="8">
        <f t="shared" ref="BS61:ED61" si="25">IF(OR(BT15 = "", BT$8 &lt; BS$8), "", IFERROR(BT15/BS15, ""))</f>
        <v>1</v>
      </c>
      <c r="BT61" s="8">
        <f t="shared" si="25"/>
        <v>1</v>
      </c>
      <c r="BU61" s="8">
        <f t="shared" si="25"/>
        <v>1</v>
      </c>
      <c r="BV61" s="8">
        <f t="shared" si="25"/>
        <v>1</v>
      </c>
      <c r="BW61" s="8">
        <f t="shared" si="25"/>
        <v>1</v>
      </c>
      <c r="BX61" s="8">
        <f t="shared" si="25"/>
        <v>1</v>
      </c>
      <c r="BY61" s="8">
        <f t="shared" si="25"/>
        <v>1</v>
      </c>
      <c r="BZ61" s="8">
        <f t="shared" si="25"/>
        <v>1</v>
      </c>
      <c r="CA61" s="8">
        <f t="shared" si="25"/>
        <v>1.0004161110388599</v>
      </c>
      <c r="CB61" s="8">
        <f t="shared" si="25"/>
        <v>1</v>
      </c>
      <c r="CC61" s="8">
        <f t="shared" si="25"/>
        <v>1</v>
      </c>
      <c r="CD61" s="8">
        <f t="shared" si="25"/>
        <v>1</v>
      </c>
      <c r="CE61" s="8">
        <f t="shared" si="25"/>
        <v>1</v>
      </c>
      <c r="CF61" s="8">
        <f t="shared" si="25"/>
        <v>1</v>
      </c>
      <c r="CG61" s="8">
        <f t="shared" si="25"/>
        <v>1</v>
      </c>
      <c r="CH61" s="8">
        <f t="shared" si="25"/>
        <v>1</v>
      </c>
      <c r="CI61" s="8">
        <f t="shared" si="25"/>
        <v>1</v>
      </c>
      <c r="CJ61" s="8">
        <f t="shared" si="25"/>
        <v>1</v>
      </c>
      <c r="CK61" s="8">
        <f t="shared" si="25"/>
        <v>1</v>
      </c>
      <c r="CL61" s="8">
        <f t="shared" si="25"/>
        <v>1</v>
      </c>
      <c r="CM61" s="8">
        <f t="shared" si="25"/>
        <v>1</v>
      </c>
      <c r="CN61" s="8">
        <f t="shared" si="25"/>
        <v>1.0004159379624822</v>
      </c>
      <c r="CO61" s="8">
        <f t="shared" si="25"/>
        <v>1</v>
      </c>
      <c r="CP61" s="8">
        <f t="shared" si="25"/>
        <v>1</v>
      </c>
      <c r="CQ61" s="8">
        <f t="shared" si="25"/>
        <v>1</v>
      </c>
      <c r="CR61" s="8">
        <f t="shared" si="25"/>
        <v>1</v>
      </c>
      <c r="CS61" s="8">
        <f t="shared" si="25"/>
        <v>1</v>
      </c>
      <c r="CT61" s="8">
        <f t="shared" si="25"/>
        <v>1</v>
      </c>
      <c r="CU61" s="8">
        <f t="shared" si="25"/>
        <v>1</v>
      </c>
      <c r="CV61" s="8">
        <f t="shared" si="25"/>
        <v>1</v>
      </c>
      <c r="CW61" s="8">
        <f t="shared" si="25"/>
        <v>1</v>
      </c>
      <c r="CX61" s="8">
        <f t="shared" si="25"/>
        <v>1</v>
      </c>
      <c r="CY61" s="8">
        <f t="shared" si="25"/>
        <v>1</v>
      </c>
      <c r="CZ61" s="8">
        <f t="shared" si="25"/>
        <v>1.0005126211313977</v>
      </c>
      <c r="DA61" s="8">
        <f t="shared" si="25"/>
        <v>1</v>
      </c>
      <c r="DB61" s="8">
        <f t="shared" si="25"/>
        <v>1</v>
      </c>
      <c r="DC61" s="8">
        <f t="shared" si="25"/>
        <v>1</v>
      </c>
      <c r="DD61" s="8">
        <f t="shared" si="25"/>
        <v>1</v>
      </c>
      <c r="DE61" s="8">
        <f t="shared" si="25"/>
        <v>1</v>
      </c>
      <c r="DF61" s="8">
        <f t="shared" si="25"/>
        <v>1</v>
      </c>
      <c r="DG61" s="8">
        <f t="shared" si="25"/>
        <v>1</v>
      </c>
      <c r="DH61" s="8">
        <f t="shared" si="25"/>
        <v>1</v>
      </c>
      <c r="DI61" s="8" t="str">
        <f t="shared" si="25"/>
        <v/>
      </c>
      <c r="DJ61" s="8" t="str">
        <f t="shared" si="25"/>
        <v/>
      </c>
      <c r="DK61" s="8" t="str">
        <f t="shared" si="25"/>
        <v/>
      </c>
      <c r="DL61" s="8" t="str">
        <f t="shared" si="25"/>
        <v/>
      </c>
      <c r="DM61" s="8" t="str">
        <f t="shared" si="25"/>
        <v/>
      </c>
      <c r="DN61" s="8" t="str">
        <f t="shared" si="25"/>
        <v/>
      </c>
      <c r="DO61" s="8" t="str">
        <f t="shared" si="25"/>
        <v/>
      </c>
      <c r="DP61" s="8" t="str">
        <f t="shared" si="25"/>
        <v/>
      </c>
      <c r="DQ61" s="8" t="str">
        <f t="shared" si="25"/>
        <v/>
      </c>
      <c r="DR61" s="8" t="str">
        <f t="shared" si="25"/>
        <v/>
      </c>
      <c r="DS61" s="8" t="str">
        <f t="shared" si="25"/>
        <v/>
      </c>
      <c r="DT61" s="8" t="str">
        <f t="shared" si="25"/>
        <v/>
      </c>
      <c r="DU61" s="8" t="str">
        <f t="shared" si="25"/>
        <v/>
      </c>
      <c r="DV61" s="8" t="str">
        <f t="shared" si="25"/>
        <v/>
      </c>
      <c r="DW61" s="8" t="str">
        <f t="shared" si="25"/>
        <v/>
      </c>
      <c r="DX61" s="8" t="str">
        <f t="shared" si="25"/>
        <v/>
      </c>
      <c r="DY61" s="8" t="str">
        <f t="shared" si="25"/>
        <v/>
      </c>
      <c r="DZ61" s="8" t="str">
        <f t="shared" si="25"/>
        <v/>
      </c>
      <c r="EA61" s="8" t="str">
        <f t="shared" si="25"/>
        <v/>
      </c>
      <c r="EB61" s="8">
        <f t="shared" si="25"/>
        <v>3.0743985334906152</v>
      </c>
      <c r="EC61" s="8">
        <f t="shared" si="25"/>
        <v>1.6586150077555175</v>
      </c>
      <c r="ED61" s="8">
        <f t="shared" si="25"/>
        <v>1.1256182304760727</v>
      </c>
      <c r="EE61" s="8">
        <f t="shared" ref="EE61:GP61" si="26">IF(OR(EF15 = "", EF$8 &lt; EE$8), "", IFERROR(EF15/EE15, ""))</f>
        <v>1.0135577943971259</v>
      </c>
      <c r="EF61" s="8">
        <f t="shared" si="26"/>
        <v>1.0136296949158201</v>
      </c>
      <c r="EG61" s="8">
        <f t="shared" si="26"/>
        <v>1.0699057200399413</v>
      </c>
      <c r="EH61" s="8">
        <f t="shared" si="26"/>
        <v>1.0064197978580429</v>
      </c>
      <c r="EI61" s="8">
        <f t="shared" si="26"/>
        <v>1.0002029220723485</v>
      </c>
      <c r="EJ61" s="8">
        <f t="shared" si="26"/>
        <v>0.98942291408473038</v>
      </c>
      <c r="EK61" s="8">
        <f t="shared" si="26"/>
        <v>1.0165862914973074</v>
      </c>
      <c r="EL61" s="8">
        <f t="shared" si="26"/>
        <v>1.0000905826785842</v>
      </c>
      <c r="EM61" s="8">
        <f t="shared" si="26"/>
        <v>1.005522087627692</v>
      </c>
      <c r="EN61" s="8">
        <f t="shared" si="26"/>
        <v>1.0002662925657237</v>
      </c>
      <c r="EO61" s="8">
        <f t="shared" si="26"/>
        <v>1.015434965213303</v>
      </c>
      <c r="EP61" s="8">
        <f t="shared" si="26"/>
        <v>0.98235894602277429</v>
      </c>
      <c r="EQ61" s="8">
        <f t="shared" si="26"/>
        <v>0.99982418304950593</v>
      </c>
      <c r="ER61" s="8">
        <f t="shared" si="26"/>
        <v>1</v>
      </c>
      <c r="ES61" s="8">
        <f t="shared" si="26"/>
        <v>1.0000140537874964</v>
      </c>
      <c r="ET61" s="8">
        <f t="shared" si="26"/>
        <v>1</v>
      </c>
      <c r="EU61" s="8">
        <f t="shared" si="26"/>
        <v>0.99089254709697272</v>
      </c>
      <c r="EV61" s="8">
        <f t="shared" si="26"/>
        <v>1</v>
      </c>
      <c r="EW61" s="8">
        <f t="shared" si="26"/>
        <v>0.9994519727933473</v>
      </c>
      <c r="EX61" s="8">
        <f t="shared" si="26"/>
        <v>1.0000000001090656</v>
      </c>
      <c r="EY61" s="8">
        <f t="shared" si="26"/>
        <v>1.0016359851966985</v>
      </c>
      <c r="EZ61" s="8">
        <f t="shared" si="26"/>
        <v>1.000292830176142</v>
      </c>
      <c r="FA61" s="8">
        <f t="shared" si="26"/>
        <v>1</v>
      </c>
      <c r="FB61" s="8">
        <f t="shared" si="26"/>
        <v>1.0000803045658722</v>
      </c>
      <c r="FC61" s="8">
        <f t="shared" si="26"/>
        <v>1</v>
      </c>
      <c r="FD61" s="8">
        <f t="shared" si="26"/>
        <v>1</v>
      </c>
      <c r="FE61" s="8">
        <f t="shared" si="26"/>
        <v>1</v>
      </c>
      <c r="FF61" s="8">
        <f t="shared" si="26"/>
        <v>1</v>
      </c>
      <c r="FG61" s="8">
        <f t="shared" si="26"/>
        <v>1</v>
      </c>
      <c r="FH61" s="8">
        <f t="shared" si="26"/>
        <v>1</v>
      </c>
      <c r="FI61" s="8">
        <f t="shared" si="26"/>
        <v>1</v>
      </c>
      <c r="FJ61" s="8">
        <f t="shared" si="26"/>
        <v>1</v>
      </c>
      <c r="FK61" s="8">
        <f t="shared" si="26"/>
        <v>1.0004166346780976</v>
      </c>
      <c r="FL61" s="8">
        <f t="shared" si="26"/>
        <v>1.0000085046941769</v>
      </c>
      <c r="FM61" s="8">
        <f t="shared" si="26"/>
        <v>1</v>
      </c>
      <c r="FN61" s="8">
        <f t="shared" si="26"/>
        <v>1</v>
      </c>
      <c r="FO61" s="8">
        <f t="shared" si="26"/>
        <v>1</v>
      </c>
      <c r="FP61" s="8">
        <f t="shared" si="26"/>
        <v>1</v>
      </c>
      <c r="FQ61" s="8">
        <f t="shared" si="26"/>
        <v>1</v>
      </c>
      <c r="FR61" s="8">
        <f t="shared" si="26"/>
        <v>1</v>
      </c>
      <c r="FS61" s="8">
        <f t="shared" si="26"/>
        <v>1</v>
      </c>
      <c r="FT61" s="8">
        <f t="shared" si="26"/>
        <v>1</v>
      </c>
      <c r="FU61" s="8">
        <f t="shared" si="26"/>
        <v>1</v>
      </c>
      <c r="FV61" s="8">
        <f t="shared" si="26"/>
        <v>1</v>
      </c>
      <c r="FW61" s="8">
        <f t="shared" si="26"/>
        <v>1</v>
      </c>
      <c r="FX61" s="8">
        <f t="shared" si="26"/>
        <v>1</v>
      </c>
      <c r="FY61" s="8">
        <f t="shared" si="26"/>
        <v>1.000416457624089</v>
      </c>
      <c r="FZ61" s="8">
        <f t="shared" si="26"/>
        <v>1</v>
      </c>
      <c r="GA61" s="8">
        <f t="shared" si="26"/>
        <v>1</v>
      </c>
      <c r="GB61" s="8">
        <f t="shared" si="26"/>
        <v>1</v>
      </c>
      <c r="GC61" s="8">
        <f t="shared" si="26"/>
        <v>1</v>
      </c>
      <c r="GD61" s="8">
        <f t="shared" si="26"/>
        <v>1</v>
      </c>
      <c r="GE61" s="8">
        <f t="shared" si="26"/>
        <v>1</v>
      </c>
      <c r="GF61" s="8">
        <f t="shared" si="26"/>
        <v>1</v>
      </c>
      <c r="GG61" s="8">
        <f t="shared" si="26"/>
        <v>1</v>
      </c>
      <c r="GH61" s="8">
        <f t="shared" si="26"/>
        <v>1</v>
      </c>
      <c r="GI61" s="8">
        <f t="shared" si="26"/>
        <v>1.0004162842593356</v>
      </c>
      <c r="GJ61" s="8">
        <f t="shared" si="26"/>
        <v>1</v>
      </c>
      <c r="GK61" s="8">
        <f t="shared" si="26"/>
        <v>1</v>
      </c>
      <c r="GL61" s="8">
        <f t="shared" si="26"/>
        <v>1</v>
      </c>
      <c r="GM61" s="8">
        <f t="shared" si="26"/>
        <v>1</v>
      </c>
      <c r="GN61" s="8">
        <f t="shared" si="26"/>
        <v>1</v>
      </c>
      <c r="GO61" s="8">
        <f t="shared" si="26"/>
        <v>1</v>
      </c>
      <c r="GP61" s="8">
        <f t="shared" si="26"/>
        <v>1</v>
      </c>
      <c r="GQ61" s="8">
        <f t="shared" ref="GQ61:IV61" si="27">IF(OR(GR15 = "", GR$8 &lt; GQ$8), "", IFERROR(GR15/GQ15, ""))</f>
        <v>1</v>
      </c>
      <c r="GR61" s="8">
        <f t="shared" si="27"/>
        <v>1</v>
      </c>
      <c r="GS61" s="8">
        <f t="shared" si="27"/>
        <v>1</v>
      </c>
      <c r="GT61" s="8">
        <f t="shared" si="27"/>
        <v>1</v>
      </c>
      <c r="GU61" s="8">
        <f t="shared" si="27"/>
        <v>1</v>
      </c>
      <c r="GV61" s="8">
        <f t="shared" si="27"/>
        <v>1.0004161110388599</v>
      </c>
      <c r="GW61" s="8">
        <f t="shared" si="27"/>
        <v>1</v>
      </c>
      <c r="GX61" s="8">
        <f t="shared" si="27"/>
        <v>1</v>
      </c>
      <c r="GY61" s="8">
        <f t="shared" si="27"/>
        <v>1</v>
      </c>
      <c r="GZ61" s="8">
        <f t="shared" si="27"/>
        <v>1</v>
      </c>
      <c r="HA61" s="8">
        <f t="shared" si="27"/>
        <v>1</v>
      </c>
      <c r="HB61" s="8">
        <f t="shared" si="27"/>
        <v>1</v>
      </c>
      <c r="HC61" s="8">
        <f t="shared" si="27"/>
        <v>1</v>
      </c>
      <c r="HD61" s="8">
        <f t="shared" si="27"/>
        <v>1</v>
      </c>
      <c r="HE61" s="8">
        <f t="shared" si="27"/>
        <v>1</v>
      </c>
      <c r="HF61" s="8">
        <f t="shared" si="27"/>
        <v>1</v>
      </c>
      <c r="HG61" s="8">
        <f t="shared" si="27"/>
        <v>1</v>
      </c>
      <c r="HH61" s="8">
        <f t="shared" si="27"/>
        <v>1</v>
      </c>
      <c r="HI61" s="8">
        <f t="shared" si="27"/>
        <v>1.0004159379624822</v>
      </c>
      <c r="HJ61" s="8">
        <f t="shared" si="27"/>
        <v>1</v>
      </c>
      <c r="HK61" s="8">
        <f t="shared" si="27"/>
        <v>1</v>
      </c>
      <c r="HL61" s="8">
        <f t="shared" si="27"/>
        <v>1</v>
      </c>
      <c r="HM61" s="8">
        <f t="shared" si="27"/>
        <v>1</v>
      </c>
      <c r="HN61" s="8">
        <f t="shared" si="27"/>
        <v>1</v>
      </c>
      <c r="HO61" s="8">
        <f t="shared" si="27"/>
        <v>1</v>
      </c>
      <c r="HP61" s="8">
        <f t="shared" si="27"/>
        <v>1</v>
      </c>
      <c r="HQ61" s="8">
        <f t="shared" si="27"/>
        <v>1</v>
      </c>
      <c r="HR61" s="8">
        <f t="shared" si="27"/>
        <v>1</v>
      </c>
      <c r="HS61" s="8">
        <f t="shared" si="27"/>
        <v>1</v>
      </c>
      <c r="HT61" s="8">
        <f t="shared" si="27"/>
        <v>1</v>
      </c>
      <c r="HU61" s="8">
        <f t="shared" si="27"/>
        <v>1.0005126211313977</v>
      </c>
      <c r="HV61" s="8">
        <f t="shared" si="27"/>
        <v>1</v>
      </c>
      <c r="HW61" s="8">
        <f t="shared" si="27"/>
        <v>1</v>
      </c>
      <c r="HX61" s="8">
        <f t="shared" si="27"/>
        <v>1</v>
      </c>
      <c r="HY61" s="8">
        <f t="shared" si="27"/>
        <v>1</v>
      </c>
      <c r="HZ61" s="8">
        <f t="shared" si="27"/>
        <v>1</v>
      </c>
      <c r="IA61" s="8">
        <f t="shared" si="27"/>
        <v>1</v>
      </c>
      <c r="IB61" s="8">
        <f t="shared" si="27"/>
        <v>1</v>
      </c>
      <c r="IC61" s="8">
        <f t="shared" si="27"/>
        <v>1</v>
      </c>
      <c r="ID61" s="8" t="str">
        <f t="shared" si="27"/>
        <v/>
      </c>
      <c r="IE61" s="8" t="str">
        <f t="shared" si="27"/>
        <v/>
      </c>
      <c r="IF61" s="8" t="str">
        <f t="shared" si="27"/>
        <v/>
      </c>
      <c r="IG61" s="8" t="str">
        <f t="shared" si="27"/>
        <v/>
      </c>
      <c r="IH61" s="8" t="str">
        <f t="shared" si="27"/>
        <v/>
      </c>
      <c r="II61" s="8" t="str">
        <f t="shared" si="27"/>
        <v/>
      </c>
      <c r="IJ61" s="8" t="str">
        <f t="shared" si="27"/>
        <v/>
      </c>
      <c r="IK61" s="8" t="str">
        <f t="shared" si="27"/>
        <v/>
      </c>
      <c r="IL61" s="8" t="str">
        <f t="shared" si="27"/>
        <v/>
      </c>
      <c r="IM61" s="8" t="str">
        <f t="shared" si="27"/>
        <v/>
      </c>
      <c r="IN61" s="8" t="str">
        <f t="shared" si="27"/>
        <v/>
      </c>
      <c r="IO61" s="8" t="str">
        <f t="shared" si="27"/>
        <v/>
      </c>
      <c r="IP61" s="8" t="str">
        <f t="shared" si="27"/>
        <v/>
      </c>
      <c r="IQ61" s="8" t="str">
        <f t="shared" si="27"/>
        <v/>
      </c>
      <c r="IR61" s="8" t="str">
        <f t="shared" si="27"/>
        <v/>
      </c>
      <c r="IS61" s="8" t="str">
        <f t="shared" si="27"/>
        <v/>
      </c>
      <c r="IT61" s="8" t="str">
        <f t="shared" si="27"/>
        <v/>
      </c>
      <c r="IU61" s="8" t="str">
        <f t="shared" si="27"/>
        <v/>
      </c>
      <c r="IV61" s="8" t="str">
        <f t="shared" si="27"/>
        <v/>
      </c>
    </row>
    <row r="62" spans="6:256" x14ac:dyDescent="0.2">
      <c r="F62">
        <v>201512</v>
      </c>
      <c r="G62" s="8">
        <f t="shared" ref="G62:BR62" si="28">IF(OR(H16 = "", H$8 &lt; G$8), "", IFERROR(H16/G16, ""))</f>
        <v>714.34537194393772</v>
      </c>
      <c r="H62" s="8">
        <f t="shared" si="28"/>
        <v>3.4533332692187946</v>
      </c>
      <c r="I62" s="8">
        <f t="shared" si="28"/>
        <v>2.1881568040826989</v>
      </c>
      <c r="J62" s="8">
        <f t="shared" si="28"/>
        <v>1.3581023842571298</v>
      </c>
      <c r="K62" s="8">
        <f t="shared" si="28"/>
        <v>1.0351431750198887</v>
      </c>
      <c r="L62" s="8">
        <f t="shared" si="28"/>
        <v>1.0442723213998177</v>
      </c>
      <c r="M62" s="8">
        <f t="shared" si="28"/>
        <v>1.0320247124227464</v>
      </c>
      <c r="N62" s="8">
        <f t="shared" si="28"/>
        <v>1.0045475986720931</v>
      </c>
      <c r="O62" s="8">
        <f t="shared" si="28"/>
        <v>1.0004536595489726</v>
      </c>
      <c r="P62" s="8">
        <f t="shared" si="28"/>
        <v>1.0089513564621284</v>
      </c>
      <c r="Q62" s="8">
        <f t="shared" si="28"/>
        <v>1.0001970282996138</v>
      </c>
      <c r="R62" s="8">
        <f t="shared" si="28"/>
        <v>1.0059040778852302</v>
      </c>
      <c r="S62" s="8">
        <f t="shared" si="28"/>
        <v>1.0002627114420917</v>
      </c>
      <c r="T62" s="8">
        <f t="shared" si="28"/>
        <v>1.007551550083587</v>
      </c>
      <c r="U62" s="8">
        <f t="shared" si="28"/>
        <v>1.000289671147544</v>
      </c>
      <c r="V62" s="8">
        <f t="shared" si="28"/>
        <v>1</v>
      </c>
      <c r="W62" s="8">
        <f t="shared" si="28"/>
        <v>1.0006044014975823</v>
      </c>
      <c r="X62" s="8">
        <f t="shared" si="28"/>
        <v>1</v>
      </c>
      <c r="Y62" s="8">
        <f t="shared" si="28"/>
        <v>1</v>
      </c>
      <c r="Z62" s="8">
        <f t="shared" si="28"/>
        <v>1.000421156589508</v>
      </c>
      <c r="AA62" s="8">
        <f t="shared" si="28"/>
        <v>1</v>
      </c>
      <c r="AB62" s="8">
        <f t="shared" si="28"/>
        <v>1</v>
      </c>
      <c r="AC62" s="8">
        <f t="shared" si="28"/>
        <v>1.0002493646438544</v>
      </c>
      <c r="AD62" s="8">
        <f t="shared" si="28"/>
        <v>1.0003553626377668</v>
      </c>
      <c r="AE62" s="8">
        <f t="shared" si="28"/>
        <v>1.0001396446558162</v>
      </c>
      <c r="AF62" s="8">
        <f t="shared" si="28"/>
        <v>1.0003837527921804</v>
      </c>
      <c r="AG62" s="8">
        <f t="shared" si="28"/>
        <v>1.0048652510268996</v>
      </c>
      <c r="AH62" s="8">
        <f t="shared" si="28"/>
        <v>1.0001645959380334</v>
      </c>
      <c r="AI62" s="8">
        <f t="shared" si="28"/>
        <v>1.0002573837786179</v>
      </c>
      <c r="AJ62" s="8">
        <f t="shared" si="28"/>
        <v>1</v>
      </c>
      <c r="AK62" s="8">
        <f t="shared" si="28"/>
        <v>1</v>
      </c>
      <c r="AL62" s="8">
        <f t="shared" si="28"/>
        <v>1.000513623514339</v>
      </c>
      <c r="AM62" s="8">
        <f t="shared" si="28"/>
        <v>1.0002376055639584</v>
      </c>
      <c r="AN62" s="8">
        <f t="shared" si="28"/>
        <v>1</v>
      </c>
      <c r="AO62" s="8">
        <f t="shared" si="28"/>
        <v>1.0005285241615793</v>
      </c>
      <c r="AP62" s="8">
        <f t="shared" si="28"/>
        <v>1</v>
      </c>
      <c r="AQ62" s="8">
        <f t="shared" si="28"/>
        <v>1</v>
      </c>
      <c r="AR62" s="8">
        <f t="shared" si="28"/>
        <v>1.0006469762202941</v>
      </c>
      <c r="AS62" s="8">
        <f t="shared" si="28"/>
        <v>1.0002823813432993</v>
      </c>
      <c r="AT62" s="8">
        <f t="shared" si="28"/>
        <v>1</v>
      </c>
      <c r="AU62" s="8">
        <f t="shared" si="28"/>
        <v>1.0000398147110507</v>
      </c>
      <c r="AV62" s="8">
        <f t="shared" si="28"/>
        <v>0.99996018687409738</v>
      </c>
      <c r="AW62" s="8">
        <f t="shared" si="28"/>
        <v>1</v>
      </c>
      <c r="AX62" s="8">
        <f t="shared" si="28"/>
        <v>1.0001986761305579</v>
      </c>
      <c r="AY62" s="8">
        <f t="shared" si="28"/>
        <v>1.0002371560297203</v>
      </c>
      <c r="AZ62" s="8">
        <f t="shared" si="28"/>
        <v>1</v>
      </c>
      <c r="BA62" s="8">
        <f t="shared" si="28"/>
        <v>1.0003614635705511</v>
      </c>
      <c r="BB62" s="8">
        <f t="shared" si="28"/>
        <v>1.0005856429149727</v>
      </c>
      <c r="BC62" s="8">
        <f t="shared" si="28"/>
        <v>1.0004047039091322</v>
      </c>
      <c r="BD62" s="8">
        <f t="shared" si="28"/>
        <v>1</v>
      </c>
      <c r="BE62" s="8">
        <f t="shared" si="28"/>
        <v>1.0002220761528191</v>
      </c>
      <c r="BF62" s="8">
        <f t="shared" si="28"/>
        <v>1</v>
      </c>
      <c r="BG62" s="8">
        <f t="shared" si="28"/>
        <v>1</v>
      </c>
      <c r="BH62" s="8">
        <f t="shared" si="28"/>
        <v>1</v>
      </c>
      <c r="BI62" s="8">
        <f t="shared" si="28"/>
        <v>1</v>
      </c>
      <c r="BJ62" s="8">
        <f t="shared" si="28"/>
        <v>1.0001592749698898</v>
      </c>
      <c r="BK62" s="8">
        <f t="shared" si="28"/>
        <v>1</v>
      </c>
      <c r="BL62" s="8">
        <f t="shared" si="28"/>
        <v>1.000379307520008</v>
      </c>
      <c r="BM62" s="8">
        <f t="shared" si="28"/>
        <v>1.000430595619638</v>
      </c>
      <c r="BN62" s="8">
        <f t="shared" si="28"/>
        <v>1.0007860757978662</v>
      </c>
      <c r="BO62" s="8">
        <f t="shared" si="28"/>
        <v>1.0001690628736946</v>
      </c>
      <c r="BP62" s="8">
        <f t="shared" si="28"/>
        <v>1.0002215990594614</v>
      </c>
      <c r="BQ62" s="8">
        <f t="shared" si="28"/>
        <v>1</v>
      </c>
      <c r="BR62" s="8">
        <f t="shared" si="28"/>
        <v>1</v>
      </c>
      <c r="BS62" s="8">
        <f t="shared" ref="BS62:ED62" si="29">IF(OR(BT16 = "", BT$8 &lt; BS$8), "", IFERROR(BT16/BS16, ""))</f>
        <v>1</v>
      </c>
      <c r="BT62" s="8">
        <f t="shared" si="29"/>
        <v>1</v>
      </c>
      <c r="BU62" s="8">
        <f t="shared" si="29"/>
        <v>1.0000802410561818</v>
      </c>
      <c r="BV62" s="8">
        <f t="shared" si="29"/>
        <v>1.0000786862590503</v>
      </c>
      <c r="BW62" s="8">
        <f t="shared" si="29"/>
        <v>1.0001423126167677</v>
      </c>
      <c r="BX62" s="8">
        <f t="shared" si="29"/>
        <v>1.0012530301597025</v>
      </c>
      <c r="BY62" s="8">
        <f t="shared" si="29"/>
        <v>1</v>
      </c>
      <c r="BZ62" s="8">
        <f t="shared" si="29"/>
        <v>1.0006034352556425</v>
      </c>
      <c r="CA62" s="8">
        <f t="shared" si="29"/>
        <v>1</v>
      </c>
      <c r="CB62" s="8">
        <f t="shared" si="29"/>
        <v>1.0002171677535789</v>
      </c>
      <c r="CC62" s="8">
        <f t="shared" si="29"/>
        <v>1.0000579304398651</v>
      </c>
      <c r="CD62" s="8">
        <f t="shared" si="29"/>
        <v>1</v>
      </c>
      <c r="CE62" s="8">
        <f t="shared" si="29"/>
        <v>1</v>
      </c>
      <c r="CF62" s="8">
        <f t="shared" si="29"/>
        <v>1</v>
      </c>
      <c r="CG62" s="8">
        <f t="shared" si="29"/>
        <v>1</v>
      </c>
      <c r="CH62" s="8">
        <f t="shared" si="29"/>
        <v>1.000300537129946</v>
      </c>
      <c r="CI62" s="8">
        <f t="shared" si="29"/>
        <v>1</v>
      </c>
      <c r="CJ62" s="8">
        <f t="shared" si="29"/>
        <v>1.0005594324482379</v>
      </c>
      <c r="CK62" s="8">
        <f t="shared" si="29"/>
        <v>1.0007164032749298</v>
      </c>
      <c r="CL62" s="8">
        <f t="shared" si="29"/>
        <v>1.000188931651238</v>
      </c>
      <c r="CM62" s="8">
        <f t="shared" si="29"/>
        <v>1.0004232498491883</v>
      </c>
      <c r="CN62" s="8">
        <f t="shared" si="29"/>
        <v>1.0000578004788629</v>
      </c>
      <c r="CO62" s="8">
        <f t="shared" si="29"/>
        <v>1.0002166209933796</v>
      </c>
      <c r="CP62" s="8">
        <f t="shared" si="29"/>
        <v>1</v>
      </c>
      <c r="CQ62" s="8">
        <f t="shared" si="29"/>
        <v>1</v>
      </c>
      <c r="CR62" s="8">
        <f t="shared" si="29"/>
        <v>1</v>
      </c>
      <c r="CS62" s="8">
        <f t="shared" si="29"/>
        <v>1.0001581576795679</v>
      </c>
      <c r="CT62" s="8">
        <f t="shared" si="29"/>
        <v>1.0001416179246065</v>
      </c>
      <c r="CU62" s="8">
        <f t="shared" si="29"/>
        <v>1</v>
      </c>
      <c r="CV62" s="8">
        <f t="shared" si="29"/>
        <v>1.0005580570170121</v>
      </c>
      <c r="CW62" s="8">
        <f t="shared" si="29"/>
        <v>1.000830264725425</v>
      </c>
      <c r="CX62" s="8">
        <f t="shared" si="29"/>
        <v>1.0001987248353927</v>
      </c>
      <c r="CY62" s="8">
        <f t="shared" si="29"/>
        <v>1.0006165499240345</v>
      </c>
      <c r="CZ62" s="8">
        <f t="shared" si="29"/>
        <v>1.0002160327496568</v>
      </c>
      <c r="DA62" s="8">
        <f t="shared" si="29"/>
        <v>1.0000616366241659</v>
      </c>
      <c r="DB62" s="8">
        <f t="shared" si="29"/>
        <v>1</v>
      </c>
      <c r="DC62" s="8">
        <f t="shared" si="29"/>
        <v>1</v>
      </c>
      <c r="DD62" s="8">
        <f t="shared" si="29"/>
        <v>1.0000796276060024</v>
      </c>
      <c r="DE62" s="8">
        <f t="shared" si="29"/>
        <v>1</v>
      </c>
      <c r="DF62" s="8" t="str">
        <f t="shared" si="29"/>
        <v/>
      </c>
      <c r="DG62" s="8" t="str">
        <f t="shared" si="29"/>
        <v/>
      </c>
      <c r="DH62" s="8" t="str">
        <f t="shared" si="29"/>
        <v/>
      </c>
      <c r="DI62" s="8" t="str">
        <f t="shared" si="29"/>
        <v/>
      </c>
      <c r="DJ62" s="8" t="str">
        <f t="shared" si="29"/>
        <v/>
      </c>
      <c r="DK62" s="8" t="str">
        <f t="shared" si="29"/>
        <v/>
      </c>
      <c r="DL62" s="8" t="str">
        <f t="shared" si="29"/>
        <v/>
      </c>
      <c r="DM62" s="8" t="str">
        <f t="shared" si="29"/>
        <v/>
      </c>
      <c r="DN62" s="8" t="str">
        <f t="shared" si="29"/>
        <v/>
      </c>
      <c r="DO62" s="8" t="str">
        <f t="shared" si="29"/>
        <v/>
      </c>
      <c r="DP62" s="8" t="str">
        <f t="shared" si="29"/>
        <v/>
      </c>
      <c r="DQ62" s="8" t="str">
        <f t="shared" si="29"/>
        <v/>
      </c>
      <c r="DR62" s="8" t="str">
        <f t="shared" si="29"/>
        <v/>
      </c>
      <c r="DS62" s="8" t="str">
        <f t="shared" si="29"/>
        <v/>
      </c>
      <c r="DT62" s="8" t="str">
        <f t="shared" si="29"/>
        <v/>
      </c>
      <c r="DU62" s="8" t="str">
        <f t="shared" si="29"/>
        <v/>
      </c>
      <c r="DV62" s="8" t="str">
        <f t="shared" si="29"/>
        <v/>
      </c>
      <c r="DW62" s="8" t="str">
        <f t="shared" si="29"/>
        <v/>
      </c>
      <c r="DX62" s="8" t="str">
        <f t="shared" si="29"/>
        <v/>
      </c>
      <c r="DY62" s="8" t="str">
        <f t="shared" si="29"/>
        <v/>
      </c>
      <c r="DZ62" s="8" t="str">
        <f t="shared" si="29"/>
        <v/>
      </c>
      <c r="EA62" s="8" t="str">
        <f t="shared" si="29"/>
        <v/>
      </c>
      <c r="EB62" s="8">
        <f t="shared" si="29"/>
        <v>2.0904916207974047</v>
      </c>
      <c r="EC62" s="8">
        <f t="shared" si="29"/>
        <v>2.4963835316009346</v>
      </c>
      <c r="ED62" s="8">
        <f t="shared" si="29"/>
        <v>1.345716867532923</v>
      </c>
      <c r="EE62" s="8">
        <f t="shared" ref="EE62:GP62" si="30">IF(OR(EF16 = "", EF$8 &lt; EE$8), "", IFERROR(EF16/EE16, ""))</f>
        <v>1.1250909693349438</v>
      </c>
      <c r="EF62" s="8">
        <f t="shared" si="30"/>
        <v>1.020516118133088</v>
      </c>
      <c r="EG62" s="8">
        <f t="shared" si="30"/>
        <v>0.98826850315633574</v>
      </c>
      <c r="EH62" s="8">
        <f t="shared" si="30"/>
        <v>1.0057436842627576</v>
      </c>
      <c r="EI62" s="8">
        <f t="shared" si="30"/>
        <v>1.0005357484231852</v>
      </c>
      <c r="EJ62" s="8">
        <f t="shared" si="30"/>
        <v>0.99068647585197667</v>
      </c>
      <c r="EK62" s="8">
        <f t="shared" si="30"/>
        <v>1.0069713518976382</v>
      </c>
      <c r="EL62" s="8">
        <f t="shared" si="30"/>
        <v>1.0001535997930127</v>
      </c>
      <c r="EM62" s="8">
        <f t="shared" si="30"/>
        <v>1.0058306298141366</v>
      </c>
      <c r="EN62" s="8">
        <f t="shared" si="30"/>
        <v>1.000259462197173</v>
      </c>
      <c r="EO62" s="8">
        <f t="shared" si="30"/>
        <v>1.0006262983139016</v>
      </c>
      <c r="EP62" s="8">
        <f t="shared" si="30"/>
        <v>0.99980038357415379</v>
      </c>
      <c r="EQ62" s="8">
        <f t="shared" si="30"/>
        <v>1</v>
      </c>
      <c r="ER62" s="8">
        <f t="shared" si="30"/>
        <v>1.0006013535701446</v>
      </c>
      <c r="ES62" s="8">
        <f t="shared" si="30"/>
        <v>1</v>
      </c>
      <c r="ET62" s="8">
        <f t="shared" si="30"/>
        <v>0.99518103710991557</v>
      </c>
      <c r="EU62" s="8">
        <f t="shared" si="30"/>
        <v>1.0003645992841894</v>
      </c>
      <c r="EV62" s="8">
        <f t="shared" si="30"/>
        <v>1</v>
      </c>
      <c r="EW62" s="8">
        <f t="shared" si="30"/>
        <v>1</v>
      </c>
      <c r="EX62" s="8">
        <f t="shared" si="30"/>
        <v>1.0002493233896728</v>
      </c>
      <c r="EY62" s="8">
        <f t="shared" si="30"/>
        <v>1.0003553038622308</v>
      </c>
      <c r="EZ62" s="8">
        <f t="shared" si="30"/>
        <v>1.0001396215673612</v>
      </c>
      <c r="FA62" s="8">
        <f t="shared" si="30"/>
        <v>1.0003836893524292</v>
      </c>
      <c r="FB62" s="8">
        <f t="shared" si="30"/>
        <v>1.0048644470407402</v>
      </c>
      <c r="FC62" s="8">
        <f t="shared" si="30"/>
        <v>1.0001645688701093</v>
      </c>
      <c r="FD62" s="8">
        <f t="shared" si="30"/>
        <v>1.000092917775151</v>
      </c>
      <c r="FE62" s="8">
        <f t="shared" si="30"/>
        <v>1</v>
      </c>
      <c r="FF62" s="8">
        <f t="shared" si="30"/>
        <v>1</v>
      </c>
      <c r="FG62" s="8">
        <f t="shared" si="30"/>
        <v>1.000513623514339</v>
      </c>
      <c r="FH62" s="8">
        <f t="shared" si="30"/>
        <v>1.0002376055639584</v>
      </c>
      <c r="FI62" s="8">
        <f t="shared" si="30"/>
        <v>1</v>
      </c>
      <c r="FJ62" s="8">
        <f t="shared" si="30"/>
        <v>1.0005285241615793</v>
      </c>
      <c r="FK62" s="8">
        <f t="shared" si="30"/>
        <v>1</v>
      </c>
      <c r="FL62" s="8">
        <f t="shared" si="30"/>
        <v>1</v>
      </c>
      <c r="FM62" s="8">
        <f t="shared" si="30"/>
        <v>1.0006469762202941</v>
      </c>
      <c r="FN62" s="8">
        <f t="shared" si="30"/>
        <v>1.0002823813432993</v>
      </c>
      <c r="FO62" s="8">
        <f t="shared" si="30"/>
        <v>1</v>
      </c>
      <c r="FP62" s="8">
        <f t="shared" si="30"/>
        <v>1.0000398147110507</v>
      </c>
      <c r="FQ62" s="8">
        <f t="shared" si="30"/>
        <v>0.99996018687409738</v>
      </c>
      <c r="FR62" s="8">
        <f t="shared" si="30"/>
        <v>1</v>
      </c>
      <c r="FS62" s="8">
        <f t="shared" si="30"/>
        <v>1.0001986761305579</v>
      </c>
      <c r="FT62" s="8">
        <f t="shared" si="30"/>
        <v>1.0002371560297203</v>
      </c>
      <c r="FU62" s="8">
        <f t="shared" si="30"/>
        <v>1</v>
      </c>
      <c r="FV62" s="8">
        <f t="shared" si="30"/>
        <v>1.0003614635705511</v>
      </c>
      <c r="FW62" s="8">
        <f t="shared" si="30"/>
        <v>1.0005856429149727</v>
      </c>
      <c r="FX62" s="8">
        <f t="shared" si="30"/>
        <v>1.0004468980304875</v>
      </c>
      <c r="FY62" s="8">
        <f t="shared" si="30"/>
        <v>1</v>
      </c>
      <c r="FZ62" s="8">
        <f t="shared" si="30"/>
        <v>1.0001798915133879</v>
      </c>
      <c r="GA62" s="8">
        <f t="shared" si="30"/>
        <v>1</v>
      </c>
      <c r="GB62" s="8">
        <f t="shared" si="30"/>
        <v>1</v>
      </c>
      <c r="GC62" s="8">
        <f t="shared" si="30"/>
        <v>1</v>
      </c>
      <c r="GD62" s="8">
        <f t="shared" si="30"/>
        <v>1</v>
      </c>
      <c r="GE62" s="8">
        <f t="shared" si="30"/>
        <v>1.0001592749698898</v>
      </c>
      <c r="GF62" s="8">
        <f t="shared" si="30"/>
        <v>1</v>
      </c>
      <c r="GG62" s="8">
        <f t="shared" si="30"/>
        <v>1.000379307520008</v>
      </c>
      <c r="GH62" s="8">
        <f t="shared" si="30"/>
        <v>1.000430595619638</v>
      </c>
      <c r="GI62" s="8">
        <f t="shared" si="30"/>
        <v>1.0007860757978662</v>
      </c>
      <c r="GJ62" s="8">
        <f t="shared" si="30"/>
        <v>1.0001690628736946</v>
      </c>
      <c r="GK62" s="8">
        <f t="shared" si="30"/>
        <v>1.0002215990594614</v>
      </c>
      <c r="GL62" s="8">
        <f t="shared" si="30"/>
        <v>1</v>
      </c>
      <c r="GM62" s="8">
        <f t="shared" si="30"/>
        <v>1</v>
      </c>
      <c r="GN62" s="8">
        <f t="shared" si="30"/>
        <v>1</v>
      </c>
      <c r="GO62" s="8">
        <f t="shared" si="30"/>
        <v>1</v>
      </c>
      <c r="GP62" s="8">
        <f t="shared" si="30"/>
        <v>1.0000802410561818</v>
      </c>
      <c r="GQ62" s="8">
        <f t="shared" ref="GQ62:IV62" si="31">IF(OR(GR16 = "", GR$8 &lt; GQ$8), "", IFERROR(GR16/GQ16, ""))</f>
        <v>1.0000786862590503</v>
      </c>
      <c r="GR62" s="8">
        <f t="shared" si="31"/>
        <v>1.0001423126167677</v>
      </c>
      <c r="GS62" s="8">
        <f t="shared" si="31"/>
        <v>1.0012530301597025</v>
      </c>
      <c r="GT62" s="8">
        <f t="shared" si="31"/>
        <v>1</v>
      </c>
      <c r="GU62" s="8">
        <f t="shared" si="31"/>
        <v>1.0006034352556425</v>
      </c>
      <c r="GV62" s="8">
        <f t="shared" si="31"/>
        <v>1</v>
      </c>
      <c r="GW62" s="8">
        <f t="shared" si="31"/>
        <v>1.0002171677535789</v>
      </c>
      <c r="GX62" s="8">
        <f t="shared" si="31"/>
        <v>1.0000579304398651</v>
      </c>
      <c r="GY62" s="8">
        <f t="shared" si="31"/>
        <v>1</v>
      </c>
      <c r="GZ62" s="8">
        <f t="shared" si="31"/>
        <v>1</v>
      </c>
      <c r="HA62" s="8">
        <f t="shared" si="31"/>
        <v>1</v>
      </c>
      <c r="HB62" s="8">
        <f t="shared" si="31"/>
        <v>1</v>
      </c>
      <c r="HC62" s="8">
        <f t="shared" si="31"/>
        <v>1.000300537129946</v>
      </c>
      <c r="HD62" s="8">
        <f t="shared" si="31"/>
        <v>1</v>
      </c>
      <c r="HE62" s="8">
        <f t="shared" si="31"/>
        <v>1.0005594324482379</v>
      </c>
      <c r="HF62" s="8">
        <f t="shared" si="31"/>
        <v>1.0007164032749298</v>
      </c>
      <c r="HG62" s="8">
        <f t="shared" si="31"/>
        <v>1.000188931651238</v>
      </c>
      <c r="HH62" s="8">
        <f t="shared" si="31"/>
        <v>1.0004232498491883</v>
      </c>
      <c r="HI62" s="8">
        <f t="shared" si="31"/>
        <v>1.0000578004788629</v>
      </c>
      <c r="HJ62" s="8">
        <f t="shared" si="31"/>
        <v>1.0002166209933796</v>
      </c>
      <c r="HK62" s="8">
        <f t="shared" si="31"/>
        <v>1</v>
      </c>
      <c r="HL62" s="8">
        <f t="shared" si="31"/>
        <v>1</v>
      </c>
      <c r="HM62" s="8">
        <f t="shared" si="31"/>
        <v>1</v>
      </c>
      <c r="HN62" s="8">
        <f t="shared" si="31"/>
        <v>1.0001581576795679</v>
      </c>
      <c r="HO62" s="8">
        <f t="shared" si="31"/>
        <v>1.0001416179246065</v>
      </c>
      <c r="HP62" s="8">
        <f t="shared" si="31"/>
        <v>1</v>
      </c>
      <c r="HQ62" s="8">
        <f t="shared" si="31"/>
        <v>1.0005580570170121</v>
      </c>
      <c r="HR62" s="8">
        <f t="shared" si="31"/>
        <v>1.000830264725425</v>
      </c>
      <c r="HS62" s="8">
        <f t="shared" si="31"/>
        <v>1.0001987248353927</v>
      </c>
      <c r="HT62" s="8">
        <f t="shared" si="31"/>
        <v>1.0006165499240345</v>
      </c>
      <c r="HU62" s="8">
        <f t="shared" si="31"/>
        <v>1.0002160327496568</v>
      </c>
      <c r="HV62" s="8">
        <f t="shared" si="31"/>
        <v>1.0000616366241659</v>
      </c>
      <c r="HW62" s="8">
        <f t="shared" si="31"/>
        <v>1</v>
      </c>
      <c r="HX62" s="8">
        <f t="shared" si="31"/>
        <v>1</v>
      </c>
      <c r="HY62" s="8">
        <f t="shared" si="31"/>
        <v>1.0000796276060024</v>
      </c>
      <c r="HZ62" s="8">
        <f t="shared" si="31"/>
        <v>1</v>
      </c>
      <c r="IA62" s="8" t="str">
        <f t="shared" si="31"/>
        <v/>
      </c>
      <c r="IB62" s="8" t="str">
        <f t="shared" si="31"/>
        <v/>
      </c>
      <c r="IC62" s="8" t="str">
        <f t="shared" si="31"/>
        <v/>
      </c>
      <c r="ID62" s="8" t="str">
        <f t="shared" si="31"/>
        <v/>
      </c>
      <c r="IE62" s="8" t="str">
        <f t="shared" si="31"/>
        <v/>
      </c>
      <c r="IF62" s="8" t="str">
        <f t="shared" si="31"/>
        <v/>
      </c>
      <c r="IG62" s="8" t="str">
        <f t="shared" si="31"/>
        <v/>
      </c>
      <c r="IH62" s="8" t="str">
        <f t="shared" si="31"/>
        <v/>
      </c>
      <c r="II62" s="8" t="str">
        <f t="shared" si="31"/>
        <v/>
      </c>
      <c r="IJ62" s="8" t="str">
        <f t="shared" si="31"/>
        <v/>
      </c>
      <c r="IK62" s="8" t="str">
        <f t="shared" si="31"/>
        <v/>
      </c>
      <c r="IL62" s="8" t="str">
        <f t="shared" si="31"/>
        <v/>
      </c>
      <c r="IM62" s="8" t="str">
        <f t="shared" si="31"/>
        <v/>
      </c>
      <c r="IN62" s="8" t="str">
        <f t="shared" si="31"/>
        <v/>
      </c>
      <c r="IO62" s="8" t="str">
        <f t="shared" si="31"/>
        <v/>
      </c>
      <c r="IP62" s="8" t="str">
        <f t="shared" si="31"/>
        <v/>
      </c>
      <c r="IQ62" s="8" t="str">
        <f t="shared" si="31"/>
        <v/>
      </c>
      <c r="IR62" s="8" t="str">
        <f t="shared" si="31"/>
        <v/>
      </c>
      <c r="IS62" s="8" t="str">
        <f t="shared" si="31"/>
        <v/>
      </c>
      <c r="IT62" s="8" t="str">
        <f t="shared" si="31"/>
        <v/>
      </c>
      <c r="IU62" s="8" t="str">
        <f t="shared" si="31"/>
        <v/>
      </c>
      <c r="IV62" s="8" t="str">
        <f t="shared" si="31"/>
        <v/>
      </c>
    </row>
    <row r="63" spans="6:256" x14ac:dyDescent="0.2">
      <c r="F63">
        <v>201603</v>
      </c>
      <c r="G63" s="8">
        <f t="shared" ref="G63:BR63" si="32">IF(OR(H17 = "", H$8 &lt; G$8), "", IFERROR(H17/G17, ""))</f>
        <v>18.660283</v>
      </c>
      <c r="H63" s="8">
        <f t="shared" si="32"/>
        <v>1.9808602813437146</v>
      </c>
      <c r="I63" s="8">
        <f t="shared" si="32"/>
        <v>1.7407510424522004</v>
      </c>
      <c r="J63" s="8">
        <f t="shared" si="32"/>
        <v>1.8634863131254156</v>
      </c>
      <c r="K63" s="8">
        <f t="shared" si="32"/>
        <v>1.2378382378886919</v>
      </c>
      <c r="L63" s="8">
        <f t="shared" si="32"/>
        <v>1.0057169629869136</v>
      </c>
      <c r="M63" s="8">
        <f t="shared" si="32"/>
        <v>1.0241014167006426</v>
      </c>
      <c r="N63" s="8">
        <f t="shared" si="32"/>
        <v>1.1291718071096848</v>
      </c>
      <c r="O63" s="8">
        <f t="shared" si="32"/>
        <v>1.0001013819043834</v>
      </c>
      <c r="P63" s="8">
        <f t="shared" si="32"/>
        <v>1.0145830326463818</v>
      </c>
      <c r="Q63" s="8">
        <f t="shared" si="32"/>
        <v>1.0010277057534165</v>
      </c>
      <c r="R63" s="8">
        <f t="shared" si="32"/>
        <v>1.0004048957121394</v>
      </c>
      <c r="S63" s="8">
        <f t="shared" si="32"/>
        <v>1.0016595330607947</v>
      </c>
      <c r="T63" s="8">
        <f t="shared" si="32"/>
        <v>1.0016585880602982</v>
      </c>
      <c r="U63" s="8">
        <f t="shared" si="32"/>
        <v>1</v>
      </c>
      <c r="V63" s="8">
        <f t="shared" si="32"/>
        <v>1</v>
      </c>
      <c r="W63" s="8">
        <f t="shared" si="32"/>
        <v>1.0000668372865853</v>
      </c>
      <c r="X63" s="8">
        <f t="shared" si="32"/>
        <v>1</v>
      </c>
      <c r="Y63" s="8">
        <f t="shared" si="32"/>
        <v>1.0012897077706877</v>
      </c>
      <c r="Z63" s="8">
        <f t="shared" si="32"/>
        <v>1.0136018389433459</v>
      </c>
      <c r="AA63" s="8">
        <f t="shared" si="32"/>
        <v>1</v>
      </c>
      <c r="AB63" s="8">
        <f t="shared" si="32"/>
        <v>1.0002074199448521</v>
      </c>
      <c r="AC63" s="8">
        <f t="shared" si="32"/>
        <v>1.0029832039813882</v>
      </c>
      <c r="AD63" s="8">
        <f t="shared" si="32"/>
        <v>1.0029982558958146</v>
      </c>
      <c r="AE63" s="8">
        <f t="shared" si="32"/>
        <v>1.0001479822480277</v>
      </c>
      <c r="AF63" s="8">
        <f t="shared" si="32"/>
        <v>1.000534251441147</v>
      </c>
      <c r="AG63" s="8">
        <f t="shared" si="32"/>
        <v>1</v>
      </c>
      <c r="AH63" s="8">
        <f t="shared" si="32"/>
        <v>1</v>
      </c>
      <c r="AI63" s="8">
        <f t="shared" si="32"/>
        <v>1</v>
      </c>
      <c r="AJ63" s="8">
        <f t="shared" si="32"/>
        <v>1</v>
      </c>
      <c r="AK63" s="8">
        <f t="shared" si="32"/>
        <v>1.0006030760222353</v>
      </c>
      <c r="AL63" s="8">
        <f t="shared" si="32"/>
        <v>1.0011135188527565</v>
      </c>
      <c r="AM63" s="8">
        <f t="shared" si="32"/>
        <v>1</v>
      </c>
      <c r="AN63" s="8">
        <f t="shared" si="32"/>
        <v>1</v>
      </c>
      <c r="AO63" s="8">
        <f t="shared" si="32"/>
        <v>1.0007282651086882</v>
      </c>
      <c r="AP63" s="8">
        <f t="shared" si="32"/>
        <v>1.0036812467780909</v>
      </c>
      <c r="AQ63" s="8">
        <f t="shared" si="32"/>
        <v>1.0008722575175089</v>
      </c>
      <c r="AR63" s="8">
        <f t="shared" si="32"/>
        <v>1</v>
      </c>
      <c r="AS63" s="8">
        <f t="shared" si="32"/>
        <v>1</v>
      </c>
      <c r="AT63" s="8">
        <f t="shared" si="32"/>
        <v>1</v>
      </c>
      <c r="AU63" s="8">
        <f t="shared" si="32"/>
        <v>1</v>
      </c>
      <c r="AV63" s="8">
        <f t="shared" si="32"/>
        <v>1</v>
      </c>
      <c r="AW63" s="8">
        <f t="shared" si="32"/>
        <v>1</v>
      </c>
      <c r="AX63" s="8">
        <f t="shared" si="32"/>
        <v>1.0016159100529134</v>
      </c>
      <c r="AY63" s="8">
        <f t="shared" si="32"/>
        <v>1</v>
      </c>
      <c r="AZ63" s="8">
        <f t="shared" si="32"/>
        <v>1</v>
      </c>
      <c r="BA63" s="8">
        <f t="shared" si="32"/>
        <v>1.0003158672896411</v>
      </c>
      <c r="BB63" s="8">
        <f t="shared" si="32"/>
        <v>1.0000700796374262</v>
      </c>
      <c r="BC63" s="8">
        <f t="shared" si="32"/>
        <v>1.0034118364034621</v>
      </c>
      <c r="BD63" s="8">
        <f t="shared" si="32"/>
        <v>1.0002798327572953</v>
      </c>
      <c r="BE63" s="8">
        <f t="shared" si="32"/>
        <v>1.0002356259708818</v>
      </c>
      <c r="BF63" s="8">
        <f t="shared" si="32"/>
        <v>1.0005882447143561</v>
      </c>
      <c r="BG63" s="8">
        <f t="shared" si="32"/>
        <v>1</v>
      </c>
      <c r="BH63" s="8">
        <f t="shared" si="32"/>
        <v>1</v>
      </c>
      <c r="BI63" s="8">
        <f t="shared" si="32"/>
        <v>1.0016054246561632</v>
      </c>
      <c r="BJ63" s="8">
        <f t="shared" si="32"/>
        <v>1</v>
      </c>
      <c r="BK63" s="8">
        <f t="shared" si="32"/>
        <v>1</v>
      </c>
      <c r="BL63" s="8">
        <f t="shared" si="32"/>
        <v>1</v>
      </c>
      <c r="BM63" s="8">
        <f t="shared" si="32"/>
        <v>1.0002725609960446</v>
      </c>
      <c r="BN63" s="8">
        <f t="shared" si="32"/>
        <v>1.0041736143217146</v>
      </c>
      <c r="BO63" s="8">
        <f t="shared" si="32"/>
        <v>1.0000525014439321</v>
      </c>
      <c r="BP63" s="8">
        <f t="shared" si="32"/>
        <v>1.0003340060764527</v>
      </c>
      <c r="BQ63" s="8">
        <f t="shared" si="32"/>
        <v>1</v>
      </c>
      <c r="BR63" s="8">
        <f t="shared" si="32"/>
        <v>1</v>
      </c>
      <c r="BS63" s="8">
        <f t="shared" ref="BS63:ED63" si="33">IF(OR(BT17 = "", BT$8 &lt; BS$8), "", IFERROR(BT17/BS17, ""))</f>
        <v>1.0007201776979207</v>
      </c>
      <c r="BT63" s="8">
        <f t="shared" si="33"/>
        <v>1</v>
      </c>
      <c r="BU63" s="8">
        <f t="shared" si="33"/>
        <v>1.0015939900622048</v>
      </c>
      <c r="BV63" s="8">
        <f t="shared" si="33"/>
        <v>1</v>
      </c>
      <c r="BW63" s="8">
        <f t="shared" si="33"/>
        <v>1</v>
      </c>
      <c r="BX63" s="8">
        <f t="shared" si="33"/>
        <v>1</v>
      </c>
      <c r="BY63" s="8">
        <f t="shared" si="33"/>
        <v>1.0011049524803761</v>
      </c>
      <c r="BZ63" s="8">
        <f t="shared" si="33"/>
        <v>1.0018425137387188</v>
      </c>
      <c r="CA63" s="8">
        <f t="shared" si="33"/>
        <v>1.0020302039946847</v>
      </c>
      <c r="CB63" s="8">
        <f t="shared" si="33"/>
        <v>1.0010986076275363</v>
      </c>
      <c r="CC63" s="8">
        <f t="shared" si="33"/>
        <v>1</v>
      </c>
      <c r="CD63" s="8">
        <f t="shared" si="33"/>
        <v>1</v>
      </c>
      <c r="CE63" s="8">
        <f t="shared" si="33"/>
        <v>1</v>
      </c>
      <c r="CF63" s="8">
        <f t="shared" si="33"/>
        <v>1.0015818203647908</v>
      </c>
      <c r="CG63" s="8">
        <f t="shared" si="33"/>
        <v>1</v>
      </c>
      <c r="CH63" s="8">
        <f t="shared" si="33"/>
        <v>1</v>
      </c>
      <c r="CI63" s="8">
        <f t="shared" si="33"/>
        <v>1</v>
      </c>
      <c r="CJ63" s="8">
        <f t="shared" si="33"/>
        <v>1</v>
      </c>
      <c r="CK63" s="8">
        <f t="shared" si="33"/>
        <v>1.0002894271003828</v>
      </c>
      <c r="CL63" s="8">
        <f t="shared" si="33"/>
        <v>1.0020795061553331</v>
      </c>
      <c r="CM63" s="8">
        <f t="shared" si="33"/>
        <v>1.0020158941113093</v>
      </c>
      <c r="CN63" s="8">
        <f t="shared" si="33"/>
        <v>1.0008602879212543</v>
      </c>
      <c r="CO63" s="8">
        <f t="shared" si="33"/>
        <v>1</v>
      </c>
      <c r="CP63" s="8">
        <f t="shared" si="33"/>
        <v>1</v>
      </c>
      <c r="CQ63" s="8">
        <f t="shared" si="33"/>
        <v>1</v>
      </c>
      <c r="CR63" s="8">
        <f t="shared" si="33"/>
        <v>1.0015710673476597</v>
      </c>
      <c r="CS63" s="8">
        <f t="shared" si="33"/>
        <v>1</v>
      </c>
      <c r="CT63" s="8">
        <f t="shared" si="33"/>
        <v>1</v>
      </c>
      <c r="CU63" s="8">
        <f t="shared" si="33"/>
        <v>1</v>
      </c>
      <c r="CV63" s="8">
        <f t="shared" si="33"/>
        <v>1</v>
      </c>
      <c r="CW63" s="8">
        <f t="shared" si="33"/>
        <v>1.0003527966106325</v>
      </c>
      <c r="CX63" s="8">
        <f t="shared" si="33"/>
        <v>1.0024241035980526</v>
      </c>
      <c r="CY63" s="8">
        <f t="shared" si="33"/>
        <v>1.0020013967314978</v>
      </c>
      <c r="CZ63" s="8">
        <f t="shared" si="33"/>
        <v>1.0008193373080967</v>
      </c>
      <c r="DA63" s="8">
        <f t="shared" si="33"/>
        <v>1.0004545792709709</v>
      </c>
      <c r="DB63" s="8">
        <f t="shared" si="33"/>
        <v>1.0000512970154487</v>
      </c>
      <c r="DC63" s="8" t="str">
        <f t="shared" si="33"/>
        <v/>
      </c>
      <c r="DD63" s="8" t="str">
        <f t="shared" si="33"/>
        <v/>
      </c>
      <c r="DE63" s="8" t="str">
        <f t="shared" si="33"/>
        <v/>
      </c>
      <c r="DF63" s="8" t="str">
        <f t="shared" si="33"/>
        <v/>
      </c>
      <c r="DG63" s="8" t="str">
        <f t="shared" si="33"/>
        <v/>
      </c>
      <c r="DH63" s="8" t="str">
        <f t="shared" si="33"/>
        <v/>
      </c>
      <c r="DI63" s="8" t="str">
        <f t="shared" si="33"/>
        <v/>
      </c>
      <c r="DJ63" s="8" t="str">
        <f t="shared" si="33"/>
        <v/>
      </c>
      <c r="DK63" s="8" t="str">
        <f t="shared" si="33"/>
        <v/>
      </c>
      <c r="DL63" s="8" t="str">
        <f t="shared" si="33"/>
        <v/>
      </c>
      <c r="DM63" s="8" t="str">
        <f t="shared" si="33"/>
        <v/>
      </c>
      <c r="DN63" s="8" t="str">
        <f t="shared" si="33"/>
        <v/>
      </c>
      <c r="DO63" s="8" t="str">
        <f t="shared" si="33"/>
        <v/>
      </c>
      <c r="DP63" s="8" t="str">
        <f t="shared" si="33"/>
        <v/>
      </c>
      <c r="DQ63" s="8" t="str">
        <f t="shared" si="33"/>
        <v/>
      </c>
      <c r="DR63" s="8" t="str">
        <f t="shared" si="33"/>
        <v/>
      </c>
      <c r="DS63" s="8" t="str">
        <f t="shared" si="33"/>
        <v/>
      </c>
      <c r="DT63" s="8" t="str">
        <f t="shared" si="33"/>
        <v/>
      </c>
      <c r="DU63" s="8" t="str">
        <f t="shared" si="33"/>
        <v/>
      </c>
      <c r="DV63" s="8" t="str">
        <f t="shared" si="33"/>
        <v/>
      </c>
      <c r="DW63" s="8" t="str">
        <f t="shared" si="33"/>
        <v/>
      </c>
      <c r="DX63" s="8" t="str">
        <f t="shared" si="33"/>
        <v/>
      </c>
      <c r="DY63" s="8" t="str">
        <f t="shared" si="33"/>
        <v/>
      </c>
      <c r="DZ63" s="8" t="str">
        <f t="shared" si="33"/>
        <v/>
      </c>
      <c r="EA63" s="8" t="str">
        <f t="shared" si="33"/>
        <v/>
      </c>
      <c r="EB63" s="8">
        <f t="shared" si="33"/>
        <v>4.14091508538099</v>
      </c>
      <c r="EC63" s="8">
        <f t="shared" si="33"/>
        <v>1.8782402571644976</v>
      </c>
      <c r="ED63" s="8">
        <f t="shared" si="33"/>
        <v>1.6758979214522407</v>
      </c>
      <c r="EE63" s="8">
        <f t="shared" ref="EE63:GP63" si="34">IF(OR(EF17 = "", EF$8 &lt; EE$8), "", IFERROR(EF17/EE17, ""))</f>
        <v>1.3099223650897285</v>
      </c>
      <c r="EF63" s="8">
        <f t="shared" si="34"/>
        <v>1.0126702833064678</v>
      </c>
      <c r="EG63" s="8">
        <f t="shared" si="34"/>
        <v>1.1131621272218781</v>
      </c>
      <c r="EH63" s="8">
        <f t="shared" si="34"/>
        <v>1.0121194842275623</v>
      </c>
      <c r="EI63" s="8">
        <f t="shared" si="34"/>
        <v>0.99971071106214016</v>
      </c>
      <c r="EJ63" s="8">
        <f t="shared" si="34"/>
        <v>0.98570934768430873</v>
      </c>
      <c r="EK63" s="8">
        <f t="shared" si="34"/>
        <v>1.0057458460969269</v>
      </c>
      <c r="EL63" s="8">
        <f t="shared" si="34"/>
        <v>0.99532713902886905</v>
      </c>
      <c r="EM63" s="8">
        <f t="shared" si="34"/>
        <v>1.0149859495145928</v>
      </c>
      <c r="EN63" s="8">
        <f t="shared" si="34"/>
        <v>1.0016310157262587</v>
      </c>
      <c r="EO63" s="8">
        <f t="shared" si="34"/>
        <v>1.001630133374644</v>
      </c>
      <c r="EP63" s="8">
        <f t="shared" si="34"/>
        <v>1</v>
      </c>
      <c r="EQ63" s="8">
        <f t="shared" si="34"/>
        <v>0.99997359674322917</v>
      </c>
      <c r="ER63" s="8">
        <f t="shared" si="34"/>
        <v>1.0000656942288619</v>
      </c>
      <c r="ES63" s="8">
        <f t="shared" si="34"/>
        <v>0.98570246516186355</v>
      </c>
      <c r="ET63" s="8">
        <f t="shared" si="34"/>
        <v>1.0012860397104326</v>
      </c>
      <c r="EU63" s="8">
        <f t="shared" si="34"/>
        <v>1.0135632036146267</v>
      </c>
      <c r="EV63" s="8">
        <f t="shared" si="34"/>
        <v>1</v>
      </c>
      <c r="EW63" s="8">
        <f t="shared" si="34"/>
        <v>1.0002068386631362</v>
      </c>
      <c r="EX63" s="8">
        <f t="shared" si="34"/>
        <v>1.0001729861265882</v>
      </c>
      <c r="EY63" s="8">
        <f t="shared" si="34"/>
        <v>1.0029982558958146</v>
      </c>
      <c r="EZ63" s="8">
        <f t="shared" si="34"/>
        <v>1.0001479822480277</v>
      </c>
      <c r="FA63" s="8">
        <f t="shared" si="34"/>
        <v>1.000534251441147</v>
      </c>
      <c r="FB63" s="8">
        <f t="shared" si="34"/>
        <v>1</v>
      </c>
      <c r="FC63" s="8">
        <f t="shared" si="34"/>
        <v>1</v>
      </c>
      <c r="FD63" s="8">
        <f t="shared" si="34"/>
        <v>1</v>
      </c>
      <c r="FE63" s="8">
        <f t="shared" si="34"/>
        <v>1</v>
      </c>
      <c r="FF63" s="8">
        <f t="shared" si="34"/>
        <v>1.0012070928723715</v>
      </c>
      <c r="FG63" s="8">
        <f t="shared" si="34"/>
        <v>1.0011128470794992</v>
      </c>
      <c r="FH63" s="8">
        <f t="shared" si="34"/>
        <v>1</v>
      </c>
      <c r="FI63" s="8">
        <f t="shared" si="34"/>
        <v>0.99999921967888261</v>
      </c>
      <c r="FJ63" s="8">
        <f t="shared" si="34"/>
        <v>1.000365862301968</v>
      </c>
      <c r="FK63" s="8">
        <f t="shared" si="34"/>
        <v>1.0034405781530253</v>
      </c>
      <c r="FL63" s="8">
        <f t="shared" si="34"/>
        <v>1.0008722575175089</v>
      </c>
      <c r="FM63" s="8">
        <f t="shared" si="34"/>
        <v>1</v>
      </c>
      <c r="FN63" s="8">
        <f t="shared" si="34"/>
        <v>1</v>
      </c>
      <c r="FO63" s="8">
        <f t="shared" si="34"/>
        <v>1</v>
      </c>
      <c r="FP63" s="8">
        <f t="shared" si="34"/>
        <v>1</v>
      </c>
      <c r="FQ63" s="8">
        <f t="shared" si="34"/>
        <v>1</v>
      </c>
      <c r="FR63" s="8">
        <f t="shared" si="34"/>
        <v>1</v>
      </c>
      <c r="FS63" s="8">
        <f t="shared" si="34"/>
        <v>1.0016159100529134</v>
      </c>
      <c r="FT63" s="8">
        <f t="shared" si="34"/>
        <v>1</v>
      </c>
      <c r="FU63" s="8">
        <f t="shared" si="34"/>
        <v>1</v>
      </c>
      <c r="FV63" s="8">
        <f t="shared" si="34"/>
        <v>1.0007213399889248</v>
      </c>
      <c r="FW63" s="8">
        <f t="shared" si="34"/>
        <v>1.0000700512425289</v>
      </c>
      <c r="FX63" s="8">
        <f t="shared" si="34"/>
        <v>1.0034104540909659</v>
      </c>
      <c r="FY63" s="8">
        <f t="shared" si="34"/>
        <v>1.0002797197678268</v>
      </c>
      <c r="FZ63" s="8">
        <f t="shared" si="34"/>
        <v>1.000235530857613</v>
      </c>
      <c r="GA63" s="8">
        <f t="shared" si="34"/>
        <v>1.0005880073181874</v>
      </c>
      <c r="GB63" s="8">
        <f t="shared" si="34"/>
        <v>1</v>
      </c>
      <c r="GC63" s="8">
        <f t="shared" si="34"/>
        <v>1</v>
      </c>
      <c r="GD63" s="8">
        <f t="shared" si="34"/>
        <v>1.0016047771404561</v>
      </c>
      <c r="GE63" s="8">
        <f t="shared" si="34"/>
        <v>1</v>
      </c>
      <c r="GF63" s="8">
        <f t="shared" si="34"/>
        <v>1</v>
      </c>
      <c r="GG63" s="8">
        <f t="shared" si="34"/>
        <v>1</v>
      </c>
      <c r="GH63" s="8">
        <f t="shared" si="34"/>
        <v>1.000272451240189</v>
      </c>
      <c r="GI63" s="8">
        <f t="shared" si="34"/>
        <v>1.0041719341332527</v>
      </c>
      <c r="GJ63" s="8">
        <f t="shared" si="34"/>
        <v>1.0000524803960282</v>
      </c>
      <c r="GK63" s="8">
        <f t="shared" si="34"/>
        <v>1.0003338721799659</v>
      </c>
      <c r="GL63" s="8">
        <f t="shared" si="34"/>
        <v>1</v>
      </c>
      <c r="GM63" s="8">
        <f t="shared" si="34"/>
        <v>1</v>
      </c>
      <c r="GN63" s="8">
        <f t="shared" si="34"/>
        <v>1.0007198890891618</v>
      </c>
      <c r="GO63" s="8">
        <f t="shared" si="34"/>
        <v>1</v>
      </c>
      <c r="GP63" s="8">
        <f t="shared" si="34"/>
        <v>1.0015933517356423</v>
      </c>
      <c r="GQ63" s="8">
        <f t="shared" ref="GQ63:IV63" si="35">IF(OR(GR17 = "", GR$8 &lt; GQ$8), "", IFERROR(GR17/GQ17, ""))</f>
        <v>1</v>
      </c>
      <c r="GR63" s="8">
        <f t="shared" si="35"/>
        <v>1</v>
      </c>
      <c r="GS63" s="8">
        <f t="shared" si="35"/>
        <v>1</v>
      </c>
      <c r="GT63" s="8">
        <f t="shared" si="35"/>
        <v>1.0011045106968923</v>
      </c>
      <c r="GU63" s="8">
        <f t="shared" si="35"/>
        <v>1.0018417778753383</v>
      </c>
      <c r="GV63" s="8">
        <f t="shared" si="35"/>
        <v>1.0020293946621559</v>
      </c>
      <c r="GW63" s="8">
        <f t="shared" si="35"/>
        <v>1.001098170559078</v>
      </c>
      <c r="GX63" s="8">
        <f t="shared" si="35"/>
        <v>1</v>
      </c>
      <c r="GY63" s="8">
        <f t="shared" si="35"/>
        <v>1</v>
      </c>
      <c r="GZ63" s="8">
        <f t="shared" si="35"/>
        <v>1</v>
      </c>
      <c r="HA63" s="8">
        <f t="shared" si="35"/>
        <v>1.0015811917460116</v>
      </c>
      <c r="HB63" s="8">
        <f t="shared" si="35"/>
        <v>1</v>
      </c>
      <c r="HC63" s="8">
        <f t="shared" si="35"/>
        <v>1</v>
      </c>
      <c r="HD63" s="8">
        <f t="shared" si="35"/>
        <v>1</v>
      </c>
      <c r="HE63" s="8">
        <f t="shared" si="35"/>
        <v>1</v>
      </c>
      <c r="HF63" s="8">
        <f t="shared" si="35"/>
        <v>1.000289312263017</v>
      </c>
      <c r="HG63" s="8">
        <f t="shared" si="35"/>
        <v>1.002078681298437</v>
      </c>
      <c r="HH63" s="8">
        <f t="shared" si="35"/>
        <v>1.0020150961454828</v>
      </c>
      <c r="HI63" s="8">
        <f t="shared" si="35"/>
        <v>1.0008599480721438</v>
      </c>
      <c r="HJ63" s="8">
        <f t="shared" si="35"/>
        <v>1</v>
      </c>
      <c r="HK63" s="8">
        <f t="shared" si="35"/>
        <v>1</v>
      </c>
      <c r="HL63" s="8">
        <f t="shared" si="35"/>
        <v>1</v>
      </c>
      <c r="HM63" s="8">
        <f t="shared" si="35"/>
        <v>1.0015704472446998</v>
      </c>
      <c r="HN63" s="8">
        <f t="shared" si="35"/>
        <v>1</v>
      </c>
      <c r="HO63" s="8">
        <f t="shared" si="35"/>
        <v>1</v>
      </c>
      <c r="HP63" s="8">
        <f t="shared" si="35"/>
        <v>1</v>
      </c>
      <c r="HQ63" s="8">
        <f t="shared" si="35"/>
        <v>1</v>
      </c>
      <c r="HR63" s="8">
        <f t="shared" si="35"/>
        <v>1.0003526575795498</v>
      </c>
      <c r="HS63" s="8">
        <f t="shared" si="35"/>
        <v>1.0024231486372492</v>
      </c>
      <c r="HT63" s="8">
        <f t="shared" si="35"/>
        <v>1.0020006101993666</v>
      </c>
      <c r="HU63" s="8">
        <f t="shared" si="35"/>
        <v>1.0008190159583015</v>
      </c>
      <c r="HV63" s="8">
        <f t="shared" si="35"/>
        <v>1.0004544011277188</v>
      </c>
      <c r="HW63" s="8">
        <f t="shared" si="35"/>
        <v>1.0000512769219969</v>
      </c>
      <c r="HX63" s="8" t="str">
        <f t="shared" si="35"/>
        <v/>
      </c>
      <c r="HY63" s="8" t="str">
        <f t="shared" si="35"/>
        <v/>
      </c>
      <c r="HZ63" s="8" t="str">
        <f t="shared" si="35"/>
        <v/>
      </c>
      <c r="IA63" s="8" t="str">
        <f t="shared" si="35"/>
        <v/>
      </c>
      <c r="IB63" s="8" t="str">
        <f t="shared" si="35"/>
        <v/>
      </c>
      <c r="IC63" s="8" t="str">
        <f t="shared" si="35"/>
        <v/>
      </c>
      <c r="ID63" s="8" t="str">
        <f t="shared" si="35"/>
        <v/>
      </c>
      <c r="IE63" s="8" t="str">
        <f t="shared" si="35"/>
        <v/>
      </c>
      <c r="IF63" s="8" t="str">
        <f t="shared" si="35"/>
        <v/>
      </c>
      <c r="IG63" s="8" t="str">
        <f t="shared" si="35"/>
        <v/>
      </c>
      <c r="IH63" s="8" t="str">
        <f t="shared" si="35"/>
        <v/>
      </c>
      <c r="II63" s="8" t="str">
        <f t="shared" si="35"/>
        <v/>
      </c>
      <c r="IJ63" s="8" t="str">
        <f t="shared" si="35"/>
        <v/>
      </c>
      <c r="IK63" s="8" t="str">
        <f t="shared" si="35"/>
        <v/>
      </c>
      <c r="IL63" s="8" t="str">
        <f t="shared" si="35"/>
        <v/>
      </c>
      <c r="IM63" s="8" t="str">
        <f t="shared" si="35"/>
        <v/>
      </c>
      <c r="IN63" s="8" t="str">
        <f t="shared" si="35"/>
        <v/>
      </c>
      <c r="IO63" s="8" t="str">
        <f t="shared" si="35"/>
        <v/>
      </c>
      <c r="IP63" s="8" t="str">
        <f t="shared" si="35"/>
        <v/>
      </c>
      <c r="IQ63" s="8" t="str">
        <f t="shared" si="35"/>
        <v/>
      </c>
      <c r="IR63" s="8" t="str">
        <f t="shared" si="35"/>
        <v/>
      </c>
      <c r="IS63" s="8" t="str">
        <f t="shared" si="35"/>
        <v/>
      </c>
      <c r="IT63" s="8" t="str">
        <f t="shared" si="35"/>
        <v/>
      </c>
      <c r="IU63" s="8" t="str">
        <f t="shared" si="35"/>
        <v/>
      </c>
      <c r="IV63" s="8" t="str">
        <f t="shared" si="35"/>
        <v/>
      </c>
    </row>
    <row r="64" spans="6:256" x14ac:dyDescent="0.2">
      <c r="F64">
        <v>201606</v>
      </c>
      <c r="G64" s="8">
        <f t="shared" ref="G64:BR64" si="36">IF(OR(H18 = "", H$8 &lt; G$8), "", IFERROR(H18/G18, ""))</f>
        <v>4.363988917951553</v>
      </c>
      <c r="H64" s="8">
        <f t="shared" si="36"/>
        <v>3.0739401257054983</v>
      </c>
      <c r="I64" s="8">
        <f t="shared" si="36"/>
        <v>1.7729261439240658</v>
      </c>
      <c r="J64" s="8">
        <f t="shared" si="36"/>
        <v>1.1825576740645989</v>
      </c>
      <c r="K64" s="8">
        <f t="shared" si="36"/>
        <v>1.0102039118619202</v>
      </c>
      <c r="L64" s="8">
        <f t="shared" si="36"/>
        <v>1.0507367874543094</v>
      </c>
      <c r="M64" s="8">
        <f t="shared" si="36"/>
        <v>1.0014936270942738</v>
      </c>
      <c r="N64" s="8">
        <f t="shared" si="36"/>
        <v>1.0037343467506512</v>
      </c>
      <c r="O64" s="8">
        <f t="shared" si="36"/>
        <v>1</v>
      </c>
      <c r="P64" s="8">
        <f t="shared" si="36"/>
        <v>1</v>
      </c>
      <c r="Q64" s="8">
        <f t="shared" si="36"/>
        <v>1.0001767700818567</v>
      </c>
      <c r="R64" s="8">
        <f t="shared" si="36"/>
        <v>1.0002882442002037</v>
      </c>
      <c r="S64" s="8">
        <f t="shared" si="36"/>
        <v>1.0070552457743738</v>
      </c>
      <c r="T64" s="8">
        <f t="shared" si="36"/>
        <v>1.0012318084125855</v>
      </c>
      <c r="U64" s="8">
        <f t="shared" si="36"/>
        <v>1</v>
      </c>
      <c r="V64" s="8">
        <f t="shared" si="36"/>
        <v>1.0008887231449928</v>
      </c>
      <c r="W64" s="8">
        <f t="shared" si="36"/>
        <v>1.0012020933905295</v>
      </c>
      <c r="X64" s="8">
        <f t="shared" si="36"/>
        <v>1.0035343552492517</v>
      </c>
      <c r="Y64" s="8">
        <f t="shared" si="36"/>
        <v>1.0000535631546381</v>
      </c>
      <c r="Z64" s="8">
        <f t="shared" si="36"/>
        <v>1.0375619902239752</v>
      </c>
      <c r="AA64" s="8">
        <f t="shared" si="36"/>
        <v>1.0005811431124785</v>
      </c>
      <c r="AB64" s="8">
        <f t="shared" si="36"/>
        <v>1</v>
      </c>
      <c r="AC64" s="8">
        <f t="shared" si="36"/>
        <v>1.0000380381612162</v>
      </c>
      <c r="AD64" s="8">
        <f t="shared" si="36"/>
        <v>1.0002737168540754</v>
      </c>
      <c r="AE64" s="8">
        <f t="shared" si="36"/>
        <v>1.0004770003884418</v>
      </c>
      <c r="AF64" s="8">
        <f t="shared" si="36"/>
        <v>1</v>
      </c>
      <c r="AG64" s="8">
        <f t="shared" si="36"/>
        <v>1.0008988890657329</v>
      </c>
      <c r="AH64" s="8">
        <f t="shared" si="36"/>
        <v>1</v>
      </c>
      <c r="AI64" s="8">
        <f t="shared" si="36"/>
        <v>1.0005897810435147</v>
      </c>
      <c r="AJ64" s="8">
        <f t="shared" si="36"/>
        <v>1.0018200653651153</v>
      </c>
      <c r="AK64" s="8">
        <f t="shared" si="36"/>
        <v>1.0012693519269746</v>
      </c>
      <c r="AL64" s="8">
        <f t="shared" si="36"/>
        <v>1</v>
      </c>
      <c r="AM64" s="8">
        <f t="shared" si="36"/>
        <v>1.0000378346838583</v>
      </c>
      <c r="AN64" s="8">
        <f t="shared" si="36"/>
        <v>1</v>
      </c>
      <c r="AO64" s="8">
        <f t="shared" si="36"/>
        <v>1</v>
      </c>
      <c r="AP64" s="8">
        <f t="shared" si="36"/>
        <v>1.0003620925543018</v>
      </c>
      <c r="AQ64" s="8">
        <f t="shared" si="36"/>
        <v>1.0005258631335163</v>
      </c>
      <c r="AR64" s="8">
        <f t="shared" si="36"/>
        <v>1</v>
      </c>
      <c r="AS64" s="8">
        <f t="shared" si="36"/>
        <v>1.0009110945110562</v>
      </c>
      <c r="AT64" s="8">
        <f t="shared" si="36"/>
        <v>1</v>
      </c>
      <c r="AU64" s="8">
        <f t="shared" si="36"/>
        <v>1.0018507718978977</v>
      </c>
      <c r="AV64" s="8">
        <f t="shared" si="36"/>
        <v>1.0004952105847227</v>
      </c>
      <c r="AW64" s="8">
        <f t="shared" si="36"/>
        <v>1</v>
      </c>
      <c r="AX64" s="8">
        <f t="shared" si="36"/>
        <v>1.0149363055083842</v>
      </c>
      <c r="AY64" s="8">
        <f t="shared" si="36"/>
        <v>1.0000371223781359</v>
      </c>
      <c r="AZ64" s="8">
        <f t="shared" si="36"/>
        <v>1</v>
      </c>
      <c r="BA64" s="8">
        <f t="shared" si="36"/>
        <v>1</v>
      </c>
      <c r="BB64" s="8">
        <f t="shared" si="36"/>
        <v>1.0006806481457606</v>
      </c>
      <c r="BC64" s="8">
        <f t="shared" si="36"/>
        <v>1.0000411588387941</v>
      </c>
      <c r="BD64" s="8">
        <f t="shared" si="36"/>
        <v>1.000163662724546</v>
      </c>
      <c r="BE64" s="8">
        <f t="shared" si="36"/>
        <v>1</v>
      </c>
      <c r="BF64" s="8">
        <f t="shared" si="36"/>
        <v>1</v>
      </c>
      <c r="BG64" s="8">
        <f t="shared" si="36"/>
        <v>1.0006405089688637</v>
      </c>
      <c r="BH64" s="8">
        <f t="shared" si="36"/>
        <v>1.0022737194506119</v>
      </c>
      <c r="BI64" s="8">
        <f t="shared" si="36"/>
        <v>1.0016530000244097</v>
      </c>
      <c r="BJ64" s="8">
        <f t="shared" si="36"/>
        <v>1.0000500737947111</v>
      </c>
      <c r="BK64" s="8">
        <f t="shared" si="36"/>
        <v>1.0000369174550634</v>
      </c>
      <c r="BL64" s="8">
        <f t="shared" si="36"/>
        <v>1</v>
      </c>
      <c r="BM64" s="8">
        <f t="shared" si="36"/>
        <v>1</v>
      </c>
      <c r="BN64" s="8">
        <f t="shared" si="36"/>
        <v>1.000688666247078</v>
      </c>
      <c r="BO64" s="8">
        <f t="shared" si="36"/>
        <v>1</v>
      </c>
      <c r="BP64" s="8">
        <f t="shared" si="36"/>
        <v>1.0002062119455846</v>
      </c>
      <c r="BQ64" s="8">
        <f t="shared" si="36"/>
        <v>1</v>
      </c>
      <c r="BR64" s="8">
        <f t="shared" si="36"/>
        <v>1</v>
      </c>
      <c r="BS64" s="8">
        <f t="shared" ref="BS64:ED64" si="37">IF(OR(BT18 = "", BT$8 &lt; BS$8), "", IFERROR(BT18/BS18, ""))</f>
        <v>1.0006369673747357</v>
      </c>
      <c r="BT64" s="8">
        <f t="shared" si="37"/>
        <v>1.0024784235250601</v>
      </c>
      <c r="BU64" s="8">
        <f t="shared" si="37"/>
        <v>1.0001361754767679</v>
      </c>
      <c r="BV64" s="8">
        <f t="shared" si="37"/>
        <v>1.0000498624350307</v>
      </c>
      <c r="BW64" s="8">
        <f t="shared" si="37"/>
        <v>1</v>
      </c>
      <c r="BX64" s="8">
        <f t="shared" si="37"/>
        <v>1.0000398309330418</v>
      </c>
      <c r="BY64" s="8">
        <f t="shared" si="37"/>
        <v>1</v>
      </c>
      <c r="BZ64" s="8">
        <f t="shared" si="37"/>
        <v>1.0003518223651271</v>
      </c>
      <c r="CA64" s="8">
        <f t="shared" si="37"/>
        <v>1.000924544928206</v>
      </c>
      <c r="CB64" s="8">
        <f t="shared" si="37"/>
        <v>1.0002171445952932</v>
      </c>
      <c r="CC64" s="8">
        <f t="shared" si="37"/>
        <v>1</v>
      </c>
      <c r="CD64" s="8">
        <f t="shared" si="37"/>
        <v>1</v>
      </c>
      <c r="CE64" s="8">
        <f t="shared" si="37"/>
        <v>1.000646375560468</v>
      </c>
      <c r="CF64" s="8">
        <f t="shared" si="37"/>
        <v>1.0023490073076096</v>
      </c>
      <c r="CG64" s="8">
        <f t="shared" si="37"/>
        <v>1.0002684153175994</v>
      </c>
      <c r="CH64" s="8">
        <f t="shared" si="37"/>
        <v>1.0000632644906442</v>
      </c>
      <c r="CI64" s="8">
        <f t="shared" si="37"/>
        <v>1.0065618169205441</v>
      </c>
      <c r="CJ64" s="8">
        <f t="shared" si="37"/>
        <v>1</v>
      </c>
      <c r="CK64" s="8">
        <f t="shared" si="37"/>
        <v>1.000039379546215</v>
      </c>
      <c r="CL64" s="8">
        <f t="shared" si="37"/>
        <v>1.0003955662994821</v>
      </c>
      <c r="CM64" s="8">
        <f t="shared" si="37"/>
        <v>1.0010836567858055</v>
      </c>
      <c r="CN64" s="8">
        <f t="shared" si="37"/>
        <v>1</v>
      </c>
      <c r="CO64" s="8">
        <f t="shared" si="37"/>
        <v>1</v>
      </c>
      <c r="CP64" s="8">
        <f t="shared" si="37"/>
        <v>1</v>
      </c>
      <c r="CQ64" s="8">
        <f t="shared" si="37"/>
        <v>1.0006789858389162</v>
      </c>
      <c r="CR64" s="8">
        <f t="shared" si="37"/>
        <v>1.00196204004423</v>
      </c>
      <c r="CS64" s="8">
        <f t="shared" si="37"/>
        <v>1</v>
      </c>
      <c r="CT64" s="8">
        <f t="shared" si="37"/>
        <v>1.0000625873854838</v>
      </c>
      <c r="CU64" s="8">
        <f t="shared" si="37"/>
        <v>1.0000392137383842</v>
      </c>
      <c r="CV64" s="8">
        <f t="shared" si="37"/>
        <v>1</v>
      </c>
      <c r="CW64" s="8">
        <f t="shared" si="37"/>
        <v>1</v>
      </c>
      <c r="CX64" s="8">
        <f t="shared" si="37"/>
        <v>1.0005628745659092</v>
      </c>
      <c r="CY64" s="8">
        <f t="shared" si="37"/>
        <v>1.0008649812734307</v>
      </c>
      <c r="CZ64" s="8" t="str">
        <f t="shared" si="37"/>
        <v/>
      </c>
      <c r="DA64" s="8" t="str">
        <f t="shared" si="37"/>
        <v/>
      </c>
      <c r="DB64" s="8" t="str">
        <f t="shared" si="37"/>
        <v/>
      </c>
      <c r="DC64" s="8" t="str">
        <f t="shared" si="37"/>
        <v/>
      </c>
      <c r="DD64" s="8" t="str">
        <f t="shared" si="37"/>
        <v/>
      </c>
      <c r="DE64" s="8" t="str">
        <f t="shared" si="37"/>
        <v/>
      </c>
      <c r="DF64" s="8" t="str">
        <f t="shared" si="37"/>
        <v/>
      </c>
      <c r="DG64" s="8" t="str">
        <f t="shared" si="37"/>
        <v/>
      </c>
      <c r="DH64" s="8" t="str">
        <f t="shared" si="37"/>
        <v/>
      </c>
      <c r="DI64" s="8" t="str">
        <f t="shared" si="37"/>
        <v/>
      </c>
      <c r="DJ64" s="8" t="str">
        <f t="shared" si="37"/>
        <v/>
      </c>
      <c r="DK64" s="8" t="str">
        <f t="shared" si="37"/>
        <v/>
      </c>
      <c r="DL64" s="8" t="str">
        <f t="shared" si="37"/>
        <v/>
      </c>
      <c r="DM64" s="8" t="str">
        <f t="shared" si="37"/>
        <v/>
      </c>
      <c r="DN64" s="8" t="str">
        <f t="shared" si="37"/>
        <v/>
      </c>
      <c r="DO64" s="8" t="str">
        <f t="shared" si="37"/>
        <v/>
      </c>
      <c r="DP64" s="8" t="str">
        <f t="shared" si="37"/>
        <v/>
      </c>
      <c r="DQ64" s="8" t="str">
        <f t="shared" si="37"/>
        <v/>
      </c>
      <c r="DR64" s="8" t="str">
        <f t="shared" si="37"/>
        <v/>
      </c>
      <c r="DS64" s="8" t="str">
        <f t="shared" si="37"/>
        <v/>
      </c>
      <c r="DT64" s="8" t="str">
        <f t="shared" si="37"/>
        <v/>
      </c>
      <c r="DU64" s="8" t="str">
        <f t="shared" si="37"/>
        <v/>
      </c>
      <c r="DV64" s="8" t="str">
        <f t="shared" si="37"/>
        <v/>
      </c>
      <c r="DW64" s="8" t="str">
        <f t="shared" si="37"/>
        <v/>
      </c>
      <c r="DX64" s="8" t="str">
        <f t="shared" si="37"/>
        <v/>
      </c>
      <c r="DY64" s="8" t="str">
        <f t="shared" si="37"/>
        <v/>
      </c>
      <c r="DZ64" s="8" t="str">
        <f t="shared" si="37"/>
        <v/>
      </c>
      <c r="EA64" s="8" t="str">
        <f t="shared" si="37"/>
        <v/>
      </c>
      <c r="EB64" s="8">
        <f t="shared" si="37"/>
        <v>2.3237385755694975</v>
      </c>
      <c r="EC64" s="8">
        <f t="shared" si="37"/>
        <v>1.5432591289685154</v>
      </c>
      <c r="ED64" s="8">
        <f t="shared" si="37"/>
        <v>1.1885633136692997</v>
      </c>
      <c r="EE64" s="8">
        <f t="shared" ref="EE64:GP64" si="38">IF(OR(EF18 = "", EF$8 &lt; EE$8), "", IFERROR(EF18/EE18, ""))</f>
        <v>0.97586834370353903</v>
      </c>
      <c r="EF64" s="8">
        <f t="shared" si="38"/>
        <v>0.99239230220089902</v>
      </c>
      <c r="EG64" s="8">
        <f t="shared" si="38"/>
        <v>1.0050318188257152</v>
      </c>
      <c r="EH64" s="8">
        <f t="shared" si="38"/>
        <v>1.0080917505298439</v>
      </c>
      <c r="EI64" s="8">
        <f t="shared" si="38"/>
        <v>1.0004683727767816</v>
      </c>
      <c r="EJ64" s="8">
        <f t="shared" si="38"/>
        <v>1</v>
      </c>
      <c r="EK64" s="8">
        <f t="shared" si="38"/>
        <v>1</v>
      </c>
      <c r="EL64" s="8">
        <f t="shared" si="38"/>
        <v>1.0001724869960751</v>
      </c>
      <c r="EM64" s="8">
        <f t="shared" si="38"/>
        <v>1.0373064223703061</v>
      </c>
      <c r="EN64" s="8">
        <f t="shared" si="38"/>
        <v>1.0168914595901759</v>
      </c>
      <c r="EO64" s="8">
        <f t="shared" si="38"/>
        <v>1.00034910217794</v>
      </c>
      <c r="EP64" s="8">
        <f t="shared" si="38"/>
        <v>1</v>
      </c>
      <c r="EQ64" s="8">
        <f t="shared" si="38"/>
        <v>1.0000304075100528</v>
      </c>
      <c r="ER64" s="8">
        <f t="shared" si="38"/>
        <v>0.98091047164224721</v>
      </c>
      <c r="ES64" s="8">
        <f t="shared" si="38"/>
        <v>1.0033674756950315</v>
      </c>
      <c r="ET64" s="8">
        <f t="shared" si="38"/>
        <v>1.0072385851940211</v>
      </c>
      <c r="EU64" s="8">
        <f t="shared" si="38"/>
        <v>0.9998596206930489</v>
      </c>
      <c r="EV64" s="8">
        <f t="shared" si="38"/>
        <v>0.99976451017039181</v>
      </c>
      <c r="EW64" s="8">
        <f t="shared" si="38"/>
        <v>1.0012237551664693</v>
      </c>
      <c r="EX64" s="8">
        <f t="shared" si="38"/>
        <v>1.0000373314960316</v>
      </c>
      <c r="EY64" s="8">
        <f t="shared" si="38"/>
        <v>1.0002686319881298</v>
      </c>
      <c r="EZ64" s="8">
        <f t="shared" si="38"/>
        <v>1.0004681414833076</v>
      </c>
      <c r="FA64" s="8">
        <f t="shared" si="38"/>
        <v>1</v>
      </c>
      <c r="FB64" s="8">
        <f t="shared" si="38"/>
        <v>1.0008822026080171</v>
      </c>
      <c r="FC64" s="8">
        <f t="shared" si="38"/>
        <v>1</v>
      </c>
      <c r="FD64" s="8">
        <f t="shared" si="38"/>
        <v>1.0005788423388389</v>
      </c>
      <c r="FE64" s="8">
        <f t="shared" si="38"/>
        <v>1.001784634204324</v>
      </c>
      <c r="FF64" s="8">
        <f t="shared" si="38"/>
        <v>1.0012219093905022</v>
      </c>
      <c r="FG64" s="8">
        <f t="shared" si="38"/>
        <v>1</v>
      </c>
      <c r="FH64" s="8">
        <f t="shared" si="38"/>
        <v>1.0000371364405884</v>
      </c>
      <c r="FI64" s="8">
        <f t="shared" si="38"/>
        <v>1</v>
      </c>
      <c r="FJ64" s="8">
        <f t="shared" si="38"/>
        <v>1</v>
      </c>
      <c r="FK64" s="8">
        <f t="shared" si="38"/>
        <v>1.0003554103443686</v>
      </c>
      <c r="FL64" s="8">
        <f t="shared" si="38"/>
        <v>1.020746532973908</v>
      </c>
      <c r="FM64" s="8">
        <f t="shared" si="38"/>
        <v>1.000498506670253</v>
      </c>
      <c r="FN64" s="8">
        <f t="shared" si="38"/>
        <v>0.9999976782440092</v>
      </c>
      <c r="FO64" s="8">
        <f t="shared" si="38"/>
        <v>0.99984752931899412</v>
      </c>
      <c r="FP64" s="8">
        <f t="shared" si="38"/>
        <v>1.0017816523373326</v>
      </c>
      <c r="FQ64" s="8">
        <f t="shared" si="38"/>
        <v>1.0004767491726008</v>
      </c>
      <c r="FR64" s="8">
        <f t="shared" si="38"/>
        <v>1</v>
      </c>
      <c r="FS64" s="8">
        <f t="shared" si="38"/>
        <v>1.0011353722193019</v>
      </c>
      <c r="FT64" s="8">
        <f t="shared" si="38"/>
        <v>1.0000374281489581</v>
      </c>
      <c r="FU64" s="8">
        <f t="shared" si="38"/>
        <v>1</v>
      </c>
      <c r="FV64" s="8">
        <f t="shared" si="38"/>
        <v>1</v>
      </c>
      <c r="FW64" s="8">
        <f t="shared" si="38"/>
        <v>1.0008705779768425</v>
      </c>
      <c r="FX64" s="8">
        <f t="shared" si="38"/>
        <v>1.0000401637804224</v>
      </c>
      <c r="FY64" s="8">
        <f t="shared" si="38"/>
        <v>0.98388445036458871</v>
      </c>
      <c r="FZ64" s="8">
        <f t="shared" si="38"/>
        <v>1</v>
      </c>
      <c r="GA64" s="8">
        <f t="shared" si="38"/>
        <v>1</v>
      </c>
      <c r="GB64" s="8">
        <f t="shared" si="38"/>
        <v>1.0006353661788043</v>
      </c>
      <c r="GC64" s="8">
        <f t="shared" si="38"/>
        <v>1.0022554748395747</v>
      </c>
      <c r="GD64" s="8">
        <f t="shared" si="38"/>
        <v>1.001430923204027</v>
      </c>
      <c r="GE64" s="8">
        <f t="shared" si="38"/>
        <v>1.0000496839159247</v>
      </c>
      <c r="GF64" s="8">
        <f t="shared" si="38"/>
        <v>1.0000370182635614</v>
      </c>
      <c r="GG64" s="8">
        <f t="shared" si="38"/>
        <v>1</v>
      </c>
      <c r="GH64" s="8">
        <f t="shared" si="38"/>
        <v>1</v>
      </c>
      <c r="GI64" s="8">
        <f t="shared" si="38"/>
        <v>1.0006833044311398</v>
      </c>
      <c r="GJ64" s="8">
        <f t="shared" si="38"/>
        <v>1</v>
      </c>
      <c r="GK64" s="8">
        <f t="shared" si="38"/>
        <v>1.0002046075174489</v>
      </c>
      <c r="GL64" s="8">
        <f t="shared" si="38"/>
        <v>1</v>
      </c>
      <c r="GM64" s="8">
        <f t="shared" si="38"/>
        <v>1</v>
      </c>
      <c r="GN64" s="8">
        <f t="shared" si="38"/>
        <v>1.0006320124759549</v>
      </c>
      <c r="GO64" s="8">
        <f t="shared" si="38"/>
        <v>1.0024591563196028</v>
      </c>
      <c r="GP64" s="8">
        <f t="shared" si="38"/>
        <v>1.0001351194487926</v>
      </c>
      <c r="GQ64" s="8">
        <f t="shared" ref="GQ64:IV64" si="39">IF(OR(GR18 = "", GR$8 &lt; GQ$8), "", IFERROR(GR18/GQ18, ""))</f>
        <v>1.0000494758087919</v>
      </c>
      <c r="GR64" s="8">
        <f t="shared" si="39"/>
        <v>1</v>
      </c>
      <c r="GS64" s="8">
        <f t="shared" si="39"/>
        <v>1.0000414551576171</v>
      </c>
      <c r="GT64" s="8">
        <f t="shared" si="39"/>
        <v>1</v>
      </c>
      <c r="GU64" s="8">
        <f t="shared" si="39"/>
        <v>1.000349093952458</v>
      </c>
      <c r="GV64" s="8">
        <f t="shared" si="39"/>
        <v>1.0009173775049582</v>
      </c>
      <c r="GW64" s="8">
        <f t="shared" si="39"/>
        <v>1.0002154627508468</v>
      </c>
      <c r="GX64" s="8">
        <f t="shared" si="39"/>
        <v>1</v>
      </c>
      <c r="GY64" s="8">
        <f t="shared" si="39"/>
        <v>1</v>
      </c>
      <c r="GZ64" s="8">
        <f t="shared" si="39"/>
        <v>1.0006413702829233</v>
      </c>
      <c r="HA64" s="8">
        <f t="shared" si="39"/>
        <v>1.0023308291798885</v>
      </c>
      <c r="HB64" s="8">
        <f t="shared" si="39"/>
        <v>0.99373348785414362</v>
      </c>
      <c r="HC64" s="8">
        <f t="shared" si="39"/>
        <v>1.0000631888717315</v>
      </c>
      <c r="HD64" s="8">
        <f t="shared" si="39"/>
        <v>1.006554472196608</v>
      </c>
      <c r="HE64" s="8">
        <f t="shared" si="39"/>
        <v>1.0000003339505643</v>
      </c>
      <c r="HF64" s="8">
        <f t="shared" si="39"/>
        <v>1.0000393327533925</v>
      </c>
      <c r="HG64" s="8">
        <f t="shared" si="39"/>
        <v>1.0003950962855443</v>
      </c>
      <c r="HH64" s="8">
        <f t="shared" si="39"/>
        <v>1.0010823696876947</v>
      </c>
      <c r="HI64" s="8">
        <f t="shared" si="39"/>
        <v>1</v>
      </c>
      <c r="HJ64" s="8">
        <f t="shared" si="39"/>
        <v>1</v>
      </c>
      <c r="HK64" s="8">
        <f t="shared" si="39"/>
        <v>1</v>
      </c>
      <c r="HL64" s="8">
        <f t="shared" si="39"/>
        <v>1.0006781802549725</v>
      </c>
      <c r="HM64" s="8">
        <f t="shared" si="39"/>
        <v>1.0019597137560086</v>
      </c>
      <c r="HN64" s="8">
        <f t="shared" si="39"/>
        <v>1</v>
      </c>
      <c r="HO64" s="8">
        <f t="shared" si="39"/>
        <v>1.0000625133240348</v>
      </c>
      <c r="HP64" s="8">
        <f t="shared" si="39"/>
        <v>1.0000391673385431</v>
      </c>
      <c r="HQ64" s="8">
        <f t="shared" si="39"/>
        <v>1.0000005894233235</v>
      </c>
      <c r="HR64" s="8">
        <f t="shared" si="39"/>
        <v>1</v>
      </c>
      <c r="HS64" s="8">
        <f t="shared" si="39"/>
        <v>1.0005622082366277</v>
      </c>
      <c r="HT64" s="8">
        <f t="shared" si="39"/>
        <v>1.00086395788646</v>
      </c>
      <c r="HU64" s="8" t="str">
        <f t="shared" si="39"/>
        <v/>
      </c>
      <c r="HV64" s="8" t="str">
        <f t="shared" si="39"/>
        <v/>
      </c>
      <c r="HW64" s="8" t="str">
        <f t="shared" si="39"/>
        <v/>
      </c>
      <c r="HX64" s="8" t="str">
        <f t="shared" si="39"/>
        <v/>
      </c>
      <c r="HY64" s="8" t="str">
        <f t="shared" si="39"/>
        <v/>
      </c>
      <c r="HZ64" s="8" t="str">
        <f t="shared" si="39"/>
        <v/>
      </c>
      <c r="IA64" s="8" t="str">
        <f t="shared" si="39"/>
        <v/>
      </c>
      <c r="IB64" s="8" t="str">
        <f t="shared" si="39"/>
        <v/>
      </c>
      <c r="IC64" s="8" t="str">
        <f t="shared" si="39"/>
        <v/>
      </c>
      <c r="ID64" s="8" t="str">
        <f t="shared" si="39"/>
        <v/>
      </c>
      <c r="IE64" s="8" t="str">
        <f t="shared" si="39"/>
        <v/>
      </c>
      <c r="IF64" s="8" t="str">
        <f t="shared" si="39"/>
        <v/>
      </c>
      <c r="IG64" s="8" t="str">
        <f t="shared" si="39"/>
        <v/>
      </c>
      <c r="IH64" s="8" t="str">
        <f t="shared" si="39"/>
        <v/>
      </c>
      <c r="II64" s="8" t="str">
        <f t="shared" si="39"/>
        <v/>
      </c>
      <c r="IJ64" s="8" t="str">
        <f t="shared" si="39"/>
        <v/>
      </c>
      <c r="IK64" s="8" t="str">
        <f t="shared" si="39"/>
        <v/>
      </c>
      <c r="IL64" s="8" t="str">
        <f t="shared" si="39"/>
        <v/>
      </c>
      <c r="IM64" s="8" t="str">
        <f t="shared" si="39"/>
        <v/>
      </c>
      <c r="IN64" s="8" t="str">
        <f t="shared" si="39"/>
        <v/>
      </c>
      <c r="IO64" s="8" t="str">
        <f t="shared" si="39"/>
        <v/>
      </c>
      <c r="IP64" s="8" t="str">
        <f t="shared" si="39"/>
        <v/>
      </c>
      <c r="IQ64" s="8" t="str">
        <f t="shared" si="39"/>
        <v/>
      </c>
      <c r="IR64" s="8" t="str">
        <f t="shared" si="39"/>
        <v/>
      </c>
      <c r="IS64" s="8" t="str">
        <f t="shared" si="39"/>
        <v/>
      </c>
      <c r="IT64" s="8" t="str">
        <f t="shared" si="39"/>
        <v/>
      </c>
      <c r="IU64" s="8" t="str">
        <f t="shared" si="39"/>
        <v/>
      </c>
      <c r="IV64" s="8" t="str">
        <f t="shared" si="39"/>
        <v/>
      </c>
    </row>
    <row r="65" spans="6:256" x14ac:dyDescent="0.2">
      <c r="F65">
        <v>201609</v>
      </c>
      <c r="G65" s="8">
        <f t="shared" ref="G65:BR65" si="40">IF(OR(H19 = "", H$8 &lt; G$8), "", IFERROR(H19/G19, ""))</f>
        <v>8.3009194166849518</v>
      </c>
      <c r="H65" s="8">
        <f t="shared" si="40"/>
        <v>1.8297122060998707</v>
      </c>
      <c r="I65" s="8">
        <f t="shared" si="40"/>
        <v>1.3319314664980999</v>
      </c>
      <c r="J65" s="8">
        <f t="shared" si="40"/>
        <v>1.1417818951567049</v>
      </c>
      <c r="K65" s="8">
        <f t="shared" si="40"/>
        <v>1.0606756168652776</v>
      </c>
      <c r="L65" s="8">
        <f t="shared" si="40"/>
        <v>1.0096875552553422</v>
      </c>
      <c r="M65" s="8">
        <f t="shared" si="40"/>
        <v>1</v>
      </c>
      <c r="N65" s="8">
        <f t="shared" si="40"/>
        <v>1.0042414721792712</v>
      </c>
      <c r="O65" s="8">
        <f t="shared" si="40"/>
        <v>1.0009219921799137</v>
      </c>
      <c r="P65" s="8">
        <f t="shared" si="40"/>
        <v>1.0099107929585267</v>
      </c>
      <c r="Q65" s="8">
        <f t="shared" si="40"/>
        <v>1.0079986079550454</v>
      </c>
      <c r="R65" s="8">
        <f t="shared" si="40"/>
        <v>1.0002562659716876</v>
      </c>
      <c r="S65" s="8">
        <f t="shared" si="40"/>
        <v>1.0026214804051712</v>
      </c>
      <c r="T65" s="8">
        <f t="shared" si="40"/>
        <v>1</v>
      </c>
      <c r="U65" s="8">
        <f t="shared" si="40"/>
        <v>1.0013196271535956</v>
      </c>
      <c r="V65" s="8">
        <f t="shared" si="40"/>
        <v>1</v>
      </c>
      <c r="W65" s="8">
        <f t="shared" si="40"/>
        <v>1</v>
      </c>
      <c r="X65" s="8">
        <f t="shared" si="40"/>
        <v>1.0014611539109604</v>
      </c>
      <c r="Y65" s="8">
        <f t="shared" si="40"/>
        <v>1.0001258501355508</v>
      </c>
      <c r="Z65" s="8">
        <f t="shared" si="40"/>
        <v>1.0007167373590111</v>
      </c>
      <c r="AA65" s="8">
        <f t="shared" si="40"/>
        <v>1.0000588747763133</v>
      </c>
      <c r="AB65" s="8">
        <f t="shared" si="40"/>
        <v>1</v>
      </c>
      <c r="AC65" s="8">
        <f t="shared" si="40"/>
        <v>1</v>
      </c>
      <c r="AD65" s="8">
        <f t="shared" si="40"/>
        <v>1.0049811105440953</v>
      </c>
      <c r="AE65" s="8">
        <f t="shared" si="40"/>
        <v>1.0028454403272522</v>
      </c>
      <c r="AF65" s="8">
        <f t="shared" si="40"/>
        <v>1</v>
      </c>
      <c r="AG65" s="8">
        <f t="shared" si="40"/>
        <v>1.0013937705371188</v>
      </c>
      <c r="AH65" s="8">
        <f t="shared" si="40"/>
        <v>1</v>
      </c>
      <c r="AI65" s="8">
        <f t="shared" si="40"/>
        <v>1</v>
      </c>
      <c r="AJ65" s="8">
        <f t="shared" si="40"/>
        <v>1.0016789887512099</v>
      </c>
      <c r="AK65" s="8">
        <f t="shared" si="40"/>
        <v>1.0001553203053166</v>
      </c>
      <c r="AL65" s="8">
        <f t="shared" si="40"/>
        <v>1</v>
      </c>
      <c r="AM65" s="8">
        <f t="shared" si="40"/>
        <v>1</v>
      </c>
      <c r="AN65" s="8">
        <f t="shared" si="40"/>
        <v>1.0001734064552263</v>
      </c>
      <c r="AO65" s="8">
        <f t="shared" si="40"/>
        <v>1.0002517539714417</v>
      </c>
      <c r="AP65" s="8">
        <f t="shared" si="40"/>
        <v>1.0011034751934869</v>
      </c>
      <c r="AQ65" s="8">
        <f t="shared" si="40"/>
        <v>1.0014702388153953</v>
      </c>
      <c r="AR65" s="8">
        <f t="shared" si="40"/>
        <v>1.0011006406735179</v>
      </c>
      <c r="AS65" s="8">
        <f t="shared" si="40"/>
        <v>1.0012950330122914</v>
      </c>
      <c r="AT65" s="8">
        <f t="shared" si="40"/>
        <v>1</v>
      </c>
      <c r="AU65" s="8">
        <f t="shared" si="40"/>
        <v>1</v>
      </c>
      <c r="AV65" s="8">
        <f t="shared" si="40"/>
        <v>1</v>
      </c>
      <c r="AW65" s="8">
        <f t="shared" si="40"/>
        <v>1</v>
      </c>
      <c r="AX65" s="8">
        <f t="shared" si="40"/>
        <v>1</v>
      </c>
      <c r="AY65" s="8">
        <f t="shared" si="40"/>
        <v>1.0014339573291342</v>
      </c>
      <c r="AZ65" s="8">
        <f t="shared" si="40"/>
        <v>1</v>
      </c>
      <c r="BA65" s="8">
        <f t="shared" si="40"/>
        <v>1.0016519563271722</v>
      </c>
      <c r="BB65" s="8">
        <f t="shared" si="40"/>
        <v>1.0014600315638638</v>
      </c>
      <c r="BC65" s="8">
        <f t="shared" si="40"/>
        <v>1.0002493086875641</v>
      </c>
      <c r="BD65" s="8">
        <f t="shared" si="40"/>
        <v>1</v>
      </c>
      <c r="BE65" s="8">
        <f t="shared" si="40"/>
        <v>1.0020050376584686</v>
      </c>
      <c r="BF65" s="8">
        <f t="shared" si="40"/>
        <v>1</v>
      </c>
      <c r="BG65" s="8">
        <f t="shared" si="40"/>
        <v>1</v>
      </c>
      <c r="BH65" s="8">
        <f t="shared" si="40"/>
        <v>1</v>
      </c>
      <c r="BI65" s="8">
        <f t="shared" si="40"/>
        <v>1</v>
      </c>
      <c r="BJ65" s="8">
        <f t="shared" si="40"/>
        <v>1.0014242469060481</v>
      </c>
      <c r="BK65" s="8">
        <f t="shared" si="40"/>
        <v>1</v>
      </c>
      <c r="BL65" s="8">
        <f t="shared" si="40"/>
        <v>1</v>
      </c>
      <c r="BM65" s="8">
        <f t="shared" si="40"/>
        <v>1</v>
      </c>
      <c r="BN65" s="8">
        <f t="shared" si="40"/>
        <v>1.0019888093626177</v>
      </c>
      <c r="BO65" s="8">
        <f t="shared" si="40"/>
        <v>1.001449699931596</v>
      </c>
      <c r="BP65" s="8">
        <f t="shared" si="40"/>
        <v>1</v>
      </c>
      <c r="BQ65" s="8">
        <f t="shared" si="40"/>
        <v>1.0019913266891065</v>
      </c>
      <c r="BR65" s="8">
        <f t="shared" si="40"/>
        <v>1</v>
      </c>
      <c r="BS65" s="8">
        <f t="shared" ref="BS65:ED65" si="41">IF(OR(BT19 = "", BT$8 &lt; BS$8), "", IFERROR(BT19/BS19, ""))</f>
        <v>1</v>
      </c>
      <c r="BT65" s="8">
        <f t="shared" si="41"/>
        <v>1</v>
      </c>
      <c r="BU65" s="8">
        <f t="shared" si="41"/>
        <v>1</v>
      </c>
      <c r="BV65" s="8">
        <f t="shared" si="41"/>
        <v>1.0014145268907402</v>
      </c>
      <c r="BW65" s="8">
        <f t="shared" si="41"/>
        <v>1</v>
      </c>
      <c r="BX65" s="8">
        <f t="shared" si="41"/>
        <v>1</v>
      </c>
      <c r="BY65" s="8">
        <f t="shared" si="41"/>
        <v>1.0016296204429231</v>
      </c>
      <c r="BZ65" s="8">
        <f t="shared" si="41"/>
        <v>1.0003450727863978</v>
      </c>
      <c r="CA65" s="8">
        <f t="shared" si="41"/>
        <v>1.0017653877053547</v>
      </c>
      <c r="CB65" s="8">
        <f t="shared" si="41"/>
        <v>1</v>
      </c>
      <c r="CC65" s="8">
        <f t="shared" si="41"/>
        <v>1.0019771592296203</v>
      </c>
      <c r="CD65" s="8">
        <f t="shared" si="41"/>
        <v>1</v>
      </c>
      <c r="CE65" s="8">
        <f t="shared" si="41"/>
        <v>1</v>
      </c>
      <c r="CF65" s="8">
        <f t="shared" si="41"/>
        <v>1</v>
      </c>
      <c r="CG65" s="8">
        <f t="shared" si="41"/>
        <v>1.0021581758305114</v>
      </c>
      <c r="CH65" s="8">
        <f t="shared" si="41"/>
        <v>1</v>
      </c>
      <c r="CI65" s="8">
        <f t="shared" si="41"/>
        <v>1</v>
      </c>
      <c r="CJ65" s="8">
        <f t="shared" si="41"/>
        <v>1</v>
      </c>
      <c r="CK65" s="8">
        <f t="shared" si="41"/>
        <v>1</v>
      </c>
      <c r="CL65" s="8">
        <f t="shared" si="41"/>
        <v>1.0020979378243631</v>
      </c>
      <c r="CM65" s="8">
        <f t="shared" si="41"/>
        <v>1.0016134636349805</v>
      </c>
      <c r="CN65" s="8">
        <f t="shared" si="41"/>
        <v>1</v>
      </c>
      <c r="CO65" s="8">
        <f t="shared" si="41"/>
        <v>1.0019617209443195</v>
      </c>
      <c r="CP65" s="8">
        <f t="shared" si="41"/>
        <v>1</v>
      </c>
      <c r="CQ65" s="8">
        <f t="shared" si="41"/>
        <v>1</v>
      </c>
      <c r="CR65" s="8">
        <f t="shared" si="41"/>
        <v>1</v>
      </c>
      <c r="CS65" s="8">
        <f t="shared" si="41"/>
        <v>1.002141357103923</v>
      </c>
      <c r="CT65" s="8">
        <f t="shared" si="41"/>
        <v>1</v>
      </c>
      <c r="CU65" s="8">
        <f t="shared" si="41"/>
        <v>1</v>
      </c>
      <c r="CV65" s="8">
        <f t="shared" si="41"/>
        <v>1</v>
      </c>
      <c r="CW65" s="8" t="str">
        <f t="shared" si="41"/>
        <v/>
      </c>
      <c r="CX65" s="8" t="str">
        <f t="shared" si="41"/>
        <v/>
      </c>
      <c r="CY65" s="8" t="str">
        <f t="shared" si="41"/>
        <v/>
      </c>
      <c r="CZ65" s="8" t="str">
        <f t="shared" si="41"/>
        <v/>
      </c>
      <c r="DA65" s="8" t="str">
        <f t="shared" si="41"/>
        <v/>
      </c>
      <c r="DB65" s="8" t="str">
        <f t="shared" si="41"/>
        <v/>
      </c>
      <c r="DC65" s="8" t="str">
        <f t="shared" si="41"/>
        <v/>
      </c>
      <c r="DD65" s="8" t="str">
        <f t="shared" si="41"/>
        <v/>
      </c>
      <c r="DE65" s="8" t="str">
        <f t="shared" si="41"/>
        <v/>
      </c>
      <c r="DF65" s="8" t="str">
        <f t="shared" si="41"/>
        <v/>
      </c>
      <c r="DG65" s="8" t="str">
        <f t="shared" si="41"/>
        <v/>
      </c>
      <c r="DH65" s="8" t="str">
        <f t="shared" si="41"/>
        <v/>
      </c>
      <c r="DI65" s="8" t="str">
        <f t="shared" si="41"/>
        <v/>
      </c>
      <c r="DJ65" s="8" t="str">
        <f t="shared" si="41"/>
        <v/>
      </c>
      <c r="DK65" s="8" t="str">
        <f t="shared" si="41"/>
        <v/>
      </c>
      <c r="DL65" s="8" t="str">
        <f t="shared" si="41"/>
        <v/>
      </c>
      <c r="DM65" s="8" t="str">
        <f t="shared" si="41"/>
        <v/>
      </c>
      <c r="DN65" s="8" t="str">
        <f t="shared" si="41"/>
        <v/>
      </c>
      <c r="DO65" s="8" t="str">
        <f t="shared" si="41"/>
        <v/>
      </c>
      <c r="DP65" s="8" t="str">
        <f t="shared" si="41"/>
        <v/>
      </c>
      <c r="DQ65" s="8" t="str">
        <f t="shared" si="41"/>
        <v/>
      </c>
      <c r="DR65" s="8" t="str">
        <f t="shared" si="41"/>
        <v/>
      </c>
      <c r="DS65" s="8" t="str">
        <f t="shared" si="41"/>
        <v/>
      </c>
      <c r="DT65" s="8" t="str">
        <f t="shared" si="41"/>
        <v/>
      </c>
      <c r="DU65" s="8" t="str">
        <f t="shared" si="41"/>
        <v/>
      </c>
      <c r="DV65" s="8" t="str">
        <f t="shared" si="41"/>
        <v/>
      </c>
      <c r="DW65" s="8" t="str">
        <f t="shared" si="41"/>
        <v/>
      </c>
      <c r="DX65" s="8" t="str">
        <f t="shared" si="41"/>
        <v/>
      </c>
      <c r="DY65" s="8" t="str">
        <f t="shared" si="41"/>
        <v/>
      </c>
      <c r="DZ65" s="8" t="str">
        <f t="shared" si="41"/>
        <v/>
      </c>
      <c r="EA65" s="8" t="str">
        <f t="shared" si="41"/>
        <v/>
      </c>
      <c r="EB65" s="8">
        <f t="shared" si="41"/>
        <v>2.3299073906268579</v>
      </c>
      <c r="EC65" s="8">
        <f t="shared" si="41"/>
        <v>1.312509115550559</v>
      </c>
      <c r="ED65" s="8">
        <f t="shared" si="41"/>
        <v>1.134514194826669</v>
      </c>
      <c r="EE65" s="8">
        <f t="shared" ref="EE65:GP65" si="42">IF(OR(EF19 = "", EF$8 &lt; EE$8), "", IFERROR(EF19/EE19, ""))</f>
        <v>1.0348347390013499</v>
      </c>
      <c r="EF65" s="8">
        <f t="shared" si="42"/>
        <v>1.0458986391651264</v>
      </c>
      <c r="EG65" s="8">
        <f t="shared" si="42"/>
        <v>0.99015507300882855</v>
      </c>
      <c r="EH65" s="8">
        <f t="shared" si="42"/>
        <v>1</v>
      </c>
      <c r="EI65" s="8">
        <f t="shared" si="42"/>
        <v>1.0140235528546679</v>
      </c>
      <c r="EJ65" s="8">
        <f t="shared" si="42"/>
        <v>0.9911476814611121</v>
      </c>
      <c r="EK65" s="8">
        <f t="shared" si="42"/>
        <v>1.0263831504330465</v>
      </c>
      <c r="EL65" s="8">
        <f t="shared" si="42"/>
        <v>0.99159880851737747</v>
      </c>
      <c r="EM65" s="8">
        <f t="shared" si="42"/>
        <v>1.0002404804245726</v>
      </c>
      <c r="EN65" s="8">
        <f t="shared" si="42"/>
        <v>1.0025894132137005</v>
      </c>
      <c r="EO65" s="8">
        <f t="shared" si="42"/>
        <v>1</v>
      </c>
      <c r="EP65" s="8">
        <f t="shared" si="42"/>
        <v>1.0293503856284723</v>
      </c>
      <c r="EQ65" s="8">
        <f t="shared" si="42"/>
        <v>0.97275285512061604</v>
      </c>
      <c r="ER65" s="8">
        <f t="shared" si="42"/>
        <v>1</v>
      </c>
      <c r="ES65" s="8">
        <f t="shared" si="42"/>
        <v>0.99888781671004279</v>
      </c>
      <c r="ET65" s="8">
        <f t="shared" si="42"/>
        <v>1.0001246369168062</v>
      </c>
      <c r="EU65" s="8">
        <f t="shared" si="42"/>
        <v>1.0007098287384557</v>
      </c>
      <c r="EV65" s="8">
        <f t="shared" si="42"/>
        <v>1.0050112168921235</v>
      </c>
      <c r="EW65" s="8">
        <f t="shared" si="42"/>
        <v>1</v>
      </c>
      <c r="EX65" s="8">
        <f t="shared" si="42"/>
        <v>1</v>
      </c>
      <c r="EY65" s="8">
        <f t="shared" si="42"/>
        <v>0.99998061005378602</v>
      </c>
      <c r="EZ65" s="8">
        <f t="shared" si="42"/>
        <v>1.0028181687583537</v>
      </c>
      <c r="FA65" s="8">
        <f t="shared" si="42"/>
        <v>1</v>
      </c>
      <c r="FB65" s="8">
        <f t="shared" si="42"/>
        <v>1.0013804497549414</v>
      </c>
      <c r="FC65" s="8">
        <f t="shared" si="42"/>
        <v>1</v>
      </c>
      <c r="FD65" s="8">
        <f t="shared" si="42"/>
        <v>1</v>
      </c>
      <c r="FE65" s="8">
        <f t="shared" si="42"/>
        <v>1.0031162724287739</v>
      </c>
      <c r="FF65" s="8">
        <f t="shared" si="42"/>
        <v>0.99870482403627137</v>
      </c>
      <c r="FG65" s="8">
        <f t="shared" si="42"/>
        <v>1</v>
      </c>
      <c r="FH65" s="8">
        <f t="shared" si="42"/>
        <v>1</v>
      </c>
      <c r="FI65" s="8">
        <f t="shared" si="42"/>
        <v>1.0001717544318969</v>
      </c>
      <c r="FJ65" s="8">
        <f t="shared" si="42"/>
        <v>1.0002493559522183</v>
      </c>
      <c r="FK65" s="8">
        <f t="shared" si="42"/>
        <v>1.0010929669379807</v>
      </c>
      <c r="FL65" s="8">
        <f t="shared" si="42"/>
        <v>1.0014562532018516</v>
      </c>
      <c r="FM65" s="8">
        <f t="shared" si="42"/>
        <v>1.0010901860784933</v>
      </c>
      <c r="FN65" s="8">
        <f t="shared" si="42"/>
        <v>1.0012827453492901</v>
      </c>
      <c r="FO65" s="8">
        <f t="shared" si="42"/>
        <v>1</v>
      </c>
      <c r="FP65" s="8">
        <f t="shared" si="42"/>
        <v>1</v>
      </c>
      <c r="FQ65" s="8">
        <f t="shared" si="42"/>
        <v>1</v>
      </c>
      <c r="FR65" s="8">
        <f t="shared" si="42"/>
        <v>1</v>
      </c>
      <c r="FS65" s="8">
        <f t="shared" si="42"/>
        <v>1</v>
      </c>
      <c r="FT65" s="8">
        <f t="shared" si="42"/>
        <v>1.001420368940843</v>
      </c>
      <c r="FU65" s="8">
        <f t="shared" si="42"/>
        <v>1</v>
      </c>
      <c r="FV65" s="8">
        <f t="shared" si="42"/>
        <v>1.0016363243518291</v>
      </c>
      <c r="FW65" s="8">
        <f t="shared" si="42"/>
        <v>1.0014462382862077</v>
      </c>
      <c r="FX65" s="8">
        <f t="shared" si="42"/>
        <v>1.0002469568083885</v>
      </c>
      <c r="FY65" s="8">
        <f t="shared" si="42"/>
        <v>1</v>
      </c>
      <c r="FZ65" s="8">
        <f t="shared" si="42"/>
        <v>1.0019861275992252</v>
      </c>
      <c r="GA65" s="8">
        <f t="shared" si="42"/>
        <v>1</v>
      </c>
      <c r="GB65" s="8">
        <f t="shared" si="42"/>
        <v>1</v>
      </c>
      <c r="GC65" s="8">
        <f t="shared" si="42"/>
        <v>1</v>
      </c>
      <c r="GD65" s="8">
        <f t="shared" si="42"/>
        <v>1</v>
      </c>
      <c r="GE65" s="8">
        <f t="shared" si="42"/>
        <v>1.0014108410691451</v>
      </c>
      <c r="GF65" s="8">
        <f t="shared" si="42"/>
        <v>1</v>
      </c>
      <c r="GG65" s="8">
        <f t="shared" si="42"/>
        <v>1</v>
      </c>
      <c r="GH65" s="8">
        <f t="shared" si="42"/>
        <v>1</v>
      </c>
      <c r="GI65" s="8">
        <f t="shared" si="42"/>
        <v>1.0019701159103296</v>
      </c>
      <c r="GJ65" s="8">
        <f t="shared" si="42"/>
        <v>1.0014361005328543</v>
      </c>
      <c r="GK65" s="8">
        <f t="shared" si="42"/>
        <v>1</v>
      </c>
      <c r="GL65" s="8">
        <f t="shared" si="42"/>
        <v>1.0019726731663774</v>
      </c>
      <c r="GM65" s="8">
        <f t="shared" si="42"/>
        <v>1</v>
      </c>
      <c r="GN65" s="8">
        <f t="shared" si="42"/>
        <v>1.0100841603611117</v>
      </c>
      <c r="GO65" s="8">
        <f t="shared" si="42"/>
        <v>1</v>
      </c>
      <c r="GP65" s="8">
        <f t="shared" si="42"/>
        <v>0.99001651470556029</v>
      </c>
      <c r="GQ65" s="8">
        <f t="shared" ref="GQ65:IV65" si="43">IF(OR(GR19 = "", GR$8 &lt; GQ$8), "", IFERROR(GR19/GQ19, ""))</f>
        <v>1.0014013025607733</v>
      </c>
      <c r="GR65" s="8">
        <f t="shared" si="43"/>
        <v>1</v>
      </c>
      <c r="GS65" s="8">
        <f t="shared" si="43"/>
        <v>1</v>
      </c>
      <c r="GT65" s="8">
        <f t="shared" si="43"/>
        <v>1.0016144065350838</v>
      </c>
      <c r="GU65" s="8">
        <f t="shared" si="43"/>
        <v>1.0003418564277839</v>
      </c>
      <c r="GV65" s="8">
        <f t="shared" si="43"/>
        <v>1.0017489384814855</v>
      </c>
      <c r="GW65" s="8">
        <f t="shared" si="43"/>
        <v>1</v>
      </c>
      <c r="GX65" s="8">
        <f t="shared" si="43"/>
        <v>1.0019587689611604</v>
      </c>
      <c r="GY65" s="8">
        <f t="shared" si="43"/>
        <v>1</v>
      </c>
      <c r="GZ65" s="8">
        <f t="shared" si="43"/>
        <v>1</v>
      </c>
      <c r="HA65" s="8">
        <f t="shared" si="43"/>
        <v>1</v>
      </c>
      <c r="HB65" s="8">
        <f t="shared" si="43"/>
        <v>1.0021381411049992</v>
      </c>
      <c r="HC65" s="8">
        <f t="shared" si="43"/>
        <v>1</v>
      </c>
      <c r="HD65" s="8">
        <f t="shared" si="43"/>
        <v>1</v>
      </c>
      <c r="HE65" s="8">
        <f t="shared" si="43"/>
        <v>1</v>
      </c>
      <c r="HF65" s="8">
        <f t="shared" si="43"/>
        <v>1</v>
      </c>
      <c r="HG65" s="8">
        <f t="shared" si="43"/>
        <v>1.0020785038514248</v>
      </c>
      <c r="HH65" s="8">
        <f t="shared" si="43"/>
        <v>1.0015985485265089</v>
      </c>
      <c r="HI65" s="8">
        <f t="shared" si="43"/>
        <v>1</v>
      </c>
      <c r="HJ65" s="8">
        <f t="shared" si="43"/>
        <v>1.0019436154337205</v>
      </c>
      <c r="HK65" s="8">
        <f t="shared" si="43"/>
        <v>1</v>
      </c>
      <c r="HL65" s="8">
        <f t="shared" si="43"/>
        <v>1</v>
      </c>
      <c r="HM65" s="8">
        <f t="shared" si="43"/>
        <v>1</v>
      </c>
      <c r="HN65" s="8">
        <f t="shared" si="43"/>
        <v>1.0021216319970712</v>
      </c>
      <c r="HO65" s="8">
        <f t="shared" si="43"/>
        <v>1</v>
      </c>
      <c r="HP65" s="8">
        <f t="shared" si="43"/>
        <v>1</v>
      </c>
      <c r="HQ65" s="8">
        <f t="shared" si="43"/>
        <v>1</v>
      </c>
      <c r="HR65" s="8" t="str">
        <f t="shared" si="43"/>
        <v/>
      </c>
      <c r="HS65" s="8" t="str">
        <f t="shared" si="43"/>
        <v/>
      </c>
      <c r="HT65" s="8" t="str">
        <f t="shared" si="43"/>
        <v/>
      </c>
      <c r="HU65" s="8" t="str">
        <f t="shared" si="43"/>
        <v/>
      </c>
      <c r="HV65" s="8" t="str">
        <f t="shared" si="43"/>
        <v/>
      </c>
      <c r="HW65" s="8" t="str">
        <f t="shared" si="43"/>
        <v/>
      </c>
      <c r="HX65" s="8" t="str">
        <f t="shared" si="43"/>
        <v/>
      </c>
      <c r="HY65" s="8" t="str">
        <f t="shared" si="43"/>
        <v/>
      </c>
      <c r="HZ65" s="8" t="str">
        <f t="shared" si="43"/>
        <v/>
      </c>
      <c r="IA65" s="8" t="str">
        <f t="shared" si="43"/>
        <v/>
      </c>
      <c r="IB65" s="8" t="str">
        <f t="shared" si="43"/>
        <v/>
      </c>
      <c r="IC65" s="8" t="str">
        <f t="shared" si="43"/>
        <v/>
      </c>
      <c r="ID65" s="8" t="str">
        <f t="shared" si="43"/>
        <v/>
      </c>
      <c r="IE65" s="8" t="str">
        <f t="shared" si="43"/>
        <v/>
      </c>
      <c r="IF65" s="8" t="str">
        <f t="shared" si="43"/>
        <v/>
      </c>
      <c r="IG65" s="8" t="str">
        <f t="shared" si="43"/>
        <v/>
      </c>
      <c r="IH65" s="8" t="str">
        <f t="shared" si="43"/>
        <v/>
      </c>
      <c r="II65" s="8" t="str">
        <f t="shared" si="43"/>
        <v/>
      </c>
      <c r="IJ65" s="8" t="str">
        <f t="shared" si="43"/>
        <v/>
      </c>
      <c r="IK65" s="8" t="str">
        <f t="shared" si="43"/>
        <v/>
      </c>
      <c r="IL65" s="8" t="str">
        <f t="shared" si="43"/>
        <v/>
      </c>
      <c r="IM65" s="8" t="str">
        <f t="shared" si="43"/>
        <v/>
      </c>
      <c r="IN65" s="8" t="str">
        <f t="shared" si="43"/>
        <v/>
      </c>
      <c r="IO65" s="8" t="str">
        <f t="shared" si="43"/>
        <v/>
      </c>
      <c r="IP65" s="8" t="str">
        <f t="shared" si="43"/>
        <v/>
      </c>
      <c r="IQ65" s="8" t="str">
        <f t="shared" si="43"/>
        <v/>
      </c>
      <c r="IR65" s="8" t="str">
        <f t="shared" si="43"/>
        <v/>
      </c>
      <c r="IS65" s="8" t="str">
        <f t="shared" si="43"/>
        <v/>
      </c>
      <c r="IT65" s="8" t="str">
        <f t="shared" si="43"/>
        <v/>
      </c>
      <c r="IU65" s="8" t="str">
        <f t="shared" si="43"/>
        <v/>
      </c>
      <c r="IV65" s="8" t="str">
        <f t="shared" si="43"/>
        <v/>
      </c>
    </row>
    <row r="66" spans="6:256" x14ac:dyDescent="0.2">
      <c r="F66">
        <v>201612</v>
      </c>
      <c r="G66" s="8" t="str">
        <f t="shared" ref="G66:BR66" si="44">IF(OR(H20 = "", H$8 &lt; G$8), "", IFERROR(H20/G20, ""))</f>
        <v/>
      </c>
      <c r="H66" s="8">
        <f t="shared" si="44"/>
        <v>10.307278410276391</v>
      </c>
      <c r="I66" s="8">
        <f t="shared" si="44"/>
        <v>2.2901321162758226</v>
      </c>
      <c r="J66" s="8">
        <f t="shared" si="44"/>
        <v>1.2933979786682475</v>
      </c>
      <c r="K66" s="8">
        <f t="shared" si="44"/>
        <v>1.0431699211885683</v>
      </c>
      <c r="L66" s="8">
        <f t="shared" si="44"/>
        <v>1.1481644697585891</v>
      </c>
      <c r="M66" s="8">
        <f t="shared" si="44"/>
        <v>1.0158480073359233</v>
      </c>
      <c r="N66" s="8">
        <f t="shared" si="44"/>
        <v>1.0603498122968293</v>
      </c>
      <c r="O66" s="8">
        <f t="shared" si="44"/>
        <v>1.1108791718455686</v>
      </c>
      <c r="P66" s="8">
        <f t="shared" si="44"/>
        <v>1.0006591655767634</v>
      </c>
      <c r="Q66" s="8">
        <f t="shared" si="44"/>
        <v>1</v>
      </c>
      <c r="R66" s="8">
        <f t="shared" si="44"/>
        <v>1.0153096425451333</v>
      </c>
      <c r="S66" s="8">
        <f t="shared" si="44"/>
        <v>1.0000957325099815</v>
      </c>
      <c r="T66" s="8">
        <f t="shared" si="44"/>
        <v>1.0002698664394636</v>
      </c>
      <c r="U66" s="8">
        <f t="shared" si="44"/>
        <v>1</v>
      </c>
      <c r="V66" s="8">
        <f t="shared" si="44"/>
        <v>1</v>
      </c>
      <c r="W66" s="8">
        <f t="shared" si="44"/>
        <v>1.0001673447640269</v>
      </c>
      <c r="X66" s="8">
        <f t="shared" si="44"/>
        <v>1</v>
      </c>
      <c r="Y66" s="8">
        <f t="shared" si="44"/>
        <v>1.0013823433013493</v>
      </c>
      <c r="Z66" s="8">
        <f t="shared" si="44"/>
        <v>1.0007580274085919</v>
      </c>
      <c r="AA66" s="8">
        <f t="shared" si="44"/>
        <v>1</v>
      </c>
      <c r="AB66" s="8">
        <f t="shared" si="44"/>
        <v>1.0005288605847296</v>
      </c>
      <c r="AC66" s="8">
        <f t="shared" si="44"/>
        <v>1</v>
      </c>
      <c r="AD66" s="8">
        <f t="shared" si="44"/>
        <v>1.0001035059697454</v>
      </c>
      <c r="AE66" s="8">
        <f t="shared" si="44"/>
        <v>1</v>
      </c>
      <c r="AF66" s="8">
        <f t="shared" si="44"/>
        <v>1.0000831223333544</v>
      </c>
      <c r="AG66" s="8">
        <f t="shared" si="44"/>
        <v>1</v>
      </c>
      <c r="AH66" s="8">
        <f t="shared" si="44"/>
        <v>1</v>
      </c>
      <c r="AI66" s="8">
        <f t="shared" si="44"/>
        <v>1</v>
      </c>
      <c r="AJ66" s="8">
        <f t="shared" si="44"/>
        <v>1.0004205071654901</v>
      </c>
      <c r="AK66" s="8">
        <f t="shared" si="44"/>
        <v>1.0002927262050161</v>
      </c>
      <c r="AL66" s="8">
        <f t="shared" si="44"/>
        <v>1</v>
      </c>
      <c r="AM66" s="8">
        <f t="shared" si="44"/>
        <v>1.0001871507548052</v>
      </c>
      <c r="AN66" s="8">
        <f t="shared" si="44"/>
        <v>1.001194287883044</v>
      </c>
      <c r="AO66" s="8">
        <f t="shared" si="44"/>
        <v>1.0000889608418433</v>
      </c>
      <c r="AP66" s="8">
        <f t="shared" si="44"/>
        <v>1.0000912128173376</v>
      </c>
      <c r="AQ66" s="8">
        <f t="shared" si="44"/>
        <v>1.0007242900444273</v>
      </c>
      <c r="AR66" s="8">
        <f t="shared" si="44"/>
        <v>0.99989422271738571</v>
      </c>
      <c r="AS66" s="8">
        <f t="shared" si="44"/>
        <v>1</v>
      </c>
      <c r="AT66" s="8">
        <f t="shared" si="44"/>
        <v>1</v>
      </c>
      <c r="AU66" s="8">
        <f t="shared" si="44"/>
        <v>1</v>
      </c>
      <c r="AV66" s="8">
        <f t="shared" si="44"/>
        <v>1</v>
      </c>
      <c r="AW66" s="8">
        <f t="shared" si="44"/>
        <v>1.0002920035371821</v>
      </c>
      <c r="AX66" s="8">
        <f t="shared" si="44"/>
        <v>1</v>
      </c>
      <c r="AY66" s="8">
        <f t="shared" si="44"/>
        <v>1.0006446619437486</v>
      </c>
      <c r="AZ66" s="8">
        <f t="shared" si="44"/>
        <v>1</v>
      </c>
      <c r="BA66" s="8">
        <f t="shared" si="44"/>
        <v>1</v>
      </c>
      <c r="BB66" s="8">
        <f t="shared" si="44"/>
        <v>1.0000450585636735</v>
      </c>
      <c r="BC66" s="8">
        <f t="shared" si="44"/>
        <v>1.0006558436223989</v>
      </c>
      <c r="BD66" s="8">
        <f t="shared" si="44"/>
        <v>1</v>
      </c>
      <c r="BE66" s="8">
        <f t="shared" si="44"/>
        <v>1.0000316809991829</v>
      </c>
      <c r="BF66" s="8">
        <f t="shared" si="44"/>
        <v>1.0001014440643645</v>
      </c>
      <c r="BG66" s="8">
        <f t="shared" si="44"/>
        <v>1</v>
      </c>
      <c r="BH66" s="8">
        <f t="shared" si="44"/>
        <v>1</v>
      </c>
      <c r="BI66" s="8">
        <f t="shared" si="44"/>
        <v>1</v>
      </c>
      <c r="BJ66" s="8">
        <f t="shared" si="44"/>
        <v>1.0002914870837099</v>
      </c>
      <c r="BK66" s="8">
        <f t="shared" si="44"/>
        <v>1</v>
      </c>
      <c r="BL66" s="8">
        <f t="shared" si="44"/>
        <v>1.000653785420722</v>
      </c>
      <c r="BM66" s="8">
        <f t="shared" si="44"/>
        <v>1</v>
      </c>
      <c r="BN66" s="8">
        <f t="shared" si="44"/>
        <v>1</v>
      </c>
      <c r="BO66" s="8">
        <f t="shared" si="44"/>
        <v>1.0001154397973482</v>
      </c>
      <c r="BP66" s="8">
        <f t="shared" si="44"/>
        <v>1.0086672242400248</v>
      </c>
      <c r="BQ66" s="8">
        <f t="shared" si="44"/>
        <v>1</v>
      </c>
      <c r="BR66" s="8">
        <f t="shared" si="44"/>
        <v>1.0001004555949566</v>
      </c>
      <c r="BS66" s="8">
        <f t="shared" ref="BS66:ED66" si="45">IF(OR(BT20 = "", BT$8 &lt; BS$8), "", IFERROR(BT20/BS20, ""))</f>
        <v>1</v>
      </c>
      <c r="BT66" s="8">
        <f t="shared" si="45"/>
        <v>1</v>
      </c>
      <c r="BU66" s="8">
        <f t="shared" si="45"/>
        <v>1.000600723708347</v>
      </c>
      <c r="BV66" s="8">
        <f t="shared" si="45"/>
        <v>1</v>
      </c>
      <c r="BW66" s="8">
        <f t="shared" si="45"/>
        <v>1.0006894251631131</v>
      </c>
      <c r="BX66" s="8">
        <f t="shared" si="45"/>
        <v>1</v>
      </c>
      <c r="BY66" s="8">
        <f t="shared" si="45"/>
        <v>1.0008664825645643</v>
      </c>
      <c r="BZ66" s="8">
        <f t="shared" si="45"/>
        <v>1</v>
      </c>
      <c r="CA66" s="8">
        <f t="shared" si="45"/>
        <v>1.000114176735291</v>
      </c>
      <c r="CB66" s="8">
        <f t="shared" si="45"/>
        <v>1</v>
      </c>
      <c r="CC66" s="8">
        <f t="shared" si="45"/>
        <v>1</v>
      </c>
      <c r="CD66" s="8">
        <f t="shared" si="45"/>
        <v>1.0001002177510865</v>
      </c>
      <c r="CE66" s="8">
        <f t="shared" si="45"/>
        <v>1</v>
      </c>
      <c r="CF66" s="8">
        <f t="shared" si="45"/>
        <v>1</v>
      </c>
      <c r="CG66" s="8">
        <f t="shared" si="45"/>
        <v>1.0004011623642302</v>
      </c>
      <c r="CH66" s="8">
        <f t="shared" si="45"/>
        <v>1</v>
      </c>
      <c r="CI66" s="8">
        <f t="shared" si="45"/>
        <v>1</v>
      </c>
      <c r="CJ66" s="8">
        <f t="shared" si="45"/>
        <v>1.0007300484331061</v>
      </c>
      <c r="CK66" s="8">
        <f t="shared" si="45"/>
        <v>1</v>
      </c>
      <c r="CL66" s="8">
        <f t="shared" si="45"/>
        <v>1</v>
      </c>
      <c r="CM66" s="8">
        <f t="shared" si="45"/>
        <v>1.0001140232426526</v>
      </c>
      <c r="CN66" s="8">
        <f t="shared" si="45"/>
        <v>1.0002366779676293</v>
      </c>
      <c r="CO66" s="8">
        <f t="shared" si="45"/>
        <v>1.1543980244008196</v>
      </c>
      <c r="CP66" s="8">
        <f t="shared" si="45"/>
        <v>1</v>
      </c>
      <c r="CQ66" s="8">
        <f t="shared" si="45"/>
        <v>1</v>
      </c>
      <c r="CR66" s="8">
        <f t="shared" si="45"/>
        <v>1</v>
      </c>
      <c r="CS66" s="8">
        <f t="shared" si="45"/>
        <v>1.000346993377889</v>
      </c>
      <c r="CT66" s="8" t="str">
        <f t="shared" si="45"/>
        <v/>
      </c>
      <c r="CU66" s="8" t="str">
        <f t="shared" si="45"/>
        <v/>
      </c>
      <c r="CV66" s="8" t="str">
        <f t="shared" si="45"/>
        <v/>
      </c>
      <c r="CW66" s="8" t="str">
        <f t="shared" si="45"/>
        <v/>
      </c>
      <c r="CX66" s="8" t="str">
        <f t="shared" si="45"/>
        <v/>
      </c>
      <c r="CY66" s="8" t="str">
        <f t="shared" si="45"/>
        <v/>
      </c>
      <c r="CZ66" s="8" t="str">
        <f t="shared" si="45"/>
        <v/>
      </c>
      <c r="DA66" s="8" t="str">
        <f t="shared" si="45"/>
        <v/>
      </c>
      <c r="DB66" s="8" t="str">
        <f t="shared" si="45"/>
        <v/>
      </c>
      <c r="DC66" s="8" t="str">
        <f t="shared" si="45"/>
        <v/>
      </c>
      <c r="DD66" s="8" t="str">
        <f t="shared" si="45"/>
        <v/>
      </c>
      <c r="DE66" s="8" t="str">
        <f t="shared" si="45"/>
        <v/>
      </c>
      <c r="DF66" s="8" t="str">
        <f t="shared" si="45"/>
        <v/>
      </c>
      <c r="DG66" s="8" t="str">
        <f t="shared" si="45"/>
        <v/>
      </c>
      <c r="DH66" s="8" t="str">
        <f t="shared" si="45"/>
        <v/>
      </c>
      <c r="DI66" s="8" t="str">
        <f t="shared" si="45"/>
        <v/>
      </c>
      <c r="DJ66" s="8" t="str">
        <f t="shared" si="45"/>
        <v/>
      </c>
      <c r="DK66" s="8" t="str">
        <f t="shared" si="45"/>
        <v/>
      </c>
      <c r="DL66" s="8" t="str">
        <f t="shared" si="45"/>
        <v/>
      </c>
      <c r="DM66" s="8" t="str">
        <f t="shared" si="45"/>
        <v/>
      </c>
      <c r="DN66" s="8" t="str">
        <f t="shared" si="45"/>
        <v/>
      </c>
      <c r="DO66" s="8" t="str">
        <f t="shared" si="45"/>
        <v/>
      </c>
      <c r="DP66" s="8" t="str">
        <f t="shared" si="45"/>
        <v/>
      </c>
      <c r="DQ66" s="8" t="str">
        <f t="shared" si="45"/>
        <v/>
      </c>
      <c r="DR66" s="8" t="str">
        <f t="shared" si="45"/>
        <v/>
      </c>
      <c r="DS66" s="8" t="str">
        <f t="shared" si="45"/>
        <v/>
      </c>
      <c r="DT66" s="8" t="str">
        <f t="shared" si="45"/>
        <v/>
      </c>
      <c r="DU66" s="8" t="str">
        <f t="shared" si="45"/>
        <v/>
      </c>
      <c r="DV66" s="8" t="str">
        <f t="shared" si="45"/>
        <v/>
      </c>
      <c r="DW66" s="8" t="str">
        <f t="shared" si="45"/>
        <v/>
      </c>
      <c r="DX66" s="8" t="str">
        <f t="shared" si="45"/>
        <v/>
      </c>
      <c r="DY66" s="8" t="str">
        <f t="shared" si="45"/>
        <v/>
      </c>
      <c r="DZ66" s="8" t="str">
        <f t="shared" si="45"/>
        <v/>
      </c>
      <c r="EA66" s="8" t="str">
        <f t="shared" si="45"/>
        <v/>
      </c>
      <c r="EB66" s="8">
        <f t="shared" si="45"/>
        <v>6.2321202716875357</v>
      </c>
      <c r="EC66" s="8">
        <f t="shared" si="45"/>
        <v>2.1294941578409592</v>
      </c>
      <c r="ED66" s="8">
        <f t="shared" si="45"/>
        <v>1.4517872498994249</v>
      </c>
      <c r="EE66" s="8">
        <f t="shared" ref="EE66:GP66" si="46">IF(OR(EF20 = "", EF$8 &lt; EE$8), "", IFERROR(EF20/EE20, ""))</f>
        <v>1.1440716927395425</v>
      </c>
      <c r="EF66" s="8">
        <f t="shared" si="46"/>
        <v>1.1655663575832742</v>
      </c>
      <c r="EG66" s="8">
        <f t="shared" si="46"/>
        <v>1.1598945863637664</v>
      </c>
      <c r="EH66" s="8">
        <f t="shared" si="46"/>
        <v>0.95743236847972324</v>
      </c>
      <c r="EI66" s="8">
        <f t="shared" si="46"/>
        <v>1.0003553090241701</v>
      </c>
      <c r="EJ66" s="8">
        <f t="shared" si="46"/>
        <v>0.99963579098071875</v>
      </c>
      <c r="EK66" s="8">
        <f t="shared" si="46"/>
        <v>0.9954760456352123</v>
      </c>
      <c r="EL66" s="8">
        <f t="shared" si="46"/>
        <v>1</v>
      </c>
      <c r="EM66" s="8">
        <f t="shared" si="46"/>
        <v>0.99994383007961962</v>
      </c>
      <c r="EN66" s="8">
        <f t="shared" si="46"/>
        <v>1.000090286610241</v>
      </c>
      <c r="EO66" s="8">
        <f t="shared" si="46"/>
        <v>1.0002545160334859</v>
      </c>
      <c r="EP66" s="8">
        <f t="shared" si="46"/>
        <v>1</v>
      </c>
      <c r="EQ66" s="8">
        <f t="shared" si="46"/>
        <v>1</v>
      </c>
      <c r="ER66" s="8">
        <f t="shared" si="46"/>
        <v>0.94845055853808191</v>
      </c>
      <c r="ES66" s="8">
        <f t="shared" si="46"/>
        <v>1.0538124346573647</v>
      </c>
      <c r="ET66" s="8">
        <f t="shared" si="46"/>
        <v>0.99958057579506288</v>
      </c>
      <c r="EU66" s="8">
        <f t="shared" si="46"/>
        <v>0.9998567484947859</v>
      </c>
      <c r="EV66" s="8">
        <f t="shared" si="46"/>
        <v>1</v>
      </c>
      <c r="EW66" s="8">
        <f t="shared" si="46"/>
        <v>1.0005004747943982</v>
      </c>
      <c r="EX66" s="8">
        <f t="shared" si="46"/>
        <v>1.0051578393086797</v>
      </c>
      <c r="EY66" s="8">
        <f t="shared" si="46"/>
        <v>1.000097450588231</v>
      </c>
      <c r="EZ66" s="8">
        <f t="shared" si="46"/>
        <v>0.99992757501184226</v>
      </c>
      <c r="FA66" s="8">
        <f t="shared" si="46"/>
        <v>1.0008723035361036</v>
      </c>
      <c r="FB66" s="8">
        <f t="shared" si="46"/>
        <v>1</v>
      </c>
      <c r="FC66" s="8">
        <f t="shared" si="46"/>
        <v>1</v>
      </c>
      <c r="FD66" s="8">
        <f t="shared" si="46"/>
        <v>1</v>
      </c>
      <c r="FE66" s="8">
        <f t="shared" si="46"/>
        <v>0.99999895159269381</v>
      </c>
      <c r="FF66" s="8">
        <f t="shared" si="46"/>
        <v>1.0002755213265235</v>
      </c>
      <c r="FG66" s="8">
        <f t="shared" si="46"/>
        <v>1</v>
      </c>
      <c r="FH66" s="8">
        <f t="shared" si="46"/>
        <v>1.0103974544899448</v>
      </c>
      <c r="FI66" s="8">
        <f t="shared" si="46"/>
        <v>1.0005303091574473</v>
      </c>
      <c r="FJ66" s="8">
        <f t="shared" si="46"/>
        <v>1.0000413139236373</v>
      </c>
      <c r="FK66" s="8">
        <f t="shared" si="46"/>
        <v>0.94991321611072133</v>
      </c>
      <c r="FL66" s="8">
        <f t="shared" si="46"/>
        <v>1.0000981904561788</v>
      </c>
      <c r="FM66" s="8">
        <f t="shared" si="46"/>
        <v>0.99980856417552522</v>
      </c>
      <c r="FN66" s="8">
        <f t="shared" si="46"/>
        <v>0.99967530316875486</v>
      </c>
      <c r="FO66" s="8">
        <f t="shared" si="46"/>
        <v>0.99109444473380126</v>
      </c>
      <c r="FP66" s="8">
        <f t="shared" si="46"/>
        <v>1</v>
      </c>
      <c r="FQ66" s="8">
        <f t="shared" si="46"/>
        <v>0.99461945970240107</v>
      </c>
      <c r="FR66" s="8">
        <f t="shared" si="46"/>
        <v>1.0002910856286547</v>
      </c>
      <c r="FS66" s="8">
        <f t="shared" si="46"/>
        <v>1</v>
      </c>
      <c r="FT66" s="8">
        <f t="shared" si="46"/>
        <v>1.0006102184370267</v>
      </c>
      <c r="FU66" s="8">
        <f t="shared" si="46"/>
        <v>1</v>
      </c>
      <c r="FV66" s="8">
        <f t="shared" si="46"/>
        <v>1</v>
      </c>
      <c r="FW66" s="8">
        <f t="shared" si="46"/>
        <v>0.99999987872002261</v>
      </c>
      <c r="FX66" s="8">
        <f t="shared" si="46"/>
        <v>1.0002963755731562</v>
      </c>
      <c r="FY66" s="8">
        <f t="shared" si="46"/>
        <v>1</v>
      </c>
      <c r="FZ66" s="8">
        <f t="shared" si="46"/>
        <v>1.0665595892855835</v>
      </c>
      <c r="GA66" s="8">
        <f t="shared" si="46"/>
        <v>1.0000948590860788</v>
      </c>
      <c r="GB66" s="8">
        <f t="shared" si="46"/>
        <v>1</v>
      </c>
      <c r="GC66" s="8">
        <f t="shared" si="46"/>
        <v>1</v>
      </c>
      <c r="GD66" s="8">
        <f t="shared" si="46"/>
        <v>1</v>
      </c>
      <c r="GE66" s="8">
        <f t="shared" si="46"/>
        <v>1.0002725677504778</v>
      </c>
      <c r="GF66" s="8">
        <f t="shared" si="46"/>
        <v>1</v>
      </c>
      <c r="GG66" s="8">
        <f t="shared" si="46"/>
        <v>1.0006113622246153</v>
      </c>
      <c r="GH66" s="8">
        <f t="shared" si="46"/>
        <v>1</v>
      </c>
      <c r="GI66" s="8">
        <f t="shared" si="46"/>
        <v>1</v>
      </c>
      <c r="GJ66" s="8">
        <f t="shared" si="46"/>
        <v>1.0001079536515944</v>
      </c>
      <c r="GK66" s="8">
        <f t="shared" si="46"/>
        <v>1.0081052248107882</v>
      </c>
      <c r="GL66" s="8">
        <f t="shared" si="46"/>
        <v>1</v>
      </c>
      <c r="GM66" s="8">
        <f t="shared" si="46"/>
        <v>1.0001094037459741</v>
      </c>
      <c r="GN66" s="8">
        <f t="shared" si="46"/>
        <v>1</v>
      </c>
      <c r="GO66" s="8">
        <f t="shared" si="46"/>
        <v>1</v>
      </c>
      <c r="GP66" s="8">
        <f t="shared" si="46"/>
        <v>1.0002692027523712</v>
      </c>
      <c r="GQ66" s="8">
        <f t="shared" ref="GQ66:IV66" si="47">IF(OR(GR20 = "", GR$8 &lt; GQ$8), "", IFERROR(GR20/GQ20, ""))</f>
        <v>1</v>
      </c>
      <c r="GR66" s="8">
        <f t="shared" si="47"/>
        <v>1.0006452889610236</v>
      </c>
      <c r="GS66" s="8">
        <f t="shared" si="47"/>
        <v>1</v>
      </c>
      <c r="GT66" s="8">
        <f t="shared" si="47"/>
        <v>1.0008110471241587</v>
      </c>
      <c r="GU66" s="8">
        <f t="shared" si="47"/>
        <v>1</v>
      </c>
      <c r="GV66" s="8">
        <f t="shared" si="47"/>
        <v>1.000106877906034</v>
      </c>
      <c r="GW66" s="8">
        <f t="shared" si="47"/>
        <v>1</v>
      </c>
      <c r="GX66" s="8">
        <f t="shared" si="47"/>
        <v>1</v>
      </c>
      <c r="GY66" s="8">
        <f t="shared" si="47"/>
        <v>1.0001366708769681</v>
      </c>
      <c r="GZ66" s="8">
        <f t="shared" si="47"/>
        <v>1</v>
      </c>
      <c r="HA66" s="8">
        <f t="shared" si="47"/>
        <v>1</v>
      </c>
      <c r="HB66" s="8">
        <f t="shared" si="47"/>
        <v>1.0003755068274294</v>
      </c>
      <c r="HC66" s="8">
        <f t="shared" si="47"/>
        <v>1</v>
      </c>
      <c r="HD66" s="8">
        <f t="shared" si="47"/>
        <v>1</v>
      </c>
      <c r="HE66" s="8">
        <f t="shared" si="47"/>
        <v>1.000683377170821</v>
      </c>
      <c r="HF66" s="8">
        <f t="shared" si="47"/>
        <v>1.0269937377727834</v>
      </c>
      <c r="HG66" s="8">
        <f t="shared" si="47"/>
        <v>1</v>
      </c>
      <c r="HH66" s="8">
        <f t="shared" si="47"/>
        <v>1.0001039332816481</v>
      </c>
      <c r="HI66" s="8">
        <f t="shared" si="47"/>
        <v>1.0515044774382152</v>
      </c>
      <c r="HJ66" s="8">
        <f t="shared" si="47"/>
        <v>1.0032706823911837</v>
      </c>
      <c r="HK66" s="8">
        <f t="shared" si="47"/>
        <v>1</v>
      </c>
      <c r="HL66" s="8">
        <f t="shared" si="47"/>
        <v>1</v>
      </c>
      <c r="HM66" s="8">
        <f t="shared" si="47"/>
        <v>1</v>
      </c>
      <c r="HN66" s="8">
        <f t="shared" si="47"/>
        <v>1.0003461911199314</v>
      </c>
      <c r="HO66" s="8" t="str">
        <f t="shared" si="47"/>
        <v/>
      </c>
      <c r="HP66" s="8" t="str">
        <f t="shared" si="47"/>
        <v/>
      </c>
      <c r="HQ66" s="8" t="str">
        <f t="shared" si="47"/>
        <v/>
      </c>
      <c r="HR66" s="8" t="str">
        <f t="shared" si="47"/>
        <v/>
      </c>
      <c r="HS66" s="8" t="str">
        <f t="shared" si="47"/>
        <v/>
      </c>
      <c r="HT66" s="8" t="str">
        <f t="shared" si="47"/>
        <v/>
      </c>
      <c r="HU66" s="8" t="str">
        <f t="shared" si="47"/>
        <v/>
      </c>
      <c r="HV66" s="8" t="str">
        <f t="shared" si="47"/>
        <v/>
      </c>
      <c r="HW66" s="8" t="str">
        <f t="shared" si="47"/>
        <v/>
      </c>
      <c r="HX66" s="8" t="str">
        <f t="shared" si="47"/>
        <v/>
      </c>
      <c r="HY66" s="8" t="str">
        <f t="shared" si="47"/>
        <v/>
      </c>
      <c r="HZ66" s="8" t="str">
        <f t="shared" si="47"/>
        <v/>
      </c>
      <c r="IA66" s="8" t="str">
        <f t="shared" si="47"/>
        <v/>
      </c>
      <c r="IB66" s="8" t="str">
        <f t="shared" si="47"/>
        <v/>
      </c>
      <c r="IC66" s="8" t="str">
        <f t="shared" si="47"/>
        <v/>
      </c>
      <c r="ID66" s="8" t="str">
        <f t="shared" si="47"/>
        <v/>
      </c>
      <c r="IE66" s="8" t="str">
        <f t="shared" si="47"/>
        <v/>
      </c>
      <c r="IF66" s="8" t="str">
        <f t="shared" si="47"/>
        <v/>
      </c>
      <c r="IG66" s="8" t="str">
        <f t="shared" si="47"/>
        <v/>
      </c>
      <c r="IH66" s="8" t="str">
        <f t="shared" si="47"/>
        <v/>
      </c>
      <c r="II66" s="8" t="str">
        <f t="shared" si="47"/>
        <v/>
      </c>
      <c r="IJ66" s="8" t="str">
        <f t="shared" si="47"/>
        <v/>
      </c>
      <c r="IK66" s="8" t="str">
        <f t="shared" si="47"/>
        <v/>
      </c>
      <c r="IL66" s="8" t="str">
        <f t="shared" si="47"/>
        <v/>
      </c>
      <c r="IM66" s="8" t="str">
        <f t="shared" si="47"/>
        <v/>
      </c>
      <c r="IN66" s="8" t="str">
        <f t="shared" si="47"/>
        <v/>
      </c>
      <c r="IO66" s="8" t="str">
        <f t="shared" si="47"/>
        <v/>
      </c>
      <c r="IP66" s="8" t="str">
        <f t="shared" si="47"/>
        <v/>
      </c>
      <c r="IQ66" s="8" t="str">
        <f t="shared" si="47"/>
        <v/>
      </c>
      <c r="IR66" s="8" t="str">
        <f t="shared" si="47"/>
        <v/>
      </c>
      <c r="IS66" s="8" t="str">
        <f t="shared" si="47"/>
        <v/>
      </c>
      <c r="IT66" s="8" t="str">
        <f t="shared" si="47"/>
        <v/>
      </c>
      <c r="IU66" s="8" t="str">
        <f t="shared" si="47"/>
        <v/>
      </c>
      <c r="IV66" s="8" t="str">
        <f t="shared" si="47"/>
        <v/>
      </c>
    </row>
    <row r="67" spans="6:256" x14ac:dyDescent="0.2">
      <c r="F67">
        <v>201703</v>
      </c>
      <c r="G67" s="8">
        <f t="shared" ref="G67:BR67" si="48">IF(OR(H21 = "", H$8 &lt; G$8), "", IFERROR(H21/G21, ""))</f>
        <v>3.0074900952187522</v>
      </c>
      <c r="H67" s="8">
        <f t="shared" si="48"/>
        <v>2.1029138626619335</v>
      </c>
      <c r="I67" s="8">
        <f t="shared" si="48"/>
        <v>1.3481418763435693</v>
      </c>
      <c r="J67" s="8">
        <f t="shared" si="48"/>
        <v>1.1313375035648254</v>
      </c>
      <c r="K67" s="8">
        <f t="shared" si="48"/>
        <v>1.0252306825227251</v>
      </c>
      <c r="L67" s="8">
        <f t="shared" si="48"/>
        <v>1.0435168587273771</v>
      </c>
      <c r="M67" s="8">
        <f t="shared" si="48"/>
        <v>1.0040463927803889</v>
      </c>
      <c r="N67" s="8">
        <f t="shared" si="48"/>
        <v>1.0001318342087204</v>
      </c>
      <c r="O67" s="8">
        <f t="shared" si="48"/>
        <v>1.0281679513916497</v>
      </c>
      <c r="P67" s="8">
        <f t="shared" si="48"/>
        <v>1.0531640686441193</v>
      </c>
      <c r="Q67" s="8">
        <f t="shared" si="48"/>
        <v>1.0002431447961453</v>
      </c>
      <c r="R67" s="8">
        <f t="shared" si="48"/>
        <v>1.0024962285160184</v>
      </c>
      <c r="S67" s="8">
        <f t="shared" si="48"/>
        <v>1</v>
      </c>
      <c r="T67" s="8">
        <f t="shared" si="48"/>
        <v>1.0041327475738777</v>
      </c>
      <c r="U67" s="8">
        <f t="shared" si="48"/>
        <v>1.0051029018716195</v>
      </c>
      <c r="V67" s="8">
        <f t="shared" si="48"/>
        <v>1.0000956630403894</v>
      </c>
      <c r="W67" s="8">
        <f t="shared" si="48"/>
        <v>1</v>
      </c>
      <c r="X67" s="8">
        <f t="shared" si="48"/>
        <v>1</v>
      </c>
      <c r="Y67" s="8">
        <f t="shared" si="48"/>
        <v>1.0018809860437909</v>
      </c>
      <c r="Z67" s="8">
        <f t="shared" si="48"/>
        <v>1.0057071254230758</v>
      </c>
      <c r="AA67" s="8">
        <f t="shared" si="48"/>
        <v>1</v>
      </c>
      <c r="AB67" s="8">
        <f t="shared" si="48"/>
        <v>1</v>
      </c>
      <c r="AC67" s="8">
        <f t="shared" si="48"/>
        <v>1</v>
      </c>
      <c r="AD67" s="8">
        <f t="shared" si="48"/>
        <v>1.0001133067308692</v>
      </c>
      <c r="AE67" s="8">
        <f t="shared" si="48"/>
        <v>1</v>
      </c>
      <c r="AF67" s="8">
        <f t="shared" si="48"/>
        <v>1.0000463104757726</v>
      </c>
      <c r="AG67" s="8">
        <f t="shared" si="48"/>
        <v>1.0000068836317144</v>
      </c>
      <c r="AH67" s="8">
        <f t="shared" si="48"/>
        <v>1.0000128620293667</v>
      </c>
      <c r="AI67" s="8">
        <f t="shared" si="48"/>
        <v>1</v>
      </c>
      <c r="AJ67" s="8">
        <f t="shared" si="48"/>
        <v>1.0001784810355741</v>
      </c>
      <c r="AK67" s="8">
        <f t="shared" si="48"/>
        <v>1</v>
      </c>
      <c r="AL67" s="8">
        <f t="shared" si="48"/>
        <v>1</v>
      </c>
      <c r="AM67" s="8">
        <f t="shared" si="48"/>
        <v>1</v>
      </c>
      <c r="AN67" s="8">
        <f t="shared" si="48"/>
        <v>1</v>
      </c>
      <c r="AO67" s="8">
        <f t="shared" si="48"/>
        <v>1</v>
      </c>
      <c r="AP67" s="8">
        <f t="shared" si="48"/>
        <v>1.0033880612573509</v>
      </c>
      <c r="AQ67" s="8">
        <f t="shared" si="48"/>
        <v>1</v>
      </c>
      <c r="AR67" s="8">
        <f t="shared" si="48"/>
        <v>1.0001311275813218</v>
      </c>
      <c r="AS67" s="8">
        <f t="shared" si="48"/>
        <v>1</v>
      </c>
      <c r="AT67" s="8">
        <f t="shared" si="48"/>
        <v>1</v>
      </c>
      <c r="AU67" s="8">
        <f t="shared" si="48"/>
        <v>1.0000412357989907</v>
      </c>
      <c r="AV67" s="8">
        <f t="shared" si="48"/>
        <v>1</v>
      </c>
      <c r="AW67" s="8">
        <f t="shared" si="48"/>
        <v>1.0001906299187093</v>
      </c>
      <c r="AX67" s="8">
        <f t="shared" si="48"/>
        <v>1</v>
      </c>
      <c r="AY67" s="8">
        <f t="shared" si="48"/>
        <v>1</v>
      </c>
      <c r="AZ67" s="8">
        <f t="shared" si="48"/>
        <v>1</v>
      </c>
      <c r="BA67" s="8">
        <f t="shared" si="48"/>
        <v>1</v>
      </c>
      <c r="BB67" s="8">
        <f t="shared" si="48"/>
        <v>1</v>
      </c>
      <c r="BC67" s="8">
        <f t="shared" si="48"/>
        <v>1</v>
      </c>
      <c r="BD67" s="8">
        <f t="shared" si="48"/>
        <v>1.0001869481247547</v>
      </c>
      <c r="BE67" s="8">
        <f t="shared" si="48"/>
        <v>1</v>
      </c>
      <c r="BF67" s="8">
        <f t="shared" si="48"/>
        <v>1</v>
      </c>
      <c r="BG67" s="8">
        <f t="shared" si="48"/>
        <v>1</v>
      </c>
      <c r="BH67" s="8">
        <f t="shared" si="48"/>
        <v>1</v>
      </c>
      <c r="BI67" s="8">
        <f t="shared" si="48"/>
        <v>1.0001905579614159</v>
      </c>
      <c r="BJ67" s="8">
        <f t="shared" si="48"/>
        <v>1</v>
      </c>
      <c r="BK67" s="8">
        <f t="shared" si="48"/>
        <v>1</v>
      </c>
      <c r="BL67" s="8">
        <f t="shared" si="48"/>
        <v>1</v>
      </c>
      <c r="BM67" s="8">
        <f t="shared" si="48"/>
        <v>1</v>
      </c>
      <c r="BN67" s="8">
        <f t="shared" si="48"/>
        <v>1</v>
      </c>
      <c r="BO67" s="8">
        <f t="shared" si="48"/>
        <v>1</v>
      </c>
      <c r="BP67" s="8">
        <f t="shared" si="48"/>
        <v>1.0001876508370382</v>
      </c>
      <c r="BQ67" s="8">
        <f t="shared" si="48"/>
        <v>1</v>
      </c>
      <c r="BR67" s="8">
        <f t="shared" si="48"/>
        <v>1</v>
      </c>
      <c r="BS67" s="8">
        <f t="shared" ref="BS67:ED67" si="49">IF(OR(BT21 = "", BT$8 &lt; BS$8), "", IFERROR(BT21/BS21, ""))</f>
        <v>1</v>
      </c>
      <c r="BT67" s="8">
        <f t="shared" si="49"/>
        <v>1</v>
      </c>
      <c r="BU67" s="8">
        <f t="shared" si="49"/>
        <v>1.000190485911157</v>
      </c>
      <c r="BV67" s="8">
        <f t="shared" si="49"/>
        <v>1</v>
      </c>
      <c r="BW67" s="8">
        <f t="shared" si="49"/>
        <v>1</v>
      </c>
      <c r="BX67" s="8">
        <f t="shared" si="49"/>
        <v>1</v>
      </c>
      <c r="BY67" s="8">
        <f t="shared" si="49"/>
        <v>1.0005308660506844</v>
      </c>
      <c r="BZ67" s="8">
        <f t="shared" si="49"/>
        <v>1</v>
      </c>
      <c r="CA67" s="8">
        <f t="shared" si="49"/>
        <v>1</v>
      </c>
      <c r="CB67" s="8">
        <f t="shared" si="49"/>
        <v>1.0001677214650939</v>
      </c>
      <c r="CC67" s="8">
        <f t="shared" si="49"/>
        <v>1</v>
      </c>
      <c r="CD67" s="8">
        <f t="shared" si="49"/>
        <v>1.0000205163247951</v>
      </c>
      <c r="CE67" s="8">
        <f t="shared" si="49"/>
        <v>1</v>
      </c>
      <c r="CF67" s="8">
        <f t="shared" si="49"/>
        <v>1</v>
      </c>
      <c r="CG67" s="8">
        <f t="shared" si="49"/>
        <v>1.0003160350353097</v>
      </c>
      <c r="CH67" s="8">
        <f t="shared" si="49"/>
        <v>1.0000199433408965</v>
      </c>
      <c r="CI67" s="8">
        <f t="shared" si="49"/>
        <v>1</v>
      </c>
      <c r="CJ67" s="8">
        <f t="shared" si="49"/>
        <v>1</v>
      </c>
      <c r="CK67" s="8">
        <f t="shared" si="49"/>
        <v>1</v>
      </c>
      <c r="CL67" s="8">
        <f t="shared" si="49"/>
        <v>1</v>
      </c>
      <c r="CM67" s="8">
        <f t="shared" si="49"/>
        <v>1.0001676335766274</v>
      </c>
      <c r="CN67" s="8">
        <f t="shared" si="49"/>
        <v>1.0000640199749362</v>
      </c>
      <c r="CO67" s="8">
        <f t="shared" si="49"/>
        <v>1</v>
      </c>
      <c r="CP67" s="8">
        <f t="shared" si="49"/>
        <v>1</v>
      </c>
      <c r="CQ67" s="8" t="str">
        <f t="shared" si="49"/>
        <v/>
      </c>
      <c r="CR67" s="8" t="str">
        <f t="shared" si="49"/>
        <v/>
      </c>
      <c r="CS67" s="8" t="str">
        <f t="shared" si="49"/>
        <v/>
      </c>
      <c r="CT67" s="8" t="str">
        <f t="shared" si="49"/>
        <v/>
      </c>
      <c r="CU67" s="8" t="str">
        <f t="shared" si="49"/>
        <v/>
      </c>
      <c r="CV67" s="8" t="str">
        <f t="shared" si="49"/>
        <v/>
      </c>
      <c r="CW67" s="8" t="str">
        <f t="shared" si="49"/>
        <v/>
      </c>
      <c r="CX67" s="8" t="str">
        <f t="shared" si="49"/>
        <v/>
      </c>
      <c r="CY67" s="8" t="str">
        <f t="shared" si="49"/>
        <v/>
      </c>
      <c r="CZ67" s="8" t="str">
        <f t="shared" si="49"/>
        <v/>
      </c>
      <c r="DA67" s="8" t="str">
        <f t="shared" si="49"/>
        <v/>
      </c>
      <c r="DB67" s="8" t="str">
        <f t="shared" si="49"/>
        <v/>
      </c>
      <c r="DC67" s="8" t="str">
        <f t="shared" si="49"/>
        <v/>
      </c>
      <c r="DD67" s="8" t="str">
        <f t="shared" si="49"/>
        <v/>
      </c>
      <c r="DE67" s="8" t="str">
        <f t="shared" si="49"/>
        <v/>
      </c>
      <c r="DF67" s="8" t="str">
        <f t="shared" si="49"/>
        <v/>
      </c>
      <c r="DG67" s="8" t="str">
        <f t="shared" si="49"/>
        <v/>
      </c>
      <c r="DH67" s="8" t="str">
        <f t="shared" si="49"/>
        <v/>
      </c>
      <c r="DI67" s="8" t="str">
        <f t="shared" si="49"/>
        <v/>
      </c>
      <c r="DJ67" s="8" t="str">
        <f t="shared" si="49"/>
        <v/>
      </c>
      <c r="DK67" s="8" t="str">
        <f t="shared" si="49"/>
        <v/>
      </c>
      <c r="DL67" s="8" t="str">
        <f t="shared" si="49"/>
        <v/>
      </c>
      <c r="DM67" s="8" t="str">
        <f t="shared" si="49"/>
        <v/>
      </c>
      <c r="DN67" s="8" t="str">
        <f t="shared" si="49"/>
        <v/>
      </c>
      <c r="DO67" s="8" t="str">
        <f t="shared" si="49"/>
        <v/>
      </c>
      <c r="DP67" s="8" t="str">
        <f t="shared" si="49"/>
        <v/>
      </c>
      <c r="DQ67" s="8" t="str">
        <f t="shared" si="49"/>
        <v/>
      </c>
      <c r="DR67" s="8" t="str">
        <f t="shared" si="49"/>
        <v/>
      </c>
      <c r="DS67" s="8" t="str">
        <f t="shared" si="49"/>
        <v/>
      </c>
      <c r="DT67" s="8" t="str">
        <f t="shared" si="49"/>
        <v/>
      </c>
      <c r="DU67" s="8" t="str">
        <f t="shared" si="49"/>
        <v/>
      </c>
      <c r="DV67" s="8" t="str">
        <f t="shared" si="49"/>
        <v/>
      </c>
      <c r="DW67" s="8" t="str">
        <f t="shared" si="49"/>
        <v/>
      </c>
      <c r="DX67" s="8" t="str">
        <f t="shared" si="49"/>
        <v/>
      </c>
      <c r="DY67" s="8" t="str">
        <f t="shared" si="49"/>
        <v/>
      </c>
      <c r="DZ67" s="8" t="str">
        <f t="shared" si="49"/>
        <v/>
      </c>
      <c r="EA67" s="8" t="str">
        <f t="shared" si="49"/>
        <v/>
      </c>
      <c r="EB67" s="8">
        <f t="shared" si="49"/>
        <v>1.6163191106734918</v>
      </c>
      <c r="EC67" s="8">
        <f t="shared" si="49"/>
        <v>1.7147553832345737</v>
      </c>
      <c r="ED67" s="8">
        <f t="shared" si="49"/>
        <v>1.130295528841889</v>
      </c>
      <c r="EE67" s="8">
        <f t="shared" ref="EE67:GP67" si="50">IF(OR(EF21 = "", EF$8 &lt; EE$8), "", IFERROR(EF21/EE21, ""))</f>
        <v>1.0234180599020091</v>
      </c>
      <c r="EF67" s="8">
        <f t="shared" si="50"/>
        <v>1.022409603881496</v>
      </c>
      <c r="EG67" s="8">
        <f t="shared" si="50"/>
        <v>1.0003271223862049</v>
      </c>
      <c r="EH67" s="8">
        <f t="shared" si="50"/>
        <v>1.0007572005782075</v>
      </c>
      <c r="EI67" s="8">
        <f t="shared" si="50"/>
        <v>0.97329606502754895</v>
      </c>
      <c r="EJ67" s="8">
        <f t="shared" si="50"/>
        <v>1.0016314653927134</v>
      </c>
      <c r="EK67" s="8">
        <f t="shared" si="50"/>
        <v>0.99980270919664405</v>
      </c>
      <c r="EL67" s="8">
        <f t="shared" si="50"/>
        <v>1.0024786338305991</v>
      </c>
      <c r="EM67" s="8">
        <f t="shared" si="50"/>
        <v>0.99397909447975386</v>
      </c>
      <c r="EN67" s="8">
        <f t="shared" si="50"/>
        <v>1.0103211860930761</v>
      </c>
      <c r="EO67" s="8">
        <f t="shared" si="50"/>
        <v>1.0000007875869277</v>
      </c>
      <c r="EP67" s="8">
        <f t="shared" si="50"/>
        <v>1.0005463756293811</v>
      </c>
      <c r="EQ67" s="8">
        <f t="shared" si="50"/>
        <v>1.000095116974302</v>
      </c>
      <c r="ER67" s="8">
        <f t="shared" si="50"/>
        <v>1.0001693027866563</v>
      </c>
      <c r="ES67" s="8">
        <f t="shared" si="50"/>
        <v>1</v>
      </c>
      <c r="ET67" s="8">
        <f t="shared" si="50"/>
        <v>1.0017006592618054</v>
      </c>
      <c r="EU67" s="8">
        <f t="shared" si="50"/>
        <v>0.999977585283788</v>
      </c>
      <c r="EV67" s="8">
        <f t="shared" si="50"/>
        <v>1</v>
      </c>
      <c r="EW67" s="8">
        <f t="shared" si="50"/>
        <v>1</v>
      </c>
      <c r="EX67" s="8">
        <f t="shared" si="50"/>
        <v>1</v>
      </c>
      <c r="EY67" s="8">
        <f t="shared" si="50"/>
        <v>1.0001133067308692</v>
      </c>
      <c r="EZ67" s="8">
        <f t="shared" si="50"/>
        <v>1</v>
      </c>
      <c r="FA67" s="8">
        <f t="shared" si="50"/>
        <v>1.0000463104757726</v>
      </c>
      <c r="FB67" s="8">
        <f t="shared" si="50"/>
        <v>1.0000068836317144</v>
      </c>
      <c r="FC67" s="8">
        <f t="shared" si="50"/>
        <v>1.0000128620293667</v>
      </c>
      <c r="FD67" s="8">
        <f t="shared" si="50"/>
        <v>1</v>
      </c>
      <c r="FE67" s="8">
        <f t="shared" si="50"/>
        <v>1.0001784810355741</v>
      </c>
      <c r="FF67" s="8">
        <f t="shared" si="50"/>
        <v>1</v>
      </c>
      <c r="FG67" s="8">
        <f t="shared" si="50"/>
        <v>1</v>
      </c>
      <c r="FH67" s="8">
        <f t="shared" si="50"/>
        <v>1</v>
      </c>
      <c r="FI67" s="8">
        <f t="shared" si="50"/>
        <v>1</v>
      </c>
      <c r="FJ67" s="8">
        <f t="shared" si="50"/>
        <v>1.0033970396200176</v>
      </c>
      <c r="FK67" s="8">
        <f t="shared" si="50"/>
        <v>0.99999105203392846</v>
      </c>
      <c r="FL67" s="8">
        <f t="shared" si="50"/>
        <v>1</v>
      </c>
      <c r="FM67" s="8">
        <f t="shared" si="50"/>
        <v>1.0001311275813218</v>
      </c>
      <c r="FN67" s="8">
        <f t="shared" si="50"/>
        <v>1</v>
      </c>
      <c r="FO67" s="8">
        <f t="shared" si="50"/>
        <v>1</v>
      </c>
      <c r="FP67" s="8">
        <f t="shared" si="50"/>
        <v>1.0000412357989907</v>
      </c>
      <c r="FQ67" s="8">
        <f t="shared" si="50"/>
        <v>1</v>
      </c>
      <c r="FR67" s="8">
        <f t="shared" si="50"/>
        <v>1.0001906299187093</v>
      </c>
      <c r="FS67" s="8">
        <f t="shared" si="50"/>
        <v>1</v>
      </c>
      <c r="FT67" s="8">
        <f t="shared" si="50"/>
        <v>1</v>
      </c>
      <c r="FU67" s="8">
        <f t="shared" si="50"/>
        <v>1</v>
      </c>
      <c r="FV67" s="8">
        <f t="shared" si="50"/>
        <v>1</v>
      </c>
      <c r="FW67" s="8">
        <f t="shared" si="50"/>
        <v>1</v>
      </c>
      <c r="FX67" s="8">
        <f t="shared" si="50"/>
        <v>1</v>
      </c>
      <c r="FY67" s="8">
        <f t="shared" si="50"/>
        <v>1.0001869481247547</v>
      </c>
      <c r="FZ67" s="8">
        <f t="shared" si="50"/>
        <v>1</v>
      </c>
      <c r="GA67" s="8">
        <f t="shared" si="50"/>
        <v>1</v>
      </c>
      <c r="GB67" s="8">
        <f t="shared" si="50"/>
        <v>1</v>
      </c>
      <c r="GC67" s="8">
        <f t="shared" si="50"/>
        <v>1</v>
      </c>
      <c r="GD67" s="8">
        <f t="shared" si="50"/>
        <v>1.0001905579614159</v>
      </c>
      <c r="GE67" s="8">
        <f t="shared" si="50"/>
        <v>1</v>
      </c>
      <c r="GF67" s="8">
        <f t="shared" si="50"/>
        <v>1</v>
      </c>
      <c r="GG67" s="8">
        <f t="shared" si="50"/>
        <v>1</v>
      </c>
      <c r="GH67" s="8">
        <f t="shared" si="50"/>
        <v>1</v>
      </c>
      <c r="GI67" s="8">
        <f t="shared" si="50"/>
        <v>1</v>
      </c>
      <c r="GJ67" s="8">
        <f t="shared" si="50"/>
        <v>1</v>
      </c>
      <c r="GK67" s="8">
        <f t="shared" si="50"/>
        <v>1.0001876508370382</v>
      </c>
      <c r="GL67" s="8">
        <f t="shared" si="50"/>
        <v>1</v>
      </c>
      <c r="GM67" s="8">
        <f t="shared" si="50"/>
        <v>1</v>
      </c>
      <c r="GN67" s="8">
        <f t="shared" si="50"/>
        <v>1</v>
      </c>
      <c r="GO67" s="8">
        <f t="shared" si="50"/>
        <v>1</v>
      </c>
      <c r="GP67" s="8">
        <f t="shared" si="50"/>
        <v>1.000190485911157</v>
      </c>
      <c r="GQ67" s="8">
        <f t="shared" ref="GQ67:IV67" si="51">IF(OR(GR21 = "", GR$8 &lt; GQ$8), "", IFERROR(GR21/GQ21, ""))</f>
        <v>1</v>
      </c>
      <c r="GR67" s="8">
        <f t="shared" si="51"/>
        <v>1</v>
      </c>
      <c r="GS67" s="8">
        <f t="shared" si="51"/>
        <v>1</v>
      </c>
      <c r="GT67" s="8">
        <f t="shared" si="51"/>
        <v>1.0005308660506844</v>
      </c>
      <c r="GU67" s="8">
        <f t="shared" si="51"/>
        <v>1</v>
      </c>
      <c r="GV67" s="8">
        <f t="shared" si="51"/>
        <v>1</v>
      </c>
      <c r="GW67" s="8">
        <f t="shared" si="51"/>
        <v>1.0001677214650939</v>
      </c>
      <c r="GX67" s="8">
        <f t="shared" si="51"/>
        <v>1</v>
      </c>
      <c r="GY67" s="8">
        <f t="shared" si="51"/>
        <v>1.0000205163247951</v>
      </c>
      <c r="GZ67" s="8">
        <f t="shared" si="51"/>
        <v>1</v>
      </c>
      <c r="HA67" s="8">
        <f t="shared" si="51"/>
        <v>1</v>
      </c>
      <c r="HB67" s="8">
        <f t="shared" si="51"/>
        <v>1.0003160350353097</v>
      </c>
      <c r="HC67" s="8">
        <f t="shared" si="51"/>
        <v>1.0000199433408965</v>
      </c>
      <c r="HD67" s="8">
        <f t="shared" si="51"/>
        <v>1</v>
      </c>
      <c r="HE67" s="8">
        <f t="shared" si="51"/>
        <v>1</v>
      </c>
      <c r="HF67" s="8">
        <f t="shared" si="51"/>
        <v>1</v>
      </c>
      <c r="HG67" s="8">
        <f t="shared" si="51"/>
        <v>1</v>
      </c>
      <c r="HH67" s="8">
        <f t="shared" si="51"/>
        <v>1.0001676335766274</v>
      </c>
      <c r="HI67" s="8">
        <f t="shared" si="51"/>
        <v>1.0000640199749362</v>
      </c>
      <c r="HJ67" s="8">
        <f t="shared" si="51"/>
        <v>1</v>
      </c>
      <c r="HK67" s="8">
        <f t="shared" si="51"/>
        <v>1</v>
      </c>
      <c r="HL67" s="8" t="str">
        <f t="shared" si="51"/>
        <v/>
      </c>
      <c r="HM67" s="8" t="str">
        <f t="shared" si="51"/>
        <v/>
      </c>
      <c r="HN67" s="8" t="str">
        <f t="shared" si="51"/>
        <v/>
      </c>
      <c r="HO67" s="8" t="str">
        <f t="shared" si="51"/>
        <v/>
      </c>
      <c r="HP67" s="8" t="str">
        <f t="shared" si="51"/>
        <v/>
      </c>
      <c r="HQ67" s="8" t="str">
        <f t="shared" si="51"/>
        <v/>
      </c>
      <c r="HR67" s="8" t="str">
        <f t="shared" si="51"/>
        <v/>
      </c>
      <c r="HS67" s="8" t="str">
        <f t="shared" si="51"/>
        <v/>
      </c>
      <c r="HT67" s="8" t="str">
        <f t="shared" si="51"/>
        <v/>
      </c>
      <c r="HU67" s="8" t="str">
        <f t="shared" si="51"/>
        <v/>
      </c>
      <c r="HV67" s="8" t="str">
        <f t="shared" si="51"/>
        <v/>
      </c>
      <c r="HW67" s="8" t="str">
        <f t="shared" si="51"/>
        <v/>
      </c>
      <c r="HX67" s="8" t="str">
        <f t="shared" si="51"/>
        <v/>
      </c>
      <c r="HY67" s="8" t="str">
        <f t="shared" si="51"/>
        <v/>
      </c>
      <c r="HZ67" s="8" t="str">
        <f t="shared" si="51"/>
        <v/>
      </c>
      <c r="IA67" s="8" t="str">
        <f t="shared" si="51"/>
        <v/>
      </c>
      <c r="IB67" s="8" t="str">
        <f t="shared" si="51"/>
        <v/>
      </c>
      <c r="IC67" s="8" t="str">
        <f t="shared" si="51"/>
        <v/>
      </c>
      <c r="ID67" s="8" t="str">
        <f t="shared" si="51"/>
        <v/>
      </c>
      <c r="IE67" s="8" t="str">
        <f t="shared" si="51"/>
        <v/>
      </c>
      <c r="IF67" s="8" t="str">
        <f t="shared" si="51"/>
        <v/>
      </c>
      <c r="IG67" s="8" t="str">
        <f t="shared" si="51"/>
        <v/>
      </c>
      <c r="IH67" s="8" t="str">
        <f t="shared" si="51"/>
        <v/>
      </c>
      <c r="II67" s="8" t="str">
        <f t="shared" si="51"/>
        <v/>
      </c>
      <c r="IJ67" s="8" t="str">
        <f t="shared" si="51"/>
        <v/>
      </c>
      <c r="IK67" s="8" t="str">
        <f t="shared" si="51"/>
        <v/>
      </c>
      <c r="IL67" s="8" t="str">
        <f t="shared" si="51"/>
        <v/>
      </c>
      <c r="IM67" s="8" t="str">
        <f t="shared" si="51"/>
        <v/>
      </c>
      <c r="IN67" s="8" t="str">
        <f t="shared" si="51"/>
        <v/>
      </c>
      <c r="IO67" s="8" t="str">
        <f t="shared" si="51"/>
        <v/>
      </c>
      <c r="IP67" s="8" t="str">
        <f t="shared" si="51"/>
        <v/>
      </c>
      <c r="IQ67" s="8" t="str">
        <f t="shared" si="51"/>
        <v/>
      </c>
      <c r="IR67" s="8" t="str">
        <f t="shared" si="51"/>
        <v/>
      </c>
      <c r="IS67" s="8" t="str">
        <f t="shared" si="51"/>
        <v/>
      </c>
      <c r="IT67" s="8" t="str">
        <f t="shared" si="51"/>
        <v/>
      </c>
      <c r="IU67" s="8" t="str">
        <f t="shared" si="51"/>
        <v/>
      </c>
      <c r="IV67" s="8" t="str">
        <f t="shared" si="51"/>
        <v/>
      </c>
    </row>
    <row r="68" spans="6:256" x14ac:dyDescent="0.2">
      <c r="F68">
        <v>201706</v>
      </c>
      <c r="G68" s="8">
        <f t="shared" ref="G68:BR68" si="52">IF(OR(H22 = "", H$8 &lt; G$8), "", IFERROR(H22/G22, ""))</f>
        <v>17.865775473863213</v>
      </c>
      <c r="H68" s="8">
        <f t="shared" si="52"/>
        <v>1.8551253616522718</v>
      </c>
      <c r="I68" s="8">
        <f t="shared" si="52"/>
        <v>1.4719076296770228</v>
      </c>
      <c r="J68" s="8">
        <f t="shared" si="52"/>
        <v>1.1031204509663015</v>
      </c>
      <c r="K68" s="8">
        <f t="shared" si="52"/>
        <v>1.0074682889748381</v>
      </c>
      <c r="L68" s="8">
        <f t="shared" si="52"/>
        <v>1.0352735761685914</v>
      </c>
      <c r="M68" s="8">
        <f t="shared" si="52"/>
        <v>1.009661686550382</v>
      </c>
      <c r="N68" s="8">
        <f t="shared" si="52"/>
        <v>1</v>
      </c>
      <c r="O68" s="8">
        <f t="shared" si="52"/>
        <v>1.004593072559177</v>
      </c>
      <c r="P68" s="8">
        <f t="shared" si="52"/>
        <v>1.0033614152907573</v>
      </c>
      <c r="Q68" s="8">
        <f t="shared" si="52"/>
        <v>1.0025541368727009</v>
      </c>
      <c r="R68" s="8">
        <f t="shared" si="52"/>
        <v>0.99952272219906857</v>
      </c>
      <c r="S68" s="8">
        <f t="shared" si="52"/>
        <v>1.0000098825869495</v>
      </c>
      <c r="T68" s="8">
        <f t="shared" si="52"/>
        <v>1.0019671297935342</v>
      </c>
      <c r="U68" s="8">
        <f t="shared" si="52"/>
        <v>1.0049496361754411</v>
      </c>
      <c r="V68" s="8">
        <f t="shared" si="52"/>
        <v>1</v>
      </c>
      <c r="W68" s="8">
        <f t="shared" si="52"/>
        <v>1.0004504208565392</v>
      </c>
      <c r="X68" s="8">
        <f t="shared" si="52"/>
        <v>1.0022220573950777</v>
      </c>
      <c r="Y68" s="8">
        <f t="shared" si="52"/>
        <v>1</v>
      </c>
      <c r="Z68" s="8">
        <f t="shared" si="52"/>
        <v>1.0002343026271991</v>
      </c>
      <c r="AA68" s="8">
        <f t="shared" si="52"/>
        <v>1.0000604708925904</v>
      </c>
      <c r="AB68" s="8">
        <f t="shared" si="52"/>
        <v>1.0008371182397751</v>
      </c>
      <c r="AC68" s="8">
        <f t="shared" si="52"/>
        <v>1.000027718083554</v>
      </c>
      <c r="AD68" s="8">
        <f t="shared" si="52"/>
        <v>1.0001009344400151</v>
      </c>
      <c r="AE68" s="8">
        <f t="shared" si="52"/>
        <v>1.001127310736601</v>
      </c>
      <c r="AF68" s="8">
        <f t="shared" si="52"/>
        <v>1.0035072528607296</v>
      </c>
      <c r="AG68" s="8">
        <f t="shared" si="52"/>
        <v>1</v>
      </c>
      <c r="AH68" s="8">
        <f t="shared" si="52"/>
        <v>1</v>
      </c>
      <c r="AI68" s="8">
        <f t="shared" si="52"/>
        <v>1</v>
      </c>
      <c r="AJ68" s="8">
        <f t="shared" si="52"/>
        <v>1.0000351331368813</v>
      </c>
      <c r="AK68" s="8">
        <f t="shared" si="52"/>
        <v>1.0013051294660928</v>
      </c>
      <c r="AL68" s="8">
        <f t="shared" si="52"/>
        <v>1.0003583687512105</v>
      </c>
      <c r="AM68" s="8">
        <f t="shared" si="52"/>
        <v>1.000057763518533</v>
      </c>
      <c r="AN68" s="8">
        <f t="shared" si="52"/>
        <v>1.0006842138938741</v>
      </c>
      <c r="AO68" s="8">
        <f t="shared" si="52"/>
        <v>1</v>
      </c>
      <c r="AP68" s="8">
        <f t="shared" si="52"/>
        <v>1.0000571357158168</v>
      </c>
      <c r="AQ68" s="8">
        <f t="shared" si="52"/>
        <v>1.0000810675017158</v>
      </c>
      <c r="AR68" s="8">
        <f t="shared" si="52"/>
        <v>1.0045831388905768</v>
      </c>
      <c r="AS68" s="8">
        <f t="shared" si="52"/>
        <v>1</v>
      </c>
      <c r="AT68" s="8">
        <f t="shared" si="52"/>
        <v>1</v>
      </c>
      <c r="AU68" s="8">
        <f t="shared" si="52"/>
        <v>1</v>
      </c>
      <c r="AV68" s="8">
        <f t="shared" si="52"/>
        <v>1.0002113387500771</v>
      </c>
      <c r="AW68" s="8">
        <f t="shared" si="52"/>
        <v>0.99978870590455282</v>
      </c>
      <c r="AX68" s="8">
        <f t="shared" si="52"/>
        <v>1.001548035959656</v>
      </c>
      <c r="AY68" s="8">
        <f t="shared" si="52"/>
        <v>1.0000104096508042</v>
      </c>
      <c r="AZ68" s="8">
        <f t="shared" si="52"/>
        <v>1</v>
      </c>
      <c r="BA68" s="8">
        <f t="shared" si="52"/>
        <v>1.0002110098992256</v>
      </c>
      <c r="BB68" s="8">
        <f t="shared" si="52"/>
        <v>1.0001269079347683</v>
      </c>
      <c r="BC68" s="8">
        <f t="shared" si="52"/>
        <v>1.0006792441232586</v>
      </c>
      <c r="BD68" s="8">
        <f t="shared" si="52"/>
        <v>1.0052535503488174</v>
      </c>
      <c r="BE68" s="8">
        <f t="shared" si="52"/>
        <v>1</v>
      </c>
      <c r="BF68" s="8">
        <f t="shared" si="52"/>
        <v>1</v>
      </c>
      <c r="BG68" s="8">
        <f t="shared" si="52"/>
        <v>1</v>
      </c>
      <c r="BH68" s="8">
        <f t="shared" si="52"/>
        <v>1.0011400453081394</v>
      </c>
      <c r="BI68" s="8">
        <f t="shared" si="52"/>
        <v>1.0004378646160053</v>
      </c>
      <c r="BJ68" s="8">
        <f t="shared" si="52"/>
        <v>1</v>
      </c>
      <c r="BK68" s="8">
        <f t="shared" si="52"/>
        <v>1.0002164820548212</v>
      </c>
      <c r="BL68" s="8">
        <f t="shared" si="52"/>
        <v>1.0000103260786712</v>
      </c>
      <c r="BM68" s="8">
        <f t="shared" si="52"/>
        <v>1.000073838986937</v>
      </c>
      <c r="BN68" s="8">
        <f t="shared" si="52"/>
        <v>1.0000799128523874</v>
      </c>
      <c r="BO68" s="8">
        <f t="shared" si="52"/>
        <v>1.0024534383426715</v>
      </c>
      <c r="BP68" s="8">
        <f t="shared" si="52"/>
        <v>1.0034279401876278</v>
      </c>
      <c r="BQ68" s="8">
        <f t="shared" si="52"/>
        <v>1.0023949700063366</v>
      </c>
      <c r="BR68" s="8">
        <f t="shared" si="52"/>
        <v>1</v>
      </c>
      <c r="BS68" s="8">
        <f t="shared" ref="BS68:ED68" si="53">IF(OR(BT22 = "", BT$8 &lt; BS$8), "", IFERROR(BT22/BS22, ""))</f>
        <v>1</v>
      </c>
      <c r="BT68" s="8">
        <f t="shared" si="53"/>
        <v>1.0011284507698255</v>
      </c>
      <c r="BU68" s="8">
        <f t="shared" si="53"/>
        <v>1.0002214261766704</v>
      </c>
      <c r="BV68" s="8">
        <f t="shared" si="53"/>
        <v>1.0018418143459049</v>
      </c>
      <c r="BW68" s="8">
        <f t="shared" si="53"/>
        <v>1</v>
      </c>
      <c r="BX68" s="8">
        <f t="shared" si="53"/>
        <v>1.0006811879988098</v>
      </c>
      <c r="BY68" s="8">
        <f t="shared" si="53"/>
        <v>1</v>
      </c>
      <c r="BZ68" s="8">
        <f t="shared" si="53"/>
        <v>1.0001518798260447</v>
      </c>
      <c r="CA68" s="8">
        <f t="shared" si="53"/>
        <v>1.0017577924407044</v>
      </c>
      <c r="CB68" s="8">
        <f t="shared" si="53"/>
        <v>1.0053895687680712</v>
      </c>
      <c r="CC68" s="8">
        <f t="shared" si="53"/>
        <v>1</v>
      </c>
      <c r="CD68" s="8">
        <f t="shared" si="53"/>
        <v>1</v>
      </c>
      <c r="CE68" s="8">
        <f t="shared" si="53"/>
        <v>1</v>
      </c>
      <c r="CF68" s="8">
        <f t="shared" si="53"/>
        <v>1.0031237281907039</v>
      </c>
      <c r="CG68" s="8">
        <f t="shared" si="53"/>
        <v>1</v>
      </c>
      <c r="CH68" s="8">
        <f t="shared" si="53"/>
        <v>1.0005105482373584</v>
      </c>
      <c r="CI68" s="8">
        <f t="shared" si="53"/>
        <v>1.000225377040729</v>
      </c>
      <c r="CJ68" s="8">
        <f t="shared" si="53"/>
        <v>1.0006584123022708</v>
      </c>
      <c r="CK68" s="8">
        <f t="shared" si="53"/>
        <v>1.0000868443832118</v>
      </c>
      <c r="CL68" s="8">
        <f t="shared" si="53"/>
        <v>1.000102730901018</v>
      </c>
      <c r="CM68" s="8">
        <f t="shared" si="53"/>
        <v>1.0017371137809328</v>
      </c>
      <c r="CN68" s="8" t="str">
        <f t="shared" si="53"/>
        <v/>
      </c>
      <c r="CO68" s="8" t="str">
        <f t="shared" si="53"/>
        <v/>
      </c>
      <c r="CP68" s="8" t="str">
        <f t="shared" si="53"/>
        <v/>
      </c>
      <c r="CQ68" s="8" t="str">
        <f t="shared" si="53"/>
        <v/>
      </c>
      <c r="CR68" s="8" t="str">
        <f t="shared" si="53"/>
        <v/>
      </c>
      <c r="CS68" s="8" t="str">
        <f t="shared" si="53"/>
        <v/>
      </c>
      <c r="CT68" s="8" t="str">
        <f t="shared" si="53"/>
        <v/>
      </c>
      <c r="CU68" s="8" t="str">
        <f t="shared" si="53"/>
        <v/>
      </c>
      <c r="CV68" s="8" t="str">
        <f t="shared" si="53"/>
        <v/>
      </c>
      <c r="CW68" s="8" t="str">
        <f t="shared" si="53"/>
        <v/>
      </c>
      <c r="CX68" s="8" t="str">
        <f t="shared" si="53"/>
        <v/>
      </c>
      <c r="CY68" s="8" t="str">
        <f t="shared" si="53"/>
        <v/>
      </c>
      <c r="CZ68" s="8" t="str">
        <f t="shared" si="53"/>
        <v/>
      </c>
      <c r="DA68" s="8" t="str">
        <f t="shared" si="53"/>
        <v/>
      </c>
      <c r="DB68" s="8" t="str">
        <f t="shared" si="53"/>
        <v/>
      </c>
      <c r="DC68" s="8" t="str">
        <f t="shared" si="53"/>
        <v/>
      </c>
      <c r="DD68" s="8" t="str">
        <f t="shared" si="53"/>
        <v/>
      </c>
      <c r="DE68" s="8" t="str">
        <f t="shared" si="53"/>
        <v/>
      </c>
      <c r="DF68" s="8" t="str">
        <f t="shared" si="53"/>
        <v/>
      </c>
      <c r="DG68" s="8" t="str">
        <f t="shared" si="53"/>
        <v/>
      </c>
      <c r="DH68" s="8" t="str">
        <f t="shared" si="53"/>
        <v/>
      </c>
      <c r="DI68" s="8" t="str">
        <f t="shared" si="53"/>
        <v/>
      </c>
      <c r="DJ68" s="8" t="str">
        <f t="shared" si="53"/>
        <v/>
      </c>
      <c r="DK68" s="8" t="str">
        <f t="shared" si="53"/>
        <v/>
      </c>
      <c r="DL68" s="8" t="str">
        <f t="shared" si="53"/>
        <v/>
      </c>
      <c r="DM68" s="8" t="str">
        <f t="shared" si="53"/>
        <v/>
      </c>
      <c r="DN68" s="8" t="str">
        <f t="shared" si="53"/>
        <v/>
      </c>
      <c r="DO68" s="8" t="str">
        <f t="shared" si="53"/>
        <v/>
      </c>
      <c r="DP68" s="8" t="str">
        <f t="shared" si="53"/>
        <v/>
      </c>
      <c r="DQ68" s="8" t="str">
        <f t="shared" si="53"/>
        <v/>
      </c>
      <c r="DR68" s="8" t="str">
        <f t="shared" si="53"/>
        <v/>
      </c>
      <c r="DS68" s="8" t="str">
        <f t="shared" si="53"/>
        <v/>
      </c>
      <c r="DT68" s="8" t="str">
        <f t="shared" si="53"/>
        <v/>
      </c>
      <c r="DU68" s="8" t="str">
        <f t="shared" si="53"/>
        <v/>
      </c>
      <c r="DV68" s="8" t="str">
        <f t="shared" si="53"/>
        <v/>
      </c>
      <c r="DW68" s="8" t="str">
        <f t="shared" si="53"/>
        <v/>
      </c>
      <c r="DX68" s="8" t="str">
        <f t="shared" si="53"/>
        <v/>
      </c>
      <c r="DY68" s="8" t="str">
        <f t="shared" si="53"/>
        <v/>
      </c>
      <c r="DZ68" s="8" t="str">
        <f t="shared" si="53"/>
        <v/>
      </c>
      <c r="EA68" s="8" t="str">
        <f t="shared" si="53"/>
        <v/>
      </c>
      <c r="EB68" s="8">
        <f t="shared" si="53"/>
        <v>2.4227112467861658</v>
      </c>
      <c r="EC68" s="8">
        <f t="shared" si="53"/>
        <v>1.668052231807825</v>
      </c>
      <c r="ED68" s="8">
        <f t="shared" si="53"/>
        <v>1.0911585294739272</v>
      </c>
      <c r="EE68" s="8">
        <f t="shared" ref="EE68:GP68" si="54">IF(OR(EF22 = "", EF$8 &lt; EE$8), "", IFERROR(EF22/EE22, ""))</f>
        <v>1.0180384210711397</v>
      </c>
      <c r="EF68" s="8">
        <f t="shared" si="54"/>
        <v>0.96956276866445912</v>
      </c>
      <c r="EG68" s="8">
        <f t="shared" si="54"/>
        <v>1.0003450189674399</v>
      </c>
      <c r="EH68" s="8">
        <f t="shared" si="54"/>
        <v>1.0001580120441451</v>
      </c>
      <c r="EI68" s="8">
        <f t="shared" si="54"/>
        <v>1.0000187380141019</v>
      </c>
      <c r="EJ68" s="8">
        <f t="shared" si="54"/>
        <v>0.99826017384520394</v>
      </c>
      <c r="EK68" s="8">
        <f t="shared" si="54"/>
        <v>1.0033559885212719</v>
      </c>
      <c r="EL68" s="8">
        <f t="shared" si="54"/>
        <v>1.0011822038618727</v>
      </c>
      <c r="EM68" s="8">
        <f t="shared" si="54"/>
        <v>0.99952283718574642</v>
      </c>
      <c r="EN68" s="8">
        <f t="shared" si="54"/>
        <v>1.0000098802048811</v>
      </c>
      <c r="EO68" s="8">
        <f t="shared" si="54"/>
        <v>1.0021404513575809</v>
      </c>
      <c r="EP68" s="8">
        <f t="shared" si="54"/>
        <v>1.0047163947502222</v>
      </c>
      <c r="EQ68" s="8">
        <f t="shared" si="54"/>
        <v>1.0000785731060806</v>
      </c>
      <c r="ER68" s="8">
        <f t="shared" si="54"/>
        <v>1.0001991397699239</v>
      </c>
      <c r="ES68" s="8">
        <f t="shared" si="54"/>
        <v>1.0022220367725969</v>
      </c>
      <c r="ET68" s="8">
        <f t="shared" si="54"/>
        <v>0.9999999880091176</v>
      </c>
      <c r="EU68" s="8">
        <f t="shared" si="54"/>
        <v>1.0002343004603129</v>
      </c>
      <c r="EV68" s="8">
        <f t="shared" si="54"/>
        <v>1.0001444670236241</v>
      </c>
      <c r="EW68" s="8">
        <f t="shared" si="54"/>
        <v>1.0007530556386808</v>
      </c>
      <c r="EX68" s="8">
        <f t="shared" si="54"/>
        <v>1.0000277178275003</v>
      </c>
      <c r="EY68" s="8">
        <f t="shared" si="54"/>
        <v>1.000100933507631</v>
      </c>
      <c r="EZ68" s="8">
        <f t="shared" si="54"/>
        <v>1.0011273003240932</v>
      </c>
      <c r="FA68" s="8">
        <f t="shared" si="54"/>
        <v>1.0035072205021485</v>
      </c>
      <c r="FB68" s="8">
        <f t="shared" si="54"/>
        <v>1</v>
      </c>
      <c r="FC68" s="8">
        <f t="shared" si="54"/>
        <v>1</v>
      </c>
      <c r="FD68" s="8">
        <f t="shared" si="54"/>
        <v>1</v>
      </c>
      <c r="FE68" s="8">
        <f t="shared" si="54"/>
        <v>1.0000351328138692</v>
      </c>
      <c r="FF68" s="8">
        <f t="shared" si="54"/>
        <v>1.0013051174672263</v>
      </c>
      <c r="FG68" s="8">
        <f t="shared" si="54"/>
        <v>1.0003583654607981</v>
      </c>
      <c r="FH68" s="8">
        <f t="shared" si="54"/>
        <v>1.0000577634460619</v>
      </c>
      <c r="FI68" s="8">
        <f t="shared" si="54"/>
        <v>1.0006750293754276</v>
      </c>
      <c r="FJ68" s="8">
        <f t="shared" si="54"/>
        <v>1</v>
      </c>
      <c r="FK68" s="8">
        <f t="shared" si="54"/>
        <v>1.0000571357158146</v>
      </c>
      <c r="FL68" s="8">
        <f t="shared" si="54"/>
        <v>1.0000810675017127</v>
      </c>
      <c r="FM68" s="8">
        <f t="shared" si="54"/>
        <v>1.0045831388904007</v>
      </c>
      <c r="FN68" s="8">
        <f t="shared" si="54"/>
        <v>1</v>
      </c>
      <c r="FO68" s="8">
        <f t="shared" si="54"/>
        <v>1</v>
      </c>
      <c r="FP68" s="8">
        <f t="shared" si="54"/>
        <v>1</v>
      </c>
      <c r="FQ68" s="8">
        <f t="shared" si="54"/>
        <v>1.0002113387500691</v>
      </c>
      <c r="FR68" s="8">
        <f t="shared" si="54"/>
        <v>0.99978870590456093</v>
      </c>
      <c r="FS68" s="8">
        <f t="shared" si="54"/>
        <v>1.001548035959597</v>
      </c>
      <c r="FT68" s="8">
        <f t="shared" si="54"/>
        <v>1.0000104096508038</v>
      </c>
      <c r="FU68" s="8">
        <f t="shared" si="54"/>
        <v>1</v>
      </c>
      <c r="FV68" s="8">
        <f t="shared" si="54"/>
        <v>1.0002110098992176</v>
      </c>
      <c r="FW68" s="8">
        <f t="shared" si="54"/>
        <v>1.0001269079347634</v>
      </c>
      <c r="FX68" s="8">
        <f t="shared" si="54"/>
        <v>1.0006792441232326</v>
      </c>
      <c r="FY68" s="8">
        <f t="shared" si="54"/>
        <v>1.0052535503486171</v>
      </c>
      <c r="FZ68" s="8">
        <f t="shared" si="54"/>
        <v>1.0045925769721435</v>
      </c>
      <c r="GA68" s="8">
        <f t="shared" si="54"/>
        <v>0.99542841836838403</v>
      </c>
      <c r="GB68" s="8">
        <f t="shared" si="54"/>
        <v>1</v>
      </c>
      <c r="GC68" s="8">
        <f t="shared" si="54"/>
        <v>1.0011400453080961</v>
      </c>
      <c r="GD68" s="8">
        <f t="shared" si="54"/>
        <v>1.0004378646159886</v>
      </c>
      <c r="GE68" s="8">
        <f t="shared" si="54"/>
        <v>1</v>
      </c>
      <c r="GF68" s="8">
        <f t="shared" si="54"/>
        <v>1.0002164820548129</v>
      </c>
      <c r="GG68" s="8">
        <f t="shared" si="54"/>
        <v>1.0000103260786708</v>
      </c>
      <c r="GH68" s="8">
        <f t="shared" si="54"/>
        <v>1.0000738389869341</v>
      </c>
      <c r="GI68" s="8">
        <f t="shared" si="54"/>
        <v>1.0000799128523843</v>
      </c>
      <c r="GJ68" s="8">
        <f t="shared" si="54"/>
        <v>1.0024534383425785</v>
      </c>
      <c r="GK68" s="8">
        <f t="shared" si="54"/>
        <v>1.0034279401874984</v>
      </c>
      <c r="GL68" s="8">
        <f t="shared" si="54"/>
        <v>1.0023949700062464</v>
      </c>
      <c r="GM68" s="8">
        <f t="shared" si="54"/>
        <v>1</v>
      </c>
      <c r="GN68" s="8">
        <f t="shared" si="54"/>
        <v>1</v>
      </c>
      <c r="GO68" s="8">
        <f t="shared" si="54"/>
        <v>1.0011284507697831</v>
      </c>
      <c r="GP68" s="8">
        <f t="shared" si="54"/>
        <v>1.0002214261766622</v>
      </c>
      <c r="GQ68" s="8">
        <f t="shared" ref="GQ68:IV68" si="55">IF(OR(GR22 = "", GR$8 &lt; GQ$8), "", IFERROR(GR22/GQ22, ""))</f>
        <v>1.0018418143458359</v>
      </c>
      <c r="GR68" s="8">
        <f t="shared" si="55"/>
        <v>1</v>
      </c>
      <c r="GS68" s="8">
        <f t="shared" si="55"/>
        <v>1.0006811879987842</v>
      </c>
      <c r="GT68" s="8">
        <f t="shared" si="55"/>
        <v>1</v>
      </c>
      <c r="GU68" s="8">
        <f t="shared" si="55"/>
        <v>1.0001518798260391</v>
      </c>
      <c r="GV68" s="8">
        <f t="shared" si="55"/>
        <v>1.0017577924406387</v>
      </c>
      <c r="GW68" s="8">
        <f t="shared" si="55"/>
        <v>1.00538956876787</v>
      </c>
      <c r="GX68" s="8">
        <f t="shared" si="55"/>
        <v>1</v>
      </c>
      <c r="GY68" s="8">
        <f t="shared" si="55"/>
        <v>1</v>
      </c>
      <c r="GZ68" s="8">
        <f t="shared" si="55"/>
        <v>1</v>
      </c>
      <c r="HA68" s="8">
        <f t="shared" si="55"/>
        <v>1.003123728190588</v>
      </c>
      <c r="HB68" s="8">
        <f t="shared" si="55"/>
        <v>1</v>
      </c>
      <c r="HC68" s="8">
        <f t="shared" si="55"/>
        <v>1.0005105482373395</v>
      </c>
      <c r="HD68" s="8">
        <f t="shared" si="55"/>
        <v>1.0002253770407206</v>
      </c>
      <c r="HE68" s="8">
        <f t="shared" si="55"/>
        <v>1.0006584123022464</v>
      </c>
      <c r="HF68" s="8">
        <f t="shared" si="55"/>
        <v>1.0000868443832087</v>
      </c>
      <c r="HG68" s="8">
        <f t="shared" si="55"/>
        <v>1.0001027309010142</v>
      </c>
      <c r="HH68" s="8">
        <f t="shared" si="55"/>
        <v>1.0017371137808686</v>
      </c>
      <c r="HI68" s="8" t="str">
        <f t="shared" si="55"/>
        <v/>
      </c>
      <c r="HJ68" s="8" t="str">
        <f t="shared" si="55"/>
        <v/>
      </c>
      <c r="HK68" s="8" t="str">
        <f t="shared" si="55"/>
        <v/>
      </c>
      <c r="HL68" s="8" t="str">
        <f t="shared" si="55"/>
        <v/>
      </c>
      <c r="HM68" s="8" t="str">
        <f t="shared" si="55"/>
        <v/>
      </c>
      <c r="HN68" s="8" t="str">
        <f t="shared" si="55"/>
        <v/>
      </c>
      <c r="HO68" s="8" t="str">
        <f t="shared" si="55"/>
        <v/>
      </c>
      <c r="HP68" s="8" t="str">
        <f t="shared" si="55"/>
        <v/>
      </c>
      <c r="HQ68" s="8" t="str">
        <f t="shared" si="55"/>
        <v/>
      </c>
      <c r="HR68" s="8" t="str">
        <f t="shared" si="55"/>
        <v/>
      </c>
      <c r="HS68" s="8" t="str">
        <f t="shared" si="55"/>
        <v/>
      </c>
      <c r="HT68" s="8" t="str">
        <f t="shared" si="55"/>
        <v/>
      </c>
      <c r="HU68" s="8" t="str">
        <f t="shared" si="55"/>
        <v/>
      </c>
      <c r="HV68" s="8" t="str">
        <f t="shared" si="55"/>
        <v/>
      </c>
      <c r="HW68" s="8" t="str">
        <f t="shared" si="55"/>
        <v/>
      </c>
      <c r="HX68" s="8" t="str">
        <f t="shared" si="55"/>
        <v/>
      </c>
      <c r="HY68" s="8" t="str">
        <f t="shared" si="55"/>
        <v/>
      </c>
      <c r="HZ68" s="8" t="str">
        <f t="shared" si="55"/>
        <v/>
      </c>
      <c r="IA68" s="8" t="str">
        <f t="shared" si="55"/>
        <v/>
      </c>
      <c r="IB68" s="8" t="str">
        <f t="shared" si="55"/>
        <v/>
      </c>
      <c r="IC68" s="8" t="str">
        <f t="shared" si="55"/>
        <v/>
      </c>
      <c r="ID68" s="8" t="str">
        <f t="shared" si="55"/>
        <v/>
      </c>
      <c r="IE68" s="8" t="str">
        <f t="shared" si="55"/>
        <v/>
      </c>
      <c r="IF68" s="8" t="str">
        <f t="shared" si="55"/>
        <v/>
      </c>
      <c r="IG68" s="8" t="str">
        <f t="shared" si="55"/>
        <v/>
      </c>
      <c r="IH68" s="8" t="str">
        <f t="shared" si="55"/>
        <v/>
      </c>
      <c r="II68" s="8" t="str">
        <f t="shared" si="55"/>
        <v/>
      </c>
      <c r="IJ68" s="8" t="str">
        <f t="shared" si="55"/>
        <v/>
      </c>
      <c r="IK68" s="8" t="str">
        <f t="shared" si="55"/>
        <v/>
      </c>
      <c r="IL68" s="8" t="str">
        <f t="shared" si="55"/>
        <v/>
      </c>
      <c r="IM68" s="8" t="str">
        <f t="shared" si="55"/>
        <v/>
      </c>
      <c r="IN68" s="8" t="str">
        <f t="shared" si="55"/>
        <v/>
      </c>
      <c r="IO68" s="8" t="str">
        <f t="shared" si="55"/>
        <v/>
      </c>
      <c r="IP68" s="8" t="str">
        <f t="shared" si="55"/>
        <v/>
      </c>
      <c r="IQ68" s="8" t="str">
        <f t="shared" si="55"/>
        <v/>
      </c>
      <c r="IR68" s="8" t="str">
        <f t="shared" si="55"/>
        <v/>
      </c>
      <c r="IS68" s="8" t="str">
        <f t="shared" si="55"/>
        <v/>
      </c>
      <c r="IT68" s="8" t="str">
        <f t="shared" si="55"/>
        <v/>
      </c>
      <c r="IU68" s="8" t="str">
        <f t="shared" si="55"/>
        <v/>
      </c>
      <c r="IV68" s="8" t="str">
        <f t="shared" si="55"/>
        <v/>
      </c>
    </row>
    <row r="69" spans="6:256" x14ac:dyDescent="0.2">
      <c r="F69">
        <v>201709</v>
      </c>
      <c r="G69" s="8" t="str">
        <f t="shared" ref="G69:BR69" si="56">IF(OR(H23 = "", H$8 &lt; G$8), "", IFERROR(H23/G23, ""))</f>
        <v/>
      </c>
      <c r="H69" s="8">
        <f t="shared" si="56"/>
        <v>3.4859693964940424</v>
      </c>
      <c r="I69" s="8">
        <f t="shared" si="56"/>
        <v>1.5118671888906769</v>
      </c>
      <c r="J69" s="8">
        <f t="shared" si="56"/>
        <v>1.2629938492398514</v>
      </c>
      <c r="K69" s="8">
        <f t="shared" si="56"/>
        <v>1.0072815168824401</v>
      </c>
      <c r="L69" s="8">
        <f t="shared" si="56"/>
        <v>1.0238252692185328</v>
      </c>
      <c r="M69" s="8">
        <f t="shared" si="56"/>
        <v>1.0083170386636575</v>
      </c>
      <c r="N69" s="8">
        <f t="shared" si="56"/>
        <v>1.0004906367316004</v>
      </c>
      <c r="O69" s="8">
        <f t="shared" si="56"/>
        <v>1.0014564764230185</v>
      </c>
      <c r="P69" s="8">
        <f t="shared" si="56"/>
        <v>1</v>
      </c>
      <c r="Q69" s="8">
        <f t="shared" si="56"/>
        <v>1.0000428683151767</v>
      </c>
      <c r="R69" s="8">
        <f t="shared" si="56"/>
        <v>1.0001730474459514</v>
      </c>
      <c r="S69" s="8">
        <f t="shared" si="56"/>
        <v>1.0129596382186032</v>
      </c>
      <c r="T69" s="8">
        <f t="shared" si="56"/>
        <v>1.0000425059343787</v>
      </c>
      <c r="U69" s="8">
        <f t="shared" si="56"/>
        <v>1.0047411489622984</v>
      </c>
      <c r="V69" s="8">
        <f t="shared" si="56"/>
        <v>1</v>
      </c>
      <c r="W69" s="8">
        <f t="shared" si="56"/>
        <v>1.0021819870377318</v>
      </c>
      <c r="X69" s="8">
        <f t="shared" si="56"/>
        <v>1.0647041485318844</v>
      </c>
      <c r="Y69" s="8">
        <f t="shared" si="56"/>
        <v>1.0001009665769165</v>
      </c>
      <c r="Z69" s="8">
        <f t="shared" si="56"/>
        <v>1</v>
      </c>
      <c r="AA69" s="8">
        <f t="shared" si="56"/>
        <v>1</v>
      </c>
      <c r="AB69" s="8">
        <f t="shared" si="56"/>
        <v>1.0000647200693822</v>
      </c>
      <c r="AC69" s="8">
        <f t="shared" si="56"/>
        <v>1</v>
      </c>
      <c r="AD69" s="8">
        <f t="shared" si="56"/>
        <v>1.0000284021871351</v>
      </c>
      <c r="AE69" s="8">
        <f t="shared" si="56"/>
        <v>1.0046860776791573</v>
      </c>
      <c r="AF69" s="8">
        <f t="shared" si="56"/>
        <v>1.0081129952207819</v>
      </c>
      <c r="AG69" s="8">
        <f t="shared" si="56"/>
        <v>1</v>
      </c>
      <c r="AH69" s="8">
        <f t="shared" si="56"/>
        <v>1</v>
      </c>
      <c r="AI69" s="8">
        <f t="shared" si="56"/>
        <v>1.0020594915271466</v>
      </c>
      <c r="AJ69" s="8">
        <f t="shared" si="56"/>
        <v>1</v>
      </c>
      <c r="AK69" s="8">
        <f t="shared" si="56"/>
        <v>1</v>
      </c>
      <c r="AL69" s="8">
        <f t="shared" si="56"/>
        <v>1</v>
      </c>
      <c r="AM69" s="8">
        <f t="shared" si="56"/>
        <v>1.0006387598293274</v>
      </c>
      <c r="AN69" s="8">
        <f t="shared" si="56"/>
        <v>1.0000636771593592</v>
      </c>
      <c r="AO69" s="8">
        <f t="shared" si="56"/>
        <v>1</v>
      </c>
      <c r="AP69" s="8">
        <f t="shared" si="56"/>
        <v>1</v>
      </c>
      <c r="AQ69" s="8">
        <f t="shared" si="56"/>
        <v>1.0002806661735113</v>
      </c>
      <c r="AR69" s="8">
        <f t="shared" si="56"/>
        <v>1</v>
      </c>
      <c r="AS69" s="8">
        <f t="shared" si="56"/>
        <v>1.0001570045291663</v>
      </c>
      <c r="AT69" s="8">
        <f t="shared" si="56"/>
        <v>1</v>
      </c>
      <c r="AU69" s="8">
        <f t="shared" si="56"/>
        <v>1.0014262325117946</v>
      </c>
      <c r="AV69" s="8">
        <f t="shared" si="56"/>
        <v>1</v>
      </c>
      <c r="AW69" s="8">
        <f t="shared" si="56"/>
        <v>1.0000079866345379</v>
      </c>
      <c r="AX69" s="8">
        <f t="shared" si="56"/>
        <v>1.0006371183790743</v>
      </c>
      <c r="AY69" s="8">
        <f t="shared" si="56"/>
        <v>1</v>
      </c>
      <c r="AZ69" s="8">
        <f t="shared" si="56"/>
        <v>1</v>
      </c>
      <c r="BA69" s="8">
        <f t="shared" si="56"/>
        <v>1.0000635546542838</v>
      </c>
      <c r="BB69" s="8">
        <f t="shared" si="56"/>
        <v>1</v>
      </c>
      <c r="BC69" s="8">
        <f t="shared" si="56"/>
        <v>1.0002125476602046</v>
      </c>
      <c r="BD69" s="8">
        <f t="shared" si="56"/>
        <v>1.0000278863950776</v>
      </c>
      <c r="BE69" s="8">
        <f t="shared" si="56"/>
        <v>1.0001961035889946</v>
      </c>
      <c r="BF69" s="8">
        <f t="shared" si="56"/>
        <v>1</v>
      </c>
      <c r="BG69" s="8">
        <f t="shared" si="56"/>
        <v>1.0014225715632745</v>
      </c>
      <c r="BH69" s="8">
        <f t="shared" si="56"/>
        <v>1</v>
      </c>
      <c r="BI69" s="8">
        <f t="shared" si="56"/>
        <v>1</v>
      </c>
      <c r="BJ69" s="8">
        <f t="shared" si="56"/>
        <v>1.0006354903797763</v>
      </c>
      <c r="BK69" s="8">
        <f t="shared" si="56"/>
        <v>1</v>
      </c>
      <c r="BL69" s="8">
        <f t="shared" si="56"/>
        <v>1.0000633958620209</v>
      </c>
      <c r="BM69" s="8">
        <f t="shared" si="56"/>
        <v>1</v>
      </c>
      <c r="BN69" s="8">
        <f t="shared" si="56"/>
        <v>1.0002120049255285</v>
      </c>
      <c r="BO69" s="8">
        <f t="shared" si="56"/>
        <v>1.0185496674774066</v>
      </c>
      <c r="BP69" s="8">
        <f t="shared" si="56"/>
        <v>1.0001048691976442</v>
      </c>
      <c r="BQ69" s="8">
        <f t="shared" si="56"/>
        <v>1.0001260454218233</v>
      </c>
      <c r="BR69" s="8">
        <f t="shared" si="56"/>
        <v>1</v>
      </c>
      <c r="BS69" s="8">
        <f t="shared" ref="BS69:ED69" si="57">IF(OR(BT23 = "", BT$8 &lt; BS$8), "", IFERROR(BT23/BS23, ""))</f>
        <v>1.0018026705226419</v>
      </c>
      <c r="BT69" s="8">
        <f t="shared" si="57"/>
        <v>1</v>
      </c>
      <c r="BU69" s="8">
        <f t="shared" si="57"/>
        <v>1</v>
      </c>
      <c r="BV69" s="8">
        <f t="shared" si="57"/>
        <v>1.000622083680323</v>
      </c>
      <c r="BW69" s="8">
        <f t="shared" si="57"/>
        <v>1</v>
      </c>
      <c r="BX69" s="8">
        <f t="shared" si="57"/>
        <v>1.000062059255052</v>
      </c>
      <c r="BY69" s="8">
        <f t="shared" si="57"/>
        <v>1</v>
      </c>
      <c r="BZ69" s="8">
        <f t="shared" si="57"/>
        <v>1.0002463117631373</v>
      </c>
      <c r="CA69" s="8">
        <f t="shared" si="57"/>
        <v>1.0000657921976606</v>
      </c>
      <c r="CB69" s="8">
        <f t="shared" si="57"/>
        <v>1</v>
      </c>
      <c r="CC69" s="8">
        <f t="shared" si="57"/>
        <v>1.0001256775158966</v>
      </c>
      <c r="CD69" s="8">
        <f t="shared" si="57"/>
        <v>1</v>
      </c>
      <c r="CE69" s="8">
        <f t="shared" si="57"/>
        <v>1.0017131951886893</v>
      </c>
      <c r="CF69" s="8">
        <f t="shared" si="57"/>
        <v>1</v>
      </c>
      <c r="CG69" s="8">
        <f t="shared" si="57"/>
        <v>1</v>
      </c>
      <c r="CH69" s="8">
        <f t="shared" si="57"/>
        <v>1.0011642873252549</v>
      </c>
      <c r="CI69" s="8">
        <f t="shared" si="57"/>
        <v>1</v>
      </c>
      <c r="CJ69" s="8">
        <f t="shared" si="57"/>
        <v>1</v>
      </c>
      <c r="CK69" s="8" t="str">
        <f t="shared" si="57"/>
        <v/>
      </c>
      <c r="CL69" s="8" t="str">
        <f t="shared" si="57"/>
        <v/>
      </c>
      <c r="CM69" s="8" t="str">
        <f t="shared" si="57"/>
        <v/>
      </c>
      <c r="CN69" s="8" t="str">
        <f t="shared" si="57"/>
        <v/>
      </c>
      <c r="CO69" s="8" t="str">
        <f t="shared" si="57"/>
        <v/>
      </c>
      <c r="CP69" s="8" t="str">
        <f t="shared" si="57"/>
        <v/>
      </c>
      <c r="CQ69" s="8" t="str">
        <f t="shared" si="57"/>
        <v/>
      </c>
      <c r="CR69" s="8" t="str">
        <f t="shared" si="57"/>
        <v/>
      </c>
      <c r="CS69" s="8" t="str">
        <f t="shared" si="57"/>
        <v/>
      </c>
      <c r="CT69" s="8" t="str">
        <f t="shared" si="57"/>
        <v/>
      </c>
      <c r="CU69" s="8" t="str">
        <f t="shared" si="57"/>
        <v/>
      </c>
      <c r="CV69" s="8" t="str">
        <f t="shared" si="57"/>
        <v/>
      </c>
      <c r="CW69" s="8" t="str">
        <f t="shared" si="57"/>
        <v/>
      </c>
      <c r="CX69" s="8" t="str">
        <f t="shared" si="57"/>
        <v/>
      </c>
      <c r="CY69" s="8" t="str">
        <f t="shared" si="57"/>
        <v/>
      </c>
      <c r="CZ69" s="8" t="str">
        <f t="shared" si="57"/>
        <v/>
      </c>
      <c r="DA69" s="8" t="str">
        <f t="shared" si="57"/>
        <v/>
      </c>
      <c r="DB69" s="8" t="str">
        <f t="shared" si="57"/>
        <v/>
      </c>
      <c r="DC69" s="8" t="str">
        <f t="shared" si="57"/>
        <v/>
      </c>
      <c r="DD69" s="8" t="str">
        <f t="shared" si="57"/>
        <v/>
      </c>
      <c r="DE69" s="8" t="str">
        <f t="shared" si="57"/>
        <v/>
      </c>
      <c r="DF69" s="8" t="str">
        <f t="shared" si="57"/>
        <v/>
      </c>
      <c r="DG69" s="8" t="str">
        <f t="shared" si="57"/>
        <v/>
      </c>
      <c r="DH69" s="8" t="str">
        <f t="shared" si="57"/>
        <v/>
      </c>
      <c r="DI69" s="8" t="str">
        <f t="shared" si="57"/>
        <v/>
      </c>
      <c r="DJ69" s="8" t="str">
        <f t="shared" si="57"/>
        <v/>
      </c>
      <c r="DK69" s="8" t="str">
        <f t="shared" si="57"/>
        <v/>
      </c>
      <c r="DL69" s="8" t="str">
        <f t="shared" si="57"/>
        <v/>
      </c>
      <c r="DM69" s="8" t="str">
        <f t="shared" si="57"/>
        <v/>
      </c>
      <c r="DN69" s="8" t="str">
        <f t="shared" si="57"/>
        <v/>
      </c>
      <c r="DO69" s="8" t="str">
        <f t="shared" si="57"/>
        <v/>
      </c>
      <c r="DP69" s="8" t="str">
        <f t="shared" si="57"/>
        <v/>
      </c>
      <c r="DQ69" s="8" t="str">
        <f t="shared" si="57"/>
        <v/>
      </c>
      <c r="DR69" s="8" t="str">
        <f t="shared" si="57"/>
        <v/>
      </c>
      <c r="DS69" s="8" t="str">
        <f t="shared" si="57"/>
        <v/>
      </c>
      <c r="DT69" s="8" t="str">
        <f t="shared" si="57"/>
        <v/>
      </c>
      <c r="DU69" s="8" t="str">
        <f t="shared" si="57"/>
        <v/>
      </c>
      <c r="DV69" s="8" t="str">
        <f t="shared" si="57"/>
        <v/>
      </c>
      <c r="DW69" s="8" t="str">
        <f t="shared" si="57"/>
        <v/>
      </c>
      <c r="DX69" s="8" t="str">
        <f t="shared" si="57"/>
        <v/>
      </c>
      <c r="DY69" s="8" t="str">
        <f t="shared" si="57"/>
        <v/>
      </c>
      <c r="DZ69" s="8" t="str">
        <f t="shared" si="57"/>
        <v/>
      </c>
      <c r="EA69" s="8" t="str">
        <f t="shared" si="57"/>
        <v/>
      </c>
      <c r="EB69" s="8">
        <f t="shared" si="57"/>
        <v>6.0919130329766871</v>
      </c>
      <c r="EC69" s="8">
        <f t="shared" si="57"/>
        <v>1.412153807722379</v>
      </c>
      <c r="ED69" s="8">
        <f t="shared" si="57"/>
        <v>1.1850527497973309</v>
      </c>
      <c r="EE69" s="8">
        <f t="shared" ref="EE69:GP69" si="58">IF(OR(EF23 = "", EF$8 &lt; EE$8), "", IFERROR(EF23/EE23, ""))</f>
        <v>0.99958685015440041</v>
      </c>
      <c r="EF69" s="8">
        <f t="shared" si="58"/>
        <v>1.0229533157554467</v>
      </c>
      <c r="EG69" s="8">
        <f t="shared" si="58"/>
        <v>0.99943552248686862</v>
      </c>
      <c r="EH69" s="8">
        <f t="shared" si="58"/>
        <v>0.99996845257599298</v>
      </c>
      <c r="EI69" s="8">
        <f t="shared" si="58"/>
        <v>1.0004750824094992</v>
      </c>
      <c r="EJ69" s="8">
        <f t="shared" si="58"/>
        <v>1.0001681083888927</v>
      </c>
      <c r="EK69" s="8">
        <f t="shared" si="58"/>
        <v>0.99988708560274542</v>
      </c>
      <c r="EL69" s="8">
        <f t="shared" si="58"/>
        <v>1.0000372704097029</v>
      </c>
      <c r="EM69" s="8">
        <f t="shared" si="58"/>
        <v>0.99157273903679055</v>
      </c>
      <c r="EN69" s="8">
        <f t="shared" si="58"/>
        <v>1.0082115562812766</v>
      </c>
      <c r="EO69" s="8">
        <f t="shared" si="58"/>
        <v>1.0017082256297822</v>
      </c>
      <c r="EP69" s="8">
        <f t="shared" si="58"/>
        <v>1.0000704157491516</v>
      </c>
      <c r="EQ69" s="8">
        <f t="shared" si="58"/>
        <v>0.99998140468480079</v>
      </c>
      <c r="ER69" s="8">
        <f t="shared" si="58"/>
        <v>1.0654109576436932</v>
      </c>
      <c r="ES69" s="8">
        <f t="shared" si="58"/>
        <v>1.0005885655251336</v>
      </c>
      <c r="ET69" s="8">
        <f t="shared" si="58"/>
        <v>1.0000996108423343</v>
      </c>
      <c r="EU69" s="8">
        <f t="shared" si="58"/>
        <v>1</v>
      </c>
      <c r="EV69" s="8">
        <f t="shared" si="58"/>
        <v>1.0562766604439533</v>
      </c>
      <c r="EW69" s="8">
        <f t="shared" si="58"/>
        <v>0.94678211549530678</v>
      </c>
      <c r="EX69" s="8">
        <f t="shared" si="58"/>
        <v>1</v>
      </c>
      <c r="EY69" s="8">
        <f t="shared" si="58"/>
        <v>1.0000280208774479</v>
      </c>
      <c r="EZ69" s="8">
        <f t="shared" si="58"/>
        <v>1.004702385988981</v>
      </c>
      <c r="FA69" s="8">
        <f t="shared" si="58"/>
        <v>1.0004011602823928</v>
      </c>
      <c r="FB69" s="8">
        <f t="shared" si="58"/>
        <v>1</v>
      </c>
      <c r="FC69" s="8">
        <f t="shared" si="58"/>
        <v>0.99968351410632528</v>
      </c>
      <c r="FD69" s="8">
        <f t="shared" si="58"/>
        <v>1.0037386931872307</v>
      </c>
      <c r="FE69" s="8">
        <f t="shared" si="58"/>
        <v>1.0000003582924173</v>
      </c>
      <c r="FF69" s="8">
        <f t="shared" si="58"/>
        <v>1</v>
      </c>
      <c r="FG69" s="8">
        <f t="shared" si="58"/>
        <v>1</v>
      </c>
      <c r="FH69" s="8">
        <f t="shared" si="58"/>
        <v>1.0006341702123447</v>
      </c>
      <c r="FI69" s="8">
        <f t="shared" si="58"/>
        <v>1.000063219916218</v>
      </c>
      <c r="FJ69" s="8">
        <f t="shared" si="58"/>
        <v>0.99450299278922505</v>
      </c>
      <c r="FK69" s="8">
        <f t="shared" si="58"/>
        <v>1</v>
      </c>
      <c r="FL69" s="8">
        <f t="shared" si="58"/>
        <v>1.0002801911492392</v>
      </c>
      <c r="FM69" s="8">
        <f t="shared" si="58"/>
        <v>1</v>
      </c>
      <c r="FN69" s="8">
        <f t="shared" si="58"/>
        <v>1.0001647461829173</v>
      </c>
      <c r="FO69" s="8">
        <f t="shared" si="58"/>
        <v>1</v>
      </c>
      <c r="FP69" s="8">
        <f t="shared" si="58"/>
        <v>1.002851460852088</v>
      </c>
      <c r="FQ69" s="8">
        <f t="shared" si="58"/>
        <v>0.99857649127017722</v>
      </c>
      <c r="FR69" s="8">
        <f t="shared" si="58"/>
        <v>0.99999997807403562</v>
      </c>
      <c r="FS69" s="8">
        <f t="shared" si="58"/>
        <v>1.0006360420220086</v>
      </c>
      <c r="FT69" s="8">
        <f t="shared" si="58"/>
        <v>1</v>
      </c>
      <c r="FU69" s="8">
        <f t="shared" si="58"/>
        <v>1</v>
      </c>
      <c r="FV69" s="8">
        <f t="shared" si="58"/>
        <v>1.0000634473523742</v>
      </c>
      <c r="FW69" s="8">
        <f t="shared" si="58"/>
        <v>1</v>
      </c>
      <c r="FX69" s="8">
        <f t="shared" si="58"/>
        <v>1.0002121888301052</v>
      </c>
      <c r="FY69" s="8">
        <f t="shared" si="58"/>
        <v>1.0000278393263162</v>
      </c>
      <c r="FZ69" s="8">
        <f t="shared" si="58"/>
        <v>1.0001957725997772</v>
      </c>
      <c r="GA69" s="8">
        <f t="shared" si="58"/>
        <v>1</v>
      </c>
      <c r="GB69" s="8">
        <f t="shared" si="58"/>
        <v>1.0014201709764816</v>
      </c>
      <c r="GC69" s="8">
        <f t="shared" si="58"/>
        <v>1</v>
      </c>
      <c r="GD69" s="8">
        <f t="shared" si="58"/>
        <v>1.0000004201209449</v>
      </c>
      <c r="GE69" s="8">
        <f t="shared" si="58"/>
        <v>1.0006344192452583</v>
      </c>
      <c r="GF69" s="8">
        <f t="shared" si="58"/>
        <v>1</v>
      </c>
      <c r="GG69" s="8">
        <f t="shared" si="58"/>
        <v>1.0000632890744989</v>
      </c>
      <c r="GH69" s="8">
        <f t="shared" si="58"/>
        <v>1</v>
      </c>
      <c r="GI69" s="8">
        <f t="shared" si="58"/>
        <v>1.0002116478352208</v>
      </c>
      <c r="GJ69" s="8">
        <f t="shared" si="58"/>
        <v>1.0185184299728236</v>
      </c>
      <c r="GK69" s="8">
        <f t="shared" si="58"/>
        <v>1.0001046958095563</v>
      </c>
      <c r="GL69" s="8">
        <f t="shared" si="58"/>
        <v>1.0001258370433166</v>
      </c>
      <c r="GM69" s="8">
        <f t="shared" si="58"/>
        <v>0.99834700629841311</v>
      </c>
      <c r="GN69" s="8">
        <f t="shared" si="58"/>
        <v>1.0018026705226419</v>
      </c>
      <c r="GO69" s="8">
        <f t="shared" si="58"/>
        <v>1</v>
      </c>
      <c r="GP69" s="8">
        <f t="shared" si="58"/>
        <v>1</v>
      </c>
      <c r="GQ69" s="8">
        <f t="shared" ref="GQ69:IV69" si="59">IF(OR(GR23 = "", GR$8 &lt; GQ$8), "", IFERROR(GR23/GQ23, ""))</f>
        <v>1.000622083680323</v>
      </c>
      <c r="GR69" s="8">
        <f t="shared" si="59"/>
        <v>1</v>
      </c>
      <c r="GS69" s="8">
        <f t="shared" si="59"/>
        <v>1.000062059255052</v>
      </c>
      <c r="GT69" s="8">
        <f t="shared" si="59"/>
        <v>1</v>
      </c>
      <c r="GU69" s="8">
        <f t="shared" si="59"/>
        <v>1.0002463117631373</v>
      </c>
      <c r="GV69" s="8">
        <f t="shared" si="59"/>
        <v>1.0000657921976606</v>
      </c>
      <c r="GW69" s="8">
        <f t="shared" si="59"/>
        <v>1</v>
      </c>
      <c r="GX69" s="8">
        <f t="shared" si="59"/>
        <v>1.0001256775158966</v>
      </c>
      <c r="GY69" s="8">
        <f t="shared" si="59"/>
        <v>1</v>
      </c>
      <c r="GZ69" s="8">
        <f t="shared" si="59"/>
        <v>1.0017131951886893</v>
      </c>
      <c r="HA69" s="8">
        <f t="shared" si="59"/>
        <v>1</v>
      </c>
      <c r="HB69" s="8">
        <f t="shared" si="59"/>
        <v>1</v>
      </c>
      <c r="HC69" s="8">
        <f t="shared" si="59"/>
        <v>1.0011642873252549</v>
      </c>
      <c r="HD69" s="8">
        <f t="shared" si="59"/>
        <v>1</v>
      </c>
      <c r="HE69" s="8">
        <f t="shared" si="59"/>
        <v>1</v>
      </c>
      <c r="HF69" s="8" t="str">
        <f t="shared" si="59"/>
        <v/>
      </c>
      <c r="HG69" s="8" t="str">
        <f t="shared" si="59"/>
        <v/>
      </c>
      <c r="HH69" s="8" t="str">
        <f t="shared" si="59"/>
        <v/>
      </c>
      <c r="HI69" s="8" t="str">
        <f t="shared" si="59"/>
        <v/>
      </c>
      <c r="HJ69" s="8" t="str">
        <f t="shared" si="59"/>
        <v/>
      </c>
      <c r="HK69" s="8" t="str">
        <f t="shared" si="59"/>
        <v/>
      </c>
      <c r="HL69" s="8" t="str">
        <f t="shared" si="59"/>
        <v/>
      </c>
      <c r="HM69" s="8" t="str">
        <f t="shared" si="59"/>
        <v/>
      </c>
      <c r="HN69" s="8" t="str">
        <f t="shared" si="59"/>
        <v/>
      </c>
      <c r="HO69" s="8" t="str">
        <f t="shared" si="59"/>
        <v/>
      </c>
      <c r="HP69" s="8" t="str">
        <f t="shared" si="59"/>
        <v/>
      </c>
      <c r="HQ69" s="8" t="str">
        <f t="shared" si="59"/>
        <v/>
      </c>
      <c r="HR69" s="8" t="str">
        <f t="shared" si="59"/>
        <v/>
      </c>
      <c r="HS69" s="8" t="str">
        <f t="shared" si="59"/>
        <v/>
      </c>
      <c r="HT69" s="8" t="str">
        <f t="shared" si="59"/>
        <v/>
      </c>
      <c r="HU69" s="8" t="str">
        <f t="shared" si="59"/>
        <v/>
      </c>
      <c r="HV69" s="8" t="str">
        <f t="shared" si="59"/>
        <v/>
      </c>
      <c r="HW69" s="8" t="str">
        <f t="shared" si="59"/>
        <v/>
      </c>
      <c r="HX69" s="8" t="str">
        <f t="shared" si="59"/>
        <v/>
      </c>
      <c r="HY69" s="8" t="str">
        <f t="shared" si="59"/>
        <v/>
      </c>
      <c r="HZ69" s="8" t="str">
        <f t="shared" si="59"/>
        <v/>
      </c>
      <c r="IA69" s="8" t="str">
        <f t="shared" si="59"/>
        <v/>
      </c>
      <c r="IB69" s="8" t="str">
        <f t="shared" si="59"/>
        <v/>
      </c>
      <c r="IC69" s="8" t="str">
        <f t="shared" si="59"/>
        <v/>
      </c>
      <c r="ID69" s="8" t="str">
        <f t="shared" si="59"/>
        <v/>
      </c>
      <c r="IE69" s="8" t="str">
        <f t="shared" si="59"/>
        <v/>
      </c>
      <c r="IF69" s="8" t="str">
        <f t="shared" si="59"/>
        <v/>
      </c>
      <c r="IG69" s="8" t="str">
        <f t="shared" si="59"/>
        <v/>
      </c>
      <c r="IH69" s="8" t="str">
        <f t="shared" si="59"/>
        <v/>
      </c>
      <c r="II69" s="8" t="str">
        <f t="shared" si="59"/>
        <v/>
      </c>
      <c r="IJ69" s="8" t="str">
        <f t="shared" si="59"/>
        <v/>
      </c>
      <c r="IK69" s="8" t="str">
        <f t="shared" si="59"/>
        <v/>
      </c>
      <c r="IL69" s="8" t="str">
        <f t="shared" si="59"/>
        <v/>
      </c>
      <c r="IM69" s="8" t="str">
        <f t="shared" si="59"/>
        <v/>
      </c>
      <c r="IN69" s="8" t="str">
        <f t="shared" si="59"/>
        <v/>
      </c>
      <c r="IO69" s="8" t="str">
        <f t="shared" si="59"/>
        <v/>
      </c>
      <c r="IP69" s="8" t="str">
        <f t="shared" si="59"/>
        <v/>
      </c>
      <c r="IQ69" s="8" t="str">
        <f t="shared" si="59"/>
        <v/>
      </c>
      <c r="IR69" s="8" t="str">
        <f t="shared" si="59"/>
        <v/>
      </c>
      <c r="IS69" s="8" t="str">
        <f t="shared" si="59"/>
        <v/>
      </c>
      <c r="IT69" s="8" t="str">
        <f t="shared" si="59"/>
        <v/>
      </c>
      <c r="IU69" s="8" t="str">
        <f t="shared" si="59"/>
        <v/>
      </c>
      <c r="IV69" s="8" t="str">
        <f t="shared" si="59"/>
        <v/>
      </c>
    </row>
    <row r="70" spans="6:256" x14ac:dyDescent="0.2">
      <c r="F70">
        <v>201712</v>
      </c>
      <c r="G70" s="8">
        <f t="shared" ref="G70:BR70" si="60">IF(OR(H24 = "", H$8 &lt; G$8), "", IFERROR(H24/G24, ""))</f>
        <v>14.149496357687147</v>
      </c>
      <c r="H70" s="8">
        <f t="shared" si="60"/>
        <v>2.0515160899964959</v>
      </c>
      <c r="I70" s="8">
        <f t="shared" si="60"/>
        <v>1.4234843212478356</v>
      </c>
      <c r="J70" s="8">
        <f t="shared" si="60"/>
        <v>1.1180546859328275</v>
      </c>
      <c r="K70" s="8">
        <f t="shared" si="60"/>
        <v>1.1002754165909374</v>
      </c>
      <c r="L70" s="8">
        <f t="shared" si="60"/>
        <v>1.0523389635089921</v>
      </c>
      <c r="M70" s="8">
        <f t="shared" si="60"/>
        <v>1.0070120333425938</v>
      </c>
      <c r="N70" s="8">
        <f t="shared" si="60"/>
        <v>1</v>
      </c>
      <c r="O70" s="8">
        <f t="shared" si="60"/>
        <v>1.0040573290017336</v>
      </c>
      <c r="P70" s="8">
        <f t="shared" si="60"/>
        <v>0.99995956270069319</v>
      </c>
      <c r="Q70" s="8">
        <f t="shared" si="60"/>
        <v>1</v>
      </c>
      <c r="R70" s="8">
        <f t="shared" si="60"/>
        <v>1.0061343853506168</v>
      </c>
      <c r="S70" s="8">
        <f t="shared" si="60"/>
        <v>1</v>
      </c>
      <c r="T70" s="8">
        <f t="shared" si="60"/>
        <v>1.0006043042982529</v>
      </c>
      <c r="U70" s="8">
        <f t="shared" si="60"/>
        <v>1.0000674494792698</v>
      </c>
      <c r="V70" s="8">
        <f t="shared" si="60"/>
        <v>1</v>
      </c>
      <c r="W70" s="8">
        <f t="shared" si="60"/>
        <v>1</v>
      </c>
      <c r="X70" s="8">
        <f t="shared" si="60"/>
        <v>1</v>
      </c>
      <c r="Y70" s="8">
        <f t="shared" si="60"/>
        <v>1.0004993897904535</v>
      </c>
      <c r="Z70" s="8">
        <f t="shared" si="60"/>
        <v>1.0005534787527186</v>
      </c>
      <c r="AA70" s="8">
        <f t="shared" si="60"/>
        <v>1</v>
      </c>
      <c r="AB70" s="8">
        <f t="shared" si="60"/>
        <v>1</v>
      </c>
      <c r="AC70" s="8">
        <f t="shared" si="60"/>
        <v>1</v>
      </c>
      <c r="AD70" s="8">
        <f t="shared" si="60"/>
        <v>1</v>
      </c>
      <c r="AE70" s="8">
        <f t="shared" si="60"/>
        <v>1.0249027418289169</v>
      </c>
      <c r="AF70" s="8">
        <f t="shared" si="60"/>
        <v>0.99996015188019938</v>
      </c>
      <c r="AG70" s="8">
        <f t="shared" si="60"/>
        <v>1.0001495028148448</v>
      </c>
      <c r="AH70" s="8">
        <f t="shared" si="60"/>
        <v>1.0000817218144857</v>
      </c>
      <c r="AI70" s="8">
        <f t="shared" si="60"/>
        <v>1.0004390245129777</v>
      </c>
      <c r="AJ70" s="8">
        <f t="shared" si="60"/>
        <v>1.0001322351441924</v>
      </c>
      <c r="AK70" s="8">
        <f t="shared" si="60"/>
        <v>1</v>
      </c>
      <c r="AL70" s="8">
        <f t="shared" si="60"/>
        <v>1.0002858397118413</v>
      </c>
      <c r="AM70" s="8">
        <f t="shared" si="60"/>
        <v>1.0009152851031451</v>
      </c>
      <c r="AN70" s="8">
        <f t="shared" si="60"/>
        <v>1</v>
      </c>
      <c r="AO70" s="8">
        <f t="shared" si="60"/>
        <v>1</v>
      </c>
      <c r="AP70" s="8">
        <f t="shared" si="60"/>
        <v>1</v>
      </c>
      <c r="AQ70" s="8">
        <f t="shared" si="60"/>
        <v>1.0000563411321313</v>
      </c>
      <c r="AR70" s="8">
        <f t="shared" si="60"/>
        <v>1.0002763926944476</v>
      </c>
      <c r="AS70" s="8">
        <f t="shared" si="60"/>
        <v>1</v>
      </c>
      <c r="AT70" s="8">
        <f t="shared" si="60"/>
        <v>1.0003138328116226</v>
      </c>
      <c r="AU70" s="8">
        <f t="shared" si="60"/>
        <v>1</v>
      </c>
      <c r="AV70" s="8">
        <f t="shared" si="60"/>
        <v>1.0000655656180577</v>
      </c>
      <c r="AW70" s="8">
        <f t="shared" si="60"/>
        <v>1.0013659546577434</v>
      </c>
      <c r="AX70" s="8">
        <f t="shared" si="60"/>
        <v>1</v>
      </c>
      <c r="AY70" s="8">
        <f t="shared" si="60"/>
        <v>1.0006238462827741</v>
      </c>
      <c r="AZ70" s="8">
        <f t="shared" si="60"/>
        <v>1.0000810966735161</v>
      </c>
      <c r="BA70" s="8">
        <f t="shared" si="60"/>
        <v>1</v>
      </c>
      <c r="BB70" s="8">
        <f t="shared" si="60"/>
        <v>1</v>
      </c>
      <c r="BC70" s="8">
        <f t="shared" si="60"/>
        <v>1.0000561846196665</v>
      </c>
      <c r="BD70" s="8">
        <f t="shared" si="60"/>
        <v>1.0095268845157801</v>
      </c>
      <c r="BE70" s="8">
        <f t="shared" si="60"/>
        <v>1</v>
      </c>
      <c r="BF70" s="8">
        <f t="shared" si="60"/>
        <v>1</v>
      </c>
      <c r="BG70" s="8">
        <f t="shared" si="60"/>
        <v>1.0004328813396182</v>
      </c>
      <c r="BH70" s="8">
        <f t="shared" si="60"/>
        <v>1.0003023836758751</v>
      </c>
      <c r="BI70" s="8">
        <f t="shared" si="60"/>
        <v>1.000617035249376</v>
      </c>
      <c r="BJ70" s="8">
        <f t="shared" si="60"/>
        <v>1</v>
      </c>
      <c r="BK70" s="8">
        <f t="shared" si="60"/>
        <v>1</v>
      </c>
      <c r="BL70" s="8">
        <f t="shared" si="60"/>
        <v>1</v>
      </c>
      <c r="BM70" s="8">
        <f t="shared" si="60"/>
        <v>1</v>
      </c>
      <c r="BN70" s="8">
        <f t="shared" si="60"/>
        <v>1</v>
      </c>
      <c r="BO70" s="8">
        <f t="shared" si="60"/>
        <v>1.0001472400546063</v>
      </c>
      <c r="BP70" s="8">
        <f t="shared" si="60"/>
        <v>1.0000806144425598</v>
      </c>
      <c r="BQ70" s="8">
        <f t="shared" si="60"/>
        <v>1.0005988769033609</v>
      </c>
      <c r="BR70" s="8">
        <f t="shared" si="60"/>
        <v>1</v>
      </c>
      <c r="BS70" s="8">
        <f t="shared" ref="BS70:ED70" si="61">IF(OR(BT24 = "", BT$8 &lt; BS$8), "", IFERROR(BT24/BS24, ""))</f>
        <v>1.0002371925822708</v>
      </c>
      <c r="BT70" s="8">
        <f t="shared" si="61"/>
        <v>1.0000832626600513</v>
      </c>
      <c r="BU70" s="8">
        <f t="shared" si="61"/>
        <v>1</v>
      </c>
      <c r="BV70" s="8">
        <f t="shared" si="61"/>
        <v>1.000144583333046</v>
      </c>
      <c r="BW70" s="8">
        <f t="shared" si="61"/>
        <v>1.0006158588348035</v>
      </c>
      <c r="BX70" s="8">
        <f t="shared" si="61"/>
        <v>1</v>
      </c>
      <c r="BY70" s="8">
        <f t="shared" si="61"/>
        <v>1</v>
      </c>
      <c r="BZ70" s="8">
        <f t="shared" si="61"/>
        <v>1.0000240789094121</v>
      </c>
      <c r="CA70" s="8">
        <f t="shared" si="61"/>
        <v>1.0001401018913849</v>
      </c>
      <c r="CB70" s="8">
        <f t="shared" si="61"/>
        <v>1</v>
      </c>
      <c r="CC70" s="8">
        <f t="shared" si="61"/>
        <v>1.00059777387039</v>
      </c>
      <c r="CD70" s="8">
        <f t="shared" si="61"/>
        <v>1</v>
      </c>
      <c r="CE70" s="8">
        <f t="shared" si="61"/>
        <v>1.0002367559734546</v>
      </c>
      <c r="CF70" s="8">
        <f t="shared" si="61"/>
        <v>1.0000831094317915</v>
      </c>
      <c r="CG70" s="8">
        <f t="shared" si="61"/>
        <v>1.0006148144431457</v>
      </c>
      <c r="CH70" s="8" t="str">
        <f t="shared" si="61"/>
        <v/>
      </c>
      <c r="CI70" s="8" t="str">
        <f t="shared" si="61"/>
        <v/>
      </c>
      <c r="CJ70" s="8" t="str">
        <f t="shared" si="61"/>
        <v/>
      </c>
      <c r="CK70" s="8" t="str">
        <f t="shared" si="61"/>
        <v/>
      </c>
      <c r="CL70" s="8" t="str">
        <f t="shared" si="61"/>
        <v/>
      </c>
      <c r="CM70" s="8" t="str">
        <f t="shared" si="61"/>
        <v/>
      </c>
      <c r="CN70" s="8" t="str">
        <f t="shared" si="61"/>
        <v/>
      </c>
      <c r="CO70" s="8" t="str">
        <f t="shared" si="61"/>
        <v/>
      </c>
      <c r="CP70" s="8" t="str">
        <f t="shared" si="61"/>
        <v/>
      </c>
      <c r="CQ70" s="8" t="str">
        <f t="shared" si="61"/>
        <v/>
      </c>
      <c r="CR70" s="8" t="str">
        <f t="shared" si="61"/>
        <v/>
      </c>
      <c r="CS70" s="8" t="str">
        <f t="shared" si="61"/>
        <v/>
      </c>
      <c r="CT70" s="8" t="str">
        <f t="shared" si="61"/>
        <v/>
      </c>
      <c r="CU70" s="8" t="str">
        <f t="shared" si="61"/>
        <v/>
      </c>
      <c r="CV70" s="8" t="str">
        <f t="shared" si="61"/>
        <v/>
      </c>
      <c r="CW70" s="8" t="str">
        <f t="shared" si="61"/>
        <v/>
      </c>
      <c r="CX70" s="8" t="str">
        <f t="shared" si="61"/>
        <v/>
      </c>
      <c r="CY70" s="8" t="str">
        <f t="shared" si="61"/>
        <v/>
      </c>
      <c r="CZ70" s="8" t="str">
        <f t="shared" si="61"/>
        <v/>
      </c>
      <c r="DA70" s="8" t="str">
        <f t="shared" si="61"/>
        <v/>
      </c>
      <c r="DB70" s="8" t="str">
        <f t="shared" si="61"/>
        <v/>
      </c>
      <c r="DC70" s="8" t="str">
        <f t="shared" si="61"/>
        <v/>
      </c>
      <c r="DD70" s="8" t="str">
        <f t="shared" si="61"/>
        <v/>
      </c>
      <c r="DE70" s="8" t="str">
        <f t="shared" si="61"/>
        <v/>
      </c>
      <c r="DF70" s="8" t="str">
        <f t="shared" si="61"/>
        <v/>
      </c>
      <c r="DG70" s="8" t="str">
        <f t="shared" si="61"/>
        <v/>
      </c>
      <c r="DH70" s="8" t="str">
        <f t="shared" si="61"/>
        <v/>
      </c>
      <c r="DI70" s="8" t="str">
        <f t="shared" si="61"/>
        <v/>
      </c>
      <c r="DJ70" s="8" t="str">
        <f t="shared" si="61"/>
        <v/>
      </c>
      <c r="DK70" s="8" t="str">
        <f t="shared" si="61"/>
        <v/>
      </c>
      <c r="DL70" s="8" t="str">
        <f t="shared" si="61"/>
        <v/>
      </c>
      <c r="DM70" s="8" t="str">
        <f t="shared" si="61"/>
        <v/>
      </c>
      <c r="DN70" s="8" t="str">
        <f t="shared" si="61"/>
        <v/>
      </c>
      <c r="DO70" s="8" t="str">
        <f t="shared" si="61"/>
        <v/>
      </c>
      <c r="DP70" s="8" t="str">
        <f t="shared" si="61"/>
        <v/>
      </c>
      <c r="DQ70" s="8" t="str">
        <f t="shared" si="61"/>
        <v/>
      </c>
      <c r="DR70" s="8" t="str">
        <f t="shared" si="61"/>
        <v/>
      </c>
      <c r="DS70" s="8" t="str">
        <f t="shared" si="61"/>
        <v/>
      </c>
      <c r="DT70" s="8" t="str">
        <f t="shared" si="61"/>
        <v/>
      </c>
      <c r="DU70" s="8" t="str">
        <f t="shared" si="61"/>
        <v/>
      </c>
      <c r="DV70" s="8" t="str">
        <f t="shared" si="61"/>
        <v/>
      </c>
      <c r="DW70" s="8" t="str">
        <f t="shared" si="61"/>
        <v/>
      </c>
      <c r="DX70" s="8" t="str">
        <f t="shared" si="61"/>
        <v/>
      </c>
      <c r="DY70" s="8" t="str">
        <f t="shared" si="61"/>
        <v/>
      </c>
      <c r="DZ70" s="8" t="str">
        <f t="shared" si="61"/>
        <v/>
      </c>
      <c r="EA70" s="8" t="str">
        <f t="shared" si="61"/>
        <v/>
      </c>
      <c r="EB70" s="8">
        <f t="shared" si="61"/>
        <v>3.165019301289469</v>
      </c>
      <c r="EC70" s="8">
        <f t="shared" si="61"/>
        <v>1.2738147109073288</v>
      </c>
      <c r="ED70" s="8">
        <f t="shared" si="61"/>
        <v>1.3641006314840196</v>
      </c>
      <c r="EE70" s="8">
        <f t="shared" ref="EE70:GP70" si="62">IF(OR(EF24 = "", EF$8 &lt; EE$8), "", IFERROR(EF24/EE24, ""))</f>
        <v>1.0617663108325228</v>
      </c>
      <c r="EF70" s="8">
        <f t="shared" si="62"/>
        <v>0.99982775571886795</v>
      </c>
      <c r="EG70" s="8">
        <f t="shared" si="62"/>
        <v>1.000077585721443</v>
      </c>
      <c r="EH70" s="8">
        <f t="shared" si="62"/>
        <v>1.0028151165502277</v>
      </c>
      <c r="EI70" s="8">
        <f t="shared" si="62"/>
        <v>0.99839462181346073</v>
      </c>
      <c r="EJ70" s="8">
        <f t="shared" si="62"/>
        <v>0.99998418387295052</v>
      </c>
      <c r="EK70" s="8">
        <f t="shared" si="62"/>
        <v>0.99995993083003454</v>
      </c>
      <c r="EL70" s="8">
        <f t="shared" si="62"/>
        <v>1</v>
      </c>
      <c r="EM70" s="8">
        <f t="shared" si="62"/>
        <v>1.0060785374634693</v>
      </c>
      <c r="EN70" s="8">
        <f t="shared" si="62"/>
        <v>0.99998828247557292</v>
      </c>
      <c r="EO70" s="8">
        <f t="shared" si="62"/>
        <v>1.0005988429250605</v>
      </c>
      <c r="EP70" s="8">
        <f t="shared" si="62"/>
        <v>1.0000668402724229</v>
      </c>
      <c r="EQ70" s="8">
        <f t="shared" si="62"/>
        <v>1</v>
      </c>
      <c r="ER70" s="8">
        <f t="shared" si="62"/>
        <v>1</v>
      </c>
      <c r="ES70" s="8">
        <f t="shared" si="62"/>
        <v>1</v>
      </c>
      <c r="ET70" s="8">
        <f t="shared" si="62"/>
        <v>0.99256385290832194</v>
      </c>
      <c r="EU70" s="8">
        <f t="shared" si="62"/>
        <v>0.99999853490787127</v>
      </c>
      <c r="EV70" s="8">
        <f t="shared" si="62"/>
        <v>1</v>
      </c>
      <c r="EW70" s="8">
        <f t="shared" si="62"/>
        <v>1</v>
      </c>
      <c r="EX70" s="8">
        <f t="shared" si="62"/>
        <v>1.0245921805439273</v>
      </c>
      <c r="EY70" s="8">
        <f t="shared" si="62"/>
        <v>1</v>
      </c>
      <c r="EZ70" s="8">
        <f t="shared" si="62"/>
        <v>1.0002896341841252</v>
      </c>
      <c r="FA70" s="8">
        <f t="shared" si="62"/>
        <v>0.99988290637899357</v>
      </c>
      <c r="FB70" s="8">
        <f t="shared" si="62"/>
        <v>1.0001494566186264</v>
      </c>
      <c r="FC70" s="8">
        <f t="shared" si="62"/>
        <v>1.0000816839273927</v>
      </c>
      <c r="FD70" s="8">
        <f t="shared" si="62"/>
        <v>1.0004388209932187</v>
      </c>
      <c r="FE70" s="8">
        <f t="shared" si="62"/>
        <v>1.0001078798426317</v>
      </c>
      <c r="FF70" s="8">
        <f t="shared" si="62"/>
        <v>1.0020470977003224</v>
      </c>
      <c r="FG70" s="8">
        <f t="shared" si="62"/>
        <v>1.0002851305301721</v>
      </c>
      <c r="FH70" s="8">
        <f t="shared" si="62"/>
        <v>1.0004750087426368</v>
      </c>
      <c r="FI70" s="8">
        <f t="shared" si="62"/>
        <v>1</v>
      </c>
      <c r="FJ70" s="8">
        <f t="shared" si="62"/>
        <v>1</v>
      </c>
      <c r="FK70" s="8">
        <f t="shared" si="62"/>
        <v>1</v>
      </c>
      <c r="FL70" s="8">
        <f t="shared" si="62"/>
        <v>1.0012283244544065</v>
      </c>
      <c r="FM70" s="8">
        <f t="shared" si="62"/>
        <v>0.99999017282503166</v>
      </c>
      <c r="FN70" s="8">
        <f t="shared" si="62"/>
        <v>1.0000001458169694</v>
      </c>
      <c r="FO70" s="8">
        <f t="shared" si="62"/>
        <v>1.0003129150511865</v>
      </c>
      <c r="FP70" s="8">
        <f t="shared" si="62"/>
        <v>1</v>
      </c>
      <c r="FQ70" s="8">
        <f t="shared" si="62"/>
        <v>1.0074060918924554</v>
      </c>
      <c r="FR70" s="8">
        <f t="shared" si="62"/>
        <v>1.0004309473449025</v>
      </c>
      <c r="FS70" s="8">
        <f t="shared" si="62"/>
        <v>1</v>
      </c>
      <c r="FT70" s="8">
        <f t="shared" si="62"/>
        <v>1.0006180672056644</v>
      </c>
      <c r="FU70" s="8">
        <f t="shared" si="62"/>
        <v>0.99681702710076492</v>
      </c>
      <c r="FV70" s="8">
        <f t="shared" si="62"/>
        <v>1</v>
      </c>
      <c r="FW70" s="8">
        <f t="shared" si="62"/>
        <v>1</v>
      </c>
      <c r="FX70" s="8">
        <f t="shared" si="62"/>
        <v>1.0000558467408558</v>
      </c>
      <c r="FY70" s="8">
        <f t="shared" si="62"/>
        <v>1.0094695956585742</v>
      </c>
      <c r="FZ70" s="8">
        <f t="shared" si="62"/>
        <v>1</v>
      </c>
      <c r="GA70" s="8">
        <f t="shared" si="62"/>
        <v>1.0000014851597614</v>
      </c>
      <c r="GB70" s="8">
        <f t="shared" si="62"/>
        <v>1.0004303020358203</v>
      </c>
      <c r="GC70" s="8">
        <f t="shared" si="62"/>
        <v>1.0003005827114371</v>
      </c>
      <c r="GD70" s="8">
        <f t="shared" si="62"/>
        <v>1.000613361358538</v>
      </c>
      <c r="GE70" s="8">
        <f t="shared" si="62"/>
        <v>1</v>
      </c>
      <c r="GF70" s="8">
        <f t="shared" si="62"/>
        <v>1</v>
      </c>
      <c r="GG70" s="8">
        <f t="shared" si="62"/>
        <v>1</v>
      </c>
      <c r="GH70" s="8">
        <f t="shared" si="62"/>
        <v>1</v>
      </c>
      <c r="GI70" s="8">
        <f t="shared" si="62"/>
        <v>1</v>
      </c>
      <c r="GJ70" s="8">
        <f t="shared" si="62"/>
        <v>1.0000549720333161</v>
      </c>
      <c r="GK70" s="8">
        <f t="shared" si="62"/>
        <v>1.0000801421436361</v>
      </c>
      <c r="GL70" s="8">
        <f t="shared" si="62"/>
        <v>1.000595368521467</v>
      </c>
      <c r="GM70" s="8">
        <f t="shared" si="62"/>
        <v>1.0000040860909223</v>
      </c>
      <c r="GN70" s="8">
        <f t="shared" si="62"/>
        <v>1.000235802907643</v>
      </c>
      <c r="GO70" s="8">
        <f t="shared" si="62"/>
        <v>1.0000827749520163</v>
      </c>
      <c r="GP70" s="8">
        <f t="shared" si="62"/>
        <v>1</v>
      </c>
      <c r="GQ70" s="8">
        <f t="shared" ref="GQ70:IV70" si="63">IF(OR(GR24 = "", GR$8 &lt; GQ$8), "", IFERROR(GR24/GQ24, ""))</f>
        <v>1.0007583424540909</v>
      </c>
      <c r="GR70" s="8">
        <f t="shared" si="63"/>
        <v>0.99999773605803799</v>
      </c>
      <c r="GS70" s="8">
        <f t="shared" si="63"/>
        <v>1</v>
      </c>
      <c r="GT70" s="8">
        <f t="shared" si="63"/>
        <v>1</v>
      </c>
      <c r="GU70" s="8">
        <f t="shared" si="63"/>
        <v>1.0000239379862892</v>
      </c>
      <c r="GV70" s="8">
        <f t="shared" si="63"/>
        <v>1.000139281957096</v>
      </c>
      <c r="GW70" s="8">
        <f t="shared" si="63"/>
        <v>1</v>
      </c>
      <c r="GX70" s="8">
        <f t="shared" si="63"/>
        <v>1.000594275937343</v>
      </c>
      <c r="GY70" s="8">
        <f t="shared" si="63"/>
        <v>1.0000029132822499</v>
      </c>
      <c r="GZ70" s="8">
        <f t="shared" si="63"/>
        <v>1.0002353707095317</v>
      </c>
      <c r="HA70" s="8">
        <f t="shared" si="63"/>
        <v>1.0000826232712763</v>
      </c>
      <c r="HB70" s="8">
        <f t="shared" si="63"/>
        <v>0.99476205846083754</v>
      </c>
      <c r="HC70" s="8" t="str">
        <f t="shared" si="63"/>
        <v/>
      </c>
      <c r="HD70" s="8" t="str">
        <f t="shared" si="63"/>
        <v/>
      </c>
      <c r="HE70" s="8" t="str">
        <f t="shared" si="63"/>
        <v/>
      </c>
      <c r="HF70" s="8" t="str">
        <f t="shared" si="63"/>
        <v/>
      </c>
      <c r="HG70" s="8" t="str">
        <f t="shared" si="63"/>
        <v/>
      </c>
      <c r="HH70" s="8" t="str">
        <f t="shared" si="63"/>
        <v/>
      </c>
      <c r="HI70" s="8" t="str">
        <f t="shared" si="63"/>
        <v/>
      </c>
      <c r="HJ70" s="8" t="str">
        <f t="shared" si="63"/>
        <v/>
      </c>
      <c r="HK70" s="8" t="str">
        <f t="shared" si="63"/>
        <v/>
      </c>
      <c r="HL70" s="8" t="str">
        <f t="shared" si="63"/>
        <v/>
      </c>
      <c r="HM70" s="8" t="str">
        <f t="shared" si="63"/>
        <v/>
      </c>
      <c r="HN70" s="8" t="str">
        <f t="shared" si="63"/>
        <v/>
      </c>
      <c r="HO70" s="8" t="str">
        <f t="shared" si="63"/>
        <v/>
      </c>
      <c r="HP70" s="8" t="str">
        <f t="shared" si="63"/>
        <v/>
      </c>
      <c r="HQ70" s="8" t="str">
        <f t="shared" si="63"/>
        <v/>
      </c>
      <c r="HR70" s="8" t="str">
        <f t="shared" si="63"/>
        <v/>
      </c>
      <c r="HS70" s="8" t="str">
        <f t="shared" si="63"/>
        <v/>
      </c>
      <c r="HT70" s="8" t="str">
        <f t="shared" si="63"/>
        <v/>
      </c>
      <c r="HU70" s="8" t="str">
        <f t="shared" si="63"/>
        <v/>
      </c>
      <c r="HV70" s="8" t="str">
        <f t="shared" si="63"/>
        <v/>
      </c>
      <c r="HW70" s="8" t="str">
        <f t="shared" si="63"/>
        <v/>
      </c>
      <c r="HX70" s="8" t="str">
        <f t="shared" si="63"/>
        <v/>
      </c>
      <c r="HY70" s="8" t="str">
        <f t="shared" si="63"/>
        <v/>
      </c>
      <c r="HZ70" s="8" t="str">
        <f t="shared" si="63"/>
        <v/>
      </c>
      <c r="IA70" s="8" t="str">
        <f t="shared" si="63"/>
        <v/>
      </c>
      <c r="IB70" s="8" t="str">
        <f t="shared" si="63"/>
        <v/>
      </c>
      <c r="IC70" s="8" t="str">
        <f t="shared" si="63"/>
        <v/>
      </c>
      <c r="ID70" s="8" t="str">
        <f t="shared" si="63"/>
        <v/>
      </c>
      <c r="IE70" s="8" t="str">
        <f t="shared" si="63"/>
        <v/>
      </c>
      <c r="IF70" s="8" t="str">
        <f t="shared" si="63"/>
        <v/>
      </c>
      <c r="IG70" s="8" t="str">
        <f t="shared" si="63"/>
        <v/>
      </c>
      <c r="IH70" s="8" t="str">
        <f t="shared" si="63"/>
        <v/>
      </c>
      <c r="II70" s="8" t="str">
        <f t="shared" si="63"/>
        <v/>
      </c>
      <c r="IJ70" s="8" t="str">
        <f t="shared" si="63"/>
        <v/>
      </c>
      <c r="IK70" s="8" t="str">
        <f t="shared" si="63"/>
        <v/>
      </c>
      <c r="IL70" s="8" t="str">
        <f t="shared" si="63"/>
        <v/>
      </c>
      <c r="IM70" s="8" t="str">
        <f t="shared" si="63"/>
        <v/>
      </c>
      <c r="IN70" s="8" t="str">
        <f t="shared" si="63"/>
        <v/>
      </c>
      <c r="IO70" s="8" t="str">
        <f t="shared" si="63"/>
        <v/>
      </c>
      <c r="IP70" s="8" t="str">
        <f t="shared" si="63"/>
        <v/>
      </c>
      <c r="IQ70" s="8" t="str">
        <f t="shared" si="63"/>
        <v/>
      </c>
      <c r="IR70" s="8" t="str">
        <f t="shared" si="63"/>
        <v/>
      </c>
      <c r="IS70" s="8" t="str">
        <f t="shared" si="63"/>
        <v/>
      </c>
      <c r="IT70" s="8" t="str">
        <f t="shared" si="63"/>
        <v/>
      </c>
      <c r="IU70" s="8" t="str">
        <f t="shared" si="63"/>
        <v/>
      </c>
      <c r="IV70" s="8" t="str">
        <f t="shared" si="63"/>
        <v/>
      </c>
    </row>
    <row r="71" spans="6:256" x14ac:dyDescent="0.2">
      <c r="F71">
        <v>201803</v>
      </c>
      <c r="G71" s="8">
        <f t="shared" ref="G71:BR71" si="64">IF(OR(H25 = "", H$8 &lt; G$8), "", IFERROR(H25/G25, ""))</f>
        <v>46.464122143922069</v>
      </c>
      <c r="H71" s="8">
        <f t="shared" si="64"/>
        <v>1.3564836400472031</v>
      </c>
      <c r="I71" s="8">
        <f t="shared" si="64"/>
        <v>1.7783490950005851</v>
      </c>
      <c r="J71" s="8">
        <f t="shared" si="64"/>
        <v>1.1077496740325741</v>
      </c>
      <c r="K71" s="8">
        <f t="shared" si="64"/>
        <v>1.1524451313057642</v>
      </c>
      <c r="L71" s="8">
        <f t="shared" si="64"/>
        <v>1.024037793074531</v>
      </c>
      <c r="M71" s="8">
        <f t="shared" si="64"/>
        <v>1.0024639074347508</v>
      </c>
      <c r="N71" s="8">
        <f t="shared" si="64"/>
        <v>1.0016817398559978</v>
      </c>
      <c r="O71" s="8">
        <f t="shared" si="64"/>
        <v>1.0001147751555823</v>
      </c>
      <c r="P71" s="8">
        <f t="shared" si="64"/>
        <v>1.0000302211117524</v>
      </c>
      <c r="Q71" s="8">
        <f t="shared" si="64"/>
        <v>1.0299733784242413</v>
      </c>
      <c r="R71" s="8">
        <f t="shared" si="64"/>
        <v>1</v>
      </c>
      <c r="S71" s="8">
        <f t="shared" si="64"/>
        <v>1.0013700847724347</v>
      </c>
      <c r="T71" s="8">
        <f t="shared" si="64"/>
        <v>1.0031492078576734</v>
      </c>
      <c r="U71" s="8">
        <f t="shared" si="64"/>
        <v>0.99998294143068278</v>
      </c>
      <c r="V71" s="8">
        <f t="shared" si="64"/>
        <v>1.0001784912994014</v>
      </c>
      <c r="W71" s="8">
        <f t="shared" si="64"/>
        <v>1.0005084709678431</v>
      </c>
      <c r="X71" s="8">
        <f t="shared" si="64"/>
        <v>1.000053586835963</v>
      </c>
      <c r="Y71" s="8">
        <f t="shared" si="64"/>
        <v>1.0001044672325974</v>
      </c>
      <c r="Z71" s="8">
        <f t="shared" si="64"/>
        <v>1</v>
      </c>
      <c r="AA71" s="8">
        <f t="shared" si="64"/>
        <v>1</v>
      </c>
      <c r="AB71" s="8">
        <f t="shared" si="64"/>
        <v>1.0000956704915529</v>
      </c>
      <c r="AC71" s="8">
        <f t="shared" si="64"/>
        <v>1.0011675928952715</v>
      </c>
      <c r="AD71" s="8">
        <f t="shared" si="64"/>
        <v>1.0005311064098079</v>
      </c>
      <c r="AE71" s="8">
        <f t="shared" si="64"/>
        <v>1</v>
      </c>
      <c r="AF71" s="8">
        <f t="shared" si="64"/>
        <v>1.000210970213977</v>
      </c>
      <c r="AG71" s="8">
        <f t="shared" si="64"/>
        <v>1.000213371599223</v>
      </c>
      <c r="AH71" s="8">
        <f t="shared" si="64"/>
        <v>1.000481174137654</v>
      </c>
      <c r="AI71" s="8">
        <f t="shared" si="64"/>
        <v>1.0000933535797962</v>
      </c>
      <c r="AJ71" s="8">
        <f t="shared" si="64"/>
        <v>1.0001022032423985</v>
      </c>
      <c r="AK71" s="8">
        <f t="shared" si="64"/>
        <v>1.0000169913635775</v>
      </c>
      <c r="AL71" s="8">
        <f t="shared" si="64"/>
        <v>0.99989933065338532</v>
      </c>
      <c r="AM71" s="8">
        <f t="shared" si="64"/>
        <v>1</v>
      </c>
      <c r="AN71" s="8">
        <f t="shared" si="64"/>
        <v>1.0022412798705969</v>
      </c>
      <c r="AO71" s="8">
        <f t="shared" si="64"/>
        <v>1</v>
      </c>
      <c r="AP71" s="8">
        <f t="shared" si="64"/>
        <v>1.0004234753330743</v>
      </c>
      <c r="AQ71" s="8">
        <f t="shared" si="64"/>
        <v>1.0001580206219598</v>
      </c>
      <c r="AR71" s="8">
        <f t="shared" si="64"/>
        <v>1.0000169449305676</v>
      </c>
      <c r="AS71" s="8">
        <f t="shared" si="64"/>
        <v>1.000210158630249</v>
      </c>
      <c r="AT71" s="8">
        <f t="shared" si="64"/>
        <v>1</v>
      </c>
      <c r="AU71" s="8">
        <f t="shared" si="64"/>
        <v>1.0000463156783392</v>
      </c>
      <c r="AV71" s="8">
        <f t="shared" si="64"/>
        <v>1</v>
      </c>
      <c r="AW71" s="8">
        <f t="shared" si="64"/>
        <v>1</v>
      </c>
      <c r="AX71" s="8">
        <f t="shared" si="64"/>
        <v>1.0000561886201886</v>
      </c>
      <c r="AY71" s="8">
        <f t="shared" si="64"/>
        <v>1</v>
      </c>
      <c r="AZ71" s="8">
        <f t="shared" si="64"/>
        <v>1.0022663876942657</v>
      </c>
      <c r="BA71" s="8">
        <f t="shared" si="64"/>
        <v>1.0004754317615934</v>
      </c>
      <c r="BB71" s="8">
        <f t="shared" si="64"/>
        <v>1</v>
      </c>
      <c r="BC71" s="8">
        <f t="shared" si="64"/>
        <v>1</v>
      </c>
      <c r="BD71" s="8">
        <f t="shared" si="64"/>
        <v>1.0007158945350916</v>
      </c>
      <c r="BE71" s="8">
        <f t="shared" si="64"/>
        <v>1</v>
      </c>
      <c r="BF71" s="8">
        <f t="shared" si="64"/>
        <v>1</v>
      </c>
      <c r="BG71" s="8">
        <f t="shared" si="64"/>
        <v>1.0000724458151191</v>
      </c>
      <c r="BH71" s="8">
        <f t="shared" si="64"/>
        <v>1</v>
      </c>
      <c r="BI71" s="8">
        <f t="shared" si="64"/>
        <v>1</v>
      </c>
      <c r="BJ71" s="8">
        <f t="shared" si="64"/>
        <v>1</v>
      </c>
      <c r="BK71" s="8">
        <f t="shared" si="64"/>
        <v>1.0023637551186226</v>
      </c>
      <c r="BL71" s="8">
        <f t="shared" si="64"/>
        <v>1.0001566355697904</v>
      </c>
      <c r="BM71" s="8">
        <f t="shared" si="64"/>
        <v>1.0001879744011566</v>
      </c>
      <c r="BN71" s="8">
        <f t="shared" si="64"/>
        <v>1.0001714074934034</v>
      </c>
      <c r="BO71" s="8">
        <f t="shared" si="64"/>
        <v>1.0000228333562522</v>
      </c>
      <c r="BP71" s="8">
        <f t="shared" si="64"/>
        <v>1.0002087470003462</v>
      </c>
      <c r="BQ71" s="8">
        <f t="shared" si="64"/>
        <v>1</v>
      </c>
      <c r="BR71" s="8">
        <f t="shared" si="64"/>
        <v>1</v>
      </c>
      <c r="BS71" s="8">
        <f t="shared" ref="BS71:ED71" si="65">IF(OR(BT25 = "", BT$8 &lt; BS$8), "", IFERROR(BT25/BS25, ""))</f>
        <v>1.0000638855550277</v>
      </c>
      <c r="BT71" s="8">
        <f t="shared" si="65"/>
        <v>1.000037553085056</v>
      </c>
      <c r="BU71" s="8">
        <f t="shared" si="65"/>
        <v>1</v>
      </c>
      <c r="BV71" s="8">
        <f t="shared" si="65"/>
        <v>1</v>
      </c>
      <c r="BW71" s="8">
        <f t="shared" si="65"/>
        <v>1</v>
      </c>
      <c r="BX71" s="8">
        <f t="shared" si="65"/>
        <v>1.002493853762493</v>
      </c>
      <c r="BY71" s="8">
        <f t="shared" si="65"/>
        <v>1.0009516895208752</v>
      </c>
      <c r="BZ71" s="8">
        <f t="shared" si="65"/>
        <v>1.0000983746470673</v>
      </c>
      <c r="CA71" s="8">
        <f t="shared" si="65"/>
        <v>1.0000653885983755</v>
      </c>
      <c r="CB71" s="8">
        <f t="shared" si="65"/>
        <v>1.0002079311656236</v>
      </c>
      <c r="CC71" s="8">
        <f t="shared" si="65"/>
        <v>1</v>
      </c>
      <c r="CD71" s="8">
        <f t="shared" si="65"/>
        <v>1.0000890826103195</v>
      </c>
      <c r="CE71" s="8" t="str">
        <f t="shared" si="65"/>
        <v/>
      </c>
      <c r="CF71" s="8" t="str">
        <f t="shared" si="65"/>
        <v/>
      </c>
      <c r="CG71" s="8" t="str">
        <f t="shared" si="65"/>
        <v/>
      </c>
      <c r="CH71" s="8" t="str">
        <f t="shared" si="65"/>
        <v/>
      </c>
      <c r="CI71" s="8" t="str">
        <f t="shared" si="65"/>
        <v/>
      </c>
      <c r="CJ71" s="8" t="str">
        <f t="shared" si="65"/>
        <v/>
      </c>
      <c r="CK71" s="8" t="str">
        <f t="shared" si="65"/>
        <v/>
      </c>
      <c r="CL71" s="8" t="str">
        <f t="shared" si="65"/>
        <v/>
      </c>
      <c r="CM71" s="8" t="str">
        <f t="shared" si="65"/>
        <v/>
      </c>
      <c r="CN71" s="8" t="str">
        <f t="shared" si="65"/>
        <v/>
      </c>
      <c r="CO71" s="8" t="str">
        <f t="shared" si="65"/>
        <v/>
      </c>
      <c r="CP71" s="8" t="str">
        <f t="shared" si="65"/>
        <v/>
      </c>
      <c r="CQ71" s="8" t="str">
        <f t="shared" si="65"/>
        <v/>
      </c>
      <c r="CR71" s="8" t="str">
        <f t="shared" si="65"/>
        <v/>
      </c>
      <c r="CS71" s="8" t="str">
        <f t="shared" si="65"/>
        <v/>
      </c>
      <c r="CT71" s="8" t="str">
        <f t="shared" si="65"/>
        <v/>
      </c>
      <c r="CU71" s="8" t="str">
        <f t="shared" si="65"/>
        <v/>
      </c>
      <c r="CV71" s="8" t="str">
        <f t="shared" si="65"/>
        <v/>
      </c>
      <c r="CW71" s="8" t="str">
        <f t="shared" si="65"/>
        <v/>
      </c>
      <c r="CX71" s="8" t="str">
        <f t="shared" si="65"/>
        <v/>
      </c>
      <c r="CY71" s="8" t="str">
        <f t="shared" si="65"/>
        <v/>
      </c>
      <c r="CZ71" s="8" t="str">
        <f t="shared" si="65"/>
        <v/>
      </c>
      <c r="DA71" s="8" t="str">
        <f t="shared" si="65"/>
        <v/>
      </c>
      <c r="DB71" s="8" t="str">
        <f t="shared" si="65"/>
        <v/>
      </c>
      <c r="DC71" s="8" t="str">
        <f t="shared" si="65"/>
        <v/>
      </c>
      <c r="DD71" s="8" t="str">
        <f t="shared" si="65"/>
        <v/>
      </c>
      <c r="DE71" s="8" t="str">
        <f t="shared" si="65"/>
        <v/>
      </c>
      <c r="DF71" s="8" t="str">
        <f t="shared" si="65"/>
        <v/>
      </c>
      <c r="DG71" s="8" t="str">
        <f t="shared" si="65"/>
        <v/>
      </c>
      <c r="DH71" s="8" t="str">
        <f t="shared" si="65"/>
        <v/>
      </c>
      <c r="DI71" s="8" t="str">
        <f t="shared" si="65"/>
        <v/>
      </c>
      <c r="DJ71" s="8" t="str">
        <f t="shared" si="65"/>
        <v/>
      </c>
      <c r="DK71" s="8" t="str">
        <f t="shared" si="65"/>
        <v/>
      </c>
      <c r="DL71" s="8" t="str">
        <f t="shared" si="65"/>
        <v/>
      </c>
      <c r="DM71" s="8" t="str">
        <f t="shared" si="65"/>
        <v/>
      </c>
      <c r="DN71" s="8" t="str">
        <f t="shared" si="65"/>
        <v/>
      </c>
      <c r="DO71" s="8" t="str">
        <f t="shared" si="65"/>
        <v/>
      </c>
      <c r="DP71" s="8" t="str">
        <f t="shared" si="65"/>
        <v/>
      </c>
      <c r="DQ71" s="8" t="str">
        <f t="shared" si="65"/>
        <v/>
      </c>
      <c r="DR71" s="8" t="str">
        <f t="shared" si="65"/>
        <v/>
      </c>
      <c r="DS71" s="8" t="str">
        <f t="shared" si="65"/>
        <v/>
      </c>
      <c r="DT71" s="8" t="str">
        <f t="shared" si="65"/>
        <v/>
      </c>
      <c r="DU71" s="8" t="str">
        <f t="shared" si="65"/>
        <v/>
      </c>
      <c r="DV71" s="8" t="str">
        <f t="shared" si="65"/>
        <v/>
      </c>
      <c r="DW71" s="8" t="str">
        <f t="shared" si="65"/>
        <v/>
      </c>
      <c r="DX71" s="8" t="str">
        <f t="shared" si="65"/>
        <v/>
      </c>
      <c r="DY71" s="8" t="str">
        <f t="shared" si="65"/>
        <v/>
      </c>
      <c r="DZ71" s="8" t="str">
        <f t="shared" si="65"/>
        <v/>
      </c>
      <c r="EA71" s="8" t="str">
        <f t="shared" si="65"/>
        <v/>
      </c>
      <c r="EB71" s="8">
        <f t="shared" si="65"/>
        <v>2.4668448573335175</v>
      </c>
      <c r="EC71" s="8">
        <f t="shared" si="65"/>
        <v>1.6306584975135971</v>
      </c>
      <c r="ED71" s="8">
        <f t="shared" si="65"/>
        <v>1.227562123573487</v>
      </c>
      <c r="EE71" s="8">
        <f t="shared" ref="EE71:GP71" si="66">IF(OR(EF25 = "", EF$8 &lt; EE$8), "", IFERROR(EF25/EE25, ""))</f>
        <v>1.0145770577558262</v>
      </c>
      <c r="EF71" s="8">
        <f t="shared" si="66"/>
        <v>1.0541594708026611</v>
      </c>
      <c r="EG71" s="8">
        <f t="shared" si="66"/>
        <v>0.9449726518190612</v>
      </c>
      <c r="EH71" s="8">
        <f t="shared" si="66"/>
        <v>1.0024451324932966</v>
      </c>
      <c r="EI71" s="8">
        <f t="shared" si="66"/>
        <v>0.99407675584634525</v>
      </c>
      <c r="EJ71" s="8">
        <f t="shared" si="66"/>
        <v>1.000114774093398</v>
      </c>
      <c r="EK71" s="8">
        <f t="shared" si="66"/>
        <v>1.0045328623111163</v>
      </c>
      <c r="EL71" s="8">
        <f t="shared" si="66"/>
        <v>1.0253564162835183</v>
      </c>
      <c r="EM71" s="8">
        <f t="shared" si="66"/>
        <v>1</v>
      </c>
      <c r="EN71" s="8">
        <f t="shared" si="66"/>
        <v>1.0077015763921715</v>
      </c>
      <c r="EO71" s="8">
        <f t="shared" si="66"/>
        <v>0.99684930749565781</v>
      </c>
      <c r="EP71" s="8">
        <f t="shared" si="66"/>
        <v>0.9999799035234147</v>
      </c>
      <c r="EQ71" s="8">
        <f t="shared" si="66"/>
        <v>1.002248206971849</v>
      </c>
      <c r="ER71" s="8">
        <f t="shared" si="66"/>
        <v>0.99999865534671317</v>
      </c>
      <c r="ES71" s="8">
        <f t="shared" si="66"/>
        <v>1.0000535029603714</v>
      </c>
      <c r="ET71" s="8">
        <f t="shared" si="66"/>
        <v>1.0001043037263557</v>
      </c>
      <c r="EU71" s="8">
        <f t="shared" si="66"/>
        <v>1</v>
      </c>
      <c r="EV71" s="8">
        <f t="shared" si="66"/>
        <v>0.99999465699719547</v>
      </c>
      <c r="EW71" s="8">
        <f t="shared" si="66"/>
        <v>1.0000919537136912</v>
      </c>
      <c r="EX71" s="8">
        <f t="shared" si="66"/>
        <v>1.0011657761963182</v>
      </c>
      <c r="EY71" s="8">
        <f t="shared" si="66"/>
        <v>1.0005303585054313</v>
      </c>
      <c r="EZ71" s="8">
        <f t="shared" si="66"/>
        <v>1</v>
      </c>
      <c r="FA71" s="8">
        <f t="shared" si="66"/>
        <v>1.0002106424976667</v>
      </c>
      <c r="FB71" s="8">
        <f t="shared" si="66"/>
        <v>1.0001566297529674</v>
      </c>
      <c r="FC71" s="8">
        <f t="shared" si="66"/>
        <v>1.0004804541061905</v>
      </c>
      <c r="FD71" s="8">
        <f t="shared" si="66"/>
        <v>1.0000932139521022</v>
      </c>
      <c r="FE71" s="8">
        <f t="shared" si="66"/>
        <v>1.0001020503926308</v>
      </c>
      <c r="FF71" s="8">
        <f t="shared" si="66"/>
        <v>1.0000169659547853</v>
      </c>
      <c r="FG71" s="8">
        <f t="shared" si="66"/>
        <v>0.99989948119122285</v>
      </c>
      <c r="FH71" s="8">
        <f t="shared" si="66"/>
        <v>1</v>
      </c>
      <c r="FI71" s="8">
        <f t="shared" si="66"/>
        <v>1.0022379279928457</v>
      </c>
      <c r="FJ71" s="8">
        <f t="shared" si="66"/>
        <v>1</v>
      </c>
      <c r="FK71" s="8">
        <f t="shared" si="66"/>
        <v>1.0004229178402217</v>
      </c>
      <c r="FL71" s="8">
        <f t="shared" si="66"/>
        <v>1.0001577849146577</v>
      </c>
      <c r="FM71" s="8">
        <f t="shared" si="66"/>
        <v>1.0000169196590953</v>
      </c>
      <c r="FN71" s="8">
        <f t="shared" si="66"/>
        <v>1.0002098452074162</v>
      </c>
      <c r="FO71" s="8">
        <f t="shared" si="66"/>
        <v>1</v>
      </c>
      <c r="FP71" s="8">
        <f t="shared" si="66"/>
        <v>1.0000462466193358</v>
      </c>
      <c r="FQ71" s="8">
        <f t="shared" si="66"/>
        <v>1</v>
      </c>
      <c r="FR71" s="8">
        <f t="shared" si="66"/>
        <v>1</v>
      </c>
      <c r="FS71" s="8">
        <f t="shared" si="66"/>
        <v>1.0000561048440073</v>
      </c>
      <c r="FT71" s="8">
        <f t="shared" si="66"/>
        <v>1</v>
      </c>
      <c r="FU71" s="8">
        <f t="shared" si="66"/>
        <v>1.0022630087421975</v>
      </c>
      <c r="FV71" s="8">
        <f t="shared" si="66"/>
        <v>1.0004747245419456</v>
      </c>
      <c r="FW71" s="8">
        <f t="shared" si="66"/>
        <v>1</v>
      </c>
      <c r="FX71" s="8">
        <f t="shared" si="66"/>
        <v>1.0000003706867051</v>
      </c>
      <c r="FY71" s="8">
        <f t="shared" si="66"/>
        <v>1.0007148298598545</v>
      </c>
      <c r="FZ71" s="8">
        <f t="shared" si="66"/>
        <v>1</v>
      </c>
      <c r="GA71" s="8">
        <f t="shared" si="66"/>
        <v>1</v>
      </c>
      <c r="GB71" s="8">
        <f t="shared" si="66"/>
        <v>1.0000723381509797</v>
      </c>
      <c r="GC71" s="8">
        <f t="shared" si="66"/>
        <v>1</v>
      </c>
      <c r="GD71" s="8">
        <f t="shared" si="66"/>
        <v>1</v>
      </c>
      <c r="GE71" s="8">
        <f t="shared" si="66"/>
        <v>1</v>
      </c>
      <c r="GF71" s="8">
        <f t="shared" si="66"/>
        <v>1.0023602425174865</v>
      </c>
      <c r="GG71" s="8">
        <f t="shared" si="66"/>
        <v>1.0001564033533765</v>
      </c>
      <c r="GH71" s="8">
        <f t="shared" si="66"/>
        <v>1.0001876957676679</v>
      </c>
      <c r="GI71" s="8">
        <f t="shared" si="66"/>
        <v>1.0001711534646369</v>
      </c>
      <c r="GJ71" s="8">
        <f t="shared" si="66"/>
        <v>1.0000238336541649</v>
      </c>
      <c r="GK71" s="8">
        <f t="shared" si="66"/>
        <v>1.0002084374782525</v>
      </c>
      <c r="GL71" s="8">
        <f t="shared" si="66"/>
        <v>1</v>
      </c>
      <c r="GM71" s="8">
        <f t="shared" si="66"/>
        <v>1</v>
      </c>
      <c r="GN71" s="8">
        <f t="shared" si="66"/>
        <v>1.0019050173563724</v>
      </c>
      <c r="GO71" s="8">
        <f t="shared" si="66"/>
        <v>1.0000374285079627</v>
      </c>
      <c r="GP71" s="8">
        <f t="shared" si="66"/>
        <v>1</v>
      </c>
      <c r="GQ71" s="8">
        <f t="shared" ref="GQ71:IV71" si="67">IF(OR(GR25 = "", GR$8 &lt; GQ$8), "", IFERROR(GR25/GQ25, ""))</f>
        <v>1</v>
      </c>
      <c r="GR71" s="8">
        <f t="shared" si="67"/>
        <v>1</v>
      </c>
      <c r="GS71" s="8">
        <f t="shared" si="67"/>
        <v>1.0024855810620152</v>
      </c>
      <c r="GT71" s="8">
        <f t="shared" si="67"/>
        <v>1.000247227524617</v>
      </c>
      <c r="GU71" s="8">
        <f t="shared" si="67"/>
        <v>0.99940161659346249</v>
      </c>
      <c r="GV71" s="8">
        <f t="shared" si="67"/>
        <v>0.99998822605358118</v>
      </c>
      <c r="GW71" s="8">
        <f t="shared" si="67"/>
        <v>1.0002075496785134</v>
      </c>
      <c r="GX71" s="8">
        <f t="shared" si="67"/>
        <v>1</v>
      </c>
      <c r="GY71" s="8">
        <f t="shared" si="67"/>
        <v>1.0000889192061679</v>
      </c>
      <c r="GZ71" s="8" t="str">
        <f t="shared" si="67"/>
        <v/>
      </c>
      <c r="HA71" s="8" t="str">
        <f t="shared" si="67"/>
        <v/>
      </c>
      <c r="HB71" s="8" t="str">
        <f t="shared" si="67"/>
        <v/>
      </c>
      <c r="HC71" s="8" t="str">
        <f t="shared" si="67"/>
        <v/>
      </c>
      <c r="HD71" s="8" t="str">
        <f t="shared" si="67"/>
        <v/>
      </c>
      <c r="HE71" s="8" t="str">
        <f t="shared" si="67"/>
        <v/>
      </c>
      <c r="HF71" s="8" t="str">
        <f t="shared" si="67"/>
        <v/>
      </c>
      <c r="HG71" s="8" t="str">
        <f t="shared" si="67"/>
        <v/>
      </c>
      <c r="HH71" s="8" t="str">
        <f t="shared" si="67"/>
        <v/>
      </c>
      <c r="HI71" s="8" t="str">
        <f t="shared" si="67"/>
        <v/>
      </c>
      <c r="HJ71" s="8" t="str">
        <f t="shared" si="67"/>
        <v/>
      </c>
      <c r="HK71" s="8" t="str">
        <f t="shared" si="67"/>
        <v/>
      </c>
      <c r="HL71" s="8" t="str">
        <f t="shared" si="67"/>
        <v/>
      </c>
      <c r="HM71" s="8" t="str">
        <f t="shared" si="67"/>
        <v/>
      </c>
      <c r="HN71" s="8" t="str">
        <f t="shared" si="67"/>
        <v/>
      </c>
      <c r="HO71" s="8" t="str">
        <f t="shared" si="67"/>
        <v/>
      </c>
      <c r="HP71" s="8" t="str">
        <f t="shared" si="67"/>
        <v/>
      </c>
      <c r="HQ71" s="8" t="str">
        <f t="shared" si="67"/>
        <v/>
      </c>
      <c r="HR71" s="8" t="str">
        <f t="shared" si="67"/>
        <v/>
      </c>
      <c r="HS71" s="8" t="str">
        <f t="shared" si="67"/>
        <v/>
      </c>
      <c r="HT71" s="8" t="str">
        <f t="shared" si="67"/>
        <v/>
      </c>
      <c r="HU71" s="8" t="str">
        <f t="shared" si="67"/>
        <v/>
      </c>
      <c r="HV71" s="8" t="str">
        <f t="shared" si="67"/>
        <v/>
      </c>
      <c r="HW71" s="8" t="str">
        <f t="shared" si="67"/>
        <v/>
      </c>
      <c r="HX71" s="8" t="str">
        <f t="shared" si="67"/>
        <v/>
      </c>
      <c r="HY71" s="8" t="str">
        <f t="shared" si="67"/>
        <v/>
      </c>
      <c r="HZ71" s="8" t="str">
        <f t="shared" si="67"/>
        <v/>
      </c>
      <c r="IA71" s="8" t="str">
        <f t="shared" si="67"/>
        <v/>
      </c>
      <c r="IB71" s="8" t="str">
        <f t="shared" si="67"/>
        <v/>
      </c>
      <c r="IC71" s="8" t="str">
        <f t="shared" si="67"/>
        <v/>
      </c>
      <c r="ID71" s="8" t="str">
        <f t="shared" si="67"/>
        <v/>
      </c>
      <c r="IE71" s="8" t="str">
        <f t="shared" si="67"/>
        <v/>
      </c>
      <c r="IF71" s="8" t="str">
        <f t="shared" si="67"/>
        <v/>
      </c>
      <c r="IG71" s="8" t="str">
        <f t="shared" si="67"/>
        <v/>
      </c>
      <c r="IH71" s="8" t="str">
        <f t="shared" si="67"/>
        <v/>
      </c>
      <c r="II71" s="8" t="str">
        <f t="shared" si="67"/>
        <v/>
      </c>
      <c r="IJ71" s="8" t="str">
        <f t="shared" si="67"/>
        <v/>
      </c>
      <c r="IK71" s="8" t="str">
        <f t="shared" si="67"/>
        <v/>
      </c>
      <c r="IL71" s="8" t="str">
        <f t="shared" si="67"/>
        <v/>
      </c>
      <c r="IM71" s="8" t="str">
        <f t="shared" si="67"/>
        <v/>
      </c>
      <c r="IN71" s="8" t="str">
        <f t="shared" si="67"/>
        <v/>
      </c>
      <c r="IO71" s="8" t="str">
        <f t="shared" si="67"/>
        <v/>
      </c>
      <c r="IP71" s="8" t="str">
        <f t="shared" si="67"/>
        <v/>
      </c>
      <c r="IQ71" s="8" t="str">
        <f t="shared" si="67"/>
        <v/>
      </c>
      <c r="IR71" s="8" t="str">
        <f t="shared" si="67"/>
        <v/>
      </c>
      <c r="IS71" s="8" t="str">
        <f t="shared" si="67"/>
        <v/>
      </c>
      <c r="IT71" s="8" t="str">
        <f t="shared" si="67"/>
        <v/>
      </c>
      <c r="IU71" s="8" t="str">
        <f t="shared" si="67"/>
        <v/>
      </c>
      <c r="IV71" s="8" t="str">
        <f t="shared" si="67"/>
        <v/>
      </c>
    </row>
    <row r="72" spans="6:256" x14ac:dyDescent="0.2">
      <c r="F72">
        <v>201806</v>
      </c>
      <c r="G72" s="8">
        <f t="shared" ref="G72:BR72" si="68">IF(OR(H26 = "", H$8 &lt; G$8), "", IFERROR(H26/G26, ""))</f>
        <v>8.6854642191828226</v>
      </c>
      <c r="H72" s="8">
        <f t="shared" si="68"/>
        <v>1.6703067110320684</v>
      </c>
      <c r="I72" s="8">
        <f t="shared" si="68"/>
        <v>1.4738307938100808</v>
      </c>
      <c r="J72" s="8">
        <f t="shared" si="68"/>
        <v>1.2916990179069248</v>
      </c>
      <c r="K72" s="8">
        <f t="shared" si="68"/>
        <v>1.0198645280688523</v>
      </c>
      <c r="L72" s="8">
        <f t="shared" si="68"/>
        <v>1.0006257794963371</v>
      </c>
      <c r="M72" s="8">
        <f t="shared" si="68"/>
        <v>1.0096437517783388</v>
      </c>
      <c r="N72" s="8">
        <f t="shared" si="68"/>
        <v>1.0163861409003494</v>
      </c>
      <c r="O72" s="8">
        <f t="shared" si="68"/>
        <v>1.0010633939395992</v>
      </c>
      <c r="P72" s="8">
        <f t="shared" si="68"/>
        <v>1.0216309446014846</v>
      </c>
      <c r="Q72" s="8">
        <f t="shared" si="68"/>
        <v>1</v>
      </c>
      <c r="R72" s="8">
        <f t="shared" si="68"/>
        <v>1.003382683244785</v>
      </c>
      <c r="S72" s="8">
        <f t="shared" si="68"/>
        <v>1.1170744108588266</v>
      </c>
      <c r="T72" s="8">
        <f t="shared" si="68"/>
        <v>1</v>
      </c>
      <c r="U72" s="8">
        <f t="shared" si="68"/>
        <v>1.0040818409074346</v>
      </c>
      <c r="V72" s="8">
        <f t="shared" si="68"/>
        <v>1.0001072365174017</v>
      </c>
      <c r="W72" s="8">
        <f t="shared" si="68"/>
        <v>1.0001260445037909</v>
      </c>
      <c r="X72" s="8">
        <f t="shared" si="68"/>
        <v>1</v>
      </c>
      <c r="Y72" s="8">
        <f t="shared" si="68"/>
        <v>1</v>
      </c>
      <c r="Z72" s="8">
        <f t="shared" si="68"/>
        <v>0.9998355869033797</v>
      </c>
      <c r="AA72" s="8">
        <f t="shared" si="68"/>
        <v>1</v>
      </c>
      <c r="AB72" s="8">
        <f t="shared" si="68"/>
        <v>1.0000171897268411</v>
      </c>
      <c r="AC72" s="8">
        <f t="shared" si="68"/>
        <v>1.0013130014587441</v>
      </c>
      <c r="AD72" s="8">
        <f t="shared" si="68"/>
        <v>1</v>
      </c>
      <c r="AE72" s="8">
        <f t="shared" si="68"/>
        <v>1.0003615672657393</v>
      </c>
      <c r="AF72" s="8">
        <f t="shared" si="68"/>
        <v>1.0002423946453594</v>
      </c>
      <c r="AG72" s="8">
        <f t="shared" si="68"/>
        <v>1.0001258058999158</v>
      </c>
      <c r="AH72" s="8">
        <f t="shared" si="68"/>
        <v>1</v>
      </c>
      <c r="AI72" s="8">
        <f t="shared" si="68"/>
        <v>1</v>
      </c>
      <c r="AJ72" s="8">
        <f t="shared" si="68"/>
        <v>1.0057032134014454</v>
      </c>
      <c r="AK72" s="8">
        <f t="shared" si="68"/>
        <v>1</v>
      </c>
      <c r="AL72" s="8">
        <f t="shared" si="68"/>
        <v>1.0293537255963126</v>
      </c>
      <c r="AM72" s="8">
        <f t="shared" si="68"/>
        <v>1</v>
      </c>
      <c r="AN72" s="8">
        <f t="shared" si="68"/>
        <v>1.000807502631035</v>
      </c>
      <c r="AO72" s="8">
        <f t="shared" si="68"/>
        <v>1.0307197522978446</v>
      </c>
      <c r="AP72" s="8">
        <f t="shared" si="68"/>
        <v>1</v>
      </c>
      <c r="AQ72" s="8">
        <f t="shared" si="68"/>
        <v>1</v>
      </c>
      <c r="AR72" s="8">
        <f t="shared" si="68"/>
        <v>1.0001177933425363</v>
      </c>
      <c r="AS72" s="8">
        <f t="shared" si="68"/>
        <v>1</v>
      </c>
      <c r="AT72" s="8">
        <f t="shared" si="68"/>
        <v>1</v>
      </c>
      <c r="AU72" s="8">
        <f t="shared" si="68"/>
        <v>1</v>
      </c>
      <c r="AV72" s="8">
        <f t="shared" si="68"/>
        <v>1</v>
      </c>
      <c r="AW72" s="8">
        <f t="shared" si="68"/>
        <v>1</v>
      </c>
      <c r="AX72" s="8">
        <f t="shared" si="68"/>
        <v>1</v>
      </c>
      <c r="AY72" s="8">
        <f t="shared" si="68"/>
        <v>1</v>
      </c>
      <c r="AZ72" s="8">
        <f t="shared" si="68"/>
        <v>1.0006600763708386</v>
      </c>
      <c r="BA72" s="8">
        <f t="shared" si="68"/>
        <v>1.0004848346228328</v>
      </c>
      <c r="BB72" s="8">
        <f t="shared" si="68"/>
        <v>1</v>
      </c>
      <c r="BC72" s="8">
        <f t="shared" si="68"/>
        <v>1</v>
      </c>
      <c r="BD72" s="8">
        <f t="shared" si="68"/>
        <v>1</v>
      </c>
      <c r="BE72" s="8">
        <f t="shared" si="68"/>
        <v>1.0002053342334556</v>
      </c>
      <c r="BF72" s="8">
        <f t="shared" si="68"/>
        <v>1</v>
      </c>
      <c r="BG72" s="8">
        <f t="shared" si="68"/>
        <v>1</v>
      </c>
      <c r="BH72" s="8">
        <f t="shared" si="68"/>
        <v>1</v>
      </c>
      <c r="BI72" s="8">
        <f t="shared" si="68"/>
        <v>1</v>
      </c>
      <c r="BJ72" s="8">
        <f t="shared" si="68"/>
        <v>1</v>
      </c>
      <c r="BK72" s="8">
        <f t="shared" si="68"/>
        <v>1.0001408400482015</v>
      </c>
      <c r="BL72" s="8">
        <f t="shared" si="68"/>
        <v>1.0006590931154915</v>
      </c>
      <c r="BM72" s="8">
        <f t="shared" si="68"/>
        <v>1</v>
      </c>
      <c r="BN72" s="8">
        <f t="shared" si="68"/>
        <v>1</v>
      </c>
      <c r="BO72" s="8">
        <f t="shared" si="68"/>
        <v>1</v>
      </c>
      <c r="BP72" s="8">
        <f t="shared" si="68"/>
        <v>1</v>
      </c>
      <c r="BQ72" s="8">
        <f t="shared" si="68"/>
        <v>1</v>
      </c>
      <c r="BR72" s="8">
        <f t="shared" si="68"/>
        <v>1.0002051279722546</v>
      </c>
      <c r="BS72" s="8">
        <f t="shared" ref="BS72:ED72" si="69">IF(OR(BT26 = "", BT$8 &lt; BS$8), "", IFERROR(BT26/BS26, ""))</f>
        <v>1</v>
      </c>
      <c r="BT72" s="8">
        <f t="shared" si="69"/>
        <v>1</v>
      </c>
      <c r="BU72" s="8">
        <f t="shared" si="69"/>
        <v>1</v>
      </c>
      <c r="BV72" s="8">
        <f t="shared" si="69"/>
        <v>1.0001498746186039</v>
      </c>
      <c r="BW72" s="8">
        <f t="shared" si="69"/>
        <v>1</v>
      </c>
      <c r="BX72" s="8">
        <f t="shared" si="69"/>
        <v>1.0009355471716106</v>
      </c>
      <c r="BY72" s="8">
        <f t="shared" si="69"/>
        <v>1</v>
      </c>
      <c r="BZ72" s="8">
        <f t="shared" si="69"/>
        <v>1</v>
      </c>
      <c r="CA72" s="8">
        <f t="shared" si="69"/>
        <v>1</v>
      </c>
      <c r="CB72" s="8" t="str">
        <f t="shared" si="69"/>
        <v/>
      </c>
      <c r="CC72" s="8" t="str">
        <f t="shared" si="69"/>
        <v/>
      </c>
      <c r="CD72" s="8" t="str">
        <f t="shared" si="69"/>
        <v/>
      </c>
      <c r="CE72" s="8" t="str">
        <f t="shared" si="69"/>
        <v/>
      </c>
      <c r="CF72" s="8" t="str">
        <f t="shared" si="69"/>
        <v/>
      </c>
      <c r="CG72" s="8" t="str">
        <f t="shared" si="69"/>
        <v/>
      </c>
      <c r="CH72" s="8" t="str">
        <f t="shared" si="69"/>
        <v/>
      </c>
      <c r="CI72" s="8" t="str">
        <f t="shared" si="69"/>
        <v/>
      </c>
      <c r="CJ72" s="8" t="str">
        <f t="shared" si="69"/>
        <v/>
      </c>
      <c r="CK72" s="8" t="str">
        <f t="shared" si="69"/>
        <v/>
      </c>
      <c r="CL72" s="8" t="str">
        <f t="shared" si="69"/>
        <v/>
      </c>
      <c r="CM72" s="8" t="str">
        <f t="shared" si="69"/>
        <v/>
      </c>
      <c r="CN72" s="8" t="str">
        <f t="shared" si="69"/>
        <v/>
      </c>
      <c r="CO72" s="8" t="str">
        <f t="shared" si="69"/>
        <v/>
      </c>
      <c r="CP72" s="8" t="str">
        <f t="shared" si="69"/>
        <v/>
      </c>
      <c r="CQ72" s="8" t="str">
        <f t="shared" si="69"/>
        <v/>
      </c>
      <c r="CR72" s="8" t="str">
        <f t="shared" si="69"/>
        <v/>
      </c>
      <c r="CS72" s="8" t="str">
        <f t="shared" si="69"/>
        <v/>
      </c>
      <c r="CT72" s="8" t="str">
        <f t="shared" si="69"/>
        <v/>
      </c>
      <c r="CU72" s="8" t="str">
        <f t="shared" si="69"/>
        <v/>
      </c>
      <c r="CV72" s="8" t="str">
        <f t="shared" si="69"/>
        <v/>
      </c>
      <c r="CW72" s="8" t="str">
        <f t="shared" si="69"/>
        <v/>
      </c>
      <c r="CX72" s="8" t="str">
        <f t="shared" si="69"/>
        <v/>
      </c>
      <c r="CY72" s="8" t="str">
        <f t="shared" si="69"/>
        <v/>
      </c>
      <c r="CZ72" s="8" t="str">
        <f t="shared" si="69"/>
        <v/>
      </c>
      <c r="DA72" s="8" t="str">
        <f t="shared" si="69"/>
        <v/>
      </c>
      <c r="DB72" s="8" t="str">
        <f t="shared" si="69"/>
        <v/>
      </c>
      <c r="DC72" s="8" t="str">
        <f t="shared" si="69"/>
        <v/>
      </c>
      <c r="DD72" s="8" t="str">
        <f t="shared" si="69"/>
        <v/>
      </c>
      <c r="DE72" s="8" t="str">
        <f t="shared" si="69"/>
        <v/>
      </c>
      <c r="DF72" s="8" t="str">
        <f t="shared" si="69"/>
        <v/>
      </c>
      <c r="DG72" s="8" t="str">
        <f t="shared" si="69"/>
        <v/>
      </c>
      <c r="DH72" s="8" t="str">
        <f t="shared" si="69"/>
        <v/>
      </c>
      <c r="DI72" s="8" t="str">
        <f t="shared" si="69"/>
        <v/>
      </c>
      <c r="DJ72" s="8" t="str">
        <f t="shared" si="69"/>
        <v/>
      </c>
      <c r="DK72" s="8" t="str">
        <f t="shared" si="69"/>
        <v/>
      </c>
      <c r="DL72" s="8" t="str">
        <f t="shared" si="69"/>
        <v/>
      </c>
      <c r="DM72" s="8" t="str">
        <f t="shared" si="69"/>
        <v/>
      </c>
      <c r="DN72" s="8" t="str">
        <f t="shared" si="69"/>
        <v/>
      </c>
      <c r="DO72" s="8" t="str">
        <f t="shared" si="69"/>
        <v/>
      </c>
      <c r="DP72" s="8" t="str">
        <f t="shared" si="69"/>
        <v/>
      </c>
      <c r="DQ72" s="8" t="str">
        <f t="shared" si="69"/>
        <v/>
      </c>
      <c r="DR72" s="8" t="str">
        <f t="shared" si="69"/>
        <v/>
      </c>
      <c r="DS72" s="8" t="str">
        <f t="shared" si="69"/>
        <v/>
      </c>
      <c r="DT72" s="8" t="str">
        <f t="shared" si="69"/>
        <v/>
      </c>
      <c r="DU72" s="8" t="str">
        <f t="shared" si="69"/>
        <v/>
      </c>
      <c r="DV72" s="8" t="str">
        <f t="shared" si="69"/>
        <v/>
      </c>
      <c r="DW72" s="8" t="str">
        <f t="shared" si="69"/>
        <v/>
      </c>
      <c r="DX72" s="8" t="str">
        <f t="shared" si="69"/>
        <v/>
      </c>
      <c r="DY72" s="8" t="str">
        <f t="shared" si="69"/>
        <v/>
      </c>
      <c r="DZ72" s="8" t="str">
        <f t="shared" si="69"/>
        <v/>
      </c>
      <c r="EA72" s="8" t="str">
        <f t="shared" si="69"/>
        <v/>
      </c>
      <c r="EB72" s="8">
        <f t="shared" si="69"/>
        <v>3.6796360491730926</v>
      </c>
      <c r="EC72" s="8">
        <f t="shared" si="69"/>
        <v>1.61016605084719</v>
      </c>
      <c r="ED72" s="8">
        <f t="shared" si="69"/>
        <v>1.0145020377408029</v>
      </c>
      <c r="EE72" s="8">
        <f t="shared" ref="EE72:GP72" si="70">IF(OR(EF26 = "", EF$8 &lt; EE$8), "", IFERROR(EF26/EE26, ""))</f>
        <v>0.98196654713042519</v>
      </c>
      <c r="EF72" s="8">
        <f t="shared" si="70"/>
        <v>1.0006984579686395</v>
      </c>
      <c r="EG72" s="8">
        <f t="shared" si="70"/>
        <v>0.98181376951622323</v>
      </c>
      <c r="EH72" s="8">
        <f t="shared" si="70"/>
        <v>1.0380590818400361</v>
      </c>
      <c r="EI72" s="8">
        <f t="shared" si="70"/>
        <v>0.99825970288269261</v>
      </c>
      <c r="EJ72" s="8">
        <f t="shared" si="70"/>
        <v>1.0010409714652355</v>
      </c>
      <c r="EK72" s="8">
        <f t="shared" si="70"/>
        <v>1.0001114760751397</v>
      </c>
      <c r="EL72" s="8">
        <f t="shared" si="70"/>
        <v>1</v>
      </c>
      <c r="EM72" s="8">
        <f t="shared" si="70"/>
        <v>1.125656630079624</v>
      </c>
      <c r="EN72" s="8">
        <f t="shared" si="70"/>
        <v>0.99972345327243595</v>
      </c>
      <c r="EO72" s="8">
        <f t="shared" si="70"/>
        <v>1</v>
      </c>
      <c r="EP72" s="8">
        <f t="shared" si="70"/>
        <v>1.0001812219475621</v>
      </c>
      <c r="EQ72" s="8">
        <f t="shared" si="70"/>
        <v>0.99999971585378045</v>
      </c>
      <c r="ER72" s="8">
        <f t="shared" si="70"/>
        <v>1.0001260445037909</v>
      </c>
      <c r="ES72" s="8">
        <f t="shared" si="70"/>
        <v>1.0000785962045342</v>
      </c>
      <c r="ET72" s="8">
        <f t="shared" si="70"/>
        <v>1.0000000046696269</v>
      </c>
      <c r="EU72" s="8">
        <f t="shared" si="70"/>
        <v>0.9999822092400632</v>
      </c>
      <c r="EV72" s="8">
        <f t="shared" si="70"/>
        <v>0.99977479188177398</v>
      </c>
      <c r="EW72" s="8">
        <f t="shared" si="70"/>
        <v>1.0000171897268411</v>
      </c>
      <c r="EX72" s="8">
        <f t="shared" si="70"/>
        <v>1.0013130015403851</v>
      </c>
      <c r="EY72" s="8">
        <f t="shared" si="70"/>
        <v>1</v>
      </c>
      <c r="EZ72" s="8">
        <f t="shared" si="70"/>
        <v>1.0003615672657098</v>
      </c>
      <c r="FA72" s="8">
        <f t="shared" si="70"/>
        <v>1.000242394563835</v>
      </c>
      <c r="FB72" s="8">
        <f t="shared" si="70"/>
        <v>1.0001258058999158</v>
      </c>
      <c r="FC72" s="8">
        <f t="shared" si="70"/>
        <v>1</v>
      </c>
      <c r="FD72" s="8">
        <f t="shared" si="70"/>
        <v>1</v>
      </c>
      <c r="FE72" s="8">
        <f t="shared" si="70"/>
        <v>1.0672175065759208</v>
      </c>
      <c r="FF72" s="8">
        <f t="shared" si="70"/>
        <v>1</v>
      </c>
      <c r="FG72" s="8">
        <f t="shared" si="70"/>
        <v>0.99992531319329547</v>
      </c>
      <c r="FH72" s="8">
        <f t="shared" si="70"/>
        <v>1.0000014912561279</v>
      </c>
      <c r="FI72" s="8">
        <f t="shared" si="70"/>
        <v>1.0007833525714835</v>
      </c>
      <c r="FJ72" s="8">
        <f t="shared" si="70"/>
        <v>0.9999180452347517</v>
      </c>
      <c r="FK72" s="8">
        <f t="shared" si="70"/>
        <v>1</v>
      </c>
      <c r="FL72" s="8">
        <f t="shared" si="70"/>
        <v>1</v>
      </c>
      <c r="FM72" s="8">
        <f t="shared" si="70"/>
        <v>1.0001177933425363</v>
      </c>
      <c r="FN72" s="8">
        <f t="shared" si="70"/>
        <v>1</v>
      </c>
      <c r="FO72" s="8">
        <f t="shared" si="70"/>
        <v>1</v>
      </c>
      <c r="FP72" s="8">
        <f t="shared" si="70"/>
        <v>1</v>
      </c>
      <c r="FQ72" s="8">
        <f t="shared" si="70"/>
        <v>1</v>
      </c>
      <c r="FR72" s="8">
        <f t="shared" si="70"/>
        <v>1</v>
      </c>
      <c r="FS72" s="8">
        <f t="shared" si="70"/>
        <v>1</v>
      </c>
      <c r="FT72" s="8">
        <f t="shared" si="70"/>
        <v>1.0004589746713755</v>
      </c>
      <c r="FU72" s="8">
        <f t="shared" si="70"/>
        <v>1.000659887927982</v>
      </c>
      <c r="FV72" s="8">
        <f t="shared" si="70"/>
        <v>1.0004846122893698</v>
      </c>
      <c r="FW72" s="8">
        <f t="shared" si="70"/>
        <v>1</v>
      </c>
      <c r="FX72" s="8">
        <f t="shared" si="70"/>
        <v>1</v>
      </c>
      <c r="FY72" s="8">
        <f t="shared" si="70"/>
        <v>1</v>
      </c>
      <c r="FZ72" s="8">
        <f t="shared" si="70"/>
        <v>1.0002052401177388</v>
      </c>
      <c r="GA72" s="8">
        <f t="shared" si="70"/>
        <v>1</v>
      </c>
      <c r="GB72" s="8">
        <f t="shared" si="70"/>
        <v>1</v>
      </c>
      <c r="GC72" s="8">
        <f t="shared" si="70"/>
        <v>1</v>
      </c>
      <c r="GD72" s="8">
        <f t="shared" si="70"/>
        <v>1</v>
      </c>
      <c r="GE72" s="8">
        <f t="shared" si="70"/>
        <v>1</v>
      </c>
      <c r="GF72" s="8">
        <f t="shared" si="70"/>
        <v>1.0001407755068832</v>
      </c>
      <c r="GG72" s="8">
        <f t="shared" si="70"/>
        <v>1.0006591108994976</v>
      </c>
      <c r="GH72" s="8">
        <f t="shared" si="70"/>
        <v>1</v>
      </c>
      <c r="GI72" s="8">
        <f t="shared" si="70"/>
        <v>1</v>
      </c>
      <c r="GJ72" s="8">
        <f t="shared" si="70"/>
        <v>1</v>
      </c>
      <c r="GK72" s="8">
        <f t="shared" si="70"/>
        <v>1</v>
      </c>
      <c r="GL72" s="8">
        <f t="shared" si="70"/>
        <v>1</v>
      </c>
      <c r="GM72" s="8">
        <f t="shared" si="70"/>
        <v>1.0002050339799589</v>
      </c>
      <c r="GN72" s="8">
        <f t="shared" si="70"/>
        <v>1</v>
      </c>
      <c r="GO72" s="8">
        <f t="shared" si="70"/>
        <v>1</v>
      </c>
      <c r="GP72" s="8">
        <f t="shared" si="70"/>
        <v>1</v>
      </c>
      <c r="GQ72" s="8">
        <f t="shared" ref="GQ72:IV72" si="71">IF(OR(GR26 = "", GR$8 &lt; GQ$8), "", IFERROR(GR26/GQ26, ""))</f>
        <v>0.99992074644196016</v>
      </c>
      <c r="GR72" s="8">
        <f t="shared" si="71"/>
        <v>1</v>
      </c>
      <c r="GS72" s="8">
        <f t="shared" si="71"/>
        <v>1.0009354469752472</v>
      </c>
      <c r="GT72" s="8">
        <f t="shared" si="71"/>
        <v>1</v>
      </c>
      <c r="GU72" s="8">
        <f t="shared" si="71"/>
        <v>1</v>
      </c>
      <c r="GV72" s="8">
        <f t="shared" si="71"/>
        <v>0.99977102240834215</v>
      </c>
      <c r="GW72" s="8" t="str">
        <f t="shared" si="71"/>
        <v/>
      </c>
      <c r="GX72" s="8" t="str">
        <f t="shared" si="71"/>
        <v/>
      </c>
      <c r="GY72" s="8" t="str">
        <f t="shared" si="71"/>
        <v/>
      </c>
      <c r="GZ72" s="8" t="str">
        <f t="shared" si="71"/>
        <v/>
      </c>
      <c r="HA72" s="8" t="str">
        <f t="shared" si="71"/>
        <v/>
      </c>
      <c r="HB72" s="8" t="str">
        <f t="shared" si="71"/>
        <v/>
      </c>
      <c r="HC72" s="8" t="str">
        <f t="shared" si="71"/>
        <v/>
      </c>
      <c r="HD72" s="8" t="str">
        <f t="shared" si="71"/>
        <v/>
      </c>
      <c r="HE72" s="8" t="str">
        <f t="shared" si="71"/>
        <v/>
      </c>
      <c r="HF72" s="8" t="str">
        <f t="shared" si="71"/>
        <v/>
      </c>
      <c r="HG72" s="8" t="str">
        <f t="shared" si="71"/>
        <v/>
      </c>
      <c r="HH72" s="8" t="str">
        <f t="shared" si="71"/>
        <v/>
      </c>
      <c r="HI72" s="8" t="str">
        <f t="shared" si="71"/>
        <v/>
      </c>
      <c r="HJ72" s="8" t="str">
        <f t="shared" si="71"/>
        <v/>
      </c>
      <c r="HK72" s="8" t="str">
        <f t="shared" si="71"/>
        <v/>
      </c>
      <c r="HL72" s="8" t="str">
        <f t="shared" si="71"/>
        <v/>
      </c>
      <c r="HM72" s="8" t="str">
        <f t="shared" si="71"/>
        <v/>
      </c>
      <c r="HN72" s="8" t="str">
        <f t="shared" si="71"/>
        <v/>
      </c>
      <c r="HO72" s="8" t="str">
        <f t="shared" si="71"/>
        <v/>
      </c>
      <c r="HP72" s="8" t="str">
        <f t="shared" si="71"/>
        <v/>
      </c>
      <c r="HQ72" s="8" t="str">
        <f t="shared" si="71"/>
        <v/>
      </c>
      <c r="HR72" s="8" t="str">
        <f t="shared" si="71"/>
        <v/>
      </c>
      <c r="HS72" s="8" t="str">
        <f t="shared" si="71"/>
        <v/>
      </c>
      <c r="HT72" s="8" t="str">
        <f t="shared" si="71"/>
        <v/>
      </c>
      <c r="HU72" s="8" t="str">
        <f t="shared" si="71"/>
        <v/>
      </c>
      <c r="HV72" s="8" t="str">
        <f t="shared" si="71"/>
        <v/>
      </c>
      <c r="HW72" s="8" t="str">
        <f t="shared" si="71"/>
        <v/>
      </c>
      <c r="HX72" s="8" t="str">
        <f t="shared" si="71"/>
        <v/>
      </c>
      <c r="HY72" s="8" t="str">
        <f t="shared" si="71"/>
        <v/>
      </c>
      <c r="HZ72" s="8" t="str">
        <f t="shared" si="71"/>
        <v/>
      </c>
      <c r="IA72" s="8" t="str">
        <f t="shared" si="71"/>
        <v/>
      </c>
      <c r="IB72" s="8" t="str">
        <f t="shared" si="71"/>
        <v/>
      </c>
      <c r="IC72" s="8" t="str">
        <f t="shared" si="71"/>
        <v/>
      </c>
      <c r="ID72" s="8" t="str">
        <f t="shared" si="71"/>
        <v/>
      </c>
      <c r="IE72" s="8" t="str">
        <f t="shared" si="71"/>
        <v/>
      </c>
      <c r="IF72" s="8" t="str">
        <f t="shared" si="71"/>
        <v/>
      </c>
      <c r="IG72" s="8" t="str">
        <f t="shared" si="71"/>
        <v/>
      </c>
      <c r="IH72" s="8" t="str">
        <f t="shared" si="71"/>
        <v/>
      </c>
      <c r="II72" s="8" t="str">
        <f t="shared" si="71"/>
        <v/>
      </c>
      <c r="IJ72" s="8" t="str">
        <f t="shared" si="71"/>
        <v/>
      </c>
      <c r="IK72" s="8" t="str">
        <f t="shared" si="71"/>
        <v/>
      </c>
      <c r="IL72" s="8" t="str">
        <f t="shared" si="71"/>
        <v/>
      </c>
      <c r="IM72" s="8" t="str">
        <f t="shared" si="71"/>
        <v/>
      </c>
      <c r="IN72" s="8" t="str">
        <f t="shared" si="71"/>
        <v/>
      </c>
      <c r="IO72" s="8" t="str">
        <f t="shared" si="71"/>
        <v/>
      </c>
      <c r="IP72" s="8" t="str">
        <f t="shared" si="71"/>
        <v/>
      </c>
      <c r="IQ72" s="8" t="str">
        <f t="shared" si="71"/>
        <v/>
      </c>
      <c r="IR72" s="8" t="str">
        <f t="shared" si="71"/>
        <v/>
      </c>
      <c r="IS72" s="8" t="str">
        <f t="shared" si="71"/>
        <v/>
      </c>
      <c r="IT72" s="8" t="str">
        <f t="shared" si="71"/>
        <v/>
      </c>
      <c r="IU72" s="8" t="str">
        <f t="shared" si="71"/>
        <v/>
      </c>
      <c r="IV72" s="8" t="str">
        <f t="shared" si="71"/>
        <v/>
      </c>
    </row>
    <row r="73" spans="6:256" x14ac:dyDescent="0.2">
      <c r="F73">
        <v>201809</v>
      </c>
      <c r="G73" s="8">
        <f t="shared" ref="G73:BR73" si="72">IF(OR(H27 = "", H$8 &lt; G$8), "", IFERROR(H27/G27, ""))</f>
        <v>337.10016608126779</v>
      </c>
      <c r="H73" s="8">
        <f t="shared" si="72"/>
        <v>1.9267322657677688</v>
      </c>
      <c r="I73" s="8">
        <f t="shared" si="72"/>
        <v>1.4176107027488729</v>
      </c>
      <c r="J73" s="8">
        <f t="shared" si="72"/>
        <v>1.2319902713161415</v>
      </c>
      <c r="K73" s="8">
        <f t="shared" si="72"/>
        <v>1.0285057736482117</v>
      </c>
      <c r="L73" s="8">
        <f t="shared" si="72"/>
        <v>1.005036150419288</v>
      </c>
      <c r="M73" s="8">
        <f t="shared" si="72"/>
        <v>1.01448772948738</v>
      </c>
      <c r="N73" s="8">
        <f t="shared" si="72"/>
        <v>1.0034358316363954</v>
      </c>
      <c r="O73" s="8">
        <f t="shared" si="72"/>
        <v>1.0130065364022942</v>
      </c>
      <c r="P73" s="8">
        <f t="shared" si="72"/>
        <v>1.0002098063810845</v>
      </c>
      <c r="Q73" s="8">
        <f t="shared" si="72"/>
        <v>1.0002969157093522</v>
      </c>
      <c r="R73" s="8">
        <f t="shared" si="72"/>
        <v>1.0007902115879825</v>
      </c>
      <c r="S73" s="8">
        <f t="shared" si="72"/>
        <v>1.000063525922811</v>
      </c>
      <c r="T73" s="8">
        <f t="shared" si="72"/>
        <v>1.0010752746065861</v>
      </c>
      <c r="U73" s="8">
        <f t="shared" si="72"/>
        <v>1.0001081299619297</v>
      </c>
      <c r="V73" s="8">
        <f t="shared" si="72"/>
        <v>1</v>
      </c>
      <c r="W73" s="8">
        <f t="shared" si="72"/>
        <v>0.99996986277912536</v>
      </c>
      <c r="X73" s="8">
        <f t="shared" si="72"/>
        <v>1.0039649888363531</v>
      </c>
      <c r="Y73" s="8">
        <f t="shared" si="72"/>
        <v>1.0010087061434545</v>
      </c>
      <c r="Z73" s="8">
        <f t="shared" si="72"/>
        <v>1.0000665322492182</v>
      </c>
      <c r="AA73" s="8">
        <f t="shared" si="72"/>
        <v>1</v>
      </c>
      <c r="AB73" s="8">
        <f t="shared" si="72"/>
        <v>1.0008759574195496</v>
      </c>
      <c r="AC73" s="8">
        <f t="shared" si="72"/>
        <v>1</v>
      </c>
      <c r="AD73" s="8">
        <f t="shared" si="72"/>
        <v>1.0015860540964239</v>
      </c>
      <c r="AE73" s="8">
        <f t="shared" si="72"/>
        <v>1.0005043440180097</v>
      </c>
      <c r="AF73" s="8">
        <f t="shared" si="72"/>
        <v>1.0079721273222939</v>
      </c>
      <c r="AG73" s="8">
        <f t="shared" si="72"/>
        <v>1.0035950341672968</v>
      </c>
      <c r="AH73" s="8">
        <f t="shared" si="72"/>
        <v>1</v>
      </c>
      <c r="AI73" s="8">
        <f t="shared" si="72"/>
        <v>1.0017005849932581</v>
      </c>
      <c r="AJ73" s="8">
        <f t="shared" si="72"/>
        <v>1.0000783534350217</v>
      </c>
      <c r="AK73" s="8">
        <f t="shared" si="72"/>
        <v>1</v>
      </c>
      <c r="AL73" s="8">
        <f t="shared" si="72"/>
        <v>1.0001521437731165</v>
      </c>
      <c r="AM73" s="8">
        <f t="shared" si="72"/>
        <v>1</v>
      </c>
      <c r="AN73" s="8">
        <f t="shared" si="72"/>
        <v>1.000036556474738</v>
      </c>
      <c r="AO73" s="8">
        <f t="shared" si="72"/>
        <v>1.000486444685214</v>
      </c>
      <c r="AP73" s="8">
        <f t="shared" si="72"/>
        <v>1.0008212347914633</v>
      </c>
      <c r="AQ73" s="8">
        <f t="shared" si="72"/>
        <v>1.0014927244695329</v>
      </c>
      <c r="AR73" s="8">
        <f t="shared" si="72"/>
        <v>1</v>
      </c>
      <c r="AS73" s="8">
        <f t="shared" si="72"/>
        <v>1</v>
      </c>
      <c r="AT73" s="8">
        <f t="shared" si="72"/>
        <v>1</v>
      </c>
      <c r="AU73" s="8">
        <f t="shared" si="72"/>
        <v>1</v>
      </c>
      <c r="AV73" s="8">
        <f t="shared" si="72"/>
        <v>1</v>
      </c>
      <c r="AW73" s="8">
        <f t="shared" si="72"/>
        <v>1.0088998295197924</v>
      </c>
      <c r="AX73" s="8">
        <f t="shared" si="72"/>
        <v>1</v>
      </c>
      <c r="AY73" s="8">
        <f t="shared" si="72"/>
        <v>1</v>
      </c>
      <c r="AZ73" s="8">
        <f t="shared" si="72"/>
        <v>1</v>
      </c>
      <c r="BA73" s="8">
        <f t="shared" si="72"/>
        <v>1.0010024313728336</v>
      </c>
      <c r="BB73" s="8">
        <f t="shared" si="72"/>
        <v>1.0005551288557897</v>
      </c>
      <c r="BC73" s="8">
        <f t="shared" si="72"/>
        <v>1.0012337882668363</v>
      </c>
      <c r="BD73" s="8">
        <f t="shared" si="72"/>
        <v>1</v>
      </c>
      <c r="BE73" s="8">
        <f t="shared" si="72"/>
        <v>1</v>
      </c>
      <c r="BF73" s="8">
        <f t="shared" si="72"/>
        <v>1</v>
      </c>
      <c r="BG73" s="8">
        <f t="shared" si="72"/>
        <v>1</v>
      </c>
      <c r="BH73" s="8">
        <f t="shared" si="72"/>
        <v>1</v>
      </c>
      <c r="BI73" s="8">
        <f t="shared" si="72"/>
        <v>1</v>
      </c>
      <c r="BJ73" s="8">
        <f t="shared" si="72"/>
        <v>1.0000645029623692</v>
      </c>
      <c r="BK73" s="8">
        <f t="shared" si="72"/>
        <v>1.0001287069217155</v>
      </c>
      <c r="BL73" s="8">
        <f t="shared" si="72"/>
        <v>1</v>
      </c>
      <c r="BM73" s="8">
        <f t="shared" si="72"/>
        <v>1.0006120613311491</v>
      </c>
      <c r="BN73" s="8">
        <f t="shared" si="72"/>
        <v>1.0014908206742719</v>
      </c>
      <c r="BO73" s="8">
        <f t="shared" si="72"/>
        <v>1.001200435097666</v>
      </c>
      <c r="BP73" s="8">
        <f t="shared" si="72"/>
        <v>1</v>
      </c>
      <c r="BQ73" s="8">
        <f t="shared" si="72"/>
        <v>1</v>
      </c>
      <c r="BR73" s="8">
        <f t="shared" si="72"/>
        <v>1</v>
      </c>
      <c r="BS73" s="8">
        <f t="shared" ref="BS73:ED73" si="73">IF(OR(BT27 = "", BT$8 &lt; BS$8), "", IFERROR(BT27/BS27, ""))</f>
        <v>1</v>
      </c>
      <c r="BT73" s="8">
        <f t="shared" si="73"/>
        <v>1</v>
      </c>
      <c r="BU73" s="8">
        <f t="shared" si="73"/>
        <v>1.0000642779501954</v>
      </c>
      <c r="BV73" s="8">
        <f t="shared" si="73"/>
        <v>1</v>
      </c>
      <c r="BW73" s="8">
        <f t="shared" si="73"/>
        <v>1</v>
      </c>
      <c r="BX73" s="8">
        <f t="shared" si="73"/>
        <v>1.0002082599027247</v>
      </c>
      <c r="BY73" s="8" t="str">
        <f t="shared" si="73"/>
        <v/>
      </c>
      <c r="BZ73" s="8" t="str">
        <f t="shared" si="73"/>
        <v/>
      </c>
      <c r="CA73" s="8" t="str">
        <f t="shared" si="73"/>
        <v/>
      </c>
      <c r="CB73" s="8" t="str">
        <f t="shared" si="73"/>
        <v/>
      </c>
      <c r="CC73" s="8" t="str">
        <f t="shared" si="73"/>
        <v/>
      </c>
      <c r="CD73" s="8" t="str">
        <f t="shared" si="73"/>
        <v/>
      </c>
      <c r="CE73" s="8" t="str">
        <f t="shared" si="73"/>
        <v/>
      </c>
      <c r="CF73" s="8" t="str">
        <f t="shared" si="73"/>
        <v/>
      </c>
      <c r="CG73" s="8" t="str">
        <f t="shared" si="73"/>
        <v/>
      </c>
      <c r="CH73" s="8" t="str">
        <f t="shared" si="73"/>
        <v/>
      </c>
      <c r="CI73" s="8" t="str">
        <f t="shared" si="73"/>
        <v/>
      </c>
      <c r="CJ73" s="8" t="str">
        <f t="shared" si="73"/>
        <v/>
      </c>
      <c r="CK73" s="8" t="str">
        <f t="shared" si="73"/>
        <v/>
      </c>
      <c r="CL73" s="8" t="str">
        <f t="shared" si="73"/>
        <v/>
      </c>
      <c r="CM73" s="8" t="str">
        <f t="shared" si="73"/>
        <v/>
      </c>
      <c r="CN73" s="8" t="str">
        <f t="shared" si="73"/>
        <v/>
      </c>
      <c r="CO73" s="8" t="str">
        <f t="shared" si="73"/>
        <v/>
      </c>
      <c r="CP73" s="8" t="str">
        <f t="shared" si="73"/>
        <v/>
      </c>
      <c r="CQ73" s="8" t="str">
        <f t="shared" si="73"/>
        <v/>
      </c>
      <c r="CR73" s="8" t="str">
        <f t="shared" si="73"/>
        <v/>
      </c>
      <c r="CS73" s="8" t="str">
        <f t="shared" si="73"/>
        <v/>
      </c>
      <c r="CT73" s="8" t="str">
        <f t="shared" si="73"/>
        <v/>
      </c>
      <c r="CU73" s="8" t="str">
        <f t="shared" si="73"/>
        <v/>
      </c>
      <c r="CV73" s="8" t="str">
        <f t="shared" si="73"/>
        <v/>
      </c>
      <c r="CW73" s="8" t="str">
        <f t="shared" si="73"/>
        <v/>
      </c>
      <c r="CX73" s="8" t="str">
        <f t="shared" si="73"/>
        <v/>
      </c>
      <c r="CY73" s="8" t="str">
        <f t="shared" si="73"/>
        <v/>
      </c>
      <c r="CZ73" s="8" t="str">
        <f t="shared" si="73"/>
        <v/>
      </c>
      <c r="DA73" s="8" t="str">
        <f t="shared" si="73"/>
        <v/>
      </c>
      <c r="DB73" s="8" t="str">
        <f t="shared" si="73"/>
        <v/>
      </c>
      <c r="DC73" s="8" t="str">
        <f t="shared" si="73"/>
        <v/>
      </c>
      <c r="DD73" s="8" t="str">
        <f t="shared" si="73"/>
        <v/>
      </c>
      <c r="DE73" s="8" t="str">
        <f t="shared" si="73"/>
        <v/>
      </c>
      <c r="DF73" s="8" t="str">
        <f t="shared" si="73"/>
        <v/>
      </c>
      <c r="DG73" s="8" t="str">
        <f t="shared" si="73"/>
        <v/>
      </c>
      <c r="DH73" s="8" t="str">
        <f t="shared" si="73"/>
        <v/>
      </c>
      <c r="DI73" s="8" t="str">
        <f t="shared" si="73"/>
        <v/>
      </c>
      <c r="DJ73" s="8" t="str">
        <f t="shared" si="73"/>
        <v/>
      </c>
      <c r="DK73" s="8" t="str">
        <f t="shared" si="73"/>
        <v/>
      </c>
      <c r="DL73" s="8" t="str">
        <f t="shared" si="73"/>
        <v/>
      </c>
      <c r="DM73" s="8" t="str">
        <f t="shared" si="73"/>
        <v/>
      </c>
      <c r="DN73" s="8" t="str">
        <f t="shared" si="73"/>
        <v/>
      </c>
      <c r="DO73" s="8" t="str">
        <f t="shared" si="73"/>
        <v/>
      </c>
      <c r="DP73" s="8" t="str">
        <f t="shared" si="73"/>
        <v/>
      </c>
      <c r="DQ73" s="8" t="str">
        <f t="shared" si="73"/>
        <v/>
      </c>
      <c r="DR73" s="8" t="str">
        <f t="shared" si="73"/>
        <v/>
      </c>
      <c r="DS73" s="8" t="str">
        <f t="shared" si="73"/>
        <v/>
      </c>
      <c r="DT73" s="8" t="str">
        <f t="shared" si="73"/>
        <v/>
      </c>
      <c r="DU73" s="8" t="str">
        <f t="shared" si="73"/>
        <v/>
      </c>
      <c r="DV73" s="8" t="str">
        <f t="shared" si="73"/>
        <v/>
      </c>
      <c r="DW73" s="8" t="str">
        <f t="shared" si="73"/>
        <v/>
      </c>
      <c r="DX73" s="8" t="str">
        <f t="shared" si="73"/>
        <v/>
      </c>
      <c r="DY73" s="8" t="str">
        <f t="shared" si="73"/>
        <v/>
      </c>
      <c r="DZ73" s="8" t="str">
        <f t="shared" si="73"/>
        <v/>
      </c>
      <c r="EA73" s="8" t="str">
        <f t="shared" si="73"/>
        <v/>
      </c>
      <c r="EB73" s="8">
        <f t="shared" si="73"/>
        <v>3.5395320291155472</v>
      </c>
      <c r="EC73" s="8">
        <f t="shared" si="73"/>
        <v>1.4080685577133365</v>
      </c>
      <c r="ED73" s="8">
        <f t="shared" si="73"/>
        <v>1.4135449797055506</v>
      </c>
      <c r="EE73" s="8">
        <f t="shared" ref="EE73:GP73" si="74">IF(OR(EF27 = "", EF$8 &lt; EE$8), "", IFERROR(EF27/EE27, ""))</f>
        <v>1.0187334819238925</v>
      </c>
      <c r="EF73" s="8">
        <f t="shared" si="74"/>
        <v>1.0208470186762733</v>
      </c>
      <c r="EG73" s="8">
        <f t="shared" si="74"/>
        <v>0.9768900269660663</v>
      </c>
      <c r="EH73" s="8">
        <f t="shared" si="74"/>
        <v>1.0506489933435648</v>
      </c>
      <c r="EI73" s="8">
        <f t="shared" si="74"/>
        <v>1.0051320747068746</v>
      </c>
      <c r="EJ73" s="8">
        <f t="shared" si="74"/>
        <v>0.97073092901553282</v>
      </c>
      <c r="EK73" s="8">
        <f t="shared" si="74"/>
        <v>1.000205041400984</v>
      </c>
      <c r="EL73" s="8">
        <f t="shared" si="74"/>
        <v>1.0002901737437044</v>
      </c>
      <c r="EM73" s="8">
        <f t="shared" si="74"/>
        <v>1.0007722737229998</v>
      </c>
      <c r="EN73" s="8">
        <f t="shared" si="74"/>
        <v>1.0000620849921771</v>
      </c>
      <c r="EO73" s="8">
        <f t="shared" si="74"/>
        <v>1.0010508861386385</v>
      </c>
      <c r="EP73" s="8">
        <f t="shared" si="74"/>
        <v>0.98133406214069552</v>
      </c>
      <c r="EQ73" s="8">
        <f t="shared" si="74"/>
        <v>1</v>
      </c>
      <c r="ER73" s="8">
        <f t="shared" si="74"/>
        <v>0.99996998211152621</v>
      </c>
      <c r="ES73" s="8">
        <f t="shared" si="74"/>
        <v>1.0049633865545307</v>
      </c>
      <c r="ET73" s="8">
        <f t="shared" si="74"/>
        <v>1.0010037137673078</v>
      </c>
      <c r="EU73" s="8">
        <f t="shared" si="74"/>
        <v>1.0000662032922043</v>
      </c>
      <c r="EV73" s="8">
        <f t="shared" si="74"/>
        <v>1</v>
      </c>
      <c r="EW73" s="8">
        <f t="shared" si="74"/>
        <v>1.0008716266887396</v>
      </c>
      <c r="EX73" s="8">
        <f t="shared" si="74"/>
        <v>1</v>
      </c>
      <c r="EY73" s="8">
        <f t="shared" si="74"/>
        <v>1.0015782194786713</v>
      </c>
      <c r="EZ73" s="8">
        <f t="shared" si="74"/>
        <v>1.0005018566398387</v>
      </c>
      <c r="FA73" s="8">
        <f t="shared" si="74"/>
        <v>1.0115483964692054</v>
      </c>
      <c r="FB73" s="8">
        <f t="shared" si="74"/>
        <v>0.99999037540348146</v>
      </c>
      <c r="FC73" s="8">
        <f t="shared" si="74"/>
        <v>1</v>
      </c>
      <c r="FD73" s="8">
        <f t="shared" si="74"/>
        <v>0.99815188316610037</v>
      </c>
      <c r="FE73" s="8">
        <f t="shared" si="74"/>
        <v>1.0000783153958603</v>
      </c>
      <c r="FF73" s="8">
        <f t="shared" si="74"/>
        <v>1</v>
      </c>
      <c r="FG73" s="8">
        <f t="shared" si="74"/>
        <v>1.0001519406278854</v>
      </c>
      <c r="FH73" s="8">
        <f t="shared" si="74"/>
        <v>1</v>
      </c>
      <c r="FI73" s="8">
        <f t="shared" si="74"/>
        <v>1.0009741975656374</v>
      </c>
      <c r="FJ73" s="8">
        <f t="shared" si="74"/>
        <v>0.99999866538989957</v>
      </c>
      <c r="FK73" s="8">
        <f t="shared" si="74"/>
        <v>1.0008197698551622</v>
      </c>
      <c r="FL73" s="8">
        <f t="shared" si="74"/>
        <v>1.0025194949231473</v>
      </c>
      <c r="FM73" s="8">
        <f t="shared" si="74"/>
        <v>1</v>
      </c>
      <c r="FN73" s="8">
        <f t="shared" si="74"/>
        <v>1.0022656762847311</v>
      </c>
      <c r="FO73" s="8">
        <f t="shared" si="74"/>
        <v>1</v>
      </c>
      <c r="FP73" s="8">
        <f t="shared" si="74"/>
        <v>1</v>
      </c>
      <c r="FQ73" s="8">
        <f t="shared" si="74"/>
        <v>1</v>
      </c>
      <c r="FR73" s="8">
        <f t="shared" si="74"/>
        <v>1.0088560670887263</v>
      </c>
      <c r="FS73" s="8">
        <f t="shared" si="74"/>
        <v>1</v>
      </c>
      <c r="FT73" s="8">
        <f t="shared" si="74"/>
        <v>1</v>
      </c>
      <c r="FU73" s="8">
        <f t="shared" si="74"/>
        <v>1</v>
      </c>
      <c r="FV73" s="8">
        <f t="shared" si="74"/>
        <v>1.0002577105400954</v>
      </c>
      <c r="FW73" s="8">
        <f t="shared" si="74"/>
        <v>1.0005527556877487</v>
      </c>
      <c r="FX73" s="8">
        <f t="shared" si="74"/>
        <v>1.0012285167532293</v>
      </c>
      <c r="FY73" s="8">
        <f t="shared" si="74"/>
        <v>1</v>
      </c>
      <c r="FZ73" s="8">
        <f t="shared" si="74"/>
        <v>1</v>
      </c>
      <c r="GA73" s="8">
        <f t="shared" si="74"/>
        <v>1</v>
      </c>
      <c r="GB73" s="8">
        <f t="shared" si="74"/>
        <v>1</v>
      </c>
      <c r="GC73" s="8">
        <f t="shared" si="74"/>
        <v>1</v>
      </c>
      <c r="GD73" s="8">
        <f t="shared" si="74"/>
        <v>0.99915276474752091</v>
      </c>
      <c r="GE73" s="8">
        <f t="shared" si="74"/>
        <v>1.0000642821657282</v>
      </c>
      <c r="GF73" s="8">
        <f t="shared" si="74"/>
        <v>1.0001282663802535</v>
      </c>
      <c r="GG73" s="8">
        <f t="shared" si="74"/>
        <v>0.99942956993755916</v>
      </c>
      <c r="GH73" s="8">
        <f t="shared" si="74"/>
        <v>0.9999977418353807</v>
      </c>
      <c r="GI73" s="8">
        <f t="shared" si="74"/>
        <v>1.001487479719257</v>
      </c>
      <c r="GJ73" s="8">
        <f t="shared" si="74"/>
        <v>1.0011977488974384</v>
      </c>
      <c r="GK73" s="8">
        <f t="shared" si="74"/>
        <v>1</v>
      </c>
      <c r="GL73" s="8">
        <f t="shared" si="74"/>
        <v>1</v>
      </c>
      <c r="GM73" s="8">
        <f t="shared" si="74"/>
        <v>1</v>
      </c>
      <c r="GN73" s="8">
        <f t="shared" si="74"/>
        <v>1</v>
      </c>
      <c r="GO73" s="8">
        <f t="shared" si="74"/>
        <v>1</v>
      </c>
      <c r="GP73" s="8">
        <f t="shared" si="74"/>
        <v>1.000065247674579</v>
      </c>
      <c r="GQ73" s="8">
        <f t="shared" ref="GQ73:IV73" si="75">IF(OR(GR27 = "", GR$8 &lt; GQ$8), "", IFERROR(GR27/GQ27, ""))</f>
        <v>1</v>
      </c>
      <c r="GR73" s="8">
        <f t="shared" si="75"/>
        <v>1</v>
      </c>
      <c r="GS73" s="8">
        <f t="shared" si="75"/>
        <v>0.99797181488162823</v>
      </c>
      <c r="GT73" s="8" t="str">
        <f t="shared" si="75"/>
        <v/>
      </c>
      <c r="GU73" s="8" t="str">
        <f t="shared" si="75"/>
        <v/>
      </c>
      <c r="GV73" s="8" t="str">
        <f t="shared" si="75"/>
        <v/>
      </c>
      <c r="GW73" s="8" t="str">
        <f t="shared" si="75"/>
        <v/>
      </c>
      <c r="GX73" s="8" t="str">
        <f t="shared" si="75"/>
        <v/>
      </c>
      <c r="GY73" s="8" t="str">
        <f t="shared" si="75"/>
        <v/>
      </c>
      <c r="GZ73" s="8" t="str">
        <f t="shared" si="75"/>
        <v/>
      </c>
      <c r="HA73" s="8" t="str">
        <f t="shared" si="75"/>
        <v/>
      </c>
      <c r="HB73" s="8" t="str">
        <f t="shared" si="75"/>
        <v/>
      </c>
      <c r="HC73" s="8" t="str">
        <f t="shared" si="75"/>
        <v/>
      </c>
      <c r="HD73" s="8" t="str">
        <f t="shared" si="75"/>
        <v/>
      </c>
      <c r="HE73" s="8" t="str">
        <f t="shared" si="75"/>
        <v/>
      </c>
      <c r="HF73" s="8" t="str">
        <f t="shared" si="75"/>
        <v/>
      </c>
      <c r="HG73" s="8" t="str">
        <f t="shared" si="75"/>
        <v/>
      </c>
      <c r="HH73" s="8" t="str">
        <f t="shared" si="75"/>
        <v/>
      </c>
      <c r="HI73" s="8" t="str">
        <f t="shared" si="75"/>
        <v/>
      </c>
      <c r="HJ73" s="8" t="str">
        <f t="shared" si="75"/>
        <v/>
      </c>
      <c r="HK73" s="8" t="str">
        <f t="shared" si="75"/>
        <v/>
      </c>
      <c r="HL73" s="8" t="str">
        <f t="shared" si="75"/>
        <v/>
      </c>
      <c r="HM73" s="8" t="str">
        <f t="shared" si="75"/>
        <v/>
      </c>
      <c r="HN73" s="8" t="str">
        <f t="shared" si="75"/>
        <v/>
      </c>
      <c r="HO73" s="8" t="str">
        <f t="shared" si="75"/>
        <v/>
      </c>
      <c r="HP73" s="8" t="str">
        <f t="shared" si="75"/>
        <v/>
      </c>
      <c r="HQ73" s="8" t="str">
        <f t="shared" si="75"/>
        <v/>
      </c>
      <c r="HR73" s="8" t="str">
        <f t="shared" si="75"/>
        <v/>
      </c>
      <c r="HS73" s="8" t="str">
        <f t="shared" si="75"/>
        <v/>
      </c>
      <c r="HT73" s="8" t="str">
        <f t="shared" si="75"/>
        <v/>
      </c>
      <c r="HU73" s="8" t="str">
        <f t="shared" si="75"/>
        <v/>
      </c>
      <c r="HV73" s="8" t="str">
        <f t="shared" si="75"/>
        <v/>
      </c>
      <c r="HW73" s="8" t="str">
        <f t="shared" si="75"/>
        <v/>
      </c>
      <c r="HX73" s="8" t="str">
        <f t="shared" si="75"/>
        <v/>
      </c>
      <c r="HY73" s="8" t="str">
        <f t="shared" si="75"/>
        <v/>
      </c>
      <c r="HZ73" s="8" t="str">
        <f t="shared" si="75"/>
        <v/>
      </c>
      <c r="IA73" s="8" t="str">
        <f t="shared" si="75"/>
        <v/>
      </c>
      <c r="IB73" s="8" t="str">
        <f t="shared" si="75"/>
        <v/>
      </c>
      <c r="IC73" s="8" t="str">
        <f t="shared" si="75"/>
        <v/>
      </c>
      <c r="ID73" s="8" t="str">
        <f t="shared" si="75"/>
        <v/>
      </c>
      <c r="IE73" s="8" t="str">
        <f t="shared" si="75"/>
        <v/>
      </c>
      <c r="IF73" s="8" t="str">
        <f t="shared" si="75"/>
        <v/>
      </c>
      <c r="IG73" s="8" t="str">
        <f t="shared" si="75"/>
        <v/>
      </c>
      <c r="IH73" s="8" t="str">
        <f t="shared" si="75"/>
        <v/>
      </c>
      <c r="II73" s="8" t="str">
        <f t="shared" si="75"/>
        <v/>
      </c>
      <c r="IJ73" s="8" t="str">
        <f t="shared" si="75"/>
        <v/>
      </c>
      <c r="IK73" s="8" t="str">
        <f t="shared" si="75"/>
        <v/>
      </c>
      <c r="IL73" s="8" t="str">
        <f t="shared" si="75"/>
        <v/>
      </c>
      <c r="IM73" s="8" t="str">
        <f t="shared" si="75"/>
        <v/>
      </c>
      <c r="IN73" s="8" t="str">
        <f t="shared" si="75"/>
        <v/>
      </c>
      <c r="IO73" s="8" t="str">
        <f t="shared" si="75"/>
        <v/>
      </c>
      <c r="IP73" s="8" t="str">
        <f t="shared" si="75"/>
        <v/>
      </c>
      <c r="IQ73" s="8" t="str">
        <f t="shared" si="75"/>
        <v/>
      </c>
      <c r="IR73" s="8" t="str">
        <f t="shared" si="75"/>
        <v/>
      </c>
      <c r="IS73" s="8" t="str">
        <f t="shared" si="75"/>
        <v/>
      </c>
      <c r="IT73" s="8" t="str">
        <f t="shared" si="75"/>
        <v/>
      </c>
      <c r="IU73" s="8" t="str">
        <f t="shared" si="75"/>
        <v/>
      </c>
      <c r="IV73" s="8" t="str">
        <f t="shared" si="75"/>
        <v/>
      </c>
    </row>
    <row r="74" spans="6:256" x14ac:dyDescent="0.2">
      <c r="F74">
        <v>201812</v>
      </c>
      <c r="G74" s="8">
        <f t="shared" ref="G74:BR74" si="76">IF(OR(H28 = "", H$8 &lt; G$8), "", IFERROR(H28/G28, ""))</f>
        <v>102.42408714564922</v>
      </c>
      <c r="H74" s="8">
        <f t="shared" si="76"/>
        <v>3.3912792657443021</v>
      </c>
      <c r="I74" s="8">
        <f t="shared" si="76"/>
        <v>1.5758676358842751</v>
      </c>
      <c r="J74" s="8">
        <f t="shared" si="76"/>
        <v>1.055143427673539</v>
      </c>
      <c r="K74" s="8">
        <f t="shared" si="76"/>
        <v>1.1615049112790514</v>
      </c>
      <c r="L74" s="8">
        <f t="shared" si="76"/>
        <v>1.0083612912049242</v>
      </c>
      <c r="M74" s="8">
        <f t="shared" si="76"/>
        <v>1.0224461872324724</v>
      </c>
      <c r="N74" s="8">
        <f t="shared" si="76"/>
        <v>1.023052103340466</v>
      </c>
      <c r="O74" s="8">
        <f t="shared" si="76"/>
        <v>1.0002231515809208</v>
      </c>
      <c r="P74" s="8">
        <f t="shared" si="76"/>
        <v>1.0031433926837052</v>
      </c>
      <c r="Q74" s="8">
        <f t="shared" si="76"/>
        <v>1.0013042337380307</v>
      </c>
      <c r="R74" s="8">
        <f t="shared" si="76"/>
        <v>1.0135590572135762</v>
      </c>
      <c r="S74" s="8">
        <f t="shared" si="76"/>
        <v>1.000576292193865</v>
      </c>
      <c r="T74" s="8">
        <f t="shared" si="76"/>
        <v>1.0044398907478189</v>
      </c>
      <c r="U74" s="8">
        <f t="shared" si="76"/>
        <v>1.0000616972091432</v>
      </c>
      <c r="V74" s="8">
        <f t="shared" si="76"/>
        <v>1</v>
      </c>
      <c r="W74" s="8">
        <f t="shared" si="76"/>
        <v>1.0001856162090366</v>
      </c>
      <c r="X74" s="8">
        <f t="shared" si="76"/>
        <v>1</v>
      </c>
      <c r="Y74" s="8">
        <f t="shared" si="76"/>
        <v>1.0006061049045307</v>
      </c>
      <c r="Z74" s="8">
        <f t="shared" si="76"/>
        <v>1.0011073070037992</v>
      </c>
      <c r="AA74" s="8">
        <f t="shared" si="76"/>
        <v>1</v>
      </c>
      <c r="AB74" s="8">
        <f t="shared" si="76"/>
        <v>1</v>
      </c>
      <c r="AC74" s="8">
        <f t="shared" si="76"/>
        <v>1</v>
      </c>
      <c r="AD74" s="8">
        <f t="shared" si="76"/>
        <v>1.0004523879347822</v>
      </c>
      <c r="AE74" s="8">
        <f t="shared" si="76"/>
        <v>1</v>
      </c>
      <c r="AF74" s="8">
        <f t="shared" si="76"/>
        <v>1.0003670859630673</v>
      </c>
      <c r="AG74" s="8">
        <f t="shared" si="76"/>
        <v>1.0006044275631352</v>
      </c>
      <c r="AH74" s="8">
        <f t="shared" si="76"/>
        <v>1</v>
      </c>
      <c r="AI74" s="8">
        <f t="shared" si="76"/>
        <v>1.0003103394569002</v>
      </c>
      <c r="AJ74" s="8">
        <f t="shared" si="76"/>
        <v>1.0000220604601111</v>
      </c>
      <c r="AK74" s="8">
        <f t="shared" si="76"/>
        <v>1.0001073998690679</v>
      </c>
      <c r="AL74" s="8">
        <f t="shared" si="76"/>
        <v>1</v>
      </c>
      <c r="AM74" s="8">
        <f t="shared" si="76"/>
        <v>1</v>
      </c>
      <c r="AN74" s="8">
        <f t="shared" si="76"/>
        <v>1</v>
      </c>
      <c r="AO74" s="8">
        <f t="shared" si="76"/>
        <v>1.0007102151725378</v>
      </c>
      <c r="AP74" s="8">
        <f t="shared" si="76"/>
        <v>1</v>
      </c>
      <c r="AQ74" s="8">
        <f t="shared" si="76"/>
        <v>1.0002867885305753</v>
      </c>
      <c r="AR74" s="8">
        <f t="shared" si="76"/>
        <v>1.0000843639727488</v>
      </c>
      <c r="AS74" s="8">
        <f t="shared" si="76"/>
        <v>1</v>
      </c>
      <c r="AT74" s="8">
        <f t="shared" si="76"/>
        <v>1.0006032888474861</v>
      </c>
      <c r="AU74" s="8">
        <f t="shared" si="76"/>
        <v>1.0002203388346245</v>
      </c>
      <c r="AV74" s="8">
        <f t="shared" si="76"/>
        <v>1.0004406816150428</v>
      </c>
      <c r="AW74" s="8">
        <f t="shared" si="76"/>
        <v>1</v>
      </c>
      <c r="AX74" s="8">
        <f t="shared" si="76"/>
        <v>1</v>
      </c>
      <c r="AY74" s="8">
        <f t="shared" si="76"/>
        <v>1</v>
      </c>
      <c r="AZ74" s="8">
        <f t="shared" si="76"/>
        <v>1</v>
      </c>
      <c r="BA74" s="8">
        <f t="shared" si="76"/>
        <v>1.0009036275370002</v>
      </c>
      <c r="BB74" s="8">
        <f t="shared" si="76"/>
        <v>1.0002860614888001</v>
      </c>
      <c r="BC74" s="8">
        <f t="shared" si="76"/>
        <v>1</v>
      </c>
      <c r="BD74" s="8">
        <f t="shared" si="76"/>
        <v>1.0000890050185633</v>
      </c>
      <c r="BE74" s="8">
        <f t="shared" si="76"/>
        <v>1</v>
      </c>
      <c r="BF74" s="8">
        <f t="shared" si="76"/>
        <v>1</v>
      </c>
      <c r="BG74" s="8">
        <f t="shared" si="76"/>
        <v>1.0002377426149869</v>
      </c>
      <c r="BH74" s="8">
        <f t="shared" si="76"/>
        <v>1</v>
      </c>
      <c r="BI74" s="8">
        <f t="shared" si="76"/>
        <v>1</v>
      </c>
      <c r="BJ74" s="8">
        <f t="shared" si="76"/>
        <v>1.0004728067578228</v>
      </c>
      <c r="BK74" s="8">
        <f t="shared" si="76"/>
        <v>1</v>
      </c>
      <c r="BL74" s="8">
        <f t="shared" si="76"/>
        <v>1.0002512889426767</v>
      </c>
      <c r="BM74" s="8">
        <f t="shared" si="76"/>
        <v>1.0000600051117801</v>
      </c>
      <c r="BN74" s="8">
        <f t="shared" si="76"/>
        <v>1.0004867042577983</v>
      </c>
      <c r="BO74" s="8">
        <f t="shared" si="76"/>
        <v>1.0000937100768732</v>
      </c>
      <c r="BP74" s="8">
        <f t="shared" si="76"/>
        <v>1.0009004416178107</v>
      </c>
      <c r="BQ74" s="8">
        <f t="shared" si="76"/>
        <v>1</v>
      </c>
      <c r="BR74" s="8">
        <f t="shared" si="76"/>
        <v>1</v>
      </c>
      <c r="BS74" s="8">
        <f t="shared" ref="BS74:ED74" si="77">IF(OR(BT28 = "", BT$8 &lt; BS$8), "", IFERROR(BT28/BS28, ""))</f>
        <v>1.0002549347034773</v>
      </c>
      <c r="BT74" s="8">
        <f t="shared" si="77"/>
        <v>1</v>
      </c>
      <c r="BU74" s="8">
        <f t="shared" si="77"/>
        <v>1.0005045206852337</v>
      </c>
      <c r="BV74" s="8" t="str">
        <f t="shared" si="77"/>
        <v/>
      </c>
      <c r="BW74" s="8" t="str">
        <f t="shared" si="77"/>
        <v/>
      </c>
      <c r="BX74" s="8" t="str">
        <f t="shared" si="77"/>
        <v/>
      </c>
      <c r="BY74" s="8" t="str">
        <f t="shared" si="77"/>
        <v/>
      </c>
      <c r="BZ74" s="8" t="str">
        <f t="shared" si="77"/>
        <v/>
      </c>
      <c r="CA74" s="8" t="str">
        <f t="shared" si="77"/>
        <v/>
      </c>
      <c r="CB74" s="8" t="str">
        <f t="shared" si="77"/>
        <v/>
      </c>
      <c r="CC74" s="8" t="str">
        <f t="shared" si="77"/>
        <v/>
      </c>
      <c r="CD74" s="8" t="str">
        <f t="shared" si="77"/>
        <v/>
      </c>
      <c r="CE74" s="8" t="str">
        <f t="shared" si="77"/>
        <v/>
      </c>
      <c r="CF74" s="8" t="str">
        <f t="shared" si="77"/>
        <v/>
      </c>
      <c r="CG74" s="8" t="str">
        <f t="shared" si="77"/>
        <v/>
      </c>
      <c r="CH74" s="8" t="str">
        <f t="shared" si="77"/>
        <v/>
      </c>
      <c r="CI74" s="8" t="str">
        <f t="shared" si="77"/>
        <v/>
      </c>
      <c r="CJ74" s="8" t="str">
        <f t="shared" si="77"/>
        <v/>
      </c>
      <c r="CK74" s="8" t="str">
        <f t="shared" si="77"/>
        <v/>
      </c>
      <c r="CL74" s="8" t="str">
        <f t="shared" si="77"/>
        <v/>
      </c>
      <c r="CM74" s="8" t="str">
        <f t="shared" si="77"/>
        <v/>
      </c>
      <c r="CN74" s="8" t="str">
        <f t="shared" si="77"/>
        <v/>
      </c>
      <c r="CO74" s="8" t="str">
        <f t="shared" si="77"/>
        <v/>
      </c>
      <c r="CP74" s="8" t="str">
        <f t="shared" si="77"/>
        <v/>
      </c>
      <c r="CQ74" s="8" t="str">
        <f t="shared" si="77"/>
        <v/>
      </c>
      <c r="CR74" s="8" t="str">
        <f t="shared" si="77"/>
        <v/>
      </c>
      <c r="CS74" s="8" t="str">
        <f t="shared" si="77"/>
        <v/>
      </c>
      <c r="CT74" s="8" t="str">
        <f t="shared" si="77"/>
        <v/>
      </c>
      <c r="CU74" s="8" t="str">
        <f t="shared" si="77"/>
        <v/>
      </c>
      <c r="CV74" s="8" t="str">
        <f t="shared" si="77"/>
        <v/>
      </c>
      <c r="CW74" s="8" t="str">
        <f t="shared" si="77"/>
        <v/>
      </c>
      <c r="CX74" s="8" t="str">
        <f t="shared" si="77"/>
        <v/>
      </c>
      <c r="CY74" s="8" t="str">
        <f t="shared" si="77"/>
        <v/>
      </c>
      <c r="CZ74" s="8" t="str">
        <f t="shared" si="77"/>
        <v/>
      </c>
      <c r="DA74" s="8" t="str">
        <f t="shared" si="77"/>
        <v/>
      </c>
      <c r="DB74" s="8" t="str">
        <f t="shared" si="77"/>
        <v/>
      </c>
      <c r="DC74" s="8" t="str">
        <f t="shared" si="77"/>
        <v/>
      </c>
      <c r="DD74" s="8" t="str">
        <f t="shared" si="77"/>
        <v/>
      </c>
      <c r="DE74" s="8" t="str">
        <f t="shared" si="77"/>
        <v/>
      </c>
      <c r="DF74" s="8" t="str">
        <f t="shared" si="77"/>
        <v/>
      </c>
      <c r="DG74" s="8" t="str">
        <f t="shared" si="77"/>
        <v/>
      </c>
      <c r="DH74" s="8" t="str">
        <f t="shared" si="77"/>
        <v/>
      </c>
      <c r="DI74" s="8" t="str">
        <f t="shared" si="77"/>
        <v/>
      </c>
      <c r="DJ74" s="8" t="str">
        <f t="shared" si="77"/>
        <v/>
      </c>
      <c r="DK74" s="8" t="str">
        <f t="shared" si="77"/>
        <v/>
      </c>
      <c r="DL74" s="8" t="str">
        <f t="shared" si="77"/>
        <v/>
      </c>
      <c r="DM74" s="8" t="str">
        <f t="shared" si="77"/>
        <v/>
      </c>
      <c r="DN74" s="8" t="str">
        <f t="shared" si="77"/>
        <v/>
      </c>
      <c r="DO74" s="8" t="str">
        <f t="shared" si="77"/>
        <v/>
      </c>
      <c r="DP74" s="8" t="str">
        <f t="shared" si="77"/>
        <v/>
      </c>
      <c r="DQ74" s="8" t="str">
        <f t="shared" si="77"/>
        <v/>
      </c>
      <c r="DR74" s="8" t="str">
        <f t="shared" si="77"/>
        <v/>
      </c>
      <c r="DS74" s="8" t="str">
        <f t="shared" si="77"/>
        <v/>
      </c>
      <c r="DT74" s="8" t="str">
        <f t="shared" si="77"/>
        <v/>
      </c>
      <c r="DU74" s="8" t="str">
        <f t="shared" si="77"/>
        <v/>
      </c>
      <c r="DV74" s="8" t="str">
        <f t="shared" si="77"/>
        <v/>
      </c>
      <c r="DW74" s="8" t="str">
        <f t="shared" si="77"/>
        <v/>
      </c>
      <c r="DX74" s="8" t="str">
        <f t="shared" si="77"/>
        <v/>
      </c>
      <c r="DY74" s="8" t="str">
        <f t="shared" si="77"/>
        <v/>
      </c>
      <c r="DZ74" s="8" t="str">
        <f t="shared" si="77"/>
        <v/>
      </c>
      <c r="EA74" s="8" t="str">
        <f t="shared" si="77"/>
        <v/>
      </c>
      <c r="EB74" s="8">
        <f t="shared" si="77"/>
        <v>3.1143175781758199</v>
      </c>
      <c r="EC74" s="8">
        <f t="shared" si="77"/>
        <v>1.4173099226141606</v>
      </c>
      <c r="ED74" s="8">
        <f t="shared" si="77"/>
        <v>1.1827180341232186</v>
      </c>
      <c r="EE74" s="8">
        <f t="shared" ref="EE74:GP74" si="78">IF(OR(EF28 = "", EF$8 &lt; EE$8), "", IFERROR(EF28/EE28, ""))</f>
        <v>1.0077384994564853</v>
      </c>
      <c r="EF74" s="8">
        <f t="shared" si="78"/>
        <v>1.034366679388335</v>
      </c>
      <c r="EG74" s="8">
        <f t="shared" si="78"/>
        <v>1.0010393705679914</v>
      </c>
      <c r="EH74" s="8">
        <f t="shared" si="78"/>
        <v>0.99297511807808614</v>
      </c>
      <c r="EI74" s="8">
        <f t="shared" si="78"/>
        <v>0.99994136016194612</v>
      </c>
      <c r="EJ74" s="8">
        <f t="shared" si="78"/>
        <v>1.0002191591067717</v>
      </c>
      <c r="EK74" s="8">
        <f t="shared" si="78"/>
        <v>1.0030871655928977</v>
      </c>
      <c r="EL74" s="8">
        <f t="shared" si="78"/>
        <v>1.0009751324551639</v>
      </c>
      <c r="EM74" s="8">
        <f t="shared" si="78"/>
        <v>1.0000445022766367</v>
      </c>
      <c r="EN74" s="8">
        <f t="shared" si="78"/>
        <v>1.0014581037183432</v>
      </c>
      <c r="EO74" s="8">
        <f t="shared" si="78"/>
        <v>0.99930831786471264</v>
      </c>
      <c r="EP74" s="8">
        <f t="shared" si="78"/>
        <v>1.0000616972091432</v>
      </c>
      <c r="EQ74" s="8">
        <f t="shared" si="78"/>
        <v>1</v>
      </c>
      <c r="ER74" s="8">
        <f t="shared" si="78"/>
        <v>1.0001856162090366</v>
      </c>
      <c r="ES74" s="8">
        <f t="shared" si="78"/>
        <v>1</v>
      </c>
      <c r="ET74" s="8">
        <f t="shared" si="78"/>
        <v>1.0006061049045307</v>
      </c>
      <c r="EU74" s="8">
        <f t="shared" si="78"/>
        <v>1.0011073070037992</v>
      </c>
      <c r="EV74" s="8">
        <f t="shared" si="78"/>
        <v>1</v>
      </c>
      <c r="EW74" s="8">
        <f t="shared" si="78"/>
        <v>1</v>
      </c>
      <c r="EX74" s="8">
        <f t="shared" si="78"/>
        <v>1</v>
      </c>
      <c r="EY74" s="8">
        <f t="shared" si="78"/>
        <v>1.0004523879347822</v>
      </c>
      <c r="EZ74" s="8">
        <f t="shared" si="78"/>
        <v>1</v>
      </c>
      <c r="FA74" s="8">
        <f t="shared" si="78"/>
        <v>1.0003670859630673</v>
      </c>
      <c r="FB74" s="8">
        <f t="shared" si="78"/>
        <v>1.0006044275631352</v>
      </c>
      <c r="FC74" s="8">
        <f t="shared" si="78"/>
        <v>1</v>
      </c>
      <c r="FD74" s="8">
        <f t="shared" si="78"/>
        <v>1.0003103394569002</v>
      </c>
      <c r="FE74" s="8">
        <f t="shared" si="78"/>
        <v>1.0000220604601111</v>
      </c>
      <c r="FF74" s="8">
        <f t="shared" si="78"/>
        <v>1.0001073999684069</v>
      </c>
      <c r="FG74" s="8">
        <f t="shared" si="78"/>
        <v>0.9999999999006719</v>
      </c>
      <c r="FH74" s="8">
        <f t="shared" si="78"/>
        <v>1</v>
      </c>
      <c r="FI74" s="8">
        <f t="shared" si="78"/>
        <v>1</v>
      </c>
      <c r="FJ74" s="8">
        <f t="shared" si="78"/>
        <v>1.0007102151725378</v>
      </c>
      <c r="FK74" s="8">
        <f t="shared" si="78"/>
        <v>1</v>
      </c>
      <c r="FL74" s="8">
        <f t="shared" si="78"/>
        <v>1.0008972426569833</v>
      </c>
      <c r="FM74" s="8">
        <f t="shared" si="78"/>
        <v>0.99947440562665257</v>
      </c>
      <c r="FN74" s="8">
        <f t="shared" si="78"/>
        <v>1</v>
      </c>
      <c r="FO74" s="8">
        <f t="shared" si="78"/>
        <v>1.0006032888474861</v>
      </c>
      <c r="FP74" s="8">
        <f t="shared" si="78"/>
        <v>1.0002203388346245</v>
      </c>
      <c r="FQ74" s="8">
        <f t="shared" si="78"/>
        <v>1.0004406816150428</v>
      </c>
      <c r="FR74" s="8">
        <f t="shared" si="78"/>
        <v>1</v>
      </c>
      <c r="FS74" s="8">
        <f t="shared" si="78"/>
        <v>1</v>
      </c>
      <c r="FT74" s="8">
        <f t="shared" si="78"/>
        <v>1</v>
      </c>
      <c r="FU74" s="8">
        <f t="shared" si="78"/>
        <v>1</v>
      </c>
      <c r="FV74" s="8">
        <f t="shared" si="78"/>
        <v>1.0009036275370002</v>
      </c>
      <c r="FW74" s="8">
        <f t="shared" si="78"/>
        <v>1.0002860614888001</v>
      </c>
      <c r="FX74" s="8">
        <f t="shared" si="78"/>
        <v>1</v>
      </c>
      <c r="FY74" s="8">
        <f t="shared" si="78"/>
        <v>1.0000890050185633</v>
      </c>
      <c r="FZ74" s="8">
        <f t="shared" si="78"/>
        <v>1</v>
      </c>
      <c r="GA74" s="8">
        <f t="shared" si="78"/>
        <v>1</v>
      </c>
      <c r="GB74" s="8">
        <f t="shared" si="78"/>
        <v>1.0002377426149869</v>
      </c>
      <c r="GC74" s="8">
        <f t="shared" si="78"/>
        <v>1</v>
      </c>
      <c r="GD74" s="8">
        <f t="shared" si="78"/>
        <v>1</v>
      </c>
      <c r="GE74" s="8">
        <f t="shared" si="78"/>
        <v>1.0004728067578228</v>
      </c>
      <c r="GF74" s="8">
        <f t="shared" si="78"/>
        <v>1</v>
      </c>
      <c r="GG74" s="8">
        <f t="shared" si="78"/>
        <v>1.0002512889426767</v>
      </c>
      <c r="GH74" s="8">
        <f t="shared" si="78"/>
        <v>1.0000600051117801</v>
      </c>
      <c r="GI74" s="8">
        <f t="shared" si="78"/>
        <v>1.0004867042577983</v>
      </c>
      <c r="GJ74" s="8">
        <f t="shared" si="78"/>
        <v>1.0000937100768732</v>
      </c>
      <c r="GK74" s="8">
        <f t="shared" si="78"/>
        <v>1.0009004416178107</v>
      </c>
      <c r="GL74" s="8">
        <f t="shared" si="78"/>
        <v>1</v>
      </c>
      <c r="GM74" s="8">
        <f t="shared" si="78"/>
        <v>1</v>
      </c>
      <c r="GN74" s="8">
        <f t="shared" si="78"/>
        <v>1.0002549347034773</v>
      </c>
      <c r="GO74" s="8">
        <f t="shared" si="78"/>
        <v>1</v>
      </c>
      <c r="GP74" s="8">
        <f t="shared" si="78"/>
        <v>1.0005045206852337</v>
      </c>
      <c r="GQ74" s="8" t="str">
        <f t="shared" ref="GQ74:IV74" si="79">IF(OR(GR28 = "", GR$8 &lt; GQ$8), "", IFERROR(GR28/GQ28, ""))</f>
        <v/>
      </c>
      <c r="GR74" s="8" t="str">
        <f t="shared" si="79"/>
        <v/>
      </c>
      <c r="GS74" s="8" t="str">
        <f t="shared" si="79"/>
        <v/>
      </c>
      <c r="GT74" s="8" t="str">
        <f t="shared" si="79"/>
        <v/>
      </c>
      <c r="GU74" s="8" t="str">
        <f t="shared" si="79"/>
        <v/>
      </c>
      <c r="GV74" s="8" t="str">
        <f t="shared" si="79"/>
        <v/>
      </c>
      <c r="GW74" s="8" t="str">
        <f t="shared" si="79"/>
        <v/>
      </c>
      <c r="GX74" s="8" t="str">
        <f t="shared" si="79"/>
        <v/>
      </c>
      <c r="GY74" s="8" t="str">
        <f t="shared" si="79"/>
        <v/>
      </c>
      <c r="GZ74" s="8" t="str">
        <f t="shared" si="79"/>
        <v/>
      </c>
      <c r="HA74" s="8" t="str">
        <f t="shared" si="79"/>
        <v/>
      </c>
      <c r="HB74" s="8" t="str">
        <f t="shared" si="79"/>
        <v/>
      </c>
      <c r="HC74" s="8" t="str">
        <f t="shared" si="79"/>
        <v/>
      </c>
      <c r="HD74" s="8" t="str">
        <f t="shared" si="79"/>
        <v/>
      </c>
      <c r="HE74" s="8" t="str">
        <f t="shared" si="79"/>
        <v/>
      </c>
      <c r="HF74" s="8" t="str">
        <f t="shared" si="79"/>
        <v/>
      </c>
      <c r="HG74" s="8" t="str">
        <f t="shared" si="79"/>
        <v/>
      </c>
      <c r="HH74" s="8" t="str">
        <f t="shared" si="79"/>
        <v/>
      </c>
      <c r="HI74" s="8" t="str">
        <f t="shared" si="79"/>
        <v/>
      </c>
      <c r="HJ74" s="8" t="str">
        <f t="shared" si="79"/>
        <v/>
      </c>
      <c r="HK74" s="8" t="str">
        <f t="shared" si="79"/>
        <v/>
      </c>
      <c r="HL74" s="8" t="str">
        <f t="shared" si="79"/>
        <v/>
      </c>
      <c r="HM74" s="8" t="str">
        <f t="shared" si="79"/>
        <v/>
      </c>
      <c r="HN74" s="8" t="str">
        <f t="shared" si="79"/>
        <v/>
      </c>
      <c r="HO74" s="8" t="str">
        <f t="shared" si="79"/>
        <v/>
      </c>
      <c r="HP74" s="8" t="str">
        <f t="shared" si="79"/>
        <v/>
      </c>
      <c r="HQ74" s="8" t="str">
        <f t="shared" si="79"/>
        <v/>
      </c>
      <c r="HR74" s="8" t="str">
        <f t="shared" si="79"/>
        <v/>
      </c>
      <c r="HS74" s="8" t="str">
        <f t="shared" si="79"/>
        <v/>
      </c>
      <c r="HT74" s="8" t="str">
        <f t="shared" si="79"/>
        <v/>
      </c>
      <c r="HU74" s="8" t="str">
        <f t="shared" si="79"/>
        <v/>
      </c>
      <c r="HV74" s="8" t="str">
        <f t="shared" si="79"/>
        <v/>
      </c>
      <c r="HW74" s="8" t="str">
        <f t="shared" si="79"/>
        <v/>
      </c>
      <c r="HX74" s="8" t="str">
        <f t="shared" si="79"/>
        <v/>
      </c>
      <c r="HY74" s="8" t="str">
        <f t="shared" si="79"/>
        <v/>
      </c>
      <c r="HZ74" s="8" t="str">
        <f t="shared" si="79"/>
        <v/>
      </c>
      <c r="IA74" s="8" t="str">
        <f t="shared" si="79"/>
        <v/>
      </c>
      <c r="IB74" s="8" t="str">
        <f t="shared" si="79"/>
        <v/>
      </c>
      <c r="IC74" s="8" t="str">
        <f t="shared" si="79"/>
        <v/>
      </c>
      <c r="ID74" s="8" t="str">
        <f t="shared" si="79"/>
        <v/>
      </c>
      <c r="IE74" s="8" t="str">
        <f t="shared" si="79"/>
        <v/>
      </c>
      <c r="IF74" s="8" t="str">
        <f t="shared" si="79"/>
        <v/>
      </c>
      <c r="IG74" s="8" t="str">
        <f t="shared" si="79"/>
        <v/>
      </c>
      <c r="IH74" s="8" t="str">
        <f t="shared" si="79"/>
        <v/>
      </c>
      <c r="II74" s="8" t="str">
        <f t="shared" si="79"/>
        <v/>
      </c>
      <c r="IJ74" s="8" t="str">
        <f t="shared" si="79"/>
        <v/>
      </c>
      <c r="IK74" s="8" t="str">
        <f t="shared" si="79"/>
        <v/>
      </c>
      <c r="IL74" s="8" t="str">
        <f t="shared" si="79"/>
        <v/>
      </c>
      <c r="IM74" s="8" t="str">
        <f t="shared" si="79"/>
        <v/>
      </c>
      <c r="IN74" s="8" t="str">
        <f t="shared" si="79"/>
        <v/>
      </c>
      <c r="IO74" s="8" t="str">
        <f t="shared" si="79"/>
        <v/>
      </c>
      <c r="IP74" s="8" t="str">
        <f t="shared" si="79"/>
        <v/>
      </c>
      <c r="IQ74" s="8" t="str">
        <f t="shared" si="79"/>
        <v/>
      </c>
      <c r="IR74" s="8" t="str">
        <f t="shared" si="79"/>
        <v/>
      </c>
      <c r="IS74" s="8" t="str">
        <f t="shared" si="79"/>
        <v/>
      </c>
      <c r="IT74" s="8" t="str">
        <f t="shared" si="79"/>
        <v/>
      </c>
      <c r="IU74" s="8" t="str">
        <f t="shared" si="79"/>
        <v/>
      </c>
      <c r="IV74" s="8" t="str">
        <f t="shared" si="79"/>
        <v/>
      </c>
    </row>
    <row r="75" spans="6:256" x14ac:dyDescent="0.2">
      <c r="F75">
        <v>201903</v>
      </c>
      <c r="G75" s="8">
        <f t="shared" ref="G75:BR75" si="80">IF(OR(H29 = "", H$8 &lt; G$8), "", IFERROR(H29/G29, ""))</f>
        <v>9.985340025031471</v>
      </c>
      <c r="H75" s="8">
        <f t="shared" si="80"/>
        <v>2.0760163396564901</v>
      </c>
      <c r="I75" s="8">
        <f t="shared" si="80"/>
        <v>1.8423608038262367</v>
      </c>
      <c r="J75" s="8">
        <f t="shared" si="80"/>
        <v>1.2068086516743139</v>
      </c>
      <c r="K75" s="8">
        <f t="shared" si="80"/>
        <v>1.0745531010675986</v>
      </c>
      <c r="L75" s="8">
        <f t="shared" si="80"/>
        <v>1.0950672498870135</v>
      </c>
      <c r="M75" s="8">
        <f t="shared" si="80"/>
        <v>1</v>
      </c>
      <c r="N75" s="8">
        <f t="shared" si="80"/>
        <v>1.0142020807007239</v>
      </c>
      <c r="O75" s="8">
        <f t="shared" si="80"/>
        <v>1.0001066639974878</v>
      </c>
      <c r="P75" s="8">
        <f t="shared" si="80"/>
        <v>1.0227054022798321</v>
      </c>
      <c r="Q75" s="8">
        <f t="shared" si="80"/>
        <v>0.99991408787179104</v>
      </c>
      <c r="R75" s="8">
        <f t="shared" si="80"/>
        <v>1.0001096990144762</v>
      </c>
      <c r="S75" s="8">
        <f t="shared" si="80"/>
        <v>1.0000163241929585</v>
      </c>
      <c r="T75" s="8">
        <f t="shared" si="80"/>
        <v>1.0000522620986592</v>
      </c>
      <c r="U75" s="8">
        <f t="shared" si="80"/>
        <v>1.0000725516694788</v>
      </c>
      <c r="V75" s="8">
        <f t="shared" si="80"/>
        <v>1</v>
      </c>
      <c r="W75" s="8">
        <f t="shared" si="80"/>
        <v>1.0002134608758158</v>
      </c>
      <c r="X75" s="8">
        <f t="shared" si="80"/>
        <v>1</v>
      </c>
      <c r="Y75" s="8">
        <f t="shared" si="80"/>
        <v>1</v>
      </c>
      <c r="Z75" s="8">
        <f t="shared" si="80"/>
        <v>1</v>
      </c>
      <c r="AA75" s="8">
        <f t="shared" si="80"/>
        <v>1.000004443865371</v>
      </c>
      <c r="AB75" s="8">
        <f t="shared" si="80"/>
        <v>1.0001760724392896</v>
      </c>
      <c r="AC75" s="8">
        <f t="shared" si="80"/>
        <v>1</v>
      </c>
      <c r="AD75" s="8">
        <f t="shared" si="80"/>
        <v>1.0000028072001805</v>
      </c>
      <c r="AE75" s="8">
        <f t="shared" si="80"/>
        <v>1.0013688806487611</v>
      </c>
      <c r="AF75" s="8">
        <f t="shared" si="80"/>
        <v>1.0001745610604234</v>
      </c>
      <c r="AG75" s="8">
        <f t="shared" si="80"/>
        <v>1.0000209302621168</v>
      </c>
      <c r="AH75" s="8">
        <f t="shared" si="80"/>
        <v>1</v>
      </c>
      <c r="AI75" s="8">
        <f t="shared" si="80"/>
        <v>1.0000195240589642</v>
      </c>
      <c r="AJ75" s="8">
        <f t="shared" si="80"/>
        <v>1.0001523469358788</v>
      </c>
      <c r="AK75" s="8">
        <f t="shared" si="80"/>
        <v>1.0000665878216202</v>
      </c>
      <c r="AL75" s="8">
        <f t="shared" si="80"/>
        <v>1.0000044367378862</v>
      </c>
      <c r="AM75" s="8">
        <f t="shared" si="80"/>
        <v>1.000104038143329</v>
      </c>
      <c r="AN75" s="8">
        <f t="shared" si="80"/>
        <v>1.0000716776524197</v>
      </c>
      <c r="AO75" s="8">
        <f t="shared" si="80"/>
        <v>1</v>
      </c>
      <c r="AP75" s="8">
        <f t="shared" si="80"/>
        <v>1</v>
      </c>
      <c r="AQ75" s="8">
        <f t="shared" si="80"/>
        <v>1.0000162831095771</v>
      </c>
      <c r="AR75" s="8">
        <f t="shared" si="80"/>
        <v>1.000628313862389</v>
      </c>
      <c r="AS75" s="8">
        <f t="shared" si="80"/>
        <v>1.0014813794548143</v>
      </c>
      <c r="AT75" s="8">
        <f t="shared" si="80"/>
        <v>1.0002924741899717</v>
      </c>
      <c r="AU75" s="8">
        <f t="shared" si="80"/>
        <v>1.0001535754696949</v>
      </c>
      <c r="AV75" s="8">
        <f t="shared" si="80"/>
        <v>1</v>
      </c>
      <c r="AW75" s="8">
        <f t="shared" si="80"/>
        <v>1.0863283438790383</v>
      </c>
      <c r="AX75" s="8">
        <f t="shared" si="80"/>
        <v>1.0000955077781422</v>
      </c>
      <c r="AY75" s="8">
        <f t="shared" si="80"/>
        <v>1.0000040725508685</v>
      </c>
      <c r="AZ75" s="8">
        <f t="shared" si="80"/>
        <v>1.0000658009035677</v>
      </c>
      <c r="BA75" s="8">
        <f t="shared" si="80"/>
        <v>1.0000727252588781</v>
      </c>
      <c r="BB75" s="8">
        <f t="shared" si="80"/>
        <v>1</v>
      </c>
      <c r="BC75" s="8">
        <f t="shared" si="80"/>
        <v>1</v>
      </c>
      <c r="BD75" s="8">
        <f t="shared" si="80"/>
        <v>1.0000149470813746</v>
      </c>
      <c r="BE75" s="8">
        <f t="shared" si="80"/>
        <v>1.0003342491465046</v>
      </c>
      <c r="BF75" s="8">
        <f t="shared" si="80"/>
        <v>1.0001493115257194</v>
      </c>
      <c r="BG75" s="8">
        <f t="shared" si="80"/>
        <v>1</v>
      </c>
      <c r="BH75" s="8">
        <f t="shared" si="80"/>
        <v>1</v>
      </c>
      <c r="BI75" s="8">
        <f t="shared" si="80"/>
        <v>1</v>
      </c>
      <c r="BJ75" s="8">
        <f t="shared" si="80"/>
        <v>1.0000040699410593</v>
      </c>
      <c r="BK75" s="8">
        <f t="shared" si="80"/>
        <v>1.0001171988201329</v>
      </c>
      <c r="BL75" s="8">
        <f t="shared" si="80"/>
        <v>1.0006631275679643</v>
      </c>
      <c r="BM75" s="8">
        <f t="shared" si="80"/>
        <v>1</v>
      </c>
      <c r="BN75" s="8">
        <f t="shared" si="80"/>
        <v>1</v>
      </c>
      <c r="BO75" s="8">
        <f t="shared" si="80"/>
        <v>1.0006482816167412</v>
      </c>
      <c r="BP75" s="8">
        <f t="shared" si="80"/>
        <v>1.0003866814566225</v>
      </c>
      <c r="BQ75" s="8">
        <f t="shared" si="80"/>
        <v>1</v>
      </c>
      <c r="BR75" s="8">
        <f t="shared" si="80"/>
        <v>1.0001391741318786</v>
      </c>
      <c r="BS75" s="8" t="str">
        <f t="shared" ref="BS75:ED75" si="81">IF(OR(BT29 = "", BT$8 &lt; BS$8), "", IFERROR(BT29/BS29, ""))</f>
        <v/>
      </c>
      <c r="BT75" s="8" t="str">
        <f t="shared" si="81"/>
        <v/>
      </c>
      <c r="BU75" s="8" t="str">
        <f t="shared" si="81"/>
        <v/>
      </c>
      <c r="BV75" s="8" t="str">
        <f t="shared" si="81"/>
        <v/>
      </c>
      <c r="BW75" s="8" t="str">
        <f t="shared" si="81"/>
        <v/>
      </c>
      <c r="BX75" s="8" t="str">
        <f t="shared" si="81"/>
        <v/>
      </c>
      <c r="BY75" s="8" t="str">
        <f t="shared" si="81"/>
        <v/>
      </c>
      <c r="BZ75" s="8" t="str">
        <f t="shared" si="81"/>
        <v/>
      </c>
      <c r="CA75" s="8" t="str">
        <f t="shared" si="81"/>
        <v/>
      </c>
      <c r="CB75" s="8" t="str">
        <f t="shared" si="81"/>
        <v/>
      </c>
      <c r="CC75" s="8" t="str">
        <f t="shared" si="81"/>
        <v/>
      </c>
      <c r="CD75" s="8" t="str">
        <f t="shared" si="81"/>
        <v/>
      </c>
      <c r="CE75" s="8" t="str">
        <f t="shared" si="81"/>
        <v/>
      </c>
      <c r="CF75" s="8" t="str">
        <f t="shared" si="81"/>
        <v/>
      </c>
      <c r="CG75" s="8" t="str">
        <f t="shared" si="81"/>
        <v/>
      </c>
      <c r="CH75" s="8" t="str">
        <f t="shared" si="81"/>
        <v/>
      </c>
      <c r="CI75" s="8" t="str">
        <f t="shared" si="81"/>
        <v/>
      </c>
      <c r="CJ75" s="8" t="str">
        <f t="shared" si="81"/>
        <v/>
      </c>
      <c r="CK75" s="8" t="str">
        <f t="shared" si="81"/>
        <v/>
      </c>
      <c r="CL75" s="8" t="str">
        <f t="shared" si="81"/>
        <v/>
      </c>
      <c r="CM75" s="8" t="str">
        <f t="shared" si="81"/>
        <v/>
      </c>
      <c r="CN75" s="8" t="str">
        <f t="shared" si="81"/>
        <v/>
      </c>
      <c r="CO75" s="8" t="str">
        <f t="shared" si="81"/>
        <v/>
      </c>
      <c r="CP75" s="8" t="str">
        <f t="shared" si="81"/>
        <v/>
      </c>
      <c r="CQ75" s="8" t="str">
        <f t="shared" si="81"/>
        <v/>
      </c>
      <c r="CR75" s="8" t="str">
        <f t="shared" si="81"/>
        <v/>
      </c>
      <c r="CS75" s="8" t="str">
        <f t="shared" si="81"/>
        <v/>
      </c>
      <c r="CT75" s="8" t="str">
        <f t="shared" si="81"/>
        <v/>
      </c>
      <c r="CU75" s="8" t="str">
        <f t="shared" si="81"/>
        <v/>
      </c>
      <c r="CV75" s="8" t="str">
        <f t="shared" si="81"/>
        <v/>
      </c>
      <c r="CW75" s="8" t="str">
        <f t="shared" si="81"/>
        <v/>
      </c>
      <c r="CX75" s="8" t="str">
        <f t="shared" si="81"/>
        <v/>
      </c>
      <c r="CY75" s="8" t="str">
        <f t="shared" si="81"/>
        <v/>
      </c>
      <c r="CZ75" s="8" t="str">
        <f t="shared" si="81"/>
        <v/>
      </c>
      <c r="DA75" s="8" t="str">
        <f t="shared" si="81"/>
        <v/>
      </c>
      <c r="DB75" s="8" t="str">
        <f t="shared" si="81"/>
        <v/>
      </c>
      <c r="DC75" s="8" t="str">
        <f t="shared" si="81"/>
        <v/>
      </c>
      <c r="DD75" s="8" t="str">
        <f t="shared" si="81"/>
        <v/>
      </c>
      <c r="DE75" s="8" t="str">
        <f t="shared" si="81"/>
        <v/>
      </c>
      <c r="DF75" s="8" t="str">
        <f t="shared" si="81"/>
        <v/>
      </c>
      <c r="DG75" s="8" t="str">
        <f t="shared" si="81"/>
        <v/>
      </c>
      <c r="DH75" s="8" t="str">
        <f t="shared" si="81"/>
        <v/>
      </c>
      <c r="DI75" s="8" t="str">
        <f t="shared" si="81"/>
        <v/>
      </c>
      <c r="DJ75" s="8" t="str">
        <f t="shared" si="81"/>
        <v/>
      </c>
      <c r="DK75" s="8" t="str">
        <f t="shared" si="81"/>
        <v/>
      </c>
      <c r="DL75" s="8" t="str">
        <f t="shared" si="81"/>
        <v/>
      </c>
      <c r="DM75" s="8" t="str">
        <f t="shared" si="81"/>
        <v/>
      </c>
      <c r="DN75" s="8" t="str">
        <f t="shared" si="81"/>
        <v/>
      </c>
      <c r="DO75" s="8" t="str">
        <f t="shared" si="81"/>
        <v/>
      </c>
      <c r="DP75" s="8" t="str">
        <f t="shared" si="81"/>
        <v/>
      </c>
      <c r="DQ75" s="8" t="str">
        <f t="shared" si="81"/>
        <v/>
      </c>
      <c r="DR75" s="8" t="str">
        <f t="shared" si="81"/>
        <v/>
      </c>
      <c r="DS75" s="8" t="str">
        <f t="shared" si="81"/>
        <v/>
      </c>
      <c r="DT75" s="8" t="str">
        <f t="shared" si="81"/>
        <v/>
      </c>
      <c r="DU75" s="8" t="str">
        <f t="shared" si="81"/>
        <v/>
      </c>
      <c r="DV75" s="8" t="str">
        <f t="shared" si="81"/>
        <v/>
      </c>
      <c r="DW75" s="8" t="str">
        <f t="shared" si="81"/>
        <v/>
      </c>
      <c r="DX75" s="8" t="str">
        <f t="shared" si="81"/>
        <v/>
      </c>
      <c r="DY75" s="8" t="str">
        <f t="shared" si="81"/>
        <v/>
      </c>
      <c r="DZ75" s="8" t="str">
        <f t="shared" si="81"/>
        <v/>
      </c>
      <c r="EA75" s="8" t="str">
        <f t="shared" si="81"/>
        <v/>
      </c>
      <c r="EB75" s="8">
        <f t="shared" si="81"/>
        <v>3.8627916012580794</v>
      </c>
      <c r="EC75" s="8">
        <f t="shared" si="81"/>
        <v>1.4320938604537512</v>
      </c>
      <c r="ED75" s="8">
        <f t="shared" si="81"/>
        <v>1.4205739967662938</v>
      </c>
      <c r="EE75" s="8">
        <f t="shared" ref="EE75:GP75" si="82">IF(OR(EF29 = "", EF$8 &lt; EE$8), "", IFERROR(EF29/EE29, ""))</f>
        <v>0.98410525216007105</v>
      </c>
      <c r="EF75" s="8">
        <f t="shared" si="82"/>
        <v>0.99062551001957821</v>
      </c>
      <c r="EG75" s="8">
        <f t="shared" si="82"/>
        <v>1.0303386090590489</v>
      </c>
      <c r="EH75" s="8">
        <f t="shared" si="82"/>
        <v>0.97151396989374772</v>
      </c>
      <c r="EI75" s="8">
        <f t="shared" si="82"/>
        <v>0.99532933822763514</v>
      </c>
      <c r="EJ75" s="8">
        <f t="shared" si="82"/>
        <v>0.99973605004084753</v>
      </c>
      <c r="EK75" s="8">
        <f t="shared" si="82"/>
        <v>1.0001047157323013</v>
      </c>
      <c r="EL75" s="8">
        <f t="shared" si="82"/>
        <v>1.0000862412908615</v>
      </c>
      <c r="EM75" s="8">
        <f t="shared" si="82"/>
        <v>0.99993754155742653</v>
      </c>
      <c r="EN75" s="8">
        <f t="shared" si="82"/>
        <v>1.0000163241929585</v>
      </c>
      <c r="EO75" s="8">
        <f t="shared" si="82"/>
        <v>1.0000522620986592</v>
      </c>
      <c r="EP75" s="8">
        <f t="shared" si="82"/>
        <v>1.0000725516694788</v>
      </c>
      <c r="EQ75" s="8">
        <f t="shared" si="82"/>
        <v>1</v>
      </c>
      <c r="ER75" s="8">
        <f t="shared" si="82"/>
        <v>1.0002134608758158</v>
      </c>
      <c r="ES75" s="8">
        <f t="shared" si="82"/>
        <v>1</v>
      </c>
      <c r="ET75" s="8">
        <f t="shared" si="82"/>
        <v>1</v>
      </c>
      <c r="EU75" s="8">
        <f t="shared" si="82"/>
        <v>1</v>
      </c>
      <c r="EV75" s="8">
        <f t="shared" si="82"/>
        <v>1.000004443865371</v>
      </c>
      <c r="EW75" s="8">
        <f t="shared" si="82"/>
        <v>1.0001760724392896</v>
      </c>
      <c r="EX75" s="8">
        <f t="shared" si="82"/>
        <v>1</v>
      </c>
      <c r="EY75" s="8">
        <f t="shared" si="82"/>
        <v>1.0000028072736002</v>
      </c>
      <c r="EZ75" s="8">
        <f t="shared" si="82"/>
        <v>1.0013688806486605</v>
      </c>
      <c r="FA75" s="8">
        <f t="shared" si="82"/>
        <v>1.0406109475430263</v>
      </c>
      <c r="FB75" s="8">
        <f t="shared" si="82"/>
        <v>1.0000201169474274</v>
      </c>
      <c r="FC75" s="8">
        <f t="shared" si="82"/>
        <v>0.96114246814547677</v>
      </c>
      <c r="FD75" s="8">
        <f t="shared" si="82"/>
        <v>1.0000195240589627</v>
      </c>
      <c r="FE75" s="8">
        <f t="shared" si="82"/>
        <v>1.0001523470091711</v>
      </c>
      <c r="FF75" s="8">
        <f t="shared" si="82"/>
        <v>1.0000665878216104</v>
      </c>
      <c r="FG75" s="8">
        <f t="shared" si="82"/>
        <v>1.0000044367378855</v>
      </c>
      <c r="FH75" s="8">
        <f t="shared" si="82"/>
        <v>1.0001040381433137</v>
      </c>
      <c r="FI75" s="8">
        <f t="shared" si="82"/>
        <v>1.0000716776524092</v>
      </c>
      <c r="FJ75" s="8">
        <f t="shared" si="82"/>
        <v>1</v>
      </c>
      <c r="FK75" s="8">
        <f t="shared" si="82"/>
        <v>1.0001102133550639</v>
      </c>
      <c r="FL75" s="8">
        <f t="shared" si="82"/>
        <v>0.9999060800324715</v>
      </c>
      <c r="FM75" s="8">
        <f t="shared" si="82"/>
        <v>1.0006283138623431</v>
      </c>
      <c r="FN75" s="8">
        <f t="shared" si="82"/>
        <v>1.0014813794547059</v>
      </c>
      <c r="FO75" s="8">
        <f t="shared" si="82"/>
        <v>1.0872238816716968</v>
      </c>
      <c r="FP75" s="8">
        <f t="shared" si="82"/>
        <v>1.0001412960008831</v>
      </c>
      <c r="FQ75" s="8">
        <f t="shared" si="82"/>
        <v>1</v>
      </c>
      <c r="FR75" s="8">
        <f t="shared" si="82"/>
        <v>0.99976171970084793</v>
      </c>
      <c r="FS75" s="8">
        <f t="shared" si="82"/>
        <v>1.0000954808756424</v>
      </c>
      <c r="FT75" s="8">
        <f t="shared" si="82"/>
        <v>1.0000040714066956</v>
      </c>
      <c r="FU75" s="8">
        <f t="shared" si="82"/>
        <v>1.0000657824170431</v>
      </c>
      <c r="FV75" s="8">
        <f t="shared" si="82"/>
        <v>0.99979177694550037</v>
      </c>
      <c r="FW75" s="8">
        <f t="shared" si="82"/>
        <v>1</v>
      </c>
      <c r="FX75" s="8">
        <f t="shared" si="82"/>
        <v>1</v>
      </c>
      <c r="FY75" s="8">
        <f t="shared" si="82"/>
        <v>1.0000149470813746</v>
      </c>
      <c r="FZ75" s="8">
        <f t="shared" si="82"/>
        <v>1.0003342491465046</v>
      </c>
      <c r="GA75" s="8">
        <f t="shared" si="82"/>
        <v>1.0001493115257194</v>
      </c>
      <c r="GB75" s="8">
        <f t="shared" si="82"/>
        <v>1</v>
      </c>
      <c r="GC75" s="8">
        <f t="shared" si="82"/>
        <v>1</v>
      </c>
      <c r="GD75" s="8">
        <f t="shared" si="82"/>
        <v>1</v>
      </c>
      <c r="GE75" s="8">
        <f t="shared" si="82"/>
        <v>1.0000040699410593</v>
      </c>
      <c r="GF75" s="8">
        <f t="shared" si="82"/>
        <v>1.0001171988201329</v>
      </c>
      <c r="GG75" s="8">
        <f t="shared" si="82"/>
        <v>1.0006631275679643</v>
      </c>
      <c r="GH75" s="8">
        <f t="shared" si="82"/>
        <v>1</v>
      </c>
      <c r="GI75" s="8">
        <f t="shared" si="82"/>
        <v>1</v>
      </c>
      <c r="GJ75" s="8">
        <f t="shared" si="82"/>
        <v>1.0006482816167412</v>
      </c>
      <c r="GK75" s="8">
        <f t="shared" si="82"/>
        <v>1.0003866814566225</v>
      </c>
      <c r="GL75" s="8">
        <f t="shared" si="82"/>
        <v>1</v>
      </c>
      <c r="GM75" s="8">
        <f t="shared" si="82"/>
        <v>1.0001391741318786</v>
      </c>
      <c r="GN75" s="8" t="str">
        <f t="shared" si="82"/>
        <v/>
      </c>
      <c r="GO75" s="8" t="str">
        <f t="shared" si="82"/>
        <v/>
      </c>
      <c r="GP75" s="8" t="str">
        <f t="shared" si="82"/>
        <v/>
      </c>
      <c r="GQ75" s="8" t="str">
        <f t="shared" ref="GQ75:IV75" si="83">IF(OR(GR29 = "", GR$8 &lt; GQ$8), "", IFERROR(GR29/GQ29, ""))</f>
        <v/>
      </c>
      <c r="GR75" s="8" t="str">
        <f t="shared" si="83"/>
        <v/>
      </c>
      <c r="GS75" s="8" t="str">
        <f t="shared" si="83"/>
        <v/>
      </c>
      <c r="GT75" s="8" t="str">
        <f t="shared" si="83"/>
        <v/>
      </c>
      <c r="GU75" s="8" t="str">
        <f t="shared" si="83"/>
        <v/>
      </c>
      <c r="GV75" s="8" t="str">
        <f t="shared" si="83"/>
        <v/>
      </c>
      <c r="GW75" s="8" t="str">
        <f t="shared" si="83"/>
        <v/>
      </c>
      <c r="GX75" s="8" t="str">
        <f t="shared" si="83"/>
        <v/>
      </c>
      <c r="GY75" s="8" t="str">
        <f t="shared" si="83"/>
        <v/>
      </c>
      <c r="GZ75" s="8" t="str">
        <f t="shared" si="83"/>
        <v/>
      </c>
      <c r="HA75" s="8" t="str">
        <f t="shared" si="83"/>
        <v/>
      </c>
      <c r="HB75" s="8" t="str">
        <f t="shared" si="83"/>
        <v/>
      </c>
      <c r="HC75" s="8" t="str">
        <f t="shared" si="83"/>
        <v/>
      </c>
      <c r="HD75" s="8" t="str">
        <f t="shared" si="83"/>
        <v/>
      </c>
      <c r="HE75" s="8" t="str">
        <f t="shared" si="83"/>
        <v/>
      </c>
      <c r="HF75" s="8" t="str">
        <f t="shared" si="83"/>
        <v/>
      </c>
      <c r="HG75" s="8" t="str">
        <f t="shared" si="83"/>
        <v/>
      </c>
      <c r="HH75" s="8" t="str">
        <f t="shared" si="83"/>
        <v/>
      </c>
      <c r="HI75" s="8" t="str">
        <f t="shared" si="83"/>
        <v/>
      </c>
      <c r="HJ75" s="8" t="str">
        <f t="shared" si="83"/>
        <v/>
      </c>
      <c r="HK75" s="8" t="str">
        <f t="shared" si="83"/>
        <v/>
      </c>
      <c r="HL75" s="8" t="str">
        <f t="shared" si="83"/>
        <v/>
      </c>
      <c r="HM75" s="8" t="str">
        <f t="shared" si="83"/>
        <v/>
      </c>
      <c r="HN75" s="8" t="str">
        <f t="shared" si="83"/>
        <v/>
      </c>
      <c r="HO75" s="8" t="str">
        <f t="shared" si="83"/>
        <v/>
      </c>
      <c r="HP75" s="8" t="str">
        <f t="shared" si="83"/>
        <v/>
      </c>
      <c r="HQ75" s="8" t="str">
        <f t="shared" si="83"/>
        <v/>
      </c>
      <c r="HR75" s="8" t="str">
        <f t="shared" si="83"/>
        <v/>
      </c>
      <c r="HS75" s="8" t="str">
        <f t="shared" si="83"/>
        <v/>
      </c>
      <c r="HT75" s="8" t="str">
        <f t="shared" si="83"/>
        <v/>
      </c>
      <c r="HU75" s="8" t="str">
        <f t="shared" si="83"/>
        <v/>
      </c>
      <c r="HV75" s="8" t="str">
        <f t="shared" si="83"/>
        <v/>
      </c>
      <c r="HW75" s="8" t="str">
        <f t="shared" si="83"/>
        <v/>
      </c>
      <c r="HX75" s="8" t="str">
        <f t="shared" si="83"/>
        <v/>
      </c>
      <c r="HY75" s="8" t="str">
        <f t="shared" si="83"/>
        <v/>
      </c>
      <c r="HZ75" s="8" t="str">
        <f t="shared" si="83"/>
        <v/>
      </c>
      <c r="IA75" s="8" t="str">
        <f t="shared" si="83"/>
        <v/>
      </c>
      <c r="IB75" s="8" t="str">
        <f t="shared" si="83"/>
        <v/>
      </c>
      <c r="IC75" s="8" t="str">
        <f t="shared" si="83"/>
        <v/>
      </c>
      <c r="ID75" s="8" t="str">
        <f t="shared" si="83"/>
        <v/>
      </c>
      <c r="IE75" s="8" t="str">
        <f t="shared" si="83"/>
        <v/>
      </c>
      <c r="IF75" s="8" t="str">
        <f t="shared" si="83"/>
        <v/>
      </c>
      <c r="IG75" s="8" t="str">
        <f t="shared" si="83"/>
        <v/>
      </c>
      <c r="IH75" s="8" t="str">
        <f t="shared" si="83"/>
        <v/>
      </c>
      <c r="II75" s="8" t="str">
        <f t="shared" si="83"/>
        <v/>
      </c>
      <c r="IJ75" s="8" t="str">
        <f t="shared" si="83"/>
        <v/>
      </c>
      <c r="IK75" s="8" t="str">
        <f t="shared" si="83"/>
        <v/>
      </c>
      <c r="IL75" s="8" t="str">
        <f t="shared" si="83"/>
        <v/>
      </c>
      <c r="IM75" s="8" t="str">
        <f t="shared" si="83"/>
        <v/>
      </c>
      <c r="IN75" s="8" t="str">
        <f t="shared" si="83"/>
        <v/>
      </c>
      <c r="IO75" s="8" t="str">
        <f t="shared" si="83"/>
        <v/>
      </c>
      <c r="IP75" s="8" t="str">
        <f t="shared" si="83"/>
        <v/>
      </c>
      <c r="IQ75" s="8" t="str">
        <f t="shared" si="83"/>
        <v/>
      </c>
      <c r="IR75" s="8" t="str">
        <f t="shared" si="83"/>
        <v/>
      </c>
      <c r="IS75" s="8" t="str">
        <f t="shared" si="83"/>
        <v/>
      </c>
      <c r="IT75" s="8" t="str">
        <f t="shared" si="83"/>
        <v/>
      </c>
      <c r="IU75" s="8" t="str">
        <f t="shared" si="83"/>
        <v/>
      </c>
      <c r="IV75" s="8" t="str">
        <f t="shared" si="83"/>
        <v/>
      </c>
    </row>
    <row r="76" spans="6:256" x14ac:dyDescent="0.2">
      <c r="F76">
        <v>201906</v>
      </c>
      <c r="G76" s="8">
        <f t="shared" ref="G76:BR76" si="84">IF(OR(H30 = "", H$8 &lt; G$8), "", IFERROR(H30/G30, ""))</f>
        <v>38.462808561206927</v>
      </c>
      <c r="H76" s="8">
        <f t="shared" si="84"/>
        <v>3.3244435685629909</v>
      </c>
      <c r="I76" s="8">
        <f t="shared" si="84"/>
        <v>1.7351481587550091</v>
      </c>
      <c r="J76" s="8">
        <f t="shared" si="84"/>
        <v>1.2172189002656124</v>
      </c>
      <c r="K76" s="8">
        <f t="shared" si="84"/>
        <v>1.0350931457129704</v>
      </c>
      <c r="L76" s="8">
        <f t="shared" si="84"/>
        <v>1.0273264459296547</v>
      </c>
      <c r="M76" s="8">
        <f t="shared" si="84"/>
        <v>1.0004143996078869</v>
      </c>
      <c r="N76" s="8">
        <f t="shared" si="84"/>
        <v>1.0032806907681691</v>
      </c>
      <c r="O76" s="8">
        <f t="shared" si="84"/>
        <v>1.0008893741295759</v>
      </c>
      <c r="P76" s="8">
        <f t="shared" si="84"/>
        <v>1.0003269904887615</v>
      </c>
      <c r="Q76" s="8">
        <f t="shared" si="84"/>
        <v>1.0064207849339584</v>
      </c>
      <c r="R76" s="8">
        <f t="shared" si="84"/>
        <v>1.0002101592987012</v>
      </c>
      <c r="S76" s="8">
        <f t="shared" si="84"/>
        <v>1.0000641206072574</v>
      </c>
      <c r="T76" s="8">
        <f t="shared" si="84"/>
        <v>1.0058125249703906</v>
      </c>
      <c r="U76" s="8">
        <f t="shared" si="84"/>
        <v>1</v>
      </c>
      <c r="V76" s="8">
        <f t="shared" si="84"/>
        <v>1.0000165069895042</v>
      </c>
      <c r="W76" s="8">
        <f t="shared" si="84"/>
        <v>1.000010311417715</v>
      </c>
      <c r="X76" s="8">
        <f t="shared" si="84"/>
        <v>1</v>
      </c>
      <c r="Y76" s="8">
        <f t="shared" si="84"/>
        <v>1.0021542511647032</v>
      </c>
      <c r="Z76" s="8">
        <f t="shared" si="84"/>
        <v>1.0001794011961358</v>
      </c>
      <c r="AA76" s="8">
        <f t="shared" si="84"/>
        <v>1.0006508811508636</v>
      </c>
      <c r="AB76" s="8">
        <f t="shared" si="84"/>
        <v>1.0001087823204857</v>
      </c>
      <c r="AC76" s="8">
        <f t="shared" si="84"/>
        <v>1.0003362795625224</v>
      </c>
      <c r="AD76" s="8">
        <f t="shared" si="84"/>
        <v>1.0000635261845541</v>
      </c>
      <c r="AE76" s="8">
        <f t="shared" si="84"/>
        <v>1</v>
      </c>
      <c r="AF76" s="8">
        <f t="shared" si="84"/>
        <v>1.0001247913316802</v>
      </c>
      <c r="AG76" s="8">
        <f t="shared" si="84"/>
        <v>1.0000173365720899</v>
      </c>
      <c r="AH76" s="8">
        <f t="shared" si="84"/>
        <v>1</v>
      </c>
      <c r="AI76" s="8">
        <f t="shared" si="84"/>
        <v>1</v>
      </c>
      <c r="AJ76" s="8">
        <f t="shared" si="84"/>
        <v>1</v>
      </c>
      <c r="AK76" s="8">
        <f t="shared" si="84"/>
        <v>1.0002925152790165</v>
      </c>
      <c r="AL76" s="8">
        <f t="shared" si="84"/>
        <v>1</v>
      </c>
      <c r="AM76" s="8">
        <f t="shared" si="84"/>
        <v>1</v>
      </c>
      <c r="AN76" s="8">
        <f t="shared" si="84"/>
        <v>1.00041423681218</v>
      </c>
      <c r="AO76" s="8">
        <f t="shared" si="84"/>
        <v>1.0001149021262614</v>
      </c>
      <c r="AP76" s="8">
        <f t="shared" si="84"/>
        <v>1</v>
      </c>
      <c r="AQ76" s="8">
        <f t="shared" si="84"/>
        <v>1.0016217771078673</v>
      </c>
      <c r="AR76" s="8">
        <f t="shared" si="84"/>
        <v>1.0000071780436328</v>
      </c>
      <c r="AS76" s="8">
        <f t="shared" si="84"/>
        <v>1</v>
      </c>
      <c r="AT76" s="8">
        <f t="shared" si="84"/>
        <v>1</v>
      </c>
      <c r="AU76" s="8">
        <f t="shared" si="84"/>
        <v>1.0017994638321326</v>
      </c>
      <c r="AV76" s="8">
        <f t="shared" si="84"/>
        <v>1</v>
      </c>
      <c r="AW76" s="8">
        <f t="shared" si="84"/>
        <v>1.0000927182286108</v>
      </c>
      <c r="AX76" s="8">
        <f t="shared" si="84"/>
        <v>1.0002295250035493</v>
      </c>
      <c r="AY76" s="8">
        <f t="shared" si="84"/>
        <v>1.0002929979767294</v>
      </c>
      <c r="AZ76" s="8">
        <f t="shared" si="84"/>
        <v>1.0004838821149118</v>
      </c>
      <c r="BA76" s="8">
        <f t="shared" si="84"/>
        <v>1.0000177828272856</v>
      </c>
      <c r="BB76" s="8">
        <f t="shared" si="84"/>
        <v>1</v>
      </c>
      <c r="BC76" s="8">
        <f t="shared" si="84"/>
        <v>1.0000071570221205</v>
      </c>
      <c r="BD76" s="8">
        <f t="shared" si="84"/>
        <v>1.0000232314484307</v>
      </c>
      <c r="BE76" s="8">
        <f t="shared" si="84"/>
        <v>1.0001241023669567</v>
      </c>
      <c r="BF76" s="8">
        <f t="shared" si="84"/>
        <v>1</v>
      </c>
      <c r="BG76" s="8">
        <f t="shared" si="84"/>
        <v>1</v>
      </c>
      <c r="BH76" s="8">
        <f t="shared" si="84"/>
        <v>1</v>
      </c>
      <c r="BI76" s="8">
        <f t="shared" si="84"/>
        <v>1.0003218551114965</v>
      </c>
      <c r="BJ76" s="8">
        <f t="shared" si="84"/>
        <v>1</v>
      </c>
      <c r="BK76" s="8">
        <f t="shared" si="84"/>
        <v>1.0000634449664036</v>
      </c>
      <c r="BL76" s="8">
        <f t="shared" si="84"/>
        <v>1.0005490044161554</v>
      </c>
      <c r="BM76" s="8">
        <f t="shared" si="84"/>
        <v>1</v>
      </c>
      <c r="BN76" s="8">
        <f t="shared" si="84"/>
        <v>1</v>
      </c>
      <c r="BO76" s="8">
        <f t="shared" si="84"/>
        <v>1</v>
      </c>
      <c r="BP76" s="8" t="str">
        <f t="shared" si="84"/>
        <v/>
      </c>
      <c r="BQ76" s="8" t="str">
        <f t="shared" si="84"/>
        <v/>
      </c>
      <c r="BR76" s="8" t="str">
        <f t="shared" si="84"/>
        <v/>
      </c>
      <c r="BS76" s="8" t="str">
        <f t="shared" ref="BS76:ED76" si="85">IF(OR(BT30 = "", BT$8 &lt; BS$8), "", IFERROR(BT30/BS30, ""))</f>
        <v/>
      </c>
      <c r="BT76" s="8" t="str">
        <f t="shared" si="85"/>
        <v/>
      </c>
      <c r="BU76" s="8" t="str">
        <f t="shared" si="85"/>
        <v/>
      </c>
      <c r="BV76" s="8" t="str">
        <f t="shared" si="85"/>
        <v/>
      </c>
      <c r="BW76" s="8" t="str">
        <f t="shared" si="85"/>
        <v/>
      </c>
      <c r="BX76" s="8" t="str">
        <f t="shared" si="85"/>
        <v/>
      </c>
      <c r="BY76" s="8" t="str">
        <f t="shared" si="85"/>
        <v/>
      </c>
      <c r="BZ76" s="8" t="str">
        <f t="shared" si="85"/>
        <v/>
      </c>
      <c r="CA76" s="8" t="str">
        <f t="shared" si="85"/>
        <v/>
      </c>
      <c r="CB76" s="8" t="str">
        <f t="shared" si="85"/>
        <v/>
      </c>
      <c r="CC76" s="8" t="str">
        <f t="shared" si="85"/>
        <v/>
      </c>
      <c r="CD76" s="8" t="str">
        <f t="shared" si="85"/>
        <v/>
      </c>
      <c r="CE76" s="8" t="str">
        <f t="shared" si="85"/>
        <v/>
      </c>
      <c r="CF76" s="8" t="str">
        <f t="shared" si="85"/>
        <v/>
      </c>
      <c r="CG76" s="8" t="str">
        <f t="shared" si="85"/>
        <v/>
      </c>
      <c r="CH76" s="8" t="str">
        <f t="shared" si="85"/>
        <v/>
      </c>
      <c r="CI76" s="8" t="str">
        <f t="shared" si="85"/>
        <v/>
      </c>
      <c r="CJ76" s="8" t="str">
        <f t="shared" si="85"/>
        <v/>
      </c>
      <c r="CK76" s="8" t="str">
        <f t="shared" si="85"/>
        <v/>
      </c>
      <c r="CL76" s="8" t="str">
        <f t="shared" si="85"/>
        <v/>
      </c>
      <c r="CM76" s="8" t="str">
        <f t="shared" si="85"/>
        <v/>
      </c>
      <c r="CN76" s="8" t="str">
        <f t="shared" si="85"/>
        <v/>
      </c>
      <c r="CO76" s="8" t="str">
        <f t="shared" si="85"/>
        <v/>
      </c>
      <c r="CP76" s="8" t="str">
        <f t="shared" si="85"/>
        <v/>
      </c>
      <c r="CQ76" s="8" t="str">
        <f t="shared" si="85"/>
        <v/>
      </c>
      <c r="CR76" s="8" t="str">
        <f t="shared" si="85"/>
        <v/>
      </c>
      <c r="CS76" s="8" t="str">
        <f t="shared" si="85"/>
        <v/>
      </c>
      <c r="CT76" s="8" t="str">
        <f t="shared" si="85"/>
        <v/>
      </c>
      <c r="CU76" s="8" t="str">
        <f t="shared" si="85"/>
        <v/>
      </c>
      <c r="CV76" s="8" t="str">
        <f t="shared" si="85"/>
        <v/>
      </c>
      <c r="CW76" s="8" t="str">
        <f t="shared" si="85"/>
        <v/>
      </c>
      <c r="CX76" s="8" t="str">
        <f t="shared" si="85"/>
        <v/>
      </c>
      <c r="CY76" s="8" t="str">
        <f t="shared" si="85"/>
        <v/>
      </c>
      <c r="CZ76" s="8" t="str">
        <f t="shared" si="85"/>
        <v/>
      </c>
      <c r="DA76" s="8" t="str">
        <f t="shared" si="85"/>
        <v/>
      </c>
      <c r="DB76" s="8" t="str">
        <f t="shared" si="85"/>
        <v/>
      </c>
      <c r="DC76" s="8" t="str">
        <f t="shared" si="85"/>
        <v/>
      </c>
      <c r="DD76" s="8" t="str">
        <f t="shared" si="85"/>
        <v/>
      </c>
      <c r="DE76" s="8" t="str">
        <f t="shared" si="85"/>
        <v/>
      </c>
      <c r="DF76" s="8" t="str">
        <f t="shared" si="85"/>
        <v/>
      </c>
      <c r="DG76" s="8" t="str">
        <f t="shared" si="85"/>
        <v/>
      </c>
      <c r="DH76" s="8" t="str">
        <f t="shared" si="85"/>
        <v/>
      </c>
      <c r="DI76" s="8" t="str">
        <f t="shared" si="85"/>
        <v/>
      </c>
      <c r="DJ76" s="8" t="str">
        <f t="shared" si="85"/>
        <v/>
      </c>
      <c r="DK76" s="8" t="str">
        <f t="shared" si="85"/>
        <v/>
      </c>
      <c r="DL76" s="8" t="str">
        <f t="shared" si="85"/>
        <v/>
      </c>
      <c r="DM76" s="8" t="str">
        <f t="shared" si="85"/>
        <v/>
      </c>
      <c r="DN76" s="8" t="str">
        <f t="shared" si="85"/>
        <v/>
      </c>
      <c r="DO76" s="8" t="str">
        <f t="shared" si="85"/>
        <v/>
      </c>
      <c r="DP76" s="8" t="str">
        <f t="shared" si="85"/>
        <v/>
      </c>
      <c r="DQ76" s="8" t="str">
        <f t="shared" si="85"/>
        <v/>
      </c>
      <c r="DR76" s="8" t="str">
        <f t="shared" si="85"/>
        <v/>
      </c>
      <c r="DS76" s="8" t="str">
        <f t="shared" si="85"/>
        <v/>
      </c>
      <c r="DT76" s="8" t="str">
        <f t="shared" si="85"/>
        <v/>
      </c>
      <c r="DU76" s="8" t="str">
        <f t="shared" si="85"/>
        <v/>
      </c>
      <c r="DV76" s="8" t="str">
        <f t="shared" si="85"/>
        <v/>
      </c>
      <c r="DW76" s="8" t="str">
        <f t="shared" si="85"/>
        <v/>
      </c>
      <c r="DX76" s="8" t="str">
        <f t="shared" si="85"/>
        <v/>
      </c>
      <c r="DY76" s="8" t="str">
        <f t="shared" si="85"/>
        <v/>
      </c>
      <c r="DZ76" s="8" t="str">
        <f t="shared" si="85"/>
        <v/>
      </c>
      <c r="EA76" s="8" t="str">
        <f t="shared" si="85"/>
        <v/>
      </c>
      <c r="EB76" s="8">
        <f t="shared" si="85"/>
        <v>32.060392192521171</v>
      </c>
      <c r="EC76" s="8">
        <f t="shared" si="85"/>
        <v>1.933453447332361</v>
      </c>
      <c r="ED76" s="8">
        <f t="shared" si="85"/>
        <v>1.102051040009641</v>
      </c>
      <c r="EE76" s="8">
        <f t="shared" ref="EE76:GP76" si="86">IF(OR(EF30 = "", EF$8 &lt; EE$8), "", IFERROR(EF30/EE30, ""))</f>
        <v>1.0594774482785299</v>
      </c>
      <c r="EF76" s="8">
        <f t="shared" si="86"/>
        <v>1.0492648539596681</v>
      </c>
      <c r="EG76" s="8">
        <f t="shared" si="86"/>
        <v>0.9555636269412483</v>
      </c>
      <c r="EH76" s="8">
        <f t="shared" si="86"/>
        <v>1.0002435689652507</v>
      </c>
      <c r="EI76" s="8">
        <f t="shared" si="86"/>
        <v>1.0007933403169886</v>
      </c>
      <c r="EJ76" s="8">
        <f t="shared" si="86"/>
        <v>1.0042011104836905</v>
      </c>
      <c r="EK76" s="8">
        <f t="shared" si="86"/>
        <v>1.0004717189011214</v>
      </c>
      <c r="EL76" s="8">
        <f t="shared" si="86"/>
        <v>1.0044371739566988</v>
      </c>
      <c r="EM76" s="8">
        <f t="shared" si="86"/>
        <v>1.000063843485685</v>
      </c>
      <c r="EN76" s="8">
        <f t="shared" si="86"/>
        <v>1.0000846635439458</v>
      </c>
      <c r="EO76" s="8">
        <f t="shared" si="86"/>
        <v>1.0048555449617809</v>
      </c>
      <c r="EP76" s="8">
        <f t="shared" si="86"/>
        <v>1</v>
      </c>
      <c r="EQ76" s="8">
        <f t="shared" si="86"/>
        <v>1.0000164722646903</v>
      </c>
      <c r="ER76" s="8">
        <f t="shared" si="86"/>
        <v>0.99999997221733683</v>
      </c>
      <c r="ES76" s="8">
        <f t="shared" si="86"/>
        <v>1</v>
      </c>
      <c r="ET76" s="8">
        <f t="shared" si="86"/>
        <v>1.0000564507340512</v>
      </c>
      <c r="EU76" s="8">
        <f t="shared" si="86"/>
        <v>1.0001794011961358</v>
      </c>
      <c r="EV76" s="8">
        <f t="shared" si="86"/>
        <v>1.0006508811508636</v>
      </c>
      <c r="EW76" s="8">
        <f t="shared" si="86"/>
        <v>1.0001087823204857</v>
      </c>
      <c r="EX76" s="8">
        <f t="shared" si="86"/>
        <v>1.0003362795625224</v>
      </c>
      <c r="EY76" s="8">
        <f t="shared" si="86"/>
        <v>1.0000635261845541</v>
      </c>
      <c r="EZ76" s="8">
        <f t="shared" si="86"/>
        <v>1</v>
      </c>
      <c r="FA76" s="8">
        <f t="shared" si="86"/>
        <v>1.0001247913316802</v>
      </c>
      <c r="FB76" s="8">
        <f t="shared" si="86"/>
        <v>1.0000173365720899</v>
      </c>
      <c r="FC76" s="8">
        <f t="shared" si="86"/>
        <v>1</v>
      </c>
      <c r="FD76" s="8">
        <f t="shared" si="86"/>
        <v>1</v>
      </c>
      <c r="FE76" s="8">
        <f t="shared" si="86"/>
        <v>1</v>
      </c>
      <c r="FF76" s="8">
        <f t="shared" si="86"/>
        <v>1.0002925152790165</v>
      </c>
      <c r="FG76" s="8">
        <f t="shared" si="86"/>
        <v>1</v>
      </c>
      <c r="FH76" s="8">
        <f t="shared" si="86"/>
        <v>1</v>
      </c>
      <c r="FI76" s="8">
        <f t="shared" si="86"/>
        <v>1.00041423681218</v>
      </c>
      <c r="FJ76" s="8">
        <f t="shared" si="86"/>
        <v>1.0001149021262614</v>
      </c>
      <c r="FK76" s="8">
        <f t="shared" si="86"/>
        <v>1</v>
      </c>
      <c r="FL76" s="8">
        <f t="shared" si="86"/>
        <v>1.0016217771078673</v>
      </c>
      <c r="FM76" s="8">
        <f t="shared" si="86"/>
        <v>1.0000071780436328</v>
      </c>
      <c r="FN76" s="8">
        <f t="shared" si="86"/>
        <v>1</v>
      </c>
      <c r="FO76" s="8">
        <f t="shared" si="86"/>
        <v>1</v>
      </c>
      <c r="FP76" s="8">
        <f t="shared" si="86"/>
        <v>1.00188417074495</v>
      </c>
      <c r="FQ76" s="8">
        <f t="shared" si="86"/>
        <v>1</v>
      </c>
      <c r="FR76" s="8">
        <f t="shared" si="86"/>
        <v>1.0000081627788233</v>
      </c>
      <c r="FS76" s="8">
        <f t="shared" si="86"/>
        <v>1.0002295250035493</v>
      </c>
      <c r="FT76" s="8">
        <f t="shared" si="86"/>
        <v>1.0002929979767294</v>
      </c>
      <c r="FU76" s="8">
        <f t="shared" si="86"/>
        <v>1.0005017393752882</v>
      </c>
      <c r="FV76" s="8">
        <f t="shared" si="86"/>
        <v>0.99999993420471334</v>
      </c>
      <c r="FW76" s="8">
        <f t="shared" si="86"/>
        <v>1</v>
      </c>
      <c r="FX76" s="8">
        <f t="shared" si="86"/>
        <v>1.0000071570221205</v>
      </c>
      <c r="FY76" s="8">
        <f t="shared" si="86"/>
        <v>1.0000232314484307</v>
      </c>
      <c r="FZ76" s="8">
        <f t="shared" si="86"/>
        <v>1.0001241023669567</v>
      </c>
      <c r="GA76" s="8">
        <f t="shared" si="86"/>
        <v>1</v>
      </c>
      <c r="GB76" s="8">
        <f t="shared" si="86"/>
        <v>1</v>
      </c>
      <c r="GC76" s="8">
        <f t="shared" si="86"/>
        <v>1</v>
      </c>
      <c r="GD76" s="8">
        <f t="shared" si="86"/>
        <v>1.0003218551114965</v>
      </c>
      <c r="GE76" s="8">
        <f t="shared" si="86"/>
        <v>1</v>
      </c>
      <c r="GF76" s="8">
        <f t="shared" si="86"/>
        <v>1.0000634449664036</v>
      </c>
      <c r="GG76" s="8">
        <f t="shared" si="86"/>
        <v>1.0005490044161554</v>
      </c>
      <c r="GH76" s="8">
        <f t="shared" si="86"/>
        <v>1</v>
      </c>
      <c r="GI76" s="8">
        <f t="shared" si="86"/>
        <v>1</v>
      </c>
      <c r="GJ76" s="8">
        <f t="shared" si="86"/>
        <v>1</v>
      </c>
      <c r="GK76" s="8" t="str">
        <f t="shared" si="86"/>
        <v/>
      </c>
      <c r="GL76" s="8" t="str">
        <f t="shared" si="86"/>
        <v/>
      </c>
      <c r="GM76" s="8" t="str">
        <f t="shared" si="86"/>
        <v/>
      </c>
      <c r="GN76" s="8" t="str">
        <f t="shared" si="86"/>
        <v/>
      </c>
      <c r="GO76" s="8" t="str">
        <f t="shared" si="86"/>
        <v/>
      </c>
      <c r="GP76" s="8" t="str">
        <f t="shared" si="86"/>
        <v/>
      </c>
      <c r="GQ76" s="8" t="str">
        <f t="shared" ref="GQ76:IV76" si="87">IF(OR(GR30 = "", GR$8 &lt; GQ$8), "", IFERROR(GR30/GQ30, ""))</f>
        <v/>
      </c>
      <c r="GR76" s="8" t="str">
        <f t="shared" si="87"/>
        <v/>
      </c>
      <c r="GS76" s="8" t="str">
        <f t="shared" si="87"/>
        <v/>
      </c>
      <c r="GT76" s="8" t="str">
        <f t="shared" si="87"/>
        <v/>
      </c>
      <c r="GU76" s="8" t="str">
        <f t="shared" si="87"/>
        <v/>
      </c>
      <c r="GV76" s="8" t="str">
        <f t="shared" si="87"/>
        <v/>
      </c>
      <c r="GW76" s="8" t="str">
        <f t="shared" si="87"/>
        <v/>
      </c>
      <c r="GX76" s="8" t="str">
        <f t="shared" si="87"/>
        <v/>
      </c>
      <c r="GY76" s="8" t="str">
        <f t="shared" si="87"/>
        <v/>
      </c>
      <c r="GZ76" s="8" t="str">
        <f t="shared" si="87"/>
        <v/>
      </c>
      <c r="HA76" s="8" t="str">
        <f t="shared" si="87"/>
        <v/>
      </c>
      <c r="HB76" s="8" t="str">
        <f t="shared" si="87"/>
        <v/>
      </c>
      <c r="HC76" s="8" t="str">
        <f t="shared" si="87"/>
        <v/>
      </c>
      <c r="HD76" s="8" t="str">
        <f t="shared" si="87"/>
        <v/>
      </c>
      <c r="HE76" s="8" t="str">
        <f t="shared" si="87"/>
        <v/>
      </c>
      <c r="HF76" s="8" t="str">
        <f t="shared" si="87"/>
        <v/>
      </c>
      <c r="HG76" s="8" t="str">
        <f t="shared" si="87"/>
        <v/>
      </c>
      <c r="HH76" s="8" t="str">
        <f t="shared" si="87"/>
        <v/>
      </c>
      <c r="HI76" s="8" t="str">
        <f t="shared" si="87"/>
        <v/>
      </c>
      <c r="HJ76" s="8" t="str">
        <f t="shared" si="87"/>
        <v/>
      </c>
      <c r="HK76" s="8" t="str">
        <f t="shared" si="87"/>
        <v/>
      </c>
      <c r="HL76" s="8" t="str">
        <f t="shared" si="87"/>
        <v/>
      </c>
      <c r="HM76" s="8" t="str">
        <f t="shared" si="87"/>
        <v/>
      </c>
      <c r="HN76" s="8" t="str">
        <f t="shared" si="87"/>
        <v/>
      </c>
      <c r="HO76" s="8" t="str">
        <f t="shared" si="87"/>
        <v/>
      </c>
      <c r="HP76" s="8" t="str">
        <f t="shared" si="87"/>
        <v/>
      </c>
      <c r="HQ76" s="8" t="str">
        <f t="shared" si="87"/>
        <v/>
      </c>
      <c r="HR76" s="8" t="str">
        <f t="shared" si="87"/>
        <v/>
      </c>
      <c r="HS76" s="8" t="str">
        <f t="shared" si="87"/>
        <v/>
      </c>
      <c r="HT76" s="8" t="str">
        <f t="shared" si="87"/>
        <v/>
      </c>
      <c r="HU76" s="8" t="str">
        <f t="shared" si="87"/>
        <v/>
      </c>
      <c r="HV76" s="8" t="str">
        <f t="shared" si="87"/>
        <v/>
      </c>
      <c r="HW76" s="8" t="str">
        <f t="shared" si="87"/>
        <v/>
      </c>
      <c r="HX76" s="8" t="str">
        <f t="shared" si="87"/>
        <v/>
      </c>
      <c r="HY76" s="8" t="str">
        <f t="shared" si="87"/>
        <v/>
      </c>
      <c r="HZ76" s="8" t="str">
        <f t="shared" si="87"/>
        <v/>
      </c>
      <c r="IA76" s="8" t="str">
        <f t="shared" si="87"/>
        <v/>
      </c>
      <c r="IB76" s="8" t="str">
        <f t="shared" si="87"/>
        <v/>
      </c>
      <c r="IC76" s="8" t="str">
        <f t="shared" si="87"/>
        <v/>
      </c>
      <c r="ID76" s="8" t="str">
        <f t="shared" si="87"/>
        <v/>
      </c>
      <c r="IE76" s="8" t="str">
        <f t="shared" si="87"/>
        <v/>
      </c>
      <c r="IF76" s="8" t="str">
        <f t="shared" si="87"/>
        <v/>
      </c>
      <c r="IG76" s="8" t="str">
        <f t="shared" si="87"/>
        <v/>
      </c>
      <c r="IH76" s="8" t="str">
        <f t="shared" si="87"/>
        <v/>
      </c>
      <c r="II76" s="8" t="str">
        <f t="shared" si="87"/>
        <v/>
      </c>
      <c r="IJ76" s="8" t="str">
        <f t="shared" si="87"/>
        <v/>
      </c>
      <c r="IK76" s="8" t="str">
        <f t="shared" si="87"/>
        <v/>
      </c>
      <c r="IL76" s="8" t="str">
        <f t="shared" si="87"/>
        <v/>
      </c>
      <c r="IM76" s="8" t="str">
        <f t="shared" si="87"/>
        <v/>
      </c>
      <c r="IN76" s="8" t="str">
        <f t="shared" si="87"/>
        <v/>
      </c>
      <c r="IO76" s="8" t="str">
        <f t="shared" si="87"/>
        <v/>
      </c>
      <c r="IP76" s="8" t="str">
        <f t="shared" si="87"/>
        <v/>
      </c>
      <c r="IQ76" s="8" t="str">
        <f t="shared" si="87"/>
        <v/>
      </c>
      <c r="IR76" s="8" t="str">
        <f t="shared" si="87"/>
        <v/>
      </c>
      <c r="IS76" s="8" t="str">
        <f t="shared" si="87"/>
        <v/>
      </c>
      <c r="IT76" s="8" t="str">
        <f t="shared" si="87"/>
        <v/>
      </c>
      <c r="IU76" s="8" t="str">
        <f t="shared" si="87"/>
        <v/>
      </c>
      <c r="IV76" s="8" t="str">
        <f t="shared" si="87"/>
        <v/>
      </c>
    </row>
    <row r="77" spans="6:256" x14ac:dyDescent="0.2">
      <c r="F77">
        <v>201909</v>
      </c>
      <c r="G77" s="8">
        <f t="shared" ref="G77:BR77" si="88">IF(OR(H31 = "", H$8 &lt; G$8), "", IFERROR(H31/G31, ""))</f>
        <v>8.9530269794024342</v>
      </c>
      <c r="H77" s="8">
        <f t="shared" si="88"/>
        <v>3.160218757662419</v>
      </c>
      <c r="I77" s="8">
        <f t="shared" si="88"/>
        <v>1.2987772759640355</v>
      </c>
      <c r="J77" s="8">
        <f t="shared" si="88"/>
        <v>1.1668076253854842</v>
      </c>
      <c r="K77" s="8">
        <f t="shared" si="88"/>
        <v>1.0802851049024684</v>
      </c>
      <c r="L77" s="8">
        <f t="shared" si="88"/>
        <v>1.1823286716827497</v>
      </c>
      <c r="M77" s="8">
        <f t="shared" si="88"/>
        <v>1.0710433386207234</v>
      </c>
      <c r="N77" s="8">
        <f t="shared" si="88"/>
        <v>1.0063831060938264</v>
      </c>
      <c r="O77" s="8">
        <f t="shared" si="88"/>
        <v>1.0575145321470545</v>
      </c>
      <c r="P77" s="8">
        <f t="shared" si="88"/>
        <v>1</v>
      </c>
      <c r="Q77" s="8">
        <f t="shared" si="88"/>
        <v>1</v>
      </c>
      <c r="R77" s="8">
        <f t="shared" si="88"/>
        <v>1.0000716107270169</v>
      </c>
      <c r="S77" s="8">
        <f t="shared" si="88"/>
        <v>1.0009987929884567</v>
      </c>
      <c r="T77" s="8">
        <f t="shared" si="88"/>
        <v>1</v>
      </c>
      <c r="U77" s="8">
        <f t="shared" si="88"/>
        <v>1</v>
      </c>
      <c r="V77" s="8">
        <f t="shared" si="88"/>
        <v>1</v>
      </c>
      <c r="W77" s="8">
        <f t="shared" si="88"/>
        <v>1.0004950240971899</v>
      </c>
      <c r="X77" s="8">
        <f t="shared" si="88"/>
        <v>1.0000051947971789</v>
      </c>
      <c r="Y77" s="8">
        <f t="shared" si="88"/>
        <v>1.0002714611878847</v>
      </c>
      <c r="Z77" s="8">
        <f t="shared" si="88"/>
        <v>1</v>
      </c>
      <c r="AA77" s="8">
        <f t="shared" si="88"/>
        <v>1</v>
      </c>
      <c r="AB77" s="8">
        <f t="shared" si="88"/>
        <v>1</v>
      </c>
      <c r="AC77" s="8">
        <f t="shared" si="88"/>
        <v>1.0108572921214782</v>
      </c>
      <c r="AD77" s="8">
        <f t="shared" si="88"/>
        <v>1.0000422481862281</v>
      </c>
      <c r="AE77" s="8">
        <f t="shared" si="88"/>
        <v>1.0000487888623584</v>
      </c>
      <c r="AF77" s="8">
        <f t="shared" si="88"/>
        <v>1</v>
      </c>
      <c r="AG77" s="8">
        <f t="shared" si="88"/>
        <v>1</v>
      </c>
      <c r="AH77" s="8">
        <f t="shared" si="88"/>
        <v>1.0004892849854068</v>
      </c>
      <c r="AI77" s="8">
        <f t="shared" si="88"/>
        <v>1.0000999800537334</v>
      </c>
      <c r="AJ77" s="8">
        <f t="shared" si="88"/>
        <v>1</v>
      </c>
      <c r="AK77" s="8">
        <f t="shared" si="88"/>
        <v>1</v>
      </c>
      <c r="AL77" s="8">
        <f t="shared" si="88"/>
        <v>1.0004830018474955</v>
      </c>
      <c r="AM77" s="8">
        <f t="shared" si="88"/>
        <v>1.0000579937128642</v>
      </c>
      <c r="AN77" s="8">
        <f t="shared" si="88"/>
        <v>1</v>
      </c>
      <c r="AO77" s="8">
        <f t="shared" si="88"/>
        <v>1</v>
      </c>
      <c r="AP77" s="8">
        <f t="shared" si="88"/>
        <v>1.0000441256085453</v>
      </c>
      <c r="AQ77" s="8">
        <f t="shared" si="88"/>
        <v>1</v>
      </c>
      <c r="AR77" s="8">
        <f t="shared" si="88"/>
        <v>1.005225624938292</v>
      </c>
      <c r="AS77" s="8">
        <f t="shared" si="88"/>
        <v>1.0011329272220737</v>
      </c>
      <c r="AT77" s="8">
        <f t="shared" si="88"/>
        <v>1</v>
      </c>
      <c r="AU77" s="8">
        <f t="shared" si="88"/>
        <v>1</v>
      </c>
      <c r="AV77" s="8">
        <f t="shared" si="88"/>
        <v>1</v>
      </c>
      <c r="AW77" s="8">
        <f t="shared" si="88"/>
        <v>1</v>
      </c>
      <c r="AX77" s="8">
        <f t="shared" si="88"/>
        <v>1.0000735701893002</v>
      </c>
      <c r="AY77" s="8">
        <f t="shared" si="88"/>
        <v>1</v>
      </c>
      <c r="AZ77" s="8">
        <f t="shared" si="88"/>
        <v>1</v>
      </c>
      <c r="BA77" s="8">
        <f t="shared" si="88"/>
        <v>1</v>
      </c>
      <c r="BB77" s="8">
        <f t="shared" si="88"/>
        <v>1</v>
      </c>
      <c r="BC77" s="8">
        <f t="shared" si="88"/>
        <v>1.0000568894903303</v>
      </c>
      <c r="BD77" s="8">
        <f t="shared" si="88"/>
        <v>1</v>
      </c>
      <c r="BE77" s="8">
        <f t="shared" si="88"/>
        <v>1.0007890602909142</v>
      </c>
      <c r="BF77" s="8">
        <f t="shared" si="88"/>
        <v>1.0004410155659351</v>
      </c>
      <c r="BG77" s="8">
        <f t="shared" si="88"/>
        <v>1</v>
      </c>
      <c r="BH77" s="8">
        <f t="shared" si="88"/>
        <v>1</v>
      </c>
      <c r="BI77" s="8">
        <f t="shared" si="88"/>
        <v>1</v>
      </c>
      <c r="BJ77" s="8">
        <f t="shared" si="88"/>
        <v>1</v>
      </c>
      <c r="BK77" s="8">
        <f t="shared" si="88"/>
        <v>1</v>
      </c>
      <c r="BL77" s="8">
        <f t="shared" si="88"/>
        <v>1</v>
      </c>
      <c r="BM77" s="8" t="str">
        <f t="shared" si="88"/>
        <v/>
      </c>
      <c r="BN77" s="8" t="str">
        <f t="shared" si="88"/>
        <v/>
      </c>
      <c r="BO77" s="8" t="str">
        <f t="shared" si="88"/>
        <v/>
      </c>
      <c r="BP77" s="8" t="str">
        <f t="shared" si="88"/>
        <v/>
      </c>
      <c r="BQ77" s="8" t="str">
        <f t="shared" si="88"/>
        <v/>
      </c>
      <c r="BR77" s="8" t="str">
        <f t="shared" si="88"/>
        <v/>
      </c>
      <c r="BS77" s="8" t="str">
        <f t="shared" ref="BS77:ED77" si="89">IF(OR(BT31 = "", BT$8 &lt; BS$8), "", IFERROR(BT31/BS31, ""))</f>
        <v/>
      </c>
      <c r="BT77" s="8" t="str">
        <f t="shared" si="89"/>
        <v/>
      </c>
      <c r="BU77" s="8" t="str">
        <f t="shared" si="89"/>
        <v/>
      </c>
      <c r="BV77" s="8" t="str">
        <f t="shared" si="89"/>
        <v/>
      </c>
      <c r="BW77" s="8" t="str">
        <f t="shared" si="89"/>
        <v/>
      </c>
      <c r="BX77" s="8" t="str">
        <f t="shared" si="89"/>
        <v/>
      </c>
      <c r="BY77" s="8" t="str">
        <f t="shared" si="89"/>
        <v/>
      </c>
      <c r="BZ77" s="8" t="str">
        <f t="shared" si="89"/>
        <v/>
      </c>
      <c r="CA77" s="8" t="str">
        <f t="shared" si="89"/>
        <v/>
      </c>
      <c r="CB77" s="8" t="str">
        <f t="shared" si="89"/>
        <v/>
      </c>
      <c r="CC77" s="8" t="str">
        <f t="shared" si="89"/>
        <v/>
      </c>
      <c r="CD77" s="8" t="str">
        <f t="shared" si="89"/>
        <v/>
      </c>
      <c r="CE77" s="8" t="str">
        <f t="shared" si="89"/>
        <v/>
      </c>
      <c r="CF77" s="8" t="str">
        <f t="shared" si="89"/>
        <v/>
      </c>
      <c r="CG77" s="8" t="str">
        <f t="shared" si="89"/>
        <v/>
      </c>
      <c r="CH77" s="8" t="str">
        <f t="shared" si="89"/>
        <v/>
      </c>
      <c r="CI77" s="8" t="str">
        <f t="shared" si="89"/>
        <v/>
      </c>
      <c r="CJ77" s="8" t="str">
        <f t="shared" si="89"/>
        <v/>
      </c>
      <c r="CK77" s="8" t="str">
        <f t="shared" si="89"/>
        <v/>
      </c>
      <c r="CL77" s="8" t="str">
        <f t="shared" si="89"/>
        <v/>
      </c>
      <c r="CM77" s="8" t="str">
        <f t="shared" si="89"/>
        <v/>
      </c>
      <c r="CN77" s="8" t="str">
        <f t="shared" si="89"/>
        <v/>
      </c>
      <c r="CO77" s="8" t="str">
        <f t="shared" si="89"/>
        <v/>
      </c>
      <c r="CP77" s="8" t="str">
        <f t="shared" si="89"/>
        <v/>
      </c>
      <c r="CQ77" s="8" t="str">
        <f t="shared" si="89"/>
        <v/>
      </c>
      <c r="CR77" s="8" t="str">
        <f t="shared" si="89"/>
        <v/>
      </c>
      <c r="CS77" s="8" t="str">
        <f t="shared" si="89"/>
        <v/>
      </c>
      <c r="CT77" s="8" t="str">
        <f t="shared" si="89"/>
        <v/>
      </c>
      <c r="CU77" s="8" t="str">
        <f t="shared" si="89"/>
        <v/>
      </c>
      <c r="CV77" s="8" t="str">
        <f t="shared" si="89"/>
        <v/>
      </c>
      <c r="CW77" s="8" t="str">
        <f t="shared" si="89"/>
        <v/>
      </c>
      <c r="CX77" s="8" t="str">
        <f t="shared" si="89"/>
        <v/>
      </c>
      <c r="CY77" s="8" t="str">
        <f t="shared" si="89"/>
        <v/>
      </c>
      <c r="CZ77" s="8" t="str">
        <f t="shared" si="89"/>
        <v/>
      </c>
      <c r="DA77" s="8" t="str">
        <f t="shared" si="89"/>
        <v/>
      </c>
      <c r="DB77" s="8" t="str">
        <f t="shared" si="89"/>
        <v/>
      </c>
      <c r="DC77" s="8" t="str">
        <f t="shared" si="89"/>
        <v/>
      </c>
      <c r="DD77" s="8" t="str">
        <f t="shared" si="89"/>
        <v/>
      </c>
      <c r="DE77" s="8" t="str">
        <f t="shared" si="89"/>
        <v/>
      </c>
      <c r="DF77" s="8" t="str">
        <f t="shared" si="89"/>
        <v/>
      </c>
      <c r="DG77" s="8" t="str">
        <f t="shared" si="89"/>
        <v/>
      </c>
      <c r="DH77" s="8" t="str">
        <f t="shared" si="89"/>
        <v/>
      </c>
      <c r="DI77" s="8" t="str">
        <f t="shared" si="89"/>
        <v/>
      </c>
      <c r="DJ77" s="8" t="str">
        <f t="shared" si="89"/>
        <v/>
      </c>
      <c r="DK77" s="8" t="str">
        <f t="shared" si="89"/>
        <v/>
      </c>
      <c r="DL77" s="8" t="str">
        <f t="shared" si="89"/>
        <v/>
      </c>
      <c r="DM77" s="8" t="str">
        <f t="shared" si="89"/>
        <v/>
      </c>
      <c r="DN77" s="8" t="str">
        <f t="shared" si="89"/>
        <v/>
      </c>
      <c r="DO77" s="8" t="str">
        <f t="shared" si="89"/>
        <v/>
      </c>
      <c r="DP77" s="8" t="str">
        <f t="shared" si="89"/>
        <v/>
      </c>
      <c r="DQ77" s="8" t="str">
        <f t="shared" si="89"/>
        <v/>
      </c>
      <c r="DR77" s="8" t="str">
        <f t="shared" si="89"/>
        <v/>
      </c>
      <c r="DS77" s="8" t="str">
        <f t="shared" si="89"/>
        <v/>
      </c>
      <c r="DT77" s="8" t="str">
        <f t="shared" si="89"/>
        <v/>
      </c>
      <c r="DU77" s="8" t="str">
        <f t="shared" si="89"/>
        <v/>
      </c>
      <c r="DV77" s="8" t="str">
        <f t="shared" si="89"/>
        <v/>
      </c>
      <c r="DW77" s="8" t="str">
        <f t="shared" si="89"/>
        <v/>
      </c>
      <c r="DX77" s="8" t="str">
        <f t="shared" si="89"/>
        <v/>
      </c>
      <c r="DY77" s="8" t="str">
        <f t="shared" si="89"/>
        <v/>
      </c>
      <c r="DZ77" s="8" t="str">
        <f t="shared" si="89"/>
        <v/>
      </c>
      <c r="EA77" s="8" t="str">
        <f t="shared" si="89"/>
        <v/>
      </c>
      <c r="EB77" s="8">
        <f t="shared" si="89"/>
        <v>10.791991499427999</v>
      </c>
      <c r="EC77" s="8">
        <f t="shared" si="89"/>
        <v>1.6073239804085744</v>
      </c>
      <c r="ED77" s="8">
        <f t="shared" si="89"/>
        <v>1.1595290901966695</v>
      </c>
      <c r="EE77" s="8">
        <f t="shared" ref="EE77:GP77" si="90">IF(OR(EF31 = "", EF$8 &lt; EE$8), "", IFERROR(EF31/EE31, ""))</f>
        <v>1.0709793453216321</v>
      </c>
      <c r="EF77" s="8">
        <f t="shared" si="90"/>
        <v>1.0306971807975316</v>
      </c>
      <c r="EG77" s="8">
        <f t="shared" si="90"/>
        <v>1.0008309214668403</v>
      </c>
      <c r="EH77" s="8">
        <f t="shared" si="90"/>
        <v>1.0578007403262768</v>
      </c>
      <c r="EI77" s="8">
        <f t="shared" si="90"/>
        <v>1.001694228601818</v>
      </c>
      <c r="EJ77" s="8">
        <f t="shared" si="90"/>
        <v>0.99985317796380546</v>
      </c>
      <c r="EK77" s="8">
        <f t="shared" si="90"/>
        <v>1</v>
      </c>
      <c r="EL77" s="8">
        <f t="shared" si="90"/>
        <v>1</v>
      </c>
      <c r="EM77" s="8">
        <f t="shared" si="90"/>
        <v>1.0000716107270169</v>
      </c>
      <c r="EN77" s="8">
        <f t="shared" si="90"/>
        <v>1.0009987929884567</v>
      </c>
      <c r="EO77" s="8">
        <f t="shared" si="90"/>
        <v>1</v>
      </c>
      <c r="EP77" s="8">
        <f t="shared" si="90"/>
        <v>1</v>
      </c>
      <c r="EQ77" s="8">
        <f t="shared" si="90"/>
        <v>1</v>
      </c>
      <c r="ER77" s="8">
        <f t="shared" si="90"/>
        <v>1.0113900333913306</v>
      </c>
      <c r="ES77" s="8">
        <f t="shared" si="90"/>
        <v>1.00000567600247</v>
      </c>
      <c r="ET77" s="8">
        <f t="shared" si="90"/>
        <v>1.0002685367939714</v>
      </c>
      <c r="EU77" s="8">
        <f t="shared" si="90"/>
        <v>1</v>
      </c>
      <c r="EV77" s="8">
        <f t="shared" si="90"/>
        <v>1</v>
      </c>
      <c r="EW77" s="8">
        <f t="shared" si="90"/>
        <v>1.029617214557891</v>
      </c>
      <c r="EX77" s="8">
        <f t="shared" si="90"/>
        <v>0.97120604616036366</v>
      </c>
      <c r="EY77" s="8">
        <f t="shared" si="90"/>
        <v>1.0000422481862281</v>
      </c>
      <c r="EZ77" s="8">
        <f t="shared" si="90"/>
        <v>1.0000487888623584</v>
      </c>
      <c r="FA77" s="8">
        <f t="shared" si="90"/>
        <v>1</v>
      </c>
      <c r="FB77" s="8">
        <f t="shared" si="90"/>
        <v>1</v>
      </c>
      <c r="FC77" s="8">
        <f t="shared" si="90"/>
        <v>1.0004892849854068</v>
      </c>
      <c r="FD77" s="8">
        <f t="shared" si="90"/>
        <v>1.0000999800537334</v>
      </c>
      <c r="FE77" s="8">
        <f t="shared" si="90"/>
        <v>1</v>
      </c>
      <c r="FF77" s="8">
        <f t="shared" si="90"/>
        <v>1</v>
      </c>
      <c r="FG77" s="8">
        <f t="shared" si="90"/>
        <v>1.0010594983626107</v>
      </c>
      <c r="FH77" s="8">
        <f t="shared" si="90"/>
        <v>1.0000579603150759</v>
      </c>
      <c r="FI77" s="8">
        <f t="shared" si="90"/>
        <v>1</v>
      </c>
      <c r="FJ77" s="8">
        <f t="shared" si="90"/>
        <v>1</v>
      </c>
      <c r="FK77" s="8">
        <f t="shared" si="90"/>
        <v>1.0000441001986817</v>
      </c>
      <c r="FL77" s="8">
        <f t="shared" si="90"/>
        <v>1</v>
      </c>
      <c r="FM77" s="8">
        <f t="shared" si="90"/>
        <v>1.0097192057074227</v>
      </c>
      <c r="FN77" s="8">
        <f t="shared" si="90"/>
        <v>1.0014694067844456</v>
      </c>
      <c r="FO77" s="8">
        <f t="shared" si="90"/>
        <v>0.99965833112395341</v>
      </c>
      <c r="FP77" s="8">
        <f t="shared" si="90"/>
        <v>1</v>
      </c>
      <c r="FQ77" s="8">
        <f t="shared" si="90"/>
        <v>1</v>
      </c>
      <c r="FR77" s="8">
        <f t="shared" si="90"/>
        <v>1.0000035020488434</v>
      </c>
      <c r="FS77" s="8">
        <f t="shared" si="90"/>
        <v>1.0000732007624682</v>
      </c>
      <c r="FT77" s="8">
        <f t="shared" si="90"/>
        <v>1</v>
      </c>
      <c r="FU77" s="8">
        <f t="shared" si="90"/>
        <v>1</v>
      </c>
      <c r="FV77" s="8">
        <f t="shared" si="90"/>
        <v>1</v>
      </c>
      <c r="FW77" s="8">
        <f t="shared" si="90"/>
        <v>1</v>
      </c>
      <c r="FX77" s="8">
        <f t="shared" si="90"/>
        <v>1.0000566038452059</v>
      </c>
      <c r="FY77" s="8">
        <f t="shared" si="90"/>
        <v>1</v>
      </c>
      <c r="FZ77" s="8">
        <f t="shared" si="90"/>
        <v>1.0007850986019211</v>
      </c>
      <c r="GA77" s="8">
        <f t="shared" si="90"/>
        <v>1.0005301385233167</v>
      </c>
      <c r="GB77" s="8">
        <f t="shared" si="90"/>
        <v>1</v>
      </c>
      <c r="GC77" s="8">
        <f t="shared" si="90"/>
        <v>1</v>
      </c>
      <c r="GD77" s="8">
        <f t="shared" si="90"/>
        <v>1.0000025433190072</v>
      </c>
      <c r="GE77" s="8">
        <f t="shared" si="90"/>
        <v>1</v>
      </c>
      <c r="GF77" s="8">
        <f t="shared" si="90"/>
        <v>1</v>
      </c>
      <c r="GG77" s="8">
        <f t="shared" si="90"/>
        <v>0.99489201109736602</v>
      </c>
      <c r="GH77" s="8" t="str">
        <f t="shared" si="90"/>
        <v/>
      </c>
      <c r="GI77" s="8" t="str">
        <f t="shared" si="90"/>
        <v/>
      </c>
      <c r="GJ77" s="8" t="str">
        <f t="shared" si="90"/>
        <v/>
      </c>
      <c r="GK77" s="8" t="str">
        <f t="shared" si="90"/>
        <v/>
      </c>
      <c r="GL77" s="8" t="str">
        <f t="shared" si="90"/>
        <v/>
      </c>
      <c r="GM77" s="8" t="str">
        <f t="shared" si="90"/>
        <v/>
      </c>
      <c r="GN77" s="8" t="str">
        <f t="shared" si="90"/>
        <v/>
      </c>
      <c r="GO77" s="8" t="str">
        <f t="shared" si="90"/>
        <v/>
      </c>
      <c r="GP77" s="8" t="str">
        <f t="shared" si="90"/>
        <v/>
      </c>
      <c r="GQ77" s="8" t="str">
        <f t="shared" ref="GQ77:IV77" si="91">IF(OR(GR31 = "", GR$8 &lt; GQ$8), "", IFERROR(GR31/GQ31, ""))</f>
        <v/>
      </c>
      <c r="GR77" s="8" t="str">
        <f t="shared" si="91"/>
        <v/>
      </c>
      <c r="GS77" s="8" t="str">
        <f t="shared" si="91"/>
        <v/>
      </c>
      <c r="GT77" s="8" t="str">
        <f t="shared" si="91"/>
        <v/>
      </c>
      <c r="GU77" s="8" t="str">
        <f t="shared" si="91"/>
        <v/>
      </c>
      <c r="GV77" s="8" t="str">
        <f t="shared" si="91"/>
        <v/>
      </c>
      <c r="GW77" s="8" t="str">
        <f t="shared" si="91"/>
        <v/>
      </c>
      <c r="GX77" s="8" t="str">
        <f t="shared" si="91"/>
        <v/>
      </c>
      <c r="GY77" s="8" t="str">
        <f t="shared" si="91"/>
        <v/>
      </c>
      <c r="GZ77" s="8" t="str">
        <f t="shared" si="91"/>
        <v/>
      </c>
      <c r="HA77" s="8" t="str">
        <f t="shared" si="91"/>
        <v/>
      </c>
      <c r="HB77" s="8" t="str">
        <f t="shared" si="91"/>
        <v/>
      </c>
      <c r="HC77" s="8" t="str">
        <f t="shared" si="91"/>
        <v/>
      </c>
      <c r="HD77" s="8" t="str">
        <f t="shared" si="91"/>
        <v/>
      </c>
      <c r="HE77" s="8" t="str">
        <f t="shared" si="91"/>
        <v/>
      </c>
      <c r="HF77" s="8" t="str">
        <f t="shared" si="91"/>
        <v/>
      </c>
      <c r="HG77" s="8" t="str">
        <f t="shared" si="91"/>
        <v/>
      </c>
      <c r="HH77" s="8" t="str">
        <f t="shared" si="91"/>
        <v/>
      </c>
      <c r="HI77" s="8" t="str">
        <f t="shared" si="91"/>
        <v/>
      </c>
      <c r="HJ77" s="8" t="str">
        <f t="shared" si="91"/>
        <v/>
      </c>
      <c r="HK77" s="8" t="str">
        <f t="shared" si="91"/>
        <v/>
      </c>
      <c r="HL77" s="8" t="str">
        <f t="shared" si="91"/>
        <v/>
      </c>
      <c r="HM77" s="8" t="str">
        <f t="shared" si="91"/>
        <v/>
      </c>
      <c r="HN77" s="8" t="str">
        <f t="shared" si="91"/>
        <v/>
      </c>
      <c r="HO77" s="8" t="str">
        <f t="shared" si="91"/>
        <v/>
      </c>
      <c r="HP77" s="8" t="str">
        <f t="shared" si="91"/>
        <v/>
      </c>
      <c r="HQ77" s="8" t="str">
        <f t="shared" si="91"/>
        <v/>
      </c>
      <c r="HR77" s="8" t="str">
        <f t="shared" si="91"/>
        <v/>
      </c>
      <c r="HS77" s="8" t="str">
        <f t="shared" si="91"/>
        <v/>
      </c>
      <c r="HT77" s="8" t="str">
        <f t="shared" si="91"/>
        <v/>
      </c>
      <c r="HU77" s="8" t="str">
        <f t="shared" si="91"/>
        <v/>
      </c>
      <c r="HV77" s="8" t="str">
        <f t="shared" si="91"/>
        <v/>
      </c>
      <c r="HW77" s="8" t="str">
        <f t="shared" si="91"/>
        <v/>
      </c>
      <c r="HX77" s="8" t="str">
        <f t="shared" si="91"/>
        <v/>
      </c>
      <c r="HY77" s="8" t="str">
        <f t="shared" si="91"/>
        <v/>
      </c>
      <c r="HZ77" s="8" t="str">
        <f t="shared" si="91"/>
        <v/>
      </c>
      <c r="IA77" s="8" t="str">
        <f t="shared" si="91"/>
        <v/>
      </c>
      <c r="IB77" s="8" t="str">
        <f t="shared" si="91"/>
        <v/>
      </c>
      <c r="IC77" s="8" t="str">
        <f t="shared" si="91"/>
        <v/>
      </c>
      <c r="ID77" s="8" t="str">
        <f t="shared" si="91"/>
        <v/>
      </c>
      <c r="IE77" s="8" t="str">
        <f t="shared" si="91"/>
        <v/>
      </c>
      <c r="IF77" s="8" t="str">
        <f t="shared" si="91"/>
        <v/>
      </c>
      <c r="IG77" s="8" t="str">
        <f t="shared" si="91"/>
        <v/>
      </c>
      <c r="IH77" s="8" t="str">
        <f t="shared" si="91"/>
        <v/>
      </c>
      <c r="II77" s="8" t="str">
        <f t="shared" si="91"/>
        <v/>
      </c>
      <c r="IJ77" s="8" t="str">
        <f t="shared" si="91"/>
        <v/>
      </c>
      <c r="IK77" s="8" t="str">
        <f t="shared" si="91"/>
        <v/>
      </c>
      <c r="IL77" s="8" t="str">
        <f t="shared" si="91"/>
        <v/>
      </c>
      <c r="IM77" s="8" t="str">
        <f t="shared" si="91"/>
        <v/>
      </c>
      <c r="IN77" s="8" t="str">
        <f t="shared" si="91"/>
        <v/>
      </c>
      <c r="IO77" s="8" t="str">
        <f t="shared" si="91"/>
        <v/>
      </c>
      <c r="IP77" s="8" t="str">
        <f t="shared" si="91"/>
        <v/>
      </c>
      <c r="IQ77" s="8" t="str">
        <f t="shared" si="91"/>
        <v/>
      </c>
      <c r="IR77" s="8" t="str">
        <f t="shared" si="91"/>
        <v/>
      </c>
      <c r="IS77" s="8" t="str">
        <f t="shared" si="91"/>
        <v/>
      </c>
      <c r="IT77" s="8" t="str">
        <f t="shared" si="91"/>
        <v/>
      </c>
      <c r="IU77" s="8" t="str">
        <f t="shared" si="91"/>
        <v/>
      </c>
      <c r="IV77" s="8" t="str">
        <f t="shared" si="91"/>
        <v/>
      </c>
    </row>
    <row r="78" spans="6:256" x14ac:dyDescent="0.2">
      <c r="F78">
        <v>201912</v>
      </c>
      <c r="G78" s="8">
        <f t="shared" ref="G78:BR78" si="92">IF(OR(H32 = "", H$8 &lt; G$8), "", IFERROR(H32/G32, ""))</f>
        <v>2720.0154627216198</v>
      </c>
      <c r="H78" s="8">
        <f t="shared" si="92"/>
        <v>1.8144039499162059</v>
      </c>
      <c r="I78" s="8">
        <f t="shared" si="92"/>
        <v>1.4714292377217992</v>
      </c>
      <c r="J78" s="8">
        <f t="shared" si="92"/>
        <v>1.3111999020434686</v>
      </c>
      <c r="K78" s="8">
        <f t="shared" si="92"/>
        <v>1.0296461088085669</v>
      </c>
      <c r="L78" s="8">
        <f t="shared" si="92"/>
        <v>1.0170555448031431</v>
      </c>
      <c r="M78" s="8">
        <f t="shared" si="92"/>
        <v>0.99549363208073771</v>
      </c>
      <c r="N78" s="8">
        <f t="shared" si="92"/>
        <v>1.0078794334291066</v>
      </c>
      <c r="O78" s="8">
        <f t="shared" si="92"/>
        <v>1.0066149713557102</v>
      </c>
      <c r="P78" s="8">
        <f t="shared" si="92"/>
        <v>1.0002244568583916</v>
      </c>
      <c r="Q78" s="8">
        <f t="shared" si="92"/>
        <v>1</v>
      </c>
      <c r="R78" s="8">
        <f t="shared" si="92"/>
        <v>1.0004833172607766</v>
      </c>
      <c r="S78" s="8">
        <f t="shared" si="92"/>
        <v>1.0002242980816818</v>
      </c>
      <c r="T78" s="8">
        <f t="shared" si="92"/>
        <v>1.0209822102922319</v>
      </c>
      <c r="U78" s="8">
        <f t="shared" si="92"/>
        <v>1.0001002679682098</v>
      </c>
      <c r="V78" s="8">
        <f t="shared" si="92"/>
        <v>1.0003953708314564</v>
      </c>
      <c r="W78" s="8">
        <f t="shared" si="92"/>
        <v>1</v>
      </c>
      <c r="X78" s="8">
        <f t="shared" si="92"/>
        <v>1</v>
      </c>
      <c r="Y78" s="8">
        <f t="shared" si="92"/>
        <v>1</v>
      </c>
      <c r="Z78" s="8">
        <f t="shared" si="92"/>
        <v>1.0010085812159002</v>
      </c>
      <c r="AA78" s="8">
        <f t="shared" si="92"/>
        <v>1.000334153852672</v>
      </c>
      <c r="AB78" s="8">
        <f t="shared" si="92"/>
        <v>1</v>
      </c>
      <c r="AC78" s="8">
        <f t="shared" si="92"/>
        <v>1.0090086770884215</v>
      </c>
      <c r="AD78" s="8">
        <f t="shared" si="92"/>
        <v>1.0002590140380681</v>
      </c>
      <c r="AE78" s="8">
        <f t="shared" si="92"/>
        <v>1</v>
      </c>
      <c r="AF78" s="8">
        <f t="shared" si="92"/>
        <v>1.0000991646139068</v>
      </c>
      <c r="AG78" s="8">
        <f t="shared" si="92"/>
        <v>1</v>
      </c>
      <c r="AH78" s="8">
        <f t="shared" si="92"/>
        <v>1</v>
      </c>
      <c r="AI78" s="8">
        <f t="shared" si="92"/>
        <v>1</v>
      </c>
      <c r="AJ78" s="8">
        <f t="shared" si="92"/>
        <v>1</v>
      </c>
      <c r="AK78" s="8">
        <f t="shared" si="92"/>
        <v>1</v>
      </c>
      <c r="AL78" s="8">
        <f t="shared" si="92"/>
        <v>1</v>
      </c>
      <c r="AM78" s="8">
        <f t="shared" si="92"/>
        <v>1</v>
      </c>
      <c r="AN78" s="8">
        <f t="shared" si="92"/>
        <v>0.9999878179123729</v>
      </c>
      <c r="AO78" s="8">
        <f t="shared" si="92"/>
        <v>1</v>
      </c>
      <c r="AP78" s="8">
        <f t="shared" si="92"/>
        <v>1.0006850071108668</v>
      </c>
      <c r="AQ78" s="8">
        <f t="shared" si="92"/>
        <v>1.0000416924352502</v>
      </c>
      <c r="AR78" s="8">
        <f t="shared" si="92"/>
        <v>1</v>
      </c>
      <c r="AS78" s="8">
        <f t="shared" si="92"/>
        <v>1</v>
      </c>
      <c r="AT78" s="8">
        <f t="shared" si="92"/>
        <v>1</v>
      </c>
      <c r="AU78" s="8">
        <f t="shared" si="92"/>
        <v>1</v>
      </c>
      <c r="AV78" s="8">
        <f t="shared" si="92"/>
        <v>1.0003293423905382</v>
      </c>
      <c r="AW78" s="8">
        <f t="shared" si="92"/>
        <v>1</v>
      </c>
      <c r="AX78" s="8">
        <f t="shared" si="92"/>
        <v>1.0000147114599871</v>
      </c>
      <c r="AY78" s="8">
        <f t="shared" si="92"/>
        <v>1</v>
      </c>
      <c r="AZ78" s="8">
        <f t="shared" si="92"/>
        <v>1</v>
      </c>
      <c r="BA78" s="8">
        <f t="shared" si="92"/>
        <v>1.0002169710667086</v>
      </c>
      <c r="BB78" s="8">
        <f t="shared" si="92"/>
        <v>1.0004672017919813</v>
      </c>
      <c r="BC78" s="8">
        <f t="shared" si="92"/>
        <v>1</v>
      </c>
      <c r="BD78" s="8">
        <f t="shared" si="92"/>
        <v>1</v>
      </c>
      <c r="BE78" s="8">
        <f t="shared" si="92"/>
        <v>1.0000632593028604</v>
      </c>
      <c r="BF78" s="8">
        <f t="shared" si="92"/>
        <v>1</v>
      </c>
      <c r="BG78" s="8">
        <f t="shared" si="92"/>
        <v>1</v>
      </c>
      <c r="BH78" s="8">
        <f t="shared" si="92"/>
        <v>1</v>
      </c>
      <c r="BI78" s="8">
        <f t="shared" si="92"/>
        <v>1</v>
      </c>
      <c r="BJ78" s="8" t="str">
        <f t="shared" si="92"/>
        <v/>
      </c>
      <c r="BK78" s="8" t="str">
        <f t="shared" si="92"/>
        <v/>
      </c>
      <c r="BL78" s="8" t="str">
        <f t="shared" si="92"/>
        <v/>
      </c>
      <c r="BM78" s="8" t="str">
        <f t="shared" si="92"/>
        <v/>
      </c>
      <c r="BN78" s="8" t="str">
        <f t="shared" si="92"/>
        <v/>
      </c>
      <c r="BO78" s="8" t="str">
        <f t="shared" si="92"/>
        <v/>
      </c>
      <c r="BP78" s="8" t="str">
        <f t="shared" si="92"/>
        <v/>
      </c>
      <c r="BQ78" s="8" t="str">
        <f t="shared" si="92"/>
        <v/>
      </c>
      <c r="BR78" s="8" t="str">
        <f t="shared" si="92"/>
        <v/>
      </c>
      <c r="BS78" s="8" t="str">
        <f t="shared" ref="BS78:ED78" si="93">IF(OR(BT32 = "", BT$8 &lt; BS$8), "", IFERROR(BT32/BS32, ""))</f>
        <v/>
      </c>
      <c r="BT78" s="8" t="str">
        <f t="shared" si="93"/>
        <v/>
      </c>
      <c r="BU78" s="8" t="str">
        <f t="shared" si="93"/>
        <v/>
      </c>
      <c r="BV78" s="8" t="str">
        <f t="shared" si="93"/>
        <v/>
      </c>
      <c r="BW78" s="8" t="str">
        <f t="shared" si="93"/>
        <v/>
      </c>
      <c r="BX78" s="8" t="str">
        <f t="shared" si="93"/>
        <v/>
      </c>
      <c r="BY78" s="8" t="str">
        <f t="shared" si="93"/>
        <v/>
      </c>
      <c r="BZ78" s="8" t="str">
        <f t="shared" si="93"/>
        <v/>
      </c>
      <c r="CA78" s="8" t="str">
        <f t="shared" si="93"/>
        <v/>
      </c>
      <c r="CB78" s="8" t="str">
        <f t="shared" si="93"/>
        <v/>
      </c>
      <c r="CC78" s="8" t="str">
        <f t="shared" si="93"/>
        <v/>
      </c>
      <c r="CD78" s="8" t="str">
        <f t="shared" si="93"/>
        <v/>
      </c>
      <c r="CE78" s="8" t="str">
        <f t="shared" si="93"/>
        <v/>
      </c>
      <c r="CF78" s="8" t="str">
        <f t="shared" si="93"/>
        <v/>
      </c>
      <c r="CG78" s="8" t="str">
        <f t="shared" si="93"/>
        <v/>
      </c>
      <c r="CH78" s="8" t="str">
        <f t="shared" si="93"/>
        <v/>
      </c>
      <c r="CI78" s="8" t="str">
        <f t="shared" si="93"/>
        <v/>
      </c>
      <c r="CJ78" s="8" t="str">
        <f t="shared" si="93"/>
        <v/>
      </c>
      <c r="CK78" s="8" t="str">
        <f t="shared" si="93"/>
        <v/>
      </c>
      <c r="CL78" s="8" t="str">
        <f t="shared" si="93"/>
        <v/>
      </c>
      <c r="CM78" s="8" t="str">
        <f t="shared" si="93"/>
        <v/>
      </c>
      <c r="CN78" s="8" t="str">
        <f t="shared" si="93"/>
        <v/>
      </c>
      <c r="CO78" s="8" t="str">
        <f t="shared" si="93"/>
        <v/>
      </c>
      <c r="CP78" s="8" t="str">
        <f t="shared" si="93"/>
        <v/>
      </c>
      <c r="CQ78" s="8" t="str">
        <f t="shared" si="93"/>
        <v/>
      </c>
      <c r="CR78" s="8" t="str">
        <f t="shared" si="93"/>
        <v/>
      </c>
      <c r="CS78" s="8" t="str">
        <f t="shared" si="93"/>
        <v/>
      </c>
      <c r="CT78" s="8" t="str">
        <f t="shared" si="93"/>
        <v/>
      </c>
      <c r="CU78" s="8" t="str">
        <f t="shared" si="93"/>
        <v/>
      </c>
      <c r="CV78" s="8" t="str">
        <f t="shared" si="93"/>
        <v/>
      </c>
      <c r="CW78" s="8" t="str">
        <f t="shared" si="93"/>
        <v/>
      </c>
      <c r="CX78" s="8" t="str">
        <f t="shared" si="93"/>
        <v/>
      </c>
      <c r="CY78" s="8" t="str">
        <f t="shared" si="93"/>
        <v/>
      </c>
      <c r="CZ78" s="8" t="str">
        <f t="shared" si="93"/>
        <v/>
      </c>
      <c r="DA78" s="8" t="str">
        <f t="shared" si="93"/>
        <v/>
      </c>
      <c r="DB78" s="8" t="str">
        <f t="shared" si="93"/>
        <v/>
      </c>
      <c r="DC78" s="8" t="str">
        <f t="shared" si="93"/>
        <v/>
      </c>
      <c r="DD78" s="8" t="str">
        <f t="shared" si="93"/>
        <v/>
      </c>
      <c r="DE78" s="8" t="str">
        <f t="shared" si="93"/>
        <v/>
      </c>
      <c r="DF78" s="8" t="str">
        <f t="shared" si="93"/>
        <v/>
      </c>
      <c r="DG78" s="8" t="str">
        <f t="shared" si="93"/>
        <v/>
      </c>
      <c r="DH78" s="8" t="str">
        <f t="shared" si="93"/>
        <v/>
      </c>
      <c r="DI78" s="8" t="str">
        <f t="shared" si="93"/>
        <v/>
      </c>
      <c r="DJ78" s="8" t="str">
        <f t="shared" si="93"/>
        <v/>
      </c>
      <c r="DK78" s="8" t="str">
        <f t="shared" si="93"/>
        <v/>
      </c>
      <c r="DL78" s="8" t="str">
        <f t="shared" si="93"/>
        <v/>
      </c>
      <c r="DM78" s="8" t="str">
        <f t="shared" si="93"/>
        <v/>
      </c>
      <c r="DN78" s="8" t="str">
        <f t="shared" si="93"/>
        <v/>
      </c>
      <c r="DO78" s="8" t="str">
        <f t="shared" si="93"/>
        <v/>
      </c>
      <c r="DP78" s="8" t="str">
        <f t="shared" si="93"/>
        <v/>
      </c>
      <c r="DQ78" s="8" t="str">
        <f t="shared" si="93"/>
        <v/>
      </c>
      <c r="DR78" s="8" t="str">
        <f t="shared" si="93"/>
        <v/>
      </c>
      <c r="DS78" s="8" t="str">
        <f t="shared" si="93"/>
        <v/>
      </c>
      <c r="DT78" s="8" t="str">
        <f t="shared" si="93"/>
        <v/>
      </c>
      <c r="DU78" s="8" t="str">
        <f t="shared" si="93"/>
        <v/>
      </c>
      <c r="DV78" s="8" t="str">
        <f t="shared" si="93"/>
        <v/>
      </c>
      <c r="DW78" s="8" t="str">
        <f t="shared" si="93"/>
        <v/>
      </c>
      <c r="DX78" s="8" t="str">
        <f t="shared" si="93"/>
        <v/>
      </c>
      <c r="DY78" s="8" t="str">
        <f t="shared" si="93"/>
        <v/>
      </c>
      <c r="DZ78" s="8" t="str">
        <f t="shared" si="93"/>
        <v/>
      </c>
      <c r="EA78" s="8" t="str">
        <f t="shared" si="93"/>
        <v/>
      </c>
      <c r="EB78" s="8">
        <f t="shared" si="93"/>
        <v>1.3675475560509522</v>
      </c>
      <c r="EC78" s="8">
        <f t="shared" si="93"/>
        <v>1.3416161787687741</v>
      </c>
      <c r="ED78" s="8">
        <f t="shared" si="93"/>
        <v>1.375494782738959</v>
      </c>
      <c r="EE78" s="8">
        <f t="shared" ref="EE78:GP78" si="94">IF(OR(EF32 = "", EF$8 &lt; EE$8), "", IFERROR(EF32/EE32, ""))</f>
        <v>1.0236760588034381</v>
      </c>
      <c r="EF78" s="8">
        <f t="shared" si="94"/>
        <v>1.0232710115631944</v>
      </c>
      <c r="EG78" s="8">
        <f t="shared" si="94"/>
        <v>0.99695229548818287</v>
      </c>
      <c r="EH78" s="8">
        <f t="shared" si="94"/>
        <v>0.96761618529021798</v>
      </c>
      <c r="EI78" s="8">
        <f t="shared" si="94"/>
        <v>1.0022082267803152</v>
      </c>
      <c r="EJ78" s="8">
        <f t="shared" si="94"/>
        <v>0.98012010033928432</v>
      </c>
      <c r="EK78" s="8">
        <f t="shared" si="94"/>
        <v>1.0002241772571359</v>
      </c>
      <c r="EL78" s="8">
        <f t="shared" si="94"/>
        <v>1.0209282849653738</v>
      </c>
      <c r="EM78" s="8">
        <f t="shared" si="94"/>
        <v>1.000472820025196</v>
      </c>
      <c r="EN78" s="8">
        <f t="shared" si="94"/>
        <v>1.0002194288223745</v>
      </c>
      <c r="EO78" s="8">
        <f t="shared" si="94"/>
        <v>1.0006520942699182</v>
      </c>
      <c r="EP78" s="8">
        <f t="shared" si="94"/>
        <v>1.0001001758218417</v>
      </c>
      <c r="EQ78" s="8">
        <f t="shared" si="94"/>
        <v>0.99997397116420406</v>
      </c>
      <c r="ER78" s="8">
        <f t="shared" si="94"/>
        <v>1</v>
      </c>
      <c r="ES78" s="8">
        <f t="shared" si="94"/>
        <v>1</v>
      </c>
      <c r="ET78" s="8">
        <f t="shared" si="94"/>
        <v>1</v>
      </c>
      <c r="EU78" s="8">
        <f t="shared" si="94"/>
        <v>1.0002209772384645</v>
      </c>
      <c r="EV78" s="8">
        <f t="shared" si="94"/>
        <v>0.99999908164769602</v>
      </c>
      <c r="EW78" s="8">
        <f t="shared" si="94"/>
        <v>1.0080662840092922</v>
      </c>
      <c r="EX78" s="8">
        <f t="shared" si="94"/>
        <v>1.000932293859623</v>
      </c>
      <c r="EY78" s="8">
        <f t="shared" si="94"/>
        <v>1.0002589405474271</v>
      </c>
      <c r="EZ78" s="8">
        <f t="shared" si="94"/>
        <v>1</v>
      </c>
      <c r="FA78" s="8">
        <f t="shared" si="94"/>
        <v>1.0000991364849896</v>
      </c>
      <c r="FB78" s="8">
        <f t="shared" si="94"/>
        <v>1</v>
      </c>
      <c r="FC78" s="8">
        <f t="shared" si="94"/>
        <v>1.0000000707131642</v>
      </c>
      <c r="FD78" s="8">
        <f t="shared" si="94"/>
        <v>1</v>
      </c>
      <c r="FE78" s="8">
        <f t="shared" si="94"/>
        <v>1</v>
      </c>
      <c r="FF78" s="8">
        <f t="shared" si="94"/>
        <v>1</v>
      </c>
      <c r="FG78" s="8">
        <f t="shared" si="94"/>
        <v>1</v>
      </c>
      <c r="FH78" s="8">
        <f t="shared" si="94"/>
        <v>1</v>
      </c>
      <c r="FI78" s="8">
        <f t="shared" si="94"/>
        <v>0.9999878213684481</v>
      </c>
      <c r="FJ78" s="8">
        <f t="shared" si="94"/>
        <v>1</v>
      </c>
      <c r="FK78" s="8">
        <f t="shared" si="94"/>
        <v>1.0006848127710279</v>
      </c>
      <c r="FL78" s="8">
        <f t="shared" si="94"/>
        <v>1.000041680614999</v>
      </c>
      <c r="FM78" s="8">
        <f t="shared" si="94"/>
        <v>1</v>
      </c>
      <c r="FN78" s="8">
        <f t="shared" si="94"/>
        <v>1</v>
      </c>
      <c r="FO78" s="8">
        <f t="shared" si="94"/>
        <v>1.0000001978559079</v>
      </c>
      <c r="FP78" s="8">
        <f t="shared" si="94"/>
        <v>1</v>
      </c>
      <c r="FQ78" s="8">
        <f t="shared" si="94"/>
        <v>1.0003292489571951</v>
      </c>
      <c r="FR78" s="8">
        <f t="shared" si="94"/>
        <v>1</v>
      </c>
      <c r="FS78" s="8">
        <f t="shared" si="94"/>
        <v>1.0000147072877683</v>
      </c>
      <c r="FT78" s="8">
        <f t="shared" si="94"/>
        <v>1</v>
      </c>
      <c r="FU78" s="8">
        <f t="shared" si="94"/>
        <v>1</v>
      </c>
      <c r="FV78" s="8">
        <f t="shared" si="94"/>
        <v>1.0002169095339022</v>
      </c>
      <c r="FW78" s="8">
        <f t="shared" si="94"/>
        <v>1.0004670693226918</v>
      </c>
      <c r="FX78" s="8">
        <f t="shared" si="94"/>
        <v>1</v>
      </c>
      <c r="FY78" s="8">
        <f t="shared" si="94"/>
        <v>1</v>
      </c>
      <c r="FZ78" s="8">
        <f t="shared" si="94"/>
        <v>1.0000632413748411</v>
      </c>
      <c r="GA78" s="8">
        <f t="shared" si="94"/>
        <v>1.0000001411712365</v>
      </c>
      <c r="GB78" s="8">
        <f t="shared" si="94"/>
        <v>1</v>
      </c>
      <c r="GC78" s="8">
        <f t="shared" si="94"/>
        <v>1</v>
      </c>
      <c r="GD78" s="8">
        <f t="shared" si="94"/>
        <v>0.9997164715290966</v>
      </c>
      <c r="GE78" s="8" t="str">
        <f t="shared" si="94"/>
        <v/>
      </c>
      <c r="GF78" s="8" t="str">
        <f t="shared" si="94"/>
        <v/>
      </c>
      <c r="GG78" s="8" t="str">
        <f t="shared" si="94"/>
        <v/>
      </c>
      <c r="GH78" s="8" t="str">
        <f t="shared" si="94"/>
        <v/>
      </c>
      <c r="GI78" s="8" t="str">
        <f t="shared" si="94"/>
        <v/>
      </c>
      <c r="GJ78" s="8" t="str">
        <f t="shared" si="94"/>
        <v/>
      </c>
      <c r="GK78" s="8" t="str">
        <f t="shared" si="94"/>
        <v/>
      </c>
      <c r="GL78" s="8" t="str">
        <f t="shared" si="94"/>
        <v/>
      </c>
      <c r="GM78" s="8" t="str">
        <f t="shared" si="94"/>
        <v/>
      </c>
      <c r="GN78" s="8" t="str">
        <f t="shared" si="94"/>
        <v/>
      </c>
      <c r="GO78" s="8" t="str">
        <f t="shared" si="94"/>
        <v/>
      </c>
      <c r="GP78" s="8" t="str">
        <f t="shared" si="94"/>
        <v/>
      </c>
      <c r="GQ78" s="8" t="str">
        <f t="shared" ref="GQ78:IV78" si="95">IF(OR(GR32 = "", GR$8 &lt; GQ$8), "", IFERROR(GR32/GQ32, ""))</f>
        <v/>
      </c>
      <c r="GR78" s="8" t="str">
        <f t="shared" si="95"/>
        <v/>
      </c>
      <c r="GS78" s="8" t="str">
        <f t="shared" si="95"/>
        <v/>
      </c>
      <c r="GT78" s="8" t="str">
        <f t="shared" si="95"/>
        <v/>
      </c>
      <c r="GU78" s="8" t="str">
        <f t="shared" si="95"/>
        <v/>
      </c>
      <c r="GV78" s="8" t="str">
        <f t="shared" si="95"/>
        <v/>
      </c>
      <c r="GW78" s="8" t="str">
        <f t="shared" si="95"/>
        <v/>
      </c>
      <c r="GX78" s="8" t="str">
        <f t="shared" si="95"/>
        <v/>
      </c>
      <c r="GY78" s="8" t="str">
        <f t="shared" si="95"/>
        <v/>
      </c>
      <c r="GZ78" s="8" t="str">
        <f t="shared" si="95"/>
        <v/>
      </c>
      <c r="HA78" s="8" t="str">
        <f t="shared" si="95"/>
        <v/>
      </c>
      <c r="HB78" s="8" t="str">
        <f t="shared" si="95"/>
        <v/>
      </c>
      <c r="HC78" s="8" t="str">
        <f t="shared" si="95"/>
        <v/>
      </c>
      <c r="HD78" s="8" t="str">
        <f t="shared" si="95"/>
        <v/>
      </c>
      <c r="HE78" s="8" t="str">
        <f t="shared" si="95"/>
        <v/>
      </c>
      <c r="HF78" s="8" t="str">
        <f t="shared" si="95"/>
        <v/>
      </c>
      <c r="HG78" s="8" t="str">
        <f t="shared" si="95"/>
        <v/>
      </c>
      <c r="HH78" s="8" t="str">
        <f t="shared" si="95"/>
        <v/>
      </c>
      <c r="HI78" s="8" t="str">
        <f t="shared" si="95"/>
        <v/>
      </c>
      <c r="HJ78" s="8" t="str">
        <f t="shared" si="95"/>
        <v/>
      </c>
      <c r="HK78" s="8" t="str">
        <f t="shared" si="95"/>
        <v/>
      </c>
      <c r="HL78" s="8" t="str">
        <f t="shared" si="95"/>
        <v/>
      </c>
      <c r="HM78" s="8" t="str">
        <f t="shared" si="95"/>
        <v/>
      </c>
      <c r="HN78" s="8" t="str">
        <f t="shared" si="95"/>
        <v/>
      </c>
      <c r="HO78" s="8" t="str">
        <f t="shared" si="95"/>
        <v/>
      </c>
      <c r="HP78" s="8" t="str">
        <f t="shared" si="95"/>
        <v/>
      </c>
      <c r="HQ78" s="8" t="str">
        <f t="shared" si="95"/>
        <v/>
      </c>
      <c r="HR78" s="8" t="str">
        <f t="shared" si="95"/>
        <v/>
      </c>
      <c r="HS78" s="8" t="str">
        <f t="shared" si="95"/>
        <v/>
      </c>
      <c r="HT78" s="8" t="str">
        <f t="shared" si="95"/>
        <v/>
      </c>
      <c r="HU78" s="8" t="str">
        <f t="shared" si="95"/>
        <v/>
      </c>
      <c r="HV78" s="8" t="str">
        <f t="shared" si="95"/>
        <v/>
      </c>
      <c r="HW78" s="8" t="str">
        <f t="shared" si="95"/>
        <v/>
      </c>
      <c r="HX78" s="8" t="str">
        <f t="shared" si="95"/>
        <v/>
      </c>
      <c r="HY78" s="8" t="str">
        <f t="shared" si="95"/>
        <v/>
      </c>
      <c r="HZ78" s="8" t="str">
        <f t="shared" si="95"/>
        <v/>
      </c>
      <c r="IA78" s="8" t="str">
        <f t="shared" si="95"/>
        <v/>
      </c>
      <c r="IB78" s="8" t="str">
        <f t="shared" si="95"/>
        <v/>
      </c>
      <c r="IC78" s="8" t="str">
        <f t="shared" si="95"/>
        <v/>
      </c>
      <c r="ID78" s="8" t="str">
        <f t="shared" si="95"/>
        <v/>
      </c>
      <c r="IE78" s="8" t="str">
        <f t="shared" si="95"/>
        <v/>
      </c>
      <c r="IF78" s="8" t="str">
        <f t="shared" si="95"/>
        <v/>
      </c>
      <c r="IG78" s="8" t="str">
        <f t="shared" si="95"/>
        <v/>
      </c>
      <c r="IH78" s="8" t="str">
        <f t="shared" si="95"/>
        <v/>
      </c>
      <c r="II78" s="8" t="str">
        <f t="shared" si="95"/>
        <v/>
      </c>
      <c r="IJ78" s="8" t="str">
        <f t="shared" si="95"/>
        <v/>
      </c>
      <c r="IK78" s="8" t="str">
        <f t="shared" si="95"/>
        <v/>
      </c>
      <c r="IL78" s="8" t="str">
        <f t="shared" si="95"/>
        <v/>
      </c>
      <c r="IM78" s="8" t="str">
        <f t="shared" si="95"/>
        <v/>
      </c>
      <c r="IN78" s="8" t="str">
        <f t="shared" si="95"/>
        <v/>
      </c>
      <c r="IO78" s="8" t="str">
        <f t="shared" si="95"/>
        <v/>
      </c>
      <c r="IP78" s="8" t="str">
        <f t="shared" si="95"/>
        <v/>
      </c>
      <c r="IQ78" s="8" t="str">
        <f t="shared" si="95"/>
        <v/>
      </c>
      <c r="IR78" s="8" t="str">
        <f t="shared" si="95"/>
        <v/>
      </c>
      <c r="IS78" s="8" t="str">
        <f t="shared" si="95"/>
        <v/>
      </c>
      <c r="IT78" s="8" t="str">
        <f t="shared" si="95"/>
        <v/>
      </c>
      <c r="IU78" s="8" t="str">
        <f t="shared" si="95"/>
        <v/>
      </c>
      <c r="IV78" s="8" t="str">
        <f t="shared" si="95"/>
        <v/>
      </c>
    </row>
    <row r="79" spans="6:256" x14ac:dyDescent="0.2">
      <c r="F79">
        <v>202003</v>
      </c>
      <c r="G79" s="8">
        <f t="shared" ref="G79:BR79" si="96">IF(OR(H33 = "", H$8 &lt; G$8), "", IFERROR(H33/G33, ""))</f>
        <v>24.691783797187501</v>
      </c>
      <c r="H79" s="8">
        <f t="shared" si="96"/>
        <v>3.3685620850162743</v>
      </c>
      <c r="I79" s="8">
        <f t="shared" si="96"/>
        <v>1.7562510704996646</v>
      </c>
      <c r="J79" s="8">
        <f t="shared" si="96"/>
        <v>1.1973312114336809</v>
      </c>
      <c r="K79" s="8">
        <f t="shared" si="96"/>
        <v>1.0947220128508048</v>
      </c>
      <c r="L79" s="8">
        <f t="shared" si="96"/>
        <v>1.0685861831020369</v>
      </c>
      <c r="M79" s="8">
        <f t="shared" si="96"/>
        <v>1.0060381206973765</v>
      </c>
      <c r="N79" s="8">
        <f t="shared" si="96"/>
        <v>1.0114834149928391</v>
      </c>
      <c r="O79" s="8">
        <f t="shared" si="96"/>
        <v>1.0001097469756206</v>
      </c>
      <c r="P79" s="8">
        <f t="shared" si="96"/>
        <v>1.0233096520105203</v>
      </c>
      <c r="Q79" s="8">
        <f t="shared" si="96"/>
        <v>1.000840822231488</v>
      </c>
      <c r="R79" s="8">
        <f t="shared" si="96"/>
        <v>1.0000377577607791</v>
      </c>
      <c r="S79" s="8">
        <f t="shared" si="96"/>
        <v>1.0009464288632539</v>
      </c>
      <c r="T79" s="8">
        <f t="shared" si="96"/>
        <v>1.002635063085654</v>
      </c>
      <c r="U79" s="8">
        <f t="shared" si="96"/>
        <v>1.0000973384361782</v>
      </c>
      <c r="V79" s="8">
        <f t="shared" si="96"/>
        <v>1</v>
      </c>
      <c r="W79" s="8">
        <f t="shared" si="96"/>
        <v>1</v>
      </c>
      <c r="X79" s="8">
        <f t="shared" si="96"/>
        <v>1</v>
      </c>
      <c r="Y79" s="8">
        <f t="shared" si="96"/>
        <v>1.0009174987155067</v>
      </c>
      <c r="Z79" s="8">
        <f t="shared" si="96"/>
        <v>1.0000441724182776</v>
      </c>
      <c r="AA79" s="8">
        <f t="shared" si="96"/>
        <v>1</v>
      </c>
      <c r="AB79" s="8">
        <f t="shared" si="96"/>
        <v>1.0005038554319849</v>
      </c>
      <c r="AC79" s="8">
        <f t="shared" si="96"/>
        <v>1.0010125806099346</v>
      </c>
      <c r="AD79" s="8">
        <f t="shared" si="96"/>
        <v>1</v>
      </c>
      <c r="AE79" s="8">
        <f t="shared" si="96"/>
        <v>1.0000052475186261</v>
      </c>
      <c r="AF79" s="8">
        <f t="shared" si="96"/>
        <v>1</v>
      </c>
      <c r="AG79" s="8">
        <f t="shared" si="96"/>
        <v>1.000077371537178</v>
      </c>
      <c r="AH79" s="8">
        <f t="shared" si="96"/>
        <v>1</v>
      </c>
      <c r="AI79" s="8">
        <f t="shared" si="96"/>
        <v>1.0000020386831838</v>
      </c>
      <c r="AJ79" s="8">
        <f t="shared" si="96"/>
        <v>1.0000577625724518</v>
      </c>
      <c r="AK79" s="8">
        <f t="shared" si="96"/>
        <v>0.99998873835653268</v>
      </c>
      <c r="AL79" s="8">
        <f t="shared" si="96"/>
        <v>1.0016726374919374</v>
      </c>
      <c r="AM79" s="8">
        <f t="shared" si="96"/>
        <v>1.0007273424090797</v>
      </c>
      <c r="AN79" s="8">
        <f t="shared" si="96"/>
        <v>1.0005955247659524</v>
      </c>
      <c r="AO79" s="8">
        <f t="shared" si="96"/>
        <v>1.000216712269103</v>
      </c>
      <c r="AP79" s="8">
        <f t="shared" si="96"/>
        <v>1</v>
      </c>
      <c r="AQ79" s="8">
        <f t="shared" si="96"/>
        <v>1</v>
      </c>
      <c r="AR79" s="8">
        <f t="shared" si="96"/>
        <v>1</v>
      </c>
      <c r="AS79" s="8">
        <f t="shared" si="96"/>
        <v>1.0000815626707853</v>
      </c>
      <c r="AT79" s="8">
        <f t="shared" si="96"/>
        <v>1</v>
      </c>
      <c r="AU79" s="8">
        <f t="shared" si="96"/>
        <v>1</v>
      </c>
      <c r="AV79" s="8">
        <f t="shared" si="96"/>
        <v>1</v>
      </c>
      <c r="AW79" s="8">
        <f t="shared" si="96"/>
        <v>1.0000863550879746</v>
      </c>
      <c r="AX79" s="8">
        <f t="shared" si="96"/>
        <v>1</v>
      </c>
      <c r="AY79" s="8">
        <f t="shared" si="96"/>
        <v>1.0007261018764935</v>
      </c>
      <c r="AZ79" s="8">
        <f t="shared" si="96"/>
        <v>1</v>
      </c>
      <c r="BA79" s="8">
        <f t="shared" si="96"/>
        <v>1.0002164717571504</v>
      </c>
      <c r="BB79" s="8">
        <f t="shared" si="96"/>
        <v>1</v>
      </c>
      <c r="BC79" s="8">
        <f t="shared" si="96"/>
        <v>1</v>
      </c>
      <c r="BD79" s="8">
        <f t="shared" si="96"/>
        <v>1</v>
      </c>
      <c r="BE79" s="8">
        <f t="shared" si="96"/>
        <v>1.0000859161174738</v>
      </c>
      <c r="BF79" s="8">
        <f t="shared" si="96"/>
        <v>1.0004397512267784</v>
      </c>
      <c r="BG79" s="8" t="str">
        <f t="shared" si="96"/>
        <v/>
      </c>
      <c r="BH79" s="8" t="str">
        <f t="shared" si="96"/>
        <v/>
      </c>
      <c r="BI79" s="8" t="str">
        <f t="shared" si="96"/>
        <v/>
      </c>
      <c r="BJ79" s="8" t="str">
        <f t="shared" si="96"/>
        <v/>
      </c>
      <c r="BK79" s="8" t="str">
        <f t="shared" si="96"/>
        <v/>
      </c>
      <c r="BL79" s="8" t="str">
        <f t="shared" si="96"/>
        <v/>
      </c>
      <c r="BM79" s="8" t="str">
        <f t="shared" si="96"/>
        <v/>
      </c>
      <c r="BN79" s="8" t="str">
        <f t="shared" si="96"/>
        <v/>
      </c>
      <c r="BO79" s="8" t="str">
        <f t="shared" si="96"/>
        <v/>
      </c>
      <c r="BP79" s="8" t="str">
        <f t="shared" si="96"/>
        <v/>
      </c>
      <c r="BQ79" s="8" t="str">
        <f t="shared" si="96"/>
        <v/>
      </c>
      <c r="BR79" s="8" t="str">
        <f t="shared" si="96"/>
        <v/>
      </c>
      <c r="BS79" s="8" t="str">
        <f t="shared" ref="BS79:ED79" si="97">IF(OR(BT33 = "", BT$8 &lt; BS$8), "", IFERROR(BT33/BS33, ""))</f>
        <v/>
      </c>
      <c r="BT79" s="8" t="str">
        <f t="shared" si="97"/>
        <v/>
      </c>
      <c r="BU79" s="8" t="str">
        <f t="shared" si="97"/>
        <v/>
      </c>
      <c r="BV79" s="8" t="str">
        <f t="shared" si="97"/>
        <v/>
      </c>
      <c r="BW79" s="8" t="str">
        <f t="shared" si="97"/>
        <v/>
      </c>
      <c r="BX79" s="8" t="str">
        <f t="shared" si="97"/>
        <v/>
      </c>
      <c r="BY79" s="8" t="str">
        <f t="shared" si="97"/>
        <v/>
      </c>
      <c r="BZ79" s="8" t="str">
        <f t="shared" si="97"/>
        <v/>
      </c>
      <c r="CA79" s="8" t="str">
        <f t="shared" si="97"/>
        <v/>
      </c>
      <c r="CB79" s="8" t="str">
        <f t="shared" si="97"/>
        <v/>
      </c>
      <c r="CC79" s="8" t="str">
        <f t="shared" si="97"/>
        <v/>
      </c>
      <c r="CD79" s="8" t="str">
        <f t="shared" si="97"/>
        <v/>
      </c>
      <c r="CE79" s="8" t="str">
        <f t="shared" si="97"/>
        <v/>
      </c>
      <c r="CF79" s="8" t="str">
        <f t="shared" si="97"/>
        <v/>
      </c>
      <c r="CG79" s="8" t="str">
        <f t="shared" si="97"/>
        <v/>
      </c>
      <c r="CH79" s="8" t="str">
        <f t="shared" si="97"/>
        <v/>
      </c>
      <c r="CI79" s="8" t="str">
        <f t="shared" si="97"/>
        <v/>
      </c>
      <c r="CJ79" s="8" t="str">
        <f t="shared" si="97"/>
        <v/>
      </c>
      <c r="CK79" s="8" t="str">
        <f t="shared" si="97"/>
        <v/>
      </c>
      <c r="CL79" s="8" t="str">
        <f t="shared" si="97"/>
        <v/>
      </c>
      <c r="CM79" s="8" t="str">
        <f t="shared" si="97"/>
        <v/>
      </c>
      <c r="CN79" s="8" t="str">
        <f t="shared" si="97"/>
        <v/>
      </c>
      <c r="CO79" s="8" t="str">
        <f t="shared" si="97"/>
        <v/>
      </c>
      <c r="CP79" s="8" t="str">
        <f t="shared" si="97"/>
        <v/>
      </c>
      <c r="CQ79" s="8" t="str">
        <f t="shared" si="97"/>
        <v/>
      </c>
      <c r="CR79" s="8" t="str">
        <f t="shared" si="97"/>
        <v/>
      </c>
      <c r="CS79" s="8" t="str">
        <f t="shared" si="97"/>
        <v/>
      </c>
      <c r="CT79" s="8" t="str">
        <f t="shared" si="97"/>
        <v/>
      </c>
      <c r="CU79" s="8" t="str">
        <f t="shared" si="97"/>
        <v/>
      </c>
      <c r="CV79" s="8" t="str">
        <f t="shared" si="97"/>
        <v/>
      </c>
      <c r="CW79" s="8" t="str">
        <f t="shared" si="97"/>
        <v/>
      </c>
      <c r="CX79" s="8" t="str">
        <f t="shared" si="97"/>
        <v/>
      </c>
      <c r="CY79" s="8" t="str">
        <f t="shared" si="97"/>
        <v/>
      </c>
      <c r="CZ79" s="8" t="str">
        <f t="shared" si="97"/>
        <v/>
      </c>
      <c r="DA79" s="8" t="str">
        <f t="shared" si="97"/>
        <v/>
      </c>
      <c r="DB79" s="8" t="str">
        <f t="shared" si="97"/>
        <v/>
      </c>
      <c r="DC79" s="8" t="str">
        <f t="shared" si="97"/>
        <v/>
      </c>
      <c r="DD79" s="8" t="str">
        <f t="shared" si="97"/>
        <v/>
      </c>
      <c r="DE79" s="8" t="str">
        <f t="shared" si="97"/>
        <v/>
      </c>
      <c r="DF79" s="8" t="str">
        <f t="shared" si="97"/>
        <v/>
      </c>
      <c r="DG79" s="8" t="str">
        <f t="shared" si="97"/>
        <v/>
      </c>
      <c r="DH79" s="8" t="str">
        <f t="shared" si="97"/>
        <v/>
      </c>
      <c r="DI79" s="8" t="str">
        <f t="shared" si="97"/>
        <v/>
      </c>
      <c r="DJ79" s="8" t="str">
        <f t="shared" si="97"/>
        <v/>
      </c>
      <c r="DK79" s="8" t="str">
        <f t="shared" si="97"/>
        <v/>
      </c>
      <c r="DL79" s="8" t="str">
        <f t="shared" si="97"/>
        <v/>
      </c>
      <c r="DM79" s="8" t="str">
        <f t="shared" si="97"/>
        <v/>
      </c>
      <c r="DN79" s="8" t="str">
        <f t="shared" si="97"/>
        <v/>
      </c>
      <c r="DO79" s="8" t="str">
        <f t="shared" si="97"/>
        <v/>
      </c>
      <c r="DP79" s="8" t="str">
        <f t="shared" si="97"/>
        <v/>
      </c>
      <c r="DQ79" s="8" t="str">
        <f t="shared" si="97"/>
        <v/>
      </c>
      <c r="DR79" s="8" t="str">
        <f t="shared" si="97"/>
        <v/>
      </c>
      <c r="DS79" s="8" t="str">
        <f t="shared" si="97"/>
        <v/>
      </c>
      <c r="DT79" s="8" t="str">
        <f t="shared" si="97"/>
        <v/>
      </c>
      <c r="DU79" s="8" t="str">
        <f t="shared" si="97"/>
        <v/>
      </c>
      <c r="DV79" s="8" t="str">
        <f t="shared" si="97"/>
        <v/>
      </c>
      <c r="DW79" s="8" t="str">
        <f t="shared" si="97"/>
        <v/>
      </c>
      <c r="DX79" s="8" t="str">
        <f t="shared" si="97"/>
        <v/>
      </c>
      <c r="DY79" s="8" t="str">
        <f t="shared" si="97"/>
        <v/>
      </c>
      <c r="DZ79" s="8" t="str">
        <f t="shared" si="97"/>
        <v/>
      </c>
      <c r="EA79" s="8" t="str">
        <f t="shared" si="97"/>
        <v/>
      </c>
      <c r="EB79" s="8">
        <f t="shared" si="97"/>
        <v>2.256425134787539</v>
      </c>
      <c r="EC79" s="8">
        <f t="shared" si="97"/>
        <v>1.5599144646735374</v>
      </c>
      <c r="ED79" s="8">
        <f t="shared" si="97"/>
        <v>1.2742118699359639</v>
      </c>
      <c r="EE79" s="8">
        <f t="shared" ref="EE79:GP79" si="98">IF(OR(EF33 = "", EF$8 &lt; EE$8), "", IFERROR(EF33/EE33, ""))</f>
        <v>1.0308894363501273</v>
      </c>
      <c r="EF79" s="8">
        <f t="shared" si="98"/>
        <v>1.051225453040235</v>
      </c>
      <c r="EG79" s="8">
        <f t="shared" si="98"/>
        <v>1.0030313467604437</v>
      </c>
      <c r="EH79" s="8">
        <f t="shared" si="98"/>
        <v>1.0017866897719665</v>
      </c>
      <c r="EI79" s="8">
        <f t="shared" si="98"/>
        <v>0.99871015068417812</v>
      </c>
      <c r="EJ79" s="8">
        <f t="shared" si="98"/>
        <v>1.0170927491974544</v>
      </c>
      <c r="EK79" s="8">
        <f t="shared" si="98"/>
        <v>1.0005937045346023</v>
      </c>
      <c r="EL79" s="8">
        <f t="shared" si="98"/>
        <v>1.0005769888952492</v>
      </c>
      <c r="EM79" s="8">
        <f t="shared" si="98"/>
        <v>1.0314488503498083</v>
      </c>
      <c r="EN79" s="8">
        <f t="shared" si="98"/>
        <v>0.970263813557254</v>
      </c>
      <c r="EO79" s="8">
        <f t="shared" si="98"/>
        <v>0.99989944721492074</v>
      </c>
      <c r="EP79" s="8">
        <f t="shared" si="98"/>
        <v>1.0000967186837535</v>
      </c>
      <c r="EQ79" s="8">
        <f t="shared" si="98"/>
        <v>0.99530939711497057</v>
      </c>
      <c r="ER79" s="8">
        <f t="shared" si="98"/>
        <v>1</v>
      </c>
      <c r="ES79" s="8">
        <f t="shared" si="98"/>
        <v>1</v>
      </c>
      <c r="ET79" s="8">
        <f t="shared" si="98"/>
        <v>1.0009159539555788</v>
      </c>
      <c r="EU79" s="8">
        <f t="shared" si="98"/>
        <v>1.0010991720789078</v>
      </c>
      <c r="EV79" s="8">
        <f t="shared" si="98"/>
        <v>0.99894608447042366</v>
      </c>
      <c r="EW79" s="8">
        <f t="shared" si="98"/>
        <v>1.0053699500590461</v>
      </c>
      <c r="EX79" s="8">
        <f t="shared" si="98"/>
        <v>1.001005984647994</v>
      </c>
      <c r="EY79" s="8">
        <f t="shared" si="98"/>
        <v>1</v>
      </c>
      <c r="EZ79" s="8">
        <f t="shared" si="98"/>
        <v>1.000001991994377</v>
      </c>
      <c r="FA79" s="8">
        <f t="shared" si="98"/>
        <v>1</v>
      </c>
      <c r="FB79" s="8">
        <f t="shared" si="98"/>
        <v>1.0000768682948307</v>
      </c>
      <c r="FC79" s="8">
        <f t="shared" si="98"/>
        <v>1</v>
      </c>
      <c r="FD79" s="8">
        <f t="shared" si="98"/>
        <v>0.99516511968779264</v>
      </c>
      <c r="FE79" s="8">
        <f t="shared" si="98"/>
        <v>1.0001155046466152</v>
      </c>
      <c r="FF79" s="8">
        <f t="shared" si="98"/>
        <v>0.99998875786802877</v>
      </c>
      <c r="FG79" s="8">
        <f t="shared" si="98"/>
        <v>0.9999949907814667</v>
      </c>
      <c r="FH79" s="8">
        <f t="shared" si="98"/>
        <v>1.0045180401748843</v>
      </c>
      <c r="FI79" s="8">
        <f t="shared" si="98"/>
        <v>1.0005932431538824</v>
      </c>
      <c r="FJ79" s="8">
        <f t="shared" si="98"/>
        <v>1.0002158824796468</v>
      </c>
      <c r="FK79" s="8">
        <f t="shared" si="98"/>
        <v>1</v>
      </c>
      <c r="FL79" s="8">
        <f t="shared" si="98"/>
        <v>1.0000026717005068</v>
      </c>
      <c r="FM79" s="8">
        <f t="shared" si="98"/>
        <v>1</v>
      </c>
      <c r="FN79" s="8">
        <f t="shared" si="98"/>
        <v>1.0000812502183345</v>
      </c>
      <c r="FO79" s="8">
        <f t="shared" si="98"/>
        <v>1</v>
      </c>
      <c r="FP79" s="8">
        <f t="shared" si="98"/>
        <v>1</v>
      </c>
      <c r="FQ79" s="8">
        <f t="shared" si="98"/>
        <v>1</v>
      </c>
      <c r="FR79" s="8">
        <f t="shared" si="98"/>
        <v>0.99999968171007714</v>
      </c>
      <c r="FS79" s="8">
        <f t="shared" si="98"/>
        <v>1</v>
      </c>
      <c r="FT79" s="8">
        <f t="shared" si="98"/>
        <v>1.000723383224732</v>
      </c>
      <c r="FU79" s="8">
        <f t="shared" si="98"/>
        <v>1</v>
      </c>
      <c r="FV79" s="8">
        <f t="shared" si="98"/>
        <v>1.0002156618351112</v>
      </c>
      <c r="FW79" s="8">
        <f t="shared" si="98"/>
        <v>1</v>
      </c>
      <c r="FX79" s="8">
        <f t="shared" si="98"/>
        <v>1.000001863435666</v>
      </c>
      <c r="FY79" s="8">
        <f t="shared" si="98"/>
        <v>0.99709901126457912</v>
      </c>
      <c r="FZ79" s="8">
        <f t="shared" si="98"/>
        <v>1.0000858436062592</v>
      </c>
      <c r="GA79" s="8">
        <f t="shared" si="98"/>
        <v>0.99959547571290952</v>
      </c>
      <c r="GB79" s="8" t="str">
        <f t="shared" si="98"/>
        <v/>
      </c>
      <c r="GC79" s="8" t="str">
        <f t="shared" si="98"/>
        <v/>
      </c>
      <c r="GD79" s="8" t="str">
        <f t="shared" si="98"/>
        <v/>
      </c>
      <c r="GE79" s="8" t="str">
        <f t="shared" si="98"/>
        <v/>
      </c>
      <c r="GF79" s="8" t="str">
        <f t="shared" si="98"/>
        <v/>
      </c>
      <c r="GG79" s="8" t="str">
        <f t="shared" si="98"/>
        <v/>
      </c>
      <c r="GH79" s="8" t="str">
        <f t="shared" si="98"/>
        <v/>
      </c>
      <c r="GI79" s="8" t="str">
        <f t="shared" si="98"/>
        <v/>
      </c>
      <c r="GJ79" s="8" t="str">
        <f t="shared" si="98"/>
        <v/>
      </c>
      <c r="GK79" s="8" t="str">
        <f t="shared" si="98"/>
        <v/>
      </c>
      <c r="GL79" s="8" t="str">
        <f t="shared" si="98"/>
        <v/>
      </c>
      <c r="GM79" s="8" t="str">
        <f t="shared" si="98"/>
        <v/>
      </c>
      <c r="GN79" s="8" t="str">
        <f t="shared" si="98"/>
        <v/>
      </c>
      <c r="GO79" s="8" t="str">
        <f t="shared" si="98"/>
        <v/>
      </c>
      <c r="GP79" s="8" t="str">
        <f t="shared" si="98"/>
        <v/>
      </c>
      <c r="GQ79" s="8" t="str">
        <f t="shared" ref="GQ79:IV79" si="99">IF(OR(GR33 = "", GR$8 &lt; GQ$8), "", IFERROR(GR33/GQ33, ""))</f>
        <v/>
      </c>
      <c r="GR79" s="8" t="str">
        <f t="shared" si="99"/>
        <v/>
      </c>
      <c r="GS79" s="8" t="str">
        <f t="shared" si="99"/>
        <v/>
      </c>
      <c r="GT79" s="8" t="str">
        <f t="shared" si="99"/>
        <v/>
      </c>
      <c r="GU79" s="8" t="str">
        <f t="shared" si="99"/>
        <v/>
      </c>
      <c r="GV79" s="8" t="str">
        <f t="shared" si="99"/>
        <v/>
      </c>
      <c r="GW79" s="8" t="str">
        <f t="shared" si="99"/>
        <v/>
      </c>
      <c r="GX79" s="8" t="str">
        <f t="shared" si="99"/>
        <v/>
      </c>
      <c r="GY79" s="8" t="str">
        <f t="shared" si="99"/>
        <v/>
      </c>
      <c r="GZ79" s="8" t="str">
        <f t="shared" si="99"/>
        <v/>
      </c>
      <c r="HA79" s="8" t="str">
        <f t="shared" si="99"/>
        <v/>
      </c>
      <c r="HB79" s="8" t="str">
        <f t="shared" si="99"/>
        <v/>
      </c>
      <c r="HC79" s="8" t="str">
        <f t="shared" si="99"/>
        <v/>
      </c>
      <c r="HD79" s="8" t="str">
        <f t="shared" si="99"/>
        <v/>
      </c>
      <c r="HE79" s="8" t="str">
        <f t="shared" si="99"/>
        <v/>
      </c>
      <c r="HF79" s="8" t="str">
        <f t="shared" si="99"/>
        <v/>
      </c>
      <c r="HG79" s="8" t="str">
        <f t="shared" si="99"/>
        <v/>
      </c>
      <c r="HH79" s="8" t="str">
        <f t="shared" si="99"/>
        <v/>
      </c>
      <c r="HI79" s="8" t="str">
        <f t="shared" si="99"/>
        <v/>
      </c>
      <c r="HJ79" s="8" t="str">
        <f t="shared" si="99"/>
        <v/>
      </c>
      <c r="HK79" s="8" t="str">
        <f t="shared" si="99"/>
        <v/>
      </c>
      <c r="HL79" s="8" t="str">
        <f t="shared" si="99"/>
        <v/>
      </c>
      <c r="HM79" s="8" t="str">
        <f t="shared" si="99"/>
        <v/>
      </c>
      <c r="HN79" s="8" t="str">
        <f t="shared" si="99"/>
        <v/>
      </c>
      <c r="HO79" s="8" t="str">
        <f t="shared" si="99"/>
        <v/>
      </c>
      <c r="HP79" s="8" t="str">
        <f t="shared" si="99"/>
        <v/>
      </c>
      <c r="HQ79" s="8" t="str">
        <f t="shared" si="99"/>
        <v/>
      </c>
      <c r="HR79" s="8" t="str">
        <f t="shared" si="99"/>
        <v/>
      </c>
      <c r="HS79" s="8" t="str">
        <f t="shared" si="99"/>
        <v/>
      </c>
      <c r="HT79" s="8" t="str">
        <f t="shared" si="99"/>
        <v/>
      </c>
      <c r="HU79" s="8" t="str">
        <f t="shared" si="99"/>
        <v/>
      </c>
      <c r="HV79" s="8" t="str">
        <f t="shared" si="99"/>
        <v/>
      </c>
      <c r="HW79" s="8" t="str">
        <f t="shared" si="99"/>
        <v/>
      </c>
      <c r="HX79" s="8" t="str">
        <f t="shared" si="99"/>
        <v/>
      </c>
      <c r="HY79" s="8" t="str">
        <f t="shared" si="99"/>
        <v/>
      </c>
      <c r="HZ79" s="8" t="str">
        <f t="shared" si="99"/>
        <v/>
      </c>
      <c r="IA79" s="8" t="str">
        <f t="shared" si="99"/>
        <v/>
      </c>
      <c r="IB79" s="8" t="str">
        <f t="shared" si="99"/>
        <v/>
      </c>
      <c r="IC79" s="8" t="str">
        <f t="shared" si="99"/>
        <v/>
      </c>
      <c r="ID79" s="8" t="str">
        <f t="shared" si="99"/>
        <v/>
      </c>
      <c r="IE79" s="8" t="str">
        <f t="shared" si="99"/>
        <v/>
      </c>
      <c r="IF79" s="8" t="str">
        <f t="shared" si="99"/>
        <v/>
      </c>
      <c r="IG79" s="8" t="str">
        <f t="shared" si="99"/>
        <v/>
      </c>
      <c r="IH79" s="8" t="str">
        <f t="shared" si="99"/>
        <v/>
      </c>
      <c r="II79" s="8" t="str">
        <f t="shared" si="99"/>
        <v/>
      </c>
      <c r="IJ79" s="8" t="str">
        <f t="shared" si="99"/>
        <v/>
      </c>
      <c r="IK79" s="8" t="str">
        <f t="shared" si="99"/>
        <v/>
      </c>
      <c r="IL79" s="8" t="str">
        <f t="shared" si="99"/>
        <v/>
      </c>
      <c r="IM79" s="8" t="str">
        <f t="shared" si="99"/>
        <v/>
      </c>
      <c r="IN79" s="8" t="str">
        <f t="shared" si="99"/>
        <v/>
      </c>
      <c r="IO79" s="8" t="str">
        <f t="shared" si="99"/>
        <v/>
      </c>
      <c r="IP79" s="8" t="str">
        <f t="shared" si="99"/>
        <v/>
      </c>
      <c r="IQ79" s="8" t="str">
        <f t="shared" si="99"/>
        <v/>
      </c>
      <c r="IR79" s="8" t="str">
        <f t="shared" si="99"/>
        <v/>
      </c>
      <c r="IS79" s="8" t="str">
        <f t="shared" si="99"/>
        <v/>
      </c>
      <c r="IT79" s="8" t="str">
        <f t="shared" si="99"/>
        <v/>
      </c>
      <c r="IU79" s="8" t="str">
        <f t="shared" si="99"/>
        <v/>
      </c>
      <c r="IV79" s="8" t="str">
        <f t="shared" si="99"/>
        <v/>
      </c>
    </row>
    <row r="80" spans="6:256" x14ac:dyDescent="0.2">
      <c r="F80">
        <v>202006</v>
      </c>
      <c r="G80" s="8">
        <f t="shared" ref="G80:BR80" si="100">IF(OR(H34 = "", H$8 &lt; G$8), "", IFERROR(H34/G34, ""))</f>
        <v>2.6816091407170255</v>
      </c>
      <c r="H80" s="8">
        <f t="shared" si="100"/>
        <v>1.9653649733999137</v>
      </c>
      <c r="I80" s="8">
        <f t="shared" si="100"/>
        <v>1.5323844824100703</v>
      </c>
      <c r="J80" s="8">
        <f t="shared" si="100"/>
        <v>1.2941435322502486</v>
      </c>
      <c r="K80" s="8">
        <f t="shared" si="100"/>
        <v>1.087267369695053</v>
      </c>
      <c r="L80" s="8">
        <f t="shared" si="100"/>
        <v>1.0065907672080874</v>
      </c>
      <c r="M80" s="8">
        <f t="shared" si="100"/>
        <v>1.0000811738354451</v>
      </c>
      <c r="N80" s="8">
        <f t="shared" si="100"/>
        <v>1</v>
      </c>
      <c r="O80" s="8">
        <f t="shared" si="100"/>
        <v>1.0078044565272355</v>
      </c>
      <c r="P80" s="8">
        <f t="shared" si="100"/>
        <v>1</v>
      </c>
      <c r="Q80" s="8">
        <f t="shared" si="100"/>
        <v>1.0052955623737589</v>
      </c>
      <c r="R80" s="8">
        <f t="shared" si="100"/>
        <v>1</v>
      </c>
      <c r="S80" s="8">
        <f t="shared" si="100"/>
        <v>0.97980465721879995</v>
      </c>
      <c r="T80" s="8">
        <f t="shared" si="100"/>
        <v>1.0125476548592389</v>
      </c>
      <c r="U80" s="8">
        <f t="shared" si="100"/>
        <v>1</v>
      </c>
      <c r="V80" s="8">
        <f t="shared" si="100"/>
        <v>1</v>
      </c>
      <c r="W80" s="8">
        <f t="shared" si="100"/>
        <v>1.0063197823576562</v>
      </c>
      <c r="X80" s="8">
        <f t="shared" si="100"/>
        <v>1.0000802453347613</v>
      </c>
      <c r="Y80" s="8">
        <f t="shared" si="100"/>
        <v>1.0038162668747073</v>
      </c>
      <c r="Z80" s="8">
        <f t="shared" si="100"/>
        <v>1</v>
      </c>
      <c r="AA80" s="8">
        <f t="shared" si="100"/>
        <v>1.0113305650112336</v>
      </c>
      <c r="AB80" s="8">
        <f t="shared" si="100"/>
        <v>1</v>
      </c>
      <c r="AC80" s="8">
        <f t="shared" si="100"/>
        <v>1.0010256236436821</v>
      </c>
      <c r="AD80" s="8">
        <f t="shared" si="100"/>
        <v>1.0008476727267286</v>
      </c>
      <c r="AE80" s="8">
        <f t="shared" si="100"/>
        <v>1.0005521011153158</v>
      </c>
      <c r="AF80" s="8">
        <f t="shared" si="100"/>
        <v>1.0001056740097203</v>
      </c>
      <c r="AG80" s="8">
        <f t="shared" si="100"/>
        <v>1</v>
      </c>
      <c r="AH80" s="8">
        <f t="shared" si="100"/>
        <v>1</v>
      </c>
      <c r="AI80" s="8">
        <f t="shared" si="100"/>
        <v>1.0071097681154484</v>
      </c>
      <c r="AJ80" s="8">
        <f t="shared" si="100"/>
        <v>1</v>
      </c>
      <c r="AK80" s="8">
        <f t="shared" si="100"/>
        <v>1.0187325366167419</v>
      </c>
      <c r="AL80" s="8">
        <f t="shared" si="100"/>
        <v>0.9898676187931803</v>
      </c>
      <c r="AM80" s="8">
        <f t="shared" si="100"/>
        <v>0.99973352015425587</v>
      </c>
      <c r="AN80" s="8">
        <f t="shared" si="100"/>
        <v>1</v>
      </c>
      <c r="AO80" s="8">
        <f t="shared" si="100"/>
        <v>1.0202658819203123</v>
      </c>
      <c r="AP80" s="8">
        <f t="shared" si="100"/>
        <v>1</v>
      </c>
      <c r="AQ80" s="8">
        <f t="shared" si="100"/>
        <v>1.0006476503457704</v>
      </c>
      <c r="AR80" s="8">
        <f t="shared" si="100"/>
        <v>1.0005375046662679</v>
      </c>
      <c r="AS80" s="8">
        <f t="shared" si="100"/>
        <v>1.0001601950152927</v>
      </c>
      <c r="AT80" s="8">
        <f t="shared" si="100"/>
        <v>1</v>
      </c>
      <c r="AU80" s="8">
        <f t="shared" si="100"/>
        <v>1.0001149512175853</v>
      </c>
      <c r="AV80" s="8">
        <f t="shared" si="100"/>
        <v>1</v>
      </c>
      <c r="AW80" s="8">
        <f t="shared" si="100"/>
        <v>1</v>
      </c>
      <c r="AX80" s="8">
        <f t="shared" si="100"/>
        <v>1.0003192137640424</v>
      </c>
      <c r="AY80" s="8">
        <f t="shared" si="100"/>
        <v>1</v>
      </c>
      <c r="AZ80" s="8">
        <f t="shared" si="100"/>
        <v>1.0001168167494909</v>
      </c>
      <c r="BA80" s="8">
        <f t="shared" si="100"/>
        <v>1</v>
      </c>
      <c r="BB80" s="8">
        <f t="shared" si="100"/>
        <v>1</v>
      </c>
      <c r="BC80" s="8">
        <f t="shared" si="100"/>
        <v>1.0004287915542369</v>
      </c>
      <c r="BD80" s="8" t="str">
        <f t="shared" si="100"/>
        <v/>
      </c>
      <c r="BE80" s="8" t="str">
        <f t="shared" si="100"/>
        <v/>
      </c>
      <c r="BF80" s="8" t="str">
        <f t="shared" si="100"/>
        <v/>
      </c>
      <c r="BG80" s="8" t="str">
        <f t="shared" si="100"/>
        <v/>
      </c>
      <c r="BH80" s="8" t="str">
        <f t="shared" si="100"/>
        <v/>
      </c>
      <c r="BI80" s="8" t="str">
        <f t="shared" si="100"/>
        <v/>
      </c>
      <c r="BJ80" s="8" t="str">
        <f t="shared" si="100"/>
        <v/>
      </c>
      <c r="BK80" s="8" t="str">
        <f t="shared" si="100"/>
        <v/>
      </c>
      <c r="BL80" s="8" t="str">
        <f t="shared" si="100"/>
        <v/>
      </c>
      <c r="BM80" s="8" t="str">
        <f t="shared" si="100"/>
        <v/>
      </c>
      <c r="BN80" s="8" t="str">
        <f t="shared" si="100"/>
        <v/>
      </c>
      <c r="BO80" s="8" t="str">
        <f t="shared" si="100"/>
        <v/>
      </c>
      <c r="BP80" s="8" t="str">
        <f t="shared" si="100"/>
        <v/>
      </c>
      <c r="BQ80" s="8" t="str">
        <f t="shared" si="100"/>
        <v/>
      </c>
      <c r="BR80" s="8" t="str">
        <f t="shared" si="100"/>
        <v/>
      </c>
      <c r="BS80" s="8" t="str">
        <f t="shared" ref="BS80:ED80" si="101">IF(OR(BT34 = "", BT$8 &lt; BS$8), "", IFERROR(BT34/BS34, ""))</f>
        <v/>
      </c>
      <c r="BT80" s="8" t="str">
        <f t="shared" si="101"/>
        <v/>
      </c>
      <c r="BU80" s="8" t="str">
        <f t="shared" si="101"/>
        <v/>
      </c>
      <c r="BV80" s="8" t="str">
        <f t="shared" si="101"/>
        <v/>
      </c>
      <c r="BW80" s="8" t="str">
        <f t="shared" si="101"/>
        <v/>
      </c>
      <c r="BX80" s="8" t="str">
        <f t="shared" si="101"/>
        <v/>
      </c>
      <c r="BY80" s="8" t="str">
        <f t="shared" si="101"/>
        <v/>
      </c>
      <c r="BZ80" s="8" t="str">
        <f t="shared" si="101"/>
        <v/>
      </c>
      <c r="CA80" s="8" t="str">
        <f t="shared" si="101"/>
        <v/>
      </c>
      <c r="CB80" s="8" t="str">
        <f t="shared" si="101"/>
        <v/>
      </c>
      <c r="CC80" s="8" t="str">
        <f t="shared" si="101"/>
        <v/>
      </c>
      <c r="CD80" s="8" t="str">
        <f t="shared" si="101"/>
        <v/>
      </c>
      <c r="CE80" s="8" t="str">
        <f t="shared" si="101"/>
        <v/>
      </c>
      <c r="CF80" s="8" t="str">
        <f t="shared" si="101"/>
        <v/>
      </c>
      <c r="CG80" s="8" t="str">
        <f t="shared" si="101"/>
        <v/>
      </c>
      <c r="CH80" s="8" t="str">
        <f t="shared" si="101"/>
        <v/>
      </c>
      <c r="CI80" s="8" t="str">
        <f t="shared" si="101"/>
        <v/>
      </c>
      <c r="CJ80" s="8" t="str">
        <f t="shared" si="101"/>
        <v/>
      </c>
      <c r="CK80" s="8" t="str">
        <f t="shared" si="101"/>
        <v/>
      </c>
      <c r="CL80" s="8" t="str">
        <f t="shared" si="101"/>
        <v/>
      </c>
      <c r="CM80" s="8" t="str">
        <f t="shared" si="101"/>
        <v/>
      </c>
      <c r="CN80" s="8" t="str">
        <f t="shared" si="101"/>
        <v/>
      </c>
      <c r="CO80" s="8" t="str">
        <f t="shared" si="101"/>
        <v/>
      </c>
      <c r="CP80" s="8" t="str">
        <f t="shared" si="101"/>
        <v/>
      </c>
      <c r="CQ80" s="8" t="str">
        <f t="shared" si="101"/>
        <v/>
      </c>
      <c r="CR80" s="8" t="str">
        <f t="shared" si="101"/>
        <v/>
      </c>
      <c r="CS80" s="8" t="str">
        <f t="shared" si="101"/>
        <v/>
      </c>
      <c r="CT80" s="8" t="str">
        <f t="shared" si="101"/>
        <v/>
      </c>
      <c r="CU80" s="8" t="str">
        <f t="shared" si="101"/>
        <v/>
      </c>
      <c r="CV80" s="8" t="str">
        <f t="shared" si="101"/>
        <v/>
      </c>
      <c r="CW80" s="8" t="str">
        <f t="shared" si="101"/>
        <v/>
      </c>
      <c r="CX80" s="8" t="str">
        <f t="shared" si="101"/>
        <v/>
      </c>
      <c r="CY80" s="8" t="str">
        <f t="shared" si="101"/>
        <v/>
      </c>
      <c r="CZ80" s="8" t="str">
        <f t="shared" si="101"/>
        <v/>
      </c>
      <c r="DA80" s="8" t="str">
        <f t="shared" si="101"/>
        <v/>
      </c>
      <c r="DB80" s="8" t="str">
        <f t="shared" si="101"/>
        <v/>
      </c>
      <c r="DC80" s="8" t="str">
        <f t="shared" si="101"/>
        <v/>
      </c>
      <c r="DD80" s="8" t="str">
        <f t="shared" si="101"/>
        <v/>
      </c>
      <c r="DE80" s="8" t="str">
        <f t="shared" si="101"/>
        <v/>
      </c>
      <c r="DF80" s="8" t="str">
        <f t="shared" si="101"/>
        <v/>
      </c>
      <c r="DG80" s="8" t="str">
        <f t="shared" si="101"/>
        <v/>
      </c>
      <c r="DH80" s="8" t="str">
        <f t="shared" si="101"/>
        <v/>
      </c>
      <c r="DI80" s="8" t="str">
        <f t="shared" si="101"/>
        <v/>
      </c>
      <c r="DJ80" s="8" t="str">
        <f t="shared" si="101"/>
        <v/>
      </c>
      <c r="DK80" s="8" t="str">
        <f t="shared" si="101"/>
        <v/>
      </c>
      <c r="DL80" s="8" t="str">
        <f t="shared" si="101"/>
        <v/>
      </c>
      <c r="DM80" s="8" t="str">
        <f t="shared" si="101"/>
        <v/>
      </c>
      <c r="DN80" s="8" t="str">
        <f t="shared" si="101"/>
        <v/>
      </c>
      <c r="DO80" s="8" t="str">
        <f t="shared" si="101"/>
        <v/>
      </c>
      <c r="DP80" s="8" t="str">
        <f t="shared" si="101"/>
        <v/>
      </c>
      <c r="DQ80" s="8" t="str">
        <f t="shared" si="101"/>
        <v/>
      </c>
      <c r="DR80" s="8" t="str">
        <f t="shared" si="101"/>
        <v/>
      </c>
      <c r="DS80" s="8" t="str">
        <f t="shared" si="101"/>
        <v/>
      </c>
      <c r="DT80" s="8" t="str">
        <f t="shared" si="101"/>
        <v/>
      </c>
      <c r="DU80" s="8" t="str">
        <f t="shared" si="101"/>
        <v/>
      </c>
      <c r="DV80" s="8" t="str">
        <f t="shared" si="101"/>
        <v/>
      </c>
      <c r="DW80" s="8" t="str">
        <f t="shared" si="101"/>
        <v/>
      </c>
      <c r="DX80" s="8" t="str">
        <f t="shared" si="101"/>
        <v/>
      </c>
      <c r="DY80" s="8" t="str">
        <f t="shared" si="101"/>
        <v/>
      </c>
      <c r="DZ80" s="8" t="str">
        <f t="shared" si="101"/>
        <v/>
      </c>
      <c r="EA80" s="8" t="str">
        <f t="shared" si="101"/>
        <v/>
      </c>
      <c r="EB80" s="8">
        <f t="shared" si="101"/>
        <v>1.5168920735888642</v>
      </c>
      <c r="EC80" s="8">
        <f t="shared" si="101"/>
        <v>1.8790146210215182</v>
      </c>
      <c r="ED80" s="8">
        <f t="shared" si="101"/>
        <v>1.4680708257748418</v>
      </c>
      <c r="EE80" s="8">
        <f t="shared" ref="EE80:GP80" si="102">IF(OR(EF34 = "", EF$8 &lt; EE$8), "", IFERROR(EF34/EE34, ""))</f>
        <v>1.0141401300655493</v>
      </c>
      <c r="EF80" s="8">
        <f t="shared" si="102"/>
        <v>0.99970491088930147</v>
      </c>
      <c r="EG80" s="8">
        <f t="shared" si="102"/>
        <v>1.0063437660461507</v>
      </c>
      <c r="EH80" s="8">
        <f t="shared" si="102"/>
        <v>1.000078150874645</v>
      </c>
      <c r="EI80" s="8">
        <f t="shared" si="102"/>
        <v>1</v>
      </c>
      <c r="EJ80" s="8">
        <f t="shared" si="102"/>
        <v>1.0075156936140695</v>
      </c>
      <c r="EK80" s="8">
        <f t="shared" si="102"/>
        <v>1.0023746645359264</v>
      </c>
      <c r="EL80" s="8">
        <f t="shared" si="102"/>
        <v>1.0027187086452032</v>
      </c>
      <c r="EM80" s="8">
        <f t="shared" si="102"/>
        <v>1</v>
      </c>
      <c r="EN80" s="8">
        <f t="shared" si="102"/>
        <v>1.000084434134924</v>
      </c>
      <c r="EO80" s="8">
        <f t="shared" si="102"/>
        <v>1.0118411397297509</v>
      </c>
      <c r="EP80" s="8">
        <f t="shared" si="102"/>
        <v>1</v>
      </c>
      <c r="EQ80" s="8">
        <f t="shared" si="102"/>
        <v>1</v>
      </c>
      <c r="ER80" s="8">
        <f t="shared" si="102"/>
        <v>1.0059681015313595</v>
      </c>
      <c r="ES80" s="8">
        <f t="shared" si="102"/>
        <v>1.0184450363186777</v>
      </c>
      <c r="ET80" s="8">
        <f t="shared" si="102"/>
        <v>1.000334021391375</v>
      </c>
      <c r="EU80" s="8">
        <f t="shared" si="102"/>
        <v>1</v>
      </c>
      <c r="EV80" s="8">
        <f t="shared" si="102"/>
        <v>1.0143231713884733</v>
      </c>
      <c r="EW80" s="8">
        <f t="shared" si="102"/>
        <v>1.0000179180660669</v>
      </c>
      <c r="EX80" s="8">
        <f t="shared" si="102"/>
        <v>0.98679911081711436</v>
      </c>
      <c r="EY80" s="8">
        <f t="shared" si="102"/>
        <v>0.99999760576199381</v>
      </c>
      <c r="EZ80" s="8">
        <f t="shared" si="102"/>
        <v>1.0005202420126158</v>
      </c>
      <c r="FA80" s="8">
        <f t="shared" si="102"/>
        <v>1.0000995792411032</v>
      </c>
      <c r="FB80" s="8">
        <f t="shared" si="102"/>
        <v>1</v>
      </c>
      <c r="FC80" s="8">
        <f t="shared" si="102"/>
        <v>1</v>
      </c>
      <c r="FD80" s="8">
        <f t="shared" si="102"/>
        <v>1.0232626334521098</v>
      </c>
      <c r="FE80" s="8">
        <f t="shared" si="102"/>
        <v>1</v>
      </c>
      <c r="FF80" s="8">
        <f t="shared" si="102"/>
        <v>0.96846866665859355</v>
      </c>
      <c r="FG80" s="8">
        <f t="shared" si="102"/>
        <v>0.97113044889434086</v>
      </c>
      <c r="FH80" s="8">
        <f t="shared" si="102"/>
        <v>1.0003331101302899</v>
      </c>
      <c r="FI80" s="8">
        <f t="shared" si="102"/>
        <v>1.000004314671975</v>
      </c>
      <c r="FJ80" s="8">
        <f t="shared" si="102"/>
        <v>1.0194813877689222</v>
      </c>
      <c r="FK80" s="8">
        <f t="shared" si="102"/>
        <v>0.99581155343852912</v>
      </c>
      <c r="FL80" s="8">
        <f t="shared" si="102"/>
        <v>0.99999760642899926</v>
      </c>
      <c r="FM80" s="8">
        <f t="shared" si="102"/>
        <v>1.0005371878860365</v>
      </c>
      <c r="FN80" s="8">
        <f t="shared" si="102"/>
        <v>1.0001601006544967</v>
      </c>
      <c r="FO80" s="8">
        <f t="shared" si="102"/>
        <v>1</v>
      </c>
      <c r="FP80" s="8">
        <f t="shared" si="102"/>
        <v>1.0001148835179003</v>
      </c>
      <c r="FQ80" s="8">
        <f t="shared" si="102"/>
        <v>1</v>
      </c>
      <c r="FR80" s="8">
        <f t="shared" si="102"/>
        <v>1</v>
      </c>
      <c r="FS80" s="8">
        <f t="shared" si="102"/>
        <v>1.0003190257870089</v>
      </c>
      <c r="FT80" s="8">
        <f t="shared" si="102"/>
        <v>1</v>
      </c>
      <c r="FU80" s="8">
        <f t="shared" si="102"/>
        <v>0.99953504465851528</v>
      </c>
      <c r="FV80" s="8">
        <f t="shared" si="102"/>
        <v>1</v>
      </c>
      <c r="FW80" s="8">
        <f t="shared" si="102"/>
        <v>1</v>
      </c>
      <c r="FX80" s="8">
        <f t="shared" si="102"/>
        <v>1.0004218013504693</v>
      </c>
      <c r="FY80" s="8" t="str">
        <f t="shared" si="102"/>
        <v/>
      </c>
      <c r="FZ80" s="8" t="str">
        <f t="shared" si="102"/>
        <v/>
      </c>
      <c r="GA80" s="8" t="str">
        <f t="shared" si="102"/>
        <v/>
      </c>
      <c r="GB80" s="8" t="str">
        <f t="shared" si="102"/>
        <v/>
      </c>
      <c r="GC80" s="8" t="str">
        <f t="shared" si="102"/>
        <v/>
      </c>
      <c r="GD80" s="8" t="str">
        <f t="shared" si="102"/>
        <v/>
      </c>
      <c r="GE80" s="8" t="str">
        <f t="shared" si="102"/>
        <v/>
      </c>
      <c r="GF80" s="8" t="str">
        <f t="shared" si="102"/>
        <v/>
      </c>
      <c r="GG80" s="8" t="str">
        <f t="shared" si="102"/>
        <v/>
      </c>
      <c r="GH80" s="8" t="str">
        <f t="shared" si="102"/>
        <v/>
      </c>
      <c r="GI80" s="8" t="str">
        <f t="shared" si="102"/>
        <v/>
      </c>
      <c r="GJ80" s="8" t="str">
        <f t="shared" si="102"/>
        <v/>
      </c>
      <c r="GK80" s="8" t="str">
        <f t="shared" si="102"/>
        <v/>
      </c>
      <c r="GL80" s="8" t="str">
        <f t="shared" si="102"/>
        <v/>
      </c>
      <c r="GM80" s="8" t="str">
        <f t="shared" si="102"/>
        <v/>
      </c>
      <c r="GN80" s="8" t="str">
        <f t="shared" si="102"/>
        <v/>
      </c>
      <c r="GO80" s="8" t="str">
        <f t="shared" si="102"/>
        <v/>
      </c>
      <c r="GP80" s="8" t="str">
        <f t="shared" si="102"/>
        <v/>
      </c>
      <c r="GQ80" s="8" t="str">
        <f t="shared" ref="GQ80:IV80" si="103">IF(OR(GR34 = "", GR$8 &lt; GQ$8), "", IFERROR(GR34/GQ34, ""))</f>
        <v/>
      </c>
      <c r="GR80" s="8" t="str">
        <f t="shared" si="103"/>
        <v/>
      </c>
      <c r="GS80" s="8" t="str">
        <f t="shared" si="103"/>
        <v/>
      </c>
      <c r="GT80" s="8" t="str">
        <f t="shared" si="103"/>
        <v/>
      </c>
      <c r="GU80" s="8" t="str">
        <f t="shared" si="103"/>
        <v/>
      </c>
      <c r="GV80" s="8" t="str">
        <f t="shared" si="103"/>
        <v/>
      </c>
      <c r="GW80" s="8" t="str">
        <f t="shared" si="103"/>
        <v/>
      </c>
      <c r="GX80" s="8" t="str">
        <f t="shared" si="103"/>
        <v/>
      </c>
      <c r="GY80" s="8" t="str">
        <f t="shared" si="103"/>
        <v/>
      </c>
      <c r="GZ80" s="8" t="str">
        <f t="shared" si="103"/>
        <v/>
      </c>
      <c r="HA80" s="8" t="str">
        <f t="shared" si="103"/>
        <v/>
      </c>
      <c r="HB80" s="8" t="str">
        <f t="shared" si="103"/>
        <v/>
      </c>
      <c r="HC80" s="8" t="str">
        <f t="shared" si="103"/>
        <v/>
      </c>
      <c r="HD80" s="8" t="str">
        <f t="shared" si="103"/>
        <v/>
      </c>
      <c r="HE80" s="8" t="str">
        <f t="shared" si="103"/>
        <v/>
      </c>
      <c r="HF80" s="8" t="str">
        <f t="shared" si="103"/>
        <v/>
      </c>
      <c r="HG80" s="8" t="str">
        <f t="shared" si="103"/>
        <v/>
      </c>
      <c r="HH80" s="8" t="str">
        <f t="shared" si="103"/>
        <v/>
      </c>
      <c r="HI80" s="8" t="str">
        <f t="shared" si="103"/>
        <v/>
      </c>
      <c r="HJ80" s="8" t="str">
        <f t="shared" si="103"/>
        <v/>
      </c>
      <c r="HK80" s="8" t="str">
        <f t="shared" si="103"/>
        <v/>
      </c>
      <c r="HL80" s="8" t="str">
        <f t="shared" si="103"/>
        <v/>
      </c>
      <c r="HM80" s="8" t="str">
        <f t="shared" si="103"/>
        <v/>
      </c>
      <c r="HN80" s="8" t="str">
        <f t="shared" si="103"/>
        <v/>
      </c>
      <c r="HO80" s="8" t="str">
        <f t="shared" si="103"/>
        <v/>
      </c>
      <c r="HP80" s="8" t="str">
        <f t="shared" si="103"/>
        <v/>
      </c>
      <c r="HQ80" s="8" t="str">
        <f t="shared" si="103"/>
        <v/>
      </c>
      <c r="HR80" s="8" t="str">
        <f t="shared" si="103"/>
        <v/>
      </c>
      <c r="HS80" s="8" t="str">
        <f t="shared" si="103"/>
        <v/>
      </c>
      <c r="HT80" s="8" t="str">
        <f t="shared" si="103"/>
        <v/>
      </c>
      <c r="HU80" s="8" t="str">
        <f t="shared" si="103"/>
        <v/>
      </c>
      <c r="HV80" s="8" t="str">
        <f t="shared" si="103"/>
        <v/>
      </c>
      <c r="HW80" s="8" t="str">
        <f t="shared" si="103"/>
        <v/>
      </c>
      <c r="HX80" s="8" t="str">
        <f t="shared" si="103"/>
        <v/>
      </c>
      <c r="HY80" s="8" t="str">
        <f t="shared" si="103"/>
        <v/>
      </c>
      <c r="HZ80" s="8" t="str">
        <f t="shared" si="103"/>
        <v/>
      </c>
      <c r="IA80" s="8" t="str">
        <f t="shared" si="103"/>
        <v/>
      </c>
      <c r="IB80" s="8" t="str">
        <f t="shared" si="103"/>
        <v/>
      </c>
      <c r="IC80" s="8" t="str">
        <f t="shared" si="103"/>
        <v/>
      </c>
      <c r="ID80" s="8" t="str">
        <f t="shared" si="103"/>
        <v/>
      </c>
      <c r="IE80" s="8" t="str">
        <f t="shared" si="103"/>
        <v/>
      </c>
      <c r="IF80" s="8" t="str">
        <f t="shared" si="103"/>
        <v/>
      </c>
      <c r="IG80" s="8" t="str">
        <f t="shared" si="103"/>
        <v/>
      </c>
      <c r="IH80" s="8" t="str">
        <f t="shared" si="103"/>
        <v/>
      </c>
      <c r="II80" s="8" t="str">
        <f t="shared" si="103"/>
        <v/>
      </c>
      <c r="IJ80" s="8" t="str">
        <f t="shared" si="103"/>
        <v/>
      </c>
      <c r="IK80" s="8" t="str">
        <f t="shared" si="103"/>
        <v/>
      </c>
      <c r="IL80" s="8" t="str">
        <f t="shared" si="103"/>
        <v/>
      </c>
      <c r="IM80" s="8" t="str">
        <f t="shared" si="103"/>
        <v/>
      </c>
      <c r="IN80" s="8" t="str">
        <f t="shared" si="103"/>
        <v/>
      </c>
      <c r="IO80" s="8" t="str">
        <f t="shared" si="103"/>
        <v/>
      </c>
      <c r="IP80" s="8" t="str">
        <f t="shared" si="103"/>
        <v/>
      </c>
      <c r="IQ80" s="8" t="str">
        <f t="shared" si="103"/>
        <v/>
      </c>
      <c r="IR80" s="8" t="str">
        <f t="shared" si="103"/>
        <v/>
      </c>
      <c r="IS80" s="8" t="str">
        <f t="shared" si="103"/>
        <v/>
      </c>
      <c r="IT80" s="8" t="str">
        <f t="shared" si="103"/>
        <v/>
      </c>
      <c r="IU80" s="8" t="str">
        <f t="shared" si="103"/>
        <v/>
      </c>
      <c r="IV80" s="8" t="str">
        <f t="shared" si="103"/>
        <v/>
      </c>
    </row>
    <row r="81" spans="6:256" x14ac:dyDescent="0.2">
      <c r="F81">
        <v>202009</v>
      </c>
      <c r="G81" s="8">
        <f t="shared" ref="G81:BR81" si="104">IF(OR(H35 = "", H$8 &lt; G$8), "", IFERROR(H35/G35, ""))</f>
        <v>156.54607374094496</v>
      </c>
      <c r="H81" s="8">
        <f t="shared" si="104"/>
        <v>2.609732093970309</v>
      </c>
      <c r="I81" s="8">
        <f t="shared" si="104"/>
        <v>2.4317840077557547</v>
      </c>
      <c r="J81" s="8">
        <f t="shared" si="104"/>
        <v>1.3796378226729826</v>
      </c>
      <c r="K81" s="8">
        <f t="shared" si="104"/>
        <v>1.0737682013996348</v>
      </c>
      <c r="L81" s="8">
        <f t="shared" si="104"/>
        <v>1.0459335880437954</v>
      </c>
      <c r="M81" s="8">
        <f t="shared" si="104"/>
        <v>1.0369333747811953</v>
      </c>
      <c r="N81" s="8">
        <f t="shared" si="104"/>
        <v>1.0220140008207108</v>
      </c>
      <c r="O81" s="8">
        <f t="shared" si="104"/>
        <v>1.0000630306750369</v>
      </c>
      <c r="P81" s="8">
        <f t="shared" si="104"/>
        <v>1.0000363141265503</v>
      </c>
      <c r="Q81" s="8">
        <f t="shared" si="104"/>
        <v>1.0009833992924384</v>
      </c>
      <c r="R81" s="8">
        <f t="shared" si="104"/>
        <v>1.0102723415991821</v>
      </c>
      <c r="S81" s="8">
        <f t="shared" si="104"/>
        <v>1.0017807425997201</v>
      </c>
      <c r="T81" s="8">
        <f t="shared" si="104"/>
        <v>1.0002229704202144</v>
      </c>
      <c r="U81" s="8">
        <f t="shared" si="104"/>
        <v>1.0029711938091497</v>
      </c>
      <c r="V81" s="8">
        <f t="shared" si="104"/>
        <v>1.0015148451314293</v>
      </c>
      <c r="W81" s="8">
        <f t="shared" si="104"/>
        <v>1.0006179601227976</v>
      </c>
      <c r="X81" s="8">
        <f t="shared" si="104"/>
        <v>1</v>
      </c>
      <c r="Y81" s="8">
        <f t="shared" si="104"/>
        <v>1</v>
      </c>
      <c r="Z81" s="8">
        <f t="shared" si="104"/>
        <v>1.0018269936468336</v>
      </c>
      <c r="AA81" s="8">
        <f t="shared" si="104"/>
        <v>1.0000355891910504</v>
      </c>
      <c r="AB81" s="8">
        <f t="shared" si="104"/>
        <v>1.001638529175173</v>
      </c>
      <c r="AC81" s="8">
        <f t="shared" si="104"/>
        <v>1</v>
      </c>
      <c r="AD81" s="8">
        <f t="shared" si="104"/>
        <v>1</v>
      </c>
      <c r="AE81" s="8">
        <f t="shared" si="104"/>
        <v>1</v>
      </c>
      <c r="AF81" s="8">
        <f t="shared" si="104"/>
        <v>1.0000676503913499</v>
      </c>
      <c r="AG81" s="8">
        <f t="shared" si="104"/>
        <v>1</v>
      </c>
      <c r="AH81" s="8">
        <f t="shared" si="104"/>
        <v>1.0003343653757946</v>
      </c>
      <c r="AI81" s="8">
        <f t="shared" si="104"/>
        <v>1</v>
      </c>
      <c r="AJ81" s="8">
        <f t="shared" si="104"/>
        <v>1</v>
      </c>
      <c r="AK81" s="8">
        <f t="shared" si="104"/>
        <v>1.0011555999419028</v>
      </c>
      <c r="AL81" s="8">
        <f t="shared" si="104"/>
        <v>1.0003111172769121</v>
      </c>
      <c r="AM81" s="8">
        <f t="shared" si="104"/>
        <v>1.0015261937451803</v>
      </c>
      <c r="AN81" s="8">
        <f t="shared" si="104"/>
        <v>1</v>
      </c>
      <c r="AO81" s="8">
        <f t="shared" si="104"/>
        <v>1</v>
      </c>
      <c r="AP81" s="8">
        <f t="shared" si="104"/>
        <v>1</v>
      </c>
      <c r="AQ81" s="8">
        <f t="shared" si="104"/>
        <v>1.0001050577668444</v>
      </c>
      <c r="AR81" s="8">
        <f t="shared" si="104"/>
        <v>1.0001444078930315</v>
      </c>
      <c r="AS81" s="8">
        <f t="shared" si="104"/>
        <v>1</v>
      </c>
      <c r="AT81" s="8">
        <f t="shared" si="104"/>
        <v>1.0010582740646632</v>
      </c>
      <c r="AU81" s="8">
        <f t="shared" si="104"/>
        <v>1</v>
      </c>
      <c r="AV81" s="8">
        <f t="shared" si="104"/>
        <v>1.00006434520165</v>
      </c>
      <c r="AW81" s="8">
        <f t="shared" si="104"/>
        <v>1</v>
      </c>
      <c r="AX81" s="8">
        <f t="shared" si="104"/>
        <v>1</v>
      </c>
      <c r="AY81" s="8">
        <f t="shared" si="104"/>
        <v>1.0015217794637192</v>
      </c>
      <c r="AZ81" s="8">
        <f t="shared" si="104"/>
        <v>1</v>
      </c>
      <c r="BA81" s="8" t="str">
        <f t="shared" si="104"/>
        <v/>
      </c>
      <c r="BB81" s="8" t="str">
        <f t="shared" si="104"/>
        <v/>
      </c>
      <c r="BC81" s="8" t="str">
        <f t="shared" si="104"/>
        <v/>
      </c>
      <c r="BD81" s="8" t="str">
        <f t="shared" si="104"/>
        <v/>
      </c>
      <c r="BE81" s="8" t="str">
        <f t="shared" si="104"/>
        <v/>
      </c>
      <c r="BF81" s="8" t="str">
        <f t="shared" si="104"/>
        <v/>
      </c>
      <c r="BG81" s="8" t="str">
        <f t="shared" si="104"/>
        <v/>
      </c>
      <c r="BH81" s="8" t="str">
        <f t="shared" si="104"/>
        <v/>
      </c>
      <c r="BI81" s="8" t="str">
        <f t="shared" si="104"/>
        <v/>
      </c>
      <c r="BJ81" s="8" t="str">
        <f t="shared" si="104"/>
        <v/>
      </c>
      <c r="BK81" s="8" t="str">
        <f t="shared" si="104"/>
        <v/>
      </c>
      <c r="BL81" s="8" t="str">
        <f t="shared" si="104"/>
        <v/>
      </c>
      <c r="BM81" s="8" t="str">
        <f t="shared" si="104"/>
        <v/>
      </c>
      <c r="BN81" s="8" t="str">
        <f t="shared" si="104"/>
        <v/>
      </c>
      <c r="BO81" s="8" t="str">
        <f t="shared" si="104"/>
        <v/>
      </c>
      <c r="BP81" s="8" t="str">
        <f t="shared" si="104"/>
        <v/>
      </c>
      <c r="BQ81" s="8" t="str">
        <f t="shared" si="104"/>
        <v/>
      </c>
      <c r="BR81" s="8" t="str">
        <f t="shared" si="104"/>
        <v/>
      </c>
      <c r="BS81" s="8" t="str">
        <f t="shared" ref="BS81:ED81" si="105">IF(OR(BT35 = "", BT$8 &lt; BS$8), "", IFERROR(BT35/BS35, ""))</f>
        <v/>
      </c>
      <c r="BT81" s="8" t="str">
        <f t="shared" si="105"/>
        <v/>
      </c>
      <c r="BU81" s="8" t="str">
        <f t="shared" si="105"/>
        <v/>
      </c>
      <c r="BV81" s="8" t="str">
        <f t="shared" si="105"/>
        <v/>
      </c>
      <c r="BW81" s="8" t="str">
        <f t="shared" si="105"/>
        <v/>
      </c>
      <c r="BX81" s="8" t="str">
        <f t="shared" si="105"/>
        <v/>
      </c>
      <c r="BY81" s="8" t="str">
        <f t="shared" si="105"/>
        <v/>
      </c>
      <c r="BZ81" s="8" t="str">
        <f t="shared" si="105"/>
        <v/>
      </c>
      <c r="CA81" s="8" t="str">
        <f t="shared" si="105"/>
        <v/>
      </c>
      <c r="CB81" s="8" t="str">
        <f t="shared" si="105"/>
        <v/>
      </c>
      <c r="CC81" s="8" t="str">
        <f t="shared" si="105"/>
        <v/>
      </c>
      <c r="CD81" s="8" t="str">
        <f t="shared" si="105"/>
        <v/>
      </c>
      <c r="CE81" s="8" t="str">
        <f t="shared" si="105"/>
        <v/>
      </c>
      <c r="CF81" s="8" t="str">
        <f t="shared" si="105"/>
        <v/>
      </c>
      <c r="CG81" s="8" t="str">
        <f t="shared" si="105"/>
        <v/>
      </c>
      <c r="CH81" s="8" t="str">
        <f t="shared" si="105"/>
        <v/>
      </c>
      <c r="CI81" s="8" t="str">
        <f t="shared" si="105"/>
        <v/>
      </c>
      <c r="CJ81" s="8" t="str">
        <f t="shared" si="105"/>
        <v/>
      </c>
      <c r="CK81" s="8" t="str">
        <f t="shared" si="105"/>
        <v/>
      </c>
      <c r="CL81" s="8" t="str">
        <f t="shared" si="105"/>
        <v/>
      </c>
      <c r="CM81" s="8" t="str">
        <f t="shared" si="105"/>
        <v/>
      </c>
      <c r="CN81" s="8" t="str">
        <f t="shared" si="105"/>
        <v/>
      </c>
      <c r="CO81" s="8" t="str">
        <f t="shared" si="105"/>
        <v/>
      </c>
      <c r="CP81" s="8" t="str">
        <f t="shared" si="105"/>
        <v/>
      </c>
      <c r="CQ81" s="8" t="str">
        <f t="shared" si="105"/>
        <v/>
      </c>
      <c r="CR81" s="8" t="str">
        <f t="shared" si="105"/>
        <v/>
      </c>
      <c r="CS81" s="8" t="str">
        <f t="shared" si="105"/>
        <v/>
      </c>
      <c r="CT81" s="8" t="str">
        <f t="shared" si="105"/>
        <v/>
      </c>
      <c r="CU81" s="8" t="str">
        <f t="shared" si="105"/>
        <v/>
      </c>
      <c r="CV81" s="8" t="str">
        <f t="shared" si="105"/>
        <v/>
      </c>
      <c r="CW81" s="8" t="str">
        <f t="shared" si="105"/>
        <v/>
      </c>
      <c r="CX81" s="8" t="str">
        <f t="shared" si="105"/>
        <v/>
      </c>
      <c r="CY81" s="8" t="str">
        <f t="shared" si="105"/>
        <v/>
      </c>
      <c r="CZ81" s="8" t="str">
        <f t="shared" si="105"/>
        <v/>
      </c>
      <c r="DA81" s="8" t="str">
        <f t="shared" si="105"/>
        <v/>
      </c>
      <c r="DB81" s="8" t="str">
        <f t="shared" si="105"/>
        <v/>
      </c>
      <c r="DC81" s="8" t="str">
        <f t="shared" si="105"/>
        <v/>
      </c>
      <c r="DD81" s="8" t="str">
        <f t="shared" si="105"/>
        <v/>
      </c>
      <c r="DE81" s="8" t="str">
        <f t="shared" si="105"/>
        <v/>
      </c>
      <c r="DF81" s="8" t="str">
        <f t="shared" si="105"/>
        <v/>
      </c>
      <c r="DG81" s="8" t="str">
        <f t="shared" si="105"/>
        <v/>
      </c>
      <c r="DH81" s="8" t="str">
        <f t="shared" si="105"/>
        <v/>
      </c>
      <c r="DI81" s="8" t="str">
        <f t="shared" si="105"/>
        <v/>
      </c>
      <c r="DJ81" s="8" t="str">
        <f t="shared" si="105"/>
        <v/>
      </c>
      <c r="DK81" s="8" t="str">
        <f t="shared" si="105"/>
        <v/>
      </c>
      <c r="DL81" s="8" t="str">
        <f t="shared" si="105"/>
        <v/>
      </c>
      <c r="DM81" s="8" t="str">
        <f t="shared" si="105"/>
        <v/>
      </c>
      <c r="DN81" s="8" t="str">
        <f t="shared" si="105"/>
        <v/>
      </c>
      <c r="DO81" s="8" t="str">
        <f t="shared" si="105"/>
        <v/>
      </c>
      <c r="DP81" s="8" t="str">
        <f t="shared" si="105"/>
        <v/>
      </c>
      <c r="DQ81" s="8" t="str">
        <f t="shared" si="105"/>
        <v/>
      </c>
      <c r="DR81" s="8" t="str">
        <f t="shared" si="105"/>
        <v/>
      </c>
      <c r="DS81" s="8" t="str">
        <f t="shared" si="105"/>
        <v/>
      </c>
      <c r="DT81" s="8" t="str">
        <f t="shared" si="105"/>
        <v/>
      </c>
      <c r="DU81" s="8" t="str">
        <f t="shared" si="105"/>
        <v/>
      </c>
      <c r="DV81" s="8" t="str">
        <f t="shared" si="105"/>
        <v/>
      </c>
      <c r="DW81" s="8" t="str">
        <f t="shared" si="105"/>
        <v/>
      </c>
      <c r="DX81" s="8" t="str">
        <f t="shared" si="105"/>
        <v/>
      </c>
      <c r="DY81" s="8" t="str">
        <f t="shared" si="105"/>
        <v/>
      </c>
      <c r="DZ81" s="8" t="str">
        <f t="shared" si="105"/>
        <v/>
      </c>
      <c r="EA81" s="8" t="str">
        <f t="shared" si="105"/>
        <v/>
      </c>
      <c r="EB81" s="8">
        <f t="shared" si="105"/>
        <v>2.682450856586867</v>
      </c>
      <c r="EC81" s="8">
        <f t="shared" si="105"/>
        <v>2.1822618535260525</v>
      </c>
      <c r="ED81" s="8">
        <f t="shared" si="105"/>
        <v>1.13961242156259</v>
      </c>
      <c r="EE81" s="8">
        <f t="shared" ref="EE81:GP81" si="106">IF(OR(EF35 = "", EF$8 &lt; EE$8), "", IFERROR(EF35/EE35, ""))</f>
        <v>1.0402204253948726</v>
      </c>
      <c r="EF81" s="8">
        <f t="shared" si="106"/>
        <v>0.98206909748620119</v>
      </c>
      <c r="EG81" s="8">
        <f t="shared" si="106"/>
        <v>0.99879575416340605</v>
      </c>
      <c r="EH81" s="8">
        <f t="shared" si="106"/>
        <v>1.0169843160704517</v>
      </c>
      <c r="EI81" s="8">
        <f t="shared" si="106"/>
        <v>1.0052773391644219</v>
      </c>
      <c r="EJ81" s="8">
        <f t="shared" si="106"/>
        <v>0.99705915430378689</v>
      </c>
      <c r="EK81" s="8">
        <f t="shared" si="106"/>
        <v>1.0000358607691016</v>
      </c>
      <c r="EL81" s="8">
        <f t="shared" si="106"/>
        <v>0.99947132412096895</v>
      </c>
      <c r="EM81" s="8">
        <f t="shared" si="106"/>
        <v>1.0000327851274111</v>
      </c>
      <c r="EN81" s="8">
        <f t="shared" si="106"/>
        <v>1.0017792054653403</v>
      </c>
      <c r="EO81" s="8">
        <f t="shared" si="106"/>
        <v>1.0073219523739099</v>
      </c>
      <c r="EP81" s="8">
        <f t="shared" si="106"/>
        <v>0.99788155377569399</v>
      </c>
      <c r="EQ81" s="8">
        <f t="shared" si="106"/>
        <v>0.99999584597158231</v>
      </c>
      <c r="ER81" s="8">
        <f t="shared" si="106"/>
        <v>1.0001462103669629</v>
      </c>
      <c r="ES81" s="8">
        <f t="shared" si="106"/>
        <v>1.0129015685753495</v>
      </c>
      <c r="ET81" s="8">
        <f t="shared" si="106"/>
        <v>1.0000033882726762</v>
      </c>
      <c r="EU81" s="8">
        <f t="shared" si="106"/>
        <v>1.0018021707228864</v>
      </c>
      <c r="EV81" s="8">
        <f t="shared" si="106"/>
        <v>1.0000351065191153</v>
      </c>
      <c r="EW81" s="8">
        <f t="shared" si="106"/>
        <v>1.0016163077011591</v>
      </c>
      <c r="EX81" s="8">
        <f t="shared" si="106"/>
        <v>1</v>
      </c>
      <c r="EY81" s="8">
        <f t="shared" si="106"/>
        <v>1</v>
      </c>
      <c r="EZ81" s="8">
        <f t="shared" si="106"/>
        <v>1</v>
      </c>
      <c r="FA81" s="8">
        <f t="shared" si="106"/>
        <v>1.0000667344079328</v>
      </c>
      <c r="FB81" s="8">
        <f t="shared" si="106"/>
        <v>1.0005560132774969</v>
      </c>
      <c r="FC81" s="8">
        <f t="shared" si="106"/>
        <v>0.999999011034723</v>
      </c>
      <c r="FD81" s="8">
        <f t="shared" si="106"/>
        <v>0.99915705047884895</v>
      </c>
      <c r="FE81" s="8">
        <f t="shared" si="106"/>
        <v>1</v>
      </c>
      <c r="FF81" s="8">
        <f t="shared" si="106"/>
        <v>1.0017899160845241</v>
      </c>
      <c r="FG81" s="8">
        <f t="shared" si="106"/>
        <v>1.0002946181364065</v>
      </c>
      <c r="FH81" s="8">
        <f t="shared" si="106"/>
        <v>1.0015055393414896</v>
      </c>
      <c r="FI81" s="8">
        <f t="shared" si="106"/>
        <v>1</v>
      </c>
      <c r="FJ81" s="8">
        <f t="shared" si="106"/>
        <v>1</v>
      </c>
      <c r="FK81" s="8">
        <f t="shared" si="106"/>
        <v>1</v>
      </c>
      <c r="FL81" s="8">
        <f t="shared" si="106"/>
        <v>1.0001036381282389</v>
      </c>
      <c r="FM81" s="8">
        <f t="shared" si="106"/>
        <v>1.0000786694278234</v>
      </c>
      <c r="FN81" s="8">
        <f t="shared" si="106"/>
        <v>1</v>
      </c>
      <c r="FO81" s="8">
        <f t="shared" si="106"/>
        <v>1.0010440438300521</v>
      </c>
      <c r="FP81" s="8">
        <f t="shared" si="106"/>
        <v>1</v>
      </c>
      <c r="FQ81" s="8">
        <f t="shared" si="106"/>
        <v>0.99999976512076549</v>
      </c>
      <c r="FR81" s="8">
        <f t="shared" si="106"/>
        <v>1.000006659834157</v>
      </c>
      <c r="FS81" s="8">
        <f t="shared" si="106"/>
        <v>1.0071007795916491</v>
      </c>
      <c r="FT81" s="8">
        <f t="shared" si="106"/>
        <v>1.0014908387518786</v>
      </c>
      <c r="FU81" s="8">
        <f t="shared" si="106"/>
        <v>0.98570544905664814</v>
      </c>
      <c r="FV81" s="8" t="str">
        <f t="shared" si="106"/>
        <v/>
      </c>
      <c r="FW81" s="8" t="str">
        <f t="shared" si="106"/>
        <v/>
      </c>
      <c r="FX81" s="8" t="str">
        <f t="shared" si="106"/>
        <v/>
      </c>
      <c r="FY81" s="8" t="str">
        <f t="shared" si="106"/>
        <v/>
      </c>
      <c r="FZ81" s="8" t="str">
        <f t="shared" si="106"/>
        <v/>
      </c>
      <c r="GA81" s="8" t="str">
        <f t="shared" si="106"/>
        <v/>
      </c>
      <c r="GB81" s="8" t="str">
        <f t="shared" si="106"/>
        <v/>
      </c>
      <c r="GC81" s="8" t="str">
        <f t="shared" si="106"/>
        <v/>
      </c>
      <c r="GD81" s="8" t="str">
        <f t="shared" si="106"/>
        <v/>
      </c>
      <c r="GE81" s="8" t="str">
        <f t="shared" si="106"/>
        <v/>
      </c>
      <c r="GF81" s="8" t="str">
        <f t="shared" si="106"/>
        <v/>
      </c>
      <c r="GG81" s="8" t="str">
        <f t="shared" si="106"/>
        <v/>
      </c>
      <c r="GH81" s="8" t="str">
        <f t="shared" si="106"/>
        <v/>
      </c>
      <c r="GI81" s="8" t="str">
        <f t="shared" si="106"/>
        <v/>
      </c>
      <c r="GJ81" s="8" t="str">
        <f t="shared" si="106"/>
        <v/>
      </c>
      <c r="GK81" s="8" t="str">
        <f t="shared" si="106"/>
        <v/>
      </c>
      <c r="GL81" s="8" t="str">
        <f t="shared" si="106"/>
        <v/>
      </c>
      <c r="GM81" s="8" t="str">
        <f t="shared" si="106"/>
        <v/>
      </c>
      <c r="GN81" s="8" t="str">
        <f t="shared" si="106"/>
        <v/>
      </c>
      <c r="GO81" s="8" t="str">
        <f t="shared" si="106"/>
        <v/>
      </c>
      <c r="GP81" s="8" t="str">
        <f t="shared" si="106"/>
        <v/>
      </c>
      <c r="GQ81" s="8" t="str">
        <f t="shared" ref="GQ81:IV81" si="107">IF(OR(GR35 = "", GR$8 &lt; GQ$8), "", IFERROR(GR35/GQ35, ""))</f>
        <v/>
      </c>
      <c r="GR81" s="8" t="str">
        <f t="shared" si="107"/>
        <v/>
      </c>
      <c r="GS81" s="8" t="str">
        <f t="shared" si="107"/>
        <v/>
      </c>
      <c r="GT81" s="8" t="str">
        <f t="shared" si="107"/>
        <v/>
      </c>
      <c r="GU81" s="8" t="str">
        <f t="shared" si="107"/>
        <v/>
      </c>
      <c r="GV81" s="8" t="str">
        <f t="shared" si="107"/>
        <v/>
      </c>
      <c r="GW81" s="8" t="str">
        <f t="shared" si="107"/>
        <v/>
      </c>
      <c r="GX81" s="8" t="str">
        <f t="shared" si="107"/>
        <v/>
      </c>
      <c r="GY81" s="8" t="str">
        <f t="shared" si="107"/>
        <v/>
      </c>
      <c r="GZ81" s="8" t="str">
        <f t="shared" si="107"/>
        <v/>
      </c>
      <c r="HA81" s="8" t="str">
        <f t="shared" si="107"/>
        <v/>
      </c>
      <c r="HB81" s="8" t="str">
        <f t="shared" si="107"/>
        <v/>
      </c>
      <c r="HC81" s="8" t="str">
        <f t="shared" si="107"/>
        <v/>
      </c>
      <c r="HD81" s="8" t="str">
        <f t="shared" si="107"/>
        <v/>
      </c>
      <c r="HE81" s="8" t="str">
        <f t="shared" si="107"/>
        <v/>
      </c>
      <c r="HF81" s="8" t="str">
        <f t="shared" si="107"/>
        <v/>
      </c>
      <c r="HG81" s="8" t="str">
        <f t="shared" si="107"/>
        <v/>
      </c>
      <c r="HH81" s="8" t="str">
        <f t="shared" si="107"/>
        <v/>
      </c>
      <c r="HI81" s="8" t="str">
        <f t="shared" si="107"/>
        <v/>
      </c>
      <c r="HJ81" s="8" t="str">
        <f t="shared" si="107"/>
        <v/>
      </c>
      <c r="HK81" s="8" t="str">
        <f t="shared" si="107"/>
        <v/>
      </c>
      <c r="HL81" s="8" t="str">
        <f t="shared" si="107"/>
        <v/>
      </c>
      <c r="HM81" s="8" t="str">
        <f t="shared" si="107"/>
        <v/>
      </c>
      <c r="HN81" s="8" t="str">
        <f t="shared" si="107"/>
        <v/>
      </c>
      <c r="HO81" s="8" t="str">
        <f t="shared" si="107"/>
        <v/>
      </c>
      <c r="HP81" s="8" t="str">
        <f t="shared" si="107"/>
        <v/>
      </c>
      <c r="HQ81" s="8" t="str">
        <f t="shared" si="107"/>
        <v/>
      </c>
      <c r="HR81" s="8" t="str">
        <f t="shared" si="107"/>
        <v/>
      </c>
      <c r="HS81" s="8" t="str">
        <f t="shared" si="107"/>
        <v/>
      </c>
      <c r="HT81" s="8" t="str">
        <f t="shared" si="107"/>
        <v/>
      </c>
      <c r="HU81" s="8" t="str">
        <f t="shared" si="107"/>
        <v/>
      </c>
      <c r="HV81" s="8" t="str">
        <f t="shared" si="107"/>
        <v/>
      </c>
      <c r="HW81" s="8" t="str">
        <f t="shared" si="107"/>
        <v/>
      </c>
      <c r="HX81" s="8" t="str">
        <f t="shared" si="107"/>
        <v/>
      </c>
      <c r="HY81" s="8" t="str">
        <f t="shared" si="107"/>
        <v/>
      </c>
      <c r="HZ81" s="8" t="str">
        <f t="shared" si="107"/>
        <v/>
      </c>
      <c r="IA81" s="8" t="str">
        <f t="shared" si="107"/>
        <v/>
      </c>
      <c r="IB81" s="8" t="str">
        <f t="shared" si="107"/>
        <v/>
      </c>
      <c r="IC81" s="8" t="str">
        <f t="shared" si="107"/>
        <v/>
      </c>
      <c r="ID81" s="8" t="str">
        <f t="shared" si="107"/>
        <v/>
      </c>
      <c r="IE81" s="8" t="str">
        <f t="shared" si="107"/>
        <v/>
      </c>
      <c r="IF81" s="8" t="str">
        <f t="shared" si="107"/>
        <v/>
      </c>
      <c r="IG81" s="8" t="str">
        <f t="shared" si="107"/>
        <v/>
      </c>
      <c r="IH81" s="8" t="str">
        <f t="shared" si="107"/>
        <v/>
      </c>
      <c r="II81" s="8" t="str">
        <f t="shared" si="107"/>
        <v/>
      </c>
      <c r="IJ81" s="8" t="str">
        <f t="shared" si="107"/>
        <v/>
      </c>
      <c r="IK81" s="8" t="str">
        <f t="shared" si="107"/>
        <v/>
      </c>
      <c r="IL81" s="8" t="str">
        <f t="shared" si="107"/>
        <v/>
      </c>
      <c r="IM81" s="8" t="str">
        <f t="shared" si="107"/>
        <v/>
      </c>
      <c r="IN81" s="8" t="str">
        <f t="shared" si="107"/>
        <v/>
      </c>
      <c r="IO81" s="8" t="str">
        <f t="shared" si="107"/>
        <v/>
      </c>
      <c r="IP81" s="8" t="str">
        <f t="shared" si="107"/>
        <v/>
      </c>
      <c r="IQ81" s="8" t="str">
        <f t="shared" si="107"/>
        <v/>
      </c>
      <c r="IR81" s="8" t="str">
        <f t="shared" si="107"/>
        <v/>
      </c>
      <c r="IS81" s="8" t="str">
        <f t="shared" si="107"/>
        <v/>
      </c>
      <c r="IT81" s="8" t="str">
        <f t="shared" si="107"/>
        <v/>
      </c>
      <c r="IU81" s="8" t="str">
        <f t="shared" si="107"/>
        <v/>
      </c>
      <c r="IV81" s="8" t="str">
        <f t="shared" si="107"/>
        <v/>
      </c>
    </row>
    <row r="82" spans="6:256" x14ac:dyDescent="0.2">
      <c r="F82">
        <v>202012</v>
      </c>
      <c r="G82" s="8">
        <f t="shared" ref="G82:BR82" si="108">IF(OR(H36 = "", H$8 &lt; G$8), "", IFERROR(H36/G36, ""))</f>
        <v>3625.8458969224207</v>
      </c>
      <c r="H82" s="8">
        <f t="shared" si="108"/>
        <v>3.389049322433169</v>
      </c>
      <c r="I82" s="8">
        <f t="shared" si="108"/>
        <v>1.6542840862860095</v>
      </c>
      <c r="J82" s="8">
        <f t="shared" si="108"/>
        <v>1.2911378875428725</v>
      </c>
      <c r="K82" s="8">
        <f t="shared" si="108"/>
        <v>1.0902737743546054</v>
      </c>
      <c r="L82" s="8">
        <f t="shared" si="108"/>
        <v>1.1063418013548953</v>
      </c>
      <c r="M82" s="8">
        <f t="shared" si="108"/>
        <v>1.0184787614703821</v>
      </c>
      <c r="N82" s="8">
        <f t="shared" si="108"/>
        <v>1.000460295544999</v>
      </c>
      <c r="O82" s="8">
        <f t="shared" si="108"/>
        <v>1.0093051122333834</v>
      </c>
      <c r="P82" s="8">
        <f t="shared" si="108"/>
        <v>1</v>
      </c>
      <c r="Q82" s="8">
        <f t="shared" si="108"/>
        <v>1.001363071002187</v>
      </c>
      <c r="R82" s="8">
        <f t="shared" si="108"/>
        <v>1.0166305322459575</v>
      </c>
      <c r="S82" s="8">
        <f t="shared" si="108"/>
        <v>1.0004653138573902</v>
      </c>
      <c r="T82" s="8">
        <f t="shared" si="108"/>
        <v>1.0000080689018218</v>
      </c>
      <c r="U82" s="8">
        <f t="shared" si="108"/>
        <v>1.0004341174987199</v>
      </c>
      <c r="V82" s="8">
        <f t="shared" si="108"/>
        <v>1.0014713104990707</v>
      </c>
      <c r="W82" s="8">
        <f t="shared" si="108"/>
        <v>1.0005374943378926</v>
      </c>
      <c r="X82" s="8">
        <f t="shared" si="108"/>
        <v>1.0002156659272801</v>
      </c>
      <c r="Y82" s="8">
        <f t="shared" si="108"/>
        <v>1.0008741646735537</v>
      </c>
      <c r="Z82" s="8">
        <f t="shared" si="108"/>
        <v>1</v>
      </c>
      <c r="AA82" s="8">
        <f t="shared" si="108"/>
        <v>1</v>
      </c>
      <c r="AB82" s="8">
        <f t="shared" si="108"/>
        <v>0.99989530432174956</v>
      </c>
      <c r="AC82" s="8">
        <f t="shared" si="108"/>
        <v>1.0000391490526126</v>
      </c>
      <c r="AD82" s="8">
        <f t="shared" si="108"/>
        <v>1</v>
      </c>
      <c r="AE82" s="8">
        <f t="shared" si="108"/>
        <v>1</v>
      </c>
      <c r="AF82" s="8">
        <f t="shared" si="108"/>
        <v>1.000397690559647</v>
      </c>
      <c r="AG82" s="8">
        <f t="shared" si="108"/>
        <v>1</v>
      </c>
      <c r="AH82" s="8">
        <f t="shared" si="108"/>
        <v>1.0005495976465666</v>
      </c>
      <c r="AI82" s="8">
        <f t="shared" si="108"/>
        <v>1.0006600255297544</v>
      </c>
      <c r="AJ82" s="8">
        <f t="shared" si="108"/>
        <v>1.0002023206416826</v>
      </c>
      <c r="AK82" s="8">
        <f t="shared" si="108"/>
        <v>1</v>
      </c>
      <c r="AL82" s="8">
        <f t="shared" si="108"/>
        <v>1.0000036143832269</v>
      </c>
      <c r="AM82" s="8">
        <f t="shared" si="108"/>
        <v>1.0004490348916075</v>
      </c>
      <c r="AN82" s="8">
        <f t="shared" si="108"/>
        <v>1</v>
      </c>
      <c r="AO82" s="8">
        <f t="shared" si="108"/>
        <v>1</v>
      </c>
      <c r="AP82" s="8">
        <f t="shared" si="108"/>
        <v>1</v>
      </c>
      <c r="AQ82" s="8">
        <f t="shared" si="108"/>
        <v>1</v>
      </c>
      <c r="AR82" s="8">
        <f t="shared" si="108"/>
        <v>1.0003967921134822</v>
      </c>
      <c r="AS82" s="8">
        <f t="shared" si="108"/>
        <v>1</v>
      </c>
      <c r="AT82" s="8">
        <f t="shared" si="108"/>
        <v>1.0001212968472839</v>
      </c>
      <c r="AU82" s="8">
        <f t="shared" si="108"/>
        <v>1.0005770523370698</v>
      </c>
      <c r="AV82" s="8">
        <f t="shared" si="108"/>
        <v>1.0011721364603634</v>
      </c>
      <c r="AW82" s="8">
        <f t="shared" si="108"/>
        <v>1</v>
      </c>
      <c r="AX82" s="8" t="str">
        <f t="shared" si="108"/>
        <v/>
      </c>
      <c r="AY82" s="8" t="str">
        <f t="shared" si="108"/>
        <v/>
      </c>
      <c r="AZ82" s="8" t="str">
        <f t="shared" si="108"/>
        <v/>
      </c>
      <c r="BA82" s="8" t="str">
        <f t="shared" si="108"/>
        <v/>
      </c>
      <c r="BB82" s="8" t="str">
        <f t="shared" si="108"/>
        <v/>
      </c>
      <c r="BC82" s="8" t="str">
        <f t="shared" si="108"/>
        <v/>
      </c>
      <c r="BD82" s="8" t="str">
        <f t="shared" si="108"/>
        <v/>
      </c>
      <c r="BE82" s="8" t="str">
        <f t="shared" si="108"/>
        <v/>
      </c>
      <c r="BF82" s="8" t="str">
        <f t="shared" si="108"/>
        <v/>
      </c>
      <c r="BG82" s="8" t="str">
        <f t="shared" si="108"/>
        <v/>
      </c>
      <c r="BH82" s="8" t="str">
        <f t="shared" si="108"/>
        <v/>
      </c>
      <c r="BI82" s="8" t="str">
        <f t="shared" si="108"/>
        <v/>
      </c>
      <c r="BJ82" s="8" t="str">
        <f t="shared" si="108"/>
        <v/>
      </c>
      <c r="BK82" s="8" t="str">
        <f t="shared" si="108"/>
        <v/>
      </c>
      <c r="BL82" s="8" t="str">
        <f t="shared" si="108"/>
        <v/>
      </c>
      <c r="BM82" s="8" t="str">
        <f t="shared" si="108"/>
        <v/>
      </c>
      <c r="BN82" s="8" t="str">
        <f t="shared" si="108"/>
        <v/>
      </c>
      <c r="BO82" s="8" t="str">
        <f t="shared" si="108"/>
        <v/>
      </c>
      <c r="BP82" s="8" t="str">
        <f t="shared" si="108"/>
        <v/>
      </c>
      <c r="BQ82" s="8" t="str">
        <f t="shared" si="108"/>
        <v/>
      </c>
      <c r="BR82" s="8" t="str">
        <f t="shared" si="108"/>
        <v/>
      </c>
      <c r="BS82" s="8" t="str">
        <f t="shared" ref="BS82:ED82" si="109">IF(OR(BT36 = "", BT$8 &lt; BS$8), "", IFERROR(BT36/BS36, ""))</f>
        <v/>
      </c>
      <c r="BT82" s="8" t="str">
        <f t="shared" si="109"/>
        <v/>
      </c>
      <c r="BU82" s="8" t="str">
        <f t="shared" si="109"/>
        <v/>
      </c>
      <c r="BV82" s="8" t="str">
        <f t="shared" si="109"/>
        <v/>
      </c>
      <c r="BW82" s="8" t="str">
        <f t="shared" si="109"/>
        <v/>
      </c>
      <c r="BX82" s="8" t="str">
        <f t="shared" si="109"/>
        <v/>
      </c>
      <c r="BY82" s="8" t="str">
        <f t="shared" si="109"/>
        <v/>
      </c>
      <c r="BZ82" s="8" t="str">
        <f t="shared" si="109"/>
        <v/>
      </c>
      <c r="CA82" s="8" t="str">
        <f t="shared" si="109"/>
        <v/>
      </c>
      <c r="CB82" s="8" t="str">
        <f t="shared" si="109"/>
        <v/>
      </c>
      <c r="CC82" s="8" t="str">
        <f t="shared" si="109"/>
        <v/>
      </c>
      <c r="CD82" s="8" t="str">
        <f t="shared" si="109"/>
        <v/>
      </c>
      <c r="CE82" s="8" t="str">
        <f t="shared" si="109"/>
        <v/>
      </c>
      <c r="CF82" s="8" t="str">
        <f t="shared" si="109"/>
        <v/>
      </c>
      <c r="CG82" s="8" t="str">
        <f t="shared" si="109"/>
        <v/>
      </c>
      <c r="CH82" s="8" t="str">
        <f t="shared" si="109"/>
        <v/>
      </c>
      <c r="CI82" s="8" t="str">
        <f t="shared" si="109"/>
        <v/>
      </c>
      <c r="CJ82" s="8" t="str">
        <f t="shared" si="109"/>
        <v/>
      </c>
      <c r="CK82" s="8" t="str">
        <f t="shared" si="109"/>
        <v/>
      </c>
      <c r="CL82" s="8" t="str">
        <f t="shared" si="109"/>
        <v/>
      </c>
      <c r="CM82" s="8" t="str">
        <f t="shared" si="109"/>
        <v/>
      </c>
      <c r="CN82" s="8" t="str">
        <f t="shared" si="109"/>
        <v/>
      </c>
      <c r="CO82" s="8" t="str">
        <f t="shared" si="109"/>
        <v/>
      </c>
      <c r="CP82" s="8" t="str">
        <f t="shared" si="109"/>
        <v/>
      </c>
      <c r="CQ82" s="8" t="str">
        <f t="shared" si="109"/>
        <v/>
      </c>
      <c r="CR82" s="8" t="str">
        <f t="shared" si="109"/>
        <v/>
      </c>
      <c r="CS82" s="8" t="str">
        <f t="shared" si="109"/>
        <v/>
      </c>
      <c r="CT82" s="8" t="str">
        <f t="shared" si="109"/>
        <v/>
      </c>
      <c r="CU82" s="8" t="str">
        <f t="shared" si="109"/>
        <v/>
      </c>
      <c r="CV82" s="8" t="str">
        <f t="shared" si="109"/>
        <v/>
      </c>
      <c r="CW82" s="8" t="str">
        <f t="shared" si="109"/>
        <v/>
      </c>
      <c r="CX82" s="8" t="str">
        <f t="shared" si="109"/>
        <v/>
      </c>
      <c r="CY82" s="8" t="str">
        <f t="shared" si="109"/>
        <v/>
      </c>
      <c r="CZ82" s="8" t="str">
        <f t="shared" si="109"/>
        <v/>
      </c>
      <c r="DA82" s="8" t="str">
        <f t="shared" si="109"/>
        <v/>
      </c>
      <c r="DB82" s="8" t="str">
        <f t="shared" si="109"/>
        <v/>
      </c>
      <c r="DC82" s="8" t="str">
        <f t="shared" si="109"/>
        <v/>
      </c>
      <c r="DD82" s="8" t="str">
        <f t="shared" si="109"/>
        <v/>
      </c>
      <c r="DE82" s="8" t="str">
        <f t="shared" si="109"/>
        <v/>
      </c>
      <c r="DF82" s="8" t="str">
        <f t="shared" si="109"/>
        <v/>
      </c>
      <c r="DG82" s="8" t="str">
        <f t="shared" si="109"/>
        <v/>
      </c>
      <c r="DH82" s="8" t="str">
        <f t="shared" si="109"/>
        <v/>
      </c>
      <c r="DI82" s="8" t="str">
        <f t="shared" si="109"/>
        <v/>
      </c>
      <c r="DJ82" s="8" t="str">
        <f t="shared" si="109"/>
        <v/>
      </c>
      <c r="DK82" s="8" t="str">
        <f t="shared" si="109"/>
        <v/>
      </c>
      <c r="DL82" s="8" t="str">
        <f t="shared" si="109"/>
        <v/>
      </c>
      <c r="DM82" s="8" t="str">
        <f t="shared" si="109"/>
        <v/>
      </c>
      <c r="DN82" s="8" t="str">
        <f t="shared" si="109"/>
        <v/>
      </c>
      <c r="DO82" s="8" t="str">
        <f t="shared" si="109"/>
        <v/>
      </c>
      <c r="DP82" s="8" t="str">
        <f t="shared" si="109"/>
        <v/>
      </c>
      <c r="DQ82" s="8" t="str">
        <f t="shared" si="109"/>
        <v/>
      </c>
      <c r="DR82" s="8" t="str">
        <f t="shared" si="109"/>
        <v/>
      </c>
      <c r="DS82" s="8" t="str">
        <f t="shared" si="109"/>
        <v/>
      </c>
      <c r="DT82" s="8" t="str">
        <f t="shared" si="109"/>
        <v/>
      </c>
      <c r="DU82" s="8" t="str">
        <f t="shared" si="109"/>
        <v/>
      </c>
      <c r="DV82" s="8" t="str">
        <f t="shared" si="109"/>
        <v/>
      </c>
      <c r="DW82" s="8" t="str">
        <f t="shared" si="109"/>
        <v/>
      </c>
      <c r="DX82" s="8" t="str">
        <f t="shared" si="109"/>
        <v/>
      </c>
      <c r="DY82" s="8" t="str">
        <f t="shared" si="109"/>
        <v/>
      </c>
      <c r="DZ82" s="8" t="str">
        <f t="shared" si="109"/>
        <v/>
      </c>
      <c r="EA82" s="8" t="str">
        <f t="shared" si="109"/>
        <v/>
      </c>
      <c r="EB82" s="8">
        <f t="shared" si="109"/>
        <v>2.2712679114724375</v>
      </c>
      <c r="EC82" s="8">
        <f t="shared" si="109"/>
        <v>1.4296345077835941</v>
      </c>
      <c r="ED82" s="8">
        <f t="shared" si="109"/>
        <v>1.2827429293037877</v>
      </c>
      <c r="EE82" s="8">
        <f t="shared" ref="EE82:GP82" si="110">IF(OR(EF36 = "", EF$8 &lt; EE$8), "", IFERROR(EF36/EE36, ""))</f>
        <v>1.0602439477811594</v>
      </c>
      <c r="EF82" s="8">
        <f t="shared" si="110"/>
        <v>0.97365549082585134</v>
      </c>
      <c r="EG82" s="8">
        <f t="shared" si="110"/>
        <v>1.0047360715871481</v>
      </c>
      <c r="EH82" s="8">
        <f t="shared" si="110"/>
        <v>0.98412673166870968</v>
      </c>
      <c r="EI82" s="8">
        <f t="shared" si="110"/>
        <v>0.98055152485728714</v>
      </c>
      <c r="EJ82" s="8">
        <f t="shared" si="110"/>
        <v>1.0173658736915425</v>
      </c>
      <c r="EK82" s="8">
        <f t="shared" si="110"/>
        <v>0.99995401159428643</v>
      </c>
      <c r="EL82" s="8">
        <f t="shared" si="110"/>
        <v>1.0000003000633109</v>
      </c>
      <c r="EM82" s="8">
        <f t="shared" si="110"/>
        <v>0.99995530864735005</v>
      </c>
      <c r="EN82" s="8">
        <f t="shared" si="110"/>
        <v>1.0004622889562269</v>
      </c>
      <c r="EO82" s="8">
        <f t="shared" si="110"/>
        <v>1.0000080164725624</v>
      </c>
      <c r="EP82" s="8">
        <f t="shared" si="110"/>
        <v>1.0041126498260471</v>
      </c>
      <c r="EQ82" s="8">
        <f t="shared" si="110"/>
        <v>0.99705606028028815</v>
      </c>
      <c r="ER82" s="8">
        <f t="shared" si="110"/>
        <v>1.000534401644702</v>
      </c>
      <c r="ES82" s="8">
        <f t="shared" si="110"/>
        <v>1.0002144256680841</v>
      </c>
      <c r="ET82" s="8">
        <f t="shared" si="110"/>
        <v>1.0008691385743438</v>
      </c>
      <c r="EU82" s="8">
        <f t="shared" si="110"/>
        <v>1</v>
      </c>
      <c r="EV82" s="8">
        <f t="shared" si="110"/>
        <v>1</v>
      </c>
      <c r="EW82" s="8">
        <f t="shared" si="110"/>
        <v>0.99989590575753007</v>
      </c>
      <c r="EX82" s="8">
        <f t="shared" si="110"/>
        <v>1.0000389241331828</v>
      </c>
      <c r="EY82" s="8">
        <f t="shared" si="110"/>
        <v>1</v>
      </c>
      <c r="EZ82" s="8">
        <f t="shared" si="110"/>
        <v>1</v>
      </c>
      <c r="FA82" s="8">
        <f t="shared" si="110"/>
        <v>0.99975988279274863</v>
      </c>
      <c r="FB82" s="8">
        <f t="shared" si="110"/>
        <v>1.003263934555966</v>
      </c>
      <c r="FC82" s="8">
        <f t="shared" si="110"/>
        <v>1.0162801563019563</v>
      </c>
      <c r="FD82" s="8">
        <f t="shared" si="110"/>
        <v>1.0003542749490744</v>
      </c>
      <c r="FE82" s="8">
        <f t="shared" si="110"/>
        <v>0.99940274102702809</v>
      </c>
      <c r="FF82" s="8">
        <f t="shared" si="110"/>
        <v>1</v>
      </c>
      <c r="FG82" s="8">
        <f t="shared" si="110"/>
        <v>1.0001014225287592</v>
      </c>
      <c r="FH82" s="8">
        <f t="shared" si="110"/>
        <v>0.99999837630625288</v>
      </c>
      <c r="FI82" s="8">
        <f t="shared" si="110"/>
        <v>1</v>
      </c>
      <c r="FJ82" s="8">
        <f t="shared" si="110"/>
        <v>1</v>
      </c>
      <c r="FK82" s="8">
        <f t="shared" si="110"/>
        <v>0.98486843059672735</v>
      </c>
      <c r="FL82" s="8">
        <f t="shared" si="110"/>
        <v>1</v>
      </c>
      <c r="FM82" s="8">
        <f t="shared" si="110"/>
        <v>1.0003939152509547</v>
      </c>
      <c r="FN82" s="8">
        <f t="shared" si="110"/>
        <v>1</v>
      </c>
      <c r="FO82" s="8">
        <f t="shared" si="110"/>
        <v>1.0000499072073266</v>
      </c>
      <c r="FP82" s="8">
        <f t="shared" si="110"/>
        <v>1.0005729110759103</v>
      </c>
      <c r="FQ82" s="8">
        <f t="shared" si="110"/>
        <v>1.0006174008952617</v>
      </c>
      <c r="FR82" s="8">
        <f t="shared" si="110"/>
        <v>0.99337794800927437</v>
      </c>
      <c r="FS82" s="8" t="str">
        <f t="shared" si="110"/>
        <v/>
      </c>
      <c r="FT82" s="8" t="str">
        <f t="shared" si="110"/>
        <v/>
      </c>
      <c r="FU82" s="8" t="str">
        <f t="shared" si="110"/>
        <v/>
      </c>
      <c r="FV82" s="8" t="str">
        <f t="shared" si="110"/>
        <v/>
      </c>
      <c r="FW82" s="8" t="str">
        <f t="shared" si="110"/>
        <v/>
      </c>
      <c r="FX82" s="8" t="str">
        <f t="shared" si="110"/>
        <v/>
      </c>
      <c r="FY82" s="8" t="str">
        <f t="shared" si="110"/>
        <v/>
      </c>
      <c r="FZ82" s="8" t="str">
        <f t="shared" si="110"/>
        <v/>
      </c>
      <c r="GA82" s="8" t="str">
        <f t="shared" si="110"/>
        <v/>
      </c>
      <c r="GB82" s="8" t="str">
        <f t="shared" si="110"/>
        <v/>
      </c>
      <c r="GC82" s="8" t="str">
        <f t="shared" si="110"/>
        <v/>
      </c>
      <c r="GD82" s="8" t="str">
        <f t="shared" si="110"/>
        <v/>
      </c>
      <c r="GE82" s="8" t="str">
        <f t="shared" si="110"/>
        <v/>
      </c>
      <c r="GF82" s="8" t="str">
        <f t="shared" si="110"/>
        <v/>
      </c>
      <c r="GG82" s="8" t="str">
        <f t="shared" si="110"/>
        <v/>
      </c>
      <c r="GH82" s="8" t="str">
        <f t="shared" si="110"/>
        <v/>
      </c>
      <c r="GI82" s="8" t="str">
        <f t="shared" si="110"/>
        <v/>
      </c>
      <c r="GJ82" s="8" t="str">
        <f t="shared" si="110"/>
        <v/>
      </c>
      <c r="GK82" s="8" t="str">
        <f t="shared" si="110"/>
        <v/>
      </c>
      <c r="GL82" s="8" t="str">
        <f t="shared" si="110"/>
        <v/>
      </c>
      <c r="GM82" s="8" t="str">
        <f t="shared" si="110"/>
        <v/>
      </c>
      <c r="GN82" s="8" t="str">
        <f t="shared" si="110"/>
        <v/>
      </c>
      <c r="GO82" s="8" t="str">
        <f t="shared" si="110"/>
        <v/>
      </c>
      <c r="GP82" s="8" t="str">
        <f t="shared" si="110"/>
        <v/>
      </c>
      <c r="GQ82" s="8" t="str">
        <f t="shared" ref="GQ82:IV82" si="111">IF(OR(GR36 = "", GR$8 &lt; GQ$8), "", IFERROR(GR36/GQ36, ""))</f>
        <v/>
      </c>
      <c r="GR82" s="8" t="str">
        <f t="shared" si="111"/>
        <v/>
      </c>
      <c r="GS82" s="8" t="str">
        <f t="shared" si="111"/>
        <v/>
      </c>
      <c r="GT82" s="8" t="str">
        <f t="shared" si="111"/>
        <v/>
      </c>
      <c r="GU82" s="8" t="str">
        <f t="shared" si="111"/>
        <v/>
      </c>
      <c r="GV82" s="8" t="str">
        <f t="shared" si="111"/>
        <v/>
      </c>
      <c r="GW82" s="8" t="str">
        <f t="shared" si="111"/>
        <v/>
      </c>
      <c r="GX82" s="8" t="str">
        <f t="shared" si="111"/>
        <v/>
      </c>
      <c r="GY82" s="8" t="str">
        <f t="shared" si="111"/>
        <v/>
      </c>
      <c r="GZ82" s="8" t="str">
        <f t="shared" si="111"/>
        <v/>
      </c>
      <c r="HA82" s="8" t="str">
        <f t="shared" si="111"/>
        <v/>
      </c>
      <c r="HB82" s="8" t="str">
        <f t="shared" si="111"/>
        <v/>
      </c>
      <c r="HC82" s="8" t="str">
        <f t="shared" si="111"/>
        <v/>
      </c>
      <c r="HD82" s="8" t="str">
        <f t="shared" si="111"/>
        <v/>
      </c>
      <c r="HE82" s="8" t="str">
        <f t="shared" si="111"/>
        <v/>
      </c>
      <c r="HF82" s="8" t="str">
        <f t="shared" si="111"/>
        <v/>
      </c>
      <c r="HG82" s="8" t="str">
        <f t="shared" si="111"/>
        <v/>
      </c>
      <c r="HH82" s="8" t="str">
        <f t="shared" si="111"/>
        <v/>
      </c>
      <c r="HI82" s="8" t="str">
        <f t="shared" si="111"/>
        <v/>
      </c>
      <c r="HJ82" s="8" t="str">
        <f t="shared" si="111"/>
        <v/>
      </c>
      <c r="HK82" s="8" t="str">
        <f t="shared" si="111"/>
        <v/>
      </c>
      <c r="HL82" s="8" t="str">
        <f t="shared" si="111"/>
        <v/>
      </c>
      <c r="HM82" s="8" t="str">
        <f t="shared" si="111"/>
        <v/>
      </c>
      <c r="HN82" s="8" t="str">
        <f t="shared" si="111"/>
        <v/>
      </c>
      <c r="HO82" s="8" t="str">
        <f t="shared" si="111"/>
        <v/>
      </c>
      <c r="HP82" s="8" t="str">
        <f t="shared" si="111"/>
        <v/>
      </c>
      <c r="HQ82" s="8" t="str">
        <f t="shared" si="111"/>
        <v/>
      </c>
      <c r="HR82" s="8" t="str">
        <f t="shared" si="111"/>
        <v/>
      </c>
      <c r="HS82" s="8" t="str">
        <f t="shared" si="111"/>
        <v/>
      </c>
      <c r="HT82" s="8" t="str">
        <f t="shared" si="111"/>
        <v/>
      </c>
      <c r="HU82" s="8" t="str">
        <f t="shared" si="111"/>
        <v/>
      </c>
      <c r="HV82" s="8" t="str">
        <f t="shared" si="111"/>
        <v/>
      </c>
      <c r="HW82" s="8" t="str">
        <f t="shared" si="111"/>
        <v/>
      </c>
      <c r="HX82" s="8" t="str">
        <f t="shared" si="111"/>
        <v/>
      </c>
      <c r="HY82" s="8" t="str">
        <f t="shared" si="111"/>
        <v/>
      </c>
      <c r="HZ82" s="8" t="str">
        <f t="shared" si="111"/>
        <v/>
      </c>
      <c r="IA82" s="8" t="str">
        <f t="shared" si="111"/>
        <v/>
      </c>
      <c r="IB82" s="8" t="str">
        <f t="shared" si="111"/>
        <v/>
      </c>
      <c r="IC82" s="8" t="str">
        <f t="shared" si="111"/>
        <v/>
      </c>
      <c r="ID82" s="8" t="str">
        <f t="shared" si="111"/>
        <v/>
      </c>
      <c r="IE82" s="8" t="str">
        <f t="shared" si="111"/>
        <v/>
      </c>
      <c r="IF82" s="8" t="str">
        <f t="shared" si="111"/>
        <v/>
      </c>
      <c r="IG82" s="8" t="str">
        <f t="shared" si="111"/>
        <v/>
      </c>
      <c r="IH82" s="8" t="str">
        <f t="shared" si="111"/>
        <v/>
      </c>
      <c r="II82" s="8" t="str">
        <f t="shared" si="111"/>
        <v/>
      </c>
      <c r="IJ82" s="8" t="str">
        <f t="shared" si="111"/>
        <v/>
      </c>
      <c r="IK82" s="8" t="str">
        <f t="shared" si="111"/>
        <v/>
      </c>
      <c r="IL82" s="8" t="str">
        <f t="shared" si="111"/>
        <v/>
      </c>
      <c r="IM82" s="8" t="str">
        <f t="shared" si="111"/>
        <v/>
      </c>
      <c r="IN82" s="8" t="str">
        <f t="shared" si="111"/>
        <v/>
      </c>
      <c r="IO82" s="8" t="str">
        <f t="shared" si="111"/>
        <v/>
      </c>
      <c r="IP82" s="8" t="str">
        <f t="shared" si="111"/>
        <v/>
      </c>
      <c r="IQ82" s="8" t="str">
        <f t="shared" si="111"/>
        <v/>
      </c>
      <c r="IR82" s="8" t="str">
        <f t="shared" si="111"/>
        <v/>
      </c>
      <c r="IS82" s="8" t="str">
        <f t="shared" si="111"/>
        <v/>
      </c>
      <c r="IT82" s="8" t="str">
        <f t="shared" si="111"/>
        <v/>
      </c>
      <c r="IU82" s="8" t="str">
        <f t="shared" si="111"/>
        <v/>
      </c>
      <c r="IV82" s="8" t="str">
        <f t="shared" si="111"/>
        <v/>
      </c>
    </row>
    <row r="83" spans="6:256" x14ac:dyDescent="0.2">
      <c r="F83">
        <v>202103</v>
      </c>
      <c r="G83" s="8">
        <f t="shared" ref="G83:BR83" si="112">IF(OR(H37 = "", H$8 &lt; G$8), "", IFERROR(H37/G37, ""))</f>
        <v>8.7631560224941403</v>
      </c>
      <c r="H83" s="8">
        <f t="shared" si="112"/>
        <v>3.7767530337019459</v>
      </c>
      <c r="I83" s="8">
        <f t="shared" si="112"/>
        <v>1.8846529971217225</v>
      </c>
      <c r="J83" s="8">
        <f t="shared" si="112"/>
        <v>1.3684349430094613</v>
      </c>
      <c r="K83" s="8">
        <f t="shared" si="112"/>
        <v>1.1986362599277025</v>
      </c>
      <c r="L83" s="8">
        <f t="shared" si="112"/>
        <v>1.0391134560362774</v>
      </c>
      <c r="M83" s="8">
        <f t="shared" si="112"/>
        <v>1.042469006874662</v>
      </c>
      <c r="N83" s="8">
        <f t="shared" si="112"/>
        <v>1.0760277166800347</v>
      </c>
      <c r="O83" s="8">
        <f t="shared" si="112"/>
        <v>1.0064295749782031</v>
      </c>
      <c r="P83" s="8">
        <f t="shared" si="112"/>
        <v>1.0017394625103488</v>
      </c>
      <c r="Q83" s="8">
        <f t="shared" si="112"/>
        <v>1.0014607183114095</v>
      </c>
      <c r="R83" s="8">
        <f t="shared" si="112"/>
        <v>1.0004708271279503</v>
      </c>
      <c r="S83" s="8">
        <f t="shared" si="112"/>
        <v>0.99897934648500863</v>
      </c>
      <c r="T83" s="8">
        <f t="shared" si="112"/>
        <v>1.0055565291322202</v>
      </c>
      <c r="U83" s="8">
        <f t="shared" si="112"/>
        <v>1.0081133039105583</v>
      </c>
      <c r="V83" s="8">
        <f t="shared" si="112"/>
        <v>1</v>
      </c>
      <c r="W83" s="8">
        <f t="shared" si="112"/>
        <v>1.0012370025478778</v>
      </c>
      <c r="X83" s="8">
        <f t="shared" si="112"/>
        <v>1</v>
      </c>
      <c r="Y83" s="8">
        <f t="shared" si="112"/>
        <v>1.0000741276079095</v>
      </c>
      <c r="Z83" s="8">
        <f t="shared" si="112"/>
        <v>1</v>
      </c>
      <c r="AA83" s="8">
        <f t="shared" si="112"/>
        <v>1.0000360319950405</v>
      </c>
      <c r="AB83" s="8">
        <f t="shared" si="112"/>
        <v>1</v>
      </c>
      <c r="AC83" s="8">
        <f t="shared" si="112"/>
        <v>1.0000360306967826</v>
      </c>
      <c r="AD83" s="8">
        <f t="shared" si="112"/>
        <v>1.000168692127029</v>
      </c>
      <c r="AE83" s="8">
        <f t="shared" si="112"/>
        <v>1</v>
      </c>
      <c r="AF83" s="8">
        <f t="shared" si="112"/>
        <v>1</v>
      </c>
      <c r="AG83" s="8">
        <f t="shared" si="112"/>
        <v>1.0000498187706912</v>
      </c>
      <c r="AH83" s="8">
        <f t="shared" si="112"/>
        <v>1.0000255122617883</v>
      </c>
      <c r="AI83" s="8">
        <f t="shared" si="112"/>
        <v>1</v>
      </c>
      <c r="AJ83" s="8">
        <f t="shared" si="112"/>
        <v>1</v>
      </c>
      <c r="AK83" s="8">
        <f t="shared" si="112"/>
        <v>1.0000553264434986</v>
      </c>
      <c r="AL83" s="8">
        <f t="shared" si="112"/>
        <v>1.0005193944886295</v>
      </c>
      <c r="AM83" s="8">
        <f t="shared" si="112"/>
        <v>1</v>
      </c>
      <c r="AN83" s="8">
        <f t="shared" si="112"/>
        <v>1</v>
      </c>
      <c r="AO83" s="8">
        <f t="shared" si="112"/>
        <v>1</v>
      </c>
      <c r="AP83" s="8">
        <f t="shared" si="112"/>
        <v>1</v>
      </c>
      <c r="AQ83" s="8">
        <f t="shared" si="112"/>
        <v>1.0000556637074398</v>
      </c>
      <c r="AR83" s="8">
        <f t="shared" si="112"/>
        <v>1.0120055890916979</v>
      </c>
      <c r="AS83" s="8">
        <f t="shared" si="112"/>
        <v>1</v>
      </c>
      <c r="AT83" s="8">
        <f t="shared" si="112"/>
        <v>1.0000078404163331</v>
      </c>
      <c r="AU83" s="8" t="str">
        <f t="shared" si="112"/>
        <v/>
      </c>
      <c r="AV83" s="8" t="str">
        <f t="shared" si="112"/>
        <v/>
      </c>
      <c r="AW83" s="8" t="str">
        <f t="shared" si="112"/>
        <v/>
      </c>
      <c r="AX83" s="8" t="str">
        <f t="shared" si="112"/>
        <v/>
      </c>
      <c r="AY83" s="8" t="str">
        <f t="shared" si="112"/>
        <v/>
      </c>
      <c r="AZ83" s="8" t="str">
        <f t="shared" si="112"/>
        <v/>
      </c>
      <c r="BA83" s="8" t="str">
        <f t="shared" si="112"/>
        <v/>
      </c>
      <c r="BB83" s="8" t="str">
        <f t="shared" si="112"/>
        <v/>
      </c>
      <c r="BC83" s="8" t="str">
        <f t="shared" si="112"/>
        <v/>
      </c>
      <c r="BD83" s="8" t="str">
        <f t="shared" si="112"/>
        <v/>
      </c>
      <c r="BE83" s="8" t="str">
        <f t="shared" si="112"/>
        <v/>
      </c>
      <c r="BF83" s="8" t="str">
        <f t="shared" si="112"/>
        <v/>
      </c>
      <c r="BG83" s="8" t="str">
        <f t="shared" si="112"/>
        <v/>
      </c>
      <c r="BH83" s="8" t="str">
        <f t="shared" si="112"/>
        <v/>
      </c>
      <c r="BI83" s="8" t="str">
        <f t="shared" si="112"/>
        <v/>
      </c>
      <c r="BJ83" s="8" t="str">
        <f t="shared" si="112"/>
        <v/>
      </c>
      <c r="BK83" s="8" t="str">
        <f t="shared" si="112"/>
        <v/>
      </c>
      <c r="BL83" s="8" t="str">
        <f t="shared" si="112"/>
        <v/>
      </c>
      <c r="BM83" s="8" t="str">
        <f t="shared" si="112"/>
        <v/>
      </c>
      <c r="BN83" s="8" t="str">
        <f t="shared" si="112"/>
        <v/>
      </c>
      <c r="BO83" s="8" t="str">
        <f t="shared" si="112"/>
        <v/>
      </c>
      <c r="BP83" s="8" t="str">
        <f t="shared" si="112"/>
        <v/>
      </c>
      <c r="BQ83" s="8" t="str">
        <f t="shared" si="112"/>
        <v/>
      </c>
      <c r="BR83" s="8" t="str">
        <f t="shared" si="112"/>
        <v/>
      </c>
      <c r="BS83" s="8" t="str">
        <f t="shared" ref="BS83:ED83" si="113">IF(OR(BT37 = "", BT$8 &lt; BS$8), "", IFERROR(BT37/BS37, ""))</f>
        <v/>
      </c>
      <c r="BT83" s="8" t="str">
        <f t="shared" si="113"/>
        <v/>
      </c>
      <c r="BU83" s="8" t="str">
        <f t="shared" si="113"/>
        <v/>
      </c>
      <c r="BV83" s="8" t="str">
        <f t="shared" si="113"/>
        <v/>
      </c>
      <c r="BW83" s="8" t="str">
        <f t="shared" si="113"/>
        <v/>
      </c>
      <c r="BX83" s="8" t="str">
        <f t="shared" si="113"/>
        <v/>
      </c>
      <c r="BY83" s="8" t="str">
        <f t="shared" si="113"/>
        <v/>
      </c>
      <c r="BZ83" s="8" t="str">
        <f t="shared" si="113"/>
        <v/>
      </c>
      <c r="CA83" s="8" t="str">
        <f t="shared" si="113"/>
        <v/>
      </c>
      <c r="CB83" s="8" t="str">
        <f t="shared" si="113"/>
        <v/>
      </c>
      <c r="CC83" s="8" t="str">
        <f t="shared" si="113"/>
        <v/>
      </c>
      <c r="CD83" s="8" t="str">
        <f t="shared" si="113"/>
        <v/>
      </c>
      <c r="CE83" s="8" t="str">
        <f t="shared" si="113"/>
        <v/>
      </c>
      <c r="CF83" s="8" t="str">
        <f t="shared" si="113"/>
        <v/>
      </c>
      <c r="CG83" s="8" t="str">
        <f t="shared" si="113"/>
        <v/>
      </c>
      <c r="CH83" s="8" t="str">
        <f t="shared" si="113"/>
        <v/>
      </c>
      <c r="CI83" s="8" t="str">
        <f t="shared" si="113"/>
        <v/>
      </c>
      <c r="CJ83" s="8" t="str">
        <f t="shared" si="113"/>
        <v/>
      </c>
      <c r="CK83" s="8" t="str">
        <f t="shared" si="113"/>
        <v/>
      </c>
      <c r="CL83" s="8" t="str">
        <f t="shared" si="113"/>
        <v/>
      </c>
      <c r="CM83" s="8" t="str">
        <f t="shared" si="113"/>
        <v/>
      </c>
      <c r="CN83" s="8" t="str">
        <f t="shared" si="113"/>
        <v/>
      </c>
      <c r="CO83" s="8" t="str">
        <f t="shared" si="113"/>
        <v/>
      </c>
      <c r="CP83" s="8" t="str">
        <f t="shared" si="113"/>
        <v/>
      </c>
      <c r="CQ83" s="8" t="str">
        <f t="shared" si="113"/>
        <v/>
      </c>
      <c r="CR83" s="8" t="str">
        <f t="shared" si="113"/>
        <v/>
      </c>
      <c r="CS83" s="8" t="str">
        <f t="shared" si="113"/>
        <v/>
      </c>
      <c r="CT83" s="8" t="str">
        <f t="shared" si="113"/>
        <v/>
      </c>
      <c r="CU83" s="8" t="str">
        <f t="shared" si="113"/>
        <v/>
      </c>
      <c r="CV83" s="8" t="str">
        <f t="shared" si="113"/>
        <v/>
      </c>
      <c r="CW83" s="8" t="str">
        <f t="shared" si="113"/>
        <v/>
      </c>
      <c r="CX83" s="8" t="str">
        <f t="shared" si="113"/>
        <v/>
      </c>
      <c r="CY83" s="8" t="str">
        <f t="shared" si="113"/>
        <v/>
      </c>
      <c r="CZ83" s="8" t="str">
        <f t="shared" si="113"/>
        <v/>
      </c>
      <c r="DA83" s="8" t="str">
        <f t="shared" si="113"/>
        <v/>
      </c>
      <c r="DB83" s="8" t="str">
        <f t="shared" si="113"/>
        <v/>
      </c>
      <c r="DC83" s="8" t="str">
        <f t="shared" si="113"/>
        <v/>
      </c>
      <c r="DD83" s="8" t="str">
        <f t="shared" si="113"/>
        <v/>
      </c>
      <c r="DE83" s="8" t="str">
        <f t="shared" si="113"/>
        <v/>
      </c>
      <c r="DF83" s="8" t="str">
        <f t="shared" si="113"/>
        <v/>
      </c>
      <c r="DG83" s="8" t="str">
        <f t="shared" si="113"/>
        <v/>
      </c>
      <c r="DH83" s="8" t="str">
        <f t="shared" si="113"/>
        <v/>
      </c>
      <c r="DI83" s="8" t="str">
        <f t="shared" si="113"/>
        <v/>
      </c>
      <c r="DJ83" s="8" t="str">
        <f t="shared" si="113"/>
        <v/>
      </c>
      <c r="DK83" s="8" t="str">
        <f t="shared" si="113"/>
        <v/>
      </c>
      <c r="DL83" s="8" t="str">
        <f t="shared" si="113"/>
        <v/>
      </c>
      <c r="DM83" s="8" t="str">
        <f t="shared" si="113"/>
        <v/>
      </c>
      <c r="DN83" s="8" t="str">
        <f t="shared" si="113"/>
        <v/>
      </c>
      <c r="DO83" s="8" t="str">
        <f t="shared" si="113"/>
        <v/>
      </c>
      <c r="DP83" s="8" t="str">
        <f t="shared" si="113"/>
        <v/>
      </c>
      <c r="DQ83" s="8" t="str">
        <f t="shared" si="113"/>
        <v/>
      </c>
      <c r="DR83" s="8" t="str">
        <f t="shared" si="113"/>
        <v/>
      </c>
      <c r="DS83" s="8" t="str">
        <f t="shared" si="113"/>
        <v/>
      </c>
      <c r="DT83" s="8" t="str">
        <f t="shared" si="113"/>
        <v/>
      </c>
      <c r="DU83" s="8" t="str">
        <f t="shared" si="113"/>
        <v/>
      </c>
      <c r="DV83" s="8" t="str">
        <f t="shared" si="113"/>
        <v/>
      </c>
      <c r="DW83" s="8" t="str">
        <f t="shared" si="113"/>
        <v/>
      </c>
      <c r="DX83" s="8" t="str">
        <f t="shared" si="113"/>
        <v/>
      </c>
      <c r="DY83" s="8" t="str">
        <f t="shared" si="113"/>
        <v/>
      </c>
      <c r="DZ83" s="8" t="str">
        <f t="shared" si="113"/>
        <v/>
      </c>
      <c r="EA83" s="8" t="str">
        <f t="shared" si="113"/>
        <v/>
      </c>
      <c r="EB83" s="8">
        <f t="shared" si="113"/>
        <v>2.803698768489018</v>
      </c>
      <c r="EC83" s="8">
        <f t="shared" si="113"/>
        <v>1.4290993706635</v>
      </c>
      <c r="ED83" s="8">
        <f t="shared" si="113"/>
        <v>1.1853936064658863</v>
      </c>
      <c r="EE83" s="8">
        <f t="shared" ref="EE83:GP83" si="114">IF(OR(EF37 = "", EF$8 &lt; EE$8), "", IFERROR(EF37/EE37, ""))</f>
        <v>1.0686859439994225</v>
      </c>
      <c r="EF83" s="8">
        <f t="shared" si="114"/>
        <v>0.99743229721531401</v>
      </c>
      <c r="EG83" s="8">
        <f t="shared" si="114"/>
        <v>1.0038793985355574</v>
      </c>
      <c r="EH83" s="8">
        <f t="shared" si="114"/>
        <v>0.9829475820102459</v>
      </c>
      <c r="EI83" s="8">
        <f t="shared" si="114"/>
        <v>0.98400214653713625</v>
      </c>
      <c r="EJ83" s="8">
        <f t="shared" si="114"/>
        <v>0.99965026995536643</v>
      </c>
      <c r="EK83" s="8">
        <f t="shared" si="114"/>
        <v>0.99925149400548907</v>
      </c>
      <c r="EL83" s="8">
        <f t="shared" si="114"/>
        <v>1.0000461770239795</v>
      </c>
      <c r="EM83" s="8">
        <f t="shared" si="114"/>
        <v>0.99999877040238772</v>
      </c>
      <c r="EN83" s="8">
        <f t="shared" si="114"/>
        <v>0.99783263596467775</v>
      </c>
      <c r="EO83" s="8">
        <f t="shared" si="114"/>
        <v>1.0064440564698027</v>
      </c>
      <c r="EP83" s="8">
        <f t="shared" si="114"/>
        <v>0.9999768682510759</v>
      </c>
      <c r="EQ83" s="8">
        <f t="shared" si="114"/>
        <v>1</v>
      </c>
      <c r="ER83" s="8">
        <f t="shared" si="114"/>
        <v>1.0011851667411211</v>
      </c>
      <c r="ES83" s="8">
        <f t="shared" si="114"/>
        <v>1.0001062931890417</v>
      </c>
      <c r="ET83" s="8">
        <f t="shared" si="114"/>
        <v>0.99996473557395904</v>
      </c>
      <c r="EU83" s="8">
        <f t="shared" si="114"/>
        <v>1</v>
      </c>
      <c r="EV83" s="8">
        <f t="shared" si="114"/>
        <v>1.0000345239916228</v>
      </c>
      <c r="EW83" s="8">
        <f t="shared" si="114"/>
        <v>1</v>
      </c>
      <c r="EX83" s="8">
        <f t="shared" si="114"/>
        <v>1.0000065336661381</v>
      </c>
      <c r="EY83" s="8">
        <f t="shared" si="114"/>
        <v>1.0001616370712667</v>
      </c>
      <c r="EZ83" s="8">
        <f t="shared" si="114"/>
        <v>1.0000291831756887</v>
      </c>
      <c r="FA83" s="8">
        <f t="shared" si="114"/>
        <v>1</v>
      </c>
      <c r="FB83" s="8">
        <f t="shared" si="114"/>
        <v>0.96928655068883685</v>
      </c>
      <c r="FC83" s="8">
        <f t="shared" si="114"/>
        <v>1.0000356478233765</v>
      </c>
      <c r="FD83" s="8">
        <f t="shared" si="114"/>
        <v>1</v>
      </c>
      <c r="FE83" s="8">
        <f t="shared" si="114"/>
        <v>1</v>
      </c>
      <c r="FF83" s="8">
        <f t="shared" si="114"/>
        <v>1.0000546933278216</v>
      </c>
      <c r="FG83" s="8">
        <f t="shared" si="114"/>
        <v>1.0005134512400073</v>
      </c>
      <c r="FH83" s="8">
        <f t="shared" si="114"/>
        <v>1</v>
      </c>
      <c r="FI83" s="8">
        <f t="shared" si="114"/>
        <v>1.0180100188032848</v>
      </c>
      <c r="FJ83" s="8">
        <f t="shared" si="114"/>
        <v>1</v>
      </c>
      <c r="FK83" s="8">
        <f t="shared" si="114"/>
        <v>1</v>
      </c>
      <c r="FL83" s="8">
        <f t="shared" si="114"/>
        <v>1.0000935384895198</v>
      </c>
      <c r="FM83" s="8">
        <f t="shared" si="114"/>
        <v>0.99395932180965862</v>
      </c>
      <c r="FN83" s="8">
        <f t="shared" si="114"/>
        <v>0.99997477467038043</v>
      </c>
      <c r="FO83" s="8">
        <f t="shared" si="114"/>
        <v>0.99996566591616876</v>
      </c>
      <c r="FP83" s="8" t="str">
        <f t="shared" si="114"/>
        <v/>
      </c>
      <c r="FQ83" s="8" t="str">
        <f t="shared" si="114"/>
        <v/>
      </c>
      <c r="FR83" s="8" t="str">
        <f t="shared" si="114"/>
        <v/>
      </c>
      <c r="FS83" s="8" t="str">
        <f t="shared" si="114"/>
        <v/>
      </c>
      <c r="FT83" s="8" t="str">
        <f t="shared" si="114"/>
        <v/>
      </c>
      <c r="FU83" s="8" t="str">
        <f t="shared" si="114"/>
        <v/>
      </c>
      <c r="FV83" s="8" t="str">
        <f t="shared" si="114"/>
        <v/>
      </c>
      <c r="FW83" s="8" t="str">
        <f t="shared" si="114"/>
        <v/>
      </c>
      <c r="FX83" s="8" t="str">
        <f t="shared" si="114"/>
        <v/>
      </c>
      <c r="FY83" s="8" t="str">
        <f t="shared" si="114"/>
        <v/>
      </c>
      <c r="FZ83" s="8" t="str">
        <f t="shared" si="114"/>
        <v/>
      </c>
      <c r="GA83" s="8" t="str">
        <f t="shared" si="114"/>
        <v/>
      </c>
      <c r="GB83" s="8" t="str">
        <f t="shared" si="114"/>
        <v/>
      </c>
      <c r="GC83" s="8" t="str">
        <f t="shared" si="114"/>
        <v/>
      </c>
      <c r="GD83" s="8" t="str">
        <f t="shared" si="114"/>
        <v/>
      </c>
      <c r="GE83" s="8" t="str">
        <f t="shared" si="114"/>
        <v/>
      </c>
      <c r="GF83" s="8" t="str">
        <f t="shared" si="114"/>
        <v/>
      </c>
      <c r="GG83" s="8" t="str">
        <f t="shared" si="114"/>
        <v/>
      </c>
      <c r="GH83" s="8" t="str">
        <f t="shared" si="114"/>
        <v/>
      </c>
      <c r="GI83" s="8" t="str">
        <f t="shared" si="114"/>
        <v/>
      </c>
      <c r="GJ83" s="8" t="str">
        <f t="shared" si="114"/>
        <v/>
      </c>
      <c r="GK83" s="8" t="str">
        <f t="shared" si="114"/>
        <v/>
      </c>
      <c r="GL83" s="8" t="str">
        <f t="shared" si="114"/>
        <v/>
      </c>
      <c r="GM83" s="8" t="str">
        <f t="shared" si="114"/>
        <v/>
      </c>
      <c r="GN83" s="8" t="str">
        <f t="shared" si="114"/>
        <v/>
      </c>
      <c r="GO83" s="8" t="str">
        <f t="shared" si="114"/>
        <v/>
      </c>
      <c r="GP83" s="8" t="str">
        <f t="shared" si="114"/>
        <v/>
      </c>
      <c r="GQ83" s="8" t="str">
        <f t="shared" ref="GQ83:IV83" si="115">IF(OR(GR37 = "", GR$8 &lt; GQ$8), "", IFERROR(GR37/GQ37, ""))</f>
        <v/>
      </c>
      <c r="GR83" s="8" t="str">
        <f t="shared" si="115"/>
        <v/>
      </c>
      <c r="GS83" s="8" t="str">
        <f t="shared" si="115"/>
        <v/>
      </c>
      <c r="GT83" s="8" t="str">
        <f t="shared" si="115"/>
        <v/>
      </c>
      <c r="GU83" s="8" t="str">
        <f t="shared" si="115"/>
        <v/>
      </c>
      <c r="GV83" s="8" t="str">
        <f t="shared" si="115"/>
        <v/>
      </c>
      <c r="GW83" s="8" t="str">
        <f t="shared" si="115"/>
        <v/>
      </c>
      <c r="GX83" s="8" t="str">
        <f t="shared" si="115"/>
        <v/>
      </c>
      <c r="GY83" s="8" t="str">
        <f t="shared" si="115"/>
        <v/>
      </c>
      <c r="GZ83" s="8" t="str">
        <f t="shared" si="115"/>
        <v/>
      </c>
      <c r="HA83" s="8" t="str">
        <f t="shared" si="115"/>
        <v/>
      </c>
      <c r="HB83" s="8" t="str">
        <f t="shared" si="115"/>
        <v/>
      </c>
      <c r="HC83" s="8" t="str">
        <f t="shared" si="115"/>
        <v/>
      </c>
      <c r="HD83" s="8" t="str">
        <f t="shared" si="115"/>
        <v/>
      </c>
      <c r="HE83" s="8" t="str">
        <f t="shared" si="115"/>
        <v/>
      </c>
      <c r="HF83" s="8" t="str">
        <f t="shared" si="115"/>
        <v/>
      </c>
      <c r="HG83" s="8" t="str">
        <f t="shared" si="115"/>
        <v/>
      </c>
      <c r="HH83" s="8" t="str">
        <f t="shared" si="115"/>
        <v/>
      </c>
      <c r="HI83" s="8" t="str">
        <f t="shared" si="115"/>
        <v/>
      </c>
      <c r="HJ83" s="8" t="str">
        <f t="shared" si="115"/>
        <v/>
      </c>
      <c r="HK83" s="8" t="str">
        <f t="shared" si="115"/>
        <v/>
      </c>
      <c r="HL83" s="8" t="str">
        <f t="shared" si="115"/>
        <v/>
      </c>
      <c r="HM83" s="8" t="str">
        <f t="shared" si="115"/>
        <v/>
      </c>
      <c r="HN83" s="8" t="str">
        <f t="shared" si="115"/>
        <v/>
      </c>
      <c r="HO83" s="8" t="str">
        <f t="shared" si="115"/>
        <v/>
      </c>
      <c r="HP83" s="8" t="str">
        <f t="shared" si="115"/>
        <v/>
      </c>
      <c r="HQ83" s="8" t="str">
        <f t="shared" si="115"/>
        <v/>
      </c>
      <c r="HR83" s="8" t="str">
        <f t="shared" si="115"/>
        <v/>
      </c>
      <c r="HS83" s="8" t="str">
        <f t="shared" si="115"/>
        <v/>
      </c>
      <c r="HT83" s="8" t="str">
        <f t="shared" si="115"/>
        <v/>
      </c>
      <c r="HU83" s="8" t="str">
        <f t="shared" si="115"/>
        <v/>
      </c>
      <c r="HV83" s="8" t="str">
        <f t="shared" si="115"/>
        <v/>
      </c>
      <c r="HW83" s="8" t="str">
        <f t="shared" si="115"/>
        <v/>
      </c>
      <c r="HX83" s="8" t="str">
        <f t="shared" si="115"/>
        <v/>
      </c>
      <c r="HY83" s="8" t="str">
        <f t="shared" si="115"/>
        <v/>
      </c>
      <c r="HZ83" s="8" t="str">
        <f t="shared" si="115"/>
        <v/>
      </c>
      <c r="IA83" s="8" t="str">
        <f t="shared" si="115"/>
        <v/>
      </c>
      <c r="IB83" s="8" t="str">
        <f t="shared" si="115"/>
        <v/>
      </c>
      <c r="IC83" s="8" t="str">
        <f t="shared" si="115"/>
        <v/>
      </c>
      <c r="ID83" s="8" t="str">
        <f t="shared" si="115"/>
        <v/>
      </c>
      <c r="IE83" s="8" t="str">
        <f t="shared" si="115"/>
        <v/>
      </c>
      <c r="IF83" s="8" t="str">
        <f t="shared" si="115"/>
        <v/>
      </c>
      <c r="IG83" s="8" t="str">
        <f t="shared" si="115"/>
        <v/>
      </c>
      <c r="IH83" s="8" t="str">
        <f t="shared" si="115"/>
        <v/>
      </c>
      <c r="II83" s="8" t="str">
        <f t="shared" si="115"/>
        <v/>
      </c>
      <c r="IJ83" s="8" t="str">
        <f t="shared" si="115"/>
        <v/>
      </c>
      <c r="IK83" s="8" t="str">
        <f t="shared" si="115"/>
        <v/>
      </c>
      <c r="IL83" s="8" t="str">
        <f t="shared" si="115"/>
        <v/>
      </c>
      <c r="IM83" s="8" t="str">
        <f t="shared" si="115"/>
        <v/>
      </c>
      <c r="IN83" s="8" t="str">
        <f t="shared" si="115"/>
        <v/>
      </c>
      <c r="IO83" s="8" t="str">
        <f t="shared" si="115"/>
        <v/>
      </c>
      <c r="IP83" s="8" t="str">
        <f t="shared" si="115"/>
        <v/>
      </c>
      <c r="IQ83" s="8" t="str">
        <f t="shared" si="115"/>
        <v/>
      </c>
      <c r="IR83" s="8" t="str">
        <f t="shared" si="115"/>
        <v/>
      </c>
      <c r="IS83" s="8" t="str">
        <f t="shared" si="115"/>
        <v/>
      </c>
      <c r="IT83" s="8" t="str">
        <f t="shared" si="115"/>
        <v/>
      </c>
      <c r="IU83" s="8" t="str">
        <f t="shared" si="115"/>
        <v/>
      </c>
      <c r="IV83" s="8" t="str">
        <f t="shared" si="115"/>
        <v/>
      </c>
    </row>
    <row r="84" spans="6:256" x14ac:dyDescent="0.2">
      <c r="F84">
        <v>202106</v>
      </c>
      <c r="G84" s="8" t="str">
        <f t="shared" ref="G84:BR84" si="116">IF(OR(H38 = "", H$8 &lt; G$8), "", IFERROR(H38/G38, ""))</f>
        <v/>
      </c>
      <c r="H84" s="8">
        <f t="shared" si="116"/>
        <v>3.2867509693999559</v>
      </c>
      <c r="I84" s="8">
        <f t="shared" si="116"/>
        <v>2.1649998086797821</v>
      </c>
      <c r="J84" s="8">
        <f t="shared" si="116"/>
        <v>1.5186526513355179</v>
      </c>
      <c r="K84" s="8">
        <f t="shared" si="116"/>
        <v>1.110206842199521</v>
      </c>
      <c r="L84" s="8">
        <f t="shared" si="116"/>
        <v>1.0291757167062883</v>
      </c>
      <c r="M84" s="8">
        <f t="shared" si="116"/>
        <v>1.0116689712222111</v>
      </c>
      <c r="N84" s="8">
        <f t="shared" si="116"/>
        <v>1.0147888111282211</v>
      </c>
      <c r="O84" s="8">
        <f t="shared" si="116"/>
        <v>1.0160876467826818</v>
      </c>
      <c r="P84" s="8">
        <f t="shared" si="116"/>
        <v>1.0006050081791247</v>
      </c>
      <c r="Q84" s="8">
        <f t="shared" si="116"/>
        <v>1.0039336744072316</v>
      </c>
      <c r="R84" s="8">
        <f t="shared" si="116"/>
        <v>1.0001222711292337</v>
      </c>
      <c r="S84" s="8">
        <f t="shared" si="116"/>
        <v>1.0075339478718119</v>
      </c>
      <c r="T84" s="8">
        <f t="shared" si="116"/>
        <v>1.000978972013153</v>
      </c>
      <c r="U84" s="8">
        <f t="shared" si="116"/>
        <v>1</v>
      </c>
      <c r="V84" s="8">
        <f t="shared" si="116"/>
        <v>1</v>
      </c>
      <c r="W84" s="8">
        <f t="shared" si="116"/>
        <v>1.0021905106901632</v>
      </c>
      <c r="X84" s="8">
        <f t="shared" si="116"/>
        <v>1</v>
      </c>
      <c r="Y84" s="8">
        <f t="shared" si="116"/>
        <v>1</v>
      </c>
      <c r="Z84" s="8">
        <f t="shared" si="116"/>
        <v>1.0005653846198095</v>
      </c>
      <c r="AA84" s="8">
        <f t="shared" si="116"/>
        <v>1.0020295434457087</v>
      </c>
      <c r="AB84" s="8">
        <f t="shared" si="116"/>
        <v>1.0000003831871718</v>
      </c>
      <c r="AC84" s="8">
        <f t="shared" si="116"/>
        <v>1</v>
      </c>
      <c r="AD84" s="8">
        <f t="shared" si="116"/>
        <v>1.0000056444350789</v>
      </c>
      <c r="AE84" s="8">
        <f t="shared" si="116"/>
        <v>1.0003562264072052</v>
      </c>
      <c r="AF84" s="8">
        <f t="shared" si="116"/>
        <v>1</v>
      </c>
      <c r="AG84" s="8">
        <f t="shared" si="116"/>
        <v>1.0003229158493521</v>
      </c>
      <c r="AH84" s="8">
        <f t="shared" si="116"/>
        <v>1.0004519575111388</v>
      </c>
      <c r="AI84" s="8">
        <f t="shared" si="116"/>
        <v>1</v>
      </c>
      <c r="AJ84" s="8">
        <f t="shared" si="116"/>
        <v>1.0053775604345543</v>
      </c>
      <c r="AK84" s="8">
        <f t="shared" si="116"/>
        <v>1.0002692273296394</v>
      </c>
      <c r="AL84" s="8">
        <f t="shared" si="116"/>
        <v>1.0016287638845203</v>
      </c>
      <c r="AM84" s="8">
        <f t="shared" si="116"/>
        <v>1</v>
      </c>
      <c r="AN84" s="8">
        <f t="shared" si="116"/>
        <v>1</v>
      </c>
      <c r="AO84" s="8">
        <f t="shared" si="116"/>
        <v>0.98734233386680992</v>
      </c>
      <c r="AP84" s="8">
        <f t="shared" si="116"/>
        <v>1.0148694400911664</v>
      </c>
      <c r="AQ84" s="8">
        <f t="shared" si="116"/>
        <v>1</v>
      </c>
      <c r="AR84" s="8" t="str">
        <f t="shared" si="116"/>
        <v/>
      </c>
      <c r="AS84" s="8" t="str">
        <f t="shared" si="116"/>
        <v/>
      </c>
      <c r="AT84" s="8" t="str">
        <f t="shared" si="116"/>
        <v/>
      </c>
      <c r="AU84" s="8" t="str">
        <f t="shared" si="116"/>
        <v/>
      </c>
      <c r="AV84" s="8" t="str">
        <f t="shared" si="116"/>
        <v/>
      </c>
      <c r="AW84" s="8" t="str">
        <f t="shared" si="116"/>
        <v/>
      </c>
      <c r="AX84" s="8" t="str">
        <f t="shared" si="116"/>
        <v/>
      </c>
      <c r="AY84" s="8" t="str">
        <f t="shared" si="116"/>
        <v/>
      </c>
      <c r="AZ84" s="8" t="str">
        <f t="shared" si="116"/>
        <v/>
      </c>
      <c r="BA84" s="8" t="str">
        <f t="shared" si="116"/>
        <v/>
      </c>
      <c r="BB84" s="8" t="str">
        <f t="shared" si="116"/>
        <v/>
      </c>
      <c r="BC84" s="8" t="str">
        <f t="shared" si="116"/>
        <v/>
      </c>
      <c r="BD84" s="8" t="str">
        <f t="shared" si="116"/>
        <v/>
      </c>
      <c r="BE84" s="8" t="str">
        <f t="shared" si="116"/>
        <v/>
      </c>
      <c r="BF84" s="8" t="str">
        <f t="shared" si="116"/>
        <v/>
      </c>
      <c r="BG84" s="8" t="str">
        <f t="shared" si="116"/>
        <v/>
      </c>
      <c r="BH84" s="8" t="str">
        <f t="shared" si="116"/>
        <v/>
      </c>
      <c r="BI84" s="8" t="str">
        <f t="shared" si="116"/>
        <v/>
      </c>
      <c r="BJ84" s="8" t="str">
        <f t="shared" si="116"/>
        <v/>
      </c>
      <c r="BK84" s="8" t="str">
        <f t="shared" si="116"/>
        <v/>
      </c>
      <c r="BL84" s="8" t="str">
        <f t="shared" si="116"/>
        <v/>
      </c>
      <c r="BM84" s="8" t="str">
        <f t="shared" si="116"/>
        <v/>
      </c>
      <c r="BN84" s="8" t="str">
        <f t="shared" si="116"/>
        <v/>
      </c>
      <c r="BO84" s="8" t="str">
        <f t="shared" si="116"/>
        <v/>
      </c>
      <c r="BP84" s="8" t="str">
        <f t="shared" si="116"/>
        <v/>
      </c>
      <c r="BQ84" s="8" t="str">
        <f t="shared" si="116"/>
        <v/>
      </c>
      <c r="BR84" s="8" t="str">
        <f t="shared" si="116"/>
        <v/>
      </c>
      <c r="BS84" s="8" t="str">
        <f t="shared" ref="BS84:ED84" si="117">IF(OR(BT38 = "", BT$8 &lt; BS$8), "", IFERROR(BT38/BS38, ""))</f>
        <v/>
      </c>
      <c r="BT84" s="8" t="str">
        <f t="shared" si="117"/>
        <v/>
      </c>
      <c r="BU84" s="8" t="str">
        <f t="shared" si="117"/>
        <v/>
      </c>
      <c r="BV84" s="8" t="str">
        <f t="shared" si="117"/>
        <v/>
      </c>
      <c r="BW84" s="8" t="str">
        <f t="shared" si="117"/>
        <v/>
      </c>
      <c r="BX84" s="8" t="str">
        <f t="shared" si="117"/>
        <v/>
      </c>
      <c r="BY84" s="8" t="str">
        <f t="shared" si="117"/>
        <v/>
      </c>
      <c r="BZ84" s="8" t="str">
        <f t="shared" si="117"/>
        <v/>
      </c>
      <c r="CA84" s="8" t="str">
        <f t="shared" si="117"/>
        <v/>
      </c>
      <c r="CB84" s="8" t="str">
        <f t="shared" si="117"/>
        <v/>
      </c>
      <c r="CC84" s="8" t="str">
        <f t="shared" si="117"/>
        <v/>
      </c>
      <c r="CD84" s="8" t="str">
        <f t="shared" si="117"/>
        <v/>
      </c>
      <c r="CE84" s="8" t="str">
        <f t="shared" si="117"/>
        <v/>
      </c>
      <c r="CF84" s="8" t="str">
        <f t="shared" si="117"/>
        <v/>
      </c>
      <c r="CG84" s="8" t="str">
        <f t="shared" si="117"/>
        <v/>
      </c>
      <c r="CH84" s="8" t="str">
        <f t="shared" si="117"/>
        <v/>
      </c>
      <c r="CI84" s="8" t="str">
        <f t="shared" si="117"/>
        <v/>
      </c>
      <c r="CJ84" s="8" t="str">
        <f t="shared" si="117"/>
        <v/>
      </c>
      <c r="CK84" s="8" t="str">
        <f t="shared" si="117"/>
        <v/>
      </c>
      <c r="CL84" s="8" t="str">
        <f t="shared" si="117"/>
        <v/>
      </c>
      <c r="CM84" s="8" t="str">
        <f t="shared" si="117"/>
        <v/>
      </c>
      <c r="CN84" s="8" t="str">
        <f t="shared" si="117"/>
        <v/>
      </c>
      <c r="CO84" s="8" t="str">
        <f t="shared" si="117"/>
        <v/>
      </c>
      <c r="CP84" s="8" t="str">
        <f t="shared" si="117"/>
        <v/>
      </c>
      <c r="CQ84" s="8" t="str">
        <f t="shared" si="117"/>
        <v/>
      </c>
      <c r="CR84" s="8" t="str">
        <f t="shared" si="117"/>
        <v/>
      </c>
      <c r="CS84" s="8" t="str">
        <f t="shared" si="117"/>
        <v/>
      </c>
      <c r="CT84" s="8" t="str">
        <f t="shared" si="117"/>
        <v/>
      </c>
      <c r="CU84" s="8" t="str">
        <f t="shared" si="117"/>
        <v/>
      </c>
      <c r="CV84" s="8" t="str">
        <f t="shared" si="117"/>
        <v/>
      </c>
      <c r="CW84" s="8" t="str">
        <f t="shared" si="117"/>
        <v/>
      </c>
      <c r="CX84" s="8" t="str">
        <f t="shared" si="117"/>
        <v/>
      </c>
      <c r="CY84" s="8" t="str">
        <f t="shared" si="117"/>
        <v/>
      </c>
      <c r="CZ84" s="8" t="str">
        <f t="shared" si="117"/>
        <v/>
      </c>
      <c r="DA84" s="8" t="str">
        <f t="shared" si="117"/>
        <v/>
      </c>
      <c r="DB84" s="8" t="str">
        <f t="shared" si="117"/>
        <v/>
      </c>
      <c r="DC84" s="8" t="str">
        <f t="shared" si="117"/>
        <v/>
      </c>
      <c r="DD84" s="8" t="str">
        <f t="shared" si="117"/>
        <v/>
      </c>
      <c r="DE84" s="8" t="str">
        <f t="shared" si="117"/>
        <v/>
      </c>
      <c r="DF84" s="8" t="str">
        <f t="shared" si="117"/>
        <v/>
      </c>
      <c r="DG84" s="8" t="str">
        <f t="shared" si="117"/>
        <v/>
      </c>
      <c r="DH84" s="8" t="str">
        <f t="shared" si="117"/>
        <v/>
      </c>
      <c r="DI84" s="8" t="str">
        <f t="shared" si="117"/>
        <v/>
      </c>
      <c r="DJ84" s="8" t="str">
        <f t="shared" si="117"/>
        <v/>
      </c>
      <c r="DK84" s="8" t="str">
        <f t="shared" si="117"/>
        <v/>
      </c>
      <c r="DL84" s="8" t="str">
        <f t="shared" si="117"/>
        <v/>
      </c>
      <c r="DM84" s="8" t="str">
        <f t="shared" si="117"/>
        <v/>
      </c>
      <c r="DN84" s="8" t="str">
        <f t="shared" si="117"/>
        <v/>
      </c>
      <c r="DO84" s="8" t="str">
        <f t="shared" si="117"/>
        <v/>
      </c>
      <c r="DP84" s="8" t="str">
        <f t="shared" si="117"/>
        <v/>
      </c>
      <c r="DQ84" s="8" t="str">
        <f t="shared" si="117"/>
        <v/>
      </c>
      <c r="DR84" s="8" t="str">
        <f t="shared" si="117"/>
        <v/>
      </c>
      <c r="DS84" s="8" t="str">
        <f t="shared" si="117"/>
        <v/>
      </c>
      <c r="DT84" s="8" t="str">
        <f t="shared" si="117"/>
        <v/>
      </c>
      <c r="DU84" s="8" t="str">
        <f t="shared" si="117"/>
        <v/>
      </c>
      <c r="DV84" s="8" t="str">
        <f t="shared" si="117"/>
        <v/>
      </c>
      <c r="DW84" s="8" t="str">
        <f t="shared" si="117"/>
        <v/>
      </c>
      <c r="DX84" s="8" t="str">
        <f t="shared" si="117"/>
        <v/>
      </c>
      <c r="DY84" s="8" t="str">
        <f t="shared" si="117"/>
        <v/>
      </c>
      <c r="DZ84" s="8" t="str">
        <f t="shared" si="117"/>
        <v/>
      </c>
      <c r="EA84" s="8" t="str">
        <f t="shared" si="117"/>
        <v/>
      </c>
      <c r="EB84" s="8">
        <f t="shared" si="117"/>
        <v>3.9530221035947712</v>
      </c>
      <c r="EC84" s="8">
        <f t="shared" si="117"/>
        <v>1.4593129544194026</v>
      </c>
      <c r="ED84" s="8">
        <f t="shared" si="117"/>
        <v>1.3274462644750276</v>
      </c>
      <c r="EE84" s="8">
        <f t="shared" ref="EE84:GP84" si="118">IF(OR(EF38 = "", EF$8 &lt; EE$8), "", IFERROR(EF38/EE38, ""))</f>
        <v>1.0243036175633307</v>
      </c>
      <c r="EF84" s="8">
        <f t="shared" si="118"/>
        <v>1.0073439032512743</v>
      </c>
      <c r="EG84" s="8">
        <f t="shared" si="118"/>
        <v>0.99634528081868534</v>
      </c>
      <c r="EH84" s="8">
        <f t="shared" si="118"/>
        <v>1.000792125007069</v>
      </c>
      <c r="EI84" s="8">
        <f t="shared" si="118"/>
        <v>1.0035433673478611</v>
      </c>
      <c r="EJ84" s="8">
        <f t="shared" si="118"/>
        <v>1.0037653966471709</v>
      </c>
      <c r="EK84" s="8">
        <f t="shared" si="118"/>
        <v>1.0001253049449641</v>
      </c>
      <c r="EL84" s="8">
        <f t="shared" si="118"/>
        <v>0.99958446168890103</v>
      </c>
      <c r="EM84" s="8">
        <f t="shared" si="118"/>
        <v>0.99999964164031363</v>
      </c>
      <c r="EN84" s="8">
        <f t="shared" si="118"/>
        <v>1.0033435755157483</v>
      </c>
      <c r="EO84" s="8">
        <f t="shared" si="118"/>
        <v>1.0001024014661031</v>
      </c>
      <c r="EP84" s="8">
        <f t="shared" si="118"/>
        <v>1</v>
      </c>
      <c r="EQ84" s="8">
        <f t="shared" si="118"/>
        <v>1</v>
      </c>
      <c r="ER84" s="8">
        <f t="shared" si="118"/>
        <v>0.9943930627995955</v>
      </c>
      <c r="ES84" s="8">
        <f t="shared" si="118"/>
        <v>1.0010586583618046</v>
      </c>
      <c r="ET84" s="8">
        <f t="shared" si="118"/>
        <v>0.9993231751747057</v>
      </c>
      <c r="EU84" s="8">
        <f t="shared" si="118"/>
        <v>1.0000194870324819</v>
      </c>
      <c r="EV84" s="8">
        <f t="shared" si="118"/>
        <v>1.0000191589817984</v>
      </c>
      <c r="EW84" s="8">
        <f t="shared" si="118"/>
        <v>0.99937068427688813</v>
      </c>
      <c r="EX84" s="8">
        <f t="shared" si="118"/>
        <v>1</v>
      </c>
      <c r="EY84" s="8">
        <f t="shared" si="118"/>
        <v>0.99294172688117543</v>
      </c>
      <c r="EZ84" s="8">
        <f t="shared" si="118"/>
        <v>1.0002933018106641</v>
      </c>
      <c r="FA84" s="8">
        <f t="shared" si="118"/>
        <v>1</v>
      </c>
      <c r="FB84" s="8">
        <f t="shared" si="118"/>
        <v>1.0003227918296484</v>
      </c>
      <c r="FC84" s="8">
        <f t="shared" si="118"/>
        <v>1.0000277721822961</v>
      </c>
      <c r="FD84" s="8">
        <f t="shared" si="118"/>
        <v>1</v>
      </c>
      <c r="FE84" s="8">
        <f t="shared" si="118"/>
        <v>1.005377775927571</v>
      </c>
      <c r="FF84" s="8">
        <f t="shared" si="118"/>
        <v>1.0001509335687564</v>
      </c>
      <c r="FG84" s="8">
        <f t="shared" si="118"/>
        <v>1.001940527272932</v>
      </c>
      <c r="FH84" s="8">
        <f t="shared" si="118"/>
        <v>1</v>
      </c>
      <c r="FI84" s="8">
        <f t="shared" si="118"/>
        <v>1.0000000762526633</v>
      </c>
      <c r="FJ84" s="8">
        <f t="shared" si="118"/>
        <v>1.0020849033622148</v>
      </c>
      <c r="FK84" s="8">
        <f t="shared" si="118"/>
        <v>0.99993847655734747</v>
      </c>
      <c r="FL84" s="8">
        <f t="shared" si="118"/>
        <v>0.99984716311477928</v>
      </c>
      <c r="FM84" s="8" t="str">
        <f t="shared" si="118"/>
        <v/>
      </c>
      <c r="FN84" s="8" t="str">
        <f t="shared" si="118"/>
        <v/>
      </c>
      <c r="FO84" s="8" t="str">
        <f t="shared" si="118"/>
        <v/>
      </c>
      <c r="FP84" s="8" t="str">
        <f t="shared" si="118"/>
        <v/>
      </c>
      <c r="FQ84" s="8" t="str">
        <f t="shared" si="118"/>
        <v/>
      </c>
      <c r="FR84" s="8" t="str">
        <f t="shared" si="118"/>
        <v/>
      </c>
      <c r="FS84" s="8" t="str">
        <f t="shared" si="118"/>
        <v/>
      </c>
      <c r="FT84" s="8" t="str">
        <f t="shared" si="118"/>
        <v/>
      </c>
      <c r="FU84" s="8" t="str">
        <f t="shared" si="118"/>
        <v/>
      </c>
      <c r="FV84" s="8" t="str">
        <f t="shared" si="118"/>
        <v/>
      </c>
      <c r="FW84" s="8" t="str">
        <f t="shared" si="118"/>
        <v/>
      </c>
      <c r="FX84" s="8" t="str">
        <f t="shared" si="118"/>
        <v/>
      </c>
      <c r="FY84" s="8" t="str">
        <f t="shared" si="118"/>
        <v/>
      </c>
      <c r="FZ84" s="8" t="str">
        <f t="shared" si="118"/>
        <v/>
      </c>
      <c r="GA84" s="8" t="str">
        <f t="shared" si="118"/>
        <v/>
      </c>
      <c r="GB84" s="8" t="str">
        <f t="shared" si="118"/>
        <v/>
      </c>
      <c r="GC84" s="8" t="str">
        <f t="shared" si="118"/>
        <v/>
      </c>
      <c r="GD84" s="8" t="str">
        <f t="shared" si="118"/>
        <v/>
      </c>
      <c r="GE84" s="8" t="str">
        <f t="shared" si="118"/>
        <v/>
      </c>
      <c r="GF84" s="8" t="str">
        <f t="shared" si="118"/>
        <v/>
      </c>
      <c r="GG84" s="8" t="str">
        <f t="shared" si="118"/>
        <v/>
      </c>
      <c r="GH84" s="8" t="str">
        <f t="shared" si="118"/>
        <v/>
      </c>
      <c r="GI84" s="8" t="str">
        <f t="shared" si="118"/>
        <v/>
      </c>
      <c r="GJ84" s="8" t="str">
        <f t="shared" si="118"/>
        <v/>
      </c>
      <c r="GK84" s="8" t="str">
        <f t="shared" si="118"/>
        <v/>
      </c>
      <c r="GL84" s="8" t="str">
        <f t="shared" si="118"/>
        <v/>
      </c>
      <c r="GM84" s="8" t="str">
        <f t="shared" si="118"/>
        <v/>
      </c>
      <c r="GN84" s="8" t="str">
        <f t="shared" si="118"/>
        <v/>
      </c>
      <c r="GO84" s="8" t="str">
        <f t="shared" si="118"/>
        <v/>
      </c>
      <c r="GP84" s="8" t="str">
        <f t="shared" si="118"/>
        <v/>
      </c>
      <c r="GQ84" s="8" t="str">
        <f t="shared" ref="GQ84:IV84" si="119">IF(OR(GR38 = "", GR$8 &lt; GQ$8), "", IFERROR(GR38/GQ38, ""))</f>
        <v/>
      </c>
      <c r="GR84" s="8" t="str">
        <f t="shared" si="119"/>
        <v/>
      </c>
      <c r="GS84" s="8" t="str">
        <f t="shared" si="119"/>
        <v/>
      </c>
      <c r="GT84" s="8" t="str">
        <f t="shared" si="119"/>
        <v/>
      </c>
      <c r="GU84" s="8" t="str">
        <f t="shared" si="119"/>
        <v/>
      </c>
      <c r="GV84" s="8" t="str">
        <f t="shared" si="119"/>
        <v/>
      </c>
      <c r="GW84" s="8" t="str">
        <f t="shared" si="119"/>
        <v/>
      </c>
      <c r="GX84" s="8" t="str">
        <f t="shared" si="119"/>
        <v/>
      </c>
      <c r="GY84" s="8" t="str">
        <f t="shared" si="119"/>
        <v/>
      </c>
      <c r="GZ84" s="8" t="str">
        <f t="shared" si="119"/>
        <v/>
      </c>
      <c r="HA84" s="8" t="str">
        <f t="shared" si="119"/>
        <v/>
      </c>
      <c r="HB84" s="8" t="str">
        <f t="shared" si="119"/>
        <v/>
      </c>
      <c r="HC84" s="8" t="str">
        <f t="shared" si="119"/>
        <v/>
      </c>
      <c r="HD84" s="8" t="str">
        <f t="shared" si="119"/>
        <v/>
      </c>
      <c r="HE84" s="8" t="str">
        <f t="shared" si="119"/>
        <v/>
      </c>
      <c r="HF84" s="8" t="str">
        <f t="shared" si="119"/>
        <v/>
      </c>
      <c r="HG84" s="8" t="str">
        <f t="shared" si="119"/>
        <v/>
      </c>
      <c r="HH84" s="8" t="str">
        <f t="shared" si="119"/>
        <v/>
      </c>
      <c r="HI84" s="8" t="str">
        <f t="shared" si="119"/>
        <v/>
      </c>
      <c r="HJ84" s="8" t="str">
        <f t="shared" si="119"/>
        <v/>
      </c>
      <c r="HK84" s="8" t="str">
        <f t="shared" si="119"/>
        <v/>
      </c>
      <c r="HL84" s="8" t="str">
        <f t="shared" si="119"/>
        <v/>
      </c>
      <c r="HM84" s="8" t="str">
        <f t="shared" si="119"/>
        <v/>
      </c>
      <c r="HN84" s="8" t="str">
        <f t="shared" si="119"/>
        <v/>
      </c>
      <c r="HO84" s="8" t="str">
        <f t="shared" si="119"/>
        <v/>
      </c>
      <c r="HP84" s="8" t="str">
        <f t="shared" si="119"/>
        <v/>
      </c>
      <c r="HQ84" s="8" t="str">
        <f t="shared" si="119"/>
        <v/>
      </c>
      <c r="HR84" s="8" t="str">
        <f t="shared" si="119"/>
        <v/>
      </c>
      <c r="HS84" s="8" t="str">
        <f t="shared" si="119"/>
        <v/>
      </c>
      <c r="HT84" s="8" t="str">
        <f t="shared" si="119"/>
        <v/>
      </c>
      <c r="HU84" s="8" t="str">
        <f t="shared" si="119"/>
        <v/>
      </c>
      <c r="HV84" s="8" t="str">
        <f t="shared" si="119"/>
        <v/>
      </c>
      <c r="HW84" s="8" t="str">
        <f t="shared" si="119"/>
        <v/>
      </c>
      <c r="HX84" s="8" t="str">
        <f t="shared" si="119"/>
        <v/>
      </c>
      <c r="HY84" s="8" t="str">
        <f t="shared" si="119"/>
        <v/>
      </c>
      <c r="HZ84" s="8" t="str">
        <f t="shared" si="119"/>
        <v/>
      </c>
      <c r="IA84" s="8" t="str">
        <f t="shared" si="119"/>
        <v/>
      </c>
      <c r="IB84" s="8" t="str">
        <f t="shared" si="119"/>
        <v/>
      </c>
      <c r="IC84" s="8" t="str">
        <f t="shared" si="119"/>
        <v/>
      </c>
      <c r="ID84" s="8" t="str">
        <f t="shared" si="119"/>
        <v/>
      </c>
      <c r="IE84" s="8" t="str">
        <f t="shared" si="119"/>
        <v/>
      </c>
      <c r="IF84" s="8" t="str">
        <f t="shared" si="119"/>
        <v/>
      </c>
      <c r="IG84" s="8" t="str">
        <f t="shared" si="119"/>
        <v/>
      </c>
      <c r="IH84" s="8" t="str">
        <f t="shared" si="119"/>
        <v/>
      </c>
      <c r="II84" s="8" t="str">
        <f t="shared" si="119"/>
        <v/>
      </c>
      <c r="IJ84" s="8" t="str">
        <f t="shared" si="119"/>
        <v/>
      </c>
      <c r="IK84" s="8" t="str">
        <f t="shared" si="119"/>
        <v/>
      </c>
      <c r="IL84" s="8" t="str">
        <f t="shared" si="119"/>
        <v/>
      </c>
      <c r="IM84" s="8" t="str">
        <f t="shared" si="119"/>
        <v/>
      </c>
      <c r="IN84" s="8" t="str">
        <f t="shared" si="119"/>
        <v/>
      </c>
      <c r="IO84" s="8" t="str">
        <f t="shared" si="119"/>
        <v/>
      </c>
      <c r="IP84" s="8" t="str">
        <f t="shared" si="119"/>
        <v/>
      </c>
      <c r="IQ84" s="8" t="str">
        <f t="shared" si="119"/>
        <v/>
      </c>
      <c r="IR84" s="8" t="str">
        <f t="shared" si="119"/>
        <v/>
      </c>
      <c r="IS84" s="8" t="str">
        <f t="shared" si="119"/>
        <v/>
      </c>
      <c r="IT84" s="8" t="str">
        <f t="shared" si="119"/>
        <v/>
      </c>
      <c r="IU84" s="8" t="str">
        <f t="shared" si="119"/>
        <v/>
      </c>
      <c r="IV84" s="8" t="str">
        <f t="shared" si="119"/>
        <v/>
      </c>
    </row>
    <row r="85" spans="6:256" x14ac:dyDescent="0.2">
      <c r="F85">
        <v>202109</v>
      </c>
      <c r="G85" s="8">
        <f t="shared" ref="G85:BR85" si="120">IF(OR(H39 = "", H$8 &lt; G$8), "", IFERROR(H39/G39, ""))</f>
        <v>229.06584653908325</v>
      </c>
      <c r="H85" s="8">
        <f t="shared" si="120"/>
        <v>3.9201048689729561</v>
      </c>
      <c r="I85" s="8">
        <f t="shared" si="120"/>
        <v>1.6716003578511376</v>
      </c>
      <c r="J85" s="8">
        <f t="shared" si="120"/>
        <v>1.1926859101933678</v>
      </c>
      <c r="K85" s="8">
        <f t="shared" si="120"/>
        <v>1.0675151143730863</v>
      </c>
      <c r="L85" s="8">
        <f t="shared" si="120"/>
        <v>1.0002106568938807</v>
      </c>
      <c r="M85" s="8">
        <f t="shared" si="120"/>
        <v>1.0023333930925868</v>
      </c>
      <c r="N85" s="8">
        <f t="shared" si="120"/>
        <v>1.0213942902489401</v>
      </c>
      <c r="O85" s="8">
        <f t="shared" si="120"/>
        <v>1.0032868918715039</v>
      </c>
      <c r="P85" s="8">
        <f t="shared" si="120"/>
        <v>1</v>
      </c>
      <c r="Q85" s="8">
        <f t="shared" si="120"/>
        <v>1.0000055375688739</v>
      </c>
      <c r="R85" s="8">
        <f t="shared" si="120"/>
        <v>1.000183701373939</v>
      </c>
      <c r="S85" s="8">
        <f t="shared" si="120"/>
        <v>1.0017346205418269</v>
      </c>
      <c r="T85" s="8">
        <f t="shared" si="120"/>
        <v>1.000606343296623</v>
      </c>
      <c r="U85" s="8">
        <f t="shared" si="120"/>
        <v>1</v>
      </c>
      <c r="V85" s="8">
        <f t="shared" si="120"/>
        <v>1.0001283125292688</v>
      </c>
      <c r="W85" s="8">
        <f t="shared" si="120"/>
        <v>1.0000126435774301</v>
      </c>
      <c r="X85" s="8">
        <f t="shared" si="120"/>
        <v>1.0013899772191424</v>
      </c>
      <c r="Y85" s="8">
        <f t="shared" si="120"/>
        <v>1.0000359623178634</v>
      </c>
      <c r="Z85" s="8">
        <f t="shared" si="120"/>
        <v>1</v>
      </c>
      <c r="AA85" s="8">
        <f t="shared" si="120"/>
        <v>1.0001806106661646</v>
      </c>
      <c r="AB85" s="8">
        <f t="shared" si="120"/>
        <v>1</v>
      </c>
      <c r="AC85" s="8">
        <f t="shared" si="120"/>
        <v>1</v>
      </c>
      <c r="AD85" s="8">
        <f t="shared" si="120"/>
        <v>1.0001707702843003</v>
      </c>
      <c r="AE85" s="8">
        <f t="shared" si="120"/>
        <v>1.0004456723073329</v>
      </c>
      <c r="AF85" s="8">
        <f t="shared" si="120"/>
        <v>1</v>
      </c>
      <c r="AG85" s="8">
        <f t="shared" si="120"/>
        <v>1</v>
      </c>
      <c r="AH85" s="8">
        <f t="shared" si="120"/>
        <v>1.0000742456286682</v>
      </c>
      <c r="AI85" s="8">
        <f t="shared" si="120"/>
        <v>1.0001014309089726</v>
      </c>
      <c r="AJ85" s="8">
        <f t="shared" si="120"/>
        <v>1.0000142679399193</v>
      </c>
      <c r="AK85" s="8">
        <f t="shared" si="120"/>
        <v>1</v>
      </c>
      <c r="AL85" s="8">
        <f t="shared" si="120"/>
        <v>1.0022492606864608</v>
      </c>
      <c r="AM85" s="8">
        <f t="shared" si="120"/>
        <v>1.0007672620942232</v>
      </c>
      <c r="AN85" s="8">
        <f t="shared" si="120"/>
        <v>1.0000310958626275</v>
      </c>
      <c r="AO85" s="8" t="str">
        <f t="shared" si="120"/>
        <v/>
      </c>
      <c r="AP85" s="8" t="str">
        <f t="shared" si="120"/>
        <v/>
      </c>
      <c r="AQ85" s="8" t="str">
        <f t="shared" si="120"/>
        <v/>
      </c>
      <c r="AR85" s="8" t="str">
        <f t="shared" si="120"/>
        <v/>
      </c>
      <c r="AS85" s="8" t="str">
        <f t="shared" si="120"/>
        <v/>
      </c>
      <c r="AT85" s="8" t="str">
        <f t="shared" si="120"/>
        <v/>
      </c>
      <c r="AU85" s="8" t="str">
        <f t="shared" si="120"/>
        <v/>
      </c>
      <c r="AV85" s="8" t="str">
        <f t="shared" si="120"/>
        <v/>
      </c>
      <c r="AW85" s="8" t="str">
        <f t="shared" si="120"/>
        <v/>
      </c>
      <c r="AX85" s="8" t="str">
        <f t="shared" si="120"/>
        <v/>
      </c>
      <c r="AY85" s="8" t="str">
        <f t="shared" si="120"/>
        <v/>
      </c>
      <c r="AZ85" s="8" t="str">
        <f t="shared" si="120"/>
        <v/>
      </c>
      <c r="BA85" s="8" t="str">
        <f t="shared" si="120"/>
        <v/>
      </c>
      <c r="BB85" s="8" t="str">
        <f t="shared" si="120"/>
        <v/>
      </c>
      <c r="BC85" s="8" t="str">
        <f t="shared" si="120"/>
        <v/>
      </c>
      <c r="BD85" s="8" t="str">
        <f t="shared" si="120"/>
        <v/>
      </c>
      <c r="BE85" s="8" t="str">
        <f t="shared" si="120"/>
        <v/>
      </c>
      <c r="BF85" s="8" t="str">
        <f t="shared" si="120"/>
        <v/>
      </c>
      <c r="BG85" s="8" t="str">
        <f t="shared" si="120"/>
        <v/>
      </c>
      <c r="BH85" s="8" t="str">
        <f t="shared" si="120"/>
        <v/>
      </c>
      <c r="BI85" s="8" t="str">
        <f t="shared" si="120"/>
        <v/>
      </c>
      <c r="BJ85" s="8" t="str">
        <f t="shared" si="120"/>
        <v/>
      </c>
      <c r="BK85" s="8" t="str">
        <f t="shared" si="120"/>
        <v/>
      </c>
      <c r="BL85" s="8" t="str">
        <f t="shared" si="120"/>
        <v/>
      </c>
      <c r="BM85" s="8" t="str">
        <f t="shared" si="120"/>
        <v/>
      </c>
      <c r="BN85" s="8" t="str">
        <f t="shared" si="120"/>
        <v/>
      </c>
      <c r="BO85" s="8" t="str">
        <f t="shared" si="120"/>
        <v/>
      </c>
      <c r="BP85" s="8" t="str">
        <f t="shared" si="120"/>
        <v/>
      </c>
      <c r="BQ85" s="8" t="str">
        <f t="shared" si="120"/>
        <v/>
      </c>
      <c r="BR85" s="8" t="str">
        <f t="shared" si="120"/>
        <v/>
      </c>
      <c r="BS85" s="8" t="str">
        <f t="shared" ref="BS85:ED85" si="121">IF(OR(BT39 = "", BT$8 &lt; BS$8), "", IFERROR(BT39/BS39, ""))</f>
        <v/>
      </c>
      <c r="BT85" s="8" t="str">
        <f t="shared" si="121"/>
        <v/>
      </c>
      <c r="BU85" s="8" t="str">
        <f t="shared" si="121"/>
        <v/>
      </c>
      <c r="BV85" s="8" t="str">
        <f t="shared" si="121"/>
        <v/>
      </c>
      <c r="BW85" s="8" t="str">
        <f t="shared" si="121"/>
        <v/>
      </c>
      <c r="BX85" s="8" t="str">
        <f t="shared" si="121"/>
        <v/>
      </c>
      <c r="BY85" s="8" t="str">
        <f t="shared" si="121"/>
        <v/>
      </c>
      <c r="BZ85" s="8" t="str">
        <f t="shared" si="121"/>
        <v/>
      </c>
      <c r="CA85" s="8" t="str">
        <f t="shared" si="121"/>
        <v/>
      </c>
      <c r="CB85" s="8" t="str">
        <f t="shared" si="121"/>
        <v/>
      </c>
      <c r="CC85" s="8" t="str">
        <f t="shared" si="121"/>
        <v/>
      </c>
      <c r="CD85" s="8" t="str">
        <f t="shared" si="121"/>
        <v/>
      </c>
      <c r="CE85" s="8" t="str">
        <f t="shared" si="121"/>
        <v/>
      </c>
      <c r="CF85" s="8" t="str">
        <f t="shared" si="121"/>
        <v/>
      </c>
      <c r="CG85" s="8" t="str">
        <f t="shared" si="121"/>
        <v/>
      </c>
      <c r="CH85" s="8" t="str">
        <f t="shared" si="121"/>
        <v/>
      </c>
      <c r="CI85" s="8" t="str">
        <f t="shared" si="121"/>
        <v/>
      </c>
      <c r="CJ85" s="8" t="str">
        <f t="shared" si="121"/>
        <v/>
      </c>
      <c r="CK85" s="8" t="str">
        <f t="shared" si="121"/>
        <v/>
      </c>
      <c r="CL85" s="8" t="str">
        <f t="shared" si="121"/>
        <v/>
      </c>
      <c r="CM85" s="8" t="str">
        <f t="shared" si="121"/>
        <v/>
      </c>
      <c r="CN85" s="8" t="str">
        <f t="shared" si="121"/>
        <v/>
      </c>
      <c r="CO85" s="8" t="str">
        <f t="shared" si="121"/>
        <v/>
      </c>
      <c r="CP85" s="8" t="str">
        <f t="shared" si="121"/>
        <v/>
      </c>
      <c r="CQ85" s="8" t="str">
        <f t="shared" si="121"/>
        <v/>
      </c>
      <c r="CR85" s="8" t="str">
        <f t="shared" si="121"/>
        <v/>
      </c>
      <c r="CS85" s="8" t="str">
        <f t="shared" si="121"/>
        <v/>
      </c>
      <c r="CT85" s="8" t="str">
        <f t="shared" si="121"/>
        <v/>
      </c>
      <c r="CU85" s="8" t="str">
        <f t="shared" si="121"/>
        <v/>
      </c>
      <c r="CV85" s="8" t="str">
        <f t="shared" si="121"/>
        <v/>
      </c>
      <c r="CW85" s="8" t="str">
        <f t="shared" si="121"/>
        <v/>
      </c>
      <c r="CX85" s="8" t="str">
        <f t="shared" si="121"/>
        <v/>
      </c>
      <c r="CY85" s="8" t="str">
        <f t="shared" si="121"/>
        <v/>
      </c>
      <c r="CZ85" s="8" t="str">
        <f t="shared" si="121"/>
        <v/>
      </c>
      <c r="DA85" s="8" t="str">
        <f t="shared" si="121"/>
        <v/>
      </c>
      <c r="DB85" s="8" t="str">
        <f t="shared" si="121"/>
        <v/>
      </c>
      <c r="DC85" s="8" t="str">
        <f t="shared" si="121"/>
        <v/>
      </c>
      <c r="DD85" s="8" t="str">
        <f t="shared" si="121"/>
        <v/>
      </c>
      <c r="DE85" s="8" t="str">
        <f t="shared" si="121"/>
        <v/>
      </c>
      <c r="DF85" s="8" t="str">
        <f t="shared" si="121"/>
        <v/>
      </c>
      <c r="DG85" s="8" t="str">
        <f t="shared" si="121"/>
        <v/>
      </c>
      <c r="DH85" s="8" t="str">
        <f t="shared" si="121"/>
        <v/>
      </c>
      <c r="DI85" s="8" t="str">
        <f t="shared" si="121"/>
        <v/>
      </c>
      <c r="DJ85" s="8" t="str">
        <f t="shared" si="121"/>
        <v/>
      </c>
      <c r="DK85" s="8" t="str">
        <f t="shared" si="121"/>
        <v/>
      </c>
      <c r="DL85" s="8" t="str">
        <f t="shared" si="121"/>
        <v/>
      </c>
      <c r="DM85" s="8" t="str">
        <f t="shared" si="121"/>
        <v/>
      </c>
      <c r="DN85" s="8" t="str">
        <f t="shared" si="121"/>
        <v/>
      </c>
      <c r="DO85" s="8" t="str">
        <f t="shared" si="121"/>
        <v/>
      </c>
      <c r="DP85" s="8" t="str">
        <f t="shared" si="121"/>
        <v/>
      </c>
      <c r="DQ85" s="8" t="str">
        <f t="shared" si="121"/>
        <v/>
      </c>
      <c r="DR85" s="8" t="str">
        <f t="shared" si="121"/>
        <v/>
      </c>
      <c r="DS85" s="8" t="str">
        <f t="shared" si="121"/>
        <v/>
      </c>
      <c r="DT85" s="8" t="str">
        <f t="shared" si="121"/>
        <v/>
      </c>
      <c r="DU85" s="8" t="str">
        <f t="shared" si="121"/>
        <v/>
      </c>
      <c r="DV85" s="8" t="str">
        <f t="shared" si="121"/>
        <v/>
      </c>
      <c r="DW85" s="8" t="str">
        <f t="shared" si="121"/>
        <v/>
      </c>
      <c r="DX85" s="8" t="str">
        <f t="shared" si="121"/>
        <v/>
      </c>
      <c r="DY85" s="8" t="str">
        <f t="shared" si="121"/>
        <v/>
      </c>
      <c r="DZ85" s="8" t="str">
        <f t="shared" si="121"/>
        <v/>
      </c>
      <c r="EA85" s="8" t="str">
        <f t="shared" si="121"/>
        <v/>
      </c>
      <c r="EB85" s="8">
        <f t="shared" si="121"/>
        <v>2.2920650885245837</v>
      </c>
      <c r="EC85" s="8">
        <f t="shared" si="121"/>
        <v>1.5878453737026774</v>
      </c>
      <c r="ED85" s="8">
        <f t="shared" si="121"/>
        <v>1.021842942252277</v>
      </c>
      <c r="EE85" s="8">
        <f t="shared" ref="EE85:GP85" si="122">IF(OR(EF39 = "", EF$8 &lt; EE$8), "", IFERROR(EF39/EE39, ""))</f>
        <v>1.0410126147181962</v>
      </c>
      <c r="EF85" s="8">
        <f t="shared" si="122"/>
        <v>0.99478039960510356</v>
      </c>
      <c r="EG85" s="8">
        <f t="shared" si="122"/>
        <v>1.0002047221943058</v>
      </c>
      <c r="EH85" s="8">
        <f t="shared" si="122"/>
        <v>1.0000335921180177</v>
      </c>
      <c r="EI85" s="8">
        <f t="shared" si="122"/>
        <v>1.0015067504285338</v>
      </c>
      <c r="EJ85" s="8">
        <f t="shared" si="122"/>
        <v>0.99981632737082482</v>
      </c>
      <c r="EK85" s="8">
        <f t="shared" si="122"/>
        <v>1</v>
      </c>
      <c r="EL85" s="8">
        <f t="shared" si="122"/>
        <v>1.0000055201803701</v>
      </c>
      <c r="EM85" s="8">
        <f t="shared" si="122"/>
        <v>1.000183124536979</v>
      </c>
      <c r="EN85" s="8">
        <f t="shared" si="122"/>
        <v>0.99998397195732458</v>
      </c>
      <c r="EO85" s="8">
        <f t="shared" si="122"/>
        <v>1.0006054978573582</v>
      </c>
      <c r="EP85" s="8">
        <f t="shared" si="122"/>
        <v>1</v>
      </c>
      <c r="EQ85" s="8">
        <f t="shared" si="122"/>
        <v>1.0001281337282395</v>
      </c>
      <c r="ER85" s="8">
        <f t="shared" si="122"/>
        <v>1.0000126259611066</v>
      </c>
      <c r="ES85" s="8">
        <f t="shared" si="122"/>
        <v>0.99999583587819008</v>
      </c>
      <c r="ET85" s="8">
        <f t="shared" si="122"/>
        <v>1.0000348824422507</v>
      </c>
      <c r="EU85" s="8">
        <f t="shared" si="122"/>
        <v>1.0000745581370865</v>
      </c>
      <c r="EV85" s="8">
        <f t="shared" si="122"/>
        <v>1.0001060446225869</v>
      </c>
      <c r="EW85" s="8">
        <f t="shared" si="122"/>
        <v>1</v>
      </c>
      <c r="EX85" s="8">
        <f t="shared" si="122"/>
        <v>1</v>
      </c>
      <c r="EY85" s="8">
        <f t="shared" si="122"/>
        <v>1.0001707702842988</v>
      </c>
      <c r="EZ85" s="8">
        <f t="shared" si="122"/>
        <v>1.0004456723073285</v>
      </c>
      <c r="FA85" s="8">
        <f t="shared" si="122"/>
        <v>1</v>
      </c>
      <c r="FB85" s="8">
        <f t="shared" si="122"/>
        <v>1</v>
      </c>
      <c r="FC85" s="8">
        <f t="shared" si="122"/>
        <v>1.0000742456286675</v>
      </c>
      <c r="FD85" s="8">
        <f t="shared" si="122"/>
        <v>1.0001014309089717</v>
      </c>
      <c r="FE85" s="8">
        <f t="shared" si="122"/>
        <v>1.0000142679399191</v>
      </c>
      <c r="FF85" s="8">
        <f t="shared" si="122"/>
        <v>1.0022587075813867</v>
      </c>
      <c r="FG85" s="8">
        <f t="shared" si="122"/>
        <v>1.0215423878976135</v>
      </c>
      <c r="FH85" s="8">
        <f t="shared" si="122"/>
        <v>1.0007510749151438</v>
      </c>
      <c r="FI85" s="8">
        <f t="shared" si="122"/>
        <v>1.0000304403154192</v>
      </c>
      <c r="FJ85" s="8" t="str">
        <f t="shared" si="122"/>
        <v/>
      </c>
      <c r="FK85" s="8" t="str">
        <f t="shared" si="122"/>
        <v/>
      </c>
      <c r="FL85" s="8" t="str">
        <f t="shared" si="122"/>
        <v/>
      </c>
      <c r="FM85" s="8" t="str">
        <f t="shared" si="122"/>
        <v/>
      </c>
      <c r="FN85" s="8" t="str">
        <f t="shared" si="122"/>
        <v/>
      </c>
      <c r="FO85" s="8" t="str">
        <f t="shared" si="122"/>
        <v/>
      </c>
      <c r="FP85" s="8" t="str">
        <f t="shared" si="122"/>
        <v/>
      </c>
      <c r="FQ85" s="8" t="str">
        <f t="shared" si="122"/>
        <v/>
      </c>
      <c r="FR85" s="8" t="str">
        <f t="shared" si="122"/>
        <v/>
      </c>
      <c r="FS85" s="8" t="str">
        <f t="shared" si="122"/>
        <v/>
      </c>
      <c r="FT85" s="8" t="str">
        <f t="shared" si="122"/>
        <v/>
      </c>
      <c r="FU85" s="8" t="str">
        <f t="shared" si="122"/>
        <v/>
      </c>
      <c r="FV85" s="8" t="str">
        <f t="shared" si="122"/>
        <v/>
      </c>
      <c r="FW85" s="8" t="str">
        <f t="shared" si="122"/>
        <v/>
      </c>
      <c r="FX85" s="8" t="str">
        <f t="shared" si="122"/>
        <v/>
      </c>
      <c r="FY85" s="8" t="str">
        <f t="shared" si="122"/>
        <v/>
      </c>
      <c r="FZ85" s="8" t="str">
        <f t="shared" si="122"/>
        <v/>
      </c>
      <c r="GA85" s="8" t="str">
        <f t="shared" si="122"/>
        <v/>
      </c>
      <c r="GB85" s="8" t="str">
        <f t="shared" si="122"/>
        <v/>
      </c>
      <c r="GC85" s="8" t="str">
        <f t="shared" si="122"/>
        <v/>
      </c>
      <c r="GD85" s="8" t="str">
        <f t="shared" si="122"/>
        <v/>
      </c>
      <c r="GE85" s="8" t="str">
        <f t="shared" si="122"/>
        <v/>
      </c>
      <c r="GF85" s="8" t="str">
        <f t="shared" si="122"/>
        <v/>
      </c>
      <c r="GG85" s="8" t="str">
        <f t="shared" si="122"/>
        <v/>
      </c>
      <c r="GH85" s="8" t="str">
        <f t="shared" si="122"/>
        <v/>
      </c>
      <c r="GI85" s="8" t="str">
        <f t="shared" si="122"/>
        <v/>
      </c>
      <c r="GJ85" s="8" t="str">
        <f t="shared" si="122"/>
        <v/>
      </c>
      <c r="GK85" s="8" t="str">
        <f t="shared" si="122"/>
        <v/>
      </c>
      <c r="GL85" s="8" t="str">
        <f t="shared" si="122"/>
        <v/>
      </c>
      <c r="GM85" s="8" t="str">
        <f t="shared" si="122"/>
        <v/>
      </c>
      <c r="GN85" s="8" t="str">
        <f t="shared" si="122"/>
        <v/>
      </c>
      <c r="GO85" s="8" t="str">
        <f t="shared" si="122"/>
        <v/>
      </c>
      <c r="GP85" s="8" t="str">
        <f t="shared" si="122"/>
        <v/>
      </c>
      <c r="GQ85" s="8" t="str">
        <f t="shared" ref="GQ85:IV85" si="123">IF(OR(GR39 = "", GR$8 &lt; GQ$8), "", IFERROR(GR39/GQ39, ""))</f>
        <v/>
      </c>
      <c r="GR85" s="8" t="str">
        <f t="shared" si="123"/>
        <v/>
      </c>
      <c r="GS85" s="8" t="str">
        <f t="shared" si="123"/>
        <v/>
      </c>
      <c r="GT85" s="8" t="str">
        <f t="shared" si="123"/>
        <v/>
      </c>
      <c r="GU85" s="8" t="str">
        <f t="shared" si="123"/>
        <v/>
      </c>
      <c r="GV85" s="8" t="str">
        <f t="shared" si="123"/>
        <v/>
      </c>
      <c r="GW85" s="8" t="str">
        <f t="shared" si="123"/>
        <v/>
      </c>
      <c r="GX85" s="8" t="str">
        <f t="shared" si="123"/>
        <v/>
      </c>
      <c r="GY85" s="8" t="str">
        <f t="shared" si="123"/>
        <v/>
      </c>
      <c r="GZ85" s="8" t="str">
        <f t="shared" si="123"/>
        <v/>
      </c>
      <c r="HA85" s="8" t="str">
        <f t="shared" si="123"/>
        <v/>
      </c>
      <c r="HB85" s="8" t="str">
        <f t="shared" si="123"/>
        <v/>
      </c>
      <c r="HC85" s="8" t="str">
        <f t="shared" si="123"/>
        <v/>
      </c>
      <c r="HD85" s="8" t="str">
        <f t="shared" si="123"/>
        <v/>
      </c>
      <c r="HE85" s="8" t="str">
        <f t="shared" si="123"/>
        <v/>
      </c>
      <c r="HF85" s="8" t="str">
        <f t="shared" si="123"/>
        <v/>
      </c>
      <c r="HG85" s="8" t="str">
        <f t="shared" si="123"/>
        <v/>
      </c>
      <c r="HH85" s="8" t="str">
        <f t="shared" si="123"/>
        <v/>
      </c>
      <c r="HI85" s="8" t="str">
        <f t="shared" si="123"/>
        <v/>
      </c>
      <c r="HJ85" s="8" t="str">
        <f t="shared" si="123"/>
        <v/>
      </c>
      <c r="HK85" s="8" t="str">
        <f t="shared" si="123"/>
        <v/>
      </c>
      <c r="HL85" s="8" t="str">
        <f t="shared" si="123"/>
        <v/>
      </c>
      <c r="HM85" s="8" t="str">
        <f t="shared" si="123"/>
        <v/>
      </c>
      <c r="HN85" s="8" t="str">
        <f t="shared" si="123"/>
        <v/>
      </c>
      <c r="HO85" s="8" t="str">
        <f t="shared" si="123"/>
        <v/>
      </c>
      <c r="HP85" s="8" t="str">
        <f t="shared" si="123"/>
        <v/>
      </c>
      <c r="HQ85" s="8" t="str">
        <f t="shared" si="123"/>
        <v/>
      </c>
      <c r="HR85" s="8" t="str">
        <f t="shared" si="123"/>
        <v/>
      </c>
      <c r="HS85" s="8" t="str">
        <f t="shared" si="123"/>
        <v/>
      </c>
      <c r="HT85" s="8" t="str">
        <f t="shared" si="123"/>
        <v/>
      </c>
      <c r="HU85" s="8" t="str">
        <f t="shared" si="123"/>
        <v/>
      </c>
      <c r="HV85" s="8" t="str">
        <f t="shared" si="123"/>
        <v/>
      </c>
      <c r="HW85" s="8" t="str">
        <f t="shared" si="123"/>
        <v/>
      </c>
      <c r="HX85" s="8" t="str">
        <f t="shared" si="123"/>
        <v/>
      </c>
      <c r="HY85" s="8" t="str">
        <f t="shared" si="123"/>
        <v/>
      </c>
      <c r="HZ85" s="8" t="str">
        <f t="shared" si="123"/>
        <v/>
      </c>
      <c r="IA85" s="8" t="str">
        <f t="shared" si="123"/>
        <v/>
      </c>
      <c r="IB85" s="8" t="str">
        <f t="shared" si="123"/>
        <v/>
      </c>
      <c r="IC85" s="8" t="str">
        <f t="shared" si="123"/>
        <v/>
      </c>
      <c r="ID85" s="8" t="str">
        <f t="shared" si="123"/>
        <v/>
      </c>
      <c r="IE85" s="8" t="str">
        <f t="shared" si="123"/>
        <v/>
      </c>
      <c r="IF85" s="8" t="str">
        <f t="shared" si="123"/>
        <v/>
      </c>
      <c r="IG85" s="8" t="str">
        <f t="shared" si="123"/>
        <v/>
      </c>
      <c r="IH85" s="8" t="str">
        <f t="shared" si="123"/>
        <v/>
      </c>
      <c r="II85" s="8" t="str">
        <f t="shared" si="123"/>
        <v/>
      </c>
      <c r="IJ85" s="8" t="str">
        <f t="shared" si="123"/>
        <v/>
      </c>
      <c r="IK85" s="8" t="str">
        <f t="shared" si="123"/>
        <v/>
      </c>
      <c r="IL85" s="8" t="str">
        <f t="shared" si="123"/>
        <v/>
      </c>
      <c r="IM85" s="8" t="str">
        <f t="shared" si="123"/>
        <v/>
      </c>
      <c r="IN85" s="8" t="str">
        <f t="shared" si="123"/>
        <v/>
      </c>
      <c r="IO85" s="8" t="str">
        <f t="shared" si="123"/>
        <v/>
      </c>
      <c r="IP85" s="8" t="str">
        <f t="shared" si="123"/>
        <v/>
      </c>
      <c r="IQ85" s="8" t="str">
        <f t="shared" si="123"/>
        <v/>
      </c>
      <c r="IR85" s="8" t="str">
        <f t="shared" si="123"/>
        <v/>
      </c>
      <c r="IS85" s="8" t="str">
        <f t="shared" si="123"/>
        <v/>
      </c>
      <c r="IT85" s="8" t="str">
        <f t="shared" si="123"/>
        <v/>
      </c>
      <c r="IU85" s="8" t="str">
        <f t="shared" si="123"/>
        <v/>
      </c>
      <c r="IV85" s="8" t="str">
        <f t="shared" si="123"/>
        <v/>
      </c>
    </row>
    <row r="86" spans="6:256" x14ac:dyDescent="0.2">
      <c r="F86">
        <v>202112</v>
      </c>
      <c r="G86" s="8">
        <f t="shared" ref="G86:BR86" si="124">IF(OR(H40 = "", H$8 &lt; G$8), "", IFERROR(H40/G40, ""))</f>
        <v>36.342966926977411</v>
      </c>
      <c r="H86" s="8">
        <f t="shared" si="124"/>
        <v>5.0705269257710315</v>
      </c>
      <c r="I86" s="8">
        <f t="shared" si="124"/>
        <v>2.0413009427515827</v>
      </c>
      <c r="J86" s="8">
        <f t="shared" si="124"/>
        <v>1.2155997448188138</v>
      </c>
      <c r="K86" s="8">
        <f t="shared" si="124"/>
        <v>1.0835305568632756</v>
      </c>
      <c r="L86" s="8">
        <f t="shared" si="124"/>
        <v>1.0662518385681719</v>
      </c>
      <c r="M86" s="8">
        <f t="shared" si="124"/>
        <v>1.0022920146108369</v>
      </c>
      <c r="N86" s="8">
        <f t="shared" si="124"/>
        <v>1.0154179191386956</v>
      </c>
      <c r="O86" s="8">
        <f t="shared" si="124"/>
        <v>1.0033121132719145</v>
      </c>
      <c r="P86" s="8">
        <f t="shared" si="124"/>
        <v>1.0050697344000912</v>
      </c>
      <c r="Q86" s="8">
        <f t="shared" si="124"/>
        <v>1.0137734067104138</v>
      </c>
      <c r="R86" s="8">
        <f t="shared" si="124"/>
        <v>1.0030124199266917</v>
      </c>
      <c r="S86" s="8">
        <f t="shared" si="124"/>
        <v>1.0112637899337951</v>
      </c>
      <c r="T86" s="8">
        <f t="shared" si="124"/>
        <v>1.0106901556473356</v>
      </c>
      <c r="U86" s="8">
        <f t="shared" si="124"/>
        <v>1</v>
      </c>
      <c r="V86" s="8">
        <f t="shared" si="124"/>
        <v>1</v>
      </c>
      <c r="W86" s="8">
        <f t="shared" si="124"/>
        <v>1.0009843641156804</v>
      </c>
      <c r="X86" s="8">
        <f t="shared" si="124"/>
        <v>1.0006170478494327</v>
      </c>
      <c r="Y86" s="8">
        <f t="shared" si="124"/>
        <v>1</v>
      </c>
      <c r="Z86" s="8">
        <f t="shared" si="124"/>
        <v>1</v>
      </c>
      <c r="AA86" s="8">
        <f t="shared" si="124"/>
        <v>1</v>
      </c>
      <c r="AB86" s="8">
        <f t="shared" si="124"/>
        <v>1</v>
      </c>
      <c r="AC86" s="8">
        <f t="shared" si="124"/>
        <v>1.003557663139157</v>
      </c>
      <c r="AD86" s="8">
        <f t="shared" si="124"/>
        <v>1.0001945426963434</v>
      </c>
      <c r="AE86" s="8">
        <f t="shared" si="124"/>
        <v>1</v>
      </c>
      <c r="AF86" s="8">
        <f t="shared" si="124"/>
        <v>1</v>
      </c>
      <c r="AG86" s="8">
        <f t="shared" si="124"/>
        <v>1</v>
      </c>
      <c r="AH86" s="8">
        <f t="shared" si="124"/>
        <v>1</v>
      </c>
      <c r="AI86" s="8">
        <f t="shared" si="124"/>
        <v>1.0001187094999873</v>
      </c>
      <c r="AJ86" s="8">
        <f t="shared" si="124"/>
        <v>1.0003269305616556</v>
      </c>
      <c r="AK86" s="8">
        <f t="shared" si="124"/>
        <v>1.0009402404248644</v>
      </c>
      <c r="AL86" s="8" t="str">
        <f t="shared" si="124"/>
        <v/>
      </c>
      <c r="AM86" s="8" t="str">
        <f t="shared" si="124"/>
        <v/>
      </c>
      <c r="AN86" s="8" t="str">
        <f t="shared" si="124"/>
        <v/>
      </c>
      <c r="AO86" s="8" t="str">
        <f t="shared" si="124"/>
        <v/>
      </c>
      <c r="AP86" s="8" t="str">
        <f t="shared" si="124"/>
        <v/>
      </c>
      <c r="AQ86" s="8" t="str">
        <f t="shared" si="124"/>
        <v/>
      </c>
      <c r="AR86" s="8" t="str">
        <f t="shared" si="124"/>
        <v/>
      </c>
      <c r="AS86" s="8" t="str">
        <f t="shared" si="124"/>
        <v/>
      </c>
      <c r="AT86" s="8" t="str">
        <f t="shared" si="124"/>
        <v/>
      </c>
      <c r="AU86" s="8" t="str">
        <f t="shared" si="124"/>
        <v/>
      </c>
      <c r="AV86" s="8" t="str">
        <f t="shared" si="124"/>
        <v/>
      </c>
      <c r="AW86" s="8" t="str">
        <f t="shared" si="124"/>
        <v/>
      </c>
      <c r="AX86" s="8" t="str">
        <f t="shared" si="124"/>
        <v/>
      </c>
      <c r="AY86" s="8" t="str">
        <f t="shared" si="124"/>
        <v/>
      </c>
      <c r="AZ86" s="8" t="str">
        <f t="shared" si="124"/>
        <v/>
      </c>
      <c r="BA86" s="8" t="str">
        <f t="shared" si="124"/>
        <v/>
      </c>
      <c r="BB86" s="8" t="str">
        <f t="shared" si="124"/>
        <v/>
      </c>
      <c r="BC86" s="8" t="str">
        <f t="shared" si="124"/>
        <v/>
      </c>
      <c r="BD86" s="8" t="str">
        <f t="shared" si="124"/>
        <v/>
      </c>
      <c r="BE86" s="8" t="str">
        <f t="shared" si="124"/>
        <v/>
      </c>
      <c r="BF86" s="8" t="str">
        <f t="shared" si="124"/>
        <v/>
      </c>
      <c r="BG86" s="8" t="str">
        <f t="shared" si="124"/>
        <v/>
      </c>
      <c r="BH86" s="8" t="str">
        <f t="shared" si="124"/>
        <v/>
      </c>
      <c r="BI86" s="8" t="str">
        <f t="shared" si="124"/>
        <v/>
      </c>
      <c r="BJ86" s="8" t="str">
        <f t="shared" si="124"/>
        <v/>
      </c>
      <c r="BK86" s="8" t="str">
        <f t="shared" si="124"/>
        <v/>
      </c>
      <c r="BL86" s="8" t="str">
        <f t="shared" si="124"/>
        <v/>
      </c>
      <c r="BM86" s="8" t="str">
        <f t="shared" si="124"/>
        <v/>
      </c>
      <c r="BN86" s="8" t="str">
        <f t="shared" si="124"/>
        <v/>
      </c>
      <c r="BO86" s="8" t="str">
        <f t="shared" si="124"/>
        <v/>
      </c>
      <c r="BP86" s="8" t="str">
        <f t="shared" si="124"/>
        <v/>
      </c>
      <c r="BQ86" s="8" t="str">
        <f t="shared" si="124"/>
        <v/>
      </c>
      <c r="BR86" s="8" t="str">
        <f t="shared" si="124"/>
        <v/>
      </c>
      <c r="BS86" s="8" t="str">
        <f t="shared" ref="BS86:ED86" si="125">IF(OR(BT40 = "", BT$8 &lt; BS$8), "", IFERROR(BT40/BS40, ""))</f>
        <v/>
      </c>
      <c r="BT86" s="8" t="str">
        <f t="shared" si="125"/>
        <v/>
      </c>
      <c r="BU86" s="8" t="str">
        <f t="shared" si="125"/>
        <v/>
      </c>
      <c r="BV86" s="8" t="str">
        <f t="shared" si="125"/>
        <v/>
      </c>
      <c r="BW86" s="8" t="str">
        <f t="shared" si="125"/>
        <v/>
      </c>
      <c r="BX86" s="8" t="str">
        <f t="shared" si="125"/>
        <v/>
      </c>
      <c r="BY86" s="8" t="str">
        <f t="shared" si="125"/>
        <v/>
      </c>
      <c r="BZ86" s="8" t="str">
        <f t="shared" si="125"/>
        <v/>
      </c>
      <c r="CA86" s="8" t="str">
        <f t="shared" si="125"/>
        <v/>
      </c>
      <c r="CB86" s="8" t="str">
        <f t="shared" si="125"/>
        <v/>
      </c>
      <c r="CC86" s="8" t="str">
        <f t="shared" si="125"/>
        <v/>
      </c>
      <c r="CD86" s="8" t="str">
        <f t="shared" si="125"/>
        <v/>
      </c>
      <c r="CE86" s="8" t="str">
        <f t="shared" si="125"/>
        <v/>
      </c>
      <c r="CF86" s="8" t="str">
        <f t="shared" si="125"/>
        <v/>
      </c>
      <c r="CG86" s="8" t="str">
        <f t="shared" si="125"/>
        <v/>
      </c>
      <c r="CH86" s="8" t="str">
        <f t="shared" si="125"/>
        <v/>
      </c>
      <c r="CI86" s="8" t="str">
        <f t="shared" si="125"/>
        <v/>
      </c>
      <c r="CJ86" s="8" t="str">
        <f t="shared" si="125"/>
        <v/>
      </c>
      <c r="CK86" s="8" t="str">
        <f t="shared" si="125"/>
        <v/>
      </c>
      <c r="CL86" s="8" t="str">
        <f t="shared" si="125"/>
        <v/>
      </c>
      <c r="CM86" s="8" t="str">
        <f t="shared" si="125"/>
        <v/>
      </c>
      <c r="CN86" s="8" t="str">
        <f t="shared" si="125"/>
        <v/>
      </c>
      <c r="CO86" s="8" t="str">
        <f t="shared" si="125"/>
        <v/>
      </c>
      <c r="CP86" s="8" t="str">
        <f t="shared" si="125"/>
        <v/>
      </c>
      <c r="CQ86" s="8" t="str">
        <f t="shared" si="125"/>
        <v/>
      </c>
      <c r="CR86" s="8" t="str">
        <f t="shared" si="125"/>
        <v/>
      </c>
      <c r="CS86" s="8" t="str">
        <f t="shared" si="125"/>
        <v/>
      </c>
      <c r="CT86" s="8" t="str">
        <f t="shared" si="125"/>
        <v/>
      </c>
      <c r="CU86" s="8" t="str">
        <f t="shared" si="125"/>
        <v/>
      </c>
      <c r="CV86" s="8" t="str">
        <f t="shared" si="125"/>
        <v/>
      </c>
      <c r="CW86" s="8" t="str">
        <f t="shared" si="125"/>
        <v/>
      </c>
      <c r="CX86" s="8" t="str">
        <f t="shared" si="125"/>
        <v/>
      </c>
      <c r="CY86" s="8" t="str">
        <f t="shared" si="125"/>
        <v/>
      </c>
      <c r="CZ86" s="8" t="str">
        <f t="shared" si="125"/>
        <v/>
      </c>
      <c r="DA86" s="8" t="str">
        <f t="shared" si="125"/>
        <v/>
      </c>
      <c r="DB86" s="8" t="str">
        <f t="shared" si="125"/>
        <v/>
      </c>
      <c r="DC86" s="8" t="str">
        <f t="shared" si="125"/>
        <v/>
      </c>
      <c r="DD86" s="8" t="str">
        <f t="shared" si="125"/>
        <v/>
      </c>
      <c r="DE86" s="8" t="str">
        <f t="shared" si="125"/>
        <v/>
      </c>
      <c r="DF86" s="8" t="str">
        <f t="shared" si="125"/>
        <v/>
      </c>
      <c r="DG86" s="8" t="str">
        <f t="shared" si="125"/>
        <v/>
      </c>
      <c r="DH86" s="8" t="str">
        <f t="shared" si="125"/>
        <v/>
      </c>
      <c r="DI86" s="8" t="str">
        <f t="shared" si="125"/>
        <v/>
      </c>
      <c r="DJ86" s="8" t="str">
        <f t="shared" si="125"/>
        <v/>
      </c>
      <c r="DK86" s="8" t="str">
        <f t="shared" si="125"/>
        <v/>
      </c>
      <c r="DL86" s="8" t="str">
        <f t="shared" si="125"/>
        <v/>
      </c>
      <c r="DM86" s="8" t="str">
        <f t="shared" si="125"/>
        <v/>
      </c>
      <c r="DN86" s="8" t="str">
        <f t="shared" si="125"/>
        <v/>
      </c>
      <c r="DO86" s="8" t="str">
        <f t="shared" si="125"/>
        <v/>
      </c>
      <c r="DP86" s="8" t="str">
        <f t="shared" si="125"/>
        <v/>
      </c>
      <c r="DQ86" s="8" t="str">
        <f t="shared" si="125"/>
        <v/>
      </c>
      <c r="DR86" s="8" t="str">
        <f t="shared" si="125"/>
        <v/>
      </c>
      <c r="DS86" s="8" t="str">
        <f t="shared" si="125"/>
        <v/>
      </c>
      <c r="DT86" s="8" t="str">
        <f t="shared" si="125"/>
        <v/>
      </c>
      <c r="DU86" s="8" t="str">
        <f t="shared" si="125"/>
        <v/>
      </c>
      <c r="DV86" s="8" t="str">
        <f t="shared" si="125"/>
        <v/>
      </c>
      <c r="DW86" s="8" t="str">
        <f t="shared" si="125"/>
        <v/>
      </c>
      <c r="DX86" s="8" t="str">
        <f t="shared" si="125"/>
        <v/>
      </c>
      <c r="DY86" s="8" t="str">
        <f t="shared" si="125"/>
        <v/>
      </c>
      <c r="DZ86" s="8" t="str">
        <f t="shared" si="125"/>
        <v/>
      </c>
      <c r="EA86" s="8" t="str">
        <f t="shared" si="125"/>
        <v/>
      </c>
      <c r="EB86" s="8">
        <f t="shared" si="125"/>
        <v>1.8315750526911929</v>
      </c>
      <c r="EC86" s="8">
        <f t="shared" si="125"/>
        <v>1.8881315511548833</v>
      </c>
      <c r="ED86" s="8">
        <f t="shared" si="125"/>
        <v>1.3488601317048448</v>
      </c>
      <c r="EE86" s="8">
        <f t="shared" ref="EE86:GP86" si="126">IF(OR(EF40 = "", EF$8 &lt; EE$8), "", IFERROR(EF40/EE40, ""))</f>
        <v>1.0146798336372524</v>
      </c>
      <c r="EF86" s="8">
        <f t="shared" si="126"/>
        <v>1.0015749364064983</v>
      </c>
      <c r="EG86" s="8">
        <f t="shared" si="126"/>
        <v>0.99519702758223605</v>
      </c>
      <c r="EH86" s="8">
        <f t="shared" si="126"/>
        <v>1.0138108641299053</v>
      </c>
      <c r="EI86" s="8">
        <f t="shared" si="126"/>
        <v>1.0036211590365962</v>
      </c>
      <c r="EJ86" s="8">
        <f t="shared" si="126"/>
        <v>1.0200149312254436</v>
      </c>
      <c r="EK86" s="8">
        <f t="shared" si="126"/>
        <v>1.0095153778922503</v>
      </c>
      <c r="EL86" s="8">
        <f t="shared" si="126"/>
        <v>1.0003483148527541</v>
      </c>
      <c r="EM86" s="8">
        <f t="shared" si="126"/>
        <v>1.0000040643115651</v>
      </c>
      <c r="EN86" s="8">
        <f t="shared" si="126"/>
        <v>1.0101710054892326</v>
      </c>
      <c r="EO86" s="8">
        <f t="shared" si="126"/>
        <v>0.99997100960155749</v>
      </c>
      <c r="EP86" s="8">
        <f t="shared" si="126"/>
        <v>1</v>
      </c>
      <c r="EQ86" s="8">
        <f t="shared" si="126"/>
        <v>1.0000602646892043</v>
      </c>
      <c r="ER86" s="8">
        <f t="shared" si="126"/>
        <v>1.0000402530288961</v>
      </c>
      <c r="ES86" s="8">
        <f t="shared" si="126"/>
        <v>0.99683153213298947</v>
      </c>
      <c r="ET86" s="8">
        <f t="shared" si="126"/>
        <v>1</v>
      </c>
      <c r="EU86" s="8">
        <f t="shared" si="126"/>
        <v>1</v>
      </c>
      <c r="EV86" s="8">
        <f t="shared" si="126"/>
        <v>1.0032265829742755</v>
      </c>
      <c r="EW86" s="8">
        <f t="shared" si="126"/>
        <v>1</v>
      </c>
      <c r="EX86" s="8">
        <f t="shared" si="126"/>
        <v>1.0000389750211309</v>
      </c>
      <c r="EY86" s="8">
        <f t="shared" si="126"/>
        <v>1.0001786284402503</v>
      </c>
      <c r="EZ86" s="8">
        <f t="shared" si="126"/>
        <v>1</v>
      </c>
      <c r="FA86" s="8">
        <f t="shared" si="126"/>
        <v>1</v>
      </c>
      <c r="FB86" s="8">
        <f t="shared" si="126"/>
        <v>1</v>
      </c>
      <c r="FC86" s="8">
        <f t="shared" si="126"/>
        <v>1.000040743649006</v>
      </c>
      <c r="FD86" s="8">
        <f t="shared" si="126"/>
        <v>1.0225164926438739</v>
      </c>
      <c r="FE86" s="8">
        <f t="shared" si="126"/>
        <v>1.0002546197872786</v>
      </c>
      <c r="FF86" s="8">
        <f t="shared" si="126"/>
        <v>1.0002208725772965</v>
      </c>
      <c r="FG86" s="8" t="str">
        <f t="shared" si="126"/>
        <v/>
      </c>
      <c r="FH86" s="8" t="str">
        <f t="shared" si="126"/>
        <v/>
      </c>
      <c r="FI86" s="8" t="str">
        <f t="shared" si="126"/>
        <v/>
      </c>
      <c r="FJ86" s="8" t="str">
        <f t="shared" si="126"/>
        <v/>
      </c>
      <c r="FK86" s="8" t="str">
        <f t="shared" si="126"/>
        <v/>
      </c>
      <c r="FL86" s="8" t="str">
        <f t="shared" si="126"/>
        <v/>
      </c>
      <c r="FM86" s="8" t="str">
        <f t="shared" si="126"/>
        <v/>
      </c>
      <c r="FN86" s="8" t="str">
        <f t="shared" si="126"/>
        <v/>
      </c>
      <c r="FO86" s="8" t="str">
        <f t="shared" si="126"/>
        <v/>
      </c>
      <c r="FP86" s="8" t="str">
        <f t="shared" si="126"/>
        <v/>
      </c>
      <c r="FQ86" s="8" t="str">
        <f t="shared" si="126"/>
        <v/>
      </c>
      <c r="FR86" s="8" t="str">
        <f t="shared" si="126"/>
        <v/>
      </c>
      <c r="FS86" s="8" t="str">
        <f t="shared" si="126"/>
        <v/>
      </c>
      <c r="FT86" s="8" t="str">
        <f t="shared" si="126"/>
        <v/>
      </c>
      <c r="FU86" s="8" t="str">
        <f t="shared" si="126"/>
        <v/>
      </c>
      <c r="FV86" s="8" t="str">
        <f t="shared" si="126"/>
        <v/>
      </c>
      <c r="FW86" s="8" t="str">
        <f t="shared" si="126"/>
        <v/>
      </c>
      <c r="FX86" s="8" t="str">
        <f t="shared" si="126"/>
        <v/>
      </c>
      <c r="FY86" s="8" t="str">
        <f t="shared" si="126"/>
        <v/>
      </c>
      <c r="FZ86" s="8" t="str">
        <f t="shared" si="126"/>
        <v/>
      </c>
      <c r="GA86" s="8" t="str">
        <f t="shared" si="126"/>
        <v/>
      </c>
      <c r="GB86" s="8" t="str">
        <f t="shared" si="126"/>
        <v/>
      </c>
      <c r="GC86" s="8" t="str">
        <f t="shared" si="126"/>
        <v/>
      </c>
      <c r="GD86" s="8" t="str">
        <f t="shared" si="126"/>
        <v/>
      </c>
      <c r="GE86" s="8" t="str">
        <f t="shared" si="126"/>
        <v/>
      </c>
      <c r="GF86" s="8" t="str">
        <f t="shared" si="126"/>
        <v/>
      </c>
      <c r="GG86" s="8" t="str">
        <f t="shared" si="126"/>
        <v/>
      </c>
      <c r="GH86" s="8" t="str">
        <f t="shared" si="126"/>
        <v/>
      </c>
      <c r="GI86" s="8" t="str">
        <f t="shared" si="126"/>
        <v/>
      </c>
      <c r="GJ86" s="8" t="str">
        <f t="shared" si="126"/>
        <v/>
      </c>
      <c r="GK86" s="8" t="str">
        <f t="shared" si="126"/>
        <v/>
      </c>
      <c r="GL86" s="8" t="str">
        <f t="shared" si="126"/>
        <v/>
      </c>
      <c r="GM86" s="8" t="str">
        <f t="shared" si="126"/>
        <v/>
      </c>
      <c r="GN86" s="8" t="str">
        <f t="shared" si="126"/>
        <v/>
      </c>
      <c r="GO86" s="8" t="str">
        <f t="shared" si="126"/>
        <v/>
      </c>
      <c r="GP86" s="8" t="str">
        <f t="shared" si="126"/>
        <v/>
      </c>
      <c r="GQ86" s="8" t="str">
        <f t="shared" ref="GQ86:IV86" si="127">IF(OR(GR40 = "", GR$8 &lt; GQ$8), "", IFERROR(GR40/GQ40, ""))</f>
        <v/>
      </c>
      <c r="GR86" s="8" t="str">
        <f t="shared" si="127"/>
        <v/>
      </c>
      <c r="GS86" s="8" t="str">
        <f t="shared" si="127"/>
        <v/>
      </c>
      <c r="GT86" s="8" t="str">
        <f t="shared" si="127"/>
        <v/>
      </c>
      <c r="GU86" s="8" t="str">
        <f t="shared" si="127"/>
        <v/>
      </c>
      <c r="GV86" s="8" t="str">
        <f t="shared" si="127"/>
        <v/>
      </c>
      <c r="GW86" s="8" t="str">
        <f t="shared" si="127"/>
        <v/>
      </c>
      <c r="GX86" s="8" t="str">
        <f t="shared" si="127"/>
        <v/>
      </c>
      <c r="GY86" s="8" t="str">
        <f t="shared" si="127"/>
        <v/>
      </c>
      <c r="GZ86" s="8" t="str">
        <f t="shared" si="127"/>
        <v/>
      </c>
      <c r="HA86" s="8" t="str">
        <f t="shared" si="127"/>
        <v/>
      </c>
      <c r="HB86" s="8" t="str">
        <f t="shared" si="127"/>
        <v/>
      </c>
      <c r="HC86" s="8" t="str">
        <f t="shared" si="127"/>
        <v/>
      </c>
      <c r="HD86" s="8" t="str">
        <f t="shared" si="127"/>
        <v/>
      </c>
      <c r="HE86" s="8" t="str">
        <f t="shared" si="127"/>
        <v/>
      </c>
      <c r="HF86" s="8" t="str">
        <f t="shared" si="127"/>
        <v/>
      </c>
      <c r="HG86" s="8" t="str">
        <f t="shared" si="127"/>
        <v/>
      </c>
      <c r="HH86" s="8" t="str">
        <f t="shared" si="127"/>
        <v/>
      </c>
      <c r="HI86" s="8" t="str">
        <f t="shared" si="127"/>
        <v/>
      </c>
      <c r="HJ86" s="8" t="str">
        <f t="shared" si="127"/>
        <v/>
      </c>
      <c r="HK86" s="8" t="str">
        <f t="shared" si="127"/>
        <v/>
      </c>
      <c r="HL86" s="8" t="str">
        <f t="shared" si="127"/>
        <v/>
      </c>
      <c r="HM86" s="8" t="str">
        <f t="shared" si="127"/>
        <v/>
      </c>
      <c r="HN86" s="8" t="str">
        <f t="shared" si="127"/>
        <v/>
      </c>
      <c r="HO86" s="8" t="str">
        <f t="shared" si="127"/>
        <v/>
      </c>
      <c r="HP86" s="8" t="str">
        <f t="shared" si="127"/>
        <v/>
      </c>
      <c r="HQ86" s="8" t="str">
        <f t="shared" si="127"/>
        <v/>
      </c>
      <c r="HR86" s="8" t="str">
        <f t="shared" si="127"/>
        <v/>
      </c>
      <c r="HS86" s="8" t="str">
        <f t="shared" si="127"/>
        <v/>
      </c>
      <c r="HT86" s="8" t="str">
        <f t="shared" si="127"/>
        <v/>
      </c>
      <c r="HU86" s="8" t="str">
        <f t="shared" si="127"/>
        <v/>
      </c>
      <c r="HV86" s="8" t="str">
        <f t="shared" si="127"/>
        <v/>
      </c>
      <c r="HW86" s="8" t="str">
        <f t="shared" si="127"/>
        <v/>
      </c>
      <c r="HX86" s="8" t="str">
        <f t="shared" si="127"/>
        <v/>
      </c>
      <c r="HY86" s="8" t="str">
        <f t="shared" si="127"/>
        <v/>
      </c>
      <c r="HZ86" s="8" t="str">
        <f t="shared" si="127"/>
        <v/>
      </c>
      <c r="IA86" s="8" t="str">
        <f t="shared" si="127"/>
        <v/>
      </c>
      <c r="IB86" s="8" t="str">
        <f t="shared" si="127"/>
        <v/>
      </c>
      <c r="IC86" s="8" t="str">
        <f t="shared" si="127"/>
        <v/>
      </c>
      <c r="ID86" s="8" t="str">
        <f t="shared" si="127"/>
        <v/>
      </c>
      <c r="IE86" s="8" t="str">
        <f t="shared" si="127"/>
        <v/>
      </c>
      <c r="IF86" s="8" t="str">
        <f t="shared" si="127"/>
        <v/>
      </c>
      <c r="IG86" s="8" t="str">
        <f t="shared" si="127"/>
        <v/>
      </c>
      <c r="IH86" s="8" t="str">
        <f t="shared" si="127"/>
        <v/>
      </c>
      <c r="II86" s="8" t="str">
        <f t="shared" si="127"/>
        <v/>
      </c>
      <c r="IJ86" s="8" t="str">
        <f t="shared" si="127"/>
        <v/>
      </c>
      <c r="IK86" s="8" t="str">
        <f t="shared" si="127"/>
        <v/>
      </c>
      <c r="IL86" s="8" t="str">
        <f t="shared" si="127"/>
        <v/>
      </c>
      <c r="IM86" s="8" t="str">
        <f t="shared" si="127"/>
        <v/>
      </c>
      <c r="IN86" s="8" t="str">
        <f t="shared" si="127"/>
        <v/>
      </c>
      <c r="IO86" s="8" t="str">
        <f t="shared" si="127"/>
        <v/>
      </c>
      <c r="IP86" s="8" t="str">
        <f t="shared" si="127"/>
        <v/>
      </c>
      <c r="IQ86" s="8" t="str">
        <f t="shared" si="127"/>
        <v/>
      </c>
      <c r="IR86" s="8" t="str">
        <f t="shared" si="127"/>
        <v/>
      </c>
      <c r="IS86" s="8" t="str">
        <f t="shared" si="127"/>
        <v/>
      </c>
      <c r="IT86" s="8" t="str">
        <f t="shared" si="127"/>
        <v/>
      </c>
      <c r="IU86" s="8" t="str">
        <f t="shared" si="127"/>
        <v/>
      </c>
      <c r="IV86" s="8" t="str">
        <f t="shared" si="127"/>
        <v/>
      </c>
    </row>
    <row r="87" spans="6:256" x14ac:dyDescent="0.2">
      <c r="F87">
        <v>202203</v>
      </c>
      <c r="G87" s="8">
        <f t="shared" ref="G87:BR87" si="128">IF(OR(H41 = "", H$8 &lt; G$8), "", IFERROR(H41/G41, ""))</f>
        <v>9.0344945787381441</v>
      </c>
      <c r="H87" s="8">
        <f t="shared" si="128"/>
        <v>10.859343356463468</v>
      </c>
      <c r="I87" s="8">
        <f t="shared" si="128"/>
        <v>1.6102065723879806</v>
      </c>
      <c r="J87" s="8">
        <f t="shared" si="128"/>
        <v>1.0877198249490339</v>
      </c>
      <c r="K87" s="8">
        <f t="shared" si="128"/>
        <v>1.0540790358883774</v>
      </c>
      <c r="L87" s="8">
        <f t="shared" si="128"/>
        <v>1.0091370871053633</v>
      </c>
      <c r="M87" s="8">
        <f t="shared" si="128"/>
        <v>1.0376381455008896</v>
      </c>
      <c r="N87" s="8">
        <f t="shared" si="128"/>
        <v>1.0034526772271166</v>
      </c>
      <c r="O87" s="8">
        <f t="shared" si="128"/>
        <v>1.0004398691740781</v>
      </c>
      <c r="P87" s="8">
        <f t="shared" si="128"/>
        <v>1.0016210592779544</v>
      </c>
      <c r="Q87" s="8">
        <f t="shared" si="128"/>
        <v>1.0039348700195405</v>
      </c>
      <c r="R87" s="8">
        <f t="shared" si="128"/>
        <v>0.99649174090615733</v>
      </c>
      <c r="S87" s="8">
        <f t="shared" si="128"/>
        <v>1.0052133038855211</v>
      </c>
      <c r="T87" s="8">
        <f t="shared" si="128"/>
        <v>1.0042439069407365</v>
      </c>
      <c r="U87" s="8">
        <f t="shared" si="128"/>
        <v>1.0001106098308761</v>
      </c>
      <c r="V87" s="8">
        <f t="shared" si="128"/>
        <v>1</v>
      </c>
      <c r="W87" s="8">
        <f t="shared" si="128"/>
        <v>1.0000274712927446</v>
      </c>
      <c r="X87" s="8">
        <f t="shared" si="128"/>
        <v>1</v>
      </c>
      <c r="Y87" s="8">
        <f t="shared" si="128"/>
        <v>1.0002418001345317</v>
      </c>
      <c r="Z87" s="8">
        <f t="shared" si="128"/>
        <v>1.0000438138219645</v>
      </c>
      <c r="AA87" s="8">
        <f t="shared" si="128"/>
        <v>1</v>
      </c>
      <c r="AB87" s="8">
        <f t="shared" si="128"/>
        <v>1</v>
      </c>
      <c r="AC87" s="8">
        <f t="shared" si="128"/>
        <v>1.0009755557060371</v>
      </c>
      <c r="AD87" s="8">
        <f t="shared" si="128"/>
        <v>1</v>
      </c>
      <c r="AE87" s="8">
        <f t="shared" si="128"/>
        <v>1</v>
      </c>
      <c r="AF87" s="8">
        <f t="shared" si="128"/>
        <v>1</v>
      </c>
      <c r="AG87" s="8">
        <f t="shared" si="128"/>
        <v>1</v>
      </c>
      <c r="AH87" s="8">
        <f t="shared" si="128"/>
        <v>1.0003120656162645</v>
      </c>
      <c r="AI87" s="8" t="str">
        <f t="shared" si="128"/>
        <v/>
      </c>
      <c r="AJ87" s="8" t="str">
        <f t="shared" si="128"/>
        <v/>
      </c>
      <c r="AK87" s="8" t="str">
        <f t="shared" si="128"/>
        <v/>
      </c>
      <c r="AL87" s="8" t="str">
        <f t="shared" si="128"/>
        <v/>
      </c>
      <c r="AM87" s="8" t="str">
        <f t="shared" si="128"/>
        <v/>
      </c>
      <c r="AN87" s="8" t="str">
        <f t="shared" si="128"/>
        <v/>
      </c>
      <c r="AO87" s="8" t="str">
        <f t="shared" si="128"/>
        <v/>
      </c>
      <c r="AP87" s="8" t="str">
        <f t="shared" si="128"/>
        <v/>
      </c>
      <c r="AQ87" s="8" t="str">
        <f t="shared" si="128"/>
        <v/>
      </c>
      <c r="AR87" s="8" t="str">
        <f t="shared" si="128"/>
        <v/>
      </c>
      <c r="AS87" s="8" t="str">
        <f t="shared" si="128"/>
        <v/>
      </c>
      <c r="AT87" s="8" t="str">
        <f t="shared" si="128"/>
        <v/>
      </c>
      <c r="AU87" s="8" t="str">
        <f t="shared" si="128"/>
        <v/>
      </c>
      <c r="AV87" s="8" t="str">
        <f t="shared" si="128"/>
        <v/>
      </c>
      <c r="AW87" s="8" t="str">
        <f t="shared" si="128"/>
        <v/>
      </c>
      <c r="AX87" s="8" t="str">
        <f t="shared" si="128"/>
        <v/>
      </c>
      <c r="AY87" s="8" t="str">
        <f t="shared" si="128"/>
        <v/>
      </c>
      <c r="AZ87" s="8" t="str">
        <f t="shared" si="128"/>
        <v/>
      </c>
      <c r="BA87" s="8" t="str">
        <f t="shared" si="128"/>
        <v/>
      </c>
      <c r="BB87" s="8" t="str">
        <f t="shared" si="128"/>
        <v/>
      </c>
      <c r="BC87" s="8" t="str">
        <f t="shared" si="128"/>
        <v/>
      </c>
      <c r="BD87" s="8" t="str">
        <f t="shared" si="128"/>
        <v/>
      </c>
      <c r="BE87" s="8" t="str">
        <f t="shared" si="128"/>
        <v/>
      </c>
      <c r="BF87" s="8" t="str">
        <f t="shared" si="128"/>
        <v/>
      </c>
      <c r="BG87" s="8" t="str">
        <f t="shared" si="128"/>
        <v/>
      </c>
      <c r="BH87" s="8" t="str">
        <f t="shared" si="128"/>
        <v/>
      </c>
      <c r="BI87" s="8" t="str">
        <f t="shared" si="128"/>
        <v/>
      </c>
      <c r="BJ87" s="8" t="str">
        <f t="shared" si="128"/>
        <v/>
      </c>
      <c r="BK87" s="8" t="str">
        <f t="shared" si="128"/>
        <v/>
      </c>
      <c r="BL87" s="8" t="str">
        <f t="shared" si="128"/>
        <v/>
      </c>
      <c r="BM87" s="8" t="str">
        <f t="shared" si="128"/>
        <v/>
      </c>
      <c r="BN87" s="8" t="str">
        <f t="shared" si="128"/>
        <v/>
      </c>
      <c r="BO87" s="8" t="str">
        <f t="shared" si="128"/>
        <v/>
      </c>
      <c r="BP87" s="8" t="str">
        <f t="shared" si="128"/>
        <v/>
      </c>
      <c r="BQ87" s="8" t="str">
        <f t="shared" si="128"/>
        <v/>
      </c>
      <c r="BR87" s="8" t="str">
        <f t="shared" si="128"/>
        <v/>
      </c>
      <c r="BS87" s="8" t="str">
        <f t="shared" ref="BS87:ED87" si="129">IF(OR(BT41 = "", BT$8 &lt; BS$8), "", IFERROR(BT41/BS41, ""))</f>
        <v/>
      </c>
      <c r="BT87" s="8" t="str">
        <f t="shared" si="129"/>
        <v/>
      </c>
      <c r="BU87" s="8" t="str">
        <f t="shared" si="129"/>
        <v/>
      </c>
      <c r="BV87" s="8" t="str">
        <f t="shared" si="129"/>
        <v/>
      </c>
      <c r="BW87" s="8" t="str">
        <f t="shared" si="129"/>
        <v/>
      </c>
      <c r="BX87" s="8" t="str">
        <f t="shared" si="129"/>
        <v/>
      </c>
      <c r="BY87" s="8" t="str">
        <f t="shared" si="129"/>
        <v/>
      </c>
      <c r="BZ87" s="8" t="str">
        <f t="shared" si="129"/>
        <v/>
      </c>
      <c r="CA87" s="8" t="str">
        <f t="shared" si="129"/>
        <v/>
      </c>
      <c r="CB87" s="8" t="str">
        <f t="shared" si="129"/>
        <v/>
      </c>
      <c r="CC87" s="8" t="str">
        <f t="shared" si="129"/>
        <v/>
      </c>
      <c r="CD87" s="8" t="str">
        <f t="shared" si="129"/>
        <v/>
      </c>
      <c r="CE87" s="8" t="str">
        <f t="shared" si="129"/>
        <v/>
      </c>
      <c r="CF87" s="8" t="str">
        <f t="shared" si="129"/>
        <v/>
      </c>
      <c r="CG87" s="8" t="str">
        <f t="shared" si="129"/>
        <v/>
      </c>
      <c r="CH87" s="8" t="str">
        <f t="shared" si="129"/>
        <v/>
      </c>
      <c r="CI87" s="8" t="str">
        <f t="shared" si="129"/>
        <v/>
      </c>
      <c r="CJ87" s="8" t="str">
        <f t="shared" si="129"/>
        <v/>
      </c>
      <c r="CK87" s="8" t="str">
        <f t="shared" si="129"/>
        <v/>
      </c>
      <c r="CL87" s="8" t="str">
        <f t="shared" si="129"/>
        <v/>
      </c>
      <c r="CM87" s="8" t="str">
        <f t="shared" si="129"/>
        <v/>
      </c>
      <c r="CN87" s="8" t="str">
        <f t="shared" si="129"/>
        <v/>
      </c>
      <c r="CO87" s="8" t="str">
        <f t="shared" si="129"/>
        <v/>
      </c>
      <c r="CP87" s="8" t="str">
        <f t="shared" si="129"/>
        <v/>
      </c>
      <c r="CQ87" s="8" t="str">
        <f t="shared" si="129"/>
        <v/>
      </c>
      <c r="CR87" s="8" t="str">
        <f t="shared" si="129"/>
        <v/>
      </c>
      <c r="CS87" s="8" t="str">
        <f t="shared" si="129"/>
        <v/>
      </c>
      <c r="CT87" s="8" t="str">
        <f t="shared" si="129"/>
        <v/>
      </c>
      <c r="CU87" s="8" t="str">
        <f t="shared" si="129"/>
        <v/>
      </c>
      <c r="CV87" s="8" t="str">
        <f t="shared" si="129"/>
        <v/>
      </c>
      <c r="CW87" s="8" t="str">
        <f t="shared" si="129"/>
        <v/>
      </c>
      <c r="CX87" s="8" t="str">
        <f t="shared" si="129"/>
        <v/>
      </c>
      <c r="CY87" s="8" t="str">
        <f t="shared" si="129"/>
        <v/>
      </c>
      <c r="CZ87" s="8" t="str">
        <f t="shared" si="129"/>
        <v/>
      </c>
      <c r="DA87" s="8" t="str">
        <f t="shared" si="129"/>
        <v/>
      </c>
      <c r="DB87" s="8" t="str">
        <f t="shared" si="129"/>
        <v/>
      </c>
      <c r="DC87" s="8" t="str">
        <f t="shared" si="129"/>
        <v/>
      </c>
      <c r="DD87" s="8" t="str">
        <f t="shared" si="129"/>
        <v/>
      </c>
      <c r="DE87" s="8" t="str">
        <f t="shared" si="129"/>
        <v/>
      </c>
      <c r="DF87" s="8" t="str">
        <f t="shared" si="129"/>
        <v/>
      </c>
      <c r="DG87" s="8" t="str">
        <f t="shared" si="129"/>
        <v/>
      </c>
      <c r="DH87" s="8" t="str">
        <f t="shared" si="129"/>
        <v/>
      </c>
      <c r="DI87" s="8" t="str">
        <f t="shared" si="129"/>
        <v/>
      </c>
      <c r="DJ87" s="8" t="str">
        <f t="shared" si="129"/>
        <v/>
      </c>
      <c r="DK87" s="8" t="str">
        <f t="shared" si="129"/>
        <v/>
      </c>
      <c r="DL87" s="8" t="str">
        <f t="shared" si="129"/>
        <v/>
      </c>
      <c r="DM87" s="8" t="str">
        <f t="shared" si="129"/>
        <v/>
      </c>
      <c r="DN87" s="8" t="str">
        <f t="shared" si="129"/>
        <v/>
      </c>
      <c r="DO87" s="8" t="str">
        <f t="shared" si="129"/>
        <v/>
      </c>
      <c r="DP87" s="8" t="str">
        <f t="shared" si="129"/>
        <v/>
      </c>
      <c r="DQ87" s="8" t="str">
        <f t="shared" si="129"/>
        <v/>
      </c>
      <c r="DR87" s="8" t="str">
        <f t="shared" si="129"/>
        <v/>
      </c>
      <c r="DS87" s="8" t="str">
        <f t="shared" si="129"/>
        <v/>
      </c>
      <c r="DT87" s="8" t="str">
        <f t="shared" si="129"/>
        <v/>
      </c>
      <c r="DU87" s="8" t="str">
        <f t="shared" si="129"/>
        <v/>
      </c>
      <c r="DV87" s="8" t="str">
        <f t="shared" si="129"/>
        <v/>
      </c>
      <c r="DW87" s="8" t="str">
        <f t="shared" si="129"/>
        <v/>
      </c>
      <c r="DX87" s="8" t="str">
        <f t="shared" si="129"/>
        <v/>
      </c>
      <c r="DY87" s="8" t="str">
        <f t="shared" si="129"/>
        <v/>
      </c>
      <c r="DZ87" s="8" t="str">
        <f t="shared" si="129"/>
        <v/>
      </c>
      <c r="EA87" s="8" t="str">
        <f t="shared" si="129"/>
        <v/>
      </c>
      <c r="EB87" s="8">
        <f t="shared" si="129"/>
        <v>3.7967011999170173</v>
      </c>
      <c r="EC87" s="8">
        <f t="shared" si="129"/>
        <v>2.3274667106969091</v>
      </c>
      <c r="ED87" s="8">
        <f t="shared" si="129"/>
        <v>1.3096427704984983</v>
      </c>
      <c r="EE87" s="8">
        <f t="shared" ref="EE87:GP87" si="130">IF(OR(EF41 = "", EF$8 &lt; EE$8), "", IFERROR(EF41/EE41, ""))</f>
        <v>1.0112418117776381</v>
      </c>
      <c r="EF87" s="8">
        <f t="shared" si="130"/>
        <v>1.004152068227282</v>
      </c>
      <c r="EG87" s="8">
        <f t="shared" si="130"/>
        <v>1.0005668654872928</v>
      </c>
      <c r="EH87" s="8">
        <f t="shared" si="130"/>
        <v>1.0143223551273295</v>
      </c>
      <c r="EI87" s="8">
        <f t="shared" si="130"/>
        <v>1.0022361289018098</v>
      </c>
      <c r="EJ87" s="8">
        <f t="shared" si="130"/>
        <v>1.001714828499161</v>
      </c>
      <c r="EK87" s="8">
        <f t="shared" si="130"/>
        <v>0.99999521651696843</v>
      </c>
      <c r="EL87" s="8">
        <f t="shared" si="130"/>
        <v>0.99998836995854012</v>
      </c>
      <c r="EM87" s="8">
        <f t="shared" si="130"/>
        <v>0.99500112676230956</v>
      </c>
      <c r="EN87" s="8">
        <f t="shared" si="130"/>
        <v>0.99998746548601847</v>
      </c>
      <c r="EO87" s="8">
        <f t="shared" si="130"/>
        <v>0.99998436374440847</v>
      </c>
      <c r="EP87" s="8">
        <f t="shared" si="130"/>
        <v>1.0001106098308672</v>
      </c>
      <c r="EQ87" s="8">
        <f t="shared" si="130"/>
        <v>1</v>
      </c>
      <c r="ER87" s="8">
        <f t="shared" si="130"/>
        <v>1.0000274712927424</v>
      </c>
      <c r="ES87" s="8">
        <f t="shared" si="130"/>
        <v>1</v>
      </c>
      <c r="ET87" s="8">
        <f t="shared" si="130"/>
        <v>1.0002418001345121</v>
      </c>
      <c r="EU87" s="8">
        <f t="shared" si="130"/>
        <v>1.0000438138219609</v>
      </c>
      <c r="EV87" s="8">
        <f t="shared" si="130"/>
        <v>1</v>
      </c>
      <c r="EW87" s="8">
        <f t="shared" si="130"/>
        <v>1</v>
      </c>
      <c r="EX87" s="8">
        <f t="shared" si="130"/>
        <v>1.000975555705959</v>
      </c>
      <c r="EY87" s="8">
        <f t="shared" si="130"/>
        <v>1</v>
      </c>
      <c r="EZ87" s="8">
        <f t="shared" si="130"/>
        <v>1</v>
      </c>
      <c r="FA87" s="8">
        <f t="shared" si="130"/>
        <v>1</v>
      </c>
      <c r="FB87" s="8">
        <f t="shared" si="130"/>
        <v>1</v>
      </c>
      <c r="FC87" s="8">
        <f t="shared" si="130"/>
        <v>1.0003120656162396</v>
      </c>
      <c r="FD87" s="8" t="str">
        <f t="shared" si="130"/>
        <v/>
      </c>
      <c r="FE87" s="8" t="str">
        <f t="shared" si="130"/>
        <v/>
      </c>
      <c r="FF87" s="8" t="str">
        <f t="shared" si="130"/>
        <v/>
      </c>
      <c r="FG87" s="8" t="str">
        <f t="shared" si="130"/>
        <v/>
      </c>
      <c r="FH87" s="8" t="str">
        <f t="shared" si="130"/>
        <v/>
      </c>
      <c r="FI87" s="8" t="str">
        <f t="shared" si="130"/>
        <v/>
      </c>
      <c r="FJ87" s="8" t="str">
        <f t="shared" si="130"/>
        <v/>
      </c>
      <c r="FK87" s="8" t="str">
        <f t="shared" si="130"/>
        <v/>
      </c>
      <c r="FL87" s="8" t="str">
        <f t="shared" si="130"/>
        <v/>
      </c>
      <c r="FM87" s="8" t="str">
        <f t="shared" si="130"/>
        <v/>
      </c>
      <c r="FN87" s="8" t="str">
        <f t="shared" si="130"/>
        <v/>
      </c>
      <c r="FO87" s="8" t="str">
        <f t="shared" si="130"/>
        <v/>
      </c>
      <c r="FP87" s="8" t="str">
        <f t="shared" si="130"/>
        <v/>
      </c>
      <c r="FQ87" s="8" t="str">
        <f t="shared" si="130"/>
        <v/>
      </c>
      <c r="FR87" s="8" t="str">
        <f t="shared" si="130"/>
        <v/>
      </c>
      <c r="FS87" s="8" t="str">
        <f t="shared" si="130"/>
        <v/>
      </c>
      <c r="FT87" s="8" t="str">
        <f t="shared" si="130"/>
        <v/>
      </c>
      <c r="FU87" s="8" t="str">
        <f t="shared" si="130"/>
        <v/>
      </c>
      <c r="FV87" s="8" t="str">
        <f t="shared" si="130"/>
        <v/>
      </c>
      <c r="FW87" s="8" t="str">
        <f t="shared" si="130"/>
        <v/>
      </c>
      <c r="FX87" s="8" t="str">
        <f t="shared" si="130"/>
        <v/>
      </c>
      <c r="FY87" s="8" t="str">
        <f t="shared" si="130"/>
        <v/>
      </c>
      <c r="FZ87" s="8" t="str">
        <f t="shared" si="130"/>
        <v/>
      </c>
      <c r="GA87" s="8" t="str">
        <f t="shared" si="130"/>
        <v/>
      </c>
      <c r="GB87" s="8" t="str">
        <f t="shared" si="130"/>
        <v/>
      </c>
      <c r="GC87" s="8" t="str">
        <f t="shared" si="130"/>
        <v/>
      </c>
      <c r="GD87" s="8" t="str">
        <f t="shared" si="130"/>
        <v/>
      </c>
      <c r="GE87" s="8" t="str">
        <f t="shared" si="130"/>
        <v/>
      </c>
      <c r="GF87" s="8" t="str">
        <f t="shared" si="130"/>
        <v/>
      </c>
      <c r="GG87" s="8" t="str">
        <f t="shared" si="130"/>
        <v/>
      </c>
      <c r="GH87" s="8" t="str">
        <f t="shared" si="130"/>
        <v/>
      </c>
      <c r="GI87" s="8" t="str">
        <f t="shared" si="130"/>
        <v/>
      </c>
      <c r="GJ87" s="8" t="str">
        <f t="shared" si="130"/>
        <v/>
      </c>
      <c r="GK87" s="8" t="str">
        <f t="shared" si="130"/>
        <v/>
      </c>
      <c r="GL87" s="8" t="str">
        <f t="shared" si="130"/>
        <v/>
      </c>
      <c r="GM87" s="8" t="str">
        <f t="shared" si="130"/>
        <v/>
      </c>
      <c r="GN87" s="8" t="str">
        <f t="shared" si="130"/>
        <v/>
      </c>
      <c r="GO87" s="8" t="str">
        <f t="shared" si="130"/>
        <v/>
      </c>
      <c r="GP87" s="8" t="str">
        <f t="shared" si="130"/>
        <v/>
      </c>
      <c r="GQ87" s="8" t="str">
        <f t="shared" ref="GQ87:IV87" si="131">IF(OR(GR41 = "", GR$8 &lt; GQ$8), "", IFERROR(GR41/GQ41, ""))</f>
        <v/>
      </c>
      <c r="GR87" s="8" t="str">
        <f t="shared" si="131"/>
        <v/>
      </c>
      <c r="GS87" s="8" t="str">
        <f t="shared" si="131"/>
        <v/>
      </c>
      <c r="GT87" s="8" t="str">
        <f t="shared" si="131"/>
        <v/>
      </c>
      <c r="GU87" s="8" t="str">
        <f t="shared" si="131"/>
        <v/>
      </c>
      <c r="GV87" s="8" t="str">
        <f t="shared" si="131"/>
        <v/>
      </c>
      <c r="GW87" s="8" t="str">
        <f t="shared" si="131"/>
        <v/>
      </c>
      <c r="GX87" s="8" t="str">
        <f t="shared" si="131"/>
        <v/>
      </c>
      <c r="GY87" s="8" t="str">
        <f t="shared" si="131"/>
        <v/>
      </c>
      <c r="GZ87" s="8" t="str">
        <f t="shared" si="131"/>
        <v/>
      </c>
      <c r="HA87" s="8" t="str">
        <f t="shared" si="131"/>
        <v/>
      </c>
      <c r="HB87" s="8" t="str">
        <f t="shared" si="131"/>
        <v/>
      </c>
      <c r="HC87" s="8" t="str">
        <f t="shared" si="131"/>
        <v/>
      </c>
      <c r="HD87" s="8" t="str">
        <f t="shared" si="131"/>
        <v/>
      </c>
      <c r="HE87" s="8" t="str">
        <f t="shared" si="131"/>
        <v/>
      </c>
      <c r="HF87" s="8" t="str">
        <f t="shared" si="131"/>
        <v/>
      </c>
      <c r="HG87" s="8" t="str">
        <f t="shared" si="131"/>
        <v/>
      </c>
      <c r="HH87" s="8" t="str">
        <f t="shared" si="131"/>
        <v/>
      </c>
      <c r="HI87" s="8" t="str">
        <f t="shared" si="131"/>
        <v/>
      </c>
      <c r="HJ87" s="8" t="str">
        <f t="shared" si="131"/>
        <v/>
      </c>
      <c r="HK87" s="8" t="str">
        <f t="shared" si="131"/>
        <v/>
      </c>
      <c r="HL87" s="8" t="str">
        <f t="shared" si="131"/>
        <v/>
      </c>
      <c r="HM87" s="8" t="str">
        <f t="shared" si="131"/>
        <v/>
      </c>
      <c r="HN87" s="8" t="str">
        <f t="shared" si="131"/>
        <v/>
      </c>
      <c r="HO87" s="8" t="str">
        <f t="shared" si="131"/>
        <v/>
      </c>
      <c r="HP87" s="8" t="str">
        <f t="shared" si="131"/>
        <v/>
      </c>
      <c r="HQ87" s="8" t="str">
        <f t="shared" si="131"/>
        <v/>
      </c>
      <c r="HR87" s="8" t="str">
        <f t="shared" si="131"/>
        <v/>
      </c>
      <c r="HS87" s="8" t="str">
        <f t="shared" si="131"/>
        <v/>
      </c>
      <c r="HT87" s="8" t="str">
        <f t="shared" si="131"/>
        <v/>
      </c>
      <c r="HU87" s="8" t="str">
        <f t="shared" si="131"/>
        <v/>
      </c>
      <c r="HV87" s="8" t="str">
        <f t="shared" si="131"/>
        <v/>
      </c>
      <c r="HW87" s="8" t="str">
        <f t="shared" si="131"/>
        <v/>
      </c>
      <c r="HX87" s="8" t="str">
        <f t="shared" si="131"/>
        <v/>
      </c>
      <c r="HY87" s="8" t="str">
        <f t="shared" si="131"/>
        <v/>
      </c>
      <c r="HZ87" s="8" t="str">
        <f t="shared" si="131"/>
        <v/>
      </c>
      <c r="IA87" s="8" t="str">
        <f t="shared" si="131"/>
        <v/>
      </c>
      <c r="IB87" s="8" t="str">
        <f t="shared" si="131"/>
        <v/>
      </c>
      <c r="IC87" s="8" t="str">
        <f t="shared" si="131"/>
        <v/>
      </c>
      <c r="ID87" s="8" t="str">
        <f t="shared" si="131"/>
        <v/>
      </c>
      <c r="IE87" s="8" t="str">
        <f t="shared" si="131"/>
        <v/>
      </c>
      <c r="IF87" s="8" t="str">
        <f t="shared" si="131"/>
        <v/>
      </c>
      <c r="IG87" s="8" t="str">
        <f t="shared" si="131"/>
        <v/>
      </c>
      <c r="IH87" s="8" t="str">
        <f t="shared" si="131"/>
        <v/>
      </c>
      <c r="II87" s="8" t="str">
        <f t="shared" si="131"/>
        <v/>
      </c>
      <c r="IJ87" s="8" t="str">
        <f t="shared" si="131"/>
        <v/>
      </c>
      <c r="IK87" s="8" t="str">
        <f t="shared" si="131"/>
        <v/>
      </c>
      <c r="IL87" s="8" t="str">
        <f t="shared" si="131"/>
        <v/>
      </c>
      <c r="IM87" s="8" t="str">
        <f t="shared" si="131"/>
        <v/>
      </c>
      <c r="IN87" s="8" t="str">
        <f t="shared" si="131"/>
        <v/>
      </c>
      <c r="IO87" s="8" t="str">
        <f t="shared" si="131"/>
        <v/>
      </c>
      <c r="IP87" s="8" t="str">
        <f t="shared" si="131"/>
        <v/>
      </c>
      <c r="IQ87" s="8" t="str">
        <f t="shared" si="131"/>
        <v/>
      </c>
      <c r="IR87" s="8" t="str">
        <f t="shared" si="131"/>
        <v/>
      </c>
      <c r="IS87" s="8" t="str">
        <f t="shared" si="131"/>
        <v/>
      </c>
      <c r="IT87" s="8" t="str">
        <f t="shared" si="131"/>
        <v/>
      </c>
      <c r="IU87" s="8" t="str">
        <f t="shared" si="131"/>
        <v/>
      </c>
      <c r="IV87" s="8" t="str">
        <f t="shared" si="131"/>
        <v/>
      </c>
    </row>
    <row r="88" spans="6:256" x14ac:dyDescent="0.2">
      <c r="F88">
        <v>202206</v>
      </c>
      <c r="G88" s="8">
        <f t="shared" ref="G88:BR88" si="132">IF(OR(H42 = "", H$8 &lt; G$8), "", IFERROR(H42/G42, ""))</f>
        <v>8.84374675936877</v>
      </c>
      <c r="H88" s="8">
        <f t="shared" si="132"/>
        <v>3.8674921962253785</v>
      </c>
      <c r="I88" s="8">
        <f t="shared" si="132"/>
        <v>1.3706606131714147</v>
      </c>
      <c r="J88" s="8">
        <f t="shared" si="132"/>
        <v>1.1758960262057609</v>
      </c>
      <c r="K88" s="8">
        <f t="shared" si="132"/>
        <v>1.1531788165463961</v>
      </c>
      <c r="L88" s="8">
        <f t="shared" si="132"/>
        <v>1.0065700884734874</v>
      </c>
      <c r="M88" s="8">
        <f t="shared" si="132"/>
        <v>1.0084210327844387</v>
      </c>
      <c r="N88" s="8">
        <f t="shared" si="132"/>
        <v>1.0415048869924575</v>
      </c>
      <c r="O88" s="8">
        <f t="shared" si="132"/>
        <v>1.0019637715835621</v>
      </c>
      <c r="P88" s="8">
        <f t="shared" si="132"/>
        <v>1.0005266681004912</v>
      </c>
      <c r="Q88" s="8">
        <f t="shared" si="132"/>
        <v>1.000033725140365</v>
      </c>
      <c r="R88" s="8">
        <f t="shared" si="132"/>
        <v>1.001339246775063</v>
      </c>
      <c r="S88" s="8">
        <f t="shared" si="132"/>
        <v>1</v>
      </c>
      <c r="T88" s="8">
        <f t="shared" si="132"/>
        <v>1</v>
      </c>
      <c r="U88" s="8">
        <f t="shared" si="132"/>
        <v>1</v>
      </c>
      <c r="V88" s="8">
        <f t="shared" si="132"/>
        <v>1.0033210593386257</v>
      </c>
      <c r="W88" s="8">
        <f t="shared" si="132"/>
        <v>1.0025036061304524</v>
      </c>
      <c r="X88" s="8">
        <f t="shared" si="132"/>
        <v>1.0007319617346291</v>
      </c>
      <c r="Y88" s="8">
        <f t="shared" si="132"/>
        <v>1.0020889536799416</v>
      </c>
      <c r="Z88" s="8">
        <f t="shared" si="132"/>
        <v>1</v>
      </c>
      <c r="AA88" s="8">
        <f t="shared" si="132"/>
        <v>1.0003339551637547</v>
      </c>
      <c r="AB88" s="8">
        <f t="shared" si="132"/>
        <v>1</v>
      </c>
      <c r="AC88" s="8">
        <f t="shared" si="132"/>
        <v>1</v>
      </c>
      <c r="AD88" s="8">
        <f t="shared" si="132"/>
        <v>1.1042002010255219</v>
      </c>
      <c r="AE88" s="8">
        <f t="shared" si="132"/>
        <v>1.000477366265035</v>
      </c>
      <c r="AF88" s="8" t="str">
        <f t="shared" si="132"/>
        <v/>
      </c>
      <c r="AG88" s="8" t="str">
        <f t="shared" si="132"/>
        <v/>
      </c>
      <c r="AH88" s="8" t="str">
        <f t="shared" si="132"/>
        <v/>
      </c>
      <c r="AI88" s="8" t="str">
        <f t="shared" si="132"/>
        <v/>
      </c>
      <c r="AJ88" s="8" t="str">
        <f t="shared" si="132"/>
        <v/>
      </c>
      <c r="AK88" s="8" t="str">
        <f t="shared" si="132"/>
        <v/>
      </c>
      <c r="AL88" s="8" t="str">
        <f t="shared" si="132"/>
        <v/>
      </c>
      <c r="AM88" s="8" t="str">
        <f t="shared" si="132"/>
        <v/>
      </c>
      <c r="AN88" s="8" t="str">
        <f t="shared" si="132"/>
        <v/>
      </c>
      <c r="AO88" s="8" t="str">
        <f t="shared" si="132"/>
        <v/>
      </c>
      <c r="AP88" s="8" t="str">
        <f t="shared" si="132"/>
        <v/>
      </c>
      <c r="AQ88" s="8" t="str">
        <f t="shared" si="132"/>
        <v/>
      </c>
      <c r="AR88" s="8" t="str">
        <f t="shared" si="132"/>
        <v/>
      </c>
      <c r="AS88" s="8" t="str">
        <f t="shared" si="132"/>
        <v/>
      </c>
      <c r="AT88" s="8" t="str">
        <f t="shared" si="132"/>
        <v/>
      </c>
      <c r="AU88" s="8" t="str">
        <f t="shared" si="132"/>
        <v/>
      </c>
      <c r="AV88" s="8" t="str">
        <f t="shared" si="132"/>
        <v/>
      </c>
      <c r="AW88" s="8" t="str">
        <f t="shared" si="132"/>
        <v/>
      </c>
      <c r="AX88" s="8" t="str">
        <f t="shared" si="132"/>
        <v/>
      </c>
      <c r="AY88" s="8" t="str">
        <f t="shared" si="132"/>
        <v/>
      </c>
      <c r="AZ88" s="8" t="str">
        <f t="shared" si="132"/>
        <v/>
      </c>
      <c r="BA88" s="8" t="str">
        <f t="shared" si="132"/>
        <v/>
      </c>
      <c r="BB88" s="8" t="str">
        <f t="shared" si="132"/>
        <v/>
      </c>
      <c r="BC88" s="8" t="str">
        <f t="shared" si="132"/>
        <v/>
      </c>
      <c r="BD88" s="8" t="str">
        <f t="shared" si="132"/>
        <v/>
      </c>
      <c r="BE88" s="8" t="str">
        <f t="shared" si="132"/>
        <v/>
      </c>
      <c r="BF88" s="8" t="str">
        <f t="shared" si="132"/>
        <v/>
      </c>
      <c r="BG88" s="8" t="str">
        <f t="shared" si="132"/>
        <v/>
      </c>
      <c r="BH88" s="8" t="str">
        <f t="shared" si="132"/>
        <v/>
      </c>
      <c r="BI88" s="8" t="str">
        <f t="shared" si="132"/>
        <v/>
      </c>
      <c r="BJ88" s="8" t="str">
        <f t="shared" si="132"/>
        <v/>
      </c>
      <c r="BK88" s="8" t="str">
        <f t="shared" si="132"/>
        <v/>
      </c>
      <c r="BL88" s="8" t="str">
        <f t="shared" si="132"/>
        <v/>
      </c>
      <c r="BM88" s="8" t="str">
        <f t="shared" si="132"/>
        <v/>
      </c>
      <c r="BN88" s="8" t="str">
        <f t="shared" si="132"/>
        <v/>
      </c>
      <c r="BO88" s="8" t="str">
        <f t="shared" si="132"/>
        <v/>
      </c>
      <c r="BP88" s="8" t="str">
        <f t="shared" si="132"/>
        <v/>
      </c>
      <c r="BQ88" s="8" t="str">
        <f t="shared" si="132"/>
        <v/>
      </c>
      <c r="BR88" s="8" t="str">
        <f t="shared" si="132"/>
        <v/>
      </c>
      <c r="BS88" s="8" t="str">
        <f t="shared" ref="BS88:ED88" si="133">IF(OR(BT42 = "", BT$8 &lt; BS$8), "", IFERROR(BT42/BS42, ""))</f>
        <v/>
      </c>
      <c r="BT88" s="8" t="str">
        <f t="shared" si="133"/>
        <v/>
      </c>
      <c r="BU88" s="8" t="str">
        <f t="shared" si="133"/>
        <v/>
      </c>
      <c r="BV88" s="8" t="str">
        <f t="shared" si="133"/>
        <v/>
      </c>
      <c r="BW88" s="8" t="str">
        <f t="shared" si="133"/>
        <v/>
      </c>
      <c r="BX88" s="8" t="str">
        <f t="shared" si="133"/>
        <v/>
      </c>
      <c r="BY88" s="8" t="str">
        <f t="shared" si="133"/>
        <v/>
      </c>
      <c r="BZ88" s="8" t="str">
        <f t="shared" si="133"/>
        <v/>
      </c>
      <c r="CA88" s="8" t="str">
        <f t="shared" si="133"/>
        <v/>
      </c>
      <c r="CB88" s="8" t="str">
        <f t="shared" si="133"/>
        <v/>
      </c>
      <c r="CC88" s="8" t="str">
        <f t="shared" si="133"/>
        <v/>
      </c>
      <c r="CD88" s="8" t="str">
        <f t="shared" si="133"/>
        <v/>
      </c>
      <c r="CE88" s="8" t="str">
        <f t="shared" si="133"/>
        <v/>
      </c>
      <c r="CF88" s="8" t="str">
        <f t="shared" si="133"/>
        <v/>
      </c>
      <c r="CG88" s="8" t="str">
        <f t="shared" si="133"/>
        <v/>
      </c>
      <c r="CH88" s="8" t="str">
        <f t="shared" si="133"/>
        <v/>
      </c>
      <c r="CI88" s="8" t="str">
        <f t="shared" si="133"/>
        <v/>
      </c>
      <c r="CJ88" s="8" t="str">
        <f t="shared" si="133"/>
        <v/>
      </c>
      <c r="CK88" s="8" t="str">
        <f t="shared" si="133"/>
        <v/>
      </c>
      <c r="CL88" s="8" t="str">
        <f t="shared" si="133"/>
        <v/>
      </c>
      <c r="CM88" s="8" t="str">
        <f t="shared" si="133"/>
        <v/>
      </c>
      <c r="CN88" s="8" t="str">
        <f t="shared" si="133"/>
        <v/>
      </c>
      <c r="CO88" s="8" t="str">
        <f t="shared" si="133"/>
        <v/>
      </c>
      <c r="CP88" s="8" t="str">
        <f t="shared" si="133"/>
        <v/>
      </c>
      <c r="CQ88" s="8" t="str">
        <f t="shared" si="133"/>
        <v/>
      </c>
      <c r="CR88" s="8" t="str">
        <f t="shared" si="133"/>
        <v/>
      </c>
      <c r="CS88" s="8" t="str">
        <f t="shared" si="133"/>
        <v/>
      </c>
      <c r="CT88" s="8" t="str">
        <f t="shared" si="133"/>
        <v/>
      </c>
      <c r="CU88" s="8" t="str">
        <f t="shared" si="133"/>
        <v/>
      </c>
      <c r="CV88" s="8" t="str">
        <f t="shared" si="133"/>
        <v/>
      </c>
      <c r="CW88" s="8" t="str">
        <f t="shared" si="133"/>
        <v/>
      </c>
      <c r="CX88" s="8" t="str">
        <f t="shared" si="133"/>
        <v/>
      </c>
      <c r="CY88" s="8" t="str">
        <f t="shared" si="133"/>
        <v/>
      </c>
      <c r="CZ88" s="8" t="str">
        <f t="shared" si="133"/>
        <v/>
      </c>
      <c r="DA88" s="8" t="str">
        <f t="shared" si="133"/>
        <v/>
      </c>
      <c r="DB88" s="8" t="str">
        <f t="shared" si="133"/>
        <v/>
      </c>
      <c r="DC88" s="8" t="str">
        <f t="shared" si="133"/>
        <v/>
      </c>
      <c r="DD88" s="8" t="str">
        <f t="shared" si="133"/>
        <v/>
      </c>
      <c r="DE88" s="8" t="str">
        <f t="shared" si="133"/>
        <v/>
      </c>
      <c r="DF88" s="8" t="str">
        <f t="shared" si="133"/>
        <v/>
      </c>
      <c r="DG88" s="8" t="str">
        <f t="shared" si="133"/>
        <v/>
      </c>
      <c r="DH88" s="8" t="str">
        <f t="shared" si="133"/>
        <v/>
      </c>
      <c r="DI88" s="8" t="str">
        <f t="shared" si="133"/>
        <v/>
      </c>
      <c r="DJ88" s="8" t="str">
        <f t="shared" si="133"/>
        <v/>
      </c>
      <c r="DK88" s="8" t="str">
        <f t="shared" si="133"/>
        <v/>
      </c>
      <c r="DL88" s="8" t="str">
        <f t="shared" si="133"/>
        <v/>
      </c>
      <c r="DM88" s="8" t="str">
        <f t="shared" si="133"/>
        <v/>
      </c>
      <c r="DN88" s="8" t="str">
        <f t="shared" si="133"/>
        <v/>
      </c>
      <c r="DO88" s="8" t="str">
        <f t="shared" si="133"/>
        <v/>
      </c>
      <c r="DP88" s="8" t="str">
        <f t="shared" si="133"/>
        <v/>
      </c>
      <c r="DQ88" s="8" t="str">
        <f t="shared" si="133"/>
        <v/>
      </c>
      <c r="DR88" s="8" t="str">
        <f t="shared" si="133"/>
        <v/>
      </c>
      <c r="DS88" s="8" t="str">
        <f t="shared" si="133"/>
        <v/>
      </c>
      <c r="DT88" s="8" t="str">
        <f t="shared" si="133"/>
        <v/>
      </c>
      <c r="DU88" s="8" t="str">
        <f t="shared" si="133"/>
        <v/>
      </c>
      <c r="DV88" s="8" t="str">
        <f t="shared" si="133"/>
        <v/>
      </c>
      <c r="DW88" s="8" t="str">
        <f t="shared" si="133"/>
        <v/>
      </c>
      <c r="DX88" s="8" t="str">
        <f t="shared" si="133"/>
        <v/>
      </c>
      <c r="DY88" s="8" t="str">
        <f t="shared" si="133"/>
        <v/>
      </c>
      <c r="DZ88" s="8" t="str">
        <f t="shared" si="133"/>
        <v/>
      </c>
      <c r="EA88" s="8" t="str">
        <f t="shared" si="133"/>
        <v/>
      </c>
      <c r="EB88" s="8">
        <f t="shared" si="133"/>
        <v>4.2679335630036084</v>
      </c>
      <c r="EC88" s="8">
        <f t="shared" si="133"/>
        <v>1.5754417802111138</v>
      </c>
      <c r="ED88" s="8">
        <f t="shared" si="133"/>
        <v>1.1169596178139349</v>
      </c>
      <c r="EE88" s="8">
        <f t="shared" ref="EE88:GP88" si="134">IF(OR(EF42 = "", EF$8 &lt; EE$8), "", IFERROR(EF42/EE42, ""))</f>
        <v>0.81929431592655433</v>
      </c>
      <c r="EF88" s="8">
        <f t="shared" si="134"/>
        <v>1.0664946322236895</v>
      </c>
      <c r="EG88" s="8">
        <f t="shared" si="134"/>
        <v>1.0050097980764372</v>
      </c>
      <c r="EH88" s="8">
        <f t="shared" si="134"/>
        <v>0.98786044070428913</v>
      </c>
      <c r="EI88" s="8">
        <f t="shared" si="134"/>
        <v>1.0246481833425303</v>
      </c>
      <c r="EJ88" s="8">
        <f t="shared" si="134"/>
        <v>1.0019225131207592</v>
      </c>
      <c r="EK88" s="8">
        <f t="shared" si="134"/>
        <v>1.0006835390388729</v>
      </c>
      <c r="EL88" s="8">
        <f t="shared" si="134"/>
        <v>0.99284248948345</v>
      </c>
      <c r="EM88" s="8">
        <f t="shared" si="134"/>
        <v>0.99996632180505096</v>
      </c>
      <c r="EN88" s="8">
        <f t="shared" si="134"/>
        <v>1.0032910831392021</v>
      </c>
      <c r="EO88" s="8">
        <f t="shared" si="134"/>
        <v>0.98746219469783636</v>
      </c>
      <c r="EP88" s="8">
        <f t="shared" si="134"/>
        <v>1</v>
      </c>
      <c r="EQ88" s="8">
        <f t="shared" si="134"/>
        <v>0.99998775414221674</v>
      </c>
      <c r="ER88" s="8">
        <f t="shared" si="134"/>
        <v>1.0659891195100379</v>
      </c>
      <c r="ES88" s="8">
        <f t="shared" si="134"/>
        <v>1.0006882998260567</v>
      </c>
      <c r="ET88" s="8">
        <f t="shared" si="134"/>
        <v>1.0019644321848868</v>
      </c>
      <c r="EU88" s="8">
        <f t="shared" si="134"/>
        <v>1</v>
      </c>
      <c r="EV88" s="8">
        <f t="shared" si="134"/>
        <v>1.0003140872908041</v>
      </c>
      <c r="EW88" s="8">
        <f t="shared" si="134"/>
        <v>1.000029627356668</v>
      </c>
      <c r="EX88" s="8">
        <f t="shared" si="134"/>
        <v>1</v>
      </c>
      <c r="EY88" s="8">
        <f t="shared" si="134"/>
        <v>1.0385928412335295</v>
      </c>
      <c r="EZ88" s="8">
        <f t="shared" si="134"/>
        <v>1.0003977209893276</v>
      </c>
      <c r="FA88" s="8" t="str">
        <f t="shared" si="134"/>
        <v/>
      </c>
      <c r="FB88" s="8" t="str">
        <f t="shared" si="134"/>
        <v/>
      </c>
      <c r="FC88" s="8" t="str">
        <f t="shared" si="134"/>
        <v/>
      </c>
      <c r="FD88" s="8" t="str">
        <f t="shared" si="134"/>
        <v/>
      </c>
      <c r="FE88" s="8" t="str">
        <f t="shared" si="134"/>
        <v/>
      </c>
      <c r="FF88" s="8" t="str">
        <f t="shared" si="134"/>
        <v/>
      </c>
      <c r="FG88" s="8" t="str">
        <f t="shared" si="134"/>
        <v/>
      </c>
      <c r="FH88" s="8" t="str">
        <f t="shared" si="134"/>
        <v/>
      </c>
      <c r="FI88" s="8" t="str">
        <f t="shared" si="134"/>
        <v/>
      </c>
      <c r="FJ88" s="8" t="str">
        <f t="shared" si="134"/>
        <v/>
      </c>
      <c r="FK88" s="8" t="str">
        <f t="shared" si="134"/>
        <v/>
      </c>
      <c r="FL88" s="8" t="str">
        <f t="shared" si="134"/>
        <v/>
      </c>
      <c r="FM88" s="8" t="str">
        <f t="shared" si="134"/>
        <v/>
      </c>
      <c r="FN88" s="8" t="str">
        <f t="shared" si="134"/>
        <v/>
      </c>
      <c r="FO88" s="8" t="str">
        <f t="shared" si="134"/>
        <v/>
      </c>
      <c r="FP88" s="8" t="str">
        <f t="shared" si="134"/>
        <v/>
      </c>
      <c r="FQ88" s="8" t="str">
        <f t="shared" si="134"/>
        <v/>
      </c>
      <c r="FR88" s="8" t="str">
        <f t="shared" si="134"/>
        <v/>
      </c>
      <c r="FS88" s="8" t="str">
        <f t="shared" si="134"/>
        <v/>
      </c>
      <c r="FT88" s="8" t="str">
        <f t="shared" si="134"/>
        <v/>
      </c>
      <c r="FU88" s="8" t="str">
        <f t="shared" si="134"/>
        <v/>
      </c>
      <c r="FV88" s="8" t="str">
        <f t="shared" si="134"/>
        <v/>
      </c>
      <c r="FW88" s="8" t="str">
        <f t="shared" si="134"/>
        <v/>
      </c>
      <c r="FX88" s="8" t="str">
        <f t="shared" si="134"/>
        <v/>
      </c>
      <c r="FY88" s="8" t="str">
        <f t="shared" si="134"/>
        <v/>
      </c>
      <c r="FZ88" s="8" t="str">
        <f t="shared" si="134"/>
        <v/>
      </c>
      <c r="GA88" s="8" t="str">
        <f t="shared" si="134"/>
        <v/>
      </c>
      <c r="GB88" s="8" t="str">
        <f t="shared" si="134"/>
        <v/>
      </c>
      <c r="GC88" s="8" t="str">
        <f t="shared" si="134"/>
        <v/>
      </c>
      <c r="GD88" s="8" t="str">
        <f t="shared" si="134"/>
        <v/>
      </c>
      <c r="GE88" s="8" t="str">
        <f t="shared" si="134"/>
        <v/>
      </c>
      <c r="GF88" s="8" t="str">
        <f t="shared" si="134"/>
        <v/>
      </c>
      <c r="GG88" s="8" t="str">
        <f t="shared" si="134"/>
        <v/>
      </c>
      <c r="GH88" s="8" t="str">
        <f t="shared" si="134"/>
        <v/>
      </c>
      <c r="GI88" s="8" t="str">
        <f t="shared" si="134"/>
        <v/>
      </c>
      <c r="GJ88" s="8" t="str">
        <f t="shared" si="134"/>
        <v/>
      </c>
      <c r="GK88" s="8" t="str">
        <f t="shared" si="134"/>
        <v/>
      </c>
      <c r="GL88" s="8" t="str">
        <f t="shared" si="134"/>
        <v/>
      </c>
      <c r="GM88" s="8" t="str">
        <f t="shared" si="134"/>
        <v/>
      </c>
      <c r="GN88" s="8" t="str">
        <f t="shared" si="134"/>
        <v/>
      </c>
      <c r="GO88" s="8" t="str">
        <f t="shared" si="134"/>
        <v/>
      </c>
      <c r="GP88" s="8" t="str">
        <f t="shared" si="134"/>
        <v/>
      </c>
      <c r="GQ88" s="8" t="str">
        <f t="shared" ref="GQ88:IV88" si="135">IF(OR(GR42 = "", GR$8 &lt; GQ$8), "", IFERROR(GR42/GQ42, ""))</f>
        <v/>
      </c>
      <c r="GR88" s="8" t="str">
        <f t="shared" si="135"/>
        <v/>
      </c>
      <c r="GS88" s="8" t="str">
        <f t="shared" si="135"/>
        <v/>
      </c>
      <c r="GT88" s="8" t="str">
        <f t="shared" si="135"/>
        <v/>
      </c>
      <c r="GU88" s="8" t="str">
        <f t="shared" si="135"/>
        <v/>
      </c>
      <c r="GV88" s="8" t="str">
        <f t="shared" si="135"/>
        <v/>
      </c>
      <c r="GW88" s="8" t="str">
        <f t="shared" si="135"/>
        <v/>
      </c>
      <c r="GX88" s="8" t="str">
        <f t="shared" si="135"/>
        <v/>
      </c>
      <c r="GY88" s="8" t="str">
        <f t="shared" si="135"/>
        <v/>
      </c>
      <c r="GZ88" s="8" t="str">
        <f t="shared" si="135"/>
        <v/>
      </c>
      <c r="HA88" s="8" t="str">
        <f t="shared" si="135"/>
        <v/>
      </c>
      <c r="HB88" s="8" t="str">
        <f t="shared" si="135"/>
        <v/>
      </c>
      <c r="HC88" s="8" t="str">
        <f t="shared" si="135"/>
        <v/>
      </c>
      <c r="HD88" s="8" t="str">
        <f t="shared" si="135"/>
        <v/>
      </c>
      <c r="HE88" s="8" t="str">
        <f t="shared" si="135"/>
        <v/>
      </c>
      <c r="HF88" s="8" t="str">
        <f t="shared" si="135"/>
        <v/>
      </c>
      <c r="HG88" s="8" t="str">
        <f t="shared" si="135"/>
        <v/>
      </c>
      <c r="HH88" s="8" t="str">
        <f t="shared" si="135"/>
        <v/>
      </c>
      <c r="HI88" s="8" t="str">
        <f t="shared" si="135"/>
        <v/>
      </c>
      <c r="HJ88" s="8" t="str">
        <f t="shared" si="135"/>
        <v/>
      </c>
      <c r="HK88" s="8" t="str">
        <f t="shared" si="135"/>
        <v/>
      </c>
      <c r="HL88" s="8" t="str">
        <f t="shared" si="135"/>
        <v/>
      </c>
      <c r="HM88" s="8" t="str">
        <f t="shared" si="135"/>
        <v/>
      </c>
      <c r="HN88" s="8" t="str">
        <f t="shared" si="135"/>
        <v/>
      </c>
      <c r="HO88" s="8" t="str">
        <f t="shared" si="135"/>
        <v/>
      </c>
      <c r="HP88" s="8" t="str">
        <f t="shared" si="135"/>
        <v/>
      </c>
      <c r="HQ88" s="8" t="str">
        <f t="shared" si="135"/>
        <v/>
      </c>
      <c r="HR88" s="8" t="str">
        <f t="shared" si="135"/>
        <v/>
      </c>
      <c r="HS88" s="8" t="str">
        <f t="shared" si="135"/>
        <v/>
      </c>
      <c r="HT88" s="8" t="str">
        <f t="shared" si="135"/>
        <v/>
      </c>
      <c r="HU88" s="8" t="str">
        <f t="shared" si="135"/>
        <v/>
      </c>
      <c r="HV88" s="8" t="str">
        <f t="shared" si="135"/>
        <v/>
      </c>
      <c r="HW88" s="8" t="str">
        <f t="shared" si="135"/>
        <v/>
      </c>
      <c r="HX88" s="8" t="str">
        <f t="shared" si="135"/>
        <v/>
      </c>
      <c r="HY88" s="8" t="str">
        <f t="shared" si="135"/>
        <v/>
      </c>
      <c r="HZ88" s="8" t="str">
        <f t="shared" si="135"/>
        <v/>
      </c>
      <c r="IA88" s="8" t="str">
        <f t="shared" si="135"/>
        <v/>
      </c>
      <c r="IB88" s="8" t="str">
        <f t="shared" si="135"/>
        <v/>
      </c>
      <c r="IC88" s="8" t="str">
        <f t="shared" si="135"/>
        <v/>
      </c>
      <c r="ID88" s="8" t="str">
        <f t="shared" si="135"/>
        <v/>
      </c>
      <c r="IE88" s="8" t="str">
        <f t="shared" si="135"/>
        <v/>
      </c>
      <c r="IF88" s="8" t="str">
        <f t="shared" si="135"/>
        <v/>
      </c>
      <c r="IG88" s="8" t="str">
        <f t="shared" si="135"/>
        <v/>
      </c>
      <c r="IH88" s="8" t="str">
        <f t="shared" si="135"/>
        <v/>
      </c>
      <c r="II88" s="8" t="str">
        <f t="shared" si="135"/>
        <v/>
      </c>
      <c r="IJ88" s="8" t="str">
        <f t="shared" si="135"/>
        <v/>
      </c>
      <c r="IK88" s="8" t="str">
        <f t="shared" si="135"/>
        <v/>
      </c>
      <c r="IL88" s="8" t="str">
        <f t="shared" si="135"/>
        <v/>
      </c>
      <c r="IM88" s="8" t="str">
        <f t="shared" si="135"/>
        <v/>
      </c>
      <c r="IN88" s="8" t="str">
        <f t="shared" si="135"/>
        <v/>
      </c>
      <c r="IO88" s="8" t="str">
        <f t="shared" si="135"/>
        <v/>
      </c>
      <c r="IP88" s="8" t="str">
        <f t="shared" si="135"/>
        <v/>
      </c>
      <c r="IQ88" s="8" t="str">
        <f t="shared" si="135"/>
        <v/>
      </c>
      <c r="IR88" s="8" t="str">
        <f t="shared" si="135"/>
        <v/>
      </c>
      <c r="IS88" s="8" t="str">
        <f t="shared" si="135"/>
        <v/>
      </c>
      <c r="IT88" s="8" t="str">
        <f t="shared" si="135"/>
        <v/>
      </c>
      <c r="IU88" s="8" t="str">
        <f t="shared" si="135"/>
        <v/>
      </c>
      <c r="IV88" s="8" t="str">
        <f t="shared" si="135"/>
        <v/>
      </c>
    </row>
    <row r="89" spans="6:256" x14ac:dyDescent="0.2">
      <c r="F89">
        <v>202209</v>
      </c>
      <c r="G89" s="8">
        <f t="shared" ref="G89:BR89" si="136">IF(OR(H43 = "", H$8 &lt; G$8), "", IFERROR(H43/G43, ""))</f>
        <v>149.09888353977527</v>
      </c>
      <c r="H89" s="8">
        <f t="shared" si="136"/>
        <v>1.9111020230750675</v>
      </c>
      <c r="I89" s="8">
        <f t="shared" si="136"/>
        <v>1.8299878236345246</v>
      </c>
      <c r="J89" s="8">
        <f t="shared" si="136"/>
        <v>1.1114464929335577</v>
      </c>
      <c r="K89" s="8">
        <f t="shared" si="136"/>
        <v>1.1481269507547596</v>
      </c>
      <c r="L89" s="8">
        <f t="shared" si="136"/>
        <v>1.0104874053673985</v>
      </c>
      <c r="M89" s="8">
        <f t="shared" si="136"/>
        <v>1.0283488561621204</v>
      </c>
      <c r="N89" s="8">
        <f t="shared" si="136"/>
        <v>1.0111419846491905</v>
      </c>
      <c r="O89" s="8">
        <f t="shared" si="136"/>
        <v>1.0003251374519544</v>
      </c>
      <c r="P89" s="8">
        <f t="shared" si="136"/>
        <v>1.016186305546853</v>
      </c>
      <c r="Q89" s="8">
        <f t="shared" si="136"/>
        <v>1.0025544113765072</v>
      </c>
      <c r="R89" s="8">
        <f t="shared" si="136"/>
        <v>1.013998783843479</v>
      </c>
      <c r="S89" s="8">
        <f t="shared" si="136"/>
        <v>1.0011105421064261</v>
      </c>
      <c r="T89" s="8">
        <f t="shared" si="136"/>
        <v>1</v>
      </c>
      <c r="U89" s="8">
        <f t="shared" si="136"/>
        <v>1.0003722941453244</v>
      </c>
      <c r="V89" s="8">
        <f t="shared" si="136"/>
        <v>1.000067865195541</v>
      </c>
      <c r="W89" s="8">
        <f t="shared" si="136"/>
        <v>1.0000723706844341</v>
      </c>
      <c r="X89" s="8">
        <f t="shared" si="136"/>
        <v>1</v>
      </c>
      <c r="Y89" s="8">
        <f t="shared" si="136"/>
        <v>1.0006672154477205</v>
      </c>
      <c r="Z89" s="8">
        <f t="shared" si="136"/>
        <v>1.0010421129203402</v>
      </c>
      <c r="AA89" s="8">
        <f t="shared" si="136"/>
        <v>1</v>
      </c>
      <c r="AB89" s="8">
        <f t="shared" si="136"/>
        <v>1.0000225178543372</v>
      </c>
      <c r="AC89" s="8" t="str">
        <f t="shared" si="136"/>
        <v/>
      </c>
      <c r="AD89" s="8" t="str">
        <f t="shared" si="136"/>
        <v/>
      </c>
      <c r="AE89" s="8" t="str">
        <f t="shared" si="136"/>
        <v/>
      </c>
      <c r="AF89" s="8" t="str">
        <f t="shared" si="136"/>
        <v/>
      </c>
      <c r="AG89" s="8" t="str">
        <f t="shared" si="136"/>
        <v/>
      </c>
      <c r="AH89" s="8" t="str">
        <f t="shared" si="136"/>
        <v/>
      </c>
      <c r="AI89" s="8" t="str">
        <f t="shared" si="136"/>
        <v/>
      </c>
      <c r="AJ89" s="8" t="str">
        <f t="shared" si="136"/>
        <v/>
      </c>
      <c r="AK89" s="8" t="str">
        <f t="shared" si="136"/>
        <v/>
      </c>
      <c r="AL89" s="8" t="str">
        <f t="shared" si="136"/>
        <v/>
      </c>
      <c r="AM89" s="8" t="str">
        <f t="shared" si="136"/>
        <v/>
      </c>
      <c r="AN89" s="8" t="str">
        <f t="shared" si="136"/>
        <v/>
      </c>
      <c r="AO89" s="8" t="str">
        <f t="shared" si="136"/>
        <v/>
      </c>
      <c r="AP89" s="8" t="str">
        <f t="shared" si="136"/>
        <v/>
      </c>
      <c r="AQ89" s="8" t="str">
        <f t="shared" si="136"/>
        <v/>
      </c>
      <c r="AR89" s="8" t="str">
        <f t="shared" si="136"/>
        <v/>
      </c>
      <c r="AS89" s="8" t="str">
        <f t="shared" si="136"/>
        <v/>
      </c>
      <c r="AT89" s="8" t="str">
        <f t="shared" si="136"/>
        <v/>
      </c>
      <c r="AU89" s="8" t="str">
        <f t="shared" si="136"/>
        <v/>
      </c>
      <c r="AV89" s="8" t="str">
        <f t="shared" si="136"/>
        <v/>
      </c>
      <c r="AW89" s="8" t="str">
        <f t="shared" si="136"/>
        <v/>
      </c>
      <c r="AX89" s="8" t="str">
        <f t="shared" si="136"/>
        <v/>
      </c>
      <c r="AY89" s="8" t="str">
        <f t="shared" si="136"/>
        <v/>
      </c>
      <c r="AZ89" s="8" t="str">
        <f t="shared" si="136"/>
        <v/>
      </c>
      <c r="BA89" s="8" t="str">
        <f t="shared" si="136"/>
        <v/>
      </c>
      <c r="BB89" s="8" t="str">
        <f t="shared" si="136"/>
        <v/>
      </c>
      <c r="BC89" s="8" t="str">
        <f t="shared" si="136"/>
        <v/>
      </c>
      <c r="BD89" s="8" t="str">
        <f t="shared" si="136"/>
        <v/>
      </c>
      <c r="BE89" s="8" t="str">
        <f t="shared" si="136"/>
        <v/>
      </c>
      <c r="BF89" s="8" t="str">
        <f t="shared" si="136"/>
        <v/>
      </c>
      <c r="BG89" s="8" t="str">
        <f t="shared" si="136"/>
        <v/>
      </c>
      <c r="BH89" s="8" t="str">
        <f t="shared" si="136"/>
        <v/>
      </c>
      <c r="BI89" s="8" t="str">
        <f t="shared" si="136"/>
        <v/>
      </c>
      <c r="BJ89" s="8" t="str">
        <f t="shared" si="136"/>
        <v/>
      </c>
      <c r="BK89" s="8" t="str">
        <f t="shared" si="136"/>
        <v/>
      </c>
      <c r="BL89" s="8" t="str">
        <f t="shared" si="136"/>
        <v/>
      </c>
      <c r="BM89" s="8" t="str">
        <f t="shared" si="136"/>
        <v/>
      </c>
      <c r="BN89" s="8" t="str">
        <f t="shared" si="136"/>
        <v/>
      </c>
      <c r="BO89" s="8" t="str">
        <f t="shared" si="136"/>
        <v/>
      </c>
      <c r="BP89" s="8" t="str">
        <f t="shared" si="136"/>
        <v/>
      </c>
      <c r="BQ89" s="8" t="str">
        <f t="shared" si="136"/>
        <v/>
      </c>
      <c r="BR89" s="8" t="str">
        <f t="shared" si="136"/>
        <v/>
      </c>
      <c r="BS89" s="8" t="str">
        <f t="shared" ref="BS89:ED89" si="137">IF(OR(BT43 = "", BT$8 &lt; BS$8), "", IFERROR(BT43/BS43, ""))</f>
        <v/>
      </c>
      <c r="BT89" s="8" t="str">
        <f t="shared" si="137"/>
        <v/>
      </c>
      <c r="BU89" s="8" t="str">
        <f t="shared" si="137"/>
        <v/>
      </c>
      <c r="BV89" s="8" t="str">
        <f t="shared" si="137"/>
        <v/>
      </c>
      <c r="BW89" s="8" t="str">
        <f t="shared" si="137"/>
        <v/>
      </c>
      <c r="BX89" s="8" t="str">
        <f t="shared" si="137"/>
        <v/>
      </c>
      <c r="BY89" s="8" t="str">
        <f t="shared" si="137"/>
        <v/>
      </c>
      <c r="BZ89" s="8" t="str">
        <f t="shared" si="137"/>
        <v/>
      </c>
      <c r="CA89" s="8" t="str">
        <f t="shared" si="137"/>
        <v/>
      </c>
      <c r="CB89" s="8" t="str">
        <f t="shared" si="137"/>
        <v/>
      </c>
      <c r="CC89" s="8" t="str">
        <f t="shared" si="137"/>
        <v/>
      </c>
      <c r="CD89" s="8" t="str">
        <f t="shared" si="137"/>
        <v/>
      </c>
      <c r="CE89" s="8" t="str">
        <f t="shared" si="137"/>
        <v/>
      </c>
      <c r="CF89" s="8" t="str">
        <f t="shared" si="137"/>
        <v/>
      </c>
      <c r="CG89" s="8" t="str">
        <f t="shared" si="137"/>
        <v/>
      </c>
      <c r="CH89" s="8" t="str">
        <f t="shared" si="137"/>
        <v/>
      </c>
      <c r="CI89" s="8" t="str">
        <f t="shared" si="137"/>
        <v/>
      </c>
      <c r="CJ89" s="8" t="str">
        <f t="shared" si="137"/>
        <v/>
      </c>
      <c r="CK89" s="8" t="str">
        <f t="shared" si="137"/>
        <v/>
      </c>
      <c r="CL89" s="8" t="str">
        <f t="shared" si="137"/>
        <v/>
      </c>
      <c r="CM89" s="8" t="str">
        <f t="shared" si="137"/>
        <v/>
      </c>
      <c r="CN89" s="8" t="str">
        <f t="shared" si="137"/>
        <v/>
      </c>
      <c r="CO89" s="8" t="str">
        <f t="shared" si="137"/>
        <v/>
      </c>
      <c r="CP89" s="8" t="str">
        <f t="shared" si="137"/>
        <v/>
      </c>
      <c r="CQ89" s="8" t="str">
        <f t="shared" si="137"/>
        <v/>
      </c>
      <c r="CR89" s="8" t="str">
        <f t="shared" si="137"/>
        <v/>
      </c>
      <c r="CS89" s="8" t="str">
        <f t="shared" si="137"/>
        <v/>
      </c>
      <c r="CT89" s="8" t="str">
        <f t="shared" si="137"/>
        <v/>
      </c>
      <c r="CU89" s="8" t="str">
        <f t="shared" si="137"/>
        <v/>
      </c>
      <c r="CV89" s="8" t="str">
        <f t="shared" si="137"/>
        <v/>
      </c>
      <c r="CW89" s="8" t="str">
        <f t="shared" si="137"/>
        <v/>
      </c>
      <c r="CX89" s="8" t="str">
        <f t="shared" si="137"/>
        <v/>
      </c>
      <c r="CY89" s="8" t="str">
        <f t="shared" si="137"/>
        <v/>
      </c>
      <c r="CZ89" s="8" t="str">
        <f t="shared" si="137"/>
        <v/>
      </c>
      <c r="DA89" s="8" t="str">
        <f t="shared" si="137"/>
        <v/>
      </c>
      <c r="DB89" s="8" t="str">
        <f t="shared" si="137"/>
        <v/>
      </c>
      <c r="DC89" s="8" t="str">
        <f t="shared" si="137"/>
        <v/>
      </c>
      <c r="DD89" s="8" t="str">
        <f t="shared" si="137"/>
        <v/>
      </c>
      <c r="DE89" s="8" t="str">
        <f t="shared" si="137"/>
        <v/>
      </c>
      <c r="DF89" s="8" t="str">
        <f t="shared" si="137"/>
        <v/>
      </c>
      <c r="DG89" s="8" t="str">
        <f t="shared" si="137"/>
        <v/>
      </c>
      <c r="DH89" s="8" t="str">
        <f t="shared" si="137"/>
        <v/>
      </c>
      <c r="DI89" s="8" t="str">
        <f t="shared" si="137"/>
        <v/>
      </c>
      <c r="DJ89" s="8" t="str">
        <f t="shared" si="137"/>
        <v/>
      </c>
      <c r="DK89" s="8" t="str">
        <f t="shared" si="137"/>
        <v/>
      </c>
      <c r="DL89" s="8" t="str">
        <f t="shared" si="137"/>
        <v/>
      </c>
      <c r="DM89" s="8" t="str">
        <f t="shared" si="137"/>
        <v/>
      </c>
      <c r="DN89" s="8" t="str">
        <f t="shared" si="137"/>
        <v/>
      </c>
      <c r="DO89" s="8" t="str">
        <f t="shared" si="137"/>
        <v/>
      </c>
      <c r="DP89" s="8" t="str">
        <f t="shared" si="137"/>
        <v/>
      </c>
      <c r="DQ89" s="8" t="str">
        <f t="shared" si="137"/>
        <v/>
      </c>
      <c r="DR89" s="8" t="str">
        <f t="shared" si="137"/>
        <v/>
      </c>
      <c r="DS89" s="8" t="str">
        <f t="shared" si="137"/>
        <v/>
      </c>
      <c r="DT89" s="8" t="str">
        <f t="shared" si="137"/>
        <v/>
      </c>
      <c r="DU89" s="8" t="str">
        <f t="shared" si="137"/>
        <v/>
      </c>
      <c r="DV89" s="8" t="str">
        <f t="shared" si="137"/>
        <v/>
      </c>
      <c r="DW89" s="8" t="str">
        <f t="shared" si="137"/>
        <v/>
      </c>
      <c r="DX89" s="8" t="str">
        <f t="shared" si="137"/>
        <v/>
      </c>
      <c r="DY89" s="8" t="str">
        <f t="shared" si="137"/>
        <v/>
      </c>
      <c r="DZ89" s="8" t="str">
        <f t="shared" si="137"/>
        <v/>
      </c>
      <c r="EA89" s="8" t="str">
        <f t="shared" si="137"/>
        <v/>
      </c>
      <c r="EB89" s="8">
        <f t="shared" si="137"/>
        <v>2.9170816155033008</v>
      </c>
      <c r="EC89" s="8">
        <f t="shared" si="137"/>
        <v>1.7136743787682489</v>
      </c>
      <c r="ED89" s="8">
        <f t="shared" si="137"/>
        <v>1.1618050596979654</v>
      </c>
      <c r="EE89" s="8">
        <f t="shared" ref="EE89:GP89" si="138">IF(OR(EF43 = "", EF$8 &lt; EE$8), "", IFERROR(EF43/EE43, ""))</f>
        <v>1.0015475059262768</v>
      </c>
      <c r="EF89" s="8">
        <f t="shared" si="138"/>
        <v>1.0103202279731101</v>
      </c>
      <c r="EG89" s="8">
        <f t="shared" si="138"/>
        <v>0.99970727694228545</v>
      </c>
      <c r="EH89" s="8">
        <f t="shared" si="138"/>
        <v>0.99718261262414709</v>
      </c>
      <c r="EI89" s="8">
        <f t="shared" si="138"/>
        <v>1.0026318710052919</v>
      </c>
      <c r="EJ89" s="8">
        <f t="shared" si="138"/>
        <v>1.0001380312468822</v>
      </c>
      <c r="EK89" s="8">
        <f t="shared" si="138"/>
        <v>0.99921286271257082</v>
      </c>
      <c r="EL89" s="8">
        <f t="shared" si="138"/>
        <v>0.99999073625767776</v>
      </c>
      <c r="EM89" s="8">
        <f t="shared" si="138"/>
        <v>0.99996216718756059</v>
      </c>
      <c r="EN89" s="8">
        <f t="shared" si="138"/>
        <v>1.0011066104641291</v>
      </c>
      <c r="EO89" s="8">
        <f t="shared" si="138"/>
        <v>1</v>
      </c>
      <c r="EP89" s="8">
        <f t="shared" si="138"/>
        <v>1.0003709775726211</v>
      </c>
      <c r="EQ89" s="8">
        <f t="shared" si="138"/>
        <v>1.0000676252875791</v>
      </c>
      <c r="ER89" s="8">
        <f t="shared" si="138"/>
        <v>1.0000721148665703</v>
      </c>
      <c r="ES89" s="8">
        <f t="shared" si="138"/>
        <v>1</v>
      </c>
      <c r="ET89" s="8">
        <f t="shared" si="138"/>
        <v>1.0006331972042537</v>
      </c>
      <c r="EU89" s="8">
        <f t="shared" si="138"/>
        <v>0.99999563844784944</v>
      </c>
      <c r="EV89" s="8">
        <f t="shared" si="138"/>
        <v>1</v>
      </c>
      <c r="EW89" s="8">
        <f t="shared" si="138"/>
        <v>1.0000224625081506</v>
      </c>
      <c r="EX89" s="8" t="str">
        <f t="shared" si="138"/>
        <v/>
      </c>
      <c r="EY89" s="8" t="str">
        <f t="shared" si="138"/>
        <v/>
      </c>
      <c r="EZ89" s="8" t="str">
        <f t="shared" si="138"/>
        <v/>
      </c>
      <c r="FA89" s="8" t="str">
        <f t="shared" si="138"/>
        <v/>
      </c>
      <c r="FB89" s="8" t="str">
        <f t="shared" si="138"/>
        <v/>
      </c>
      <c r="FC89" s="8" t="str">
        <f t="shared" si="138"/>
        <v/>
      </c>
      <c r="FD89" s="8" t="str">
        <f t="shared" si="138"/>
        <v/>
      </c>
      <c r="FE89" s="8" t="str">
        <f t="shared" si="138"/>
        <v/>
      </c>
      <c r="FF89" s="8" t="str">
        <f t="shared" si="138"/>
        <v/>
      </c>
      <c r="FG89" s="8" t="str">
        <f t="shared" si="138"/>
        <v/>
      </c>
      <c r="FH89" s="8" t="str">
        <f t="shared" si="138"/>
        <v/>
      </c>
      <c r="FI89" s="8" t="str">
        <f t="shared" si="138"/>
        <v/>
      </c>
      <c r="FJ89" s="8" t="str">
        <f t="shared" si="138"/>
        <v/>
      </c>
      <c r="FK89" s="8" t="str">
        <f t="shared" si="138"/>
        <v/>
      </c>
      <c r="FL89" s="8" t="str">
        <f t="shared" si="138"/>
        <v/>
      </c>
      <c r="FM89" s="8" t="str">
        <f t="shared" si="138"/>
        <v/>
      </c>
      <c r="FN89" s="8" t="str">
        <f t="shared" si="138"/>
        <v/>
      </c>
      <c r="FO89" s="8" t="str">
        <f t="shared" si="138"/>
        <v/>
      </c>
      <c r="FP89" s="8" t="str">
        <f t="shared" si="138"/>
        <v/>
      </c>
      <c r="FQ89" s="8" t="str">
        <f t="shared" si="138"/>
        <v/>
      </c>
      <c r="FR89" s="8" t="str">
        <f t="shared" si="138"/>
        <v/>
      </c>
      <c r="FS89" s="8" t="str">
        <f t="shared" si="138"/>
        <v/>
      </c>
      <c r="FT89" s="8" t="str">
        <f t="shared" si="138"/>
        <v/>
      </c>
      <c r="FU89" s="8" t="str">
        <f t="shared" si="138"/>
        <v/>
      </c>
      <c r="FV89" s="8" t="str">
        <f t="shared" si="138"/>
        <v/>
      </c>
      <c r="FW89" s="8" t="str">
        <f t="shared" si="138"/>
        <v/>
      </c>
      <c r="FX89" s="8" t="str">
        <f t="shared" si="138"/>
        <v/>
      </c>
      <c r="FY89" s="8" t="str">
        <f t="shared" si="138"/>
        <v/>
      </c>
      <c r="FZ89" s="8" t="str">
        <f t="shared" si="138"/>
        <v/>
      </c>
      <c r="GA89" s="8" t="str">
        <f t="shared" si="138"/>
        <v/>
      </c>
      <c r="GB89" s="8" t="str">
        <f t="shared" si="138"/>
        <v/>
      </c>
      <c r="GC89" s="8" t="str">
        <f t="shared" si="138"/>
        <v/>
      </c>
      <c r="GD89" s="8" t="str">
        <f t="shared" si="138"/>
        <v/>
      </c>
      <c r="GE89" s="8" t="str">
        <f t="shared" si="138"/>
        <v/>
      </c>
      <c r="GF89" s="8" t="str">
        <f t="shared" si="138"/>
        <v/>
      </c>
      <c r="GG89" s="8" t="str">
        <f t="shared" si="138"/>
        <v/>
      </c>
      <c r="GH89" s="8" t="str">
        <f t="shared" si="138"/>
        <v/>
      </c>
      <c r="GI89" s="8" t="str">
        <f t="shared" si="138"/>
        <v/>
      </c>
      <c r="GJ89" s="8" t="str">
        <f t="shared" si="138"/>
        <v/>
      </c>
      <c r="GK89" s="8" t="str">
        <f t="shared" si="138"/>
        <v/>
      </c>
      <c r="GL89" s="8" t="str">
        <f t="shared" si="138"/>
        <v/>
      </c>
      <c r="GM89" s="8" t="str">
        <f t="shared" si="138"/>
        <v/>
      </c>
      <c r="GN89" s="8" t="str">
        <f t="shared" si="138"/>
        <v/>
      </c>
      <c r="GO89" s="8" t="str">
        <f t="shared" si="138"/>
        <v/>
      </c>
      <c r="GP89" s="8" t="str">
        <f t="shared" si="138"/>
        <v/>
      </c>
      <c r="GQ89" s="8" t="str">
        <f t="shared" ref="GQ89:IV89" si="139">IF(OR(GR43 = "", GR$8 &lt; GQ$8), "", IFERROR(GR43/GQ43, ""))</f>
        <v/>
      </c>
      <c r="GR89" s="8" t="str">
        <f t="shared" si="139"/>
        <v/>
      </c>
      <c r="GS89" s="8" t="str">
        <f t="shared" si="139"/>
        <v/>
      </c>
      <c r="GT89" s="8" t="str">
        <f t="shared" si="139"/>
        <v/>
      </c>
      <c r="GU89" s="8" t="str">
        <f t="shared" si="139"/>
        <v/>
      </c>
      <c r="GV89" s="8" t="str">
        <f t="shared" si="139"/>
        <v/>
      </c>
      <c r="GW89" s="8" t="str">
        <f t="shared" si="139"/>
        <v/>
      </c>
      <c r="GX89" s="8" t="str">
        <f t="shared" si="139"/>
        <v/>
      </c>
      <c r="GY89" s="8" t="str">
        <f t="shared" si="139"/>
        <v/>
      </c>
      <c r="GZ89" s="8" t="str">
        <f t="shared" si="139"/>
        <v/>
      </c>
      <c r="HA89" s="8" t="str">
        <f t="shared" si="139"/>
        <v/>
      </c>
      <c r="HB89" s="8" t="str">
        <f t="shared" si="139"/>
        <v/>
      </c>
      <c r="HC89" s="8" t="str">
        <f t="shared" si="139"/>
        <v/>
      </c>
      <c r="HD89" s="8" t="str">
        <f t="shared" si="139"/>
        <v/>
      </c>
      <c r="HE89" s="8" t="str">
        <f t="shared" si="139"/>
        <v/>
      </c>
      <c r="HF89" s="8" t="str">
        <f t="shared" si="139"/>
        <v/>
      </c>
      <c r="HG89" s="8" t="str">
        <f t="shared" si="139"/>
        <v/>
      </c>
      <c r="HH89" s="8" t="str">
        <f t="shared" si="139"/>
        <v/>
      </c>
      <c r="HI89" s="8" t="str">
        <f t="shared" si="139"/>
        <v/>
      </c>
      <c r="HJ89" s="8" t="str">
        <f t="shared" si="139"/>
        <v/>
      </c>
      <c r="HK89" s="8" t="str">
        <f t="shared" si="139"/>
        <v/>
      </c>
      <c r="HL89" s="8" t="str">
        <f t="shared" si="139"/>
        <v/>
      </c>
      <c r="HM89" s="8" t="str">
        <f t="shared" si="139"/>
        <v/>
      </c>
      <c r="HN89" s="8" t="str">
        <f t="shared" si="139"/>
        <v/>
      </c>
      <c r="HO89" s="8" t="str">
        <f t="shared" si="139"/>
        <v/>
      </c>
      <c r="HP89" s="8" t="str">
        <f t="shared" si="139"/>
        <v/>
      </c>
      <c r="HQ89" s="8" t="str">
        <f t="shared" si="139"/>
        <v/>
      </c>
      <c r="HR89" s="8" t="str">
        <f t="shared" si="139"/>
        <v/>
      </c>
      <c r="HS89" s="8" t="str">
        <f t="shared" si="139"/>
        <v/>
      </c>
      <c r="HT89" s="8" t="str">
        <f t="shared" si="139"/>
        <v/>
      </c>
      <c r="HU89" s="8" t="str">
        <f t="shared" si="139"/>
        <v/>
      </c>
      <c r="HV89" s="8" t="str">
        <f t="shared" si="139"/>
        <v/>
      </c>
      <c r="HW89" s="8" t="str">
        <f t="shared" si="139"/>
        <v/>
      </c>
      <c r="HX89" s="8" t="str">
        <f t="shared" si="139"/>
        <v/>
      </c>
      <c r="HY89" s="8" t="str">
        <f t="shared" si="139"/>
        <v/>
      </c>
      <c r="HZ89" s="8" t="str">
        <f t="shared" si="139"/>
        <v/>
      </c>
      <c r="IA89" s="8" t="str">
        <f t="shared" si="139"/>
        <v/>
      </c>
      <c r="IB89" s="8" t="str">
        <f t="shared" si="139"/>
        <v/>
      </c>
      <c r="IC89" s="8" t="str">
        <f t="shared" si="139"/>
        <v/>
      </c>
      <c r="ID89" s="8" t="str">
        <f t="shared" si="139"/>
        <v/>
      </c>
      <c r="IE89" s="8" t="str">
        <f t="shared" si="139"/>
        <v/>
      </c>
      <c r="IF89" s="8" t="str">
        <f t="shared" si="139"/>
        <v/>
      </c>
      <c r="IG89" s="8" t="str">
        <f t="shared" si="139"/>
        <v/>
      </c>
      <c r="IH89" s="8" t="str">
        <f t="shared" si="139"/>
        <v/>
      </c>
      <c r="II89" s="8" t="str">
        <f t="shared" si="139"/>
        <v/>
      </c>
      <c r="IJ89" s="8" t="str">
        <f t="shared" si="139"/>
        <v/>
      </c>
      <c r="IK89" s="8" t="str">
        <f t="shared" si="139"/>
        <v/>
      </c>
      <c r="IL89" s="8" t="str">
        <f t="shared" si="139"/>
        <v/>
      </c>
      <c r="IM89" s="8" t="str">
        <f t="shared" si="139"/>
        <v/>
      </c>
      <c r="IN89" s="8" t="str">
        <f t="shared" si="139"/>
        <v/>
      </c>
      <c r="IO89" s="8" t="str">
        <f t="shared" si="139"/>
        <v/>
      </c>
      <c r="IP89" s="8" t="str">
        <f t="shared" si="139"/>
        <v/>
      </c>
      <c r="IQ89" s="8" t="str">
        <f t="shared" si="139"/>
        <v/>
      </c>
      <c r="IR89" s="8" t="str">
        <f t="shared" si="139"/>
        <v/>
      </c>
      <c r="IS89" s="8" t="str">
        <f t="shared" si="139"/>
        <v/>
      </c>
      <c r="IT89" s="8" t="str">
        <f t="shared" si="139"/>
        <v/>
      </c>
      <c r="IU89" s="8" t="str">
        <f t="shared" si="139"/>
        <v/>
      </c>
      <c r="IV89" s="8" t="str">
        <f t="shared" si="139"/>
        <v/>
      </c>
    </row>
    <row r="90" spans="6:256" x14ac:dyDescent="0.2">
      <c r="F90">
        <v>202212</v>
      </c>
      <c r="G90" s="8">
        <f t="shared" ref="G90:BR90" si="140">IF(OR(H44 = "", H$8 &lt; G$8), "", IFERROR(H44/G44, ""))</f>
        <v>9.5844332441728568</v>
      </c>
      <c r="H90" s="8">
        <f t="shared" si="140"/>
        <v>2.7681346773174416</v>
      </c>
      <c r="I90" s="8">
        <f t="shared" si="140"/>
        <v>1.6066591295592918</v>
      </c>
      <c r="J90" s="8">
        <f t="shared" si="140"/>
        <v>1.3934582784300549</v>
      </c>
      <c r="K90" s="8">
        <f t="shared" si="140"/>
        <v>1.1047092410618358</v>
      </c>
      <c r="L90" s="8">
        <f t="shared" si="140"/>
        <v>1.0054402436720959</v>
      </c>
      <c r="M90" s="8">
        <f t="shared" si="140"/>
        <v>1.0344128413612983</v>
      </c>
      <c r="N90" s="8">
        <f t="shared" si="140"/>
        <v>1.0298710024346207</v>
      </c>
      <c r="O90" s="8">
        <f t="shared" si="140"/>
        <v>1.0005852477220838</v>
      </c>
      <c r="P90" s="8">
        <f t="shared" si="140"/>
        <v>1.0095692292514322</v>
      </c>
      <c r="Q90" s="8">
        <f t="shared" si="140"/>
        <v>0.99027376723608118</v>
      </c>
      <c r="R90" s="8">
        <f t="shared" si="140"/>
        <v>1</v>
      </c>
      <c r="S90" s="8">
        <f t="shared" si="140"/>
        <v>1.00027202097035</v>
      </c>
      <c r="T90" s="8">
        <f t="shared" si="140"/>
        <v>1.0003917199042656</v>
      </c>
      <c r="U90" s="8">
        <f t="shared" si="140"/>
        <v>1</v>
      </c>
      <c r="V90" s="8">
        <f t="shared" si="140"/>
        <v>1.0000666495192923</v>
      </c>
      <c r="W90" s="8">
        <f t="shared" si="140"/>
        <v>1.0004814574384735</v>
      </c>
      <c r="X90" s="8">
        <f t="shared" si="140"/>
        <v>1.0006860519543141</v>
      </c>
      <c r="Y90" s="8">
        <f t="shared" si="140"/>
        <v>1.0007130083313058</v>
      </c>
      <c r="Z90" s="8" t="str">
        <f t="shared" si="140"/>
        <v/>
      </c>
      <c r="AA90" s="8" t="str">
        <f t="shared" si="140"/>
        <v/>
      </c>
      <c r="AB90" s="8" t="str">
        <f t="shared" si="140"/>
        <v/>
      </c>
      <c r="AC90" s="8" t="str">
        <f t="shared" si="140"/>
        <v/>
      </c>
      <c r="AD90" s="8" t="str">
        <f t="shared" si="140"/>
        <v/>
      </c>
      <c r="AE90" s="8" t="str">
        <f t="shared" si="140"/>
        <v/>
      </c>
      <c r="AF90" s="8" t="str">
        <f t="shared" si="140"/>
        <v/>
      </c>
      <c r="AG90" s="8" t="str">
        <f t="shared" si="140"/>
        <v/>
      </c>
      <c r="AH90" s="8" t="str">
        <f t="shared" si="140"/>
        <v/>
      </c>
      <c r="AI90" s="8" t="str">
        <f t="shared" si="140"/>
        <v/>
      </c>
      <c r="AJ90" s="8" t="str">
        <f t="shared" si="140"/>
        <v/>
      </c>
      <c r="AK90" s="8" t="str">
        <f t="shared" si="140"/>
        <v/>
      </c>
      <c r="AL90" s="8" t="str">
        <f t="shared" si="140"/>
        <v/>
      </c>
      <c r="AM90" s="8" t="str">
        <f t="shared" si="140"/>
        <v/>
      </c>
      <c r="AN90" s="8" t="str">
        <f t="shared" si="140"/>
        <v/>
      </c>
      <c r="AO90" s="8" t="str">
        <f t="shared" si="140"/>
        <v/>
      </c>
      <c r="AP90" s="8" t="str">
        <f t="shared" si="140"/>
        <v/>
      </c>
      <c r="AQ90" s="8" t="str">
        <f t="shared" si="140"/>
        <v/>
      </c>
      <c r="AR90" s="8" t="str">
        <f t="shared" si="140"/>
        <v/>
      </c>
      <c r="AS90" s="8" t="str">
        <f t="shared" si="140"/>
        <v/>
      </c>
      <c r="AT90" s="8" t="str">
        <f t="shared" si="140"/>
        <v/>
      </c>
      <c r="AU90" s="8" t="str">
        <f t="shared" si="140"/>
        <v/>
      </c>
      <c r="AV90" s="8" t="str">
        <f t="shared" si="140"/>
        <v/>
      </c>
      <c r="AW90" s="8" t="str">
        <f t="shared" si="140"/>
        <v/>
      </c>
      <c r="AX90" s="8" t="str">
        <f t="shared" si="140"/>
        <v/>
      </c>
      <c r="AY90" s="8" t="str">
        <f t="shared" si="140"/>
        <v/>
      </c>
      <c r="AZ90" s="8" t="str">
        <f t="shared" si="140"/>
        <v/>
      </c>
      <c r="BA90" s="8" t="str">
        <f t="shared" si="140"/>
        <v/>
      </c>
      <c r="BB90" s="8" t="str">
        <f t="shared" si="140"/>
        <v/>
      </c>
      <c r="BC90" s="8" t="str">
        <f t="shared" si="140"/>
        <v/>
      </c>
      <c r="BD90" s="8" t="str">
        <f t="shared" si="140"/>
        <v/>
      </c>
      <c r="BE90" s="8" t="str">
        <f t="shared" si="140"/>
        <v/>
      </c>
      <c r="BF90" s="8" t="str">
        <f t="shared" si="140"/>
        <v/>
      </c>
      <c r="BG90" s="8" t="str">
        <f t="shared" si="140"/>
        <v/>
      </c>
      <c r="BH90" s="8" t="str">
        <f t="shared" si="140"/>
        <v/>
      </c>
      <c r="BI90" s="8" t="str">
        <f t="shared" si="140"/>
        <v/>
      </c>
      <c r="BJ90" s="8" t="str">
        <f t="shared" si="140"/>
        <v/>
      </c>
      <c r="BK90" s="8" t="str">
        <f t="shared" si="140"/>
        <v/>
      </c>
      <c r="BL90" s="8" t="str">
        <f t="shared" si="140"/>
        <v/>
      </c>
      <c r="BM90" s="8" t="str">
        <f t="shared" si="140"/>
        <v/>
      </c>
      <c r="BN90" s="8" t="str">
        <f t="shared" si="140"/>
        <v/>
      </c>
      <c r="BO90" s="8" t="str">
        <f t="shared" si="140"/>
        <v/>
      </c>
      <c r="BP90" s="8" t="str">
        <f t="shared" si="140"/>
        <v/>
      </c>
      <c r="BQ90" s="8" t="str">
        <f t="shared" si="140"/>
        <v/>
      </c>
      <c r="BR90" s="8" t="str">
        <f t="shared" si="140"/>
        <v/>
      </c>
      <c r="BS90" s="8" t="str">
        <f t="shared" ref="BS90:ED90" si="141">IF(OR(BT44 = "", BT$8 &lt; BS$8), "", IFERROR(BT44/BS44, ""))</f>
        <v/>
      </c>
      <c r="BT90" s="8" t="str">
        <f t="shared" si="141"/>
        <v/>
      </c>
      <c r="BU90" s="8" t="str">
        <f t="shared" si="141"/>
        <v/>
      </c>
      <c r="BV90" s="8" t="str">
        <f t="shared" si="141"/>
        <v/>
      </c>
      <c r="BW90" s="8" t="str">
        <f t="shared" si="141"/>
        <v/>
      </c>
      <c r="BX90" s="8" t="str">
        <f t="shared" si="141"/>
        <v/>
      </c>
      <c r="BY90" s="8" t="str">
        <f t="shared" si="141"/>
        <v/>
      </c>
      <c r="BZ90" s="8" t="str">
        <f t="shared" si="141"/>
        <v/>
      </c>
      <c r="CA90" s="8" t="str">
        <f t="shared" si="141"/>
        <v/>
      </c>
      <c r="CB90" s="8" t="str">
        <f t="shared" si="141"/>
        <v/>
      </c>
      <c r="CC90" s="8" t="str">
        <f t="shared" si="141"/>
        <v/>
      </c>
      <c r="CD90" s="8" t="str">
        <f t="shared" si="141"/>
        <v/>
      </c>
      <c r="CE90" s="8" t="str">
        <f t="shared" si="141"/>
        <v/>
      </c>
      <c r="CF90" s="8" t="str">
        <f t="shared" si="141"/>
        <v/>
      </c>
      <c r="CG90" s="8" t="str">
        <f t="shared" si="141"/>
        <v/>
      </c>
      <c r="CH90" s="8" t="str">
        <f t="shared" si="141"/>
        <v/>
      </c>
      <c r="CI90" s="8" t="str">
        <f t="shared" si="141"/>
        <v/>
      </c>
      <c r="CJ90" s="8" t="str">
        <f t="shared" si="141"/>
        <v/>
      </c>
      <c r="CK90" s="8" t="str">
        <f t="shared" si="141"/>
        <v/>
      </c>
      <c r="CL90" s="8" t="str">
        <f t="shared" si="141"/>
        <v/>
      </c>
      <c r="CM90" s="8" t="str">
        <f t="shared" si="141"/>
        <v/>
      </c>
      <c r="CN90" s="8" t="str">
        <f t="shared" si="141"/>
        <v/>
      </c>
      <c r="CO90" s="8" t="str">
        <f t="shared" si="141"/>
        <v/>
      </c>
      <c r="CP90" s="8" t="str">
        <f t="shared" si="141"/>
        <v/>
      </c>
      <c r="CQ90" s="8" t="str">
        <f t="shared" si="141"/>
        <v/>
      </c>
      <c r="CR90" s="8" t="str">
        <f t="shared" si="141"/>
        <v/>
      </c>
      <c r="CS90" s="8" t="str">
        <f t="shared" si="141"/>
        <v/>
      </c>
      <c r="CT90" s="8" t="str">
        <f t="shared" si="141"/>
        <v/>
      </c>
      <c r="CU90" s="8" t="str">
        <f t="shared" si="141"/>
        <v/>
      </c>
      <c r="CV90" s="8" t="str">
        <f t="shared" si="141"/>
        <v/>
      </c>
      <c r="CW90" s="8" t="str">
        <f t="shared" si="141"/>
        <v/>
      </c>
      <c r="CX90" s="8" t="str">
        <f t="shared" si="141"/>
        <v/>
      </c>
      <c r="CY90" s="8" t="str">
        <f t="shared" si="141"/>
        <v/>
      </c>
      <c r="CZ90" s="8" t="str">
        <f t="shared" si="141"/>
        <v/>
      </c>
      <c r="DA90" s="8" t="str">
        <f t="shared" si="141"/>
        <v/>
      </c>
      <c r="DB90" s="8" t="str">
        <f t="shared" si="141"/>
        <v/>
      </c>
      <c r="DC90" s="8" t="str">
        <f t="shared" si="141"/>
        <v/>
      </c>
      <c r="DD90" s="8" t="str">
        <f t="shared" si="141"/>
        <v/>
      </c>
      <c r="DE90" s="8" t="str">
        <f t="shared" si="141"/>
        <v/>
      </c>
      <c r="DF90" s="8" t="str">
        <f t="shared" si="141"/>
        <v/>
      </c>
      <c r="DG90" s="8" t="str">
        <f t="shared" si="141"/>
        <v/>
      </c>
      <c r="DH90" s="8" t="str">
        <f t="shared" si="141"/>
        <v/>
      </c>
      <c r="DI90" s="8" t="str">
        <f t="shared" si="141"/>
        <v/>
      </c>
      <c r="DJ90" s="8" t="str">
        <f t="shared" si="141"/>
        <v/>
      </c>
      <c r="DK90" s="8" t="str">
        <f t="shared" si="141"/>
        <v/>
      </c>
      <c r="DL90" s="8" t="str">
        <f t="shared" si="141"/>
        <v/>
      </c>
      <c r="DM90" s="8" t="str">
        <f t="shared" si="141"/>
        <v/>
      </c>
      <c r="DN90" s="8" t="str">
        <f t="shared" si="141"/>
        <v/>
      </c>
      <c r="DO90" s="8" t="str">
        <f t="shared" si="141"/>
        <v/>
      </c>
      <c r="DP90" s="8" t="str">
        <f t="shared" si="141"/>
        <v/>
      </c>
      <c r="DQ90" s="8" t="str">
        <f t="shared" si="141"/>
        <v/>
      </c>
      <c r="DR90" s="8" t="str">
        <f t="shared" si="141"/>
        <v/>
      </c>
      <c r="DS90" s="8" t="str">
        <f t="shared" si="141"/>
        <v/>
      </c>
      <c r="DT90" s="8" t="str">
        <f t="shared" si="141"/>
        <v/>
      </c>
      <c r="DU90" s="8" t="str">
        <f t="shared" si="141"/>
        <v/>
      </c>
      <c r="DV90" s="8" t="str">
        <f t="shared" si="141"/>
        <v/>
      </c>
      <c r="DW90" s="8" t="str">
        <f t="shared" si="141"/>
        <v/>
      </c>
      <c r="DX90" s="8" t="str">
        <f t="shared" si="141"/>
        <v/>
      </c>
      <c r="DY90" s="8" t="str">
        <f t="shared" si="141"/>
        <v/>
      </c>
      <c r="DZ90" s="8" t="str">
        <f t="shared" si="141"/>
        <v/>
      </c>
      <c r="EA90" s="8" t="str">
        <f t="shared" si="141"/>
        <v/>
      </c>
      <c r="EB90" s="8">
        <f t="shared" si="141"/>
        <v>2.2503082046250222</v>
      </c>
      <c r="EC90" s="8">
        <f t="shared" si="141"/>
        <v>1.3077425293060234</v>
      </c>
      <c r="ED90" s="8">
        <f t="shared" si="141"/>
        <v>1.1752020253518294</v>
      </c>
      <c r="EE90" s="8">
        <f t="shared" ref="EE90:GP90" si="142">IF(OR(EF44 = "", EF$8 &lt; EE$8), "", IFERROR(EF44/EE44, ""))</f>
        <v>1.0615701958518999</v>
      </c>
      <c r="EF90" s="8">
        <f t="shared" si="142"/>
        <v>1.0070301319761155</v>
      </c>
      <c r="EG90" s="8">
        <f t="shared" si="142"/>
        <v>1.0246875966101059</v>
      </c>
      <c r="EH90" s="8">
        <f t="shared" si="142"/>
        <v>0.99817024446366598</v>
      </c>
      <c r="EI90" s="8">
        <f t="shared" si="142"/>
        <v>1.0407185618752355</v>
      </c>
      <c r="EJ90" s="8">
        <f t="shared" si="142"/>
        <v>1.0005656625149133</v>
      </c>
      <c r="EK90" s="8">
        <f t="shared" si="142"/>
        <v>1.0000367925783065</v>
      </c>
      <c r="EL90" s="8">
        <f t="shared" si="142"/>
        <v>0.97485808084962644</v>
      </c>
      <c r="EM90" s="8">
        <f t="shared" si="142"/>
        <v>1</v>
      </c>
      <c r="EN90" s="8">
        <f t="shared" si="142"/>
        <v>1.0002408755236039</v>
      </c>
      <c r="EO90" s="8">
        <f t="shared" si="142"/>
        <v>1.000388283858463</v>
      </c>
      <c r="EP90" s="8">
        <f t="shared" si="142"/>
        <v>1</v>
      </c>
      <c r="EQ90" s="8">
        <f t="shared" si="142"/>
        <v>1.0000704330983723</v>
      </c>
      <c r="ER90" s="8">
        <f t="shared" si="142"/>
        <v>1.000477234076415</v>
      </c>
      <c r="ES90" s="8">
        <f t="shared" si="142"/>
        <v>1.0012331800069203</v>
      </c>
      <c r="ET90" s="8">
        <f t="shared" si="142"/>
        <v>1.0007063705697028</v>
      </c>
      <c r="EU90" s="8" t="str">
        <f t="shared" si="142"/>
        <v/>
      </c>
      <c r="EV90" s="8" t="str">
        <f t="shared" si="142"/>
        <v/>
      </c>
      <c r="EW90" s="8" t="str">
        <f t="shared" si="142"/>
        <v/>
      </c>
      <c r="EX90" s="8" t="str">
        <f t="shared" si="142"/>
        <v/>
      </c>
      <c r="EY90" s="8" t="str">
        <f t="shared" si="142"/>
        <v/>
      </c>
      <c r="EZ90" s="8" t="str">
        <f t="shared" si="142"/>
        <v/>
      </c>
      <c r="FA90" s="8" t="str">
        <f t="shared" si="142"/>
        <v/>
      </c>
      <c r="FB90" s="8" t="str">
        <f t="shared" si="142"/>
        <v/>
      </c>
      <c r="FC90" s="8" t="str">
        <f t="shared" si="142"/>
        <v/>
      </c>
      <c r="FD90" s="8" t="str">
        <f t="shared" si="142"/>
        <v/>
      </c>
      <c r="FE90" s="8" t="str">
        <f t="shared" si="142"/>
        <v/>
      </c>
      <c r="FF90" s="8" t="str">
        <f t="shared" si="142"/>
        <v/>
      </c>
      <c r="FG90" s="8" t="str">
        <f t="shared" si="142"/>
        <v/>
      </c>
      <c r="FH90" s="8" t="str">
        <f t="shared" si="142"/>
        <v/>
      </c>
      <c r="FI90" s="8" t="str">
        <f t="shared" si="142"/>
        <v/>
      </c>
      <c r="FJ90" s="8" t="str">
        <f t="shared" si="142"/>
        <v/>
      </c>
      <c r="FK90" s="8" t="str">
        <f t="shared" si="142"/>
        <v/>
      </c>
      <c r="FL90" s="8" t="str">
        <f t="shared" si="142"/>
        <v/>
      </c>
      <c r="FM90" s="8" t="str">
        <f t="shared" si="142"/>
        <v/>
      </c>
      <c r="FN90" s="8" t="str">
        <f t="shared" si="142"/>
        <v/>
      </c>
      <c r="FO90" s="8" t="str">
        <f t="shared" si="142"/>
        <v/>
      </c>
      <c r="FP90" s="8" t="str">
        <f t="shared" si="142"/>
        <v/>
      </c>
      <c r="FQ90" s="8" t="str">
        <f t="shared" si="142"/>
        <v/>
      </c>
      <c r="FR90" s="8" t="str">
        <f t="shared" si="142"/>
        <v/>
      </c>
      <c r="FS90" s="8" t="str">
        <f t="shared" si="142"/>
        <v/>
      </c>
      <c r="FT90" s="8" t="str">
        <f t="shared" si="142"/>
        <v/>
      </c>
      <c r="FU90" s="8" t="str">
        <f t="shared" si="142"/>
        <v/>
      </c>
      <c r="FV90" s="8" t="str">
        <f t="shared" si="142"/>
        <v/>
      </c>
      <c r="FW90" s="8" t="str">
        <f t="shared" si="142"/>
        <v/>
      </c>
      <c r="FX90" s="8" t="str">
        <f t="shared" si="142"/>
        <v/>
      </c>
      <c r="FY90" s="8" t="str">
        <f t="shared" si="142"/>
        <v/>
      </c>
      <c r="FZ90" s="8" t="str">
        <f t="shared" si="142"/>
        <v/>
      </c>
      <c r="GA90" s="8" t="str">
        <f t="shared" si="142"/>
        <v/>
      </c>
      <c r="GB90" s="8" t="str">
        <f t="shared" si="142"/>
        <v/>
      </c>
      <c r="GC90" s="8" t="str">
        <f t="shared" si="142"/>
        <v/>
      </c>
      <c r="GD90" s="8" t="str">
        <f t="shared" si="142"/>
        <v/>
      </c>
      <c r="GE90" s="8" t="str">
        <f t="shared" si="142"/>
        <v/>
      </c>
      <c r="GF90" s="8" t="str">
        <f t="shared" si="142"/>
        <v/>
      </c>
      <c r="GG90" s="8" t="str">
        <f t="shared" si="142"/>
        <v/>
      </c>
      <c r="GH90" s="8" t="str">
        <f t="shared" si="142"/>
        <v/>
      </c>
      <c r="GI90" s="8" t="str">
        <f t="shared" si="142"/>
        <v/>
      </c>
      <c r="GJ90" s="8" t="str">
        <f t="shared" si="142"/>
        <v/>
      </c>
      <c r="GK90" s="8" t="str">
        <f t="shared" si="142"/>
        <v/>
      </c>
      <c r="GL90" s="8" t="str">
        <f t="shared" si="142"/>
        <v/>
      </c>
      <c r="GM90" s="8" t="str">
        <f t="shared" si="142"/>
        <v/>
      </c>
      <c r="GN90" s="8" t="str">
        <f t="shared" si="142"/>
        <v/>
      </c>
      <c r="GO90" s="8" t="str">
        <f t="shared" si="142"/>
        <v/>
      </c>
      <c r="GP90" s="8" t="str">
        <f t="shared" si="142"/>
        <v/>
      </c>
      <c r="GQ90" s="8" t="str">
        <f t="shared" ref="GQ90:IV90" si="143">IF(OR(GR44 = "", GR$8 &lt; GQ$8), "", IFERROR(GR44/GQ44, ""))</f>
        <v/>
      </c>
      <c r="GR90" s="8" t="str">
        <f t="shared" si="143"/>
        <v/>
      </c>
      <c r="GS90" s="8" t="str">
        <f t="shared" si="143"/>
        <v/>
      </c>
      <c r="GT90" s="8" t="str">
        <f t="shared" si="143"/>
        <v/>
      </c>
      <c r="GU90" s="8" t="str">
        <f t="shared" si="143"/>
        <v/>
      </c>
      <c r="GV90" s="8" t="str">
        <f t="shared" si="143"/>
        <v/>
      </c>
      <c r="GW90" s="8" t="str">
        <f t="shared" si="143"/>
        <v/>
      </c>
      <c r="GX90" s="8" t="str">
        <f t="shared" si="143"/>
        <v/>
      </c>
      <c r="GY90" s="8" t="str">
        <f t="shared" si="143"/>
        <v/>
      </c>
      <c r="GZ90" s="8" t="str">
        <f t="shared" si="143"/>
        <v/>
      </c>
      <c r="HA90" s="8" t="str">
        <f t="shared" si="143"/>
        <v/>
      </c>
      <c r="HB90" s="8" t="str">
        <f t="shared" si="143"/>
        <v/>
      </c>
      <c r="HC90" s="8" t="str">
        <f t="shared" si="143"/>
        <v/>
      </c>
      <c r="HD90" s="8" t="str">
        <f t="shared" si="143"/>
        <v/>
      </c>
      <c r="HE90" s="8" t="str">
        <f t="shared" si="143"/>
        <v/>
      </c>
      <c r="HF90" s="8" t="str">
        <f t="shared" si="143"/>
        <v/>
      </c>
      <c r="HG90" s="8" t="str">
        <f t="shared" si="143"/>
        <v/>
      </c>
      <c r="HH90" s="8" t="str">
        <f t="shared" si="143"/>
        <v/>
      </c>
      <c r="HI90" s="8" t="str">
        <f t="shared" si="143"/>
        <v/>
      </c>
      <c r="HJ90" s="8" t="str">
        <f t="shared" si="143"/>
        <v/>
      </c>
      <c r="HK90" s="8" t="str">
        <f t="shared" si="143"/>
        <v/>
      </c>
      <c r="HL90" s="8" t="str">
        <f t="shared" si="143"/>
        <v/>
      </c>
      <c r="HM90" s="8" t="str">
        <f t="shared" si="143"/>
        <v/>
      </c>
      <c r="HN90" s="8" t="str">
        <f t="shared" si="143"/>
        <v/>
      </c>
      <c r="HO90" s="8" t="str">
        <f t="shared" si="143"/>
        <v/>
      </c>
      <c r="HP90" s="8" t="str">
        <f t="shared" si="143"/>
        <v/>
      </c>
      <c r="HQ90" s="8" t="str">
        <f t="shared" si="143"/>
        <v/>
      </c>
      <c r="HR90" s="8" t="str">
        <f t="shared" si="143"/>
        <v/>
      </c>
      <c r="HS90" s="8" t="str">
        <f t="shared" si="143"/>
        <v/>
      </c>
      <c r="HT90" s="8" t="str">
        <f t="shared" si="143"/>
        <v/>
      </c>
      <c r="HU90" s="8" t="str">
        <f t="shared" si="143"/>
        <v/>
      </c>
      <c r="HV90" s="8" t="str">
        <f t="shared" si="143"/>
        <v/>
      </c>
      <c r="HW90" s="8" t="str">
        <f t="shared" si="143"/>
        <v/>
      </c>
      <c r="HX90" s="8" t="str">
        <f t="shared" si="143"/>
        <v/>
      </c>
      <c r="HY90" s="8" t="str">
        <f t="shared" si="143"/>
        <v/>
      </c>
      <c r="HZ90" s="8" t="str">
        <f t="shared" si="143"/>
        <v/>
      </c>
      <c r="IA90" s="8" t="str">
        <f t="shared" si="143"/>
        <v/>
      </c>
      <c r="IB90" s="8" t="str">
        <f t="shared" si="143"/>
        <v/>
      </c>
      <c r="IC90" s="8" t="str">
        <f t="shared" si="143"/>
        <v/>
      </c>
      <c r="ID90" s="8" t="str">
        <f t="shared" si="143"/>
        <v/>
      </c>
      <c r="IE90" s="8" t="str">
        <f t="shared" si="143"/>
        <v/>
      </c>
      <c r="IF90" s="8" t="str">
        <f t="shared" si="143"/>
        <v/>
      </c>
      <c r="IG90" s="8" t="str">
        <f t="shared" si="143"/>
        <v/>
      </c>
      <c r="IH90" s="8" t="str">
        <f t="shared" si="143"/>
        <v/>
      </c>
      <c r="II90" s="8" t="str">
        <f t="shared" si="143"/>
        <v/>
      </c>
      <c r="IJ90" s="8" t="str">
        <f t="shared" si="143"/>
        <v/>
      </c>
      <c r="IK90" s="8" t="str">
        <f t="shared" si="143"/>
        <v/>
      </c>
      <c r="IL90" s="8" t="str">
        <f t="shared" si="143"/>
        <v/>
      </c>
      <c r="IM90" s="8" t="str">
        <f t="shared" si="143"/>
        <v/>
      </c>
      <c r="IN90" s="8" t="str">
        <f t="shared" si="143"/>
        <v/>
      </c>
      <c r="IO90" s="8" t="str">
        <f t="shared" si="143"/>
        <v/>
      </c>
      <c r="IP90" s="8" t="str">
        <f t="shared" si="143"/>
        <v/>
      </c>
      <c r="IQ90" s="8" t="str">
        <f t="shared" si="143"/>
        <v/>
      </c>
      <c r="IR90" s="8" t="str">
        <f t="shared" si="143"/>
        <v/>
      </c>
      <c r="IS90" s="8" t="str">
        <f t="shared" si="143"/>
        <v/>
      </c>
      <c r="IT90" s="8" t="str">
        <f t="shared" si="143"/>
        <v/>
      </c>
      <c r="IU90" s="8" t="str">
        <f t="shared" si="143"/>
        <v/>
      </c>
      <c r="IV90" s="8" t="str">
        <f t="shared" si="143"/>
        <v/>
      </c>
    </row>
    <row r="91" spans="6:256" x14ac:dyDescent="0.2">
      <c r="F91">
        <v>202303</v>
      </c>
      <c r="G91" s="8">
        <f t="shared" ref="G91:BR91" si="144">IF(OR(H45 = "", H$8 &lt; G$8), "", IFERROR(H45/G45, ""))</f>
        <v>11.115768464205635</v>
      </c>
      <c r="H91" s="8">
        <f t="shared" si="144"/>
        <v>2.1312156838874805</v>
      </c>
      <c r="I91" s="8">
        <f t="shared" si="144"/>
        <v>1.6063386735844918</v>
      </c>
      <c r="J91" s="8">
        <f t="shared" si="144"/>
        <v>1.2626258176363858</v>
      </c>
      <c r="K91" s="8">
        <f t="shared" si="144"/>
        <v>1.0369170420345268</v>
      </c>
      <c r="L91" s="8">
        <f t="shared" si="144"/>
        <v>1.0376703214979244</v>
      </c>
      <c r="M91" s="8">
        <f t="shared" si="144"/>
        <v>1.0074432151767205</v>
      </c>
      <c r="N91" s="8">
        <f t="shared" si="144"/>
        <v>1.0026312790299641</v>
      </c>
      <c r="O91" s="8">
        <f t="shared" si="144"/>
        <v>1.012462533548115</v>
      </c>
      <c r="P91" s="8">
        <f t="shared" si="144"/>
        <v>1.0260225724691887</v>
      </c>
      <c r="Q91" s="8">
        <f t="shared" si="144"/>
        <v>1.0055192783153881</v>
      </c>
      <c r="R91" s="8">
        <f t="shared" si="144"/>
        <v>1.0000788432169812</v>
      </c>
      <c r="S91" s="8">
        <f t="shared" si="144"/>
        <v>1</v>
      </c>
      <c r="T91" s="8">
        <f t="shared" si="144"/>
        <v>1.0021969240532065</v>
      </c>
      <c r="U91" s="8">
        <f t="shared" si="144"/>
        <v>1.0005185772646057</v>
      </c>
      <c r="V91" s="8">
        <f t="shared" si="144"/>
        <v>1.0006373238421262</v>
      </c>
      <c r="W91" s="8" t="str">
        <f t="shared" si="144"/>
        <v/>
      </c>
      <c r="X91" s="8" t="str">
        <f t="shared" si="144"/>
        <v/>
      </c>
      <c r="Y91" s="8" t="str">
        <f t="shared" si="144"/>
        <v/>
      </c>
      <c r="Z91" s="8" t="str">
        <f t="shared" si="144"/>
        <v/>
      </c>
      <c r="AA91" s="8" t="str">
        <f t="shared" si="144"/>
        <v/>
      </c>
      <c r="AB91" s="8" t="str">
        <f t="shared" si="144"/>
        <v/>
      </c>
      <c r="AC91" s="8" t="str">
        <f t="shared" si="144"/>
        <v/>
      </c>
      <c r="AD91" s="8" t="str">
        <f t="shared" si="144"/>
        <v/>
      </c>
      <c r="AE91" s="8" t="str">
        <f t="shared" si="144"/>
        <v/>
      </c>
      <c r="AF91" s="8" t="str">
        <f t="shared" si="144"/>
        <v/>
      </c>
      <c r="AG91" s="8" t="str">
        <f t="shared" si="144"/>
        <v/>
      </c>
      <c r="AH91" s="8" t="str">
        <f t="shared" si="144"/>
        <v/>
      </c>
      <c r="AI91" s="8" t="str">
        <f t="shared" si="144"/>
        <v/>
      </c>
      <c r="AJ91" s="8" t="str">
        <f t="shared" si="144"/>
        <v/>
      </c>
      <c r="AK91" s="8" t="str">
        <f t="shared" si="144"/>
        <v/>
      </c>
      <c r="AL91" s="8" t="str">
        <f t="shared" si="144"/>
        <v/>
      </c>
      <c r="AM91" s="8" t="str">
        <f t="shared" si="144"/>
        <v/>
      </c>
      <c r="AN91" s="8" t="str">
        <f t="shared" si="144"/>
        <v/>
      </c>
      <c r="AO91" s="8" t="str">
        <f t="shared" si="144"/>
        <v/>
      </c>
      <c r="AP91" s="8" t="str">
        <f t="shared" si="144"/>
        <v/>
      </c>
      <c r="AQ91" s="8" t="str">
        <f t="shared" si="144"/>
        <v/>
      </c>
      <c r="AR91" s="8" t="str">
        <f t="shared" si="144"/>
        <v/>
      </c>
      <c r="AS91" s="8" t="str">
        <f t="shared" si="144"/>
        <v/>
      </c>
      <c r="AT91" s="8" t="str">
        <f t="shared" si="144"/>
        <v/>
      </c>
      <c r="AU91" s="8" t="str">
        <f t="shared" si="144"/>
        <v/>
      </c>
      <c r="AV91" s="8" t="str">
        <f t="shared" si="144"/>
        <v/>
      </c>
      <c r="AW91" s="8" t="str">
        <f t="shared" si="144"/>
        <v/>
      </c>
      <c r="AX91" s="8" t="str">
        <f t="shared" si="144"/>
        <v/>
      </c>
      <c r="AY91" s="8" t="str">
        <f t="shared" si="144"/>
        <v/>
      </c>
      <c r="AZ91" s="8" t="str">
        <f t="shared" si="144"/>
        <v/>
      </c>
      <c r="BA91" s="8" t="str">
        <f t="shared" si="144"/>
        <v/>
      </c>
      <c r="BB91" s="8" t="str">
        <f t="shared" si="144"/>
        <v/>
      </c>
      <c r="BC91" s="8" t="str">
        <f t="shared" si="144"/>
        <v/>
      </c>
      <c r="BD91" s="8" t="str">
        <f t="shared" si="144"/>
        <v/>
      </c>
      <c r="BE91" s="8" t="str">
        <f t="shared" si="144"/>
        <v/>
      </c>
      <c r="BF91" s="8" t="str">
        <f t="shared" si="144"/>
        <v/>
      </c>
      <c r="BG91" s="8" t="str">
        <f t="shared" si="144"/>
        <v/>
      </c>
      <c r="BH91" s="8" t="str">
        <f t="shared" si="144"/>
        <v/>
      </c>
      <c r="BI91" s="8" t="str">
        <f t="shared" si="144"/>
        <v/>
      </c>
      <c r="BJ91" s="8" t="str">
        <f t="shared" si="144"/>
        <v/>
      </c>
      <c r="BK91" s="8" t="str">
        <f t="shared" si="144"/>
        <v/>
      </c>
      <c r="BL91" s="8" t="str">
        <f t="shared" si="144"/>
        <v/>
      </c>
      <c r="BM91" s="8" t="str">
        <f t="shared" si="144"/>
        <v/>
      </c>
      <c r="BN91" s="8" t="str">
        <f t="shared" si="144"/>
        <v/>
      </c>
      <c r="BO91" s="8" t="str">
        <f t="shared" si="144"/>
        <v/>
      </c>
      <c r="BP91" s="8" t="str">
        <f t="shared" si="144"/>
        <v/>
      </c>
      <c r="BQ91" s="8" t="str">
        <f t="shared" si="144"/>
        <v/>
      </c>
      <c r="BR91" s="8" t="str">
        <f t="shared" si="144"/>
        <v/>
      </c>
      <c r="BS91" s="8" t="str">
        <f t="shared" ref="BS91:ED91" si="145">IF(OR(BT45 = "", BT$8 &lt; BS$8), "", IFERROR(BT45/BS45, ""))</f>
        <v/>
      </c>
      <c r="BT91" s="8" t="str">
        <f t="shared" si="145"/>
        <v/>
      </c>
      <c r="BU91" s="8" t="str">
        <f t="shared" si="145"/>
        <v/>
      </c>
      <c r="BV91" s="8" t="str">
        <f t="shared" si="145"/>
        <v/>
      </c>
      <c r="BW91" s="8" t="str">
        <f t="shared" si="145"/>
        <v/>
      </c>
      <c r="BX91" s="8" t="str">
        <f t="shared" si="145"/>
        <v/>
      </c>
      <c r="BY91" s="8" t="str">
        <f t="shared" si="145"/>
        <v/>
      </c>
      <c r="BZ91" s="8" t="str">
        <f t="shared" si="145"/>
        <v/>
      </c>
      <c r="CA91" s="8" t="str">
        <f t="shared" si="145"/>
        <v/>
      </c>
      <c r="CB91" s="8" t="str">
        <f t="shared" si="145"/>
        <v/>
      </c>
      <c r="CC91" s="8" t="str">
        <f t="shared" si="145"/>
        <v/>
      </c>
      <c r="CD91" s="8" t="str">
        <f t="shared" si="145"/>
        <v/>
      </c>
      <c r="CE91" s="8" t="str">
        <f t="shared" si="145"/>
        <v/>
      </c>
      <c r="CF91" s="8" t="str">
        <f t="shared" si="145"/>
        <v/>
      </c>
      <c r="CG91" s="8" t="str">
        <f t="shared" si="145"/>
        <v/>
      </c>
      <c r="CH91" s="8" t="str">
        <f t="shared" si="145"/>
        <v/>
      </c>
      <c r="CI91" s="8" t="str">
        <f t="shared" si="145"/>
        <v/>
      </c>
      <c r="CJ91" s="8" t="str">
        <f t="shared" si="145"/>
        <v/>
      </c>
      <c r="CK91" s="8" t="str">
        <f t="shared" si="145"/>
        <v/>
      </c>
      <c r="CL91" s="8" t="str">
        <f t="shared" si="145"/>
        <v/>
      </c>
      <c r="CM91" s="8" t="str">
        <f t="shared" si="145"/>
        <v/>
      </c>
      <c r="CN91" s="8" t="str">
        <f t="shared" si="145"/>
        <v/>
      </c>
      <c r="CO91" s="8" t="str">
        <f t="shared" si="145"/>
        <v/>
      </c>
      <c r="CP91" s="8" t="str">
        <f t="shared" si="145"/>
        <v/>
      </c>
      <c r="CQ91" s="8" t="str">
        <f t="shared" si="145"/>
        <v/>
      </c>
      <c r="CR91" s="8" t="str">
        <f t="shared" si="145"/>
        <v/>
      </c>
      <c r="CS91" s="8" t="str">
        <f t="shared" si="145"/>
        <v/>
      </c>
      <c r="CT91" s="8" t="str">
        <f t="shared" si="145"/>
        <v/>
      </c>
      <c r="CU91" s="8" t="str">
        <f t="shared" si="145"/>
        <v/>
      </c>
      <c r="CV91" s="8" t="str">
        <f t="shared" si="145"/>
        <v/>
      </c>
      <c r="CW91" s="8" t="str">
        <f t="shared" si="145"/>
        <v/>
      </c>
      <c r="CX91" s="8" t="str">
        <f t="shared" si="145"/>
        <v/>
      </c>
      <c r="CY91" s="8" t="str">
        <f t="shared" si="145"/>
        <v/>
      </c>
      <c r="CZ91" s="8" t="str">
        <f t="shared" si="145"/>
        <v/>
      </c>
      <c r="DA91" s="8" t="str">
        <f t="shared" si="145"/>
        <v/>
      </c>
      <c r="DB91" s="8" t="str">
        <f t="shared" si="145"/>
        <v/>
      </c>
      <c r="DC91" s="8" t="str">
        <f t="shared" si="145"/>
        <v/>
      </c>
      <c r="DD91" s="8" t="str">
        <f t="shared" si="145"/>
        <v/>
      </c>
      <c r="DE91" s="8" t="str">
        <f t="shared" si="145"/>
        <v/>
      </c>
      <c r="DF91" s="8" t="str">
        <f t="shared" si="145"/>
        <v/>
      </c>
      <c r="DG91" s="8" t="str">
        <f t="shared" si="145"/>
        <v/>
      </c>
      <c r="DH91" s="8" t="str">
        <f t="shared" si="145"/>
        <v/>
      </c>
      <c r="DI91" s="8" t="str">
        <f t="shared" si="145"/>
        <v/>
      </c>
      <c r="DJ91" s="8" t="str">
        <f t="shared" si="145"/>
        <v/>
      </c>
      <c r="DK91" s="8" t="str">
        <f t="shared" si="145"/>
        <v/>
      </c>
      <c r="DL91" s="8" t="str">
        <f t="shared" si="145"/>
        <v/>
      </c>
      <c r="DM91" s="8" t="str">
        <f t="shared" si="145"/>
        <v/>
      </c>
      <c r="DN91" s="8" t="str">
        <f t="shared" si="145"/>
        <v/>
      </c>
      <c r="DO91" s="8" t="str">
        <f t="shared" si="145"/>
        <v/>
      </c>
      <c r="DP91" s="8" t="str">
        <f t="shared" si="145"/>
        <v/>
      </c>
      <c r="DQ91" s="8" t="str">
        <f t="shared" si="145"/>
        <v/>
      </c>
      <c r="DR91" s="8" t="str">
        <f t="shared" si="145"/>
        <v/>
      </c>
      <c r="DS91" s="8" t="str">
        <f t="shared" si="145"/>
        <v/>
      </c>
      <c r="DT91" s="8" t="str">
        <f t="shared" si="145"/>
        <v/>
      </c>
      <c r="DU91" s="8" t="str">
        <f t="shared" si="145"/>
        <v/>
      </c>
      <c r="DV91" s="8" t="str">
        <f t="shared" si="145"/>
        <v/>
      </c>
      <c r="DW91" s="8" t="str">
        <f t="shared" si="145"/>
        <v/>
      </c>
      <c r="DX91" s="8" t="str">
        <f t="shared" si="145"/>
        <v/>
      </c>
      <c r="DY91" s="8" t="str">
        <f t="shared" si="145"/>
        <v/>
      </c>
      <c r="DZ91" s="8" t="str">
        <f t="shared" si="145"/>
        <v/>
      </c>
      <c r="EA91" s="8" t="str">
        <f t="shared" si="145"/>
        <v/>
      </c>
      <c r="EB91" s="8">
        <f t="shared" si="145"/>
        <v>2.5975024303856489</v>
      </c>
      <c r="EC91" s="8">
        <f t="shared" si="145"/>
        <v>1.3587860553700097</v>
      </c>
      <c r="ED91" s="8">
        <f t="shared" si="145"/>
        <v>1.12547789874004</v>
      </c>
      <c r="EE91" s="8">
        <f t="shared" ref="EE91:GP91" si="146">IF(OR(EF45 = "", EF$8 &lt; EE$8), "", IFERROR(EF45/EE45, ""))</f>
        <v>1.0235154527151029</v>
      </c>
      <c r="EF91" s="8">
        <f t="shared" si="146"/>
        <v>1.0504954531475876</v>
      </c>
      <c r="EG91" s="8">
        <f t="shared" si="146"/>
        <v>1.0247063064500102</v>
      </c>
      <c r="EH91" s="8">
        <f t="shared" si="146"/>
        <v>1.0070270459701121</v>
      </c>
      <c r="EI91" s="8">
        <f t="shared" si="146"/>
        <v>0.99959114891784695</v>
      </c>
      <c r="EJ91" s="8">
        <f t="shared" si="146"/>
        <v>1.0010525418685832</v>
      </c>
      <c r="EK91" s="8">
        <f t="shared" si="146"/>
        <v>1.0152277110340133</v>
      </c>
      <c r="EL91" s="8">
        <f t="shared" si="146"/>
        <v>1.0002480196907781</v>
      </c>
      <c r="EM91" s="8">
        <f t="shared" si="146"/>
        <v>1.0000719725989304</v>
      </c>
      <c r="EN91" s="8">
        <f t="shared" si="146"/>
        <v>0.97259098033472413</v>
      </c>
      <c r="EO91" s="8">
        <f t="shared" si="146"/>
        <v>1.0000321771532241</v>
      </c>
      <c r="EP91" s="8">
        <f t="shared" si="146"/>
        <v>1.0004877846832465</v>
      </c>
      <c r="EQ91" s="8">
        <f t="shared" si="146"/>
        <v>0.97311079393016686</v>
      </c>
      <c r="ER91" s="8" t="str">
        <f t="shared" si="146"/>
        <v/>
      </c>
      <c r="ES91" s="8" t="str">
        <f t="shared" si="146"/>
        <v/>
      </c>
      <c r="ET91" s="8" t="str">
        <f t="shared" si="146"/>
        <v/>
      </c>
      <c r="EU91" s="8" t="str">
        <f t="shared" si="146"/>
        <v/>
      </c>
      <c r="EV91" s="8" t="str">
        <f t="shared" si="146"/>
        <v/>
      </c>
      <c r="EW91" s="8" t="str">
        <f t="shared" si="146"/>
        <v/>
      </c>
      <c r="EX91" s="8" t="str">
        <f t="shared" si="146"/>
        <v/>
      </c>
      <c r="EY91" s="8" t="str">
        <f t="shared" si="146"/>
        <v/>
      </c>
      <c r="EZ91" s="8" t="str">
        <f t="shared" si="146"/>
        <v/>
      </c>
      <c r="FA91" s="8" t="str">
        <f t="shared" si="146"/>
        <v/>
      </c>
      <c r="FB91" s="8" t="str">
        <f t="shared" si="146"/>
        <v/>
      </c>
      <c r="FC91" s="8" t="str">
        <f t="shared" si="146"/>
        <v/>
      </c>
      <c r="FD91" s="8" t="str">
        <f t="shared" si="146"/>
        <v/>
      </c>
      <c r="FE91" s="8" t="str">
        <f t="shared" si="146"/>
        <v/>
      </c>
      <c r="FF91" s="8" t="str">
        <f t="shared" si="146"/>
        <v/>
      </c>
      <c r="FG91" s="8" t="str">
        <f t="shared" si="146"/>
        <v/>
      </c>
      <c r="FH91" s="8" t="str">
        <f t="shared" si="146"/>
        <v/>
      </c>
      <c r="FI91" s="8" t="str">
        <f t="shared" si="146"/>
        <v/>
      </c>
      <c r="FJ91" s="8" t="str">
        <f t="shared" si="146"/>
        <v/>
      </c>
      <c r="FK91" s="8" t="str">
        <f t="shared" si="146"/>
        <v/>
      </c>
      <c r="FL91" s="8" t="str">
        <f t="shared" si="146"/>
        <v/>
      </c>
      <c r="FM91" s="8" t="str">
        <f t="shared" si="146"/>
        <v/>
      </c>
      <c r="FN91" s="8" t="str">
        <f t="shared" si="146"/>
        <v/>
      </c>
      <c r="FO91" s="8" t="str">
        <f t="shared" si="146"/>
        <v/>
      </c>
      <c r="FP91" s="8" t="str">
        <f t="shared" si="146"/>
        <v/>
      </c>
      <c r="FQ91" s="8" t="str">
        <f t="shared" si="146"/>
        <v/>
      </c>
      <c r="FR91" s="8" t="str">
        <f t="shared" si="146"/>
        <v/>
      </c>
      <c r="FS91" s="8" t="str">
        <f t="shared" si="146"/>
        <v/>
      </c>
      <c r="FT91" s="8" t="str">
        <f t="shared" si="146"/>
        <v/>
      </c>
      <c r="FU91" s="8" t="str">
        <f t="shared" si="146"/>
        <v/>
      </c>
      <c r="FV91" s="8" t="str">
        <f t="shared" si="146"/>
        <v/>
      </c>
      <c r="FW91" s="8" t="str">
        <f t="shared" si="146"/>
        <v/>
      </c>
      <c r="FX91" s="8" t="str">
        <f t="shared" si="146"/>
        <v/>
      </c>
      <c r="FY91" s="8" t="str">
        <f t="shared" si="146"/>
        <v/>
      </c>
      <c r="FZ91" s="8" t="str">
        <f t="shared" si="146"/>
        <v/>
      </c>
      <c r="GA91" s="8" t="str">
        <f t="shared" si="146"/>
        <v/>
      </c>
      <c r="GB91" s="8" t="str">
        <f t="shared" si="146"/>
        <v/>
      </c>
      <c r="GC91" s="8" t="str">
        <f t="shared" si="146"/>
        <v/>
      </c>
      <c r="GD91" s="8" t="str">
        <f t="shared" si="146"/>
        <v/>
      </c>
      <c r="GE91" s="8" t="str">
        <f t="shared" si="146"/>
        <v/>
      </c>
      <c r="GF91" s="8" t="str">
        <f t="shared" si="146"/>
        <v/>
      </c>
      <c r="GG91" s="8" t="str">
        <f t="shared" si="146"/>
        <v/>
      </c>
      <c r="GH91" s="8" t="str">
        <f t="shared" si="146"/>
        <v/>
      </c>
      <c r="GI91" s="8" t="str">
        <f t="shared" si="146"/>
        <v/>
      </c>
      <c r="GJ91" s="8" t="str">
        <f t="shared" si="146"/>
        <v/>
      </c>
      <c r="GK91" s="8" t="str">
        <f t="shared" si="146"/>
        <v/>
      </c>
      <c r="GL91" s="8" t="str">
        <f t="shared" si="146"/>
        <v/>
      </c>
      <c r="GM91" s="8" t="str">
        <f t="shared" si="146"/>
        <v/>
      </c>
      <c r="GN91" s="8" t="str">
        <f t="shared" si="146"/>
        <v/>
      </c>
      <c r="GO91" s="8" t="str">
        <f t="shared" si="146"/>
        <v/>
      </c>
      <c r="GP91" s="8" t="str">
        <f t="shared" si="146"/>
        <v/>
      </c>
      <c r="GQ91" s="8" t="str">
        <f t="shared" ref="GQ91:IV91" si="147">IF(OR(GR45 = "", GR$8 &lt; GQ$8), "", IFERROR(GR45/GQ45, ""))</f>
        <v/>
      </c>
      <c r="GR91" s="8" t="str">
        <f t="shared" si="147"/>
        <v/>
      </c>
      <c r="GS91" s="8" t="str">
        <f t="shared" si="147"/>
        <v/>
      </c>
      <c r="GT91" s="8" t="str">
        <f t="shared" si="147"/>
        <v/>
      </c>
      <c r="GU91" s="8" t="str">
        <f t="shared" si="147"/>
        <v/>
      </c>
      <c r="GV91" s="8" t="str">
        <f t="shared" si="147"/>
        <v/>
      </c>
      <c r="GW91" s="8" t="str">
        <f t="shared" si="147"/>
        <v/>
      </c>
      <c r="GX91" s="8" t="str">
        <f t="shared" si="147"/>
        <v/>
      </c>
      <c r="GY91" s="8" t="str">
        <f t="shared" si="147"/>
        <v/>
      </c>
      <c r="GZ91" s="8" t="str">
        <f t="shared" si="147"/>
        <v/>
      </c>
      <c r="HA91" s="8" t="str">
        <f t="shared" si="147"/>
        <v/>
      </c>
      <c r="HB91" s="8" t="str">
        <f t="shared" si="147"/>
        <v/>
      </c>
      <c r="HC91" s="8" t="str">
        <f t="shared" si="147"/>
        <v/>
      </c>
      <c r="HD91" s="8" t="str">
        <f t="shared" si="147"/>
        <v/>
      </c>
      <c r="HE91" s="8" t="str">
        <f t="shared" si="147"/>
        <v/>
      </c>
      <c r="HF91" s="8" t="str">
        <f t="shared" si="147"/>
        <v/>
      </c>
      <c r="HG91" s="8" t="str">
        <f t="shared" si="147"/>
        <v/>
      </c>
      <c r="HH91" s="8" t="str">
        <f t="shared" si="147"/>
        <v/>
      </c>
      <c r="HI91" s="8" t="str">
        <f t="shared" si="147"/>
        <v/>
      </c>
      <c r="HJ91" s="8" t="str">
        <f t="shared" si="147"/>
        <v/>
      </c>
      <c r="HK91" s="8" t="str">
        <f t="shared" si="147"/>
        <v/>
      </c>
      <c r="HL91" s="8" t="str">
        <f t="shared" si="147"/>
        <v/>
      </c>
      <c r="HM91" s="8" t="str">
        <f t="shared" si="147"/>
        <v/>
      </c>
      <c r="HN91" s="8" t="str">
        <f t="shared" si="147"/>
        <v/>
      </c>
      <c r="HO91" s="8" t="str">
        <f t="shared" si="147"/>
        <v/>
      </c>
      <c r="HP91" s="8" t="str">
        <f t="shared" si="147"/>
        <v/>
      </c>
      <c r="HQ91" s="8" t="str">
        <f t="shared" si="147"/>
        <v/>
      </c>
      <c r="HR91" s="8" t="str">
        <f t="shared" si="147"/>
        <v/>
      </c>
      <c r="HS91" s="8" t="str">
        <f t="shared" si="147"/>
        <v/>
      </c>
      <c r="HT91" s="8" t="str">
        <f t="shared" si="147"/>
        <v/>
      </c>
      <c r="HU91" s="8" t="str">
        <f t="shared" si="147"/>
        <v/>
      </c>
      <c r="HV91" s="8" t="str">
        <f t="shared" si="147"/>
        <v/>
      </c>
      <c r="HW91" s="8" t="str">
        <f t="shared" si="147"/>
        <v/>
      </c>
      <c r="HX91" s="8" t="str">
        <f t="shared" si="147"/>
        <v/>
      </c>
      <c r="HY91" s="8" t="str">
        <f t="shared" si="147"/>
        <v/>
      </c>
      <c r="HZ91" s="8" t="str">
        <f t="shared" si="147"/>
        <v/>
      </c>
      <c r="IA91" s="8" t="str">
        <f t="shared" si="147"/>
        <v/>
      </c>
      <c r="IB91" s="8" t="str">
        <f t="shared" si="147"/>
        <v/>
      </c>
      <c r="IC91" s="8" t="str">
        <f t="shared" si="147"/>
        <v/>
      </c>
      <c r="ID91" s="8" t="str">
        <f t="shared" si="147"/>
        <v/>
      </c>
      <c r="IE91" s="8" t="str">
        <f t="shared" si="147"/>
        <v/>
      </c>
      <c r="IF91" s="8" t="str">
        <f t="shared" si="147"/>
        <v/>
      </c>
      <c r="IG91" s="8" t="str">
        <f t="shared" si="147"/>
        <v/>
      </c>
      <c r="IH91" s="8" t="str">
        <f t="shared" si="147"/>
        <v/>
      </c>
      <c r="II91" s="8" t="str">
        <f t="shared" si="147"/>
        <v/>
      </c>
      <c r="IJ91" s="8" t="str">
        <f t="shared" si="147"/>
        <v/>
      </c>
      <c r="IK91" s="8" t="str">
        <f t="shared" si="147"/>
        <v/>
      </c>
      <c r="IL91" s="8" t="str">
        <f t="shared" si="147"/>
        <v/>
      </c>
      <c r="IM91" s="8" t="str">
        <f t="shared" si="147"/>
        <v/>
      </c>
      <c r="IN91" s="8" t="str">
        <f t="shared" si="147"/>
        <v/>
      </c>
      <c r="IO91" s="8" t="str">
        <f t="shared" si="147"/>
        <v/>
      </c>
      <c r="IP91" s="8" t="str">
        <f t="shared" si="147"/>
        <v/>
      </c>
      <c r="IQ91" s="8" t="str">
        <f t="shared" si="147"/>
        <v/>
      </c>
      <c r="IR91" s="8" t="str">
        <f t="shared" si="147"/>
        <v/>
      </c>
      <c r="IS91" s="8" t="str">
        <f t="shared" si="147"/>
        <v/>
      </c>
      <c r="IT91" s="8" t="str">
        <f t="shared" si="147"/>
        <v/>
      </c>
      <c r="IU91" s="8" t="str">
        <f t="shared" si="147"/>
        <v/>
      </c>
      <c r="IV91" s="8" t="str">
        <f t="shared" si="147"/>
        <v/>
      </c>
    </row>
    <row r="92" spans="6:256" x14ac:dyDescent="0.2">
      <c r="F92">
        <v>202306</v>
      </c>
      <c r="G92" s="8">
        <f t="shared" ref="G92:BR92" si="148">IF(OR(H46 = "", H$8 &lt; G$8), "", IFERROR(H46/G46, ""))</f>
        <v>4.82916964496766</v>
      </c>
      <c r="H92" s="8">
        <f t="shared" si="148"/>
        <v>2.3640561473838417</v>
      </c>
      <c r="I92" s="8">
        <f t="shared" si="148"/>
        <v>1.4467478944429046</v>
      </c>
      <c r="J92" s="8">
        <f t="shared" si="148"/>
        <v>2.0806987908591554</v>
      </c>
      <c r="K92" s="8">
        <f t="shared" si="148"/>
        <v>1.1158734966326918</v>
      </c>
      <c r="L92" s="8">
        <f t="shared" si="148"/>
        <v>1.1020331985204681</v>
      </c>
      <c r="M92" s="8">
        <f t="shared" si="148"/>
        <v>1.0329781767712967</v>
      </c>
      <c r="N92" s="8">
        <f t="shared" si="148"/>
        <v>1.0038449068847299</v>
      </c>
      <c r="O92" s="8">
        <f t="shared" si="148"/>
        <v>1.0000903859362245</v>
      </c>
      <c r="P92" s="8">
        <f t="shared" si="148"/>
        <v>1.0033905231204603</v>
      </c>
      <c r="Q92" s="8">
        <f t="shared" si="148"/>
        <v>1.0003582239162674</v>
      </c>
      <c r="R92" s="8">
        <f t="shared" si="148"/>
        <v>1</v>
      </c>
      <c r="S92" s="8">
        <f t="shared" si="148"/>
        <v>1.0006954755252544</v>
      </c>
      <c r="T92" s="8" t="str">
        <f t="shared" si="148"/>
        <v/>
      </c>
      <c r="U92" s="8" t="str">
        <f t="shared" si="148"/>
        <v/>
      </c>
      <c r="V92" s="8" t="str">
        <f t="shared" si="148"/>
        <v/>
      </c>
      <c r="W92" s="8" t="str">
        <f t="shared" si="148"/>
        <v/>
      </c>
      <c r="X92" s="8" t="str">
        <f t="shared" si="148"/>
        <v/>
      </c>
      <c r="Y92" s="8" t="str">
        <f t="shared" si="148"/>
        <v/>
      </c>
      <c r="Z92" s="8" t="str">
        <f t="shared" si="148"/>
        <v/>
      </c>
      <c r="AA92" s="8" t="str">
        <f t="shared" si="148"/>
        <v/>
      </c>
      <c r="AB92" s="8" t="str">
        <f t="shared" si="148"/>
        <v/>
      </c>
      <c r="AC92" s="8" t="str">
        <f t="shared" si="148"/>
        <v/>
      </c>
      <c r="AD92" s="8" t="str">
        <f t="shared" si="148"/>
        <v/>
      </c>
      <c r="AE92" s="8" t="str">
        <f t="shared" si="148"/>
        <v/>
      </c>
      <c r="AF92" s="8" t="str">
        <f t="shared" si="148"/>
        <v/>
      </c>
      <c r="AG92" s="8" t="str">
        <f t="shared" si="148"/>
        <v/>
      </c>
      <c r="AH92" s="8" t="str">
        <f t="shared" si="148"/>
        <v/>
      </c>
      <c r="AI92" s="8" t="str">
        <f t="shared" si="148"/>
        <v/>
      </c>
      <c r="AJ92" s="8" t="str">
        <f t="shared" si="148"/>
        <v/>
      </c>
      <c r="AK92" s="8" t="str">
        <f t="shared" si="148"/>
        <v/>
      </c>
      <c r="AL92" s="8" t="str">
        <f t="shared" si="148"/>
        <v/>
      </c>
      <c r="AM92" s="8" t="str">
        <f t="shared" si="148"/>
        <v/>
      </c>
      <c r="AN92" s="8" t="str">
        <f t="shared" si="148"/>
        <v/>
      </c>
      <c r="AO92" s="8" t="str">
        <f t="shared" si="148"/>
        <v/>
      </c>
      <c r="AP92" s="8" t="str">
        <f t="shared" si="148"/>
        <v/>
      </c>
      <c r="AQ92" s="8" t="str">
        <f t="shared" si="148"/>
        <v/>
      </c>
      <c r="AR92" s="8" t="str">
        <f t="shared" si="148"/>
        <v/>
      </c>
      <c r="AS92" s="8" t="str">
        <f t="shared" si="148"/>
        <v/>
      </c>
      <c r="AT92" s="8" t="str">
        <f t="shared" si="148"/>
        <v/>
      </c>
      <c r="AU92" s="8" t="str">
        <f t="shared" si="148"/>
        <v/>
      </c>
      <c r="AV92" s="8" t="str">
        <f t="shared" si="148"/>
        <v/>
      </c>
      <c r="AW92" s="8" t="str">
        <f t="shared" si="148"/>
        <v/>
      </c>
      <c r="AX92" s="8" t="str">
        <f t="shared" si="148"/>
        <v/>
      </c>
      <c r="AY92" s="8" t="str">
        <f t="shared" si="148"/>
        <v/>
      </c>
      <c r="AZ92" s="8" t="str">
        <f t="shared" si="148"/>
        <v/>
      </c>
      <c r="BA92" s="8" t="str">
        <f t="shared" si="148"/>
        <v/>
      </c>
      <c r="BB92" s="8" t="str">
        <f t="shared" si="148"/>
        <v/>
      </c>
      <c r="BC92" s="8" t="str">
        <f t="shared" si="148"/>
        <v/>
      </c>
      <c r="BD92" s="8" t="str">
        <f t="shared" si="148"/>
        <v/>
      </c>
      <c r="BE92" s="8" t="str">
        <f t="shared" si="148"/>
        <v/>
      </c>
      <c r="BF92" s="8" t="str">
        <f t="shared" si="148"/>
        <v/>
      </c>
      <c r="BG92" s="8" t="str">
        <f t="shared" si="148"/>
        <v/>
      </c>
      <c r="BH92" s="8" t="str">
        <f t="shared" si="148"/>
        <v/>
      </c>
      <c r="BI92" s="8" t="str">
        <f t="shared" si="148"/>
        <v/>
      </c>
      <c r="BJ92" s="8" t="str">
        <f t="shared" si="148"/>
        <v/>
      </c>
      <c r="BK92" s="8" t="str">
        <f t="shared" si="148"/>
        <v/>
      </c>
      <c r="BL92" s="8" t="str">
        <f t="shared" si="148"/>
        <v/>
      </c>
      <c r="BM92" s="8" t="str">
        <f t="shared" si="148"/>
        <v/>
      </c>
      <c r="BN92" s="8" t="str">
        <f t="shared" si="148"/>
        <v/>
      </c>
      <c r="BO92" s="8" t="str">
        <f t="shared" si="148"/>
        <v/>
      </c>
      <c r="BP92" s="8" t="str">
        <f t="shared" si="148"/>
        <v/>
      </c>
      <c r="BQ92" s="8" t="str">
        <f t="shared" si="148"/>
        <v/>
      </c>
      <c r="BR92" s="8" t="str">
        <f t="shared" si="148"/>
        <v/>
      </c>
      <c r="BS92" s="8" t="str">
        <f t="shared" ref="BS92:ED92" si="149">IF(OR(BT46 = "", BT$8 &lt; BS$8), "", IFERROR(BT46/BS46, ""))</f>
        <v/>
      </c>
      <c r="BT92" s="8" t="str">
        <f t="shared" si="149"/>
        <v/>
      </c>
      <c r="BU92" s="8" t="str">
        <f t="shared" si="149"/>
        <v/>
      </c>
      <c r="BV92" s="8" t="str">
        <f t="shared" si="149"/>
        <v/>
      </c>
      <c r="BW92" s="8" t="str">
        <f t="shared" si="149"/>
        <v/>
      </c>
      <c r="BX92" s="8" t="str">
        <f t="shared" si="149"/>
        <v/>
      </c>
      <c r="BY92" s="8" t="str">
        <f t="shared" si="149"/>
        <v/>
      </c>
      <c r="BZ92" s="8" t="str">
        <f t="shared" si="149"/>
        <v/>
      </c>
      <c r="CA92" s="8" t="str">
        <f t="shared" si="149"/>
        <v/>
      </c>
      <c r="CB92" s="8" t="str">
        <f t="shared" si="149"/>
        <v/>
      </c>
      <c r="CC92" s="8" t="str">
        <f t="shared" si="149"/>
        <v/>
      </c>
      <c r="CD92" s="8" t="str">
        <f t="shared" si="149"/>
        <v/>
      </c>
      <c r="CE92" s="8" t="str">
        <f t="shared" si="149"/>
        <v/>
      </c>
      <c r="CF92" s="8" t="str">
        <f t="shared" si="149"/>
        <v/>
      </c>
      <c r="CG92" s="8" t="str">
        <f t="shared" si="149"/>
        <v/>
      </c>
      <c r="CH92" s="8" t="str">
        <f t="shared" si="149"/>
        <v/>
      </c>
      <c r="CI92" s="8" t="str">
        <f t="shared" si="149"/>
        <v/>
      </c>
      <c r="CJ92" s="8" t="str">
        <f t="shared" si="149"/>
        <v/>
      </c>
      <c r="CK92" s="8" t="str">
        <f t="shared" si="149"/>
        <v/>
      </c>
      <c r="CL92" s="8" t="str">
        <f t="shared" si="149"/>
        <v/>
      </c>
      <c r="CM92" s="8" t="str">
        <f t="shared" si="149"/>
        <v/>
      </c>
      <c r="CN92" s="8" t="str">
        <f t="shared" si="149"/>
        <v/>
      </c>
      <c r="CO92" s="8" t="str">
        <f t="shared" si="149"/>
        <v/>
      </c>
      <c r="CP92" s="8" t="str">
        <f t="shared" si="149"/>
        <v/>
      </c>
      <c r="CQ92" s="8" t="str">
        <f t="shared" si="149"/>
        <v/>
      </c>
      <c r="CR92" s="8" t="str">
        <f t="shared" si="149"/>
        <v/>
      </c>
      <c r="CS92" s="8" t="str">
        <f t="shared" si="149"/>
        <v/>
      </c>
      <c r="CT92" s="8" t="str">
        <f t="shared" si="149"/>
        <v/>
      </c>
      <c r="CU92" s="8" t="str">
        <f t="shared" si="149"/>
        <v/>
      </c>
      <c r="CV92" s="8" t="str">
        <f t="shared" si="149"/>
        <v/>
      </c>
      <c r="CW92" s="8" t="str">
        <f t="shared" si="149"/>
        <v/>
      </c>
      <c r="CX92" s="8" t="str">
        <f t="shared" si="149"/>
        <v/>
      </c>
      <c r="CY92" s="8" t="str">
        <f t="shared" si="149"/>
        <v/>
      </c>
      <c r="CZ92" s="8" t="str">
        <f t="shared" si="149"/>
        <v/>
      </c>
      <c r="DA92" s="8" t="str">
        <f t="shared" si="149"/>
        <v/>
      </c>
      <c r="DB92" s="8" t="str">
        <f t="shared" si="149"/>
        <v/>
      </c>
      <c r="DC92" s="8" t="str">
        <f t="shared" si="149"/>
        <v/>
      </c>
      <c r="DD92" s="8" t="str">
        <f t="shared" si="149"/>
        <v/>
      </c>
      <c r="DE92" s="8" t="str">
        <f t="shared" si="149"/>
        <v/>
      </c>
      <c r="DF92" s="8" t="str">
        <f t="shared" si="149"/>
        <v/>
      </c>
      <c r="DG92" s="8" t="str">
        <f t="shared" si="149"/>
        <v/>
      </c>
      <c r="DH92" s="8" t="str">
        <f t="shared" si="149"/>
        <v/>
      </c>
      <c r="DI92" s="8" t="str">
        <f t="shared" si="149"/>
        <v/>
      </c>
      <c r="DJ92" s="8" t="str">
        <f t="shared" si="149"/>
        <v/>
      </c>
      <c r="DK92" s="8" t="str">
        <f t="shared" si="149"/>
        <v/>
      </c>
      <c r="DL92" s="8" t="str">
        <f t="shared" si="149"/>
        <v/>
      </c>
      <c r="DM92" s="8" t="str">
        <f t="shared" si="149"/>
        <v/>
      </c>
      <c r="DN92" s="8" t="str">
        <f t="shared" si="149"/>
        <v/>
      </c>
      <c r="DO92" s="8" t="str">
        <f t="shared" si="149"/>
        <v/>
      </c>
      <c r="DP92" s="8" t="str">
        <f t="shared" si="149"/>
        <v/>
      </c>
      <c r="DQ92" s="8" t="str">
        <f t="shared" si="149"/>
        <v/>
      </c>
      <c r="DR92" s="8" t="str">
        <f t="shared" si="149"/>
        <v/>
      </c>
      <c r="DS92" s="8" t="str">
        <f t="shared" si="149"/>
        <v/>
      </c>
      <c r="DT92" s="8" t="str">
        <f t="shared" si="149"/>
        <v/>
      </c>
      <c r="DU92" s="8" t="str">
        <f t="shared" si="149"/>
        <v/>
      </c>
      <c r="DV92" s="8" t="str">
        <f t="shared" si="149"/>
        <v/>
      </c>
      <c r="DW92" s="8" t="str">
        <f t="shared" si="149"/>
        <v/>
      </c>
      <c r="DX92" s="8" t="str">
        <f t="shared" si="149"/>
        <v/>
      </c>
      <c r="DY92" s="8" t="str">
        <f t="shared" si="149"/>
        <v/>
      </c>
      <c r="DZ92" s="8" t="str">
        <f t="shared" si="149"/>
        <v/>
      </c>
      <c r="EA92" s="8" t="str">
        <f t="shared" si="149"/>
        <v/>
      </c>
      <c r="EB92" s="8">
        <f t="shared" si="149"/>
        <v>3.9330955529321803</v>
      </c>
      <c r="EC92" s="8">
        <f t="shared" si="149"/>
        <v>1.8997339302553142</v>
      </c>
      <c r="ED92" s="8">
        <f t="shared" si="149"/>
        <v>1.1679491457611701</v>
      </c>
      <c r="EE92" s="8">
        <f t="shared" ref="EE92:GP92" si="150">IF(OR(EF46 = "", EF$8 &lt; EE$8), "", IFERROR(EF46/EE46, ""))</f>
        <v>1.0361262204679107</v>
      </c>
      <c r="EF92" s="8">
        <f t="shared" si="150"/>
        <v>0.98081922758588891</v>
      </c>
      <c r="EG92" s="8">
        <f t="shared" si="150"/>
        <v>1.0198839053298454</v>
      </c>
      <c r="EH92" s="8">
        <f t="shared" si="150"/>
        <v>0.98127350324630158</v>
      </c>
      <c r="EI92" s="8">
        <f t="shared" si="150"/>
        <v>1.0004756062430753</v>
      </c>
      <c r="EJ92" s="8">
        <f t="shared" si="150"/>
        <v>0.99792717682945864</v>
      </c>
      <c r="EK92" s="8">
        <f t="shared" si="150"/>
        <v>1.0012570930465663</v>
      </c>
      <c r="EL92" s="8">
        <f t="shared" si="150"/>
        <v>1.000339480176015</v>
      </c>
      <c r="EM92" s="8">
        <f t="shared" si="150"/>
        <v>0.99975181652784173</v>
      </c>
      <c r="EN92" s="8">
        <f t="shared" si="150"/>
        <v>1.0006592613689418</v>
      </c>
      <c r="EO92" s="8" t="str">
        <f t="shared" si="150"/>
        <v/>
      </c>
      <c r="EP92" s="8" t="str">
        <f t="shared" si="150"/>
        <v/>
      </c>
      <c r="EQ92" s="8" t="str">
        <f t="shared" si="150"/>
        <v/>
      </c>
      <c r="ER92" s="8" t="str">
        <f t="shared" si="150"/>
        <v/>
      </c>
      <c r="ES92" s="8" t="str">
        <f t="shared" si="150"/>
        <v/>
      </c>
      <c r="ET92" s="8" t="str">
        <f t="shared" si="150"/>
        <v/>
      </c>
      <c r="EU92" s="8" t="str">
        <f t="shared" si="150"/>
        <v/>
      </c>
      <c r="EV92" s="8" t="str">
        <f t="shared" si="150"/>
        <v/>
      </c>
      <c r="EW92" s="8" t="str">
        <f t="shared" si="150"/>
        <v/>
      </c>
      <c r="EX92" s="8" t="str">
        <f t="shared" si="150"/>
        <v/>
      </c>
      <c r="EY92" s="8" t="str">
        <f t="shared" si="150"/>
        <v/>
      </c>
      <c r="EZ92" s="8" t="str">
        <f t="shared" si="150"/>
        <v/>
      </c>
      <c r="FA92" s="8" t="str">
        <f t="shared" si="150"/>
        <v/>
      </c>
      <c r="FB92" s="8" t="str">
        <f t="shared" si="150"/>
        <v/>
      </c>
      <c r="FC92" s="8" t="str">
        <f t="shared" si="150"/>
        <v/>
      </c>
      <c r="FD92" s="8" t="str">
        <f t="shared" si="150"/>
        <v/>
      </c>
      <c r="FE92" s="8" t="str">
        <f t="shared" si="150"/>
        <v/>
      </c>
      <c r="FF92" s="8" t="str">
        <f t="shared" si="150"/>
        <v/>
      </c>
      <c r="FG92" s="8" t="str">
        <f t="shared" si="150"/>
        <v/>
      </c>
      <c r="FH92" s="8" t="str">
        <f t="shared" si="150"/>
        <v/>
      </c>
      <c r="FI92" s="8" t="str">
        <f t="shared" si="150"/>
        <v/>
      </c>
      <c r="FJ92" s="8" t="str">
        <f t="shared" si="150"/>
        <v/>
      </c>
      <c r="FK92" s="8" t="str">
        <f t="shared" si="150"/>
        <v/>
      </c>
      <c r="FL92" s="8" t="str">
        <f t="shared" si="150"/>
        <v/>
      </c>
      <c r="FM92" s="8" t="str">
        <f t="shared" si="150"/>
        <v/>
      </c>
      <c r="FN92" s="8" t="str">
        <f t="shared" si="150"/>
        <v/>
      </c>
      <c r="FO92" s="8" t="str">
        <f t="shared" si="150"/>
        <v/>
      </c>
      <c r="FP92" s="8" t="str">
        <f t="shared" si="150"/>
        <v/>
      </c>
      <c r="FQ92" s="8" t="str">
        <f t="shared" si="150"/>
        <v/>
      </c>
      <c r="FR92" s="8" t="str">
        <f t="shared" si="150"/>
        <v/>
      </c>
      <c r="FS92" s="8" t="str">
        <f t="shared" si="150"/>
        <v/>
      </c>
      <c r="FT92" s="8" t="str">
        <f t="shared" si="150"/>
        <v/>
      </c>
      <c r="FU92" s="8" t="str">
        <f t="shared" si="150"/>
        <v/>
      </c>
      <c r="FV92" s="8" t="str">
        <f t="shared" si="150"/>
        <v/>
      </c>
      <c r="FW92" s="8" t="str">
        <f t="shared" si="150"/>
        <v/>
      </c>
      <c r="FX92" s="8" t="str">
        <f t="shared" si="150"/>
        <v/>
      </c>
      <c r="FY92" s="8" t="str">
        <f t="shared" si="150"/>
        <v/>
      </c>
      <c r="FZ92" s="8" t="str">
        <f t="shared" si="150"/>
        <v/>
      </c>
      <c r="GA92" s="8" t="str">
        <f t="shared" si="150"/>
        <v/>
      </c>
      <c r="GB92" s="8" t="str">
        <f t="shared" si="150"/>
        <v/>
      </c>
      <c r="GC92" s="8" t="str">
        <f t="shared" si="150"/>
        <v/>
      </c>
      <c r="GD92" s="8" t="str">
        <f t="shared" si="150"/>
        <v/>
      </c>
      <c r="GE92" s="8" t="str">
        <f t="shared" si="150"/>
        <v/>
      </c>
      <c r="GF92" s="8" t="str">
        <f t="shared" si="150"/>
        <v/>
      </c>
      <c r="GG92" s="8" t="str">
        <f t="shared" si="150"/>
        <v/>
      </c>
      <c r="GH92" s="8" t="str">
        <f t="shared" si="150"/>
        <v/>
      </c>
      <c r="GI92" s="8" t="str">
        <f t="shared" si="150"/>
        <v/>
      </c>
      <c r="GJ92" s="8" t="str">
        <f t="shared" si="150"/>
        <v/>
      </c>
      <c r="GK92" s="8" t="str">
        <f t="shared" si="150"/>
        <v/>
      </c>
      <c r="GL92" s="8" t="str">
        <f t="shared" si="150"/>
        <v/>
      </c>
      <c r="GM92" s="8" t="str">
        <f t="shared" si="150"/>
        <v/>
      </c>
      <c r="GN92" s="8" t="str">
        <f t="shared" si="150"/>
        <v/>
      </c>
      <c r="GO92" s="8" t="str">
        <f t="shared" si="150"/>
        <v/>
      </c>
      <c r="GP92" s="8" t="str">
        <f t="shared" si="150"/>
        <v/>
      </c>
      <c r="GQ92" s="8" t="str">
        <f t="shared" ref="GQ92:IV92" si="151">IF(OR(GR46 = "", GR$8 &lt; GQ$8), "", IFERROR(GR46/GQ46, ""))</f>
        <v/>
      </c>
      <c r="GR92" s="8" t="str">
        <f t="shared" si="151"/>
        <v/>
      </c>
      <c r="GS92" s="8" t="str">
        <f t="shared" si="151"/>
        <v/>
      </c>
      <c r="GT92" s="8" t="str">
        <f t="shared" si="151"/>
        <v/>
      </c>
      <c r="GU92" s="8" t="str">
        <f t="shared" si="151"/>
        <v/>
      </c>
      <c r="GV92" s="8" t="str">
        <f t="shared" si="151"/>
        <v/>
      </c>
      <c r="GW92" s="8" t="str">
        <f t="shared" si="151"/>
        <v/>
      </c>
      <c r="GX92" s="8" t="str">
        <f t="shared" si="151"/>
        <v/>
      </c>
      <c r="GY92" s="8" t="str">
        <f t="shared" si="151"/>
        <v/>
      </c>
      <c r="GZ92" s="8" t="str">
        <f t="shared" si="151"/>
        <v/>
      </c>
      <c r="HA92" s="8" t="str">
        <f t="shared" si="151"/>
        <v/>
      </c>
      <c r="HB92" s="8" t="str">
        <f t="shared" si="151"/>
        <v/>
      </c>
      <c r="HC92" s="8" t="str">
        <f t="shared" si="151"/>
        <v/>
      </c>
      <c r="HD92" s="8" t="str">
        <f t="shared" si="151"/>
        <v/>
      </c>
      <c r="HE92" s="8" t="str">
        <f t="shared" si="151"/>
        <v/>
      </c>
      <c r="HF92" s="8" t="str">
        <f t="shared" si="151"/>
        <v/>
      </c>
      <c r="HG92" s="8" t="str">
        <f t="shared" si="151"/>
        <v/>
      </c>
      <c r="HH92" s="8" t="str">
        <f t="shared" si="151"/>
        <v/>
      </c>
      <c r="HI92" s="8" t="str">
        <f t="shared" si="151"/>
        <v/>
      </c>
      <c r="HJ92" s="8" t="str">
        <f t="shared" si="151"/>
        <v/>
      </c>
      <c r="HK92" s="8" t="str">
        <f t="shared" si="151"/>
        <v/>
      </c>
      <c r="HL92" s="8" t="str">
        <f t="shared" si="151"/>
        <v/>
      </c>
      <c r="HM92" s="8" t="str">
        <f t="shared" si="151"/>
        <v/>
      </c>
      <c r="HN92" s="8" t="str">
        <f t="shared" si="151"/>
        <v/>
      </c>
      <c r="HO92" s="8" t="str">
        <f t="shared" si="151"/>
        <v/>
      </c>
      <c r="HP92" s="8" t="str">
        <f t="shared" si="151"/>
        <v/>
      </c>
      <c r="HQ92" s="8" t="str">
        <f t="shared" si="151"/>
        <v/>
      </c>
      <c r="HR92" s="8" t="str">
        <f t="shared" si="151"/>
        <v/>
      </c>
      <c r="HS92" s="8" t="str">
        <f t="shared" si="151"/>
        <v/>
      </c>
      <c r="HT92" s="8" t="str">
        <f t="shared" si="151"/>
        <v/>
      </c>
      <c r="HU92" s="8" t="str">
        <f t="shared" si="151"/>
        <v/>
      </c>
      <c r="HV92" s="8" t="str">
        <f t="shared" si="151"/>
        <v/>
      </c>
      <c r="HW92" s="8" t="str">
        <f t="shared" si="151"/>
        <v/>
      </c>
      <c r="HX92" s="8" t="str">
        <f t="shared" si="151"/>
        <v/>
      </c>
      <c r="HY92" s="8" t="str">
        <f t="shared" si="151"/>
        <v/>
      </c>
      <c r="HZ92" s="8" t="str">
        <f t="shared" si="151"/>
        <v/>
      </c>
      <c r="IA92" s="8" t="str">
        <f t="shared" si="151"/>
        <v/>
      </c>
      <c r="IB92" s="8" t="str">
        <f t="shared" si="151"/>
        <v/>
      </c>
      <c r="IC92" s="8" t="str">
        <f t="shared" si="151"/>
        <v/>
      </c>
      <c r="ID92" s="8" t="str">
        <f t="shared" si="151"/>
        <v/>
      </c>
      <c r="IE92" s="8" t="str">
        <f t="shared" si="151"/>
        <v/>
      </c>
      <c r="IF92" s="8" t="str">
        <f t="shared" si="151"/>
        <v/>
      </c>
      <c r="IG92" s="8" t="str">
        <f t="shared" si="151"/>
        <v/>
      </c>
      <c r="IH92" s="8" t="str">
        <f t="shared" si="151"/>
        <v/>
      </c>
      <c r="II92" s="8" t="str">
        <f t="shared" si="151"/>
        <v/>
      </c>
      <c r="IJ92" s="8" t="str">
        <f t="shared" si="151"/>
        <v/>
      </c>
      <c r="IK92" s="8" t="str">
        <f t="shared" si="151"/>
        <v/>
      </c>
      <c r="IL92" s="8" t="str">
        <f t="shared" si="151"/>
        <v/>
      </c>
      <c r="IM92" s="8" t="str">
        <f t="shared" si="151"/>
        <v/>
      </c>
      <c r="IN92" s="8" t="str">
        <f t="shared" si="151"/>
        <v/>
      </c>
      <c r="IO92" s="8" t="str">
        <f t="shared" si="151"/>
        <v/>
      </c>
      <c r="IP92" s="8" t="str">
        <f t="shared" si="151"/>
        <v/>
      </c>
      <c r="IQ92" s="8" t="str">
        <f t="shared" si="151"/>
        <v/>
      </c>
      <c r="IR92" s="8" t="str">
        <f t="shared" si="151"/>
        <v/>
      </c>
      <c r="IS92" s="8" t="str">
        <f t="shared" si="151"/>
        <v/>
      </c>
      <c r="IT92" s="8" t="str">
        <f t="shared" si="151"/>
        <v/>
      </c>
      <c r="IU92" s="8" t="str">
        <f t="shared" si="151"/>
        <v/>
      </c>
      <c r="IV92" s="8" t="str">
        <f t="shared" si="151"/>
        <v/>
      </c>
    </row>
    <row r="93" spans="6:256" x14ac:dyDescent="0.2">
      <c r="F93">
        <v>202309</v>
      </c>
      <c r="G93" s="8">
        <f t="shared" ref="G93:BR93" si="152">IF(OR(H47 = "", H$8 &lt; G$8), "", IFERROR(H47/G47, ""))</f>
        <v>56.208732094261379</v>
      </c>
      <c r="H93" s="8">
        <f t="shared" si="152"/>
        <v>2.1483050431208173</v>
      </c>
      <c r="I93" s="8">
        <f t="shared" si="152"/>
        <v>1.6823025087375447</v>
      </c>
      <c r="J93" s="8">
        <f t="shared" si="152"/>
        <v>1.2305775431008035</v>
      </c>
      <c r="K93" s="8">
        <f t="shared" si="152"/>
        <v>1.0391949067750454</v>
      </c>
      <c r="L93" s="8">
        <f t="shared" si="152"/>
        <v>1.016967826497214</v>
      </c>
      <c r="M93" s="8">
        <f t="shared" si="152"/>
        <v>1.0129788108864382</v>
      </c>
      <c r="N93" s="8">
        <f t="shared" si="152"/>
        <v>1.0030652676508121</v>
      </c>
      <c r="O93" s="8">
        <f t="shared" si="152"/>
        <v>1.001546067767946</v>
      </c>
      <c r="P93" s="8">
        <f t="shared" si="152"/>
        <v>1.0000720387964104</v>
      </c>
      <c r="Q93" s="8" t="str">
        <f t="shared" si="152"/>
        <v/>
      </c>
      <c r="R93" s="8" t="str">
        <f t="shared" si="152"/>
        <v/>
      </c>
      <c r="S93" s="8" t="str">
        <f t="shared" si="152"/>
        <v/>
      </c>
      <c r="T93" s="8" t="str">
        <f t="shared" si="152"/>
        <v/>
      </c>
      <c r="U93" s="8" t="str">
        <f t="shared" si="152"/>
        <v/>
      </c>
      <c r="V93" s="8" t="str">
        <f t="shared" si="152"/>
        <v/>
      </c>
      <c r="W93" s="8" t="str">
        <f t="shared" si="152"/>
        <v/>
      </c>
      <c r="X93" s="8" t="str">
        <f t="shared" si="152"/>
        <v/>
      </c>
      <c r="Y93" s="8" t="str">
        <f t="shared" si="152"/>
        <v/>
      </c>
      <c r="Z93" s="8" t="str">
        <f t="shared" si="152"/>
        <v/>
      </c>
      <c r="AA93" s="8" t="str">
        <f t="shared" si="152"/>
        <v/>
      </c>
      <c r="AB93" s="8" t="str">
        <f t="shared" si="152"/>
        <v/>
      </c>
      <c r="AC93" s="8" t="str">
        <f t="shared" si="152"/>
        <v/>
      </c>
      <c r="AD93" s="8" t="str">
        <f t="shared" si="152"/>
        <v/>
      </c>
      <c r="AE93" s="8" t="str">
        <f t="shared" si="152"/>
        <v/>
      </c>
      <c r="AF93" s="8" t="str">
        <f t="shared" si="152"/>
        <v/>
      </c>
      <c r="AG93" s="8" t="str">
        <f t="shared" si="152"/>
        <v/>
      </c>
      <c r="AH93" s="8" t="str">
        <f t="shared" si="152"/>
        <v/>
      </c>
      <c r="AI93" s="8" t="str">
        <f t="shared" si="152"/>
        <v/>
      </c>
      <c r="AJ93" s="8" t="str">
        <f t="shared" si="152"/>
        <v/>
      </c>
      <c r="AK93" s="8" t="str">
        <f t="shared" si="152"/>
        <v/>
      </c>
      <c r="AL93" s="8" t="str">
        <f t="shared" si="152"/>
        <v/>
      </c>
      <c r="AM93" s="8" t="str">
        <f t="shared" si="152"/>
        <v/>
      </c>
      <c r="AN93" s="8" t="str">
        <f t="shared" si="152"/>
        <v/>
      </c>
      <c r="AO93" s="8" t="str">
        <f t="shared" si="152"/>
        <v/>
      </c>
      <c r="AP93" s="8" t="str">
        <f t="shared" si="152"/>
        <v/>
      </c>
      <c r="AQ93" s="8" t="str">
        <f t="shared" si="152"/>
        <v/>
      </c>
      <c r="AR93" s="8" t="str">
        <f t="shared" si="152"/>
        <v/>
      </c>
      <c r="AS93" s="8" t="str">
        <f t="shared" si="152"/>
        <v/>
      </c>
      <c r="AT93" s="8" t="str">
        <f t="shared" si="152"/>
        <v/>
      </c>
      <c r="AU93" s="8" t="str">
        <f t="shared" si="152"/>
        <v/>
      </c>
      <c r="AV93" s="8" t="str">
        <f t="shared" si="152"/>
        <v/>
      </c>
      <c r="AW93" s="8" t="str">
        <f t="shared" si="152"/>
        <v/>
      </c>
      <c r="AX93" s="8" t="str">
        <f t="shared" si="152"/>
        <v/>
      </c>
      <c r="AY93" s="8" t="str">
        <f t="shared" si="152"/>
        <v/>
      </c>
      <c r="AZ93" s="8" t="str">
        <f t="shared" si="152"/>
        <v/>
      </c>
      <c r="BA93" s="8" t="str">
        <f t="shared" si="152"/>
        <v/>
      </c>
      <c r="BB93" s="8" t="str">
        <f t="shared" si="152"/>
        <v/>
      </c>
      <c r="BC93" s="8" t="str">
        <f t="shared" si="152"/>
        <v/>
      </c>
      <c r="BD93" s="8" t="str">
        <f t="shared" si="152"/>
        <v/>
      </c>
      <c r="BE93" s="8" t="str">
        <f t="shared" si="152"/>
        <v/>
      </c>
      <c r="BF93" s="8" t="str">
        <f t="shared" si="152"/>
        <v/>
      </c>
      <c r="BG93" s="8" t="str">
        <f t="shared" si="152"/>
        <v/>
      </c>
      <c r="BH93" s="8" t="str">
        <f t="shared" si="152"/>
        <v/>
      </c>
      <c r="BI93" s="8" t="str">
        <f t="shared" si="152"/>
        <v/>
      </c>
      <c r="BJ93" s="8" t="str">
        <f t="shared" si="152"/>
        <v/>
      </c>
      <c r="BK93" s="8" t="str">
        <f t="shared" si="152"/>
        <v/>
      </c>
      <c r="BL93" s="8" t="str">
        <f t="shared" si="152"/>
        <v/>
      </c>
      <c r="BM93" s="8" t="str">
        <f t="shared" si="152"/>
        <v/>
      </c>
      <c r="BN93" s="8" t="str">
        <f t="shared" si="152"/>
        <v/>
      </c>
      <c r="BO93" s="8" t="str">
        <f t="shared" si="152"/>
        <v/>
      </c>
      <c r="BP93" s="8" t="str">
        <f t="shared" si="152"/>
        <v/>
      </c>
      <c r="BQ93" s="8" t="str">
        <f t="shared" si="152"/>
        <v/>
      </c>
      <c r="BR93" s="8" t="str">
        <f t="shared" si="152"/>
        <v/>
      </c>
      <c r="BS93" s="8" t="str">
        <f t="shared" ref="BS93:ED93" si="153">IF(OR(BT47 = "", BT$8 &lt; BS$8), "", IFERROR(BT47/BS47, ""))</f>
        <v/>
      </c>
      <c r="BT93" s="8" t="str">
        <f t="shared" si="153"/>
        <v/>
      </c>
      <c r="BU93" s="8" t="str">
        <f t="shared" si="153"/>
        <v/>
      </c>
      <c r="BV93" s="8" t="str">
        <f t="shared" si="153"/>
        <v/>
      </c>
      <c r="BW93" s="8" t="str">
        <f t="shared" si="153"/>
        <v/>
      </c>
      <c r="BX93" s="8" t="str">
        <f t="shared" si="153"/>
        <v/>
      </c>
      <c r="BY93" s="8" t="str">
        <f t="shared" si="153"/>
        <v/>
      </c>
      <c r="BZ93" s="8" t="str">
        <f t="shared" si="153"/>
        <v/>
      </c>
      <c r="CA93" s="8" t="str">
        <f t="shared" si="153"/>
        <v/>
      </c>
      <c r="CB93" s="8" t="str">
        <f t="shared" si="153"/>
        <v/>
      </c>
      <c r="CC93" s="8" t="str">
        <f t="shared" si="153"/>
        <v/>
      </c>
      <c r="CD93" s="8" t="str">
        <f t="shared" si="153"/>
        <v/>
      </c>
      <c r="CE93" s="8" t="str">
        <f t="shared" si="153"/>
        <v/>
      </c>
      <c r="CF93" s="8" t="str">
        <f t="shared" si="153"/>
        <v/>
      </c>
      <c r="CG93" s="8" t="str">
        <f t="shared" si="153"/>
        <v/>
      </c>
      <c r="CH93" s="8" t="str">
        <f t="shared" si="153"/>
        <v/>
      </c>
      <c r="CI93" s="8" t="str">
        <f t="shared" si="153"/>
        <v/>
      </c>
      <c r="CJ93" s="8" t="str">
        <f t="shared" si="153"/>
        <v/>
      </c>
      <c r="CK93" s="8" t="str">
        <f t="shared" si="153"/>
        <v/>
      </c>
      <c r="CL93" s="8" t="str">
        <f t="shared" si="153"/>
        <v/>
      </c>
      <c r="CM93" s="8" t="str">
        <f t="shared" si="153"/>
        <v/>
      </c>
      <c r="CN93" s="8" t="str">
        <f t="shared" si="153"/>
        <v/>
      </c>
      <c r="CO93" s="8" t="str">
        <f t="shared" si="153"/>
        <v/>
      </c>
      <c r="CP93" s="8" t="str">
        <f t="shared" si="153"/>
        <v/>
      </c>
      <c r="CQ93" s="8" t="str">
        <f t="shared" si="153"/>
        <v/>
      </c>
      <c r="CR93" s="8" t="str">
        <f t="shared" si="153"/>
        <v/>
      </c>
      <c r="CS93" s="8" t="str">
        <f t="shared" si="153"/>
        <v/>
      </c>
      <c r="CT93" s="8" t="str">
        <f t="shared" si="153"/>
        <v/>
      </c>
      <c r="CU93" s="8" t="str">
        <f t="shared" si="153"/>
        <v/>
      </c>
      <c r="CV93" s="8" t="str">
        <f t="shared" si="153"/>
        <v/>
      </c>
      <c r="CW93" s="8" t="str">
        <f t="shared" si="153"/>
        <v/>
      </c>
      <c r="CX93" s="8" t="str">
        <f t="shared" si="153"/>
        <v/>
      </c>
      <c r="CY93" s="8" t="str">
        <f t="shared" si="153"/>
        <v/>
      </c>
      <c r="CZ93" s="8" t="str">
        <f t="shared" si="153"/>
        <v/>
      </c>
      <c r="DA93" s="8" t="str">
        <f t="shared" si="153"/>
        <v/>
      </c>
      <c r="DB93" s="8" t="str">
        <f t="shared" si="153"/>
        <v/>
      </c>
      <c r="DC93" s="8" t="str">
        <f t="shared" si="153"/>
        <v/>
      </c>
      <c r="DD93" s="8" t="str">
        <f t="shared" si="153"/>
        <v/>
      </c>
      <c r="DE93" s="8" t="str">
        <f t="shared" si="153"/>
        <v/>
      </c>
      <c r="DF93" s="8" t="str">
        <f t="shared" si="153"/>
        <v/>
      </c>
      <c r="DG93" s="8" t="str">
        <f t="shared" si="153"/>
        <v/>
      </c>
      <c r="DH93" s="8" t="str">
        <f t="shared" si="153"/>
        <v/>
      </c>
      <c r="DI93" s="8" t="str">
        <f t="shared" si="153"/>
        <v/>
      </c>
      <c r="DJ93" s="8" t="str">
        <f t="shared" si="153"/>
        <v/>
      </c>
      <c r="DK93" s="8" t="str">
        <f t="shared" si="153"/>
        <v/>
      </c>
      <c r="DL93" s="8" t="str">
        <f t="shared" si="153"/>
        <v/>
      </c>
      <c r="DM93" s="8" t="str">
        <f t="shared" si="153"/>
        <v/>
      </c>
      <c r="DN93" s="8" t="str">
        <f t="shared" si="153"/>
        <v/>
      </c>
      <c r="DO93" s="8" t="str">
        <f t="shared" si="153"/>
        <v/>
      </c>
      <c r="DP93" s="8" t="str">
        <f t="shared" si="153"/>
        <v/>
      </c>
      <c r="DQ93" s="8" t="str">
        <f t="shared" si="153"/>
        <v/>
      </c>
      <c r="DR93" s="8" t="str">
        <f t="shared" si="153"/>
        <v/>
      </c>
      <c r="DS93" s="8" t="str">
        <f t="shared" si="153"/>
        <v/>
      </c>
      <c r="DT93" s="8" t="str">
        <f t="shared" si="153"/>
        <v/>
      </c>
      <c r="DU93" s="8" t="str">
        <f t="shared" si="153"/>
        <v/>
      </c>
      <c r="DV93" s="8" t="str">
        <f t="shared" si="153"/>
        <v/>
      </c>
      <c r="DW93" s="8" t="str">
        <f t="shared" si="153"/>
        <v/>
      </c>
      <c r="DX93" s="8" t="str">
        <f t="shared" si="153"/>
        <v/>
      </c>
      <c r="DY93" s="8" t="str">
        <f t="shared" si="153"/>
        <v/>
      </c>
      <c r="DZ93" s="8" t="str">
        <f t="shared" si="153"/>
        <v/>
      </c>
      <c r="EA93" s="8" t="str">
        <f t="shared" si="153"/>
        <v/>
      </c>
      <c r="EB93" s="8">
        <f t="shared" si="153"/>
        <v>4.6085822834978485</v>
      </c>
      <c r="EC93" s="8">
        <f t="shared" si="153"/>
        <v>1.9973172784508277</v>
      </c>
      <c r="ED93" s="8">
        <f t="shared" si="153"/>
        <v>1.1662826925786243</v>
      </c>
      <c r="EE93" s="8">
        <f t="shared" ref="EE93:GP93" si="154">IF(OR(EF47 = "", EF$8 &lt; EE$8), "", IFERROR(EF47/EE47, ""))</f>
        <v>0.93591331603264771</v>
      </c>
      <c r="EF93" s="8">
        <f t="shared" si="154"/>
        <v>0.98988817310252908</v>
      </c>
      <c r="EG93" s="8">
        <f t="shared" si="154"/>
        <v>1.0114243628886759</v>
      </c>
      <c r="EH93" s="8">
        <f t="shared" si="154"/>
        <v>1.0088119364133341</v>
      </c>
      <c r="EI93" s="8">
        <f t="shared" si="154"/>
        <v>1.0000676856164887</v>
      </c>
      <c r="EJ93" s="8">
        <f t="shared" si="154"/>
        <v>1.0001228743905335</v>
      </c>
      <c r="EK93" s="8">
        <f t="shared" si="154"/>
        <v>1.0021208814460365</v>
      </c>
      <c r="EL93" s="8" t="str">
        <f t="shared" si="154"/>
        <v/>
      </c>
      <c r="EM93" s="8" t="str">
        <f t="shared" si="154"/>
        <v/>
      </c>
      <c r="EN93" s="8" t="str">
        <f t="shared" si="154"/>
        <v/>
      </c>
      <c r="EO93" s="8" t="str">
        <f t="shared" si="154"/>
        <v/>
      </c>
      <c r="EP93" s="8" t="str">
        <f t="shared" si="154"/>
        <v/>
      </c>
      <c r="EQ93" s="8" t="str">
        <f t="shared" si="154"/>
        <v/>
      </c>
      <c r="ER93" s="8" t="str">
        <f t="shared" si="154"/>
        <v/>
      </c>
      <c r="ES93" s="8" t="str">
        <f t="shared" si="154"/>
        <v/>
      </c>
      <c r="ET93" s="8" t="str">
        <f t="shared" si="154"/>
        <v/>
      </c>
      <c r="EU93" s="8" t="str">
        <f t="shared" si="154"/>
        <v/>
      </c>
      <c r="EV93" s="8" t="str">
        <f t="shared" si="154"/>
        <v/>
      </c>
      <c r="EW93" s="8" t="str">
        <f t="shared" si="154"/>
        <v/>
      </c>
      <c r="EX93" s="8" t="str">
        <f t="shared" si="154"/>
        <v/>
      </c>
      <c r="EY93" s="8" t="str">
        <f t="shared" si="154"/>
        <v/>
      </c>
      <c r="EZ93" s="8" t="str">
        <f t="shared" si="154"/>
        <v/>
      </c>
      <c r="FA93" s="8" t="str">
        <f t="shared" si="154"/>
        <v/>
      </c>
      <c r="FB93" s="8" t="str">
        <f t="shared" si="154"/>
        <v/>
      </c>
      <c r="FC93" s="8" t="str">
        <f t="shared" si="154"/>
        <v/>
      </c>
      <c r="FD93" s="8" t="str">
        <f t="shared" si="154"/>
        <v/>
      </c>
      <c r="FE93" s="8" t="str">
        <f t="shared" si="154"/>
        <v/>
      </c>
      <c r="FF93" s="8" t="str">
        <f t="shared" si="154"/>
        <v/>
      </c>
      <c r="FG93" s="8" t="str">
        <f t="shared" si="154"/>
        <v/>
      </c>
      <c r="FH93" s="8" t="str">
        <f t="shared" si="154"/>
        <v/>
      </c>
      <c r="FI93" s="8" t="str">
        <f t="shared" si="154"/>
        <v/>
      </c>
      <c r="FJ93" s="8" t="str">
        <f t="shared" si="154"/>
        <v/>
      </c>
      <c r="FK93" s="8" t="str">
        <f t="shared" si="154"/>
        <v/>
      </c>
      <c r="FL93" s="8" t="str">
        <f t="shared" si="154"/>
        <v/>
      </c>
      <c r="FM93" s="8" t="str">
        <f t="shared" si="154"/>
        <v/>
      </c>
      <c r="FN93" s="8" t="str">
        <f t="shared" si="154"/>
        <v/>
      </c>
      <c r="FO93" s="8" t="str">
        <f t="shared" si="154"/>
        <v/>
      </c>
      <c r="FP93" s="8" t="str">
        <f t="shared" si="154"/>
        <v/>
      </c>
      <c r="FQ93" s="8" t="str">
        <f t="shared" si="154"/>
        <v/>
      </c>
      <c r="FR93" s="8" t="str">
        <f t="shared" si="154"/>
        <v/>
      </c>
      <c r="FS93" s="8" t="str">
        <f t="shared" si="154"/>
        <v/>
      </c>
      <c r="FT93" s="8" t="str">
        <f t="shared" si="154"/>
        <v/>
      </c>
      <c r="FU93" s="8" t="str">
        <f t="shared" si="154"/>
        <v/>
      </c>
      <c r="FV93" s="8" t="str">
        <f t="shared" si="154"/>
        <v/>
      </c>
      <c r="FW93" s="8" t="str">
        <f t="shared" si="154"/>
        <v/>
      </c>
      <c r="FX93" s="8" t="str">
        <f t="shared" si="154"/>
        <v/>
      </c>
      <c r="FY93" s="8" t="str">
        <f t="shared" si="154"/>
        <v/>
      </c>
      <c r="FZ93" s="8" t="str">
        <f t="shared" si="154"/>
        <v/>
      </c>
      <c r="GA93" s="8" t="str">
        <f t="shared" si="154"/>
        <v/>
      </c>
      <c r="GB93" s="8" t="str">
        <f t="shared" si="154"/>
        <v/>
      </c>
      <c r="GC93" s="8" t="str">
        <f t="shared" si="154"/>
        <v/>
      </c>
      <c r="GD93" s="8" t="str">
        <f t="shared" si="154"/>
        <v/>
      </c>
      <c r="GE93" s="8" t="str">
        <f t="shared" si="154"/>
        <v/>
      </c>
      <c r="GF93" s="8" t="str">
        <f t="shared" si="154"/>
        <v/>
      </c>
      <c r="GG93" s="8" t="str">
        <f t="shared" si="154"/>
        <v/>
      </c>
      <c r="GH93" s="8" t="str">
        <f t="shared" si="154"/>
        <v/>
      </c>
      <c r="GI93" s="8" t="str">
        <f t="shared" si="154"/>
        <v/>
      </c>
      <c r="GJ93" s="8" t="str">
        <f t="shared" si="154"/>
        <v/>
      </c>
      <c r="GK93" s="8" t="str">
        <f t="shared" si="154"/>
        <v/>
      </c>
      <c r="GL93" s="8" t="str">
        <f t="shared" si="154"/>
        <v/>
      </c>
      <c r="GM93" s="8" t="str">
        <f t="shared" si="154"/>
        <v/>
      </c>
      <c r="GN93" s="8" t="str">
        <f t="shared" si="154"/>
        <v/>
      </c>
      <c r="GO93" s="8" t="str">
        <f t="shared" si="154"/>
        <v/>
      </c>
      <c r="GP93" s="8" t="str">
        <f t="shared" si="154"/>
        <v/>
      </c>
      <c r="GQ93" s="8" t="str">
        <f t="shared" ref="GQ93:IV93" si="155">IF(OR(GR47 = "", GR$8 &lt; GQ$8), "", IFERROR(GR47/GQ47, ""))</f>
        <v/>
      </c>
      <c r="GR93" s="8" t="str">
        <f t="shared" si="155"/>
        <v/>
      </c>
      <c r="GS93" s="8" t="str">
        <f t="shared" si="155"/>
        <v/>
      </c>
      <c r="GT93" s="8" t="str">
        <f t="shared" si="155"/>
        <v/>
      </c>
      <c r="GU93" s="8" t="str">
        <f t="shared" si="155"/>
        <v/>
      </c>
      <c r="GV93" s="8" t="str">
        <f t="shared" si="155"/>
        <v/>
      </c>
      <c r="GW93" s="8" t="str">
        <f t="shared" si="155"/>
        <v/>
      </c>
      <c r="GX93" s="8" t="str">
        <f t="shared" si="155"/>
        <v/>
      </c>
      <c r="GY93" s="8" t="str">
        <f t="shared" si="155"/>
        <v/>
      </c>
      <c r="GZ93" s="8" t="str">
        <f t="shared" si="155"/>
        <v/>
      </c>
      <c r="HA93" s="8" t="str">
        <f t="shared" si="155"/>
        <v/>
      </c>
      <c r="HB93" s="8" t="str">
        <f t="shared" si="155"/>
        <v/>
      </c>
      <c r="HC93" s="8" t="str">
        <f t="shared" si="155"/>
        <v/>
      </c>
      <c r="HD93" s="8" t="str">
        <f t="shared" si="155"/>
        <v/>
      </c>
      <c r="HE93" s="8" t="str">
        <f t="shared" si="155"/>
        <v/>
      </c>
      <c r="HF93" s="8" t="str">
        <f t="shared" si="155"/>
        <v/>
      </c>
      <c r="HG93" s="8" t="str">
        <f t="shared" si="155"/>
        <v/>
      </c>
      <c r="HH93" s="8" t="str">
        <f t="shared" si="155"/>
        <v/>
      </c>
      <c r="HI93" s="8" t="str">
        <f t="shared" si="155"/>
        <v/>
      </c>
      <c r="HJ93" s="8" t="str">
        <f t="shared" si="155"/>
        <v/>
      </c>
      <c r="HK93" s="8" t="str">
        <f t="shared" si="155"/>
        <v/>
      </c>
      <c r="HL93" s="8" t="str">
        <f t="shared" si="155"/>
        <v/>
      </c>
      <c r="HM93" s="8" t="str">
        <f t="shared" si="155"/>
        <v/>
      </c>
      <c r="HN93" s="8" t="str">
        <f t="shared" si="155"/>
        <v/>
      </c>
      <c r="HO93" s="8" t="str">
        <f t="shared" si="155"/>
        <v/>
      </c>
      <c r="HP93" s="8" t="str">
        <f t="shared" si="155"/>
        <v/>
      </c>
      <c r="HQ93" s="8" t="str">
        <f t="shared" si="155"/>
        <v/>
      </c>
      <c r="HR93" s="8" t="str">
        <f t="shared" si="155"/>
        <v/>
      </c>
      <c r="HS93" s="8" t="str">
        <f t="shared" si="155"/>
        <v/>
      </c>
      <c r="HT93" s="8" t="str">
        <f t="shared" si="155"/>
        <v/>
      </c>
      <c r="HU93" s="8" t="str">
        <f t="shared" si="155"/>
        <v/>
      </c>
      <c r="HV93" s="8" t="str">
        <f t="shared" si="155"/>
        <v/>
      </c>
      <c r="HW93" s="8" t="str">
        <f t="shared" si="155"/>
        <v/>
      </c>
      <c r="HX93" s="8" t="str">
        <f t="shared" si="155"/>
        <v/>
      </c>
      <c r="HY93" s="8" t="str">
        <f t="shared" si="155"/>
        <v/>
      </c>
      <c r="HZ93" s="8" t="str">
        <f t="shared" si="155"/>
        <v/>
      </c>
      <c r="IA93" s="8" t="str">
        <f t="shared" si="155"/>
        <v/>
      </c>
      <c r="IB93" s="8" t="str">
        <f t="shared" si="155"/>
        <v/>
      </c>
      <c r="IC93" s="8" t="str">
        <f t="shared" si="155"/>
        <v/>
      </c>
      <c r="ID93" s="8" t="str">
        <f t="shared" si="155"/>
        <v/>
      </c>
      <c r="IE93" s="8" t="str">
        <f t="shared" si="155"/>
        <v/>
      </c>
      <c r="IF93" s="8" t="str">
        <f t="shared" si="155"/>
        <v/>
      </c>
      <c r="IG93" s="8" t="str">
        <f t="shared" si="155"/>
        <v/>
      </c>
      <c r="IH93" s="8" t="str">
        <f t="shared" si="155"/>
        <v/>
      </c>
      <c r="II93" s="8" t="str">
        <f t="shared" si="155"/>
        <v/>
      </c>
      <c r="IJ93" s="8" t="str">
        <f t="shared" si="155"/>
        <v/>
      </c>
      <c r="IK93" s="8" t="str">
        <f t="shared" si="155"/>
        <v/>
      </c>
      <c r="IL93" s="8" t="str">
        <f t="shared" si="155"/>
        <v/>
      </c>
      <c r="IM93" s="8" t="str">
        <f t="shared" si="155"/>
        <v/>
      </c>
      <c r="IN93" s="8" t="str">
        <f t="shared" si="155"/>
        <v/>
      </c>
      <c r="IO93" s="8" t="str">
        <f t="shared" si="155"/>
        <v/>
      </c>
      <c r="IP93" s="8" t="str">
        <f t="shared" si="155"/>
        <v/>
      </c>
      <c r="IQ93" s="8" t="str">
        <f t="shared" si="155"/>
        <v/>
      </c>
      <c r="IR93" s="8" t="str">
        <f t="shared" si="155"/>
        <v/>
      </c>
      <c r="IS93" s="8" t="str">
        <f t="shared" si="155"/>
        <v/>
      </c>
      <c r="IT93" s="8" t="str">
        <f t="shared" si="155"/>
        <v/>
      </c>
      <c r="IU93" s="8" t="str">
        <f t="shared" si="155"/>
        <v/>
      </c>
      <c r="IV93" s="8" t="str">
        <f t="shared" si="155"/>
        <v/>
      </c>
    </row>
    <row r="94" spans="6:256" x14ac:dyDescent="0.2">
      <c r="F94">
        <v>202312</v>
      </c>
      <c r="G94" s="8">
        <f t="shared" ref="G94:BR94" si="156">IF(OR(H48 = "", H$8 &lt; G$8), "", IFERROR(H48/G48, ""))</f>
        <v>1.6738151150016898</v>
      </c>
      <c r="H94" s="8">
        <f t="shared" si="156"/>
        <v>2.3797650818700204</v>
      </c>
      <c r="I94" s="8">
        <f t="shared" si="156"/>
        <v>1.7387248210163302</v>
      </c>
      <c r="J94" s="8">
        <f t="shared" si="156"/>
        <v>1.2210141699159558</v>
      </c>
      <c r="K94" s="8">
        <f t="shared" si="156"/>
        <v>1.0744348735658535</v>
      </c>
      <c r="L94" s="8">
        <f t="shared" si="156"/>
        <v>1.3528845163625209</v>
      </c>
      <c r="M94" s="8">
        <f t="shared" si="156"/>
        <v>1.0390366978943992</v>
      </c>
      <c r="N94" s="8" t="str">
        <f t="shared" si="156"/>
        <v/>
      </c>
      <c r="O94" s="8" t="str">
        <f t="shared" si="156"/>
        <v/>
      </c>
      <c r="P94" s="8" t="str">
        <f t="shared" si="156"/>
        <v/>
      </c>
      <c r="Q94" s="8" t="str">
        <f t="shared" si="156"/>
        <v/>
      </c>
      <c r="R94" s="8" t="str">
        <f t="shared" si="156"/>
        <v/>
      </c>
      <c r="S94" s="8" t="str">
        <f t="shared" si="156"/>
        <v/>
      </c>
      <c r="T94" s="8" t="str">
        <f t="shared" si="156"/>
        <v/>
      </c>
      <c r="U94" s="8" t="str">
        <f t="shared" si="156"/>
        <v/>
      </c>
      <c r="V94" s="8" t="str">
        <f t="shared" si="156"/>
        <v/>
      </c>
      <c r="W94" s="8" t="str">
        <f t="shared" si="156"/>
        <v/>
      </c>
      <c r="X94" s="8" t="str">
        <f t="shared" si="156"/>
        <v/>
      </c>
      <c r="Y94" s="8" t="str">
        <f t="shared" si="156"/>
        <v/>
      </c>
      <c r="Z94" s="8" t="str">
        <f t="shared" si="156"/>
        <v/>
      </c>
      <c r="AA94" s="8" t="str">
        <f t="shared" si="156"/>
        <v/>
      </c>
      <c r="AB94" s="8" t="str">
        <f t="shared" si="156"/>
        <v/>
      </c>
      <c r="AC94" s="8" t="str">
        <f t="shared" si="156"/>
        <v/>
      </c>
      <c r="AD94" s="8" t="str">
        <f t="shared" si="156"/>
        <v/>
      </c>
      <c r="AE94" s="8" t="str">
        <f t="shared" si="156"/>
        <v/>
      </c>
      <c r="AF94" s="8" t="str">
        <f t="shared" si="156"/>
        <v/>
      </c>
      <c r="AG94" s="8" t="str">
        <f t="shared" si="156"/>
        <v/>
      </c>
      <c r="AH94" s="8" t="str">
        <f t="shared" si="156"/>
        <v/>
      </c>
      <c r="AI94" s="8" t="str">
        <f t="shared" si="156"/>
        <v/>
      </c>
      <c r="AJ94" s="8" t="str">
        <f t="shared" si="156"/>
        <v/>
      </c>
      <c r="AK94" s="8" t="str">
        <f t="shared" si="156"/>
        <v/>
      </c>
      <c r="AL94" s="8" t="str">
        <f t="shared" si="156"/>
        <v/>
      </c>
      <c r="AM94" s="8" t="str">
        <f t="shared" si="156"/>
        <v/>
      </c>
      <c r="AN94" s="8" t="str">
        <f t="shared" si="156"/>
        <v/>
      </c>
      <c r="AO94" s="8" t="str">
        <f t="shared" si="156"/>
        <v/>
      </c>
      <c r="AP94" s="8" t="str">
        <f t="shared" si="156"/>
        <v/>
      </c>
      <c r="AQ94" s="8" t="str">
        <f t="shared" si="156"/>
        <v/>
      </c>
      <c r="AR94" s="8" t="str">
        <f t="shared" si="156"/>
        <v/>
      </c>
      <c r="AS94" s="8" t="str">
        <f t="shared" si="156"/>
        <v/>
      </c>
      <c r="AT94" s="8" t="str">
        <f t="shared" si="156"/>
        <v/>
      </c>
      <c r="AU94" s="8" t="str">
        <f t="shared" si="156"/>
        <v/>
      </c>
      <c r="AV94" s="8" t="str">
        <f t="shared" si="156"/>
        <v/>
      </c>
      <c r="AW94" s="8" t="str">
        <f t="shared" si="156"/>
        <v/>
      </c>
      <c r="AX94" s="8" t="str">
        <f t="shared" si="156"/>
        <v/>
      </c>
      <c r="AY94" s="8" t="str">
        <f t="shared" si="156"/>
        <v/>
      </c>
      <c r="AZ94" s="8" t="str">
        <f t="shared" si="156"/>
        <v/>
      </c>
      <c r="BA94" s="8" t="str">
        <f t="shared" si="156"/>
        <v/>
      </c>
      <c r="BB94" s="8" t="str">
        <f t="shared" si="156"/>
        <v/>
      </c>
      <c r="BC94" s="8" t="str">
        <f t="shared" si="156"/>
        <v/>
      </c>
      <c r="BD94" s="8" t="str">
        <f t="shared" si="156"/>
        <v/>
      </c>
      <c r="BE94" s="8" t="str">
        <f t="shared" si="156"/>
        <v/>
      </c>
      <c r="BF94" s="8" t="str">
        <f t="shared" si="156"/>
        <v/>
      </c>
      <c r="BG94" s="8" t="str">
        <f t="shared" si="156"/>
        <v/>
      </c>
      <c r="BH94" s="8" t="str">
        <f t="shared" si="156"/>
        <v/>
      </c>
      <c r="BI94" s="8" t="str">
        <f t="shared" si="156"/>
        <v/>
      </c>
      <c r="BJ94" s="8" t="str">
        <f t="shared" si="156"/>
        <v/>
      </c>
      <c r="BK94" s="8" t="str">
        <f t="shared" si="156"/>
        <v/>
      </c>
      <c r="BL94" s="8" t="str">
        <f t="shared" si="156"/>
        <v/>
      </c>
      <c r="BM94" s="8" t="str">
        <f t="shared" si="156"/>
        <v/>
      </c>
      <c r="BN94" s="8" t="str">
        <f t="shared" si="156"/>
        <v/>
      </c>
      <c r="BO94" s="8" t="str">
        <f t="shared" si="156"/>
        <v/>
      </c>
      <c r="BP94" s="8" t="str">
        <f t="shared" si="156"/>
        <v/>
      </c>
      <c r="BQ94" s="8" t="str">
        <f t="shared" si="156"/>
        <v/>
      </c>
      <c r="BR94" s="8" t="str">
        <f t="shared" si="156"/>
        <v/>
      </c>
      <c r="BS94" s="8" t="str">
        <f t="shared" ref="BS94:ED94" si="157">IF(OR(BT48 = "", BT$8 &lt; BS$8), "", IFERROR(BT48/BS48, ""))</f>
        <v/>
      </c>
      <c r="BT94" s="8" t="str">
        <f t="shared" si="157"/>
        <v/>
      </c>
      <c r="BU94" s="8" t="str">
        <f t="shared" si="157"/>
        <v/>
      </c>
      <c r="BV94" s="8" t="str">
        <f t="shared" si="157"/>
        <v/>
      </c>
      <c r="BW94" s="8" t="str">
        <f t="shared" si="157"/>
        <v/>
      </c>
      <c r="BX94" s="8" t="str">
        <f t="shared" si="157"/>
        <v/>
      </c>
      <c r="BY94" s="8" t="str">
        <f t="shared" si="157"/>
        <v/>
      </c>
      <c r="BZ94" s="8" t="str">
        <f t="shared" si="157"/>
        <v/>
      </c>
      <c r="CA94" s="8" t="str">
        <f t="shared" si="157"/>
        <v/>
      </c>
      <c r="CB94" s="8" t="str">
        <f t="shared" si="157"/>
        <v/>
      </c>
      <c r="CC94" s="8" t="str">
        <f t="shared" si="157"/>
        <v/>
      </c>
      <c r="CD94" s="8" t="str">
        <f t="shared" si="157"/>
        <v/>
      </c>
      <c r="CE94" s="8" t="str">
        <f t="shared" si="157"/>
        <v/>
      </c>
      <c r="CF94" s="8" t="str">
        <f t="shared" si="157"/>
        <v/>
      </c>
      <c r="CG94" s="8" t="str">
        <f t="shared" si="157"/>
        <v/>
      </c>
      <c r="CH94" s="8" t="str">
        <f t="shared" si="157"/>
        <v/>
      </c>
      <c r="CI94" s="8" t="str">
        <f t="shared" si="157"/>
        <v/>
      </c>
      <c r="CJ94" s="8" t="str">
        <f t="shared" si="157"/>
        <v/>
      </c>
      <c r="CK94" s="8" t="str">
        <f t="shared" si="157"/>
        <v/>
      </c>
      <c r="CL94" s="8" t="str">
        <f t="shared" si="157"/>
        <v/>
      </c>
      <c r="CM94" s="8" t="str">
        <f t="shared" si="157"/>
        <v/>
      </c>
      <c r="CN94" s="8" t="str">
        <f t="shared" si="157"/>
        <v/>
      </c>
      <c r="CO94" s="8" t="str">
        <f t="shared" si="157"/>
        <v/>
      </c>
      <c r="CP94" s="8" t="str">
        <f t="shared" si="157"/>
        <v/>
      </c>
      <c r="CQ94" s="8" t="str">
        <f t="shared" si="157"/>
        <v/>
      </c>
      <c r="CR94" s="8" t="str">
        <f t="shared" si="157"/>
        <v/>
      </c>
      <c r="CS94" s="8" t="str">
        <f t="shared" si="157"/>
        <v/>
      </c>
      <c r="CT94" s="8" t="str">
        <f t="shared" si="157"/>
        <v/>
      </c>
      <c r="CU94" s="8" t="str">
        <f t="shared" si="157"/>
        <v/>
      </c>
      <c r="CV94" s="8" t="str">
        <f t="shared" si="157"/>
        <v/>
      </c>
      <c r="CW94" s="8" t="str">
        <f t="shared" si="157"/>
        <v/>
      </c>
      <c r="CX94" s="8" t="str">
        <f t="shared" si="157"/>
        <v/>
      </c>
      <c r="CY94" s="8" t="str">
        <f t="shared" si="157"/>
        <v/>
      </c>
      <c r="CZ94" s="8" t="str">
        <f t="shared" si="157"/>
        <v/>
      </c>
      <c r="DA94" s="8" t="str">
        <f t="shared" si="157"/>
        <v/>
      </c>
      <c r="DB94" s="8" t="str">
        <f t="shared" si="157"/>
        <v/>
      </c>
      <c r="DC94" s="8" t="str">
        <f t="shared" si="157"/>
        <v/>
      </c>
      <c r="DD94" s="8" t="str">
        <f t="shared" si="157"/>
        <v/>
      </c>
      <c r="DE94" s="8" t="str">
        <f t="shared" si="157"/>
        <v/>
      </c>
      <c r="DF94" s="8" t="str">
        <f t="shared" si="157"/>
        <v/>
      </c>
      <c r="DG94" s="8" t="str">
        <f t="shared" si="157"/>
        <v/>
      </c>
      <c r="DH94" s="8" t="str">
        <f t="shared" si="157"/>
        <v/>
      </c>
      <c r="DI94" s="8" t="str">
        <f t="shared" si="157"/>
        <v/>
      </c>
      <c r="DJ94" s="8" t="str">
        <f t="shared" si="157"/>
        <v/>
      </c>
      <c r="DK94" s="8" t="str">
        <f t="shared" si="157"/>
        <v/>
      </c>
      <c r="DL94" s="8" t="str">
        <f t="shared" si="157"/>
        <v/>
      </c>
      <c r="DM94" s="8" t="str">
        <f t="shared" si="157"/>
        <v/>
      </c>
      <c r="DN94" s="8" t="str">
        <f t="shared" si="157"/>
        <v/>
      </c>
      <c r="DO94" s="8" t="str">
        <f t="shared" si="157"/>
        <v/>
      </c>
      <c r="DP94" s="8" t="str">
        <f t="shared" si="157"/>
        <v/>
      </c>
      <c r="DQ94" s="8" t="str">
        <f t="shared" si="157"/>
        <v/>
      </c>
      <c r="DR94" s="8" t="str">
        <f t="shared" si="157"/>
        <v/>
      </c>
      <c r="DS94" s="8" t="str">
        <f t="shared" si="157"/>
        <v/>
      </c>
      <c r="DT94" s="8" t="str">
        <f t="shared" si="157"/>
        <v/>
      </c>
      <c r="DU94" s="8" t="str">
        <f t="shared" si="157"/>
        <v/>
      </c>
      <c r="DV94" s="8" t="str">
        <f t="shared" si="157"/>
        <v/>
      </c>
      <c r="DW94" s="8" t="str">
        <f t="shared" si="157"/>
        <v/>
      </c>
      <c r="DX94" s="8" t="str">
        <f t="shared" si="157"/>
        <v/>
      </c>
      <c r="DY94" s="8" t="str">
        <f t="shared" si="157"/>
        <v/>
      </c>
      <c r="DZ94" s="8" t="str">
        <f t="shared" si="157"/>
        <v/>
      </c>
      <c r="EA94" s="8" t="str">
        <f t="shared" si="157"/>
        <v/>
      </c>
      <c r="EB94" s="8">
        <f t="shared" si="157"/>
        <v>2.4476366069601334</v>
      </c>
      <c r="EC94" s="8">
        <f t="shared" si="157"/>
        <v>3.0322220716282864</v>
      </c>
      <c r="ED94" s="8">
        <f t="shared" si="157"/>
        <v>1.285256835930179</v>
      </c>
      <c r="EE94" s="8">
        <f t="shared" ref="EE94:GP94" si="158">IF(OR(EF48 = "", EF$8 &lt; EE$8), "", IFERROR(EF48/EE48, ""))</f>
        <v>1.0025725618943975</v>
      </c>
      <c r="EF94" s="8">
        <f t="shared" si="158"/>
        <v>1.0091440140770245</v>
      </c>
      <c r="EG94" s="8">
        <f t="shared" si="158"/>
        <v>1.0673101668971696</v>
      </c>
      <c r="EH94" s="8">
        <f t="shared" si="158"/>
        <v>0.99767742446617491</v>
      </c>
      <c r="EI94" s="8" t="str">
        <f t="shared" si="158"/>
        <v/>
      </c>
      <c r="EJ94" s="8" t="str">
        <f t="shared" si="158"/>
        <v/>
      </c>
      <c r="EK94" s="8" t="str">
        <f t="shared" si="158"/>
        <v/>
      </c>
      <c r="EL94" s="8" t="str">
        <f t="shared" si="158"/>
        <v/>
      </c>
      <c r="EM94" s="8" t="str">
        <f t="shared" si="158"/>
        <v/>
      </c>
      <c r="EN94" s="8" t="str">
        <f t="shared" si="158"/>
        <v/>
      </c>
      <c r="EO94" s="8" t="str">
        <f t="shared" si="158"/>
        <v/>
      </c>
      <c r="EP94" s="8" t="str">
        <f t="shared" si="158"/>
        <v/>
      </c>
      <c r="EQ94" s="8" t="str">
        <f t="shared" si="158"/>
        <v/>
      </c>
      <c r="ER94" s="8" t="str">
        <f t="shared" si="158"/>
        <v/>
      </c>
      <c r="ES94" s="8" t="str">
        <f t="shared" si="158"/>
        <v/>
      </c>
      <c r="ET94" s="8" t="str">
        <f t="shared" si="158"/>
        <v/>
      </c>
      <c r="EU94" s="8" t="str">
        <f t="shared" si="158"/>
        <v/>
      </c>
      <c r="EV94" s="8" t="str">
        <f t="shared" si="158"/>
        <v/>
      </c>
      <c r="EW94" s="8" t="str">
        <f t="shared" si="158"/>
        <v/>
      </c>
      <c r="EX94" s="8" t="str">
        <f t="shared" si="158"/>
        <v/>
      </c>
      <c r="EY94" s="8" t="str">
        <f t="shared" si="158"/>
        <v/>
      </c>
      <c r="EZ94" s="8" t="str">
        <f t="shared" si="158"/>
        <v/>
      </c>
      <c r="FA94" s="8" t="str">
        <f t="shared" si="158"/>
        <v/>
      </c>
      <c r="FB94" s="8" t="str">
        <f t="shared" si="158"/>
        <v/>
      </c>
      <c r="FC94" s="8" t="str">
        <f t="shared" si="158"/>
        <v/>
      </c>
      <c r="FD94" s="8" t="str">
        <f t="shared" si="158"/>
        <v/>
      </c>
      <c r="FE94" s="8" t="str">
        <f t="shared" si="158"/>
        <v/>
      </c>
      <c r="FF94" s="8" t="str">
        <f t="shared" si="158"/>
        <v/>
      </c>
      <c r="FG94" s="8" t="str">
        <f t="shared" si="158"/>
        <v/>
      </c>
      <c r="FH94" s="8" t="str">
        <f t="shared" si="158"/>
        <v/>
      </c>
      <c r="FI94" s="8" t="str">
        <f t="shared" si="158"/>
        <v/>
      </c>
      <c r="FJ94" s="8" t="str">
        <f t="shared" si="158"/>
        <v/>
      </c>
      <c r="FK94" s="8" t="str">
        <f t="shared" si="158"/>
        <v/>
      </c>
      <c r="FL94" s="8" t="str">
        <f t="shared" si="158"/>
        <v/>
      </c>
      <c r="FM94" s="8" t="str">
        <f t="shared" si="158"/>
        <v/>
      </c>
      <c r="FN94" s="8" t="str">
        <f t="shared" si="158"/>
        <v/>
      </c>
      <c r="FO94" s="8" t="str">
        <f t="shared" si="158"/>
        <v/>
      </c>
      <c r="FP94" s="8" t="str">
        <f t="shared" si="158"/>
        <v/>
      </c>
      <c r="FQ94" s="8" t="str">
        <f t="shared" si="158"/>
        <v/>
      </c>
      <c r="FR94" s="8" t="str">
        <f t="shared" si="158"/>
        <v/>
      </c>
      <c r="FS94" s="8" t="str">
        <f t="shared" si="158"/>
        <v/>
      </c>
      <c r="FT94" s="8" t="str">
        <f t="shared" si="158"/>
        <v/>
      </c>
      <c r="FU94" s="8" t="str">
        <f t="shared" si="158"/>
        <v/>
      </c>
      <c r="FV94" s="8" t="str">
        <f t="shared" si="158"/>
        <v/>
      </c>
      <c r="FW94" s="8" t="str">
        <f t="shared" si="158"/>
        <v/>
      </c>
      <c r="FX94" s="8" t="str">
        <f t="shared" si="158"/>
        <v/>
      </c>
      <c r="FY94" s="8" t="str">
        <f t="shared" si="158"/>
        <v/>
      </c>
      <c r="FZ94" s="8" t="str">
        <f t="shared" si="158"/>
        <v/>
      </c>
      <c r="GA94" s="8" t="str">
        <f t="shared" si="158"/>
        <v/>
      </c>
      <c r="GB94" s="8" t="str">
        <f t="shared" si="158"/>
        <v/>
      </c>
      <c r="GC94" s="8" t="str">
        <f t="shared" si="158"/>
        <v/>
      </c>
      <c r="GD94" s="8" t="str">
        <f t="shared" si="158"/>
        <v/>
      </c>
      <c r="GE94" s="8" t="str">
        <f t="shared" si="158"/>
        <v/>
      </c>
      <c r="GF94" s="8" t="str">
        <f t="shared" si="158"/>
        <v/>
      </c>
      <c r="GG94" s="8" t="str">
        <f t="shared" si="158"/>
        <v/>
      </c>
      <c r="GH94" s="8" t="str">
        <f t="shared" si="158"/>
        <v/>
      </c>
      <c r="GI94" s="8" t="str">
        <f t="shared" si="158"/>
        <v/>
      </c>
      <c r="GJ94" s="8" t="str">
        <f t="shared" si="158"/>
        <v/>
      </c>
      <c r="GK94" s="8" t="str">
        <f t="shared" si="158"/>
        <v/>
      </c>
      <c r="GL94" s="8" t="str">
        <f t="shared" si="158"/>
        <v/>
      </c>
      <c r="GM94" s="8" t="str">
        <f t="shared" si="158"/>
        <v/>
      </c>
      <c r="GN94" s="8" t="str">
        <f t="shared" si="158"/>
        <v/>
      </c>
      <c r="GO94" s="8" t="str">
        <f t="shared" si="158"/>
        <v/>
      </c>
      <c r="GP94" s="8" t="str">
        <f t="shared" si="158"/>
        <v/>
      </c>
      <c r="GQ94" s="8" t="str">
        <f t="shared" ref="GQ94:IV94" si="159">IF(OR(GR48 = "", GR$8 &lt; GQ$8), "", IFERROR(GR48/GQ48, ""))</f>
        <v/>
      </c>
      <c r="GR94" s="8" t="str">
        <f t="shared" si="159"/>
        <v/>
      </c>
      <c r="GS94" s="8" t="str">
        <f t="shared" si="159"/>
        <v/>
      </c>
      <c r="GT94" s="8" t="str">
        <f t="shared" si="159"/>
        <v/>
      </c>
      <c r="GU94" s="8" t="str">
        <f t="shared" si="159"/>
        <v/>
      </c>
      <c r="GV94" s="8" t="str">
        <f t="shared" si="159"/>
        <v/>
      </c>
      <c r="GW94" s="8" t="str">
        <f t="shared" si="159"/>
        <v/>
      </c>
      <c r="GX94" s="8" t="str">
        <f t="shared" si="159"/>
        <v/>
      </c>
      <c r="GY94" s="8" t="str">
        <f t="shared" si="159"/>
        <v/>
      </c>
      <c r="GZ94" s="8" t="str">
        <f t="shared" si="159"/>
        <v/>
      </c>
      <c r="HA94" s="8" t="str">
        <f t="shared" si="159"/>
        <v/>
      </c>
      <c r="HB94" s="8" t="str">
        <f t="shared" si="159"/>
        <v/>
      </c>
      <c r="HC94" s="8" t="str">
        <f t="shared" si="159"/>
        <v/>
      </c>
      <c r="HD94" s="8" t="str">
        <f t="shared" si="159"/>
        <v/>
      </c>
      <c r="HE94" s="8" t="str">
        <f t="shared" si="159"/>
        <v/>
      </c>
      <c r="HF94" s="8" t="str">
        <f t="shared" si="159"/>
        <v/>
      </c>
      <c r="HG94" s="8" t="str">
        <f t="shared" si="159"/>
        <v/>
      </c>
      <c r="HH94" s="8" t="str">
        <f t="shared" si="159"/>
        <v/>
      </c>
      <c r="HI94" s="8" t="str">
        <f t="shared" si="159"/>
        <v/>
      </c>
      <c r="HJ94" s="8" t="str">
        <f t="shared" si="159"/>
        <v/>
      </c>
      <c r="HK94" s="8" t="str">
        <f t="shared" si="159"/>
        <v/>
      </c>
      <c r="HL94" s="8" t="str">
        <f t="shared" si="159"/>
        <v/>
      </c>
      <c r="HM94" s="8" t="str">
        <f t="shared" si="159"/>
        <v/>
      </c>
      <c r="HN94" s="8" t="str">
        <f t="shared" si="159"/>
        <v/>
      </c>
      <c r="HO94" s="8" t="str">
        <f t="shared" si="159"/>
        <v/>
      </c>
      <c r="HP94" s="8" t="str">
        <f t="shared" si="159"/>
        <v/>
      </c>
      <c r="HQ94" s="8" t="str">
        <f t="shared" si="159"/>
        <v/>
      </c>
      <c r="HR94" s="8" t="str">
        <f t="shared" si="159"/>
        <v/>
      </c>
      <c r="HS94" s="8" t="str">
        <f t="shared" si="159"/>
        <v/>
      </c>
      <c r="HT94" s="8" t="str">
        <f t="shared" si="159"/>
        <v/>
      </c>
      <c r="HU94" s="8" t="str">
        <f t="shared" si="159"/>
        <v/>
      </c>
      <c r="HV94" s="8" t="str">
        <f t="shared" si="159"/>
        <v/>
      </c>
      <c r="HW94" s="8" t="str">
        <f t="shared" si="159"/>
        <v/>
      </c>
      <c r="HX94" s="8" t="str">
        <f t="shared" si="159"/>
        <v/>
      </c>
      <c r="HY94" s="8" t="str">
        <f t="shared" si="159"/>
        <v/>
      </c>
      <c r="HZ94" s="8" t="str">
        <f t="shared" si="159"/>
        <v/>
      </c>
      <c r="IA94" s="8" t="str">
        <f t="shared" si="159"/>
        <v/>
      </c>
      <c r="IB94" s="8" t="str">
        <f t="shared" si="159"/>
        <v/>
      </c>
      <c r="IC94" s="8" t="str">
        <f t="shared" si="159"/>
        <v/>
      </c>
      <c r="ID94" s="8" t="str">
        <f t="shared" si="159"/>
        <v/>
      </c>
      <c r="IE94" s="8" t="str">
        <f t="shared" si="159"/>
        <v/>
      </c>
      <c r="IF94" s="8" t="str">
        <f t="shared" si="159"/>
        <v/>
      </c>
      <c r="IG94" s="8" t="str">
        <f t="shared" si="159"/>
        <v/>
      </c>
      <c r="IH94" s="8" t="str">
        <f t="shared" si="159"/>
        <v/>
      </c>
      <c r="II94" s="8" t="str">
        <f t="shared" si="159"/>
        <v/>
      </c>
      <c r="IJ94" s="8" t="str">
        <f t="shared" si="159"/>
        <v/>
      </c>
      <c r="IK94" s="8" t="str">
        <f t="shared" si="159"/>
        <v/>
      </c>
      <c r="IL94" s="8" t="str">
        <f t="shared" si="159"/>
        <v/>
      </c>
      <c r="IM94" s="8" t="str">
        <f t="shared" si="159"/>
        <v/>
      </c>
      <c r="IN94" s="8" t="str">
        <f t="shared" si="159"/>
        <v/>
      </c>
      <c r="IO94" s="8" t="str">
        <f t="shared" si="159"/>
        <v/>
      </c>
      <c r="IP94" s="8" t="str">
        <f t="shared" si="159"/>
        <v/>
      </c>
      <c r="IQ94" s="8" t="str">
        <f t="shared" si="159"/>
        <v/>
      </c>
      <c r="IR94" s="8" t="str">
        <f t="shared" si="159"/>
        <v/>
      </c>
      <c r="IS94" s="8" t="str">
        <f t="shared" si="159"/>
        <v/>
      </c>
      <c r="IT94" s="8" t="str">
        <f t="shared" si="159"/>
        <v/>
      </c>
      <c r="IU94" s="8" t="str">
        <f t="shared" si="159"/>
        <v/>
      </c>
      <c r="IV94" s="8" t="str">
        <f t="shared" si="159"/>
        <v/>
      </c>
    </row>
    <row r="95" spans="6:256" x14ac:dyDescent="0.2">
      <c r="F95">
        <v>202403</v>
      </c>
      <c r="G95" s="8">
        <f t="shared" ref="G95:BR95" si="160">IF(OR(H49 = "", H$8 &lt; G$8), "", IFERROR(H49/G49, ""))</f>
        <v>17.469863244585497</v>
      </c>
      <c r="H95" s="8">
        <f t="shared" si="160"/>
        <v>2.0846851875909089</v>
      </c>
      <c r="I95" s="8">
        <f t="shared" si="160"/>
        <v>2.5896982209983563</v>
      </c>
      <c r="J95" s="8">
        <f t="shared" si="160"/>
        <v>1.4573018530876782</v>
      </c>
      <c r="K95" s="8" t="str">
        <f t="shared" si="160"/>
        <v/>
      </c>
      <c r="L95" s="8" t="str">
        <f t="shared" si="160"/>
        <v/>
      </c>
      <c r="M95" s="8" t="str">
        <f t="shared" si="160"/>
        <v/>
      </c>
      <c r="N95" s="8" t="str">
        <f t="shared" si="160"/>
        <v/>
      </c>
      <c r="O95" s="8" t="str">
        <f t="shared" si="160"/>
        <v/>
      </c>
      <c r="P95" s="8" t="str">
        <f t="shared" si="160"/>
        <v/>
      </c>
      <c r="Q95" s="8" t="str">
        <f t="shared" si="160"/>
        <v/>
      </c>
      <c r="R95" s="8" t="str">
        <f t="shared" si="160"/>
        <v/>
      </c>
      <c r="S95" s="8" t="str">
        <f t="shared" si="160"/>
        <v/>
      </c>
      <c r="T95" s="8" t="str">
        <f t="shared" si="160"/>
        <v/>
      </c>
      <c r="U95" s="8" t="str">
        <f t="shared" si="160"/>
        <v/>
      </c>
      <c r="V95" s="8" t="str">
        <f t="shared" si="160"/>
        <v/>
      </c>
      <c r="W95" s="8" t="str">
        <f t="shared" si="160"/>
        <v/>
      </c>
      <c r="X95" s="8" t="str">
        <f t="shared" si="160"/>
        <v/>
      </c>
      <c r="Y95" s="8" t="str">
        <f t="shared" si="160"/>
        <v/>
      </c>
      <c r="Z95" s="8" t="str">
        <f t="shared" si="160"/>
        <v/>
      </c>
      <c r="AA95" s="8" t="str">
        <f t="shared" si="160"/>
        <v/>
      </c>
      <c r="AB95" s="8" t="str">
        <f t="shared" si="160"/>
        <v/>
      </c>
      <c r="AC95" s="8" t="str">
        <f t="shared" si="160"/>
        <v/>
      </c>
      <c r="AD95" s="8" t="str">
        <f t="shared" si="160"/>
        <v/>
      </c>
      <c r="AE95" s="8" t="str">
        <f t="shared" si="160"/>
        <v/>
      </c>
      <c r="AF95" s="8" t="str">
        <f t="shared" si="160"/>
        <v/>
      </c>
      <c r="AG95" s="8" t="str">
        <f t="shared" si="160"/>
        <v/>
      </c>
      <c r="AH95" s="8" t="str">
        <f t="shared" si="160"/>
        <v/>
      </c>
      <c r="AI95" s="8" t="str">
        <f t="shared" si="160"/>
        <v/>
      </c>
      <c r="AJ95" s="8" t="str">
        <f t="shared" si="160"/>
        <v/>
      </c>
      <c r="AK95" s="8" t="str">
        <f t="shared" si="160"/>
        <v/>
      </c>
      <c r="AL95" s="8" t="str">
        <f t="shared" si="160"/>
        <v/>
      </c>
      <c r="AM95" s="8" t="str">
        <f t="shared" si="160"/>
        <v/>
      </c>
      <c r="AN95" s="8" t="str">
        <f t="shared" si="160"/>
        <v/>
      </c>
      <c r="AO95" s="8" t="str">
        <f t="shared" si="160"/>
        <v/>
      </c>
      <c r="AP95" s="8" t="str">
        <f t="shared" si="160"/>
        <v/>
      </c>
      <c r="AQ95" s="8" t="str">
        <f t="shared" si="160"/>
        <v/>
      </c>
      <c r="AR95" s="8" t="str">
        <f t="shared" si="160"/>
        <v/>
      </c>
      <c r="AS95" s="8" t="str">
        <f t="shared" si="160"/>
        <v/>
      </c>
      <c r="AT95" s="8" t="str">
        <f t="shared" si="160"/>
        <v/>
      </c>
      <c r="AU95" s="8" t="str">
        <f t="shared" si="160"/>
        <v/>
      </c>
      <c r="AV95" s="8" t="str">
        <f t="shared" si="160"/>
        <v/>
      </c>
      <c r="AW95" s="8" t="str">
        <f t="shared" si="160"/>
        <v/>
      </c>
      <c r="AX95" s="8" t="str">
        <f t="shared" si="160"/>
        <v/>
      </c>
      <c r="AY95" s="8" t="str">
        <f t="shared" si="160"/>
        <v/>
      </c>
      <c r="AZ95" s="8" t="str">
        <f t="shared" si="160"/>
        <v/>
      </c>
      <c r="BA95" s="8" t="str">
        <f t="shared" si="160"/>
        <v/>
      </c>
      <c r="BB95" s="8" t="str">
        <f t="shared" si="160"/>
        <v/>
      </c>
      <c r="BC95" s="8" t="str">
        <f t="shared" si="160"/>
        <v/>
      </c>
      <c r="BD95" s="8" t="str">
        <f t="shared" si="160"/>
        <v/>
      </c>
      <c r="BE95" s="8" t="str">
        <f t="shared" si="160"/>
        <v/>
      </c>
      <c r="BF95" s="8" t="str">
        <f t="shared" si="160"/>
        <v/>
      </c>
      <c r="BG95" s="8" t="str">
        <f t="shared" si="160"/>
        <v/>
      </c>
      <c r="BH95" s="8" t="str">
        <f t="shared" si="160"/>
        <v/>
      </c>
      <c r="BI95" s="8" t="str">
        <f t="shared" si="160"/>
        <v/>
      </c>
      <c r="BJ95" s="8" t="str">
        <f t="shared" si="160"/>
        <v/>
      </c>
      <c r="BK95" s="8" t="str">
        <f t="shared" si="160"/>
        <v/>
      </c>
      <c r="BL95" s="8" t="str">
        <f t="shared" si="160"/>
        <v/>
      </c>
      <c r="BM95" s="8" t="str">
        <f t="shared" si="160"/>
        <v/>
      </c>
      <c r="BN95" s="8" t="str">
        <f t="shared" si="160"/>
        <v/>
      </c>
      <c r="BO95" s="8" t="str">
        <f t="shared" si="160"/>
        <v/>
      </c>
      <c r="BP95" s="8" t="str">
        <f t="shared" si="160"/>
        <v/>
      </c>
      <c r="BQ95" s="8" t="str">
        <f t="shared" si="160"/>
        <v/>
      </c>
      <c r="BR95" s="8" t="str">
        <f t="shared" si="160"/>
        <v/>
      </c>
      <c r="BS95" s="8" t="str">
        <f t="shared" ref="BS95:ED95" si="161">IF(OR(BT49 = "", BT$8 &lt; BS$8), "", IFERROR(BT49/BS49, ""))</f>
        <v/>
      </c>
      <c r="BT95" s="8" t="str">
        <f t="shared" si="161"/>
        <v/>
      </c>
      <c r="BU95" s="8" t="str">
        <f t="shared" si="161"/>
        <v/>
      </c>
      <c r="BV95" s="8" t="str">
        <f t="shared" si="161"/>
        <v/>
      </c>
      <c r="BW95" s="8" t="str">
        <f t="shared" si="161"/>
        <v/>
      </c>
      <c r="BX95" s="8" t="str">
        <f t="shared" si="161"/>
        <v/>
      </c>
      <c r="BY95" s="8" t="str">
        <f t="shared" si="161"/>
        <v/>
      </c>
      <c r="BZ95" s="8" t="str">
        <f t="shared" si="161"/>
        <v/>
      </c>
      <c r="CA95" s="8" t="str">
        <f t="shared" si="161"/>
        <v/>
      </c>
      <c r="CB95" s="8" t="str">
        <f t="shared" si="161"/>
        <v/>
      </c>
      <c r="CC95" s="8" t="str">
        <f t="shared" si="161"/>
        <v/>
      </c>
      <c r="CD95" s="8" t="str">
        <f t="shared" si="161"/>
        <v/>
      </c>
      <c r="CE95" s="8" t="str">
        <f t="shared" si="161"/>
        <v/>
      </c>
      <c r="CF95" s="8" t="str">
        <f t="shared" si="161"/>
        <v/>
      </c>
      <c r="CG95" s="8" t="str">
        <f t="shared" si="161"/>
        <v/>
      </c>
      <c r="CH95" s="8" t="str">
        <f t="shared" si="161"/>
        <v/>
      </c>
      <c r="CI95" s="8" t="str">
        <f t="shared" si="161"/>
        <v/>
      </c>
      <c r="CJ95" s="8" t="str">
        <f t="shared" si="161"/>
        <v/>
      </c>
      <c r="CK95" s="8" t="str">
        <f t="shared" si="161"/>
        <v/>
      </c>
      <c r="CL95" s="8" t="str">
        <f t="shared" si="161"/>
        <v/>
      </c>
      <c r="CM95" s="8" t="str">
        <f t="shared" si="161"/>
        <v/>
      </c>
      <c r="CN95" s="8" t="str">
        <f t="shared" si="161"/>
        <v/>
      </c>
      <c r="CO95" s="8" t="str">
        <f t="shared" si="161"/>
        <v/>
      </c>
      <c r="CP95" s="8" t="str">
        <f t="shared" si="161"/>
        <v/>
      </c>
      <c r="CQ95" s="8" t="str">
        <f t="shared" si="161"/>
        <v/>
      </c>
      <c r="CR95" s="8" t="str">
        <f t="shared" si="161"/>
        <v/>
      </c>
      <c r="CS95" s="8" t="str">
        <f t="shared" si="161"/>
        <v/>
      </c>
      <c r="CT95" s="8" t="str">
        <f t="shared" si="161"/>
        <v/>
      </c>
      <c r="CU95" s="8" t="str">
        <f t="shared" si="161"/>
        <v/>
      </c>
      <c r="CV95" s="8" t="str">
        <f t="shared" si="161"/>
        <v/>
      </c>
      <c r="CW95" s="8" t="str">
        <f t="shared" si="161"/>
        <v/>
      </c>
      <c r="CX95" s="8" t="str">
        <f t="shared" si="161"/>
        <v/>
      </c>
      <c r="CY95" s="8" t="str">
        <f t="shared" si="161"/>
        <v/>
      </c>
      <c r="CZ95" s="8" t="str">
        <f t="shared" si="161"/>
        <v/>
      </c>
      <c r="DA95" s="8" t="str">
        <f t="shared" si="161"/>
        <v/>
      </c>
      <c r="DB95" s="8" t="str">
        <f t="shared" si="161"/>
        <v/>
      </c>
      <c r="DC95" s="8" t="str">
        <f t="shared" si="161"/>
        <v/>
      </c>
      <c r="DD95" s="8" t="str">
        <f t="shared" si="161"/>
        <v/>
      </c>
      <c r="DE95" s="8" t="str">
        <f t="shared" si="161"/>
        <v/>
      </c>
      <c r="DF95" s="8" t="str">
        <f t="shared" si="161"/>
        <v/>
      </c>
      <c r="DG95" s="8" t="str">
        <f t="shared" si="161"/>
        <v/>
      </c>
      <c r="DH95" s="8" t="str">
        <f t="shared" si="161"/>
        <v/>
      </c>
      <c r="DI95" s="8" t="str">
        <f t="shared" si="161"/>
        <v/>
      </c>
      <c r="DJ95" s="8" t="str">
        <f t="shared" si="161"/>
        <v/>
      </c>
      <c r="DK95" s="8" t="str">
        <f t="shared" si="161"/>
        <v/>
      </c>
      <c r="DL95" s="8" t="str">
        <f t="shared" si="161"/>
        <v/>
      </c>
      <c r="DM95" s="8" t="str">
        <f t="shared" si="161"/>
        <v/>
      </c>
      <c r="DN95" s="8" t="str">
        <f t="shared" si="161"/>
        <v/>
      </c>
      <c r="DO95" s="8" t="str">
        <f t="shared" si="161"/>
        <v/>
      </c>
      <c r="DP95" s="8" t="str">
        <f t="shared" si="161"/>
        <v/>
      </c>
      <c r="DQ95" s="8" t="str">
        <f t="shared" si="161"/>
        <v/>
      </c>
      <c r="DR95" s="8" t="str">
        <f t="shared" si="161"/>
        <v/>
      </c>
      <c r="DS95" s="8" t="str">
        <f t="shared" si="161"/>
        <v/>
      </c>
      <c r="DT95" s="8" t="str">
        <f t="shared" si="161"/>
        <v/>
      </c>
      <c r="DU95" s="8" t="str">
        <f t="shared" si="161"/>
        <v/>
      </c>
      <c r="DV95" s="8" t="str">
        <f t="shared" si="161"/>
        <v/>
      </c>
      <c r="DW95" s="8" t="str">
        <f t="shared" si="161"/>
        <v/>
      </c>
      <c r="DX95" s="8" t="str">
        <f t="shared" si="161"/>
        <v/>
      </c>
      <c r="DY95" s="8" t="str">
        <f t="shared" si="161"/>
        <v/>
      </c>
      <c r="DZ95" s="8" t="str">
        <f t="shared" si="161"/>
        <v/>
      </c>
      <c r="EA95" s="8" t="str">
        <f t="shared" si="161"/>
        <v/>
      </c>
      <c r="EB95" s="8">
        <f t="shared" si="161"/>
        <v>1.7032268304078659</v>
      </c>
      <c r="EC95" s="8">
        <f t="shared" si="161"/>
        <v>2.0961379998287089</v>
      </c>
      <c r="ED95" s="8">
        <f t="shared" si="161"/>
        <v>1.3732569427885724</v>
      </c>
      <c r="EE95" s="8">
        <f t="shared" ref="EE95:GP95" si="162">IF(OR(EF49 = "", EF$8 &lt; EE$8), "", IFERROR(EF49/EE49, ""))</f>
        <v>0.98986210826442322</v>
      </c>
      <c r="EF95" s="8" t="str">
        <f t="shared" si="162"/>
        <v/>
      </c>
      <c r="EG95" s="8" t="str">
        <f t="shared" si="162"/>
        <v/>
      </c>
      <c r="EH95" s="8" t="str">
        <f t="shared" si="162"/>
        <v/>
      </c>
      <c r="EI95" s="8" t="str">
        <f t="shared" si="162"/>
        <v/>
      </c>
      <c r="EJ95" s="8" t="str">
        <f t="shared" si="162"/>
        <v/>
      </c>
      <c r="EK95" s="8" t="str">
        <f t="shared" si="162"/>
        <v/>
      </c>
      <c r="EL95" s="8" t="str">
        <f t="shared" si="162"/>
        <v/>
      </c>
      <c r="EM95" s="8" t="str">
        <f t="shared" si="162"/>
        <v/>
      </c>
      <c r="EN95" s="8" t="str">
        <f t="shared" si="162"/>
        <v/>
      </c>
      <c r="EO95" s="8" t="str">
        <f t="shared" si="162"/>
        <v/>
      </c>
      <c r="EP95" s="8" t="str">
        <f t="shared" si="162"/>
        <v/>
      </c>
      <c r="EQ95" s="8" t="str">
        <f t="shared" si="162"/>
        <v/>
      </c>
      <c r="ER95" s="8" t="str">
        <f t="shared" si="162"/>
        <v/>
      </c>
      <c r="ES95" s="8" t="str">
        <f t="shared" si="162"/>
        <v/>
      </c>
      <c r="ET95" s="8" t="str">
        <f t="shared" si="162"/>
        <v/>
      </c>
      <c r="EU95" s="8" t="str">
        <f t="shared" si="162"/>
        <v/>
      </c>
      <c r="EV95" s="8" t="str">
        <f t="shared" si="162"/>
        <v/>
      </c>
      <c r="EW95" s="8" t="str">
        <f t="shared" si="162"/>
        <v/>
      </c>
      <c r="EX95" s="8" t="str">
        <f t="shared" si="162"/>
        <v/>
      </c>
      <c r="EY95" s="8" t="str">
        <f t="shared" si="162"/>
        <v/>
      </c>
      <c r="EZ95" s="8" t="str">
        <f t="shared" si="162"/>
        <v/>
      </c>
      <c r="FA95" s="8" t="str">
        <f t="shared" si="162"/>
        <v/>
      </c>
      <c r="FB95" s="8" t="str">
        <f t="shared" si="162"/>
        <v/>
      </c>
      <c r="FC95" s="8" t="str">
        <f t="shared" si="162"/>
        <v/>
      </c>
      <c r="FD95" s="8" t="str">
        <f t="shared" si="162"/>
        <v/>
      </c>
      <c r="FE95" s="8" t="str">
        <f t="shared" si="162"/>
        <v/>
      </c>
      <c r="FF95" s="8" t="str">
        <f t="shared" si="162"/>
        <v/>
      </c>
      <c r="FG95" s="8" t="str">
        <f t="shared" si="162"/>
        <v/>
      </c>
      <c r="FH95" s="8" t="str">
        <f t="shared" si="162"/>
        <v/>
      </c>
      <c r="FI95" s="8" t="str">
        <f t="shared" si="162"/>
        <v/>
      </c>
      <c r="FJ95" s="8" t="str">
        <f t="shared" si="162"/>
        <v/>
      </c>
      <c r="FK95" s="8" t="str">
        <f t="shared" si="162"/>
        <v/>
      </c>
      <c r="FL95" s="8" t="str">
        <f t="shared" si="162"/>
        <v/>
      </c>
      <c r="FM95" s="8" t="str">
        <f t="shared" si="162"/>
        <v/>
      </c>
      <c r="FN95" s="8" t="str">
        <f t="shared" si="162"/>
        <v/>
      </c>
      <c r="FO95" s="8" t="str">
        <f t="shared" si="162"/>
        <v/>
      </c>
      <c r="FP95" s="8" t="str">
        <f t="shared" si="162"/>
        <v/>
      </c>
      <c r="FQ95" s="8" t="str">
        <f t="shared" si="162"/>
        <v/>
      </c>
      <c r="FR95" s="8" t="str">
        <f t="shared" si="162"/>
        <v/>
      </c>
      <c r="FS95" s="8" t="str">
        <f t="shared" si="162"/>
        <v/>
      </c>
      <c r="FT95" s="8" t="str">
        <f t="shared" si="162"/>
        <v/>
      </c>
      <c r="FU95" s="8" t="str">
        <f t="shared" si="162"/>
        <v/>
      </c>
      <c r="FV95" s="8" t="str">
        <f t="shared" si="162"/>
        <v/>
      </c>
      <c r="FW95" s="8" t="str">
        <f t="shared" si="162"/>
        <v/>
      </c>
      <c r="FX95" s="8" t="str">
        <f t="shared" si="162"/>
        <v/>
      </c>
      <c r="FY95" s="8" t="str">
        <f t="shared" si="162"/>
        <v/>
      </c>
      <c r="FZ95" s="8" t="str">
        <f t="shared" si="162"/>
        <v/>
      </c>
      <c r="GA95" s="8" t="str">
        <f t="shared" si="162"/>
        <v/>
      </c>
      <c r="GB95" s="8" t="str">
        <f t="shared" si="162"/>
        <v/>
      </c>
      <c r="GC95" s="8" t="str">
        <f t="shared" si="162"/>
        <v/>
      </c>
      <c r="GD95" s="8" t="str">
        <f t="shared" si="162"/>
        <v/>
      </c>
      <c r="GE95" s="8" t="str">
        <f t="shared" si="162"/>
        <v/>
      </c>
      <c r="GF95" s="8" t="str">
        <f t="shared" si="162"/>
        <v/>
      </c>
      <c r="GG95" s="8" t="str">
        <f t="shared" si="162"/>
        <v/>
      </c>
      <c r="GH95" s="8" t="str">
        <f t="shared" si="162"/>
        <v/>
      </c>
      <c r="GI95" s="8" t="str">
        <f t="shared" si="162"/>
        <v/>
      </c>
      <c r="GJ95" s="8" t="str">
        <f t="shared" si="162"/>
        <v/>
      </c>
      <c r="GK95" s="8" t="str">
        <f t="shared" si="162"/>
        <v/>
      </c>
      <c r="GL95" s="8" t="str">
        <f t="shared" si="162"/>
        <v/>
      </c>
      <c r="GM95" s="8" t="str">
        <f t="shared" si="162"/>
        <v/>
      </c>
      <c r="GN95" s="8" t="str">
        <f t="shared" si="162"/>
        <v/>
      </c>
      <c r="GO95" s="8" t="str">
        <f t="shared" si="162"/>
        <v/>
      </c>
      <c r="GP95" s="8" t="str">
        <f t="shared" si="162"/>
        <v/>
      </c>
      <c r="GQ95" s="8" t="str">
        <f t="shared" ref="GQ95:IV95" si="163">IF(OR(GR49 = "", GR$8 &lt; GQ$8), "", IFERROR(GR49/GQ49, ""))</f>
        <v/>
      </c>
      <c r="GR95" s="8" t="str">
        <f t="shared" si="163"/>
        <v/>
      </c>
      <c r="GS95" s="8" t="str">
        <f t="shared" si="163"/>
        <v/>
      </c>
      <c r="GT95" s="8" t="str">
        <f t="shared" si="163"/>
        <v/>
      </c>
      <c r="GU95" s="8" t="str">
        <f t="shared" si="163"/>
        <v/>
      </c>
      <c r="GV95" s="8" t="str">
        <f t="shared" si="163"/>
        <v/>
      </c>
      <c r="GW95" s="8" t="str">
        <f t="shared" si="163"/>
        <v/>
      </c>
      <c r="GX95" s="8" t="str">
        <f t="shared" si="163"/>
        <v/>
      </c>
      <c r="GY95" s="8" t="str">
        <f t="shared" si="163"/>
        <v/>
      </c>
      <c r="GZ95" s="8" t="str">
        <f t="shared" si="163"/>
        <v/>
      </c>
      <c r="HA95" s="8" t="str">
        <f t="shared" si="163"/>
        <v/>
      </c>
      <c r="HB95" s="8" t="str">
        <f t="shared" si="163"/>
        <v/>
      </c>
      <c r="HC95" s="8" t="str">
        <f t="shared" si="163"/>
        <v/>
      </c>
      <c r="HD95" s="8" t="str">
        <f t="shared" si="163"/>
        <v/>
      </c>
      <c r="HE95" s="8" t="str">
        <f t="shared" si="163"/>
        <v/>
      </c>
      <c r="HF95" s="8" t="str">
        <f t="shared" si="163"/>
        <v/>
      </c>
      <c r="HG95" s="8" t="str">
        <f t="shared" si="163"/>
        <v/>
      </c>
      <c r="HH95" s="8" t="str">
        <f t="shared" si="163"/>
        <v/>
      </c>
      <c r="HI95" s="8" t="str">
        <f t="shared" si="163"/>
        <v/>
      </c>
      <c r="HJ95" s="8" t="str">
        <f t="shared" si="163"/>
        <v/>
      </c>
      <c r="HK95" s="8" t="str">
        <f t="shared" si="163"/>
        <v/>
      </c>
      <c r="HL95" s="8" t="str">
        <f t="shared" si="163"/>
        <v/>
      </c>
      <c r="HM95" s="8" t="str">
        <f t="shared" si="163"/>
        <v/>
      </c>
      <c r="HN95" s="8" t="str">
        <f t="shared" si="163"/>
        <v/>
      </c>
      <c r="HO95" s="8" t="str">
        <f t="shared" si="163"/>
        <v/>
      </c>
      <c r="HP95" s="8" t="str">
        <f t="shared" si="163"/>
        <v/>
      </c>
      <c r="HQ95" s="8" t="str">
        <f t="shared" si="163"/>
        <v/>
      </c>
      <c r="HR95" s="8" t="str">
        <f t="shared" si="163"/>
        <v/>
      </c>
      <c r="HS95" s="8" t="str">
        <f t="shared" si="163"/>
        <v/>
      </c>
      <c r="HT95" s="8" t="str">
        <f t="shared" si="163"/>
        <v/>
      </c>
      <c r="HU95" s="8" t="str">
        <f t="shared" si="163"/>
        <v/>
      </c>
      <c r="HV95" s="8" t="str">
        <f t="shared" si="163"/>
        <v/>
      </c>
      <c r="HW95" s="8" t="str">
        <f t="shared" si="163"/>
        <v/>
      </c>
      <c r="HX95" s="8" t="str">
        <f t="shared" si="163"/>
        <v/>
      </c>
      <c r="HY95" s="8" t="str">
        <f t="shared" si="163"/>
        <v/>
      </c>
      <c r="HZ95" s="8" t="str">
        <f t="shared" si="163"/>
        <v/>
      </c>
      <c r="IA95" s="8" t="str">
        <f t="shared" si="163"/>
        <v/>
      </c>
      <c r="IB95" s="8" t="str">
        <f t="shared" si="163"/>
        <v/>
      </c>
      <c r="IC95" s="8" t="str">
        <f t="shared" si="163"/>
        <v/>
      </c>
      <c r="ID95" s="8" t="str">
        <f t="shared" si="163"/>
        <v/>
      </c>
      <c r="IE95" s="8" t="str">
        <f t="shared" si="163"/>
        <v/>
      </c>
      <c r="IF95" s="8" t="str">
        <f t="shared" si="163"/>
        <v/>
      </c>
      <c r="IG95" s="8" t="str">
        <f t="shared" si="163"/>
        <v/>
      </c>
      <c r="IH95" s="8" t="str">
        <f t="shared" si="163"/>
        <v/>
      </c>
      <c r="II95" s="8" t="str">
        <f t="shared" si="163"/>
        <v/>
      </c>
      <c r="IJ95" s="8" t="str">
        <f t="shared" si="163"/>
        <v/>
      </c>
      <c r="IK95" s="8" t="str">
        <f t="shared" si="163"/>
        <v/>
      </c>
      <c r="IL95" s="8" t="str">
        <f t="shared" si="163"/>
        <v/>
      </c>
      <c r="IM95" s="8" t="str">
        <f t="shared" si="163"/>
        <v/>
      </c>
      <c r="IN95" s="8" t="str">
        <f t="shared" si="163"/>
        <v/>
      </c>
      <c r="IO95" s="8" t="str">
        <f t="shared" si="163"/>
        <v/>
      </c>
      <c r="IP95" s="8" t="str">
        <f t="shared" si="163"/>
        <v/>
      </c>
      <c r="IQ95" s="8" t="str">
        <f t="shared" si="163"/>
        <v/>
      </c>
      <c r="IR95" s="8" t="str">
        <f t="shared" si="163"/>
        <v/>
      </c>
      <c r="IS95" s="8" t="str">
        <f t="shared" si="163"/>
        <v/>
      </c>
      <c r="IT95" s="8" t="str">
        <f t="shared" si="163"/>
        <v/>
      </c>
      <c r="IU95" s="8" t="str">
        <f t="shared" si="163"/>
        <v/>
      </c>
      <c r="IV95" s="8" t="str">
        <f t="shared" si="163"/>
        <v/>
      </c>
    </row>
    <row r="96" spans="6:256" x14ac:dyDescent="0.2">
      <c r="F96">
        <v>202406</v>
      </c>
      <c r="G96" s="8">
        <f t="shared" ref="G96:BR96" si="164">IF(OR(H50 = "", H$8 &lt; G$8), "", IFERROR(H50/G50, ""))</f>
        <v>10.653539590605961</v>
      </c>
      <c r="H96" s="8" t="str">
        <f t="shared" si="164"/>
        <v/>
      </c>
      <c r="I96" s="8" t="str">
        <f t="shared" si="164"/>
        <v/>
      </c>
      <c r="J96" s="8" t="str">
        <f t="shared" si="164"/>
        <v/>
      </c>
      <c r="K96" s="8" t="str">
        <f t="shared" si="164"/>
        <v/>
      </c>
      <c r="L96" s="8" t="str">
        <f t="shared" si="164"/>
        <v/>
      </c>
      <c r="M96" s="8" t="str">
        <f t="shared" si="164"/>
        <v/>
      </c>
      <c r="N96" s="8" t="str">
        <f t="shared" si="164"/>
        <v/>
      </c>
      <c r="O96" s="8" t="str">
        <f t="shared" si="164"/>
        <v/>
      </c>
      <c r="P96" s="8" t="str">
        <f t="shared" si="164"/>
        <v/>
      </c>
      <c r="Q96" s="8" t="str">
        <f t="shared" si="164"/>
        <v/>
      </c>
      <c r="R96" s="8" t="str">
        <f t="shared" si="164"/>
        <v/>
      </c>
      <c r="S96" s="8" t="str">
        <f t="shared" si="164"/>
        <v/>
      </c>
      <c r="T96" s="8" t="str">
        <f t="shared" si="164"/>
        <v/>
      </c>
      <c r="U96" s="8" t="str">
        <f t="shared" si="164"/>
        <v/>
      </c>
      <c r="V96" s="8" t="str">
        <f t="shared" si="164"/>
        <v/>
      </c>
      <c r="W96" s="8" t="str">
        <f t="shared" si="164"/>
        <v/>
      </c>
      <c r="X96" s="8" t="str">
        <f t="shared" si="164"/>
        <v/>
      </c>
      <c r="Y96" s="8" t="str">
        <f t="shared" si="164"/>
        <v/>
      </c>
      <c r="Z96" s="8" t="str">
        <f t="shared" si="164"/>
        <v/>
      </c>
      <c r="AA96" s="8" t="str">
        <f t="shared" si="164"/>
        <v/>
      </c>
      <c r="AB96" s="8" t="str">
        <f t="shared" si="164"/>
        <v/>
      </c>
      <c r="AC96" s="8" t="str">
        <f t="shared" si="164"/>
        <v/>
      </c>
      <c r="AD96" s="8" t="str">
        <f t="shared" si="164"/>
        <v/>
      </c>
      <c r="AE96" s="8" t="str">
        <f t="shared" si="164"/>
        <v/>
      </c>
      <c r="AF96" s="8" t="str">
        <f t="shared" si="164"/>
        <v/>
      </c>
      <c r="AG96" s="8" t="str">
        <f t="shared" si="164"/>
        <v/>
      </c>
      <c r="AH96" s="8" t="str">
        <f t="shared" si="164"/>
        <v/>
      </c>
      <c r="AI96" s="8" t="str">
        <f t="shared" si="164"/>
        <v/>
      </c>
      <c r="AJ96" s="8" t="str">
        <f t="shared" si="164"/>
        <v/>
      </c>
      <c r="AK96" s="8" t="str">
        <f t="shared" si="164"/>
        <v/>
      </c>
      <c r="AL96" s="8" t="str">
        <f t="shared" si="164"/>
        <v/>
      </c>
      <c r="AM96" s="8" t="str">
        <f t="shared" si="164"/>
        <v/>
      </c>
      <c r="AN96" s="8" t="str">
        <f t="shared" si="164"/>
        <v/>
      </c>
      <c r="AO96" s="8" t="str">
        <f t="shared" si="164"/>
        <v/>
      </c>
      <c r="AP96" s="8" t="str">
        <f t="shared" si="164"/>
        <v/>
      </c>
      <c r="AQ96" s="8" t="str">
        <f t="shared" si="164"/>
        <v/>
      </c>
      <c r="AR96" s="8" t="str">
        <f t="shared" si="164"/>
        <v/>
      </c>
      <c r="AS96" s="8" t="str">
        <f t="shared" si="164"/>
        <v/>
      </c>
      <c r="AT96" s="8" t="str">
        <f t="shared" si="164"/>
        <v/>
      </c>
      <c r="AU96" s="8" t="str">
        <f t="shared" si="164"/>
        <v/>
      </c>
      <c r="AV96" s="8" t="str">
        <f t="shared" si="164"/>
        <v/>
      </c>
      <c r="AW96" s="8" t="str">
        <f t="shared" si="164"/>
        <v/>
      </c>
      <c r="AX96" s="8" t="str">
        <f t="shared" si="164"/>
        <v/>
      </c>
      <c r="AY96" s="8" t="str">
        <f t="shared" si="164"/>
        <v/>
      </c>
      <c r="AZ96" s="8" t="str">
        <f t="shared" si="164"/>
        <v/>
      </c>
      <c r="BA96" s="8" t="str">
        <f t="shared" si="164"/>
        <v/>
      </c>
      <c r="BB96" s="8" t="str">
        <f t="shared" si="164"/>
        <v/>
      </c>
      <c r="BC96" s="8" t="str">
        <f t="shared" si="164"/>
        <v/>
      </c>
      <c r="BD96" s="8" t="str">
        <f t="shared" si="164"/>
        <v/>
      </c>
      <c r="BE96" s="8" t="str">
        <f t="shared" si="164"/>
        <v/>
      </c>
      <c r="BF96" s="8" t="str">
        <f t="shared" si="164"/>
        <v/>
      </c>
      <c r="BG96" s="8" t="str">
        <f t="shared" si="164"/>
        <v/>
      </c>
      <c r="BH96" s="8" t="str">
        <f t="shared" si="164"/>
        <v/>
      </c>
      <c r="BI96" s="8" t="str">
        <f t="shared" si="164"/>
        <v/>
      </c>
      <c r="BJ96" s="8" t="str">
        <f t="shared" si="164"/>
        <v/>
      </c>
      <c r="BK96" s="8" t="str">
        <f t="shared" si="164"/>
        <v/>
      </c>
      <c r="BL96" s="8" t="str">
        <f t="shared" si="164"/>
        <v/>
      </c>
      <c r="BM96" s="8" t="str">
        <f t="shared" si="164"/>
        <v/>
      </c>
      <c r="BN96" s="8" t="str">
        <f t="shared" si="164"/>
        <v/>
      </c>
      <c r="BO96" s="8" t="str">
        <f t="shared" si="164"/>
        <v/>
      </c>
      <c r="BP96" s="8" t="str">
        <f t="shared" si="164"/>
        <v/>
      </c>
      <c r="BQ96" s="8" t="str">
        <f t="shared" si="164"/>
        <v/>
      </c>
      <c r="BR96" s="8" t="str">
        <f t="shared" si="164"/>
        <v/>
      </c>
      <c r="BS96" s="8" t="str">
        <f t="shared" ref="BS96:ED96" si="165">IF(OR(BT50 = "", BT$8 &lt; BS$8), "", IFERROR(BT50/BS50, ""))</f>
        <v/>
      </c>
      <c r="BT96" s="8" t="str">
        <f t="shared" si="165"/>
        <v/>
      </c>
      <c r="BU96" s="8" t="str">
        <f t="shared" si="165"/>
        <v/>
      </c>
      <c r="BV96" s="8" t="str">
        <f t="shared" si="165"/>
        <v/>
      </c>
      <c r="BW96" s="8" t="str">
        <f t="shared" si="165"/>
        <v/>
      </c>
      <c r="BX96" s="8" t="str">
        <f t="shared" si="165"/>
        <v/>
      </c>
      <c r="BY96" s="8" t="str">
        <f t="shared" si="165"/>
        <v/>
      </c>
      <c r="BZ96" s="8" t="str">
        <f t="shared" si="165"/>
        <v/>
      </c>
      <c r="CA96" s="8" t="str">
        <f t="shared" si="165"/>
        <v/>
      </c>
      <c r="CB96" s="8" t="str">
        <f t="shared" si="165"/>
        <v/>
      </c>
      <c r="CC96" s="8" t="str">
        <f t="shared" si="165"/>
        <v/>
      </c>
      <c r="CD96" s="8" t="str">
        <f t="shared" si="165"/>
        <v/>
      </c>
      <c r="CE96" s="8" t="str">
        <f t="shared" si="165"/>
        <v/>
      </c>
      <c r="CF96" s="8" t="str">
        <f t="shared" si="165"/>
        <v/>
      </c>
      <c r="CG96" s="8" t="str">
        <f t="shared" si="165"/>
        <v/>
      </c>
      <c r="CH96" s="8" t="str">
        <f t="shared" si="165"/>
        <v/>
      </c>
      <c r="CI96" s="8" t="str">
        <f t="shared" si="165"/>
        <v/>
      </c>
      <c r="CJ96" s="8" t="str">
        <f t="shared" si="165"/>
        <v/>
      </c>
      <c r="CK96" s="8" t="str">
        <f t="shared" si="165"/>
        <v/>
      </c>
      <c r="CL96" s="8" t="str">
        <f t="shared" si="165"/>
        <v/>
      </c>
      <c r="CM96" s="8" t="str">
        <f t="shared" si="165"/>
        <v/>
      </c>
      <c r="CN96" s="8" t="str">
        <f t="shared" si="165"/>
        <v/>
      </c>
      <c r="CO96" s="8" t="str">
        <f t="shared" si="165"/>
        <v/>
      </c>
      <c r="CP96" s="8" t="str">
        <f t="shared" si="165"/>
        <v/>
      </c>
      <c r="CQ96" s="8" t="str">
        <f t="shared" si="165"/>
        <v/>
      </c>
      <c r="CR96" s="8" t="str">
        <f t="shared" si="165"/>
        <v/>
      </c>
      <c r="CS96" s="8" t="str">
        <f t="shared" si="165"/>
        <v/>
      </c>
      <c r="CT96" s="8" t="str">
        <f t="shared" si="165"/>
        <v/>
      </c>
      <c r="CU96" s="8" t="str">
        <f t="shared" si="165"/>
        <v/>
      </c>
      <c r="CV96" s="8" t="str">
        <f t="shared" si="165"/>
        <v/>
      </c>
      <c r="CW96" s="8" t="str">
        <f t="shared" si="165"/>
        <v/>
      </c>
      <c r="CX96" s="8" t="str">
        <f t="shared" si="165"/>
        <v/>
      </c>
      <c r="CY96" s="8" t="str">
        <f t="shared" si="165"/>
        <v/>
      </c>
      <c r="CZ96" s="8" t="str">
        <f t="shared" si="165"/>
        <v/>
      </c>
      <c r="DA96" s="8" t="str">
        <f t="shared" si="165"/>
        <v/>
      </c>
      <c r="DB96" s="8" t="str">
        <f t="shared" si="165"/>
        <v/>
      </c>
      <c r="DC96" s="8" t="str">
        <f t="shared" si="165"/>
        <v/>
      </c>
      <c r="DD96" s="8" t="str">
        <f t="shared" si="165"/>
        <v/>
      </c>
      <c r="DE96" s="8" t="str">
        <f t="shared" si="165"/>
        <v/>
      </c>
      <c r="DF96" s="8" t="str">
        <f t="shared" si="165"/>
        <v/>
      </c>
      <c r="DG96" s="8" t="str">
        <f t="shared" si="165"/>
        <v/>
      </c>
      <c r="DH96" s="8" t="str">
        <f t="shared" si="165"/>
        <v/>
      </c>
      <c r="DI96" s="8" t="str">
        <f t="shared" si="165"/>
        <v/>
      </c>
      <c r="DJ96" s="8" t="str">
        <f t="shared" si="165"/>
        <v/>
      </c>
      <c r="DK96" s="8" t="str">
        <f t="shared" si="165"/>
        <v/>
      </c>
      <c r="DL96" s="8" t="str">
        <f t="shared" si="165"/>
        <v/>
      </c>
      <c r="DM96" s="8" t="str">
        <f t="shared" si="165"/>
        <v/>
      </c>
      <c r="DN96" s="8" t="str">
        <f t="shared" si="165"/>
        <v/>
      </c>
      <c r="DO96" s="8" t="str">
        <f t="shared" si="165"/>
        <v/>
      </c>
      <c r="DP96" s="8" t="str">
        <f t="shared" si="165"/>
        <v/>
      </c>
      <c r="DQ96" s="8" t="str">
        <f t="shared" si="165"/>
        <v/>
      </c>
      <c r="DR96" s="8" t="str">
        <f t="shared" si="165"/>
        <v/>
      </c>
      <c r="DS96" s="8" t="str">
        <f t="shared" si="165"/>
        <v/>
      </c>
      <c r="DT96" s="8" t="str">
        <f t="shared" si="165"/>
        <v/>
      </c>
      <c r="DU96" s="8" t="str">
        <f t="shared" si="165"/>
        <v/>
      </c>
      <c r="DV96" s="8" t="str">
        <f t="shared" si="165"/>
        <v/>
      </c>
      <c r="DW96" s="8" t="str">
        <f t="shared" si="165"/>
        <v/>
      </c>
      <c r="DX96" s="8" t="str">
        <f t="shared" si="165"/>
        <v/>
      </c>
      <c r="DY96" s="8" t="str">
        <f t="shared" si="165"/>
        <v/>
      </c>
      <c r="DZ96" s="8" t="str">
        <f t="shared" si="165"/>
        <v/>
      </c>
      <c r="EA96" s="8" t="str">
        <f t="shared" si="165"/>
        <v/>
      </c>
      <c r="EB96" s="8">
        <f t="shared" si="165"/>
        <v>1.8528834913490908</v>
      </c>
      <c r="EC96" s="8" t="str">
        <f t="shared" si="165"/>
        <v/>
      </c>
      <c r="ED96" s="8" t="str">
        <f t="shared" si="165"/>
        <v/>
      </c>
      <c r="EE96" s="8" t="str">
        <f t="shared" ref="EE96:GP96" si="166">IF(OR(EF50 = "", EF$8 &lt; EE$8), "", IFERROR(EF50/EE50, ""))</f>
        <v/>
      </c>
      <c r="EF96" s="8" t="str">
        <f t="shared" si="166"/>
        <v/>
      </c>
      <c r="EG96" s="8" t="str">
        <f t="shared" si="166"/>
        <v/>
      </c>
      <c r="EH96" s="8" t="str">
        <f t="shared" si="166"/>
        <v/>
      </c>
      <c r="EI96" s="8" t="str">
        <f t="shared" si="166"/>
        <v/>
      </c>
      <c r="EJ96" s="8" t="str">
        <f t="shared" si="166"/>
        <v/>
      </c>
      <c r="EK96" s="8" t="str">
        <f t="shared" si="166"/>
        <v/>
      </c>
      <c r="EL96" s="8" t="str">
        <f t="shared" si="166"/>
        <v/>
      </c>
      <c r="EM96" s="8" t="str">
        <f t="shared" si="166"/>
        <v/>
      </c>
      <c r="EN96" s="8" t="str">
        <f t="shared" si="166"/>
        <v/>
      </c>
      <c r="EO96" s="8" t="str">
        <f t="shared" si="166"/>
        <v/>
      </c>
      <c r="EP96" s="8" t="str">
        <f t="shared" si="166"/>
        <v/>
      </c>
      <c r="EQ96" s="8" t="str">
        <f t="shared" si="166"/>
        <v/>
      </c>
      <c r="ER96" s="8" t="str">
        <f t="shared" si="166"/>
        <v/>
      </c>
      <c r="ES96" s="8" t="str">
        <f t="shared" si="166"/>
        <v/>
      </c>
      <c r="ET96" s="8" t="str">
        <f t="shared" si="166"/>
        <v/>
      </c>
      <c r="EU96" s="8" t="str">
        <f t="shared" si="166"/>
        <v/>
      </c>
      <c r="EV96" s="8" t="str">
        <f t="shared" si="166"/>
        <v/>
      </c>
      <c r="EW96" s="8" t="str">
        <f t="shared" si="166"/>
        <v/>
      </c>
      <c r="EX96" s="8" t="str">
        <f t="shared" si="166"/>
        <v/>
      </c>
      <c r="EY96" s="8" t="str">
        <f t="shared" si="166"/>
        <v/>
      </c>
      <c r="EZ96" s="8" t="str">
        <f t="shared" si="166"/>
        <v/>
      </c>
      <c r="FA96" s="8" t="str">
        <f t="shared" si="166"/>
        <v/>
      </c>
      <c r="FB96" s="8" t="str">
        <f t="shared" si="166"/>
        <v/>
      </c>
      <c r="FC96" s="8" t="str">
        <f t="shared" si="166"/>
        <v/>
      </c>
      <c r="FD96" s="8" t="str">
        <f t="shared" si="166"/>
        <v/>
      </c>
      <c r="FE96" s="8" t="str">
        <f t="shared" si="166"/>
        <v/>
      </c>
      <c r="FF96" s="8" t="str">
        <f t="shared" si="166"/>
        <v/>
      </c>
      <c r="FG96" s="8" t="str">
        <f t="shared" si="166"/>
        <v/>
      </c>
      <c r="FH96" s="8" t="str">
        <f t="shared" si="166"/>
        <v/>
      </c>
      <c r="FI96" s="8" t="str">
        <f t="shared" si="166"/>
        <v/>
      </c>
      <c r="FJ96" s="8" t="str">
        <f t="shared" si="166"/>
        <v/>
      </c>
      <c r="FK96" s="8" t="str">
        <f t="shared" si="166"/>
        <v/>
      </c>
      <c r="FL96" s="8" t="str">
        <f t="shared" si="166"/>
        <v/>
      </c>
      <c r="FM96" s="8" t="str">
        <f t="shared" si="166"/>
        <v/>
      </c>
      <c r="FN96" s="8" t="str">
        <f t="shared" si="166"/>
        <v/>
      </c>
      <c r="FO96" s="8" t="str">
        <f t="shared" si="166"/>
        <v/>
      </c>
      <c r="FP96" s="8" t="str">
        <f t="shared" si="166"/>
        <v/>
      </c>
      <c r="FQ96" s="8" t="str">
        <f t="shared" si="166"/>
        <v/>
      </c>
      <c r="FR96" s="8" t="str">
        <f t="shared" si="166"/>
        <v/>
      </c>
      <c r="FS96" s="8" t="str">
        <f t="shared" si="166"/>
        <v/>
      </c>
      <c r="FT96" s="8" t="str">
        <f t="shared" si="166"/>
        <v/>
      </c>
      <c r="FU96" s="8" t="str">
        <f t="shared" si="166"/>
        <v/>
      </c>
      <c r="FV96" s="8" t="str">
        <f t="shared" si="166"/>
        <v/>
      </c>
      <c r="FW96" s="8" t="str">
        <f t="shared" si="166"/>
        <v/>
      </c>
      <c r="FX96" s="8" t="str">
        <f t="shared" si="166"/>
        <v/>
      </c>
      <c r="FY96" s="8" t="str">
        <f t="shared" si="166"/>
        <v/>
      </c>
      <c r="FZ96" s="8" t="str">
        <f t="shared" si="166"/>
        <v/>
      </c>
      <c r="GA96" s="8" t="str">
        <f t="shared" si="166"/>
        <v/>
      </c>
      <c r="GB96" s="8" t="str">
        <f t="shared" si="166"/>
        <v/>
      </c>
      <c r="GC96" s="8" t="str">
        <f t="shared" si="166"/>
        <v/>
      </c>
      <c r="GD96" s="8" t="str">
        <f t="shared" si="166"/>
        <v/>
      </c>
      <c r="GE96" s="8" t="str">
        <f t="shared" si="166"/>
        <v/>
      </c>
      <c r="GF96" s="8" t="str">
        <f t="shared" si="166"/>
        <v/>
      </c>
      <c r="GG96" s="8" t="str">
        <f t="shared" si="166"/>
        <v/>
      </c>
      <c r="GH96" s="8" t="str">
        <f t="shared" si="166"/>
        <v/>
      </c>
      <c r="GI96" s="8" t="str">
        <f t="shared" si="166"/>
        <v/>
      </c>
      <c r="GJ96" s="8" t="str">
        <f t="shared" si="166"/>
        <v/>
      </c>
      <c r="GK96" s="8" t="str">
        <f t="shared" si="166"/>
        <v/>
      </c>
      <c r="GL96" s="8" t="str">
        <f t="shared" si="166"/>
        <v/>
      </c>
      <c r="GM96" s="8" t="str">
        <f t="shared" si="166"/>
        <v/>
      </c>
      <c r="GN96" s="8" t="str">
        <f t="shared" si="166"/>
        <v/>
      </c>
      <c r="GO96" s="8" t="str">
        <f t="shared" si="166"/>
        <v/>
      </c>
      <c r="GP96" s="8" t="str">
        <f t="shared" si="166"/>
        <v/>
      </c>
      <c r="GQ96" s="8" t="str">
        <f t="shared" ref="GQ96:IV96" si="167">IF(OR(GR50 = "", GR$8 &lt; GQ$8), "", IFERROR(GR50/GQ50, ""))</f>
        <v/>
      </c>
      <c r="GR96" s="8" t="str">
        <f t="shared" si="167"/>
        <v/>
      </c>
      <c r="GS96" s="8" t="str">
        <f t="shared" si="167"/>
        <v/>
      </c>
      <c r="GT96" s="8" t="str">
        <f t="shared" si="167"/>
        <v/>
      </c>
      <c r="GU96" s="8" t="str">
        <f t="shared" si="167"/>
        <v/>
      </c>
      <c r="GV96" s="8" t="str">
        <f t="shared" si="167"/>
        <v/>
      </c>
      <c r="GW96" s="8" t="str">
        <f t="shared" si="167"/>
        <v/>
      </c>
      <c r="GX96" s="8" t="str">
        <f t="shared" si="167"/>
        <v/>
      </c>
      <c r="GY96" s="8" t="str">
        <f t="shared" si="167"/>
        <v/>
      </c>
      <c r="GZ96" s="8" t="str">
        <f t="shared" si="167"/>
        <v/>
      </c>
      <c r="HA96" s="8" t="str">
        <f t="shared" si="167"/>
        <v/>
      </c>
      <c r="HB96" s="8" t="str">
        <f t="shared" si="167"/>
        <v/>
      </c>
      <c r="HC96" s="8" t="str">
        <f t="shared" si="167"/>
        <v/>
      </c>
      <c r="HD96" s="8" t="str">
        <f t="shared" si="167"/>
        <v/>
      </c>
      <c r="HE96" s="8" t="str">
        <f t="shared" si="167"/>
        <v/>
      </c>
      <c r="HF96" s="8" t="str">
        <f t="shared" si="167"/>
        <v/>
      </c>
      <c r="HG96" s="8" t="str">
        <f t="shared" si="167"/>
        <v/>
      </c>
      <c r="HH96" s="8" t="str">
        <f t="shared" si="167"/>
        <v/>
      </c>
      <c r="HI96" s="8" t="str">
        <f t="shared" si="167"/>
        <v/>
      </c>
      <c r="HJ96" s="8" t="str">
        <f t="shared" si="167"/>
        <v/>
      </c>
      <c r="HK96" s="8" t="str">
        <f t="shared" si="167"/>
        <v/>
      </c>
      <c r="HL96" s="8" t="str">
        <f t="shared" si="167"/>
        <v/>
      </c>
      <c r="HM96" s="8" t="str">
        <f t="shared" si="167"/>
        <v/>
      </c>
      <c r="HN96" s="8" t="str">
        <f t="shared" si="167"/>
        <v/>
      </c>
      <c r="HO96" s="8" t="str">
        <f t="shared" si="167"/>
        <v/>
      </c>
      <c r="HP96" s="8" t="str">
        <f t="shared" si="167"/>
        <v/>
      </c>
      <c r="HQ96" s="8" t="str">
        <f t="shared" si="167"/>
        <v/>
      </c>
      <c r="HR96" s="8" t="str">
        <f t="shared" si="167"/>
        <v/>
      </c>
      <c r="HS96" s="8" t="str">
        <f t="shared" si="167"/>
        <v/>
      </c>
      <c r="HT96" s="8" t="str">
        <f t="shared" si="167"/>
        <v/>
      </c>
      <c r="HU96" s="8" t="str">
        <f t="shared" si="167"/>
        <v/>
      </c>
      <c r="HV96" s="8" t="str">
        <f t="shared" si="167"/>
        <v/>
      </c>
      <c r="HW96" s="8" t="str">
        <f t="shared" si="167"/>
        <v/>
      </c>
      <c r="HX96" s="8" t="str">
        <f t="shared" si="167"/>
        <v/>
      </c>
      <c r="HY96" s="8" t="str">
        <f t="shared" si="167"/>
        <v/>
      </c>
      <c r="HZ96" s="8" t="str">
        <f t="shared" si="167"/>
        <v/>
      </c>
      <c r="IA96" s="8" t="str">
        <f t="shared" si="167"/>
        <v/>
      </c>
      <c r="IB96" s="8" t="str">
        <f t="shared" si="167"/>
        <v/>
      </c>
      <c r="IC96" s="8" t="str">
        <f t="shared" si="167"/>
        <v/>
      </c>
      <c r="ID96" s="8" t="str">
        <f t="shared" si="167"/>
        <v/>
      </c>
      <c r="IE96" s="8" t="str">
        <f t="shared" si="167"/>
        <v/>
      </c>
      <c r="IF96" s="8" t="str">
        <f t="shared" si="167"/>
        <v/>
      </c>
      <c r="IG96" s="8" t="str">
        <f t="shared" si="167"/>
        <v/>
      </c>
      <c r="IH96" s="8" t="str">
        <f t="shared" si="167"/>
        <v/>
      </c>
      <c r="II96" s="8" t="str">
        <f t="shared" si="167"/>
        <v/>
      </c>
      <c r="IJ96" s="8" t="str">
        <f t="shared" si="167"/>
        <v/>
      </c>
      <c r="IK96" s="8" t="str">
        <f t="shared" si="167"/>
        <v/>
      </c>
      <c r="IL96" s="8" t="str">
        <f t="shared" si="167"/>
        <v/>
      </c>
      <c r="IM96" s="8" t="str">
        <f t="shared" si="167"/>
        <v/>
      </c>
      <c r="IN96" s="8" t="str">
        <f t="shared" si="167"/>
        <v/>
      </c>
      <c r="IO96" s="8" t="str">
        <f t="shared" si="167"/>
        <v/>
      </c>
      <c r="IP96" s="8" t="str">
        <f t="shared" si="167"/>
        <v/>
      </c>
      <c r="IQ96" s="8" t="str">
        <f t="shared" si="167"/>
        <v/>
      </c>
      <c r="IR96" s="8" t="str">
        <f t="shared" si="167"/>
        <v/>
      </c>
      <c r="IS96" s="8" t="str">
        <f t="shared" si="167"/>
        <v/>
      </c>
      <c r="IT96" s="8" t="str">
        <f t="shared" si="167"/>
        <v/>
      </c>
      <c r="IU96" s="8" t="str">
        <f t="shared" si="167"/>
        <v/>
      </c>
      <c r="IV96" s="8" t="str">
        <f t="shared" si="167"/>
        <v/>
      </c>
    </row>
    <row r="99" spans="6:256" x14ac:dyDescent="0.2">
      <c r="F99" s="15" t="s">
        <v>33</v>
      </c>
      <c r="G99" s="3" t="s">
        <v>31</v>
      </c>
      <c r="H99" s="3" t="s">
        <v>31</v>
      </c>
      <c r="I99" s="3" t="s">
        <v>31</v>
      </c>
      <c r="J99" s="3" t="s">
        <v>31</v>
      </c>
      <c r="K99" s="3" t="s">
        <v>31</v>
      </c>
      <c r="L99" s="3" t="s">
        <v>31</v>
      </c>
      <c r="M99" s="3" t="s">
        <v>31</v>
      </c>
      <c r="N99" s="3" t="s">
        <v>31</v>
      </c>
      <c r="O99" s="3" t="s">
        <v>31</v>
      </c>
      <c r="P99" s="3" t="s">
        <v>31</v>
      </c>
      <c r="Q99" s="3" t="s">
        <v>31</v>
      </c>
      <c r="R99" s="3" t="s">
        <v>31</v>
      </c>
      <c r="S99" s="3" t="s">
        <v>31</v>
      </c>
      <c r="T99" s="3" t="s">
        <v>31</v>
      </c>
      <c r="U99" s="3" t="s">
        <v>31</v>
      </c>
      <c r="V99" s="3" t="s">
        <v>31</v>
      </c>
      <c r="W99" s="3" t="s">
        <v>31</v>
      </c>
      <c r="X99" s="3" t="s">
        <v>31</v>
      </c>
      <c r="Y99" s="3" t="s">
        <v>31</v>
      </c>
      <c r="Z99" s="3" t="s">
        <v>31</v>
      </c>
      <c r="AA99" s="3" t="s">
        <v>31</v>
      </c>
      <c r="AB99" s="3" t="s">
        <v>31</v>
      </c>
      <c r="AC99" s="3" t="s">
        <v>31</v>
      </c>
      <c r="AD99" s="3" t="s">
        <v>31</v>
      </c>
      <c r="AE99" s="3" t="s">
        <v>31</v>
      </c>
      <c r="AF99" s="3" t="s">
        <v>31</v>
      </c>
      <c r="AG99" s="3" t="s">
        <v>31</v>
      </c>
      <c r="AH99" s="3" t="s">
        <v>31</v>
      </c>
      <c r="AI99" s="3" t="s">
        <v>31</v>
      </c>
      <c r="AJ99" s="3" t="s">
        <v>31</v>
      </c>
      <c r="AK99" s="3" t="s">
        <v>31</v>
      </c>
      <c r="AL99" s="3" t="s">
        <v>31</v>
      </c>
      <c r="AM99" s="3" t="s">
        <v>31</v>
      </c>
      <c r="AN99" s="3" t="s">
        <v>31</v>
      </c>
      <c r="AO99" s="3" t="s">
        <v>31</v>
      </c>
      <c r="AP99" s="3" t="s">
        <v>31</v>
      </c>
      <c r="AQ99" s="3" t="s">
        <v>31</v>
      </c>
      <c r="AR99" s="3" t="s">
        <v>31</v>
      </c>
      <c r="AS99" s="3" t="s">
        <v>31</v>
      </c>
      <c r="AT99" s="3" t="s">
        <v>31</v>
      </c>
      <c r="AU99" s="3" t="s">
        <v>31</v>
      </c>
      <c r="AV99" s="3" t="s">
        <v>31</v>
      </c>
      <c r="AW99" s="3" t="s">
        <v>31</v>
      </c>
      <c r="AX99" s="3" t="s">
        <v>31</v>
      </c>
      <c r="AY99" s="3" t="s">
        <v>31</v>
      </c>
      <c r="AZ99" s="3" t="s">
        <v>31</v>
      </c>
      <c r="BA99" s="3" t="s">
        <v>31</v>
      </c>
      <c r="BB99" s="3" t="s">
        <v>31</v>
      </c>
      <c r="BC99" s="3" t="s">
        <v>31</v>
      </c>
      <c r="BD99" s="3" t="s">
        <v>31</v>
      </c>
      <c r="BE99" s="3" t="s">
        <v>31</v>
      </c>
      <c r="BF99" s="3" t="s">
        <v>31</v>
      </c>
      <c r="BG99" s="3" t="s">
        <v>31</v>
      </c>
      <c r="BH99" s="3" t="s">
        <v>31</v>
      </c>
      <c r="BI99" s="3" t="s">
        <v>31</v>
      </c>
      <c r="BJ99" s="3" t="s">
        <v>31</v>
      </c>
      <c r="BK99" s="3" t="s">
        <v>31</v>
      </c>
      <c r="BL99" s="3" t="s">
        <v>31</v>
      </c>
      <c r="BM99" s="3" t="s">
        <v>31</v>
      </c>
      <c r="BN99" s="3" t="s">
        <v>31</v>
      </c>
      <c r="BO99" s="3" t="s">
        <v>31</v>
      </c>
      <c r="BP99" s="3" t="s">
        <v>31</v>
      </c>
      <c r="BQ99" s="3" t="s">
        <v>31</v>
      </c>
      <c r="BR99" s="3" t="s">
        <v>31</v>
      </c>
      <c r="BS99" s="3" t="s">
        <v>31</v>
      </c>
      <c r="BT99" s="3" t="s">
        <v>31</v>
      </c>
      <c r="BU99" s="3" t="s">
        <v>31</v>
      </c>
      <c r="BV99" s="3" t="s">
        <v>31</v>
      </c>
      <c r="BW99" s="3" t="s">
        <v>31</v>
      </c>
      <c r="BX99" s="3" t="s">
        <v>31</v>
      </c>
      <c r="BY99" s="3" t="s">
        <v>31</v>
      </c>
      <c r="BZ99" s="3" t="s">
        <v>31</v>
      </c>
      <c r="CA99" s="3" t="s">
        <v>31</v>
      </c>
      <c r="CB99" s="3" t="s">
        <v>31</v>
      </c>
      <c r="CC99" s="3" t="s">
        <v>31</v>
      </c>
      <c r="CD99" s="3" t="s">
        <v>31</v>
      </c>
      <c r="CE99" s="3" t="s">
        <v>31</v>
      </c>
      <c r="CF99" s="3" t="s">
        <v>31</v>
      </c>
      <c r="CG99" s="3" t="s">
        <v>31</v>
      </c>
      <c r="CH99" s="3" t="s">
        <v>31</v>
      </c>
      <c r="CI99" s="3" t="s">
        <v>31</v>
      </c>
      <c r="CJ99" s="3" t="s">
        <v>31</v>
      </c>
      <c r="CK99" s="3" t="s">
        <v>31</v>
      </c>
      <c r="CL99" s="3" t="s">
        <v>31</v>
      </c>
      <c r="CM99" s="3" t="s">
        <v>31</v>
      </c>
      <c r="CN99" s="3" t="s">
        <v>31</v>
      </c>
      <c r="CO99" s="3" t="s">
        <v>31</v>
      </c>
      <c r="CP99" s="3" t="s">
        <v>31</v>
      </c>
      <c r="CQ99" s="3" t="s">
        <v>31</v>
      </c>
      <c r="CR99" s="3" t="s">
        <v>31</v>
      </c>
      <c r="CS99" s="3" t="s">
        <v>31</v>
      </c>
      <c r="CT99" s="3" t="s">
        <v>31</v>
      </c>
      <c r="CU99" s="3" t="s">
        <v>31</v>
      </c>
      <c r="CV99" s="3" t="s">
        <v>31</v>
      </c>
      <c r="CW99" s="3" t="s">
        <v>31</v>
      </c>
      <c r="CX99" s="3" t="s">
        <v>31</v>
      </c>
      <c r="CY99" s="3" t="s">
        <v>31</v>
      </c>
      <c r="CZ99" s="3" t="s">
        <v>31</v>
      </c>
      <c r="DA99" s="3" t="s">
        <v>31</v>
      </c>
      <c r="DB99" s="3" t="s">
        <v>31</v>
      </c>
      <c r="DC99" s="3" t="s">
        <v>31</v>
      </c>
      <c r="DD99" s="3" t="s">
        <v>31</v>
      </c>
      <c r="DE99" s="3" t="s">
        <v>31</v>
      </c>
      <c r="DF99" s="3" t="s">
        <v>31</v>
      </c>
      <c r="DG99" s="3" t="s">
        <v>31</v>
      </c>
      <c r="DH99" s="3" t="s">
        <v>31</v>
      </c>
      <c r="DI99" s="3" t="s">
        <v>31</v>
      </c>
      <c r="DJ99" s="3" t="s">
        <v>31</v>
      </c>
      <c r="DK99" s="3" t="s">
        <v>31</v>
      </c>
      <c r="DL99" s="3" t="s">
        <v>31</v>
      </c>
      <c r="DM99" s="3" t="s">
        <v>31</v>
      </c>
      <c r="DN99" s="3" t="s">
        <v>31</v>
      </c>
      <c r="DO99" s="3" t="s">
        <v>31</v>
      </c>
      <c r="DP99" s="3" t="s">
        <v>31</v>
      </c>
      <c r="DQ99" s="3" t="s">
        <v>31</v>
      </c>
      <c r="DR99" s="3" t="s">
        <v>31</v>
      </c>
      <c r="DS99" s="3" t="s">
        <v>31</v>
      </c>
      <c r="DT99" s="3" t="s">
        <v>31</v>
      </c>
      <c r="DU99" s="3" t="s">
        <v>31</v>
      </c>
      <c r="DV99" s="3" t="s">
        <v>31</v>
      </c>
      <c r="DW99" s="3" t="s">
        <v>31</v>
      </c>
      <c r="DX99" s="3" t="s">
        <v>31</v>
      </c>
      <c r="DY99" s="3" t="s">
        <v>31</v>
      </c>
      <c r="DZ99" s="3" t="s">
        <v>31</v>
      </c>
      <c r="EA99" s="3" t="s">
        <v>31</v>
      </c>
      <c r="EB99" s="4" t="s">
        <v>32</v>
      </c>
      <c r="EC99" s="4" t="s">
        <v>32</v>
      </c>
      <c r="ED99" s="4" t="s">
        <v>32</v>
      </c>
      <c r="EE99" s="4" t="s">
        <v>32</v>
      </c>
      <c r="EF99" s="4" t="s">
        <v>32</v>
      </c>
      <c r="EG99" s="4" t="s">
        <v>32</v>
      </c>
      <c r="EH99" s="4" t="s">
        <v>32</v>
      </c>
      <c r="EI99" s="4" t="s">
        <v>32</v>
      </c>
      <c r="EJ99" s="4" t="s">
        <v>32</v>
      </c>
      <c r="EK99" s="4" t="s">
        <v>32</v>
      </c>
      <c r="EL99" s="4" t="s">
        <v>32</v>
      </c>
      <c r="EM99" s="4" t="s">
        <v>32</v>
      </c>
      <c r="EN99" s="4" t="s">
        <v>32</v>
      </c>
      <c r="EO99" s="4" t="s">
        <v>32</v>
      </c>
      <c r="EP99" s="4" t="s">
        <v>32</v>
      </c>
      <c r="EQ99" s="4" t="s">
        <v>32</v>
      </c>
      <c r="ER99" s="4" t="s">
        <v>32</v>
      </c>
      <c r="ES99" s="4" t="s">
        <v>32</v>
      </c>
      <c r="ET99" s="4" t="s">
        <v>32</v>
      </c>
      <c r="EU99" s="4" t="s">
        <v>32</v>
      </c>
      <c r="EV99" s="4" t="s">
        <v>32</v>
      </c>
      <c r="EW99" s="4" t="s">
        <v>32</v>
      </c>
      <c r="EX99" s="4" t="s">
        <v>32</v>
      </c>
      <c r="EY99" s="4" t="s">
        <v>32</v>
      </c>
      <c r="EZ99" s="4" t="s">
        <v>32</v>
      </c>
      <c r="FA99" s="4" t="s">
        <v>32</v>
      </c>
      <c r="FB99" s="4" t="s">
        <v>32</v>
      </c>
      <c r="FC99" s="4" t="s">
        <v>32</v>
      </c>
      <c r="FD99" s="4" t="s">
        <v>32</v>
      </c>
      <c r="FE99" s="4" t="s">
        <v>32</v>
      </c>
      <c r="FF99" s="4" t="s">
        <v>32</v>
      </c>
      <c r="FG99" s="4" t="s">
        <v>32</v>
      </c>
      <c r="FH99" s="4" t="s">
        <v>32</v>
      </c>
      <c r="FI99" s="4" t="s">
        <v>32</v>
      </c>
      <c r="FJ99" s="4" t="s">
        <v>32</v>
      </c>
      <c r="FK99" s="4" t="s">
        <v>32</v>
      </c>
      <c r="FL99" s="4" t="s">
        <v>32</v>
      </c>
      <c r="FM99" s="4" t="s">
        <v>32</v>
      </c>
      <c r="FN99" s="4" t="s">
        <v>32</v>
      </c>
      <c r="FO99" s="4" t="s">
        <v>32</v>
      </c>
      <c r="FP99" s="4" t="s">
        <v>32</v>
      </c>
      <c r="FQ99" s="4" t="s">
        <v>32</v>
      </c>
      <c r="FR99" s="4" t="s">
        <v>32</v>
      </c>
      <c r="FS99" s="4" t="s">
        <v>32</v>
      </c>
      <c r="FT99" s="4" t="s">
        <v>32</v>
      </c>
      <c r="FU99" s="4" t="s">
        <v>32</v>
      </c>
      <c r="FV99" s="4" t="s">
        <v>32</v>
      </c>
      <c r="FW99" s="4" t="s">
        <v>32</v>
      </c>
      <c r="FX99" s="4" t="s">
        <v>32</v>
      </c>
      <c r="FY99" s="4" t="s">
        <v>32</v>
      </c>
      <c r="FZ99" s="4" t="s">
        <v>32</v>
      </c>
      <c r="GA99" s="4" t="s">
        <v>32</v>
      </c>
      <c r="GB99" s="4" t="s">
        <v>32</v>
      </c>
      <c r="GC99" s="4" t="s">
        <v>32</v>
      </c>
      <c r="GD99" s="4" t="s">
        <v>32</v>
      </c>
      <c r="GE99" s="4" t="s">
        <v>32</v>
      </c>
      <c r="GF99" s="4" t="s">
        <v>32</v>
      </c>
      <c r="GG99" s="4" t="s">
        <v>32</v>
      </c>
      <c r="GH99" s="4" t="s">
        <v>32</v>
      </c>
      <c r="GI99" s="4" t="s">
        <v>32</v>
      </c>
      <c r="GJ99" s="4" t="s">
        <v>32</v>
      </c>
      <c r="GK99" s="4" t="s">
        <v>32</v>
      </c>
      <c r="GL99" s="4" t="s">
        <v>32</v>
      </c>
      <c r="GM99" s="4" t="s">
        <v>32</v>
      </c>
      <c r="GN99" s="4" t="s">
        <v>32</v>
      </c>
      <c r="GO99" s="4" t="s">
        <v>32</v>
      </c>
      <c r="GP99" s="4" t="s">
        <v>32</v>
      </c>
      <c r="GQ99" s="4" t="s">
        <v>32</v>
      </c>
      <c r="GR99" s="4" t="s">
        <v>32</v>
      </c>
      <c r="GS99" s="4" t="s">
        <v>32</v>
      </c>
      <c r="GT99" s="4" t="s">
        <v>32</v>
      </c>
      <c r="GU99" s="4" t="s">
        <v>32</v>
      </c>
      <c r="GV99" s="4" t="s">
        <v>32</v>
      </c>
      <c r="GW99" s="4" t="s">
        <v>32</v>
      </c>
      <c r="GX99" s="4" t="s">
        <v>32</v>
      </c>
      <c r="GY99" s="4" t="s">
        <v>32</v>
      </c>
      <c r="GZ99" s="4" t="s">
        <v>32</v>
      </c>
      <c r="HA99" s="4" t="s">
        <v>32</v>
      </c>
      <c r="HB99" s="4" t="s">
        <v>32</v>
      </c>
      <c r="HC99" s="4" t="s">
        <v>32</v>
      </c>
      <c r="HD99" s="4" t="s">
        <v>32</v>
      </c>
      <c r="HE99" s="4" t="s">
        <v>32</v>
      </c>
      <c r="HF99" s="4" t="s">
        <v>32</v>
      </c>
      <c r="HG99" s="4" t="s">
        <v>32</v>
      </c>
      <c r="HH99" s="4" t="s">
        <v>32</v>
      </c>
      <c r="HI99" s="4" t="s">
        <v>32</v>
      </c>
      <c r="HJ99" s="4" t="s">
        <v>32</v>
      </c>
      <c r="HK99" s="4" t="s">
        <v>32</v>
      </c>
      <c r="HL99" s="4" t="s">
        <v>32</v>
      </c>
      <c r="HM99" s="4" t="s">
        <v>32</v>
      </c>
      <c r="HN99" s="4" t="s">
        <v>32</v>
      </c>
      <c r="HO99" s="4" t="s">
        <v>32</v>
      </c>
      <c r="HP99" s="4" t="s">
        <v>32</v>
      </c>
      <c r="HQ99" s="4" t="s">
        <v>32</v>
      </c>
      <c r="HR99" s="4" t="s">
        <v>32</v>
      </c>
      <c r="HS99" s="4" t="s">
        <v>32</v>
      </c>
      <c r="HT99" s="4" t="s">
        <v>32</v>
      </c>
      <c r="HU99" s="4" t="s">
        <v>32</v>
      </c>
      <c r="HV99" s="4" t="s">
        <v>32</v>
      </c>
      <c r="HW99" s="4" t="s">
        <v>32</v>
      </c>
      <c r="HX99" s="4" t="s">
        <v>32</v>
      </c>
      <c r="HY99" s="4" t="s">
        <v>32</v>
      </c>
      <c r="HZ99" s="4" t="s">
        <v>32</v>
      </c>
      <c r="IA99" s="4" t="s">
        <v>32</v>
      </c>
      <c r="IB99" s="4" t="s">
        <v>32</v>
      </c>
      <c r="IC99" s="4" t="s">
        <v>32</v>
      </c>
      <c r="ID99" s="4" t="s">
        <v>32</v>
      </c>
      <c r="IE99" s="4" t="s">
        <v>32</v>
      </c>
      <c r="IF99" s="4" t="s">
        <v>32</v>
      </c>
      <c r="IG99" s="4" t="s">
        <v>32</v>
      </c>
      <c r="IH99" s="4" t="s">
        <v>32</v>
      </c>
      <c r="II99" s="4" t="s">
        <v>32</v>
      </c>
      <c r="IJ99" s="4" t="s">
        <v>32</v>
      </c>
      <c r="IK99" s="4" t="s">
        <v>32</v>
      </c>
      <c r="IL99" s="4" t="s">
        <v>32</v>
      </c>
      <c r="IM99" s="4" t="s">
        <v>32</v>
      </c>
      <c r="IN99" s="4" t="s">
        <v>32</v>
      </c>
      <c r="IO99" s="4" t="s">
        <v>32</v>
      </c>
      <c r="IP99" s="4" t="s">
        <v>32</v>
      </c>
      <c r="IQ99" s="4" t="s">
        <v>32</v>
      </c>
      <c r="IR99" s="4" t="s">
        <v>32</v>
      </c>
      <c r="IS99" s="4" t="s">
        <v>32</v>
      </c>
      <c r="IT99" s="4" t="s">
        <v>32</v>
      </c>
      <c r="IU99" s="4" t="s">
        <v>32</v>
      </c>
      <c r="IV99" s="4" t="s">
        <v>32</v>
      </c>
    </row>
    <row r="100" spans="6:256" x14ac:dyDescent="0.2">
      <c r="F100" s="15" t="s">
        <v>30</v>
      </c>
      <c r="G100" s="3">
        <v>1</v>
      </c>
      <c r="H100" s="3">
        <v>2</v>
      </c>
      <c r="I100" s="3">
        <v>3</v>
      </c>
      <c r="J100" s="3">
        <v>4</v>
      </c>
      <c r="K100" s="3">
        <v>5</v>
      </c>
      <c r="L100" s="3">
        <v>6</v>
      </c>
      <c r="M100" s="3">
        <v>7</v>
      </c>
      <c r="N100" s="3">
        <v>8</v>
      </c>
      <c r="O100" s="3">
        <v>9</v>
      </c>
      <c r="P100" s="3">
        <v>10</v>
      </c>
      <c r="Q100" s="3">
        <v>11</v>
      </c>
      <c r="R100" s="3">
        <v>12</v>
      </c>
      <c r="S100" s="3">
        <v>13</v>
      </c>
      <c r="T100" s="3">
        <v>14</v>
      </c>
      <c r="U100" s="3">
        <v>15</v>
      </c>
      <c r="V100" s="3">
        <v>16</v>
      </c>
      <c r="W100" s="3">
        <v>17</v>
      </c>
      <c r="X100" s="3">
        <v>18</v>
      </c>
      <c r="Y100" s="3">
        <v>19</v>
      </c>
      <c r="Z100" s="3">
        <v>20</v>
      </c>
      <c r="AA100" s="3">
        <v>21</v>
      </c>
      <c r="AB100" s="3">
        <v>22</v>
      </c>
      <c r="AC100" s="3">
        <v>23</v>
      </c>
      <c r="AD100" s="3">
        <v>24</v>
      </c>
      <c r="AE100" s="3">
        <v>25</v>
      </c>
      <c r="AF100" s="3">
        <v>26</v>
      </c>
      <c r="AG100" s="3">
        <v>27</v>
      </c>
      <c r="AH100" s="3">
        <v>28</v>
      </c>
      <c r="AI100" s="3">
        <v>29</v>
      </c>
      <c r="AJ100" s="3">
        <v>30</v>
      </c>
      <c r="AK100" s="3">
        <v>31</v>
      </c>
      <c r="AL100" s="3">
        <v>32</v>
      </c>
      <c r="AM100" s="3">
        <v>33</v>
      </c>
      <c r="AN100" s="3">
        <v>34</v>
      </c>
      <c r="AO100" s="3">
        <v>35</v>
      </c>
      <c r="AP100" s="3">
        <v>36</v>
      </c>
      <c r="AQ100" s="3">
        <v>37</v>
      </c>
      <c r="AR100" s="3">
        <v>38</v>
      </c>
      <c r="AS100" s="3">
        <v>39</v>
      </c>
      <c r="AT100" s="3">
        <v>40</v>
      </c>
      <c r="AU100" s="3">
        <v>41</v>
      </c>
      <c r="AV100" s="3">
        <v>42</v>
      </c>
      <c r="AW100" s="3">
        <v>43</v>
      </c>
      <c r="AX100" s="3">
        <v>44</v>
      </c>
      <c r="AY100" s="3">
        <v>45</v>
      </c>
      <c r="AZ100" s="3">
        <v>46</v>
      </c>
      <c r="BA100" s="3">
        <v>47</v>
      </c>
      <c r="BB100" s="3">
        <v>48</v>
      </c>
      <c r="BC100" s="3">
        <v>49</v>
      </c>
      <c r="BD100" s="3">
        <v>50</v>
      </c>
      <c r="BE100" s="3">
        <v>51</v>
      </c>
      <c r="BF100" s="3">
        <v>52</v>
      </c>
      <c r="BG100" s="3">
        <v>53</v>
      </c>
      <c r="BH100" s="3">
        <v>54</v>
      </c>
      <c r="BI100" s="3">
        <v>55</v>
      </c>
      <c r="BJ100" s="3">
        <v>56</v>
      </c>
      <c r="BK100" s="3">
        <v>57</v>
      </c>
      <c r="BL100" s="3">
        <v>58</v>
      </c>
      <c r="BM100" s="3">
        <v>59</v>
      </c>
      <c r="BN100" s="3">
        <v>60</v>
      </c>
      <c r="BO100" s="3">
        <v>61</v>
      </c>
      <c r="BP100" s="3">
        <v>62</v>
      </c>
      <c r="BQ100" s="3">
        <v>63</v>
      </c>
      <c r="BR100" s="3">
        <v>64</v>
      </c>
      <c r="BS100" s="3">
        <v>65</v>
      </c>
      <c r="BT100" s="3">
        <v>66</v>
      </c>
      <c r="BU100" s="3">
        <v>67</v>
      </c>
      <c r="BV100" s="3">
        <v>68</v>
      </c>
      <c r="BW100" s="3">
        <v>69</v>
      </c>
      <c r="BX100" s="3">
        <v>70</v>
      </c>
      <c r="BY100" s="3">
        <v>71</v>
      </c>
      <c r="BZ100" s="3">
        <v>72</v>
      </c>
      <c r="CA100" s="3">
        <v>73</v>
      </c>
      <c r="CB100" s="3">
        <v>74</v>
      </c>
      <c r="CC100" s="3">
        <v>75</v>
      </c>
      <c r="CD100" s="3">
        <v>76</v>
      </c>
      <c r="CE100" s="3">
        <v>77</v>
      </c>
      <c r="CF100" s="3">
        <v>78</v>
      </c>
      <c r="CG100" s="3">
        <v>79</v>
      </c>
      <c r="CH100" s="3">
        <v>80</v>
      </c>
      <c r="CI100" s="3">
        <v>81</v>
      </c>
      <c r="CJ100" s="3">
        <v>82</v>
      </c>
      <c r="CK100" s="3">
        <v>83</v>
      </c>
      <c r="CL100" s="3">
        <v>84</v>
      </c>
      <c r="CM100" s="3">
        <v>85</v>
      </c>
      <c r="CN100" s="3">
        <v>86</v>
      </c>
      <c r="CO100" s="3">
        <v>87</v>
      </c>
      <c r="CP100" s="3">
        <v>88</v>
      </c>
      <c r="CQ100" s="3">
        <v>89</v>
      </c>
      <c r="CR100" s="3">
        <v>90</v>
      </c>
      <c r="CS100" s="3">
        <v>91</v>
      </c>
      <c r="CT100" s="3">
        <v>92</v>
      </c>
      <c r="CU100" s="3">
        <v>93</v>
      </c>
      <c r="CV100" s="3">
        <v>94</v>
      </c>
      <c r="CW100" s="3">
        <v>95</v>
      </c>
      <c r="CX100" s="3">
        <v>96</v>
      </c>
      <c r="CY100" s="3">
        <v>97</v>
      </c>
      <c r="CZ100" s="3">
        <v>98</v>
      </c>
      <c r="DA100" s="3">
        <v>99</v>
      </c>
      <c r="DB100" s="3">
        <v>100</v>
      </c>
      <c r="DC100" s="3">
        <v>101</v>
      </c>
      <c r="DD100" s="3">
        <v>102</v>
      </c>
      <c r="DE100" s="3">
        <v>103</v>
      </c>
      <c r="DF100" s="3">
        <v>104</v>
      </c>
      <c r="DG100" s="3">
        <v>105</v>
      </c>
      <c r="DH100" s="3">
        <v>106</v>
      </c>
      <c r="DI100" s="3">
        <v>107</v>
      </c>
      <c r="DJ100" s="3">
        <v>108</v>
      </c>
      <c r="DK100" s="3">
        <v>109</v>
      </c>
      <c r="DL100" s="3">
        <v>110</v>
      </c>
      <c r="DM100" s="3">
        <v>111</v>
      </c>
      <c r="DN100" s="3">
        <v>112</v>
      </c>
      <c r="DO100" s="3">
        <v>113</v>
      </c>
      <c r="DP100" s="3">
        <v>114</v>
      </c>
      <c r="DQ100" s="3">
        <v>115</v>
      </c>
      <c r="DR100" s="3">
        <v>116</v>
      </c>
      <c r="DS100" s="3">
        <v>117</v>
      </c>
      <c r="DT100" s="3">
        <v>118</v>
      </c>
      <c r="DU100" s="3">
        <v>119</v>
      </c>
      <c r="DV100" s="3">
        <v>120</v>
      </c>
      <c r="DW100" s="3">
        <v>121</v>
      </c>
      <c r="DX100" s="3">
        <v>122</v>
      </c>
      <c r="DY100" s="3">
        <v>123</v>
      </c>
      <c r="DZ100" s="3">
        <v>124</v>
      </c>
      <c r="EA100" s="3">
        <v>125</v>
      </c>
      <c r="EB100" s="4">
        <v>1</v>
      </c>
      <c r="EC100" s="4">
        <v>2</v>
      </c>
      <c r="ED100" s="4">
        <v>3</v>
      </c>
      <c r="EE100" s="4">
        <v>4</v>
      </c>
      <c r="EF100" s="4">
        <v>5</v>
      </c>
      <c r="EG100" s="4">
        <v>6</v>
      </c>
      <c r="EH100" s="4">
        <v>7</v>
      </c>
      <c r="EI100" s="4">
        <v>8</v>
      </c>
      <c r="EJ100" s="4">
        <v>9</v>
      </c>
      <c r="EK100" s="4">
        <v>10</v>
      </c>
      <c r="EL100" s="4">
        <v>11</v>
      </c>
      <c r="EM100" s="4">
        <v>12</v>
      </c>
      <c r="EN100" s="4">
        <v>13</v>
      </c>
      <c r="EO100" s="4">
        <v>14</v>
      </c>
      <c r="EP100" s="4">
        <v>15</v>
      </c>
      <c r="EQ100" s="4">
        <v>16</v>
      </c>
      <c r="ER100" s="4">
        <v>17</v>
      </c>
      <c r="ES100" s="4">
        <v>18</v>
      </c>
      <c r="ET100" s="4">
        <v>19</v>
      </c>
      <c r="EU100" s="4">
        <v>20</v>
      </c>
      <c r="EV100" s="4">
        <v>21</v>
      </c>
      <c r="EW100" s="4">
        <v>22</v>
      </c>
      <c r="EX100" s="4">
        <v>23</v>
      </c>
      <c r="EY100" s="4">
        <v>24</v>
      </c>
      <c r="EZ100" s="4">
        <v>25</v>
      </c>
      <c r="FA100" s="4">
        <v>26</v>
      </c>
      <c r="FB100" s="4">
        <v>27</v>
      </c>
      <c r="FC100" s="4">
        <v>28</v>
      </c>
      <c r="FD100" s="4">
        <v>29</v>
      </c>
      <c r="FE100" s="4">
        <v>30</v>
      </c>
      <c r="FF100" s="4">
        <v>31</v>
      </c>
      <c r="FG100" s="4">
        <v>32</v>
      </c>
      <c r="FH100" s="4">
        <v>33</v>
      </c>
      <c r="FI100" s="4">
        <v>34</v>
      </c>
      <c r="FJ100" s="4">
        <v>35</v>
      </c>
      <c r="FK100" s="4">
        <v>36</v>
      </c>
      <c r="FL100" s="4">
        <v>37</v>
      </c>
      <c r="FM100" s="4">
        <v>38</v>
      </c>
      <c r="FN100" s="4">
        <v>39</v>
      </c>
      <c r="FO100" s="4">
        <v>40</v>
      </c>
      <c r="FP100" s="4">
        <v>41</v>
      </c>
      <c r="FQ100" s="4">
        <v>42</v>
      </c>
      <c r="FR100" s="4">
        <v>43</v>
      </c>
      <c r="FS100" s="4">
        <v>44</v>
      </c>
      <c r="FT100" s="4">
        <v>45</v>
      </c>
      <c r="FU100" s="4">
        <v>46</v>
      </c>
      <c r="FV100" s="4">
        <v>47</v>
      </c>
      <c r="FW100" s="4">
        <v>48</v>
      </c>
      <c r="FX100" s="4">
        <v>49</v>
      </c>
      <c r="FY100" s="4">
        <v>50</v>
      </c>
      <c r="FZ100" s="4">
        <v>51</v>
      </c>
      <c r="GA100" s="4">
        <v>52</v>
      </c>
      <c r="GB100" s="4">
        <v>53</v>
      </c>
      <c r="GC100" s="4">
        <v>54</v>
      </c>
      <c r="GD100" s="4">
        <v>55</v>
      </c>
      <c r="GE100" s="4">
        <v>56</v>
      </c>
      <c r="GF100" s="4">
        <v>57</v>
      </c>
      <c r="GG100" s="4">
        <v>58</v>
      </c>
      <c r="GH100" s="4">
        <v>59</v>
      </c>
      <c r="GI100" s="4">
        <v>60</v>
      </c>
      <c r="GJ100" s="4">
        <v>61</v>
      </c>
      <c r="GK100" s="4">
        <v>62</v>
      </c>
      <c r="GL100" s="4">
        <v>63</v>
      </c>
      <c r="GM100" s="4">
        <v>64</v>
      </c>
      <c r="GN100" s="4">
        <v>65</v>
      </c>
      <c r="GO100" s="4">
        <v>66</v>
      </c>
      <c r="GP100" s="4">
        <v>67</v>
      </c>
      <c r="GQ100" s="4">
        <v>68</v>
      </c>
      <c r="GR100" s="4">
        <v>69</v>
      </c>
      <c r="GS100" s="4">
        <v>70</v>
      </c>
      <c r="GT100" s="4">
        <v>71</v>
      </c>
      <c r="GU100" s="4">
        <v>72</v>
      </c>
      <c r="GV100" s="4">
        <v>73</v>
      </c>
      <c r="GW100" s="4">
        <v>74</v>
      </c>
      <c r="GX100" s="4">
        <v>75</v>
      </c>
      <c r="GY100" s="4">
        <v>76</v>
      </c>
      <c r="GZ100" s="4">
        <v>77</v>
      </c>
      <c r="HA100" s="4">
        <v>78</v>
      </c>
      <c r="HB100" s="4">
        <v>79</v>
      </c>
      <c r="HC100" s="4">
        <v>80</v>
      </c>
      <c r="HD100" s="4">
        <v>81</v>
      </c>
      <c r="HE100" s="4">
        <v>82</v>
      </c>
      <c r="HF100" s="4">
        <v>83</v>
      </c>
      <c r="HG100" s="4">
        <v>84</v>
      </c>
      <c r="HH100" s="4">
        <v>85</v>
      </c>
      <c r="HI100" s="4">
        <v>86</v>
      </c>
      <c r="HJ100" s="4">
        <v>87</v>
      </c>
      <c r="HK100" s="4">
        <v>88</v>
      </c>
      <c r="HL100" s="4">
        <v>89</v>
      </c>
      <c r="HM100" s="4">
        <v>90</v>
      </c>
      <c r="HN100" s="4">
        <v>91</v>
      </c>
      <c r="HO100" s="4">
        <v>92</v>
      </c>
      <c r="HP100" s="4">
        <v>93</v>
      </c>
      <c r="HQ100" s="4">
        <v>94</v>
      </c>
      <c r="HR100" s="4">
        <v>95</v>
      </c>
      <c r="HS100" s="4">
        <v>96</v>
      </c>
      <c r="HT100" s="4">
        <v>97</v>
      </c>
      <c r="HU100" s="4">
        <v>98</v>
      </c>
      <c r="HV100" s="4">
        <v>99</v>
      </c>
      <c r="HW100" s="4">
        <v>100</v>
      </c>
      <c r="HX100" s="4">
        <v>101</v>
      </c>
      <c r="HY100" s="4">
        <v>102</v>
      </c>
      <c r="HZ100" s="4">
        <v>103</v>
      </c>
      <c r="IA100" s="4">
        <v>104</v>
      </c>
      <c r="IB100" s="4">
        <v>105</v>
      </c>
      <c r="IC100" s="4">
        <v>106</v>
      </c>
      <c r="ID100" s="4">
        <v>107</v>
      </c>
      <c r="IE100" s="4">
        <v>108</v>
      </c>
      <c r="IF100" s="4">
        <v>109</v>
      </c>
      <c r="IG100" s="4">
        <v>110</v>
      </c>
      <c r="IH100" s="4">
        <v>111</v>
      </c>
      <c r="II100" s="4">
        <v>112</v>
      </c>
      <c r="IJ100" s="4">
        <v>113</v>
      </c>
      <c r="IK100" s="4">
        <v>114</v>
      </c>
      <c r="IL100" s="4">
        <v>115</v>
      </c>
      <c r="IM100" s="4">
        <v>116</v>
      </c>
      <c r="IN100" s="4">
        <v>117</v>
      </c>
      <c r="IO100" s="4">
        <v>118</v>
      </c>
      <c r="IP100" s="4">
        <v>119</v>
      </c>
      <c r="IQ100" s="4">
        <v>120</v>
      </c>
      <c r="IR100" s="4">
        <v>121</v>
      </c>
      <c r="IS100" s="4">
        <v>122</v>
      </c>
      <c r="IT100" s="4">
        <v>123</v>
      </c>
      <c r="IU100" s="4">
        <v>124</v>
      </c>
      <c r="IV100" s="4">
        <v>125</v>
      </c>
    </row>
    <row r="101" spans="6:256" x14ac:dyDescent="0.2">
      <c r="F101">
        <v>201403</v>
      </c>
      <c r="G101" s="9">
        <f t="shared" ref="G101:BR101" si="168">IF(OR(H9 = "", H$8 &lt; G$8), "", 1)</f>
        <v>1</v>
      </c>
      <c r="H101" s="9">
        <f t="shared" si="168"/>
        <v>1</v>
      </c>
      <c r="I101" s="9">
        <f t="shared" si="168"/>
        <v>1</v>
      </c>
      <c r="J101" s="9">
        <f t="shared" si="168"/>
        <v>1</v>
      </c>
      <c r="K101" s="9">
        <f t="shared" si="168"/>
        <v>1</v>
      </c>
      <c r="L101" s="9">
        <f t="shared" si="168"/>
        <v>1</v>
      </c>
      <c r="M101" s="9">
        <f t="shared" si="168"/>
        <v>1</v>
      </c>
      <c r="N101" s="9">
        <f t="shared" si="168"/>
        <v>1</v>
      </c>
      <c r="O101" s="9">
        <f t="shared" si="168"/>
        <v>1</v>
      </c>
      <c r="P101" s="9">
        <f t="shared" si="168"/>
        <v>1</v>
      </c>
      <c r="Q101" s="9">
        <f t="shared" si="168"/>
        <v>1</v>
      </c>
      <c r="R101" s="9">
        <f t="shared" si="168"/>
        <v>1</v>
      </c>
      <c r="S101" s="9">
        <f t="shared" si="168"/>
        <v>1</v>
      </c>
      <c r="T101" s="9">
        <f t="shared" si="168"/>
        <v>1</v>
      </c>
      <c r="U101" s="9">
        <f t="shared" si="168"/>
        <v>1</v>
      </c>
      <c r="V101" s="9">
        <f t="shared" si="168"/>
        <v>1</v>
      </c>
      <c r="W101" s="9">
        <f t="shared" si="168"/>
        <v>1</v>
      </c>
      <c r="X101" s="9">
        <f t="shared" si="168"/>
        <v>1</v>
      </c>
      <c r="Y101" s="9">
        <f t="shared" si="168"/>
        <v>1</v>
      </c>
      <c r="Z101" s="9">
        <f t="shared" si="168"/>
        <v>1</v>
      </c>
      <c r="AA101" s="9">
        <f t="shared" si="168"/>
        <v>1</v>
      </c>
      <c r="AB101" s="9">
        <f t="shared" si="168"/>
        <v>1</v>
      </c>
      <c r="AC101" s="9">
        <f t="shared" si="168"/>
        <v>1</v>
      </c>
      <c r="AD101" s="9">
        <f t="shared" si="168"/>
        <v>1</v>
      </c>
      <c r="AE101" s="9">
        <f t="shared" si="168"/>
        <v>1</v>
      </c>
      <c r="AF101" s="9">
        <f t="shared" si="168"/>
        <v>1</v>
      </c>
      <c r="AG101" s="9">
        <f t="shared" si="168"/>
        <v>1</v>
      </c>
      <c r="AH101" s="9">
        <f t="shared" si="168"/>
        <v>1</v>
      </c>
      <c r="AI101" s="9">
        <f t="shared" si="168"/>
        <v>1</v>
      </c>
      <c r="AJ101" s="9">
        <f t="shared" si="168"/>
        <v>1</v>
      </c>
      <c r="AK101" s="9">
        <f t="shared" si="168"/>
        <v>1</v>
      </c>
      <c r="AL101" s="9">
        <f t="shared" si="168"/>
        <v>1</v>
      </c>
      <c r="AM101" s="9">
        <f t="shared" si="168"/>
        <v>1</v>
      </c>
      <c r="AN101" s="9">
        <f t="shared" si="168"/>
        <v>1</v>
      </c>
      <c r="AO101" s="9">
        <f t="shared" si="168"/>
        <v>1</v>
      </c>
      <c r="AP101" s="9">
        <f t="shared" si="168"/>
        <v>1</v>
      </c>
      <c r="AQ101" s="9">
        <f t="shared" si="168"/>
        <v>1</v>
      </c>
      <c r="AR101" s="9">
        <f t="shared" si="168"/>
        <v>1</v>
      </c>
      <c r="AS101" s="9">
        <f t="shared" si="168"/>
        <v>1</v>
      </c>
      <c r="AT101" s="9">
        <f t="shared" si="168"/>
        <v>1</v>
      </c>
      <c r="AU101" s="9">
        <f t="shared" si="168"/>
        <v>1</v>
      </c>
      <c r="AV101" s="9">
        <f t="shared" si="168"/>
        <v>1</v>
      </c>
      <c r="AW101" s="9">
        <f t="shared" si="168"/>
        <v>1</v>
      </c>
      <c r="AX101" s="9">
        <f t="shared" si="168"/>
        <v>1</v>
      </c>
      <c r="AY101" s="9">
        <f t="shared" si="168"/>
        <v>1</v>
      </c>
      <c r="AZ101" s="9">
        <f t="shared" si="168"/>
        <v>1</v>
      </c>
      <c r="BA101" s="9">
        <f t="shared" si="168"/>
        <v>1</v>
      </c>
      <c r="BB101" s="9">
        <f t="shared" si="168"/>
        <v>1</v>
      </c>
      <c r="BC101" s="9">
        <f t="shared" si="168"/>
        <v>1</v>
      </c>
      <c r="BD101" s="9">
        <f t="shared" si="168"/>
        <v>1</v>
      </c>
      <c r="BE101" s="9">
        <f t="shared" si="168"/>
        <v>1</v>
      </c>
      <c r="BF101" s="9">
        <f t="shared" si="168"/>
        <v>1</v>
      </c>
      <c r="BG101" s="9">
        <f t="shared" si="168"/>
        <v>1</v>
      </c>
      <c r="BH101" s="9">
        <f t="shared" si="168"/>
        <v>1</v>
      </c>
      <c r="BI101" s="9">
        <f t="shared" si="168"/>
        <v>1</v>
      </c>
      <c r="BJ101" s="9">
        <f t="shared" si="168"/>
        <v>1</v>
      </c>
      <c r="BK101" s="9">
        <f t="shared" si="168"/>
        <v>1</v>
      </c>
      <c r="BL101" s="9">
        <f t="shared" si="168"/>
        <v>1</v>
      </c>
      <c r="BM101" s="9">
        <f t="shared" si="168"/>
        <v>1</v>
      </c>
      <c r="BN101" s="9">
        <f t="shared" si="168"/>
        <v>1</v>
      </c>
      <c r="BO101" s="9">
        <f t="shared" si="168"/>
        <v>1</v>
      </c>
      <c r="BP101" s="9">
        <f t="shared" si="168"/>
        <v>1</v>
      </c>
      <c r="BQ101" s="9">
        <f t="shared" si="168"/>
        <v>1</v>
      </c>
      <c r="BR101" s="9">
        <f t="shared" si="168"/>
        <v>1</v>
      </c>
      <c r="BS101" s="9">
        <f t="shared" ref="BS101:ED101" si="169">IF(OR(BT9 = "", BT$8 &lt; BS$8), "", 1)</f>
        <v>1</v>
      </c>
      <c r="BT101" s="9">
        <f t="shared" si="169"/>
        <v>1</v>
      </c>
      <c r="BU101" s="9">
        <f t="shared" si="169"/>
        <v>1</v>
      </c>
      <c r="BV101" s="9">
        <f t="shared" si="169"/>
        <v>1</v>
      </c>
      <c r="BW101" s="9">
        <f t="shared" si="169"/>
        <v>1</v>
      </c>
      <c r="BX101" s="9">
        <f t="shared" si="169"/>
        <v>1</v>
      </c>
      <c r="BY101" s="9">
        <f t="shared" si="169"/>
        <v>1</v>
      </c>
      <c r="BZ101" s="9">
        <f t="shared" si="169"/>
        <v>1</v>
      </c>
      <c r="CA101" s="9">
        <f t="shared" si="169"/>
        <v>1</v>
      </c>
      <c r="CB101" s="9">
        <f t="shared" si="169"/>
        <v>1</v>
      </c>
      <c r="CC101" s="9">
        <f t="shared" si="169"/>
        <v>1</v>
      </c>
      <c r="CD101" s="9">
        <f t="shared" si="169"/>
        <v>1</v>
      </c>
      <c r="CE101" s="9">
        <f t="shared" si="169"/>
        <v>1</v>
      </c>
      <c r="CF101" s="9">
        <f t="shared" si="169"/>
        <v>1</v>
      </c>
      <c r="CG101" s="9">
        <f t="shared" si="169"/>
        <v>1</v>
      </c>
      <c r="CH101" s="9">
        <f t="shared" si="169"/>
        <v>1</v>
      </c>
      <c r="CI101" s="9">
        <f t="shared" si="169"/>
        <v>1</v>
      </c>
      <c r="CJ101" s="9">
        <f t="shared" si="169"/>
        <v>1</v>
      </c>
      <c r="CK101" s="9">
        <f t="shared" si="169"/>
        <v>1</v>
      </c>
      <c r="CL101" s="9">
        <f t="shared" si="169"/>
        <v>1</v>
      </c>
      <c r="CM101" s="9">
        <f t="shared" si="169"/>
        <v>1</v>
      </c>
      <c r="CN101" s="9">
        <f t="shared" si="169"/>
        <v>1</v>
      </c>
      <c r="CO101" s="9">
        <f t="shared" si="169"/>
        <v>1</v>
      </c>
      <c r="CP101" s="9">
        <f t="shared" si="169"/>
        <v>1</v>
      </c>
      <c r="CQ101" s="9">
        <f t="shared" si="169"/>
        <v>1</v>
      </c>
      <c r="CR101" s="9">
        <f t="shared" si="169"/>
        <v>1</v>
      </c>
      <c r="CS101" s="9">
        <f t="shared" si="169"/>
        <v>1</v>
      </c>
      <c r="CT101" s="9">
        <f t="shared" si="169"/>
        <v>1</v>
      </c>
      <c r="CU101" s="9">
        <f t="shared" si="169"/>
        <v>1</v>
      </c>
      <c r="CV101" s="9">
        <f t="shared" si="169"/>
        <v>1</v>
      </c>
      <c r="CW101" s="9">
        <f t="shared" si="169"/>
        <v>1</v>
      </c>
      <c r="CX101" s="9">
        <f t="shared" si="169"/>
        <v>1</v>
      </c>
      <c r="CY101" s="9">
        <f t="shared" si="169"/>
        <v>1</v>
      </c>
      <c r="CZ101" s="9">
        <f t="shared" si="169"/>
        <v>1</v>
      </c>
      <c r="DA101" s="9">
        <f t="shared" si="169"/>
        <v>1</v>
      </c>
      <c r="DB101" s="9">
        <f t="shared" si="169"/>
        <v>1</v>
      </c>
      <c r="DC101" s="9">
        <f t="shared" si="169"/>
        <v>1</v>
      </c>
      <c r="DD101" s="9">
        <f t="shared" si="169"/>
        <v>1</v>
      </c>
      <c r="DE101" s="9">
        <f t="shared" si="169"/>
        <v>1</v>
      </c>
      <c r="DF101" s="9">
        <f t="shared" si="169"/>
        <v>1</v>
      </c>
      <c r="DG101" s="9">
        <f t="shared" si="169"/>
        <v>1</v>
      </c>
      <c r="DH101" s="9">
        <f t="shared" si="169"/>
        <v>1</v>
      </c>
      <c r="DI101" s="9">
        <f t="shared" si="169"/>
        <v>1</v>
      </c>
      <c r="DJ101" s="9">
        <f t="shared" si="169"/>
        <v>1</v>
      </c>
      <c r="DK101" s="9">
        <f t="shared" si="169"/>
        <v>1</v>
      </c>
      <c r="DL101" s="9">
        <f t="shared" si="169"/>
        <v>1</v>
      </c>
      <c r="DM101" s="9">
        <f t="shared" si="169"/>
        <v>1</v>
      </c>
      <c r="DN101" s="9">
        <f t="shared" si="169"/>
        <v>1</v>
      </c>
      <c r="DO101" s="9">
        <f t="shared" si="169"/>
        <v>1</v>
      </c>
      <c r="DP101" s="9">
        <f t="shared" si="169"/>
        <v>1</v>
      </c>
      <c r="DQ101" s="9">
        <f t="shared" si="169"/>
        <v>1</v>
      </c>
      <c r="DR101" s="9">
        <f t="shared" si="169"/>
        <v>1</v>
      </c>
      <c r="DS101" s="9">
        <f t="shared" si="169"/>
        <v>1</v>
      </c>
      <c r="DT101" s="9">
        <f t="shared" si="169"/>
        <v>1</v>
      </c>
      <c r="DU101" s="9">
        <f t="shared" si="169"/>
        <v>1</v>
      </c>
      <c r="DV101" s="9">
        <f t="shared" si="169"/>
        <v>1</v>
      </c>
      <c r="DW101" s="9">
        <f t="shared" si="169"/>
        <v>1</v>
      </c>
      <c r="DX101" s="9">
        <f t="shared" si="169"/>
        <v>1</v>
      </c>
      <c r="DY101" s="9">
        <f t="shared" si="169"/>
        <v>1</v>
      </c>
      <c r="DZ101" s="9">
        <f t="shared" si="169"/>
        <v>1</v>
      </c>
      <c r="EA101" s="9" t="str">
        <f t="shared" si="169"/>
        <v/>
      </c>
      <c r="EB101" s="9">
        <f t="shared" si="169"/>
        <v>1</v>
      </c>
      <c r="EC101" s="9">
        <f t="shared" si="169"/>
        <v>1</v>
      </c>
      <c r="ED101" s="9">
        <f t="shared" si="169"/>
        <v>1</v>
      </c>
      <c r="EE101" s="9">
        <f t="shared" ref="EE101:GP101" si="170">IF(OR(EF9 = "", EF$8 &lt; EE$8), "", 1)</f>
        <v>1</v>
      </c>
      <c r="EF101" s="9">
        <f t="shared" si="170"/>
        <v>1</v>
      </c>
      <c r="EG101" s="9">
        <f t="shared" si="170"/>
        <v>1</v>
      </c>
      <c r="EH101" s="9">
        <f t="shared" si="170"/>
        <v>1</v>
      </c>
      <c r="EI101" s="9">
        <f t="shared" si="170"/>
        <v>1</v>
      </c>
      <c r="EJ101" s="9">
        <f t="shared" si="170"/>
        <v>1</v>
      </c>
      <c r="EK101" s="9">
        <f t="shared" si="170"/>
        <v>1</v>
      </c>
      <c r="EL101" s="9">
        <f t="shared" si="170"/>
        <v>1</v>
      </c>
      <c r="EM101" s="9">
        <f t="shared" si="170"/>
        <v>1</v>
      </c>
      <c r="EN101" s="9">
        <f t="shared" si="170"/>
        <v>1</v>
      </c>
      <c r="EO101" s="9">
        <f t="shared" si="170"/>
        <v>1</v>
      </c>
      <c r="EP101" s="9">
        <f t="shared" si="170"/>
        <v>1</v>
      </c>
      <c r="EQ101" s="9">
        <f t="shared" si="170"/>
        <v>1</v>
      </c>
      <c r="ER101" s="9">
        <f t="shared" si="170"/>
        <v>1</v>
      </c>
      <c r="ES101" s="9">
        <f t="shared" si="170"/>
        <v>1</v>
      </c>
      <c r="ET101" s="9">
        <f t="shared" si="170"/>
        <v>1</v>
      </c>
      <c r="EU101" s="9">
        <f t="shared" si="170"/>
        <v>1</v>
      </c>
      <c r="EV101" s="9">
        <f t="shared" si="170"/>
        <v>1</v>
      </c>
      <c r="EW101" s="9">
        <f t="shared" si="170"/>
        <v>1</v>
      </c>
      <c r="EX101" s="9">
        <f t="shared" si="170"/>
        <v>1</v>
      </c>
      <c r="EY101" s="9">
        <f t="shared" si="170"/>
        <v>1</v>
      </c>
      <c r="EZ101" s="9">
        <f t="shared" si="170"/>
        <v>1</v>
      </c>
      <c r="FA101" s="9">
        <f t="shared" si="170"/>
        <v>1</v>
      </c>
      <c r="FB101" s="9">
        <f t="shared" si="170"/>
        <v>1</v>
      </c>
      <c r="FC101" s="9">
        <f t="shared" si="170"/>
        <v>1</v>
      </c>
      <c r="FD101" s="9">
        <f t="shared" si="170"/>
        <v>1</v>
      </c>
      <c r="FE101" s="9">
        <f t="shared" si="170"/>
        <v>1</v>
      </c>
      <c r="FF101" s="9">
        <f t="shared" si="170"/>
        <v>1</v>
      </c>
      <c r="FG101" s="9">
        <f t="shared" si="170"/>
        <v>1</v>
      </c>
      <c r="FH101" s="9">
        <f t="shared" si="170"/>
        <v>1</v>
      </c>
      <c r="FI101" s="9">
        <f t="shared" si="170"/>
        <v>1</v>
      </c>
      <c r="FJ101" s="9">
        <f t="shared" si="170"/>
        <v>1</v>
      </c>
      <c r="FK101" s="9">
        <f t="shared" si="170"/>
        <v>1</v>
      </c>
      <c r="FL101" s="9">
        <f t="shared" si="170"/>
        <v>1</v>
      </c>
      <c r="FM101" s="9">
        <f t="shared" si="170"/>
        <v>1</v>
      </c>
      <c r="FN101" s="9">
        <f t="shared" si="170"/>
        <v>1</v>
      </c>
      <c r="FO101" s="9">
        <f t="shared" si="170"/>
        <v>1</v>
      </c>
      <c r="FP101" s="9">
        <f t="shared" si="170"/>
        <v>1</v>
      </c>
      <c r="FQ101" s="9">
        <f t="shared" si="170"/>
        <v>1</v>
      </c>
      <c r="FR101" s="9">
        <f t="shared" si="170"/>
        <v>1</v>
      </c>
      <c r="FS101" s="9">
        <f t="shared" si="170"/>
        <v>1</v>
      </c>
      <c r="FT101" s="9">
        <f t="shared" si="170"/>
        <v>1</v>
      </c>
      <c r="FU101" s="9">
        <f t="shared" si="170"/>
        <v>1</v>
      </c>
      <c r="FV101" s="9">
        <f t="shared" si="170"/>
        <v>1</v>
      </c>
      <c r="FW101" s="9">
        <f t="shared" si="170"/>
        <v>1</v>
      </c>
      <c r="FX101" s="9">
        <f t="shared" si="170"/>
        <v>1</v>
      </c>
      <c r="FY101" s="9">
        <f t="shared" si="170"/>
        <v>1</v>
      </c>
      <c r="FZ101" s="9">
        <f t="shared" si="170"/>
        <v>1</v>
      </c>
      <c r="GA101" s="9">
        <f t="shared" si="170"/>
        <v>1</v>
      </c>
      <c r="GB101" s="9">
        <f t="shared" si="170"/>
        <v>1</v>
      </c>
      <c r="GC101" s="9">
        <f t="shared" si="170"/>
        <v>1</v>
      </c>
      <c r="GD101" s="9">
        <f t="shared" si="170"/>
        <v>1</v>
      </c>
      <c r="GE101" s="9">
        <f t="shared" si="170"/>
        <v>1</v>
      </c>
      <c r="GF101" s="9">
        <f t="shared" si="170"/>
        <v>1</v>
      </c>
      <c r="GG101" s="9">
        <f t="shared" si="170"/>
        <v>1</v>
      </c>
      <c r="GH101" s="9">
        <f t="shared" si="170"/>
        <v>1</v>
      </c>
      <c r="GI101" s="9">
        <f t="shared" si="170"/>
        <v>1</v>
      </c>
      <c r="GJ101" s="9">
        <f t="shared" si="170"/>
        <v>1</v>
      </c>
      <c r="GK101" s="9">
        <f t="shared" si="170"/>
        <v>1</v>
      </c>
      <c r="GL101" s="9">
        <f t="shared" si="170"/>
        <v>1</v>
      </c>
      <c r="GM101" s="9">
        <f t="shared" si="170"/>
        <v>1</v>
      </c>
      <c r="GN101" s="9">
        <f t="shared" si="170"/>
        <v>1</v>
      </c>
      <c r="GO101" s="9">
        <f t="shared" si="170"/>
        <v>1</v>
      </c>
      <c r="GP101" s="9">
        <f t="shared" si="170"/>
        <v>1</v>
      </c>
      <c r="GQ101" s="9">
        <f t="shared" ref="GQ101:IV101" si="171">IF(OR(GR9 = "", GR$8 &lt; GQ$8), "", 1)</f>
        <v>1</v>
      </c>
      <c r="GR101" s="9">
        <f t="shared" si="171"/>
        <v>1</v>
      </c>
      <c r="GS101" s="9">
        <f t="shared" si="171"/>
        <v>1</v>
      </c>
      <c r="GT101" s="9">
        <f t="shared" si="171"/>
        <v>1</v>
      </c>
      <c r="GU101" s="9">
        <f t="shared" si="171"/>
        <v>1</v>
      </c>
      <c r="GV101" s="9">
        <f t="shared" si="171"/>
        <v>1</v>
      </c>
      <c r="GW101" s="9">
        <f t="shared" si="171"/>
        <v>1</v>
      </c>
      <c r="GX101" s="9">
        <f t="shared" si="171"/>
        <v>1</v>
      </c>
      <c r="GY101" s="9">
        <f t="shared" si="171"/>
        <v>1</v>
      </c>
      <c r="GZ101" s="9">
        <f t="shared" si="171"/>
        <v>1</v>
      </c>
      <c r="HA101" s="9">
        <f t="shared" si="171"/>
        <v>1</v>
      </c>
      <c r="HB101" s="9">
        <f t="shared" si="171"/>
        <v>1</v>
      </c>
      <c r="HC101" s="9">
        <f t="shared" si="171"/>
        <v>1</v>
      </c>
      <c r="HD101" s="9">
        <f t="shared" si="171"/>
        <v>1</v>
      </c>
      <c r="HE101" s="9">
        <f t="shared" si="171"/>
        <v>1</v>
      </c>
      <c r="HF101" s="9">
        <f t="shared" si="171"/>
        <v>1</v>
      </c>
      <c r="HG101" s="9">
        <f t="shared" si="171"/>
        <v>1</v>
      </c>
      <c r="HH101" s="9">
        <f t="shared" si="171"/>
        <v>1</v>
      </c>
      <c r="HI101" s="9">
        <f t="shared" si="171"/>
        <v>1</v>
      </c>
      <c r="HJ101" s="9">
        <f t="shared" si="171"/>
        <v>1</v>
      </c>
      <c r="HK101" s="9">
        <f t="shared" si="171"/>
        <v>1</v>
      </c>
      <c r="HL101" s="9">
        <f t="shared" si="171"/>
        <v>1</v>
      </c>
      <c r="HM101" s="9">
        <f t="shared" si="171"/>
        <v>1</v>
      </c>
      <c r="HN101" s="9">
        <f t="shared" si="171"/>
        <v>1</v>
      </c>
      <c r="HO101" s="9">
        <f t="shared" si="171"/>
        <v>1</v>
      </c>
      <c r="HP101" s="9">
        <f t="shared" si="171"/>
        <v>1</v>
      </c>
      <c r="HQ101" s="9">
        <f t="shared" si="171"/>
        <v>1</v>
      </c>
      <c r="HR101" s="9">
        <f t="shared" si="171"/>
        <v>1</v>
      </c>
      <c r="HS101" s="9">
        <f t="shared" si="171"/>
        <v>1</v>
      </c>
      <c r="HT101" s="9">
        <f t="shared" si="171"/>
        <v>1</v>
      </c>
      <c r="HU101" s="9">
        <f t="shared" si="171"/>
        <v>1</v>
      </c>
      <c r="HV101" s="9">
        <f t="shared" si="171"/>
        <v>1</v>
      </c>
      <c r="HW101" s="9">
        <f t="shared" si="171"/>
        <v>1</v>
      </c>
      <c r="HX101" s="9">
        <f t="shared" si="171"/>
        <v>1</v>
      </c>
      <c r="HY101" s="9">
        <f t="shared" si="171"/>
        <v>1</v>
      </c>
      <c r="HZ101" s="9">
        <f t="shared" si="171"/>
        <v>1</v>
      </c>
      <c r="IA101" s="9">
        <f t="shared" si="171"/>
        <v>1</v>
      </c>
      <c r="IB101" s="9">
        <f t="shared" si="171"/>
        <v>1</v>
      </c>
      <c r="IC101" s="9">
        <f t="shared" si="171"/>
        <v>1</v>
      </c>
      <c r="ID101" s="9">
        <f t="shared" si="171"/>
        <v>1</v>
      </c>
      <c r="IE101" s="9">
        <f t="shared" si="171"/>
        <v>1</v>
      </c>
      <c r="IF101" s="9">
        <f t="shared" si="171"/>
        <v>1</v>
      </c>
      <c r="IG101" s="9">
        <f t="shared" si="171"/>
        <v>1</v>
      </c>
      <c r="IH101" s="9">
        <f t="shared" si="171"/>
        <v>1</v>
      </c>
      <c r="II101" s="9">
        <f t="shared" si="171"/>
        <v>1</v>
      </c>
      <c r="IJ101" s="9">
        <f t="shared" si="171"/>
        <v>1</v>
      </c>
      <c r="IK101" s="9">
        <f t="shared" si="171"/>
        <v>1</v>
      </c>
      <c r="IL101" s="9">
        <f t="shared" si="171"/>
        <v>1</v>
      </c>
      <c r="IM101" s="9">
        <f t="shared" si="171"/>
        <v>1</v>
      </c>
      <c r="IN101" s="9">
        <f t="shared" si="171"/>
        <v>1</v>
      </c>
      <c r="IO101" s="9">
        <f t="shared" si="171"/>
        <v>1</v>
      </c>
      <c r="IP101" s="9">
        <f t="shared" si="171"/>
        <v>1</v>
      </c>
      <c r="IQ101" s="9">
        <f t="shared" si="171"/>
        <v>1</v>
      </c>
      <c r="IR101" s="9">
        <f t="shared" si="171"/>
        <v>1</v>
      </c>
      <c r="IS101" s="9">
        <f t="shared" si="171"/>
        <v>1</v>
      </c>
      <c r="IT101" s="9">
        <f t="shared" si="171"/>
        <v>1</v>
      </c>
      <c r="IU101" s="9">
        <f t="shared" si="171"/>
        <v>1</v>
      </c>
      <c r="IV101" s="9" t="str">
        <f t="shared" si="171"/>
        <v/>
      </c>
    </row>
    <row r="102" spans="6:256" x14ac:dyDescent="0.2">
      <c r="F102">
        <v>201406</v>
      </c>
      <c r="G102" s="9">
        <f t="shared" ref="G102:BR102" si="172">IF(OR(H10 = "", H$8 &lt; G$8), "", 1)</f>
        <v>1</v>
      </c>
      <c r="H102" s="9">
        <f t="shared" si="172"/>
        <v>1</v>
      </c>
      <c r="I102" s="9">
        <f t="shared" si="172"/>
        <v>1</v>
      </c>
      <c r="J102" s="9">
        <f t="shared" si="172"/>
        <v>1</v>
      </c>
      <c r="K102" s="9">
        <f t="shared" si="172"/>
        <v>1</v>
      </c>
      <c r="L102" s="9">
        <f t="shared" si="172"/>
        <v>1</v>
      </c>
      <c r="M102" s="9">
        <f t="shared" si="172"/>
        <v>1</v>
      </c>
      <c r="N102" s="9">
        <f t="shared" si="172"/>
        <v>1</v>
      </c>
      <c r="O102" s="9">
        <f t="shared" si="172"/>
        <v>1</v>
      </c>
      <c r="P102" s="9">
        <f t="shared" si="172"/>
        <v>1</v>
      </c>
      <c r="Q102" s="9">
        <f t="shared" si="172"/>
        <v>1</v>
      </c>
      <c r="R102" s="9">
        <f t="shared" si="172"/>
        <v>1</v>
      </c>
      <c r="S102" s="9">
        <f t="shared" si="172"/>
        <v>1</v>
      </c>
      <c r="T102" s="9">
        <f t="shared" si="172"/>
        <v>1</v>
      </c>
      <c r="U102" s="9">
        <f t="shared" si="172"/>
        <v>1</v>
      </c>
      <c r="V102" s="9">
        <f t="shared" si="172"/>
        <v>1</v>
      </c>
      <c r="W102" s="9">
        <f t="shared" si="172"/>
        <v>1</v>
      </c>
      <c r="X102" s="9">
        <f t="shared" si="172"/>
        <v>1</v>
      </c>
      <c r="Y102" s="9">
        <f t="shared" si="172"/>
        <v>1</v>
      </c>
      <c r="Z102" s="9">
        <f t="shared" si="172"/>
        <v>1</v>
      </c>
      <c r="AA102" s="9">
        <f t="shared" si="172"/>
        <v>1</v>
      </c>
      <c r="AB102" s="9">
        <f t="shared" si="172"/>
        <v>1</v>
      </c>
      <c r="AC102" s="9">
        <f t="shared" si="172"/>
        <v>1</v>
      </c>
      <c r="AD102" s="9">
        <f t="shared" si="172"/>
        <v>1</v>
      </c>
      <c r="AE102" s="9">
        <f t="shared" si="172"/>
        <v>1</v>
      </c>
      <c r="AF102" s="9">
        <f t="shared" si="172"/>
        <v>1</v>
      </c>
      <c r="AG102" s="9">
        <f t="shared" si="172"/>
        <v>1</v>
      </c>
      <c r="AH102" s="9">
        <f t="shared" si="172"/>
        <v>1</v>
      </c>
      <c r="AI102" s="9">
        <f t="shared" si="172"/>
        <v>1</v>
      </c>
      <c r="AJ102" s="9">
        <f t="shared" si="172"/>
        <v>1</v>
      </c>
      <c r="AK102" s="9">
        <f t="shared" si="172"/>
        <v>1</v>
      </c>
      <c r="AL102" s="9">
        <f t="shared" si="172"/>
        <v>1</v>
      </c>
      <c r="AM102" s="9">
        <f t="shared" si="172"/>
        <v>1</v>
      </c>
      <c r="AN102" s="9">
        <f t="shared" si="172"/>
        <v>1</v>
      </c>
      <c r="AO102" s="9">
        <f t="shared" si="172"/>
        <v>1</v>
      </c>
      <c r="AP102" s="9">
        <f t="shared" si="172"/>
        <v>1</v>
      </c>
      <c r="AQ102" s="9">
        <f t="shared" si="172"/>
        <v>1</v>
      </c>
      <c r="AR102" s="9">
        <f t="shared" si="172"/>
        <v>1</v>
      </c>
      <c r="AS102" s="9">
        <f t="shared" si="172"/>
        <v>1</v>
      </c>
      <c r="AT102" s="9">
        <f t="shared" si="172"/>
        <v>1</v>
      </c>
      <c r="AU102" s="9">
        <f t="shared" si="172"/>
        <v>1</v>
      </c>
      <c r="AV102" s="9">
        <f t="shared" si="172"/>
        <v>1</v>
      </c>
      <c r="AW102" s="9">
        <f t="shared" si="172"/>
        <v>1</v>
      </c>
      <c r="AX102" s="9">
        <f t="shared" si="172"/>
        <v>1</v>
      </c>
      <c r="AY102" s="9">
        <f t="shared" si="172"/>
        <v>1</v>
      </c>
      <c r="AZ102" s="9">
        <f t="shared" si="172"/>
        <v>1</v>
      </c>
      <c r="BA102" s="9">
        <f t="shared" si="172"/>
        <v>1</v>
      </c>
      <c r="BB102" s="9">
        <f t="shared" si="172"/>
        <v>1</v>
      </c>
      <c r="BC102" s="9">
        <f t="shared" si="172"/>
        <v>1</v>
      </c>
      <c r="BD102" s="9">
        <f t="shared" si="172"/>
        <v>1</v>
      </c>
      <c r="BE102" s="9">
        <f t="shared" si="172"/>
        <v>1</v>
      </c>
      <c r="BF102" s="9">
        <f t="shared" si="172"/>
        <v>1</v>
      </c>
      <c r="BG102" s="9">
        <f t="shared" si="172"/>
        <v>1</v>
      </c>
      <c r="BH102" s="9">
        <f t="shared" si="172"/>
        <v>1</v>
      </c>
      <c r="BI102" s="9">
        <f t="shared" si="172"/>
        <v>1</v>
      </c>
      <c r="BJ102" s="9">
        <f t="shared" si="172"/>
        <v>1</v>
      </c>
      <c r="BK102" s="9">
        <f t="shared" si="172"/>
        <v>1</v>
      </c>
      <c r="BL102" s="9">
        <f t="shared" si="172"/>
        <v>1</v>
      </c>
      <c r="BM102" s="9">
        <f t="shared" si="172"/>
        <v>1</v>
      </c>
      <c r="BN102" s="9">
        <f t="shared" si="172"/>
        <v>1</v>
      </c>
      <c r="BO102" s="9">
        <f t="shared" si="172"/>
        <v>1</v>
      </c>
      <c r="BP102" s="9">
        <f t="shared" si="172"/>
        <v>1</v>
      </c>
      <c r="BQ102" s="9">
        <f t="shared" si="172"/>
        <v>1</v>
      </c>
      <c r="BR102" s="9">
        <f t="shared" si="172"/>
        <v>1</v>
      </c>
      <c r="BS102" s="9">
        <f t="shared" ref="BS102:ED102" si="173">IF(OR(BT10 = "", BT$8 &lt; BS$8), "", 1)</f>
        <v>1</v>
      </c>
      <c r="BT102" s="9">
        <f t="shared" si="173"/>
        <v>1</v>
      </c>
      <c r="BU102" s="9">
        <f t="shared" si="173"/>
        <v>1</v>
      </c>
      <c r="BV102" s="9">
        <f t="shared" si="173"/>
        <v>1</v>
      </c>
      <c r="BW102" s="9">
        <f t="shared" si="173"/>
        <v>1</v>
      </c>
      <c r="BX102" s="9">
        <f t="shared" si="173"/>
        <v>1</v>
      </c>
      <c r="BY102" s="9">
        <f t="shared" si="173"/>
        <v>1</v>
      </c>
      <c r="BZ102" s="9">
        <f t="shared" si="173"/>
        <v>1</v>
      </c>
      <c r="CA102" s="9">
        <f t="shared" si="173"/>
        <v>1</v>
      </c>
      <c r="CB102" s="9">
        <f t="shared" si="173"/>
        <v>1</v>
      </c>
      <c r="CC102" s="9">
        <f t="shared" si="173"/>
        <v>1</v>
      </c>
      <c r="CD102" s="9">
        <f t="shared" si="173"/>
        <v>1</v>
      </c>
      <c r="CE102" s="9">
        <f t="shared" si="173"/>
        <v>1</v>
      </c>
      <c r="CF102" s="9">
        <f t="shared" si="173"/>
        <v>1</v>
      </c>
      <c r="CG102" s="9">
        <f t="shared" si="173"/>
        <v>1</v>
      </c>
      <c r="CH102" s="9">
        <f t="shared" si="173"/>
        <v>1</v>
      </c>
      <c r="CI102" s="9">
        <f t="shared" si="173"/>
        <v>1</v>
      </c>
      <c r="CJ102" s="9">
        <f t="shared" si="173"/>
        <v>1</v>
      </c>
      <c r="CK102" s="9">
        <f t="shared" si="173"/>
        <v>1</v>
      </c>
      <c r="CL102" s="9">
        <f t="shared" si="173"/>
        <v>1</v>
      </c>
      <c r="CM102" s="9">
        <f t="shared" si="173"/>
        <v>1</v>
      </c>
      <c r="CN102" s="9">
        <f t="shared" si="173"/>
        <v>1</v>
      </c>
      <c r="CO102" s="9">
        <f t="shared" si="173"/>
        <v>1</v>
      </c>
      <c r="CP102" s="9">
        <f t="shared" si="173"/>
        <v>1</v>
      </c>
      <c r="CQ102" s="9">
        <f t="shared" si="173"/>
        <v>1</v>
      </c>
      <c r="CR102" s="9">
        <f t="shared" si="173"/>
        <v>1</v>
      </c>
      <c r="CS102" s="9">
        <f t="shared" si="173"/>
        <v>1</v>
      </c>
      <c r="CT102" s="9">
        <f t="shared" si="173"/>
        <v>1</v>
      </c>
      <c r="CU102" s="9">
        <f t="shared" si="173"/>
        <v>1</v>
      </c>
      <c r="CV102" s="9">
        <f t="shared" si="173"/>
        <v>1</v>
      </c>
      <c r="CW102" s="9">
        <f t="shared" si="173"/>
        <v>1</v>
      </c>
      <c r="CX102" s="9">
        <f t="shared" si="173"/>
        <v>1</v>
      </c>
      <c r="CY102" s="9">
        <f t="shared" si="173"/>
        <v>1</v>
      </c>
      <c r="CZ102" s="9">
        <f t="shared" si="173"/>
        <v>1</v>
      </c>
      <c r="DA102" s="9">
        <f t="shared" si="173"/>
        <v>1</v>
      </c>
      <c r="DB102" s="9">
        <f t="shared" si="173"/>
        <v>1</v>
      </c>
      <c r="DC102" s="9">
        <f t="shared" si="173"/>
        <v>1</v>
      </c>
      <c r="DD102" s="9">
        <f t="shared" si="173"/>
        <v>1</v>
      </c>
      <c r="DE102" s="9">
        <f t="shared" si="173"/>
        <v>1</v>
      </c>
      <c r="DF102" s="9">
        <f t="shared" si="173"/>
        <v>1</v>
      </c>
      <c r="DG102" s="9">
        <f t="shared" si="173"/>
        <v>1</v>
      </c>
      <c r="DH102" s="9">
        <f t="shared" si="173"/>
        <v>1</v>
      </c>
      <c r="DI102" s="9">
        <f t="shared" si="173"/>
        <v>1</v>
      </c>
      <c r="DJ102" s="9">
        <f t="shared" si="173"/>
        <v>1</v>
      </c>
      <c r="DK102" s="9">
        <f t="shared" si="173"/>
        <v>1</v>
      </c>
      <c r="DL102" s="9">
        <f t="shared" si="173"/>
        <v>1</v>
      </c>
      <c r="DM102" s="9">
        <f t="shared" si="173"/>
        <v>1</v>
      </c>
      <c r="DN102" s="9">
        <f t="shared" si="173"/>
        <v>1</v>
      </c>
      <c r="DO102" s="9">
        <f t="shared" si="173"/>
        <v>1</v>
      </c>
      <c r="DP102" s="9">
        <f t="shared" si="173"/>
        <v>1</v>
      </c>
      <c r="DQ102" s="9">
        <f t="shared" si="173"/>
        <v>1</v>
      </c>
      <c r="DR102" s="9">
        <f t="shared" si="173"/>
        <v>1</v>
      </c>
      <c r="DS102" s="9">
        <f t="shared" si="173"/>
        <v>1</v>
      </c>
      <c r="DT102" s="9">
        <f t="shared" si="173"/>
        <v>1</v>
      </c>
      <c r="DU102" s="9">
        <f t="shared" si="173"/>
        <v>1</v>
      </c>
      <c r="DV102" s="9">
        <f t="shared" si="173"/>
        <v>1</v>
      </c>
      <c r="DW102" s="9">
        <f t="shared" si="173"/>
        <v>1</v>
      </c>
      <c r="DX102" s="9" t="str">
        <f t="shared" si="173"/>
        <v/>
      </c>
      <c r="DY102" s="9" t="str">
        <f t="shared" si="173"/>
        <v/>
      </c>
      <c r="DZ102" s="9" t="str">
        <f t="shared" si="173"/>
        <v/>
      </c>
      <c r="EA102" s="9" t="str">
        <f t="shared" si="173"/>
        <v/>
      </c>
      <c r="EB102" s="9">
        <f t="shared" si="173"/>
        <v>1</v>
      </c>
      <c r="EC102" s="9">
        <f t="shared" si="173"/>
        <v>1</v>
      </c>
      <c r="ED102" s="9">
        <f t="shared" si="173"/>
        <v>1</v>
      </c>
      <c r="EE102" s="9">
        <f t="shared" ref="EE102:GP102" si="174">IF(OR(EF10 = "", EF$8 &lt; EE$8), "", 1)</f>
        <v>1</v>
      </c>
      <c r="EF102" s="9">
        <f t="shared" si="174"/>
        <v>1</v>
      </c>
      <c r="EG102" s="9">
        <f t="shared" si="174"/>
        <v>1</v>
      </c>
      <c r="EH102" s="9">
        <f t="shared" si="174"/>
        <v>1</v>
      </c>
      <c r="EI102" s="9">
        <f t="shared" si="174"/>
        <v>1</v>
      </c>
      <c r="EJ102" s="9">
        <f t="shared" si="174"/>
        <v>1</v>
      </c>
      <c r="EK102" s="9">
        <f t="shared" si="174"/>
        <v>1</v>
      </c>
      <c r="EL102" s="9">
        <f t="shared" si="174"/>
        <v>1</v>
      </c>
      <c r="EM102" s="9">
        <f t="shared" si="174"/>
        <v>1</v>
      </c>
      <c r="EN102" s="9">
        <f t="shared" si="174"/>
        <v>1</v>
      </c>
      <c r="EO102" s="9">
        <f t="shared" si="174"/>
        <v>1</v>
      </c>
      <c r="EP102" s="9">
        <f t="shared" si="174"/>
        <v>1</v>
      </c>
      <c r="EQ102" s="9">
        <f t="shared" si="174"/>
        <v>1</v>
      </c>
      <c r="ER102" s="9">
        <f t="shared" si="174"/>
        <v>1</v>
      </c>
      <c r="ES102" s="9">
        <f t="shared" si="174"/>
        <v>1</v>
      </c>
      <c r="ET102" s="9">
        <f t="shared" si="174"/>
        <v>1</v>
      </c>
      <c r="EU102" s="9">
        <f t="shared" si="174"/>
        <v>1</v>
      </c>
      <c r="EV102" s="9">
        <f t="shared" si="174"/>
        <v>1</v>
      </c>
      <c r="EW102" s="9">
        <f t="shared" si="174"/>
        <v>1</v>
      </c>
      <c r="EX102" s="9">
        <f t="shared" si="174"/>
        <v>1</v>
      </c>
      <c r="EY102" s="9">
        <f t="shared" si="174"/>
        <v>1</v>
      </c>
      <c r="EZ102" s="9">
        <f t="shared" si="174"/>
        <v>1</v>
      </c>
      <c r="FA102" s="9">
        <f t="shared" si="174"/>
        <v>1</v>
      </c>
      <c r="FB102" s="9">
        <f t="shared" si="174"/>
        <v>1</v>
      </c>
      <c r="FC102" s="9">
        <f t="shared" si="174"/>
        <v>1</v>
      </c>
      <c r="FD102" s="9">
        <f t="shared" si="174"/>
        <v>1</v>
      </c>
      <c r="FE102" s="9">
        <f t="shared" si="174"/>
        <v>1</v>
      </c>
      <c r="FF102" s="9">
        <f t="shared" si="174"/>
        <v>1</v>
      </c>
      <c r="FG102" s="9">
        <f t="shared" si="174"/>
        <v>1</v>
      </c>
      <c r="FH102" s="9">
        <f t="shared" si="174"/>
        <v>1</v>
      </c>
      <c r="FI102" s="9">
        <f t="shared" si="174"/>
        <v>1</v>
      </c>
      <c r="FJ102" s="9">
        <f t="shared" si="174"/>
        <v>1</v>
      </c>
      <c r="FK102" s="9">
        <f t="shared" si="174"/>
        <v>1</v>
      </c>
      <c r="FL102" s="9">
        <f t="shared" si="174"/>
        <v>1</v>
      </c>
      <c r="FM102" s="9">
        <f t="shared" si="174"/>
        <v>1</v>
      </c>
      <c r="FN102" s="9">
        <f t="shared" si="174"/>
        <v>1</v>
      </c>
      <c r="FO102" s="9">
        <f t="shared" si="174"/>
        <v>1</v>
      </c>
      <c r="FP102" s="9">
        <f t="shared" si="174"/>
        <v>1</v>
      </c>
      <c r="FQ102" s="9">
        <f t="shared" si="174"/>
        <v>1</v>
      </c>
      <c r="FR102" s="9">
        <f t="shared" si="174"/>
        <v>1</v>
      </c>
      <c r="FS102" s="9">
        <f t="shared" si="174"/>
        <v>1</v>
      </c>
      <c r="FT102" s="9">
        <f t="shared" si="174"/>
        <v>1</v>
      </c>
      <c r="FU102" s="9">
        <f t="shared" si="174"/>
        <v>1</v>
      </c>
      <c r="FV102" s="9">
        <f t="shared" si="174"/>
        <v>1</v>
      </c>
      <c r="FW102" s="9">
        <f t="shared" si="174"/>
        <v>1</v>
      </c>
      <c r="FX102" s="9">
        <f t="shared" si="174"/>
        <v>1</v>
      </c>
      <c r="FY102" s="9">
        <f t="shared" si="174"/>
        <v>1</v>
      </c>
      <c r="FZ102" s="9">
        <f t="shared" si="174"/>
        <v>1</v>
      </c>
      <c r="GA102" s="9">
        <f t="shared" si="174"/>
        <v>1</v>
      </c>
      <c r="GB102" s="9">
        <f t="shared" si="174"/>
        <v>1</v>
      </c>
      <c r="GC102" s="9">
        <f t="shared" si="174"/>
        <v>1</v>
      </c>
      <c r="GD102" s="9">
        <f t="shared" si="174"/>
        <v>1</v>
      </c>
      <c r="GE102" s="9">
        <f t="shared" si="174"/>
        <v>1</v>
      </c>
      <c r="GF102" s="9">
        <f t="shared" si="174"/>
        <v>1</v>
      </c>
      <c r="GG102" s="9">
        <f t="shared" si="174"/>
        <v>1</v>
      </c>
      <c r="GH102" s="9">
        <f t="shared" si="174"/>
        <v>1</v>
      </c>
      <c r="GI102" s="9">
        <f t="shared" si="174"/>
        <v>1</v>
      </c>
      <c r="GJ102" s="9">
        <f t="shared" si="174"/>
        <v>1</v>
      </c>
      <c r="GK102" s="9">
        <f t="shared" si="174"/>
        <v>1</v>
      </c>
      <c r="GL102" s="9">
        <f t="shared" si="174"/>
        <v>1</v>
      </c>
      <c r="GM102" s="9">
        <f t="shared" si="174"/>
        <v>1</v>
      </c>
      <c r="GN102" s="9">
        <f t="shared" si="174"/>
        <v>1</v>
      </c>
      <c r="GO102" s="9">
        <f t="shared" si="174"/>
        <v>1</v>
      </c>
      <c r="GP102" s="9">
        <f t="shared" si="174"/>
        <v>1</v>
      </c>
      <c r="GQ102" s="9">
        <f t="shared" ref="GQ102:IV102" si="175">IF(OR(GR10 = "", GR$8 &lt; GQ$8), "", 1)</f>
        <v>1</v>
      </c>
      <c r="GR102" s="9">
        <f t="shared" si="175"/>
        <v>1</v>
      </c>
      <c r="GS102" s="9">
        <f t="shared" si="175"/>
        <v>1</v>
      </c>
      <c r="GT102" s="9">
        <f t="shared" si="175"/>
        <v>1</v>
      </c>
      <c r="GU102" s="9">
        <f t="shared" si="175"/>
        <v>1</v>
      </c>
      <c r="GV102" s="9">
        <f t="shared" si="175"/>
        <v>1</v>
      </c>
      <c r="GW102" s="9">
        <f t="shared" si="175"/>
        <v>1</v>
      </c>
      <c r="GX102" s="9">
        <f t="shared" si="175"/>
        <v>1</v>
      </c>
      <c r="GY102" s="9">
        <f t="shared" si="175"/>
        <v>1</v>
      </c>
      <c r="GZ102" s="9">
        <f t="shared" si="175"/>
        <v>1</v>
      </c>
      <c r="HA102" s="9">
        <f t="shared" si="175"/>
        <v>1</v>
      </c>
      <c r="HB102" s="9">
        <f t="shared" si="175"/>
        <v>1</v>
      </c>
      <c r="HC102" s="9">
        <f t="shared" si="175"/>
        <v>1</v>
      </c>
      <c r="HD102" s="9">
        <f t="shared" si="175"/>
        <v>1</v>
      </c>
      <c r="HE102" s="9">
        <f t="shared" si="175"/>
        <v>1</v>
      </c>
      <c r="HF102" s="9">
        <f t="shared" si="175"/>
        <v>1</v>
      </c>
      <c r="HG102" s="9">
        <f t="shared" si="175"/>
        <v>1</v>
      </c>
      <c r="HH102" s="9">
        <f t="shared" si="175"/>
        <v>1</v>
      </c>
      <c r="HI102" s="9">
        <f t="shared" si="175"/>
        <v>1</v>
      </c>
      <c r="HJ102" s="9">
        <f t="shared" si="175"/>
        <v>1</v>
      </c>
      <c r="HK102" s="9">
        <f t="shared" si="175"/>
        <v>1</v>
      </c>
      <c r="HL102" s="9">
        <f t="shared" si="175"/>
        <v>1</v>
      </c>
      <c r="HM102" s="9">
        <f t="shared" si="175"/>
        <v>1</v>
      </c>
      <c r="HN102" s="9">
        <f t="shared" si="175"/>
        <v>1</v>
      </c>
      <c r="HO102" s="9">
        <f t="shared" si="175"/>
        <v>1</v>
      </c>
      <c r="HP102" s="9">
        <f t="shared" si="175"/>
        <v>1</v>
      </c>
      <c r="HQ102" s="9">
        <f t="shared" si="175"/>
        <v>1</v>
      </c>
      <c r="HR102" s="9">
        <f t="shared" si="175"/>
        <v>1</v>
      </c>
      <c r="HS102" s="9">
        <f t="shared" si="175"/>
        <v>1</v>
      </c>
      <c r="HT102" s="9">
        <f t="shared" si="175"/>
        <v>1</v>
      </c>
      <c r="HU102" s="9">
        <f t="shared" si="175"/>
        <v>1</v>
      </c>
      <c r="HV102" s="9">
        <f t="shared" si="175"/>
        <v>1</v>
      </c>
      <c r="HW102" s="9">
        <f t="shared" si="175"/>
        <v>1</v>
      </c>
      <c r="HX102" s="9">
        <f t="shared" si="175"/>
        <v>1</v>
      </c>
      <c r="HY102" s="9">
        <f t="shared" si="175"/>
        <v>1</v>
      </c>
      <c r="HZ102" s="9">
        <f t="shared" si="175"/>
        <v>1</v>
      </c>
      <c r="IA102" s="9">
        <f t="shared" si="175"/>
        <v>1</v>
      </c>
      <c r="IB102" s="9">
        <f t="shared" si="175"/>
        <v>1</v>
      </c>
      <c r="IC102" s="9">
        <f t="shared" si="175"/>
        <v>1</v>
      </c>
      <c r="ID102" s="9">
        <f t="shared" si="175"/>
        <v>1</v>
      </c>
      <c r="IE102" s="9">
        <f t="shared" si="175"/>
        <v>1</v>
      </c>
      <c r="IF102" s="9">
        <f t="shared" si="175"/>
        <v>1</v>
      </c>
      <c r="IG102" s="9">
        <f t="shared" si="175"/>
        <v>1</v>
      </c>
      <c r="IH102" s="9">
        <f t="shared" si="175"/>
        <v>1</v>
      </c>
      <c r="II102" s="9">
        <f t="shared" si="175"/>
        <v>1</v>
      </c>
      <c r="IJ102" s="9">
        <f t="shared" si="175"/>
        <v>1</v>
      </c>
      <c r="IK102" s="9">
        <f t="shared" si="175"/>
        <v>1</v>
      </c>
      <c r="IL102" s="9">
        <f t="shared" si="175"/>
        <v>1</v>
      </c>
      <c r="IM102" s="9">
        <f t="shared" si="175"/>
        <v>1</v>
      </c>
      <c r="IN102" s="9">
        <f t="shared" si="175"/>
        <v>1</v>
      </c>
      <c r="IO102" s="9">
        <f t="shared" si="175"/>
        <v>1</v>
      </c>
      <c r="IP102" s="9">
        <f t="shared" si="175"/>
        <v>1</v>
      </c>
      <c r="IQ102" s="9">
        <f t="shared" si="175"/>
        <v>1</v>
      </c>
      <c r="IR102" s="9">
        <f t="shared" si="175"/>
        <v>1</v>
      </c>
      <c r="IS102" s="9" t="str">
        <f t="shared" si="175"/>
        <v/>
      </c>
      <c r="IT102" s="9" t="str">
        <f t="shared" si="175"/>
        <v/>
      </c>
      <c r="IU102" s="9" t="str">
        <f t="shared" si="175"/>
        <v/>
      </c>
      <c r="IV102" s="9" t="str">
        <f t="shared" si="175"/>
        <v/>
      </c>
    </row>
    <row r="103" spans="6:256" x14ac:dyDescent="0.2">
      <c r="F103">
        <v>201409</v>
      </c>
      <c r="G103" s="9">
        <f t="shared" ref="G103:BR103" si="176">IF(OR(H11 = "", H$8 &lt; G$8), "", 1)</f>
        <v>1</v>
      </c>
      <c r="H103" s="9">
        <f t="shared" si="176"/>
        <v>1</v>
      </c>
      <c r="I103" s="9">
        <f t="shared" si="176"/>
        <v>1</v>
      </c>
      <c r="J103" s="9">
        <f t="shared" si="176"/>
        <v>1</v>
      </c>
      <c r="K103" s="9">
        <f t="shared" si="176"/>
        <v>1</v>
      </c>
      <c r="L103" s="9">
        <f t="shared" si="176"/>
        <v>1</v>
      </c>
      <c r="M103" s="9">
        <f t="shared" si="176"/>
        <v>1</v>
      </c>
      <c r="N103" s="9">
        <f t="shared" si="176"/>
        <v>1</v>
      </c>
      <c r="O103" s="9">
        <f t="shared" si="176"/>
        <v>1</v>
      </c>
      <c r="P103" s="9">
        <f t="shared" si="176"/>
        <v>1</v>
      </c>
      <c r="Q103" s="9">
        <f t="shared" si="176"/>
        <v>1</v>
      </c>
      <c r="R103" s="9">
        <f t="shared" si="176"/>
        <v>1</v>
      </c>
      <c r="S103" s="9">
        <f t="shared" si="176"/>
        <v>1</v>
      </c>
      <c r="T103" s="9">
        <f t="shared" si="176"/>
        <v>1</v>
      </c>
      <c r="U103" s="9">
        <f t="shared" si="176"/>
        <v>1</v>
      </c>
      <c r="V103" s="9">
        <f t="shared" si="176"/>
        <v>1</v>
      </c>
      <c r="W103" s="9">
        <f t="shared" si="176"/>
        <v>1</v>
      </c>
      <c r="X103" s="9">
        <f t="shared" si="176"/>
        <v>1</v>
      </c>
      <c r="Y103" s="9">
        <f t="shared" si="176"/>
        <v>1</v>
      </c>
      <c r="Z103" s="9">
        <f t="shared" si="176"/>
        <v>1</v>
      </c>
      <c r="AA103" s="9">
        <f t="shared" si="176"/>
        <v>1</v>
      </c>
      <c r="AB103" s="9">
        <f t="shared" si="176"/>
        <v>1</v>
      </c>
      <c r="AC103" s="9">
        <f t="shared" si="176"/>
        <v>1</v>
      </c>
      <c r="AD103" s="9">
        <f t="shared" si="176"/>
        <v>1</v>
      </c>
      <c r="AE103" s="9">
        <f t="shared" si="176"/>
        <v>1</v>
      </c>
      <c r="AF103" s="9">
        <f t="shared" si="176"/>
        <v>1</v>
      </c>
      <c r="AG103" s="9">
        <f t="shared" si="176"/>
        <v>1</v>
      </c>
      <c r="AH103" s="9">
        <f t="shared" si="176"/>
        <v>1</v>
      </c>
      <c r="AI103" s="9">
        <f t="shared" si="176"/>
        <v>1</v>
      </c>
      <c r="AJ103" s="9">
        <f t="shared" si="176"/>
        <v>1</v>
      </c>
      <c r="AK103" s="9">
        <f t="shared" si="176"/>
        <v>1</v>
      </c>
      <c r="AL103" s="9">
        <f t="shared" si="176"/>
        <v>1</v>
      </c>
      <c r="AM103" s="9">
        <f t="shared" si="176"/>
        <v>1</v>
      </c>
      <c r="AN103" s="9">
        <f t="shared" si="176"/>
        <v>1</v>
      </c>
      <c r="AO103" s="9">
        <f t="shared" si="176"/>
        <v>1</v>
      </c>
      <c r="AP103" s="9">
        <f t="shared" si="176"/>
        <v>1</v>
      </c>
      <c r="AQ103" s="9">
        <f t="shared" si="176"/>
        <v>1</v>
      </c>
      <c r="AR103" s="9">
        <f t="shared" si="176"/>
        <v>1</v>
      </c>
      <c r="AS103" s="9">
        <f t="shared" si="176"/>
        <v>1</v>
      </c>
      <c r="AT103" s="9">
        <f t="shared" si="176"/>
        <v>1</v>
      </c>
      <c r="AU103" s="9">
        <f t="shared" si="176"/>
        <v>1</v>
      </c>
      <c r="AV103" s="9">
        <f t="shared" si="176"/>
        <v>1</v>
      </c>
      <c r="AW103" s="9">
        <f t="shared" si="176"/>
        <v>1</v>
      </c>
      <c r="AX103" s="9">
        <f t="shared" si="176"/>
        <v>1</v>
      </c>
      <c r="AY103" s="9">
        <f t="shared" si="176"/>
        <v>1</v>
      </c>
      <c r="AZ103" s="9">
        <f t="shared" si="176"/>
        <v>1</v>
      </c>
      <c r="BA103" s="9">
        <f t="shared" si="176"/>
        <v>1</v>
      </c>
      <c r="BB103" s="9">
        <f t="shared" si="176"/>
        <v>1</v>
      </c>
      <c r="BC103" s="9">
        <f t="shared" si="176"/>
        <v>1</v>
      </c>
      <c r="BD103" s="9">
        <f t="shared" si="176"/>
        <v>1</v>
      </c>
      <c r="BE103" s="9">
        <f t="shared" si="176"/>
        <v>1</v>
      </c>
      <c r="BF103" s="9">
        <f t="shared" si="176"/>
        <v>1</v>
      </c>
      <c r="BG103" s="9">
        <f t="shared" si="176"/>
        <v>1</v>
      </c>
      <c r="BH103" s="9">
        <f t="shared" si="176"/>
        <v>1</v>
      </c>
      <c r="BI103" s="9">
        <f t="shared" si="176"/>
        <v>1</v>
      </c>
      <c r="BJ103" s="9">
        <f t="shared" si="176"/>
        <v>1</v>
      </c>
      <c r="BK103" s="9">
        <f t="shared" si="176"/>
        <v>1</v>
      </c>
      <c r="BL103" s="9">
        <f t="shared" si="176"/>
        <v>1</v>
      </c>
      <c r="BM103" s="9">
        <f t="shared" si="176"/>
        <v>1</v>
      </c>
      <c r="BN103" s="9">
        <f t="shared" si="176"/>
        <v>1</v>
      </c>
      <c r="BO103" s="9">
        <f t="shared" si="176"/>
        <v>1</v>
      </c>
      <c r="BP103" s="9">
        <f t="shared" si="176"/>
        <v>1</v>
      </c>
      <c r="BQ103" s="9">
        <f t="shared" si="176"/>
        <v>1</v>
      </c>
      <c r="BR103" s="9">
        <f t="shared" si="176"/>
        <v>1</v>
      </c>
      <c r="BS103" s="9">
        <f t="shared" ref="BS103:ED103" si="177">IF(OR(BT11 = "", BT$8 &lt; BS$8), "", 1)</f>
        <v>1</v>
      </c>
      <c r="BT103" s="9">
        <f t="shared" si="177"/>
        <v>1</v>
      </c>
      <c r="BU103" s="9">
        <f t="shared" si="177"/>
        <v>1</v>
      </c>
      <c r="BV103" s="9">
        <f t="shared" si="177"/>
        <v>1</v>
      </c>
      <c r="BW103" s="9">
        <f t="shared" si="177"/>
        <v>1</v>
      </c>
      <c r="BX103" s="9">
        <f t="shared" si="177"/>
        <v>1</v>
      </c>
      <c r="BY103" s="9">
        <f t="shared" si="177"/>
        <v>1</v>
      </c>
      <c r="BZ103" s="9">
        <f t="shared" si="177"/>
        <v>1</v>
      </c>
      <c r="CA103" s="9">
        <f t="shared" si="177"/>
        <v>1</v>
      </c>
      <c r="CB103" s="9">
        <f t="shared" si="177"/>
        <v>1</v>
      </c>
      <c r="CC103" s="9">
        <f t="shared" si="177"/>
        <v>1</v>
      </c>
      <c r="CD103" s="9">
        <f t="shared" si="177"/>
        <v>1</v>
      </c>
      <c r="CE103" s="9">
        <f t="shared" si="177"/>
        <v>1</v>
      </c>
      <c r="CF103" s="9">
        <f t="shared" si="177"/>
        <v>1</v>
      </c>
      <c r="CG103" s="9">
        <f t="shared" si="177"/>
        <v>1</v>
      </c>
      <c r="CH103" s="9">
        <f t="shared" si="177"/>
        <v>1</v>
      </c>
      <c r="CI103" s="9">
        <f t="shared" si="177"/>
        <v>1</v>
      </c>
      <c r="CJ103" s="9">
        <f t="shared" si="177"/>
        <v>1</v>
      </c>
      <c r="CK103" s="9">
        <f t="shared" si="177"/>
        <v>1</v>
      </c>
      <c r="CL103" s="9">
        <f t="shared" si="177"/>
        <v>1</v>
      </c>
      <c r="CM103" s="9">
        <f t="shared" si="177"/>
        <v>1</v>
      </c>
      <c r="CN103" s="9">
        <f t="shared" si="177"/>
        <v>1</v>
      </c>
      <c r="CO103" s="9">
        <f t="shared" si="177"/>
        <v>1</v>
      </c>
      <c r="CP103" s="9">
        <f t="shared" si="177"/>
        <v>1</v>
      </c>
      <c r="CQ103" s="9">
        <f t="shared" si="177"/>
        <v>1</v>
      </c>
      <c r="CR103" s="9">
        <f t="shared" si="177"/>
        <v>1</v>
      </c>
      <c r="CS103" s="9">
        <f t="shared" si="177"/>
        <v>1</v>
      </c>
      <c r="CT103" s="9">
        <f t="shared" si="177"/>
        <v>1</v>
      </c>
      <c r="CU103" s="9">
        <f t="shared" si="177"/>
        <v>1</v>
      </c>
      <c r="CV103" s="9">
        <f t="shared" si="177"/>
        <v>1</v>
      </c>
      <c r="CW103" s="9">
        <f t="shared" si="177"/>
        <v>1</v>
      </c>
      <c r="CX103" s="9">
        <f t="shared" si="177"/>
        <v>1</v>
      </c>
      <c r="CY103" s="9">
        <f t="shared" si="177"/>
        <v>1</v>
      </c>
      <c r="CZ103" s="9">
        <f t="shared" si="177"/>
        <v>1</v>
      </c>
      <c r="DA103" s="9">
        <f t="shared" si="177"/>
        <v>1</v>
      </c>
      <c r="DB103" s="9">
        <f t="shared" si="177"/>
        <v>1</v>
      </c>
      <c r="DC103" s="9">
        <f t="shared" si="177"/>
        <v>1</v>
      </c>
      <c r="DD103" s="9">
        <f t="shared" si="177"/>
        <v>1</v>
      </c>
      <c r="DE103" s="9">
        <f t="shared" si="177"/>
        <v>1</v>
      </c>
      <c r="DF103" s="9">
        <f t="shared" si="177"/>
        <v>1</v>
      </c>
      <c r="DG103" s="9">
        <f t="shared" si="177"/>
        <v>1</v>
      </c>
      <c r="DH103" s="9">
        <f t="shared" si="177"/>
        <v>1</v>
      </c>
      <c r="DI103" s="9">
        <f t="shared" si="177"/>
        <v>1</v>
      </c>
      <c r="DJ103" s="9">
        <f t="shared" si="177"/>
        <v>1</v>
      </c>
      <c r="DK103" s="9">
        <f t="shared" si="177"/>
        <v>1</v>
      </c>
      <c r="DL103" s="9">
        <f t="shared" si="177"/>
        <v>1</v>
      </c>
      <c r="DM103" s="9">
        <f t="shared" si="177"/>
        <v>1</v>
      </c>
      <c r="DN103" s="9">
        <f t="shared" si="177"/>
        <v>1</v>
      </c>
      <c r="DO103" s="9">
        <f t="shared" si="177"/>
        <v>1</v>
      </c>
      <c r="DP103" s="9">
        <f t="shared" si="177"/>
        <v>1</v>
      </c>
      <c r="DQ103" s="9">
        <f t="shared" si="177"/>
        <v>1</v>
      </c>
      <c r="DR103" s="9">
        <f t="shared" si="177"/>
        <v>1</v>
      </c>
      <c r="DS103" s="9">
        <f t="shared" si="177"/>
        <v>1</v>
      </c>
      <c r="DT103" s="9">
        <f t="shared" si="177"/>
        <v>1</v>
      </c>
      <c r="DU103" s="9" t="str">
        <f t="shared" si="177"/>
        <v/>
      </c>
      <c r="DV103" s="9" t="str">
        <f t="shared" si="177"/>
        <v/>
      </c>
      <c r="DW103" s="9" t="str">
        <f t="shared" si="177"/>
        <v/>
      </c>
      <c r="DX103" s="9" t="str">
        <f t="shared" si="177"/>
        <v/>
      </c>
      <c r="DY103" s="9" t="str">
        <f t="shared" si="177"/>
        <v/>
      </c>
      <c r="DZ103" s="9" t="str">
        <f t="shared" si="177"/>
        <v/>
      </c>
      <c r="EA103" s="9" t="str">
        <f t="shared" si="177"/>
        <v/>
      </c>
      <c r="EB103" s="9">
        <f t="shared" si="177"/>
        <v>1</v>
      </c>
      <c r="EC103" s="9">
        <f t="shared" si="177"/>
        <v>1</v>
      </c>
      <c r="ED103" s="9">
        <f t="shared" si="177"/>
        <v>1</v>
      </c>
      <c r="EE103" s="9">
        <f t="shared" ref="EE103:GP103" si="178">IF(OR(EF11 = "", EF$8 &lt; EE$8), "", 1)</f>
        <v>1</v>
      </c>
      <c r="EF103" s="9">
        <f t="shared" si="178"/>
        <v>1</v>
      </c>
      <c r="EG103" s="9">
        <f t="shared" si="178"/>
        <v>1</v>
      </c>
      <c r="EH103" s="9">
        <f t="shared" si="178"/>
        <v>1</v>
      </c>
      <c r="EI103" s="9">
        <f t="shared" si="178"/>
        <v>1</v>
      </c>
      <c r="EJ103" s="9">
        <f t="shared" si="178"/>
        <v>1</v>
      </c>
      <c r="EK103" s="9">
        <f t="shared" si="178"/>
        <v>1</v>
      </c>
      <c r="EL103" s="9">
        <f t="shared" si="178"/>
        <v>1</v>
      </c>
      <c r="EM103" s="9">
        <f t="shared" si="178"/>
        <v>1</v>
      </c>
      <c r="EN103" s="9">
        <f t="shared" si="178"/>
        <v>1</v>
      </c>
      <c r="EO103" s="9">
        <f t="shared" si="178"/>
        <v>1</v>
      </c>
      <c r="EP103" s="9">
        <f t="shared" si="178"/>
        <v>1</v>
      </c>
      <c r="EQ103" s="9">
        <f t="shared" si="178"/>
        <v>1</v>
      </c>
      <c r="ER103" s="9">
        <f t="shared" si="178"/>
        <v>1</v>
      </c>
      <c r="ES103" s="9">
        <f t="shared" si="178"/>
        <v>1</v>
      </c>
      <c r="ET103" s="9">
        <f t="shared" si="178"/>
        <v>1</v>
      </c>
      <c r="EU103" s="9">
        <f t="shared" si="178"/>
        <v>1</v>
      </c>
      <c r="EV103" s="9">
        <f t="shared" si="178"/>
        <v>1</v>
      </c>
      <c r="EW103" s="9">
        <f t="shared" si="178"/>
        <v>1</v>
      </c>
      <c r="EX103" s="9">
        <f t="shared" si="178"/>
        <v>1</v>
      </c>
      <c r="EY103" s="9">
        <f t="shared" si="178"/>
        <v>1</v>
      </c>
      <c r="EZ103" s="9">
        <f t="shared" si="178"/>
        <v>1</v>
      </c>
      <c r="FA103" s="9">
        <f t="shared" si="178"/>
        <v>1</v>
      </c>
      <c r="FB103" s="9">
        <f t="shared" si="178"/>
        <v>1</v>
      </c>
      <c r="FC103" s="9">
        <f t="shared" si="178"/>
        <v>1</v>
      </c>
      <c r="FD103" s="9">
        <f t="shared" si="178"/>
        <v>1</v>
      </c>
      <c r="FE103" s="9">
        <f t="shared" si="178"/>
        <v>1</v>
      </c>
      <c r="FF103" s="9">
        <f t="shared" si="178"/>
        <v>1</v>
      </c>
      <c r="FG103" s="9">
        <f t="shared" si="178"/>
        <v>1</v>
      </c>
      <c r="FH103" s="9">
        <f t="shared" si="178"/>
        <v>1</v>
      </c>
      <c r="FI103" s="9">
        <f t="shared" si="178"/>
        <v>1</v>
      </c>
      <c r="FJ103" s="9">
        <f t="shared" si="178"/>
        <v>1</v>
      </c>
      <c r="FK103" s="9">
        <f t="shared" si="178"/>
        <v>1</v>
      </c>
      <c r="FL103" s="9">
        <f t="shared" si="178"/>
        <v>1</v>
      </c>
      <c r="FM103" s="9">
        <f t="shared" si="178"/>
        <v>1</v>
      </c>
      <c r="FN103" s="9">
        <f t="shared" si="178"/>
        <v>1</v>
      </c>
      <c r="FO103" s="9">
        <f t="shared" si="178"/>
        <v>1</v>
      </c>
      <c r="FP103" s="9">
        <f t="shared" si="178"/>
        <v>1</v>
      </c>
      <c r="FQ103" s="9">
        <f t="shared" si="178"/>
        <v>1</v>
      </c>
      <c r="FR103" s="9">
        <f t="shared" si="178"/>
        <v>1</v>
      </c>
      <c r="FS103" s="9">
        <f t="shared" si="178"/>
        <v>1</v>
      </c>
      <c r="FT103" s="9">
        <f t="shared" si="178"/>
        <v>1</v>
      </c>
      <c r="FU103" s="9">
        <f t="shared" si="178"/>
        <v>1</v>
      </c>
      <c r="FV103" s="9">
        <f t="shared" si="178"/>
        <v>1</v>
      </c>
      <c r="FW103" s="9">
        <f t="shared" si="178"/>
        <v>1</v>
      </c>
      <c r="FX103" s="9">
        <f t="shared" si="178"/>
        <v>1</v>
      </c>
      <c r="FY103" s="9">
        <f t="shared" si="178"/>
        <v>1</v>
      </c>
      <c r="FZ103" s="9">
        <f t="shared" si="178"/>
        <v>1</v>
      </c>
      <c r="GA103" s="9">
        <f t="shared" si="178"/>
        <v>1</v>
      </c>
      <c r="GB103" s="9">
        <f t="shared" si="178"/>
        <v>1</v>
      </c>
      <c r="GC103" s="9">
        <f t="shared" si="178"/>
        <v>1</v>
      </c>
      <c r="GD103" s="9">
        <f t="shared" si="178"/>
        <v>1</v>
      </c>
      <c r="GE103" s="9">
        <f t="shared" si="178"/>
        <v>1</v>
      </c>
      <c r="GF103" s="9">
        <f t="shared" si="178"/>
        <v>1</v>
      </c>
      <c r="GG103" s="9">
        <f t="shared" si="178"/>
        <v>1</v>
      </c>
      <c r="GH103" s="9">
        <f t="shared" si="178"/>
        <v>1</v>
      </c>
      <c r="GI103" s="9">
        <f t="shared" si="178"/>
        <v>1</v>
      </c>
      <c r="GJ103" s="9">
        <f t="shared" si="178"/>
        <v>1</v>
      </c>
      <c r="GK103" s="9">
        <f t="shared" si="178"/>
        <v>1</v>
      </c>
      <c r="GL103" s="9">
        <f t="shared" si="178"/>
        <v>1</v>
      </c>
      <c r="GM103" s="9">
        <f t="shared" si="178"/>
        <v>1</v>
      </c>
      <c r="GN103" s="9">
        <f t="shared" si="178"/>
        <v>1</v>
      </c>
      <c r="GO103" s="9">
        <f t="shared" si="178"/>
        <v>1</v>
      </c>
      <c r="GP103" s="9">
        <f t="shared" si="178"/>
        <v>1</v>
      </c>
      <c r="GQ103" s="9">
        <f t="shared" ref="GQ103:IV103" si="179">IF(OR(GR11 = "", GR$8 &lt; GQ$8), "", 1)</f>
        <v>1</v>
      </c>
      <c r="GR103" s="9">
        <f t="shared" si="179"/>
        <v>1</v>
      </c>
      <c r="GS103" s="9">
        <f t="shared" si="179"/>
        <v>1</v>
      </c>
      <c r="GT103" s="9">
        <f t="shared" si="179"/>
        <v>1</v>
      </c>
      <c r="GU103" s="9">
        <f t="shared" si="179"/>
        <v>1</v>
      </c>
      <c r="GV103" s="9">
        <f t="shared" si="179"/>
        <v>1</v>
      </c>
      <c r="GW103" s="9">
        <f t="shared" si="179"/>
        <v>1</v>
      </c>
      <c r="GX103" s="9">
        <f t="shared" si="179"/>
        <v>1</v>
      </c>
      <c r="GY103" s="9">
        <f t="shared" si="179"/>
        <v>1</v>
      </c>
      <c r="GZ103" s="9">
        <f t="shared" si="179"/>
        <v>1</v>
      </c>
      <c r="HA103" s="9">
        <f t="shared" si="179"/>
        <v>1</v>
      </c>
      <c r="HB103" s="9">
        <f t="shared" si="179"/>
        <v>1</v>
      </c>
      <c r="HC103" s="9">
        <f t="shared" si="179"/>
        <v>1</v>
      </c>
      <c r="HD103" s="9">
        <f t="shared" si="179"/>
        <v>1</v>
      </c>
      <c r="HE103" s="9">
        <f t="shared" si="179"/>
        <v>1</v>
      </c>
      <c r="HF103" s="9">
        <f t="shared" si="179"/>
        <v>1</v>
      </c>
      <c r="HG103" s="9">
        <f t="shared" si="179"/>
        <v>1</v>
      </c>
      <c r="HH103" s="9">
        <f t="shared" si="179"/>
        <v>1</v>
      </c>
      <c r="HI103" s="9">
        <f t="shared" si="179"/>
        <v>1</v>
      </c>
      <c r="HJ103" s="9">
        <f t="shared" si="179"/>
        <v>1</v>
      </c>
      <c r="HK103" s="9">
        <f t="shared" si="179"/>
        <v>1</v>
      </c>
      <c r="HL103" s="9">
        <f t="shared" si="179"/>
        <v>1</v>
      </c>
      <c r="HM103" s="9">
        <f t="shared" si="179"/>
        <v>1</v>
      </c>
      <c r="HN103" s="9">
        <f t="shared" si="179"/>
        <v>1</v>
      </c>
      <c r="HO103" s="9">
        <f t="shared" si="179"/>
        <v>1</v>
      </c>
      <c r="HP103" s="9">
        <f t="shared" si="179"/>
        <v>1</v>
      </c>
      <c r="HQ103" s="9">
        <f t="shared" si="179"/>
        <v>1</v>
      </c>
      <c r="HR103" s="9">
        <f t="shared" si="179"/>
        <v>1</v>
      </c>
      <c r="HS103" s="9">
        <f t="shared" si="179"/>
        <v>1</v>
      </c>
      <c r="HT103" s="9">
        <f t="shared" si="179"/>
        <v>1</v>
      </c>
      <c r="HU103" s="9">
        <f t="shared" si="179"/>
        <v>1</v>
      </c>
      <c r="HV103" s="9">
        <f t="shared" si="179"/>
        <v>1</v>
      </c>
      <c r="HW103" s="9">
        <f t="shared" si="179"/>
        <v>1</v>
      </c>
      <c r="HX103" s="9">
        <f t="shared" si="179"/>
        <v>1</v>
      </c>
      <c r="HY103" s="9">
        <f t="shared" si="179"/>
        <v>1</v>
      </c>
      <c r="HZ103" s="9">
        <f t="shared" si="179"/>
        <v>1</v>
      </c>
      <c r="IA103" s="9">
        <f t="shared" si="179"/>
        <v>1</v>
      </c>
      <c r="IB103" s="9">
        <f t="shared" si="179"/>
        <v>1</v>
      </c>
      <c r="IC103" s="9">
        <f t="shared" si="179"/>
        <v>1</v>
      </c>
      <c r="ID103" s="9">
        <f t="shared" si="179"/>
        <v>1</v>
      </c>
      <c r="IE103" s="9">
        <f t="shared" si="179"/>
        <v>1</v>
      </c>
      <c r="IF103" s="9">
        <f t="shared" si="179"/>
        <v>1</v>
      </c>
      <c r="IG103" s="9">
        <f t="shared" si="179"/>
        <v>1</v>
      </c>
      <c r="IH103" s="9">
        <f t="shared" si="179"/>
        <v>1</v>
      </c>
      <c r="II103" s="9">
        <f t="shared" si="179"/>
        <v>1</v>
      </c>
      <c r="IJ103" s="9">
        <f t="shared" si="179"/>
        <v>1</v>
      </c>
      <c r="IK103" s="9">
        <f t="shared" si="179"/>
        <v>1</v>
      </c>
      <c r="IL103" s="9">
        <f t="shared" si="179"/>
        <v>1</v>
      </c>
      <c r="IM103" s="9">
        <f t="shared" si="179"/>
        <v>1</v>
      </c>
      <c r="IN103" s="9">
        <f t="shared" si="179"/>
        <v>1</v>
      </c>
      <c r="IO103" s="9">
        <f t="shared" si="179"/>
        <v>1</v>
      </c>
      <c r="IP103" s="9" t="str">
        <f t="shared" si="179"/>
        <v/>
      </c>
      <c r="IQ103" s="9" t="str">
        <f t="shared" si="179"/>
        <v/>
      </c>
      <c r="IR103" s="9" t="str">
        <f t="shared" si="179"/>
        <v/>
      </c>
      <c r="IS103" s="9" t="str">
        <f t="shared" si="179"/>
        <v/>
      </c>
      <c r="IT103" s="9" t="str">
        <f t="shared" si="179"/>
        <v/>
      </c>
      <c r="IU103" s="9" t="str">
        <f t="shared" si="179"/>
        <v/>
      </c>
      <c r="IV103" s="9" t="str">
        <f t="shared" si="179"/>
        <v/>
      </c>
    </row>
    <row r="104" spans="6:256" x14ac:dyDescent="0.2">
      <c r="F104">
        <v>201412</v>
      </c>
      <c r="G104" s="9">
        <f t="shared" ref="G104:BR104" si="180">IF(OR(H12 = "", H$8 &lt; G$8), "", 1)</f>
        <v>1</v>
      </c>
      <c r="H104" s="9">
        <f t="shared" si="180"/>
        <v>1</v>
      </c>
      <c r="I104" s="9">
        <f t="shared" si="180"/>
        <v>1</v>
      </c>
      <c r="J104" s="9">
        <f t="shared" si="180"/>
        <v>1</v>
      </c>
      <c r="K104" s="9">
        <f t="shared" si="180"/>
        <v>1</v>
      </c>
      <c r="L104" s="9">
        <f t="shared" si="180"/>
        <v>1</v>
      </c>
      <c r="M104" s="9">
        <f t="shared" si="180"/>
        <v>1</v>
      </c>
      <c r="N104" s="9">
        <f t="shared" si="180"/>
        <v>1</v>
      </c>
      <c r="O104" s="9">
        <f t="shared" si="180"/>
        <v>1</v>
      </c>
      <c r="P104" s="9">
        <f t="shared" si="180"/>
        <v>1</v>
      </c>
      <c r="Q104" s="9">
        <f t="shared" si="180"/>
        <v>1</v>
      </c>
      <c r="R104" s="9">
        <f t="shared" si="180"/>
        <v>1</v>
      </c>
      <c r="S104" s="9">
        <f t="shared" si="180"/>
        <v>1</v>
      </c>
      <c r="T104" s="9">
        <f t="shared" si="180"/>
        <v>1</v>
      </c>
      <c r="U104" s="9">
        <f t="shared" si="180"/>
        <v>1</v>
      </c>
      <c r="V104" s="9">
        <f t="shared" si="180"/>
        <v>1</v>
      </c>
      <c r="W104" s="9">
        <f t="shared" si="180"/>
        <v>1</v>
      </c>
      <c r="X104" s="9">
        <f t="shared" si="180"/>
        <v>1</v>
      </c>
      <c r="Y104" s="9">
        <f t="shared" si="180"/>
        <v>1</v>
      </c>
      <c r="Z104" s="9">
        <f t="shared" si="180"/>
        <v>1</v>
      </c>
      <c r="AA104" s="9">
        <f t="shared" si="180"/>
        <v>1</v>
      </c>
      <c r="AB104" s="9">
        <f t="shared" si="180"/>
        <v>1</v>
      </c>
      <c r="AC104" s="9">
        <f t="shared" si="180"/>
        <v>1</v>
      </c>
      <c r="AD104" s="9">
        <f t="shared" si="180"/>
        <v>1</v>
      </c>
      <c r="AE104" s="9">
        <f t="shared" si="180"/>
        <v>1</v>
      </c>
      <c r="AF104" s="9">
        <f t="shared" si="180"/>
        <v>1</v>
      </c>
      <c r="AG104" s="9">
        <f t="shared" si="180"/>
        <v>1</v>
      </c>
      <c r="AH104" s="9">
        <f t="shared" si="180"/>
        <v>1</v>
      </c>
      <c r="AI104" s="9">
        <f t="shared" si="180"/>
        <v>1</v>
      </c>
      <c r="AJ104" s="9">
        <f t="shared" si="180"/>
        <v>1</v>
      </c>
      <c r="AK104" s="9">
        <f t="shared" si="180"/>
        <v>1</v>
      </c>
      <c r="AL104" s="9">
        <f t="shared" si="180"/>
        <v>1</v>
      </c>
      <c r="AM104" s="9">
        <f t="shared" si="180"/>
        <v>1</v>
      </c>
      <c r="AN104" s="9">
        <f t="shared" si="180"/>
        <v>1</v>
      </c>
      <c r="AO104" s="9">
        <f t="shared" si="180"/>
        <v>1</v>
      </c>
      <c r="AP104" s="9">
        <f t="shared" si="180"/>
        <v>1</v>
      </c>
      <c r="AQ104" s="9">
        <f t="shared" si="180"/>
        <v>1</v>
      </c>
      <c r="AR104" s="9">
        <f t="shared" si="180"/>
        <v>1</v>
      </c>
      <c r="AS104" s="9">
        <f t="shared" si="180"/>
        <v>1</v>
      </c>
      <c r="AT104" s="9">
        <f t="shared" si="180"/>
        <v>1</v>
      </c>
      <c r="AU104" s="9">
        <f t="shared" si="180"/>
        <v>1</v>
      </c>
      <c r="AV104" s="9">
        <f t="shared" si="180"/>
        <v>1</v>
      </c>
      <c r="AW104" s="9">
        <f t="shared" si="180"/>
        <v>1</v>
      </c>
      <c r="AX104" s="9">
        <f t="shared" si="180"/>
        <v>1</v>
      </c>
      <c r="AY104" s="9">
        <f t="shared" si="180"/>
        <v>1</v>
      </c>
      <c r="AZ104" s="9">
        <f t="shared" si="180"/>
        <v>1</v>
      </c>
      <c r="BA104" s="9">
        <f t="shared" si="180"/>
        <v>1</v>
      </c>
      <c r="BB104" s="9">
        <f t="shared" si="180"/>
        <v>1</v>
      </c>
      <c r="BC104" s="9">
        <f t="shared" si="180"/>
        <v>1</v>
      </c>
      <c r="BD104" s="9">
        <f t="shared" si="180"/>
        <v>1</v>
      </c>
      <c r="BE104" s="9">
        <f t="shared" si="180"/>
        <v>1</v>
      </c>
      <c r="BF104" s="9">
        <f t="shared" si="180"/>
        <v>1</v>
      </c>
      <c r="BG104" s="9">
        <f t="shared" si="180"/>
        <v>1</v>
      </c>
      <c r="BH104" s="9">
        <f t="shared" si="180"/>
        <v>1</v>
      </c>
      <c r="BI104" s="9">
        <f t="shared" si="180"/>
        <v>1</v>
      </c>
      <c r="BJ104" s="9">
        <f t="shared" si="180"/>
        <v>1</v>
      </c>
      <c r="BK104" s="9">
        <f t="shared" si="180"/>
        <v>1</v>
      </c>
      <c r="BL104" s="9">
        <f t="shared" si="180"/>
        <v>1</v>
      </c>
      <c r="BM104" s="9">
        <f t="shared" si="180"/>
        <v>1</v>
      </c>
      <c r="BN104" s="9">
        <f t="shared" si="180"/>
        <v>1</v>
      </c>
      <c r="BO104" s="9">
        <f t="shared" si="180"/>
        <v>1</v>
      </c>
      <c r="BP104" s="9">
        <f t="shared" si="180"/>
        <v>1</v>
      </c>
      <c r="BQ104" s="9">
        <f t="shared" si="180"/>
        <v>1</v>
      </c>
      <c r="BR104" s="9">
        <f t="shared" si="180"/>
        <v>1</v>
      </c>
      <c r="BS104" s="9">
        <f t="shared" ref="BS104:ED104" si="181">IF(OR(BT12 = "", BT$8 &lt; BS$8), "", 1)</f>
        <v>1</v>
      </c>
      <c r="BT104" s="9">
        <f t="shared" si="181"/>
        <v>1</v>
      </c>
      <c r="BU104" s="9">
        <f t="shared" si="181"/>
        <v>1</v>
      </c>
      <c r="BV104" s="9">
        <f t="shared" si="181"/>
        <v>1</v>
      </c>
      <c r="BW104" s="9">
        <f t="shared" si="181"/>
        <v>1</v>
      </c>
      <c r="BX104" s="9">
        <f t="shared" si="181"/>
        <v>1</v>
      </c>
      <c r="BY104" s="9">
        <f t="shared" si="181"/>
        <v>1</v>
      </c>
      <c r="BZ104" s="9">
        <f t="shared" si="181"/>
        <v>1</v>
      </c>
      <c r="CA104" s="9">
        <f t="shared" si="181"/>
        <v>1</v>
      </c>
      <c r="CB104" s="9">
        <f t="shared" si="181"/>
        <v>1</v>
      </c>
      <c r="CC104" s="9">
        <f t="shared" si="181"/>
        <v>1</v>
      </c>
      <c r="CD104" s="9">
        <f t="shared" si="181"/>
        <v>1</v>
      </c>
      <c r="CE104" s="9">
        <f t="shared" si="181"/>
        <v>1</v>
      </c>
      <c r="CF104" s="9">
        <f t="shared" si="181"/>
        <v>1</v>
      </c>
      <c r="CG104" s="9">
        <f t="shared" si="181"/>
        <v>1</v>
      </c>
      <c r="CH104" s="9">
        <f t="shared" si="181"/>
        <v>1</v>
      </c>
      <c r="CI104" s="9">
        <f t="shared" si="181"/>
        <v>1</v>
      </c>
      <c r="CJ104" s="9">
        <f t="shared" si="181"/>
        <v>1</v>
      </c>
      <c r="CK104" s="9">
        <f t="shared" si="181"/>
        <v>1</v>
      </c>
      <c r="CL104" s="9">
        <f t="shared" si="181"/>
        <v>1</v>
      </c>
      <c r="CM104" s="9">
        <f t="shared" si="181"/>
        <v>1</v>
      </c>
      <c r="CN104" s="9">
        <f t="shared" si="181"/>
        <v>1</v>
      </c>
      <c r="CO104" s="9">
        <f t="shared" si="181"/>
        <v>1</v>
      </c>
      <c r="CP104" s="9">
        <f t="shared" si="181"/>
        <v>1</v>
      </c>
      <c r="CQ104" s="9">
        <f t="shared" si="181"/>
        <v>1</v>
      </c>
      <c r="CR104" s="9">
        <f t="shared" si="181"/>
        <v>1</v>
      </c>
      <c r="CS104" s="9">
        <f t="shared" si="181"/>
        <v>1</v>
      </c>
      <c r="CT104" s="9">
        <f t="shared" si="181"/>
        <v>1</v>
      </c>
      <c r="CU104" s="9">
        <f t="shared" si="181"/>
        <v>1</v>
      </c>
      <c r="CV104" s="9">
        <f t="shared" si="181"/>
        <v>1</v>
      </c>
      <c r="CW104" s="9">
        <f t="shared" si="181"/>
        <v>1</v>
      </c>
      <c r="CX104" s="9">
        <f t="shared" si="181"/>
        <v>1</v>
      </c>
      <c r="CY104" s="9">
        <f t="shared" si="181"/>
        <v>1</v>
      </c>
      <c r="CZ104" s="9">
        <f t="shared" si="181"/>
        <v>1</v>
      </c>
      <c r="DA104" s="9">
        <f t="shared" si="181"/>
        <v>1</v>
      </c>
      <c r="DB104" s="9">
        <f t="shared" si="181"/>
        <v>1</v>
      </c>
      <c r="DC104" s="9">
        <f t="shared" si="181"/>
        <v>1</v>
      </c>
      <c r="DD104" s="9">
        <f t="shared" si="181"/>
        <v>1</v>
      </c>
      <c r="DE104" s="9">
        <f t="shared" si="181"/>
        <v>1</v>
      </c>
      <c r="DF104" s="9">
        <f t="shared" si="181"/>
        <v>1</v>
      </c>
      <c r="DG104" s="9">
        <f t="shared" si="181"/>
        <v>1</v>
      </c>
      <c r="DH104" s="9">
        <f t="shared" si="181"/>
        <v>1</v>
      </c>
      <c r="DI104" s="9">
        <f t="shared" si="181"/>
        <v>1</v>
      </c>
      <c r="DJ104" s="9">
        <f t="shared" si="181"/>
        <v>1</v>
      </c>
      <c r="DK104" s="9">
        <f t="shared" si="181"/>
        <v>1</v>
      </c>
      <c r="DL104" s="9">
        <f t="shared" si="181"/>
        <v>1</v>
      </c>
      <c r="DM104" s="9">
        <f t="shared" si="181"/>
        <v>1</v>
      </c>
      <c r="DN104" s="9">
        <f t="shared" si="181"/>
        <v>1</v>
      </c>
      <c r="DO104" s="9">
        <f t="shared" si="181"/>
        <v>1</v>
      </c>
      <c r="DP104" s="9">
        <f t="shared" si="181"/>
        <v>1</v>
      </c>
      <c r="DQ104" s="9">
        <f t="shared" si="181"/>
        <v>1</v>
      </c>
      <c r="DR104" s="9" t="str">
        <f t="shared" si="181"/>
        <v/>
      </c>
      <c r="DS104" s="9" t="str">
        <f t="shared" si="181"/>
        <v/>
      </c>
      <c r="DT104" s="9" t="str">
        <f t="shared" si="181"/>
        <v/>
      </c>
      <c r="DU104" s="9" t="str">
        <f t="shared" si="181"/>
        <v/>
      </c>
      <c r="DV104" s="9" t="str">
        <f t="shared" si="181"/>
        <v/>
      </c>
      <c r="DW104" s="9" t="str">
        <f t="shared" si="181"/>
        <v/>
      </c>
      <c r="DX104" s="9" t="str">
        <f t="shared" si="181"/>
        <v/>
      </c>
      <c r="DY104" s="9" t="str">
        <f t="shared" si="181"/>
        <v/>
      </c>
      <c r="DZ104" s="9" t="str">
        <f t="shared" si="181"/>
        <v/>
      </c>
      <c r="EA104" s="9" t="str">
        <f t="shared" si="181"/>
        <v/>
      </c>
      <c r="EB104" s="9">
        <f t="shared" si="181"/>
        <v>1</v>
      </c>
      <c r="EC104" s="9">
        <f t="shared" si="181"/>
        <v>1</v>
      </c>
      <c r="ED104" s="9">
        <f t="shared" si="181"/>
        <v>1</v>
      </c>
      <c r="EE104" s="9">
        <f t="shared" ref="EE104:GP104" si="182">IF(OR(EF12 = "", EF$8 &lt; EE$8), "", 1)</f>
        <v>1</v>
      </c>
      <c r="EF104" s="9">
        <f t="shared" si="182"/>
        <v>1</v>
      </c>
      <c r="EG104" s="9">
        <f t="shared" si="182"/>
        <v>1</v>
      </c>
      <c r="EH104" s="9">
        <f t="shared" si="182"/>
        <v>1</v>
      </c>
      <c r="EI104" s="9">
        <f t="shared" si="182"/>
        <v>1</v>
      </c>
      <c r="EJ104" s="9">
        <f t="shared" si="182"/>
        <v>1</v>
      </c>
      <c r="EK104" s="9">
        <f t="shared" si="182"/>
        <v>1</v>
      </c>
      <c r="EL104" s="9">
        <f t="shared" si="182"/>
        <v>1</v>
      </c>
      <c r="EM104" s="9">
        <f t="shared" si="182"/>
        <v>1</v>
      </c>
      <c r="EN104" s="9">
        <f t="shared" si="182"/>
        <v>1</v>
      </c>
      <c r="EO104" s="9">
        <f t="shared" si="182"/>
        <v>1</v>
      </c>
      <c r="EP104" s="9">
        <f t="shared" si="182"/>
        <v>1</v>
      </c>
      <c r="EQ104" s="9">
        <f t="shared" si="182"/>
        <v>1</v>
      </c>
      <c r="ER104" s="9">
        <f t="shared" si="182"/>
        <v>1</v>
      </c>
      <c r="ES104" s="9">
        <f t="shared" si="182"/>
        <v>1</v>
      </c>
      <c r="ET104" s="9">
        <f t="shared" si="182"/>
        <v>1</v>
      </c>
      <c r="EU104" s="9">
        <f t="shared" si="182"/>
        <v>1</v>
      </c>
      <c r="EV104" s="9">
        <f t="shared" si="182"/>
        <v>1</v>
      </c>
      <c r="EW104" s="9">
        <f t="shared" si="182"/>
        <v>1</v>
      </c>
      <c r="EX104" s="9">
        <f t="shared" si="182"/>
        <v>1</v>
      </c>
      <c r="EY104" s="9">
        <f t="shared" si="182"/>
        <v>1</v>
      </c>
      <c r="EZ104" s="9">
        <f t="shared" si="182"/>
        <v>1</v>
      </c>
      <c r="FA104" s="9">
        <f t="shared" si="182"/>
        <v>1</v>
      </c>
      <c r="FB104" s="9">
        <f t="shared" si="182"/>
        <v>1</v>
      </c>
      <c r="FC104" s="9">
        <f t="shared" si="182"/>
        <v>1</v>
      </c>
      <c r="FD104" s="9">
        <f t="shared" si="182"/>
        <v>1</v>
      </c>
      <c r="FE104" s="9">
        <f t="shared" si="182"/>
        <v>1</v>
      </c>
      <c r="FF104" s="9">
        <f t="shared" si="182"/>
        <v>1</v>
      </c>
      <c r="FG104" s="9">
        <f t="shared" si="182"/>
        <v>1</v>
      </c>
      <c r="FH104" s="9">
        <f t="shared" si="182"/>
        <v>1</v>
      </c>
      <c r="FI104" s="9">
        <f t="shared" si="182"/>
        <v>1</v>
      </c>
      <c r="FJ104" s="9">
        <f t="shared" si="182"/>
        <v>1</v>
      </c>
      <c r="FK104" s="9">
        <f t="shared" si="182"/>
        <v>1</v>
      </c>
      <c r="FL104" s="9">
        <f t="shared" si="182"/>
        <v>1</v>
      </c>
      <c r="FM104" s="9">
        <f t="shared" si="182"/>
        <v>1</v>
      </c>
      <c r="FN104" s="9">
        <f t="shared" si="182"/>
        <v>1</v>
      </c>
      <c r="FO104" s="9">
        <f t="shared" si="182"/>
        <v>1</v>
      </c>
      <c r="FP104" s="9">
        <f t="shared" si="182"/>
        <v>1</v>
      </c>
      <c r="FQ104" s="9">
        <f t="shared" si="182"/>
        <v>1</v>
      </c>
      <c r="FR104" s="9">
        <f t="shared" si="182"/>
        <v>1</v>
      </c>
      <c r="FS104" s="9">
        <f t="shared" si="182"/>
        <v>1</v>
      </c>
      <c r="FT104" s="9">
        <f t="shared" si="182"/>
        <v>1</v>
      </c>
      <c r="FU104" s="9">
        <f t="shared" si="182"/>
        <v>1</v>
      </c>
      <c r="FV104" s="9">
        <f t="shared" si="182"/>
        <v>1</v>
      </c>
      <c r="FW104" s="9">
        <f t="shared" si="182"/>
        <v>1</v>
      </c>
      <c r="FX104" s="9">
        <f t="shared" si="182"/>
        <v>1</v>
      </c>
      <c r="FY104" s="9">
        <f t="shared" si="182"/>
        <v>1</v>
      </c>
      <c r="FZ104" s="9">
        <f t="shared" si="182"/>
        <v>1</v>
      </c>
      <c r="GA104" s="9">
        <f t="shared" si="182"/>
        <v>1</v>
      </c>
      <c r="GB104" s="9">
        <f t="shared" si="182"/>
        <v>1</v>
      </c>
      <c r="GC104" s="9">
        <f t="shared" si="182"/>
        <v>1</v>
      </c>
      <c r="GD104" s="9">
        <f t="shared" si="182"/>
        <v>1</v>
      </c>
      <c r="GE104" s="9">
        <f t="shared" si="182"/>
        <v>1</v>
      </c>
      <c r="GF104" s="9">
        <f t="shared" si="182"/>
        <v>1</v>
      </c>
      <c r="GG104" s="9">
        <f t="shared" si="182"/>
        <v>1</v>
      </c>
      <c r="GH104" s="9">
        <f t="shared" si="182"/>
        <v>1</v>
      </c>
      <c r="GI104" s="9">
        <f t="shared" si="182"/>
        <v>1</v>
      </c>
      <c r="GJ104" s="9">
        <f t="shared" si="182"/>
        <v>1</v>
      </c>
      <c r="GK104" s="9">
        <f t="shared" si="182"/>
        <v>1</v>
      </c>
      <c r="GL104" s="9">
        <f t="shared" si="182"/>
        <v>1</v>
      </c>
      <c r="GM104" s="9">
        <f t="shared" si="182"/>
        <v>1</v>
      </c>
      <c r="GN104" s="9">
        <f t="shared" si="182"/>
        <v>1</v>
      </c>
      <c r="GO104" s="9">
        <f t="shared" si="182"/>
        <v>1</v>
      </c>
      <c r="GP104" s="9">
        <f t="shared" si="182"/>
        <v>1</v>
      </c>
      <c r="GQ104" s="9">
        <f t="shared" ref="GQ104:IV104" si="183">IF(OR(GR12 = "", GR$8 &lt; GQ$8), "", 1)</f>
        <v>1</v>
      </c>
      <c r="GR104" s="9">
        <f t="shared" si="183"/>
        <v>1</v>
      </c>
      <c r="GS104" s="9">
        <f t="shared" si="183"/>
        <v>1</v>
      </c>
      <c r="GT104" s="9">
        <f t="shared" si="183"/>
        <v>1</v>
      </c>
      <c r="GU104" s="9">
        <f t="shared" si="183"/>
        <v>1</v>
      </c>
      <c r="GV104" s="9">
        <f t="shared" si="183"/>
        <v>1</v>
      </c>
      <c r="GW104" s="9">
        <f t="shared" si="183"/>
        <v>1</v>
      </c>
      <c r="GX104" s="9">
        <f t="shared" si="183"/>
        <v>1</v>
      </c>
      <c r="GY104" s="9">
        <f t="shared" si="183"/>
        <v>1</v>
      </c>
      <c r="GZ104" s="9">
        <f t="shared" si="183"/>
        <v>1</v>
      </c>
      <c r="HA104" s="9">
        <f t="shared" si="183"/>
        <v>1</v>
      </c>
      <c r="HB104" s="9">
        <f t="shared" si="183"/>
        <v>1</v>
      </c>
      <c r="HC104" s="9">
        <f t="shared" si="183"/>
        <v>1</v>
      </c>
      <c r="HD104" s="9">
        <f t="shared" si="183"/>
        <v>1</v>
      </c>
      <c r="HE104" s="9">
        <f t="shared" si="183"/>
        <v>1</v>
      </c>
      <c r="HF104" s="9">
        <f t="shared" si="183"/>
        <v>1</v>
      </c>
      <c r="HG104" s="9">
        <f t="shared" si="183"/>
        <v>1</v>
      </c>
      <c r="HH104" s="9">
        <f t="shared" si="183"/>
        <v>1</v>
      </c>
      <c r="HI104" s="9">
        <f t="shared" si="183"/>
        <v>1</v>
      </c>
      <c r="HJ104" s="9">
        <f t="shared" si="183"/>
        <v>1</v>
      </c>
      <c r="HK104" s="9">
        <f t="shared" si="183"/>
        <v>1</v>
      </c>
      <c r="HL104" s="9">
        <f t="shared" si="183"/>
        <v>1</v>
      </c>
      <c r="HM104" s="9">
        <f t="shared" si="183"/>
        <v>1</v>
      </c>
      <c r="HN104" s="9">
        <f t="shared" si="183"/>
        <v>1</v>
      </c>
      <c r="HO104" s="9">
        <f t="shared" si="183"/>
        <v>1</v>
      </c>
      <c r="HP104" s="9">
        <f t="shared" si="183"/>
        <v>1</v>
      </c>
      <c r="HQ104" s="9">
        <f t="shared" si="183"/>
        <v>1</v>
      </c>
      <c r="HR104" s="9">
        <f t="shared" si="183"/>
        <v>1</v>
      </c>
      <c r="HS104" s="9">
        <f t="shared" si="183"/>
        <v>1</v>
      </c>
      <c r="HT104" s="9">
        <f t="shared" si="183"/>
        <v>1</v>
      </c>
      <c r="HU104" s="9">
        <f t="shared" si="183"/>
        <v>1</v>
      </c>
      <c r="HV104" s="9">
        <f t="shared" si="183"/>
        <v>1</v>
      </c>
      <c r="HW104" s="9">
        <f t="shared" si="183"/>
        <v>1</v>
      </c>
      <c r="HX104" s="9">
        <f t="shared" si="183"/>
        <v>1</v>
      </c>
      <c r="HY104" s="9">
        <f t="shared" si="183"/>
        <v>1</v>
      </c>
      <c r="HZ104" s="9">
        <f t="shared" si="183"/>
        <v>1</v>
      </c>
      <c r="IA104" s="9">
        <f t="shared" si="183"/>
        <v>1</v>
      </c>
      <c r="IB104" s="9">
        <f t="shared" si="183"/>
        <v>1</v>
      </c>
      <c r="IC104" s="9">
        <f t="shared" si="183"/>
        <v>1</v>
      </c>
      <c r="ID104" s="9">
        <f t="shared" si="183"/>
        <v>1</v>
      </c>
      <c r="IE104" s="9">
        <f t="shared" si="183"/>
        <v>1</v>
      </c>
      <c r="IF104" s="9">
        <f t="shared" si="183"/>
        <v>1</v>
      </c>
      <c r="IG104" s="9">
        <f t="shared" si="183"/>
        <v>1</v>
      </c>
      <c r="IH104" s="9">
        <f t="shared" si="183"/>
        <v>1</v>
      </c>
      <c r="II104" s="9">
        <f t="shared" si="183"/>
        <v>1</v>
      </c>
      <c r="IJ104" s="9">
        <f t="shared" si="183"/>
        <v>1</v>
      </c>
      <c r="IK104" s="9">
        <f t="shared" si="183"/>
        <v>1</v>
      </c>
      <c r="IL104" s="9">
        <f t="shared" si="183"/>
        <v>1</v>
      </c>
      <c r="IM104" s="9" t="str">
        <f t="shared" si="183"/>
        <v/>
      </c>
      <c r="IN104" s="9" t="str">
        <f t="shared" si="183"/>
        <v/>
      </c>
      <c r="IO104" s="9" t="str">
        <f t="shared" si="183"/>
        <v/>
      </c>
      <c r="IP104" s="9" t="str">
        <f t="shared" si="183"/>
        <v/>
      </c>
      <c r="IQ104" s="9" t="str">
        <f t="shared" si="183"/>
        <v/>
      </c>
      <c r="IR104" s="9" t="str">
        <f t="shared" si="183"/>
        <v/>
      </c>
      <c r="IS104" s="9" t="str">
        <f t="shared" si="183"/>
        <v/>
      </c>
      <c r="IT104" s="9" t="str">
        <f t="shared" si="183"/>
        <v/>
      </c>
      <c r="IU104" s="9" t="str">
        <f t="shared" si="183"/>
        <v/>
      </c>
      <c r="IV104" s="9" t="str">
        <f t="shared" si="183"/>
        <v/>
      </c>
    </row>
    <row r="105" spans="6:256" x14ac:dyDescent="0.2">
      <c r="F105">
        <v>201503</v>
      </c>
      <c r="G105" s="9">
        <f t="shared" ref="G105:BR105" si="184">IF(OR(H13 = "", H$8 &lt; G$8), "", 1)</f>
        <v>1</v>
      </c>
      <c r="H105" s="9">
        <f t="shared" si="184"/>
        <v>1</v>
      </c>
      <c r="I105" s="9">
        <f t="shared" si="184"/>
        <v>1</v>
      </c>
      <c r="J105" s="9">
        <f t="shared" si="184"/>
        <v>1</v>
      </c>
      <c r="K105" s="9">
        <f t="shared" si="184"/>
        <v>1</v>
      </c>
      <c r="L105" s="9">
        <f t="shared" si="184"/>
        <v>1</v>
      </c>
      <c r="M105" s="9">
        <f t="shared" si="184"/>
        <v>1</v>
      </c>
      <c r="N105" s="9">
        <f t="shared" si="184"/>
        <v>1</v>
      </c>
      <c r="O105" s="9">
        <f t="shared" si="184"/>
        <v>1</v>
      </c>
      <c r="P105" s="9">
        <f t="shared" si="184"/>
        <v>1</v>
      </c>
      <c r="Q105" s="9">
        <f t="shared" si="184"/>
        <v>1</v>
      </c>
      <c r="R105" s="9">
        <f t="shared" si="184"/>
        <v>1</v>
      </c>
      <c r="S105" s="9">
        <f t="shared" si="184"/>
        <v>1</v>
      </c>
      <c r="T105" s="9">
        <f t="shared" si="184"/>
        <v>1</v>
      </c>
      <c r="U105" s="9">
        <f t="shared" si="184"/>
        <v>1</v>
      </c>
      <c r="V105" s="9">
        <f t="shared" si="184"/>
        <v>1</v>
      </c>
      <c r="W105" s="9">
        <f t="shared" si="184"/>
        <v>1</v>
      </c>
      <c r="X105" s="9">
        <f t="shared" si="184"/>
        <v>1</v>
      </c>
      <c r="Y105" s="9">
        <f t="shared" si="184"/>
        <v>1</v>
      </c>
      <c r="Z105" s="9">
        <f t="shared" si="184"/>
        <v>1</v>
      </c>
      <c r="AA105" s="9">
        <f t="shared" si="184"/>
        <v>1</v>
      </c>
      <c r="AB105" s="9">
        <f t="shared" si="184"/>
        <v>1</v>
      </c>
      <c r="AC105" s="9">
        <f t="shared" si="184"/>
        <v>1</v>
      </c>
      <c r="AD105" s="9">
        <f t="shared" si="184"/>
        <v>1</v>
      </c>
      <c r="AE105" s="9">
        <f t="shared" si="184"/>
        <v>1</v>
      </c>
      <c r="AF105" s="9">
        <f t="shared" si="184"/>
        <v>1</v>
      </c>
      <c r="AG105" s="9">
        <f t="shared" si="184"/>
        <v>1</v>
      </c>
      <c r="AH105" s="9">
        <f t="shared" si="184"/>
        <v>1</v>
      </c>
      <c r="AI105" s="9">
        <f t="shared" si="184"/>
        <v>1</v>
      </c>
      <c r="AJ105" s="9">
        <f t="shared" si="184"/>
        <v>1</v>
      </c>
      <c r="AK105" s="9">
        <f t="shared" si="184"/>
        <v>1</v>
      </c>
      <c r="AL105" s="9">
        <f t="shared" si="184"/>
        <v>1</v>
      </c>
      <c r="AM105" s="9">
        <f t="shared" si="184"/>
        <v>1</v>
      </c>
      <c r="AN105" s="9">
        <f t="shared" si="184"/>
        <v>1</v>
      </c>
      <c r="AO105" s="9">
        <f t="shared" si="184"/>
        <v>1</v>
      </c>
      <c r="AP105" s="9">
        <f t="shared" si="184"/>
        <v>1</v>
      </c>
      <c r="AQ105" s="9">
        <f t="shared" si="184"/>
        <v>1</v>
      </c>
      <c r="AR105" s="9">
        <f t="shared" si="184"/>
        <v>1</v>
      </c>
      <c r="AS105" s="9">
        <f t="shared" si="184"/>
        <v>1</v>
      </c>
      <c r="AT105" s="9">
        <f t="shared" si="184"/>
        <v>1</v>
      </c>
      <c r="AU105" s="9">
        <f t="shared" si="184"/>
        <v>1</v>
      </c>
      <c r="AV105" s="9">
        <f t="shared" si="184"/>
        <v>1</v>
      </c>
      <c r="AW105" s="9">
        <f t="shared" si="184"/>
        <v>1</v>
      </c>
      <c r="AX105" s="9">
        <f t="shared" si="184"/>
        <v>1</v>
      </c>
      <c r="AY105" s="9">
        <f t="shared" si="184"/>
        <v>1</v>
      </c>
      <c r="AZ105" s="9">
        <f t="shared" si="184"/>
        <v>1</v>
      </c>
      <c r="BA105" s="9">
        <f t="shared" si="184"/>
        <v>1</v>
      </c>
      <c r="BB105" s="9">
        <f t="shared" si="184"/>
        <v>1</v>
      </c>
      <c r="BC105" s="9">
        <f t="shared" si="184"/>
        <v>1</v>
      </c>
      <c r="BD105" s="9">
        <f t="shared" si="184"/>
        <v>1</v>
      </c>
      <c r="BE105" s="9">
        <f t="shared" si="184"/>
        <v>1</v>
      </c>
      <c r="BF105" s="9">
        <f t="shared" si="184"/>
        <v>1</v>
      </c>
      <c r="BG105" s="9">
        <f t="shared" si="184"/>
        <v>1</v>
      </c>
      <c r="BH105" s="9">
        <f t="shared" si="184"/>
        <v>1</v>
      </c>
      <c r="BI105" s="9">
        <f t="shared" si="184"/>
        <v>1</v>
      </c>
      <c r="BJ105" s="9">
        <f t="shared" si="184"/>
        <v>1</v>
      </c>
      <c r="BK105" s="9">
        <f t="shared" si="184"/>
        <v>1</v>
      </c>
      <c r="BL105" s="9">
        <f t="shared" si="184"/>
        <v>1</v>
      </c>
      <c r="BM105" s="9">
        <f t="shared" si="184"/>
        <v>1</v>
      </c>
      <c r="BN105" s="9">
        <f t="shared" si="184"/>
        <v>1</v>
      </c>
      <c r="BO105" s="9">
        <f t="shared" si="184"/>
        <v>1</v>
      </c>
      <c r="BP105" s="9">
        <f t="shared" si="184"/>
        <v>1</v>
      </c>
      <c r="BQ105" s="9">
        <f t="shared" si="184"/>
        <v>1</v>
      </c>
      <c r="BR105" s="9">
        <f t="shared" si="184"/>
        <v>1</v>
      </c>
      <c r="BS105" s="9">
        <f t="shared" ref="BS105:ED105" si="185">IF(OR(BT13 = "", BT$8 &lt; BS$8), "", 1)</f>
        <v>1</v>
      </c>
      <c r="BT105" s="9">
        <f t="shared" si="185"/>
        <v>1</v>
      </c>
      <c r="BU105" s="9">
        <f t="shared" si="185"/>
        <v>1</v>
      </c>
      <c r="BV105" s="9">
        <f t="shared" si="185"/>
        <v>1</v>
      </c>
      <c r="BW105" s="9">
        <f t="shared" si="185"/>
        <v>1</v>
      </c>
      <c r="BX105" s="9">
        <f t="shared" si="185"/>
        <v>1</v>
      </c>
      <c r="BY105" s="9">
        <f t="shared" si="185"/>
        <v>1</v>
      </c>
      <c r="BZ105" s="9">
        <f t="shared" si="185"/>
        <v>1</v>
      </c>
      <c r="CA105" s="9">
        <f t="shared" si="185"/>
        <v>1</v>
      </c>
      <c r="CB105" s="9">
        <f t="shared" si="185"/>
        <v>1</v>
      </c>
      <c r="CC105" s="9">
        <f t="shared" si="185"/>
        <v>1</v>
      </c>
      <c r="CD105" s="9">
        <f t="shared" si="185"/>
        <v>1</v>
      </c>
      <c r="CE105" s="9">
        <f t="shared" si="185"/>
        <v>1</v>
      </c>
      <c r="CF105" s="9">
        <f t="shared" si="185"/>
        <v>1</v>
      </c>
      <c r="CG105" s="9">
        <f t="shared" si="185"/>
        <v>1</v>
      </c>
      <c r="CH105" s="9">
        <f t="shared" si="185"/>
        <v>1</v>
      </c>
      <c r="CI105" s="9">
        <f t="shared" si="185"/>
        <v>1</v>
      </c>
      <c r="CJ105" s="9">
        <f t="shared" si="185"/>
        <v>1</v>
      </c>
      <c r="CK105" s="9">
        <f t="shared" si="185"/>
        <v>1</v>
      </c>
      <c r="CL105" s="9">
        <f t="shared" si="185"/>
        <v>1</v>
      </c>
      <c r="CM105" s="9">
        <f t="shared" si="185"/>
        <v>1</v>
      </c>
      <c r="CN105" s="9">
        <f t="shared" si="185"/>
        <v>1</v>
      </c>
      <c r="CO105" s="9">
        <f t="shared" si="185"/>
        <v>1</v>
      </c>
      <c r="CP105" s="9">
        <f t="shared" si="185"/>
        <v>1</v>
      </c>
      <c r="CQ105" s="9">
        <f t="shared" si="185"/>
        <v>1</v>
      </c>
      <c r="CR105" s="9">
        <f t="shared" si="185"/>
        <v>1</v>
      </c>
      <c r="CS105" s="9">
        <f t="shared" si="185"/>
        <v>1</v>
      </c>
      <c r="CT105" s="9">
        <f t="shared" si="185"/>
        <v>1</v>
      </c>
      <c r="CU105" s="9">
        <f t="shared" si="185"/>
        <v>1</v>
      </c>
      <c r="CV105" s="9">
        <f t="shared" si="185"/>
        <v>1</v>
      </c>
      <c r="CW105" s="9">
        <f t="shared" si="185"/>
        <v>1</v>
      </c>
      <c r="CX105" s="9">
        <f t="shared" si="185"/>
        <v>1</v>
      </c>
      <c r="CY105" s="9">
        <f t="shared" si="185"/>
        <v>1</v>
      </c>
      <c r="CZ105" s="9">
        <f t="shared" si="185"/>
        <v>1</v>
      </c>
      <c r="DA105" s="9">
        <f t="shared" si="185"/>
        <v>1</v>
      </c>
      <c r="DB105" s="9">
        <f t="shared" si="185"/>
        <v>1</v>
      </c>
      <c r="DC105" s="9">
        <f t="shared" si="185"/>
        <v>1</v>
      </c>
      <c r="DD105" s="9">
        <f t="shared" si="185"/>
        <v>1</v>
      </c>
      <c r="DE105" s="9">
        <f t="shared" si="185"/>
        <v>1</v>
      </c>
      <c r="DF105" s="9">
        <f t="shared" si="185"/>
        <v>1</v>
      </c>
      <c r="DG105" s="9">
        <f t="shared" si="185"/>
        <v>1</v>
      </c>
      <c r="DH105" s="9">
        <f t="shared" si="185"/>
        <v>1</v>
      </c>
      <c r="DI105" s="9">
        <f t="shared" si="185"/>
        <v>1</v>
      </c>
      <c r="DJ105" s="9">
        <f t="shared" si="185"/>
        <v>1</v>
      </c>
      <c r="DK105" s="9">
        <f t="shared" si="185"/>
        <v>1</v>
      </c>
      <c r="DL105" s="9">
        <f t="shared" si="185"/>
        <v>1</v>
      </c>
      <c r="DM105" s="9">
        <f t="shared" si="185"/>
        <v>1</v>
      </c>
      <c r="DN105" s="9">
        <f t="shared" si="185"/>
        <v>1</v>
      </c>
      <c r="DO105" s="9" t="str">
        <f t="shared" si="185"/>
        <v/>
      </c>
      <c r="DP105" s="9" t="str">
        <f t="shared" si="185"/>
        <v/>
      </c>
      <c r="DQ105" s="9" t="str">
        <f t="shared" si="185"/>
        <v/>
      </c>
      <c r="DR105" s="9" t="str">
        <f t="shared" si="185"/>
        <v/>
      </c>
      <c r="DS105" s="9" t="str">
        <f t="shared" si="185"/>
        <v/>
      </c>
      <c r="DT105" s="9" t="str">
        <f t="shared" si="185"/>
        <v/>
      </c>
      <c r="DU105" s="9" t="str">
        <f t="shared" si="185"/>
        <v/>
      </c>
      <c r="DV105" s="9" t="str">
        <f t="shared" si="185"/>
        <v/>
      </c>
      <c r="DW105" s="9" t="str">
        <f t="shared" si="185"/>
        <v/>
      </c>
      <c r="DX105" s="9" t="str">
        <f t="shared" si="185"/>
        <v/>
      </c>
      <c r="DY105" s="9" t="str">
        <f t="shared" si="185"/>
        <v/>
      </c>
      <c r="DZ105" s="9" t="str">
        <f t="shared" si="185"/>
        <v/>
      </c>
      <c r="EA105" s="9" t="str">
        <f t="shared" si="185"/>
        <v/>
      </c>
      <c r="EB105" s="9">
        <f t="shared" si="185"/>
        <v>1</v>
      </c>
      <c r="EC105" s="9">
        <f t="shared" si="185"/>
        <v>1</v>
      </c>
      <c r="ED105" s="9">
        <f t="shared" si="185"/>
        <v>1</v>
      </c>
      <c r="EE105" s="9">
        <f t="shared" ref="EE105:GP105" si="186">IF(OR(EF13 = "", EF$8 &lt; EE$8), "", 1)</f>
        <v>1</v>
      </c>
      <c r="EF105" s="9">
        <f t="shared" si="186"/>
        <v>1</v>
      </c>
      <c r="EG105" s="9">
        <f t="shared" si="186"/>
        <v>1</v>
      </c>
      <c r="EH105" s="9">
        <f t="shared" si="186"/>
        <v>1</v>
      </c>
      <c r="EI105" s="9">
        <f t="shared" si="186"/>
        <v>1</v>
      </c>
      <c r="EJ105" s="9">
        <f t="shared" si="186"/>
        <v>1</v>
      </c>
      <c r="EK105" s="9">
        <f t="shared" si="186"/>
        <v>1</v>
      </c>
      <c r="EL105" s="9">
        <f t="shared" si="186"/>
        <v>1</v>
      </c>
      <c r="EM105" s="9">
        <f t="shared" si="186"/>
        <v>1</v>
      </c>
      <c r="EN105" s="9">
        <f t="shared" si="186"/>
        <v>1</v>
      </c>
      <c r="EO105" s="9">
        <f t="shared" si="186"/>
        <v>1</v>
      </c>
      <c r="EP105" s="9">
        <f t="shared" si="186"/>
        <v>1</v>
      </c>
      <c r="EQ105" s="9">
        <f t="shared" si="186"/>
        <v>1</v>
      </c>
      <c r="ER105" s="9">
        <f t="shared" si="186"/>
        <v>1</v>
      </c>
      <c r="ES105" s="9">
        <f t="shared" si="186"/>
        <v>1</v>
      </c>
      <c r="ET105" s="9">
        <f t="shared" si="186"/>
        <v>1</v>
      </c>
      <c r="EU105" s="9">
        <f t="shared" si="186"/>
        <v>1</v>
      </c>
      <c r="EV105" s="9">
        <f t="shared" si="186"/>
        <v>1</v>
      </c>
      <c r="EW105" s="9">
        <f t="shared" si="186"/>
        <v>1</v>
      </c>
      <c r="EX105" s="9">
        <f t="shared" si="186"/>
        <v>1</v>
      </c>
      <c r="EY105" s="9">
        <f t="shared" si="186"/>
        <v>1</v>
      </c>
      <c r="EZ105" s="9">
        <f t="shared" si="186"/>
        <v>1</v>
      </c>
      <c r="FA105" s="9">
        <f t="shared" si="186"/>
        <v>1</v>
      </c>
      <c r="FB105" s="9">
        <f t="shared" si="186"/>
        <v>1</v>
      </c>
      <c r="FC105" s="9">
        <f t="shared" si="186"/>
        <v>1</v>
      </c>
      <c r="FD105" s="9">
        <f t="shared" si="186"/>
        <v>1</v>
      </c>
      <c r="FE105" s="9">
        <f t="shared" si="186"/>
        <v>1</v>
      </c>
      <c r="FF105" s="9">
        <f t="shared" si="186"/>
        <v>1</v>
      </c>
      <c r="FG105" s="9">
        <f t="shared" si="186"/>
        <v>1</v>
      </c>
      <c r="FH105" s="9">
        <f t="shared" si="186"/>
        <v>1</v>
      </c>
      <c r="FI105" s="9">
        <f t="shared" si="186"/>
        <v>1</v>
      </c>
      <c r="FJ105" s="9">
        <f t="shared" si="186"/>
        <v>1</v>
      </c>
      <c r="FK105" s="9">
        <f t="shared" si="186"/>
        <v>1</v>
      </c>
      <c r="FL105" s="9">
        <f t="shared" si="186"/>
        <v>1</v>
      </c>
      <c r="FM105" s="9">
        <f t="shared" si="186"/>
        <v>1</v>
      </c>
      <c r="FN105" s="9">
        <f t="shared" si="186"/>
        <v>1</v>
      </c>
      <c r="FO105" s="9">
        <f t="shared" si="186"/>
        <v>1</v>
      </c>
      <c r="FP105" s="9">
        <f t="shared" si="186"/>
        <v>1</v>
      </c>
      <c r="FQ105" s="9">
        <f t="shared" si="186"/>
        <v>1</v>
      </c>
      <c r="FR105" s="9">
        <f t="shared" si="186"/>
        <v>1</v>
      </c>
      <c r="FS105" s="9">
        <f t="shared" si="186"/>
        <v>1</v>
      </c>
      <c r="FT105" s="9">
        <f t="shared" si="186"/>
        <v>1</v>
      </c>
      <c r="FU105" s="9">
        <f t="shared" si="186"/>
        <v>1</v>
      </c>
      <c r="FV105" s="9">
        <f t="shared" si="186"/>
        <v>1</v>
      </c>
      <c r="FW105" s="9">
        <f t="shared" si="186"/>
        <v>1</v>
      </c>
      <c r="FX105" s="9">
        <f t="shared" si="186"/>
        <v>1</v>
      </c>
      <c r="FY105" s="9">
        <f t="shared" si="186"/>
        <v>1</v>
      </c>
      <c r="FZ105" s="9">
        <f t="shared" si="186"/>
        <v>1</v>
      </c>
      <c r="GA105" s="9">
        <f t="shared" si="186"/>
        <v>1</v>
      </c>
      <c r="GB105" s="9">
        <f t="shared" si="186"/>
        <v>1</v>
      </c>
      <c r="GC105" s="9">
        <f t="shared" si="186"/>
        <v>1</v>
      </c>
      <c r="GD105" s="9">
        <f t="shared" si="186"/>
        <v>1</v>
      </c>
      <c r="GE105" s="9">
        <f t="shared" si="186"/>
        <v>1</v>
      </c>
      <c r="GF105" s="9">
        <f t="shared" si="186"/>
        <v>1</v>
      </c>
      <c r="GG105" s="9">
        <f t="shared" si="186"/>
        <v>1</v>
      </c>
      <c r="GH105" s="9">
        <f t="shared" si="186"/>
        <v>1</v>
      </c>
      <c r="GI105" s="9">
        <f t="shared" si="186"/>
        <v>1</v>
      </c>
      <c r="GJ105" s="9">
        <f t="shared" si="186"/>
        <v>1</v>
      </c>
      <c r="GK105" s="9">
        <f t="shared" si="186"/>
        <v>1</v>
      </c>
      <c r="GL105" s="9">
        <f t="shared" si="186"/>
        <v>1</v>
      </c>
      <c r="GM105" s="9">
        <f t="shared" si="186"/>
        <v>1</v>
      </c>
      <c r="GN105" s="9">
        <f t="shared" si="186"/>
        <v>1</v>
      </c>
      <c r="GO105" s="9">
        <f t="shared" si="186"/>
        <v>1</v>
      </c>
      <c r="GP105" s="9">
        <f t="shared" si="186"/>
        <v>1</v>
      </c>
      <c r="GQ105" s="9">
        <f t="shared" ref="GQ105:IV105" si="187">IF(OR(GR13 = "", GR$8 &lt; GQ$8), "", 1)</f>
        <v>1</v>
      </c>
      <c r="GR105" s="9">
        <f t="shared" si="187"/>
        <v>1</v>
      </c>
      <c r="GS105" s="9">
        <f t="shared" si="187"/>
        <v>1</v>
      </c>
      <c r="GT105" s="9">
        <f t="shared" si="187"/>
        <v>1</v>
      </c>
      <c r="GU105" s="9">
        <f t="shared" si="187"/>
        <v>1</v>
      </c>
      <c r="GV105" s="9">
        <f t="shared" si="187"/>
        <v>1</v>
      </c>
      <c r="GW105" s="9">
        <f t="shared" si="187"/>
        <v>1</v>
      </c>
      <c r="GX105" s="9">
        <f t="shared" si="187"/>
        <v>1</v>
      </c>
      <c r="GY105" s="9">
        <f t="shared" si="187"/>
        <v>1</v>
      </c>
      <c r="GZ105" s="9">
        <f t="shared" si="187"/>
        <v>1</v>
      </c>
      <c r="HA105" s="9">
        <f t="shared" si="187"/>
        <v>1</v>
      </c>
      <c r="HB105" s="9">
        <f t="shared" si="187"/>
        <v>1</v>
      </c>
      <c r="HC105" s="9">
        <f t="shared" si="187"/>
        <v>1</v>
      </c>
      <c r="HD105" s="9">
        <f t="shared" si="187"/>
        <v>1</v>
      </c>
      <c r="HE105" s="9">
        <f t="shared" si="187"/>
        <v>1</v>
      </c>
      <c r="HF105" s="9">
        <f t="shared" si="187"/>
        <v>1</v>
      </c>
      <c r="HG105" s="9">
        <f t="shared" si="187"/>
        <v>1</v>
      </c>
      <c r="HH105" s="9">
        <f t="shared" si="187"/>
        <v>1</v>
      </c>
      <c r="HI105" s="9">
        <f t="shared" si="187"/>
        <v>1</v>
      </c>
      <c r="HJ105" s="9">
        <f t="shared" si="187"/>
        <v>1</v>
      </c>
      <c r="HK105" s="9">
        <f t="shared" si="187"/>
        <v>1</v>
      </c>
      <c r="HL105" s="9">
        <f t="shared" si="187"/>
        <v>1</v>
      </c>
      <c r="HM105" s="9">
        <f t="shared" si="187"/>
        <v>1</v>
      </c>
      <c r="HN105" s="9">
        <f t="shared" si="187"/>
        <v>1</v>
      </c>
      <c r="HO105" s="9">
        <f t="shared" si="187"/>
        <v>1</v>
      </c>
      <c r="HP105" s="9">
        <f t="shared" si="187"/>
        <v>1</v>
      </c>
      <c r="HQ105" s="9">
        <f t="shared" si="187"/>
        <v>1</v>
      </c>
      <c r="HR105" s="9">
        <f t="shared" si="187"/>
        <v>1</v>
      </c>
      <c r="HS105" s="9">
        <f t="shared" si="187"/>
        <v>1</v>
      </c>
      <c r="HT105" s="9">
        <f t="shared" si="187"/>
        <v>1</v>
      </c>
      <c r="HU105" s="9">
        <f t="shared" si="187"/>
        <v>1</v>
      </c>
      <c r="HV105" s="9">
        <f t="shared" si="187"/>
        <v>1</v>
      </c>
      <c r="HW105" s="9">
        <f t="shared" si="187"/>
        <v>1</v>
      </c>
      <c r="HX105" s="9">
        <f t="shared" si="187"/>
        <v>1</v>
      </c>
      <c r="HY105" s="9">
        <f t="shared" si="187"/>
        <v>1</v>
      </c>
      <c r="HZ105" s="9">
        <f t="shared" si="187"/>
        <v>1</v>
      </c>
      <c r="IA105" s="9">
        <f t="shared" si="187"/>
        <v>1</v>
      </c>
      <c r="IB105" s="9">
        <f t="shared" si="187"/>
        <v>1</v>
      </c>
      <c r="IC105" s="9">
        <f t="shared" si="187"/>
        <v>1</v>
      </c>
      <c r="ID105" s="9">
        <f t="shared" si="187"/>
        <v>1</v>
      </c>
      <c r="IE105" s="9">
        <f t="shared" si="187"/>
        <v>1</v>
      </c>
      <c r="IF105" s="9">
        <f t="shared" si="187"/>
        <v>1</v>
      </c>
      <c r="IG105" s="9">
        <f t="shared" si="187"/>
        <v>1</v>
      </c>
      <c r="IH105" s="9">
        <f t="shared" si="187"/>
        <v>1</v>
      </c>
      <c r="II105" s="9">
        <f t="shared" si="187"/>
        <v>1</v>
      </c>
      <c r="IJ105" s="9" t="str">
        <f t="shared" si="187"/>
        <v/>
      </c>
      <c r="IK105" s="9" t="str">
        <f t="shared" si="187"/>
        <v/>
      </c>
      <c r="IL105" s="9" t="str">
        <f t="shared" si="187"/>
        <v/>
      </c>
      <c r="IM105" s="9" t="str">
        <f t="shared" si="187"/>
        <v/>
      </c>
      <c r="IN105" s="9" t="str">
        <f t="shared" si="187"/>
        <v/>
      </c>
      <c r="IO105" s="9" t="str">
        <f t="shared" si="187"/>
        <v/>
      </c>
      <c r="IP105" s="9" t="str">
        <f t="shared" si="187"/>
        <v/>
      </c>
      <c r="IQ105" s="9" t="str">
        <f t="shared" si="187"/>
        <v/>
      </c>
      <c r="IR105" s="9" t="str">
        <f t="shared" si="187"/>
        <v/>
      </c>
      <c r="IS105" s="9" t="str">
        <f t="shared" si="187"/>
        <v/>
      </c>
      <c r="IT105" s="9" t="str">
        <f t="shared" si="187"/>
        <v/>
      </c>
      <c r="IU105" s="9" t="str">
        <f t="shared" si="187"/>
        <v/>
      </c>
      <c r="IV105" s="9" t="str">
        <f t="shared" si="187"/>
        <v/>
      </c>
    </row>
    <row r="106" spans="6:256" x14ac:dyDescent="0.2">
      <c r="F106">
        <v>201506</v>
      </c>
      <c r="G106" s="9">
        <f t="shared" ref="G106:BR106" si="188">IF(OR(H14 = "", H$8 &lt; G$8), "", 1)</f>
        <v>1</v>
      </c>
      <c r="H106" s="9">
        <f t="shared" si="188"/>
        <v>1</v>
      </c>
      <c r="I106" s="9">
        <f t="shared" si="188"/>
        <v>1</v>
      </c>
      <c r="J106" s="9">
        <f t="shared" si="188"/>
        <v>1</v>
      </c>
      <c r="K106" s="9">
        <f t="shared" si="188"/>
        <v>1</v>
      </c>
      <c r="L106" s="9">
        <f t="shared" si="188"/>
        <v>1</v>
      </c>
      <c r="M106" s="9">
        <f t="shared" si="188"/>
        <v>1</v>
      </c>
      <c r="N106" s="9">
        <f t="shared" si="188"/>
        <v>1</v>
      </c>
      <c r="O106" s="9">
        <f t="shared" si="188"/>
        <v>1</v>
      </c>
      <c r="P106" s="9">
        <f t="shared" si="188"/>
        <v>1</v>
      </c>
      <c r="Q106" s="9">
        <f t="shared" si="188"/>
        <v>1</v>
      </c>
      <c r="R106" s="9">
        <f t="shared" si="188"/>
        <v>1</v>
      </c>
      <c r="S106" s="9">
        <f t="shared" si="188"/>
        <v>1</v>
      </c>
      <c r="T106" s="9">
        <f t="shared" si="188"/>
        <v>1</v>
      </c>
      <c r="U106" s="9">
        <f t="shared" si="188"/>
        <v>1</v>
      </c>
      <c r="V106" s="9">
        <f t="shared" si="188"/>
        <v>1</v>
      </c>
      <c r="W106" s="9">
        <f t="shared" si="188"/>
        <v>1</v>
      </c>
      <c r="X106" s="9">
        <f t="shared" si="188"/>
        <v>1</v>
      </c>
      <c r="Y106" s="9">
        <f t="shared" si="188"/>
        <v>1</v>
      </c>
      <c r="Z106" s="9">
        <f t="shared" si="188"/>
        <v>1</v>
      </c>
      <c r="AA106" s="9">
        <f t="shared" si="188"/>
        <v>1</v>
      </c>
      <c r="AB106" s="9">
        <f t="shared" si="188"/>
        <v>1</v>
      </c>
      <c r="AC106" s="9">
        <f t="shared" si="188"/>
        <v>1</v>
      </c>
      <c r="AD106" s="9">
        <f t="shared" si="188"/>
        <v>1</v>
      </c>
      <c r="AE106" s="9">
        <f t="shared" si="188"/>
        <v>1</v>
      </c>
      <c r="AF106" s="9">
        <f t="shared" si="188"/>
        <v>1</v>
      </c>
      <c r="AG106" s="9">
        <f t="shared" si="188"/>
        <v>1</v>
      </c>
      <c r="AH106" s="9">
        <f t="shared" si="188"/>
        <v>1</v>
      </c>
      <c r="AI106" s="9">
        <f t="shared" si="188"/>
        <v>1</v>
      </c>
      <c r="AJ106" s="9">
        <f t="shared" si="188"/>
        <v>1</v>
      </c>
      <c r="AK106" s="9">
        <f t="shared" si="188"/>
        <v>1</v>
      </c>
      <c r="AL106" s="9">
        <f t="shared" si="188"/>
        <v>1</v>
      </c>
      <c r="AM106" s="9">
        <f t="shared" si="188"/>
        <v>1</v>
      </c>
      <c r="AN106" s="9">
        <f t="shared" si="188"/>
        <v>1</v>
      </c>
      <c r="AO106" s="9">
        <f t="shared" si="188"/>
        <v>1</v>
      </c>
      <c r="AP106" s="9">
        <f t="shared" si="188"/>
        <v>1</v>
      </c>
      <c r="AQ106" s="9">
        <f t="shared" si="188"/>
        <v>1</v>
      </c>
      <c r="AR106" s="9">
        <f t="shared" si="188"/>
        <v>1</v>
      </c>
      <c r="AS106" s="9">
        <f t="shared" si="188"/>
        <v>1</v>
      </c>
      <c r="AT106" s="9">
        <f t="shared" si="188"/>
        <v>1</v>
      </c>
      <c r="AU106" s="9">
        <f t="shared" si="188"/>
        <v>1</v>
      </c>
      <c r="AV106" s="9">
        <f t="shared" si="188"/>
        <v>1</v>
      </c>
      <c r="AW106" s="9">
        <f t="shared" si="188"/>
        <v>1</v>
      </c>
      <c r="AX106" s="9">
        <f t="shared" si="188"/>
        <v>1</v>
      </c>
      <c r="AY106" s="9">
        <f t="shared" si="188"/>
        <v>1</v>
      </c>
      <c r="AZ106" s="9">
        <f t="shared" si="188"/>
        <v>1</v>
      </c>
      <c r="BA106" s="9">
        <f t="shared" si="188"/>
        <v>1</v>
      </c>
      <c r="BB106" s="9">
        <f t="shared" si="188"/>
        <v>1</v>
      </c>
      <c r="BC106" s="9">
        <f t="shared" si="188"/>
        <v>1</v>
      </c>
      <c r="BD106" s="9">
        <f t="shared" si="188"/>
        <v>1</v>
      </c>
      <c r="BE106" s="9">
        <f t="shared" si="188"/>
        <v>1</v>
      </c>
      <c r="BF106" s="9">
        <f t="shared" si="188"/>
        <v>1</v>
      </c>
      <c r="BG106" s="9">
        <f t="shared" si="188"/>
        <v>1</v>
      </c>
      <c r="BH106" s="9">
        <f t="shared" si="188"/>
        <v>1</v>
      </c>
      <c r="BI106" s="9">
        <f t="shared" si="188"/>
        <v>1</v>
      </c>
      <c r="BJ106" s="9">
        <f t="shared" si="188"/>
        <v>1</v>
      </c>
      <c r="BK106" s="9">
        <f t="shared" si="188"/>
        <v>1</v>
      </c>
      <c r="BL106" s="9">
        <f t="shared" si="188"/>
        <v>1</v>
      </c>
      <c r="BM106" s="9">
        <f t="shared" si="188"/>
        <v>1</v>
      </c>
      <c r="BN106" s="9">
        <f t="shared" si="188"/>
        <v>1</v>
      </c>
      <c r="BO106" s="9">
        <f t="shared" si="188"/>
        <v>1</v>
      </c>
      <c r="BP106" s="9">
        <f t="shared" si="188"/>
        <v>1</v>
      </c>
      <c r="BQ106" s="9">
        <f t="shared" si="188"/>
        <v>1</v>
      </c>
      <c r="BR106" s="9">
        <f t="shared" si="188"/>
        <v>1</v>
      </c>
      <c r="BS106" s="9">
        <f t="shared" ref="BS106:ED106" si="189">IF(OR(BT14 = "", BT$8 &lt; BS$8), "", 1)</f>
        <v>1</v>
      </c>
      <c r="BT106" s="9">
        <f t="shared" si="189"/>
        <v>1</v>
      </c>
      <c r="BU106" s="9">
        <f t="shared" si="189"/>
        <v>1</v>
      </c>
      <c r="BV106" s="9">
        <f t="shared" si="189"/>
        <v>1</v>
      </c>
      <c r="BW106" s="9">
        <f t="shared" si="189"/>
        <v>1</v>
      </c>
      <c r="BX106" s="9">
        <f t="shared" si="189"/>
        <v>1</v>
      </c>
      <c r="BY106" s="9">
        <f t="shared" si="189"/>
        <v>1</v>
      </c>
      <c r="BZ106" s="9">
        <f t="shared" si="189"/>
        <v>1</v>
      </c>
      <c r="CA106" s="9">
        <f t="shared" si="189"/>
        <v>1</v>
      </c>
      <c r="CB106" s="9">
        <f t="shared" si="189"/>
        <v>1</v>
      </c>
      <c r="CC106" s="9">
        <f t="shared" si="189"/>
        <v>1</v>
      </c>
      <c r="CD106" s="9">
        <f t="shared" si="189"/>
        <v>1</v>
      </c>
      <c r="CE106" s="9">
        <f t="shared" si="189"/>
        <v>1</v>
      </c>
      <c r="CF106" s="9">
        <f t="shared" si="189"/>
        <v>1</v>
      </c>
      <c r="CG106" s="9">
        <f t="shared" si="189"/>
        <v>1</v>
      </c>
      <c r="CH106" s="9">
        <f t="shared" si="189"/>
        <v>1</v>
      </c>
      <c r="CI106" s="9">
        <f t="shared" si="189"/>
        <v>1</v>
      </c>
      <c r="CJ106" s="9">
        <f t="shared" si="189"/>
        <v>1</v>
      </c>
      <c r="CK106" s="9">
        <f t="shared" si="189"/>
        <v>1</v>
      </c>
      <c r="CL106" s="9">
        <f t="shared" si="189"/>
        <v>1</v>
      </c>
      <c r="CM106" s="9">
        <f t="shared" si="189"/>
        <v>1</v>
      </c>
      <c r="CN106" s="9">
        <f t="shared" si="189"/>
        <v>1</v>
      </c>
      <c r="CO106" s="9">
        <f t="shared" si="189"/>
        <v>1</v>
      </c>
      <c r="CP106" s="9">
        <f t="shared" si="189"/>
        <v>1</v>
      </c>
      <c r="CQ106" s="9">
        <f t="shared" si="189"/>
        <v>1</v>
      </c>
      <c r="CR106" s="9">
        <f t="shared" si="189"/>
        <v>1</v>
      </c>
      <c r="CS106" s="9">
        <f t="shared" si="189"/>
        <v>1</v>
      </c>
      <c r="CT106" s="9">
        <f t="shared" si="189"/>
        <v>1</v>
      </c>
      <c r="CU106" s="9">
        <f t="shared" si="189"/>
        <v>1</v>
      </c>
      <c r="CV106" s="9">
        <f t="shared" si="189"/>
        <v>1</v>
      </c>
      <c r="CW106" s="9">
        <f t="shared" si="189"/>
        <v>1</v>
      </c>
      <c r="CX106" s="9">
        <f t="shared" si="189"/>
        <v>1</v>
      </c>
      <c r="CY106" s="9">
        <f t="shared" si="189"/>
        <v>1</v>
      </c>
      <c r="CZ106" s="9">
        <f t="shared" si="189"/>
        <v>1</v>
      </c>
      <c r="DA106" s="9">
        <f t="shared" si="189"/>
        <v>1</v>
      </c>
      <c r="DB106" s="9">
        <f t="shared" si="189"/>
        <v>1</v>
      </c>
      <c r="DC106" s="9">
        <f t="shared" si="189"/>
        <v>1</v>
      </c>
      <c r="DD106" s="9">
        <f t="shared" si="189"/>
        <v>1</v>
      </c>
      <c r="DE106" s="9">
        <f t="shared" si="189"/>
        <v>1</v>
      </c>
      <c r="DF106" s="9">
        <f t="shared" si="189"/>
        <v>1</v>
      </c>
      <c r="DG106" s="9">
        <f t="shared" si="189"/>
        <v>1</v>
      </c>
      <c r="DH106" s="9">
        <f t="shared" si="189"/>
        <v>1</v>
      </c>
      <c r="DI106" s="9">
        <f t="shared" si="189"/>
        <v>1</v>
      </c>
      <c r="DJ106" s="9">
        <f t="shared" si="189"/>
        <v>1</v>
      </c>
      <c r="DK106" s="9">
        <f t="shared" si="189"/>
        <v>1</v>
      </c>
      <c r="DL106" s="9" t="str">
        <f t="shared" si="189"/>
        <v/>
      </c>
      <c r="DM106" s="9" t="str">
        <f t="shared" si="189"/>
        <v/>
      </c>
      <c r="DN106" s="9" t="str">
        <f t="shared" si="189"/>
        <v/>
      </c>
      <c r="DO106" s="9" t="str">
        <f t="shared" si="189"/>
        <v/>
      </c>
      <c r="DP106" s="9" t="str">
        <f t="shared" si="189"/>
        <v/>
      </c>
      <c r="DQ106" s="9" t="str">
        <f t="shared" si="189"/>
        <v/>
      </c>
      <c r="DR106" s="9" t="str">
        <f t="shared" si="189"/>
        <v/>
      </c>
      <c r="DS106" s="9" t="str">
        <f t="shared" si="189"/>
        <v/>
      </c>
      <c r="DT106" s="9" t="str">
        <f t="shared" si="189"/>
        <v/>
      </c>
      <c r="DU106" s="9" t="str">
        <f t="shared" si="189"/>
        <v/>
      </c>
      <c r="DV106" s="9" t="str">
        <f t="shared" si="189"/>
        <v/>
      </c>
      <c r="DW106" s="9" t="str">
        <f t="shared" si="189"/>
        <v/>
      </c>
      <c r="DX106" s="9" t="str">
        <f t="shared" si="189"/>
        <v/>
      </c>
      <c r="DY106" s="9" t="str">
        <f t="shared" si="189"/>
        <v/>
      </c>
      <c r="DZ106" s="9" t="str">
        <f t="shared" si="189"/>
        <v/>
      </c>
      <c r="EA106" s="9" t="str">
        <f t="shared" si="189"/>
        <v/>
      </c>
      <c r="EB106" s="9">
        <f t="shared" si="189"/>
        <v>1</v>
      </c>
      <c r="EC106" s="9">
        <f t="shared" si="189"/>
        <v>1</v>
      </c>
      <c r="ED106" s="9">
        <f t="shared" si="189"/>
        <v>1</v>
      </c>
      <c r="EE106" s="9">
        <f t="shared" ref="EE106:GP106" si="190">IF(OR(EF14 = "", EF$8 &lt; EE$8), "", 1)</f>
        <v>1</v>
      </c>
      <c r="EF106" s="9">
        <f t="shared" si="190"/>
        <v>1</v>
      </c>
      <c r="EG106" s="9">
        <f t="shared" si="190"/>
        <v>1</v>
      </c>
      <c r="EH106" s="9">
        <f t="shared" si="190"/>
        <v>1</v>
      </c>
      <c r="EI106" s="9">
        <f t="shared" si="190"/>
        <v>1</v>
      </c>
      <c r="EJ106" s="9">
        <f t="shared" si="190"/>
        <v>1</v>
      </c>
      <c r="EK106" s="9">
        <f t="shared" si="190"/>
        <v>1</v>
      </c>
      <c r="EL106" s="9">
        <f t="shared" si="190"/>
        <v>1</v>
      </c>
      <c r="EM106" s="9">
        <f t="shared" si="190"/>
        <v>1</v>
      </c>
      <c r="EN106" s="9">
        <f t="shared" si="190"/>
        <v>1</v>
      </c>
      <c r="EO106" s="9">
        <f t="shared" si="190"/>
        <v>1</v>
      </c>
      <c r="EP106" s="9">
        <f t="shared" si="190"/>
        <v>1</v>
      </c>
      <c r="EQ106" s="9">
        <f t="shared" si="190"/>
        <v>1</v>
      </c>
      <c r="ER106" s="9">
        <f t="shared" si="190"/>
        <v>1</v>
      </c>
      <c r="ES106" s="9">
        <f t="shared" si="190"/>
        <v>1</v>
      </c>
      <c r="ET106" s="9">
        <f t="shared" si="190"/>
        <v>1</v>
      </c>
      <c r="EU106" s="9">
        <f t="shared" si="190"/>
        <v>1</v>
      </c>
      <c r="EV106" s="9">
        <f t="shared" si="190"/>
        <v>1</v>
      </c>
      <c r="EW106" s="9">
        <f t="shared" si="190"/>
        <v>1</v>
      </c>
      <c r="EX106" s="9">
        <f t="shared" si="190"/>
        <v>1</v>
      </c>
      <c r="EY106" s="9">
        <f t="shared" si="190"/>
        <v>1</v>
      </c>
      <c r="EZ106" s="9">
        <f t="shared" si="190"/>
        <v>1</v>
      </c>
      <c r="FA106" s="9">
        <f t="shared" si="190"/>
        <v>1</v>
      </c>
      <c r="FB106" s="9">
        <f t="shared" si="190"/>
        <v>1</v>
      </c>
      <c r="FC106" s="9">
        <f t="shared" si="190"/>
        <v>1</v>
      </c>
      <c r="FD106" s="9">
        <f t="shared" si="190"/>
        <v>1</v>
      </c>
      <c r="FE106" s="9">
        <f t="shared" si="190"/>
        <v>1</v>
      </c>
      <c r="FF106" s="9">
        <f t="shared" si="190"/>
        <v>1</v>
      </c>
      <c r="FG106" s="9">
        <f t="shared" si="190"/>
        <v>1</v>
      </c>
      <c r="FH106" s="9">
        <f t="shared" si="190"/>
        <v>1</v>
      </c>
      <c r="FI106" s="9">
        <f t="shared" si="190"/>
        <v>1</v>
      </c>
      <c r="FJ106" s="9">
        <f t="shared" si="190"/>
        <v>1</v>
      </c>
      <c r="FK106" s="9">
        <f t="shared" si="190"/>
        <v>1</v>
      </c>
      <c r="FL106" s="9">
        <f t="shared" si="190"/>
        <v>1</v>
      </c>
      <c r="FM106" s="9">
        <f t="shared" si="190"/>
        <v>1</v>
      </c>
      <c r="FN106" s="9">
        <f t="shared" si="190"/>
        <v>1</v>
      </c>
      <c r="FO106" s="9">
        <f t="shared" si="190"/>
        <v>1</v>
      </c>
      <c r="FP106" s="9">
        <f t="shared" si="190"/>
        <v>1</v>
      </c>
      <c r="FQ106" s="9">
        <f t="shared" si="190"/>
        <v>1</v>
      </c>
      <c r="FR106" s="9">
        <f t="shared" si="190"/>
        <v>1</v>
      </c>
      <c r="FS106" s="9">
        <f t="shared" si="190"/>
        <v>1</v>
      </c>
      <c r="FT106" s="9">
        <f t="shared" si="190"/>
        <v>1</v>
      </c>
      <c r="FU106" s="9">
        <f t="shared" si="190"/>
        <v>1</v>
      </c>
      <c r="FV106" s="9">
        <f t="shared" si="190"/>
        <v>1</v>
      </c>
      <c r="FW106" s="9">
        <f t="shared" si="190"/>
        <v>1</v>
      </c>
      <c r="FX106" s="9">
        <f t="shared" si="190"/>
        <v>1</v>
      </c>
      <c r="FY106" s="9">
        <f t="shared" si="190"/>
        <v>1</v>
      </c>
      <c r="FZ106" s="9">
        <f t="shared" si="190"/>
        <v>1</v>
      </c>
      <c r="GA106" s="9">
        <f t="shared" si="190"/>
        <v>1</v>
      </c>
      <c r="GB106" s="9">
        <f t="shared" si="190"/>
        <v>1</v>
      </c>
      <c r="GC106" s="9">
        <f t="shared" si="190"/>
        <v>1</v>
      </c>
      <c r="GD106" s="9">
        <f t="shared" si="190"/>
        <v>1</v>
      </c>
      <c r="GE106" s="9">
        <f t="shared" si="190"/>
        <v>1</v>
      </c>
      <c r="GF106" s="9">
        <f t="shared" si="190"/>
        <v>1</v>
      </c>
      <c r="GG106" s="9">
        <f t="shared" si="190"/>
        <v>1</v>
      </c>
      <c r="GH106" s="9">
        <f t="shared" si="190"/>
        <v>1</v>
      </c>
      <c r="GI106" s="9">
        <f t="shared" si="190"/>
        <v>1</v>
      </c>
      <c r="GJ106" s="9">
        <f t="shared" si="190"/>
        <v>1</v>
      </c>
      <c r="GK106" s="9">
        <f t="shared" si="190"/>
        <v>1</v>
      </c>
      <c r="GL106" s="9">
        <f t="shared" si="190"/>
        <v>1</v>
      </c>
      <c r="GM106" s="9">
        <f t="shared" si="190"/>
        <v>1</v>
      </c>
      <c r="GN106" s="9">
        <f t="shared" si="190"/>
        <v>1</v>
      </c>
      <c r="GO106" s="9">
        <f t="shared" si="190"/>
        <v>1</v>
      </c>
      <c r="GP106" s="9">
        <f t="shared" si="190"/>
        <v>1</v>
      </c>
      <c r="GQ106" s="9">
        <f t="shared" ref="GQ106:IV106" si="191">IF(OR(GR14 = "", GR$8 &lt; GQ$8), "", 1)</f>
        <v>1</v>
      </c>
      <c r="GR106" s="9">
        <f t="shared" si="191"/>
        <v>1</v>
      </c>
      <c r="GS106" s="9">
        <f t="shared" si="191"/>
        <v>1</v>
      </c>
      <c r="GT106" s="9">
        <f t="shared" si="191"/>
        <v>1</v>
      </c>
      <c r="GU106" s="9">
        <f t="shared" si="191"/>
        <v>1</v>
      </c>
      <c r="GV106" s="9">
        <f t="shared" si="191"/>
        <v>1</v>
      </c>
      <c r="GW106" s="9">
        <f t="shared" si="191"/>
        <v>1</v>
      </c>
      <c r="GX106" s="9">
        <f t="shared" si="191"/>
        <v>1</v>
      </c>
      <c r="GY106" s="9">
        <f t="shared" si="191"/>
        <v>1</v>
      </c>
      <c r="GZ106" s="9">
        <f t="shared" si="191"/>
        <v>1</v>
      </c>
      <c r="HA106" s="9">
        <f t="shared" si="191"/>
        <v>1</v>
      </c>
      <c r="HB106" s="9">
        <f t="shared" si="191"/>
        <v>1</v>
      </c>
      <c r="HC106" s="9">
        <f t="shared" si="191"/>
        <v>1</v>
      </c>
      <c r="HD106" s="9">
        <f t="shared" si="191"/>
        <v>1</v>
      </c>
      <c r="HE106" s="9">
        <f t="shared" si="191"/>
        <v>1</v>
      </c>
      <c r="HF106" s="9">
        <f t="shared" si="191"/>
        <v>1</v>
      </c>
      <c r="HG106" s="9">
        <f t="shared" si="191"/>
        <v>1</v>
      </c>
      <c r="HH106" s="9">
        <f t="shared" si="191"/>
        <v>1</v>
      </c>
      <c r="HI106" s="9">
        <f t="shared" si="191"/>
        <v>1</v>
      </c>
      <c r="HJ106" s="9">
        <f t="shared" si="191"/>
        <v>1</v>
      </c>
      <c r="HK106" s="9">
        <f t="shared" si="191"/>
        <v>1</v>
      </c>
      <c r="HL106" s="9">
        <f t="shared" si="191"/>
        <v>1</v>
      </c>
      <c r="HM106" s="9">
        <f t="shared" si="191"/>
        <v>1</v>
      </c>
      <c r="HN106" s="9">
        <f t="shared" si="191"/>
        <v>1</v>
      </c>
      <c r="HO106" s="9">
        <f t="shared" si="191"/>
        <v>1</v>
      </c>
      <c r="HP106" s="9">
        <f t="shared" si="191"/>
        <v>1</v>
      </c>
      <c r="HQ106" s="9">
        <f t="shared" si="191"/>
        <v>1</v>
      </c>
      <c r="HR106" s="9">
        <f t="shared" si="191"/>
        <v>1</v>
      </c>
      <c r="HS106" s="9">
        <f t="shared" si="191"/>
        <v>1</v>
      </c>
      <c r="HT106" s="9">
        <f t="shared" si="191"/>
        <v>1</v>
      </c>
      <c r="HU106" s="9">
        <f t="shared" si="191"/>
        <v>1</v>
      </c>
      <c r="HV106" s="9">
        <f t="shared" si="191"/>
        <v>1</v>
      </c>
      <c r="HW106" s="9">
        <f t="shared" si="191"/>
        <v>1</v>
      </c>
      <c r="HX106" s="9">
        <f t="shared" si="191"/>
        <v>1</v>
      </c>
      <c r="HY106" s="9">
        <f t="shared" si="191"/>
        <v>1</v>
      </c>
      <c r="HZ106" s="9">
        <f t="shared" si="191"/>
        <v>1</v>
      </c>
      <c r="IA106" s="9">
        <f t="shared" si="191"/>
        <v>1</v>
      </c>
      <c r="IB106" s="9">
        <f t="shared" si="191"/>
        <v>1</v>
      </c>
      <c r="IC106" s="9">
        <f t="shared" si="191"/>
        <v>1</v>
      </c>
      <c r="ID106" s="9">
        <f t="shared" si="191"/>
        <v>1</v>
      </c>
      <c r="IE106" s="9">
        <f t="shared" si="191"/>
        <v>1</v>
      </c>
      <c r="IF106" s="9">
        <f t="shared" si="191"/>
        <v>1</v>
      </c>
      <c r="IG106" s="9" t="str">
        <f t="shared" si="191"/>
        <v/>
      </c>
      <c r="IH106" s="9" t="str">
        <f t="shared" si="191"/>
        <v/>
      </c>
      <c r="II106" s="9" t="str">
        <f t="shared" si="191"/>
        <v/>
      </c>
      <c r="IJ106" s="9" t="str">
        <f t="shared" si="191"/>
        <v/>
      </c>
      <c r="IK106" s="9" t="str">
        <f t="shared" si="191"/>
        <v/>
      </c>
      <c r="IL106" s="9" t="str">
        <f t="shared" si="191"/>
        <v/>
      </c>
      <c r="IM106" s="9" t="str">
        <f t="shared" si="191"/>
        <v/>
      </c>
      <c r="IN106" s="9" t="str">
        <f t="shared" si="191"/>
        <v/>
      </c>
      <c r="IO106" s="9" t="str">
        <f t="shared" si="191"/>
        <v/>
      </c>
      <c r="IP106" s="9" t="str">
        <f t="shared" si="191"/>
        <v/>
      </c>
      <c r="IQ106" s="9" t="str">
        <f t="shared" si="191"/>
        <v/>
      </c>
      <c r="IR106" s="9" t="str">
        <f t="shared" si="191"/>
        <v/>
      </c>
      <c r="IS106" s="9" t="str">
        <f t="shared" si="191"/>
        <v/>
      </c>
      <c r="IT106" s="9" t="str">
        <f t="shared" si="191"/>
        <v/>
      </c>
      <c r="IU106" s="9" t="str">
        <f t="shared" si="191"/>
        <v/>
      </c>
      <c r="IV106" s="9" t="str">
        <f t="shared" si="191"/>
        <v/>
      </c>
    </row>
    <row r="107" spans="6:256" x14ac:dyDescent="0.2">
      <c r="F107">
        <v>201509</v>
      </c>
      <c r="G107" s="9">
        <f t="shared" ref="G107:BR107" si="192">IF(OR(H15 = "", H$8 &lt; G$8), "", 1)</f>
        <v>1</v>
      </c>
      <c r="H107" s="9">
        <f t="shared" si="192"/>
        <v>1</v>
      </c>
      <c r="I107" s="9">
        <f t="shared" si="192"/>
        <v>1</v>
      </c>
      <c r="J107" s="9">
        <f t="shared" si="192"/>
        <v>1</v>
      </c>
      <c r="K107" s="9">
        <f t="shared" si="192"/>
        <v>1</v>
      </c>
      <c r="L107" s="9">
        <f t="shared" si="192"/>
        <v>1</v>
      </c>
      <c r="M107" s="9">
        <f t="shared" si="192"/>
        <v>1</v>
      </c>
      <c r="N107" s="9">
        <f t="shared" si="192"/>
        <v>1</v>
      </c>
      <c r="O107" s="9">
        <f t="shared" si="192"/>
        <v>1</v>
      </c>
      <c r="P107" s="9">
        <f t="shared" si="192"/>
        <v>1</v>
      </c>
      <c r="Q107" s="9">
        <f t="shared" si="192"/>
        <v>1</v>
      </c>
      <c r="R107" s="9">
        <f t="shared" si="192"/>
        <v>1</v>
      </c>
      <c r="S107" s="9">
        <f t="shared" si="192"/>
        <v>1</v>
      </c>
      <c r="T107" s="9">
        <f t="shared" si="192"/>
        <v>1</v>
      </c>
      <c r="U107" s="9">
        <f t="shared" si="192"/>
        <v>1</v>
      </c>
      <c r="V107" s="9">
        <f t="shared" si="192"/>
        <v>1</v>
      </c>
      <c r="W107" s="9">
        <f t="shared" si="192"/>
        <v>1</v>
      </c>
      <c r="X107" s="9">
        <f t="shared" si="192"/>
        <v>1</v>
      </c>
      <c r="Y107" s="9">
        <f t="shared" si="192"/>
        <v>1</v>
      </c>
      <c r="Z107" s="9">
        <f t="shared" si="192"/>
        <v>1</v>
      </c>
      <c r="AA107" s="9">
        <f t="shared" si="192"/>
        <v>1</v>
      </c>
      <c r="AB107" s="9">
        <f t="shared" si="192"/>
        <v>1</v>
      </c>
      <c r="AC107" s="9">
        <f t="shared" si="192"/>
        <v>1</v>
      </c>
      <c r="AD107" s="9">
        <f t="shared" si="192"/>
        <v>1</v>
      </c>
      <c r="AE107" s="9">
        <f t="shared" si="192"/>
        <v>1</v>
      </c>
      <c r="AF107" s="9">
        <f t="shared" si="192"/>
        <v>1</v>
      </c>
      <c r="AG107" s="9">
        <f t="shared" si="192"/>
        <v>1</v>
      </c>
      <c r="AH107" s="9">
        <f t="shared" si="192"/>
        <v>1</v>
      </c>
      <c r="AI107" s="9">
        <f t="shared" si="192"/>
        <v>1</v>
      </c>
      <c r="AJ107" s="9">
        <f t="shared" si="192"/>
        <v>1</v>
      </c>
      <c r="AK107" s="9">
        <f t="shared" si="192"/>
        <v>1</v>
      </c>
      <c r="AL107" s="9">
        <f t="shared" si="192"/>
        <v>1</v>
      </c>
      <c r="AM107" s="9">
        <f t="shared" si="192"/>
        <v>1</v>
      </c>
      <c r="AN107" s="9">
        <f t="shared" si="192"/>
        <v>1</v>
      </c>
      <c r="AO107" s="9">
        <f t="shared" si="192"/>
        <v>1</v>
      </c>
      <c r="AP107" s="9">
        <f t="shared" si="192"/>
        <v>1</v>
      </c>
      <c r="AQ107" s="9">
        <f t="shared" si="192"/>
        <v>1</v>
      </c>
      <c r="AR107" s="9">
        <f t="shared" si="192"/>
        <v>1</v>
      </c>
      <c r="AS107" s="9">
        <f t="shared" si="192"/>
        <v>1</v>
      </c>
      <c r="AT107" s="9">
        <f t="shared" si="192"/>
        <v>1</v>
      </c>
      <c r="AU107" s="9">
        <f t="shared" si="192"/>
        <v>1</v>
      </c>
      <c r="AV107" s="9">
        <f t="shared" si="192"/>
        <v>1</v>
      </c>
      <c r="AW107" s="9">
        <f t="shared" si="192"/>
        <v>1</v>
      </c>
      <c r="AX107" s="9">
        <f t="shared" si="192"/>
        <v>1</v>
      </c>
      <c r="AY107" s="9">
        <f t="shared" si="192"/>
        <v>1</v>
      </c>
      <c r="AZ107" s="9">
        <f t="shared" si="192"/>
        <v>1</v>
      </c>
      <c r="BA107" s="9">
        <f t="shared" si="192"/>
        <v>1</v>
      </c>
      <c r="BB107" s="9">
        <f t="shared" si="192"/>
        <v>1</v>
      </c>
      <c r="BC107" s="9">
        <f t="shared" si="192"/>
        <v>1</v>
      </c>
      <c r="BD107" s="9">
        <f t="shared" si="192"/>
        <v>1</v>
      </c>
      <c r="BE107" s="9">
        <f t="shared" si="192"/>
        <v>1</v>
      </c>
      <c r="BF107" s="9">
        <f t="shared" si="192"/>
        <v>1</v>
      </c>
      <c r="BG107" s="9">
        <f t="shared" si="192"/>
        <v>1</v>
      </c>
      <c r="BH107" s="9">
        <f t="shared" si="192"/>
        <v>1</v>
      </c>
      <c r="BI107" s="9">
        <f t="shared" si="192"/>
        <v>1</v>
      </c>
      <c r="BJ107" s="9">
        <f t="shared" si="192"/>
        <v>1</v>
      </c>
      <c r="BK107" s="9">
        <f t="shared" si="192"/>
        <v>1</v>
      </c>
      <c r="BL107" s="9">
        <f t="shared" si="192"/>
        <v>1</v>
      </c>
      <c r="BM107" s="9">
        <f t="shared" si="192"/>
        <v>1</v>
      </c>
      <c r="BN107" s="9">
        <f t="shared" si="192"/>
        <v>1</v>
      </c>
      <c r="BO107" s="9">
        <f t="shared" si="192"/>
        <v>1</v>
      </c>
      <c r="BP107" s="9">
        <f t="shared" si="192"/>
        <v>1</v>
      </c>
      <c r="BQ107" s="9">
        <f t="shared" si="192"/>
        <v>1</v>
      </c>
      <c r="BR107" s="9">
        <f t="shared" si="192"/>
        <v>1</v>
      </c>
      <c r="BS107" s="9">
        <f t="shared" ref="BS107:ED107" si="193">IF(OR(BT15 = "", BT$8 &lt; BS$8), "", 1)</f>
        <v>1</v>
      </c>
      <c r="BT107" s="9">
        <f t="shared" si="193"/>
        <v>1</v>
      </c>
      <c r="BU107" s="9">
        <f t="shared" si="193"/>
        <v>1</v>
      </c>
      <c r="BV107" s="9">
        <f t="shared" si="193"/>
        <v>1</v>
      </c>
      <c r="BW107" s="9">
        <f t="shared" si="193"/>
        <v>1</v>
      </c>
      <c r="BX107" s="9">
        <f t="shared" si="193"/>
        <v>1</v>
      </c>
      <c r="BY107" s="9">
        <f t="shared" si="193"/>
        <v>1</v>
      </c>
      <c r="BZ107" s="9">
        <f t="shared" si="193"/>
        <v>1</v>
      </c>
      <c r="CA107" s="9">
        <f t="shared" si="193"/>
        <v>1</v>
      </c>
      <c r="CB107" s="9">
        <f t="shared" si="193"/>
        <v>1</v>
      </c>
      <c r="CC107" s="9">
        <f t="shared" si="193"/>
        <v>1</v>
      </c>
      <c r="CD107" s="9">
        <f t="shared" si="193"/>
        <v>1</v>
      </c>
      <c r="CE107" s="9">
        <f t="shared" si="193"/>
        <v>1</v>
      </c>
      <c r="CF107" s="9">
        <f t="shared" si="193"/>
        <v>1</v>
      </c>
      <c r="CG107" s="9">
        <f t="shared" si="193"/>
        <v>1</v>
      </c>
      <c r="CH107" s="9">
        <f t="shared" si="193"/>
        <v>1</v>
      </c>
      <c r="CI107" s="9">
        <f t="shared" si="193"/>
        <v>1</v>
      </c>
      <c r="CJ107" s="9">
        <f t="shared" si="193"/>
        <v>1</v>
      </c>
      <c r="CK107" s="9">
        <f t="shared" si="193"/>
        <v>1</v>
      </c>
      <c r="CL107" s="9">
        <f t="shared" si="193"/>
        <v>1</v>
      </c>
      <c r="CM107" s="9">
        <f t="shared" si="193"/>
        <v>1</v>
      </c>
      <c r="CN107" s="9">
        <f t="shared" si="193"/>
        <v>1</v>
      </c>
      <c r="CO107" s="9">
        <f t="shared" si="193"/>
        <v>1</v>
      </c>
      <c r="CP107" s="9">
        <f t="shared" si="193"/>
        <v>1</v>
      </c>
      <c r="CQ107" s="9">
        <f t="shared" si="193"/>
        <v>1</v>
      </c>
      <c r="CR107" s="9">
        <f t="shared" si="193"/>
        <v>1</v>
      </c>
      <c r="CS107" s="9">
        <f t="shared" si="193"/>
        <v>1</v>
      </c>
      <c r="CT107" s="9">
        <f t="shared" si="193"/>
        <v>1</v>
      </c>
      <c r="CU107" s="9">
        <f t="shared" si="193"/>
        <v>1</v>
      </c>
      <c r="CV107" s="9">
        <f t="shared" si="193"/>
        <v>1</v>
      </c>
      <c r="CW107" s="9">
        <f t="shared" si="193"/>
        <v>1</v>
      </c>
      <c r="CX107" s="9">
        <f t="shared" si="193"/>
        <v>1</v>
      </c>
      <c r="CY107" s="9">
        <f t="shared" si="193"/>
        <v>1</v>
      </c>
      <c r="CZ107" s="9">
        <f t="shared" si="193"/>
        <v>1</v>
      </c>
      <c r="DA107" s="9">
        <f t="shared" si="193"/>
        <v>1</v>
      </c>
      <c r="DB107" s="9">
        <f t="shared" si="193"/>
        <v>1</v>
      </c>
      <c r="DC107" s="9">
        <f t="shared" si="193"/>
        <v>1</v>
      </c>
      <c r="DD107" s="9">
        <f t="shared" si="193"/>
        <v>1</v>
      </c>
      <c r="DE107" s="9">
        <f t="shared" si="193"/>
        <v>1</v>
      </c>
      <c r="DF107" s="9">
        <f t="shared" si="193"/>
        <v>1</v>
      </c>
      <c r="DG107" s="9">
        <f t="shared" si="193"/>
        <v>1</v>
      </c>
      <c r="DH107" s="9">
        <f t="shared" si="193"/>
        <v>1</v>
      </c>
      <c r="DI107" s="9" t="str">
        <f t="shared" si="193"/>
        <v/>
      </c>
      <c r="DJ107" s="9" t="str">
        <f t="shared" si="193"/>
        <v/>
      </c>
      <c r="DK107" s="9" t="str">
        <f t="shared" si="193"/>
        <v/>
      </c>
      <c r="DL107" s="9" t="str">
        <f t="shared" si="193"/>
        <v/>
      </c>
      <c r="DM107" s="9" t="str">
        <f t="shared" si="193"/>
        <v/>
      </c>
      <c r="DN107" s="9" t="str">
        <f t="shared" si="193"/>
        <v/>
      </c>
      <c r="DO107" s="9" t="str">
        <f t="shared" si="193"/>
        <v/>
      </c>
      <c r="DP107" s="9" t="str">
        <f t="shared" si="193"/>
        <v/>
      </c>
      <c r="DQ107" s="9" t="str">
        <f t="shared" si="193"/>
        <v/>
      </c>
      <c r="DR107" s="9" t="str">
        <f t="shared" si="193"/>
        <v/>
      </c>
      <c r="DS107" s="9" t="str">
        <f t="shared" si="193"/>
        <v/>
      </c>
      <c r="DT107" s="9" t="str">
        <f t="shared" si="193"/>
        <v/>
      </c>
      <c r="DU107" s="9" t="str">
        <f t="shared" si="193"/>
        <v/>
      </c>
      <c r="DV107" s="9" t="str">
        <f t="shared" si="193"/>
        <v/>
      </c>
      <c r="DW107" s="9" t="str">
        <f t="shared" si="193"/>
        <v/>
      </c>
      <c r="DX107" s="9" t="str">
        <f t="shared" si="193"/>
        <v/>
      </c>
      <c r="DY107" s="9" t="str">
        <f t="shared" si="193"/>
        <v/>
      </c>
      <c r="DZ107" s="9" t="str">
        <f t="shared" si="193"/>
        <v/>
      </c>
      <c r="EA107" s="9" t="str">
        <f t="shared" si="193"/>
        <v/>
      </c>
      <c r="EB107" s="9">
        <f t="shared" si="193"/>
        <v>1</v>
      </c>
      <c r="EC107" s="9">
        <f t="shared" si="193"/>
        <v>1</v>
      </c>
      <c r="ED107" s="9">
        <f t="shared" si="193"/>
        <v>1</v>
      </c>
      <c r="EE107" s="9">
        <f t="shared" ref="EE107:GP107" si="194">IF(OR(EF15 = "", EF$8 &lt; EE$8), "", 1)</f>
        <v>1</v>
      </c>
      <c r="EF107" s="9">
        <f t="shared" si="194"/>
        <v>1</v>
      </c>
      <c r="EG107" s="9">
        <f t="shared" si="194"/>
        <v>1</v>
      </c>
      <c r="EH107" s="9">
        <f t="shared" si="194"/>
        <v>1</v>
      </c>
      <c r="EI107" s="9">
        <f t="shared" si="194"/>
        <v>1</v>
      </c>
      <c r="EJ107" s="9">
        <f t="shared" si="194"/>
        <v>1</v>
      </c>
      <c r="EK107" s="9">
        <f t="shared" si="194"/>
        <v>1</v>
      </c>
      <c r="EL107" s="9">
        <f t="shared" si="194"/>
        <v>1</v>
      </c>
      <c r="EM107" s="9">
        <f t="shared" si="194"/>
        <v>1</v>
      </c>
      <c r="EN107" s="9">
        <f t="shared" si="194"/>
        <v>1</v>
      </c>
      <c r="EO107" s="9">
        <f t="shared" si="194"/>
        <v>1</v>
      </c>
      <c r="EP107" s="9">
        <f t="shared" si="194"/>
        <v>1</v>
      </c>
      <c r="EQ107" s="9">
        <f t="shared" si="194"/>
        <v>1</v>
      </c>
      <c r="ER107" s="9">
        <f t="shared" si="194"/>
        <v>1</v>
      </c>
      <c r="ES107" s="9">
        <f t="shared" si="194"/>
        <v>1</v>
      </c>
      <c r="ET107" s="9">
        <f t="shared" si="194"/>
        <v>1</v>
      </c>
      <c r="EU107" s="9">
        <f t="shared" si="194"/>
        <v>1</v>
      </c>
      <c r="EV107" s="9">
        <f t="shared" si="194"/>
        <v>1</v>
      </c>
      <c r="EW107" s="9">
        <f t="shared" si="194"/>
        <v>1</v>
      </c>
      <c r="EX107" s="9">
        <f t="shared" si="194"/>
        <v>1</v>
      </c>
      <c r="EY107" s="9">
        <f t="shared" si="194"/>
        <v>1</v>
      </c>
      <c r="EZ107" s="9">
        <f t="shared" si="194"/>
        <v>1</v>
      </c>
      <c r="FA107" s="9">
        <f t="shared" si="194"/>
        <v>1</v>
      </c>
      <c r="FB107" s="9">
        <f t="shared" si="194"/>
        <v>1</v>
      </c>
      <c r="FC107" s="9">
        <f t="shared" si="194"/>
        <v>1</v>
      </c>
      <c r="FD107" s="9">
        <f t="shared" si="194"/>
        <v>1</v>
      </c>
      <c r="FE107" s="9">
        <f t="shared" si="194"/>
        <v>1</v>
      </c>
      <c r="FF107" s="9">
        <f t="shared" si="194"/>
        <v>1</v>
      </c>
      <c r="FG107" s="9">
        <f t="shared" si="194"/>
        <v>1</v>
      </c>
      <c r="FH107" s="9">
        <f t="shared" si="194"/>
        <v>1</v>
      </c>
      <c r="FI107" s="9">
        <f t="shared" si="194"/>
        <v>1</v>
      </c>
      <c r="FJ107" s="9">
        <f t="shared" si="194"/>
        <v>1</v>
      </c>
      <c r="FK107" s="9">
        <f t="shared" si="194"/>
        <v>1</v>
      </c>
      <c r="FL107" s="9">
        <f t="shared" si="194"/>
        <v>1</v>
      </c>
      <c r="FM107" s="9">
        <f t="shared" si="194"/>
        <v>1</v>
      </c>
      <c r="FN107" s="9">
        <f t="shared" si="194"/>
        <v>1</v>
      </c>
      <c r="FO107" s="9">
        <f t="shared" si="194"/>
        <v>1</v>
      </c>
      <c r="FP107" s="9">
        <f t="shared" si="194"/>
        <v>1</v>
      </c>
      <c r="FQ107" s="9">
        <f t="shared" si="194"/>
        <v>1</v>
      </c>
      <c r="FR107" s="9">
        <f t="shared" si="194"/>
        <v>1</v>
      </c>
      <c r="FS107" s="9">
        <f t="shared" si="194"/>
        <v>1</v>
      </c>
      <c r="FT107" s="9">
        <f t="shared" si="194"/>
        <v>1</v>
      </c>
      <c r="FU107" s="9">
        <f t="shared" si="194"/>
        <v>1</v>
      </c>
      <c r="FV107" s="9">
        <f t="shared" si="194"/>
        <v>1</v>
      </c>
      <c r="FW107" s="9">
        <f t="shared" si="194"/>
        <v>1</v>
      </c>
      <c r="FX107" s="9">
        <f t="shared" si="194"/>
        <v>1</v>
      </c>
      <c r="FY107" s="9">
        <f t="shared" si="194"/>
        <v>1</v>
      </c>
      <c r="FZ107" s="9">
        <f t="shared" si="194"/>
        <v>1</v>
      </c>
      <c r="GA107" s="9">
        <f t="shared" si="194"/>
        <v>1</v>
      </c>
      <c r="GB107" s="9">
        <f t="shared" si="194"/>
        <v>1</v>
      </c>
      <c r="GC107" s="9">
        <f t="shared" si="194"/>
        <v>1</v>
      </c>
      <c r="GD107" s="9">
        <f t="shared" si="194"/>
        <v>1</v>
      </c>
      <c r="GE107" s="9">
        <f t="shared" si="194"/>
        <v>1</v>
      </c>
      <c r="GF107" s="9">
        <f t="shared" si="194"/>
        <v>1</v>
      </c>
      <c r="GG107" s="9">
        <f t="shared" si="194"/>
        <v>1</v>
      </c>
      <c r="GH107" s="9">
        <f t="shared" si="194"/>
        <v>1</v>
      </c>
      <c r="GI107" s="9">
        <f t="shared" si="194"/>
        <v>1</v>
      </c>
      <c r="GJ107" s="9">
        <f t="shared" si="194"/>
        <v>1</v>
      </c>
      <c r="GK107" s="9">
        <f t="shared" si="194"/>
        <v>1</v>
      </c>
      <c r="GL107" s="9">
        <f t="shared" si="194"/>
        <v>1</v>
      </c>
      <c r="GM107" s="9">
        <f t="shared" si="194"/>
        <v>1</v>
      </c>
      <c r="GN107" s="9">
        <f t="shared" si="194"/>
        <v>1</v>
      </c>
      <c r="GO107" s="9">
        <f t="shared" si="194"/>
        <v>1</v>
      </c>
      <c r="GP107" s="9">
        <f t="shared" si="194"/>
        <v>1</v>
      </c>
      <c r="GQ107" s="9">
        <f t="shared" ref="GQ107:IV107" si="195">IF(OR(GR15 = "", GR$8 &lt; GQ$8), "", 1)</f>
        <v>1</v>
      </c>
      <c r="GR107" s="9">
        <f t="shared" si="195"/>
        <v>1</v>
      </c>
      <c r="GS107" s="9">
        <f t="shared" si="195"/>
        <v>1</v>
      </c>
      <c r="GT107" s="9">
        <f t="shared" si="195"/>
        <v>1</v>
      </c>
      <c r="GU107" s="9">
        <f t="shared" si="195"/>
        <v>1</v>
      </c>
      <c r="GV107" s="9">
        <f t="shared" si="195"/>
        <v>1</v>
      </c>
      <c r="GW107" s="9">
        <f t="shared" si="195"/>
        <v>1</v>
      </c>
      <c r="GX107" s="9">
        <f t="shared" si="195"/>
        <v>1</v>
      </c>
      <c r="GY107" s="9">
        <f t="shared" si="195"/>
        <v>1</v>
      </c>
      <c r="GZ107" s="9">
        <f t="shared" si="195"/>
        <v>1</v>
      </c>
      <c r="HA107" s="9">
        <f t="shared" si="195"/>
        <v>1</v>
      </c>
      <c r="HB107" s="9">
        <f t="shared" si="195"/>
        <v>1</v>
      </c>
      <c r="HC107" s="9">
        <f t="shared" si="195"/>
        <v>1</v>
      </c>
      <c r="HD107" s="9">
        <f t="shared" si="195"/>
        <v>1</v>
      </c>
      <c r="HE107" s="9">
        <f t="shared" si="195"/>
        <v>1</v>
      </c>
      <c r="HF107" s="9">
        <f t="shared" si="195"/>
        <v>1</v>
      </c>
      <c r="HG107" s="9">
        <f t="shared" si="195"/>
        <v>1</v>
      </c>
      <c r="HH107" s="9">
        <f t="shared" si="195"/>
        <v>1</v>
      </c>
      <c r="HI107" s="9">
        <f t="shared" si="195"/>
        <v>1</v>
      </c>
      <c r="HJ107" s="9">
        <f t="shared" si="195"/>
        <v>1</v>
      </c>
      <c r="HK107" s="9">
        <f t="shared" si="195"/>
        <v>1</v>
      </c>
      <c r="HL107" s="9">
        <f t="shared" si="195"/>
        <v>1</v>
      </c>
      <c r="HM107" s="9">
        <f t="shared" si="195"/>
        <v>1</v>
      </c>
      <c r="HN107" s="9">
        <f t="shared" si="195"/>
        <v>1</v>
      </c>
      <c r="HO107" s="9">
        <f t="shared" si="195"/>
        <v>1</v>
      </c>
      <c r="HP107" s="9">
        <f t="shared" si="195"/>
        <v>1</v>
      </c>
      <c r="HQ107" s="9">
        <f t="shared" si="195"/>
        <v>1</v>
      </c>
      <c r="HR107" s="9">
        <f t="shared" si="195"/>
        <v>1</v>
      </c>
      <c r="HS107" s="9">
        <f t="shared" si="195"/>
        <v>1</v>
      </c>
      <c r="HT107" s="9">
        <f t="shared" si="195"/>
        <v>1</v>
      </c>
      <c r="HU107" s="9">
        <f t="shared" si="195"/>
        <v>1</v>
      </c>
      <c r="HV107" s="9">
        <f t="shared" si="195"/>
        <v>1</v>
      </c>
      <c r="HW107" s="9">
        <f t="shared" si="195"/>
        <v>1</v>
      </c>
      <c r="HX107" s="9">
        <f t="shared" si="195"/>
        <v>1</v>
      </c>
      <c r="HY107" s="9">
        <f t="shared" si="195"/>
        <v>1</v>
      </c>
      <c r="HZ107" s="9">
        <f t="shared" si="195"/>
        <v>1</v>
      </c>
      <c r="IA107" s="9">
        <f t="shared" si="195"/>
        <v>1</v>
      </c>
      <c r="IB107" s="9">
        <f t="shared" si="195"/>
        <v>1</v>
      </c>
      <c r="IC107" s="9">
        <f t="shared" si="195"/>
        <v>1</v>
      </c>
      <c r="ID107" s="9" t="str">
        <f t="shared" si="195"/>
        <v/>
      </c>
      <c r="IE107" s="9" t="str">
        <f t="shared" si="195"/>
        <v/>
      </c>
      <c r="IF107" s="9" t="str">
        <f t="shared" si="195"/>
        <v/>
      </c>
      <c r="IG107" s="9" t="str">
        <f t="shared" si="195"/>
        <v/>
      </c>
      <c r="IH107" s="9" t="str">
        <f t="shared" si="195"/>
        <v/>
      </c>
      <c r="II107" s="9" t="str">
        <f t="shared" si="195"/>
        <v/>
      </c>
      <c r="IJ107" s="9" t="str">
        <f t="shared" si="195"/>
        <v/>
      </c>
      <c r="IK107" s="9" t="str">
        <f t="shared" si="195"/>
        <v/>
      </c>
      <c r="IL107" s="9" t="str">
        <f t="shared" si="195"/>
        <v/>
      </c>
      <c r="IM107" s="9" t="str">
        <f t="shared" si="195"/>
        <v/>
      </c>
      <c r="IN107" s="9" t="str">
        <f t="shared" si="195"/>
        <v/>
      </c>
      <c r="IO107" s="9" t="str">
        <f t="shared" si="195"/>
        <v/>
      </c>
      <c r="IP107" s="9" t="str">
        <f t="shared" si="195"/>
        <v/>
      </c>
      <c r="IQ107" s="9" t="str">
        <f t="shared" si="195"/>
        <v/>
      </c>
      <c r="IR107" s="9" t="str">
        <f t="shared" si="195"/>
        <v/>
      </c>
      <c r="IS107" s="9" t="str">
        <f t="shared" si="195"/>
        <v/>
      </c>
      <c r="IT107" s="9" t="str">
        <f t="shared" si="195"/>
        <v/>
      </c>
      <c r="IU107" s="9" t="str">
        <f t="shared" si="195"/>
        <v/>
      </c>
      <c r="IV107" s="9" t="str">
        <f t="shared" si="195"/>
        <v/>
      </c>
    </row>
    <row r="108" spans="6:256" x14ac:dyDescent="0.2">
      <c r="F108">
        <v>201512</v>
      </c>
      <c r="G108" s="9">
        <f t="shared" ref="G108:BR108" si="196">IF(OR(H16 = "", H$8 &lt; G$8), "", 1)</f>
        <v>1</v>
      </c>
      <c r="H108" s="9">
        <f t="shared" si="196"/>
        <v>1</v>
      </c>
      <c r="I108" s="9">
        <f t="shared" si="196"/>
        <v>1</v>
      </c>
      <c r="J108" s="9">
        <f t="shared" si="196"/>
        <v>1</v>
      </c>
      <c r="K108" s="9">
        <f t="shared" si="196"/>
        <v>1</v>
      </c>
      <c r="L108" s="9">
        <f t="shared" si="196"/>
        <v>1</v>
      </c>
      <c r="M108" s="9">
        <f t="shared" si="196"/>
        <v>1</v>
      </c>
      <c r="N108" s="9">
        <f t="shared" si="196"/>
        <v>1</v>
      </c>
      <c r="O108" s="9">
        <f t="shared" si="196"/>
        <v>1</v>
      </c>
      <c r="P108" s="9">
        <f t="shared" si="196"/>
        <v>1</v>
      </c>
      <c r="Q108" s="9">
        <f t="shared" si="196"/>
        <v>1</v>
      </c>
      <c r="R108" s="9">
        <f t="shared" si="196"/>
        <v>1</v>
      </c>
      <c r="S108" s="9">
        <f t="shared" si="196"/>
        <v>1</v>
      </c>
      <c r="T108" s="9">
        <f t="shared" si="196"/>
        <v>1</v>
      </c>
      <c r="U108" s="9">
        <f t="shared" si="196"/>
        <v>1</v>
      </c>
      <c r="V108" s="9">
        <f t="shared" si="196"/>
        <v>1</v>
      </c>
      <c r="W108" s="9">
        <f t="shared" si="196"/>
        <v>1</v>
      </c>
      <c r="X108" s="9">
        <f t="shared" si="196"/>
        <v>1</v>
      </c>
      <c r="Y108" s="9">
        <f t="shared" si="196"/>
        <v>1</v>
      </c>
      <c r="Z108" s="9">
        <f t="shared" si="196"/>
        <v>1</v>
      </c>
      <c r="AA108" s="9">
        <f t="shared" si="196"/>
        <v>1</v>
      </c>
      <c r="AB108" s="9">
        <f t="shared" si="196"/>
        <v>1</v>
      </c>
      <c r="AC108" s="9">
        <f t="shared" si="196"/>
        <v>1</v>
      </c>
      <c r="AD108" s="9">
        <f t="shared" si="196"/>
        <v>1</v>
      </c>
      <c r="AE108" s="9">
        <f t="shared" si="196"/>
        <v>1</v>
      </c>
      <c r="AF108" s="9">
        <f t="shared" si="196"/>
        <v>1</v>
      </c>
      <c r="AG108" s="9">
        <f t="shared" si="196"/>
        <v>1</v>
      </c>
      <c r="AH108" s="9">
        <f t="shared" si="196"/>
        <v>1</v>
      </c>
      <c r="AI108" s="9">
        <f t="shared" si="196"/>
        <v>1</v>
      </c>
      <c r="AJ108" s="9">
        <f t="shared" si="196"/>
        <v>1</v>
      </c>
      <c r="AK108" s="9">
        <f t="shared" si="196"/>
        <v>1</v>
      </c>
      <c r="AL108" s="9">
        <f t="shared" si="196"/>
        <v>1</v>
      </c>
      <c r="AM108" s="9">
        <f t="shared" si="196"/>
        <v>1</v>
      </c>
      <c r="AN108" s="9">
        <f t="shared" si="196"/>
        <v>1</v>
      </c>
      <c r="AO108" s="9">
        <f t="shared" si="196"/>
        <v>1</v>
      </c>
      <c r="AP108" s="9">
        <f t="shared" si="196"/>
        <v>1</v>
      </c>
      <c r="AQ108" s="9">
        <f t="shared" si="196"/>
        <v>1</v>
      </c>
      <c r="AR108" s="9">
        <f t="shared" si="196"/>
        <v>1</v>
      </c>
      <c r="AS108" s="9">
        <f t="shared" si="196"/>
        <v>1</v>
      </c>
      <c r="AT108" s="9">
        <f t="shared" si="196"/>
        <v>1</v>
      </c>
      <c r="AU108" s="9">
        <f t="shared" si="196"/>
        <v>1</v>
      </c>
      <c r="AV108" s="9">
        <f t="shared" si="196"/>
        <v>1</v>
      </c>
      <c r="AW108" s="9">
        <f t="shared" si="196"/>
        <v>1</v>
      </c>
      <c r="AX108" s="9">
        <f t="shared" si="196"/>
        <v>1</v>
      </c>
      <c r="AY108" s="9">
        <f t="shared" si="196"/>
        <v>1</v>
      </c>
      <c r="AZ108" s="9">
        <f t="shared" si="196"/>
        <v>1</v>
      </c>
      <c r="BA108" s="9">
        <f t="shared" si="196"/>
        <v>1</v>
      </c>
      <c r="BB108" s="9">
        <f t="shared" si="196"/>
        <v>1</v>
      </c>
      <c r="BC108" s="9">
        <f t="shared" si="196"/>
        <v>1</v>
      </c>
      <c r="BD108" s="9">
        <f t="shared" si="196"/>
        <v>1</v>
      </c>
      <c r="BE108" s="9">
        <f t="shared" si="196"/>
        <v>1</v>
      </c>
      <c r="BF108" s="9">
        <f t="shared" si="196"/>
        <v>1</v>
      </c>
      <c r="BG108" s="9">
        <f t="shared" si="196"/>
        <v>1</v>
      </c>
      <c r="BH108" s="9">
        <f t="shared" si="196"/>
        <v>1</v>
      </c>
      <c r="BI108" s="9">
        <f t="shared" si="196"/>
        <v>1</v>
      </c>
      <c r="BJ108" s="9">
        <f t="shared" si="196"/>
        <v>1</v>
      </c>
      <c r="BK108" s="9">
        <f t="shared" si="196"/>
        <v>1</v>
      </c>
      <c r="BL108" s="9">
        <f t="shared" si="196"/>
        <v>1</v>
      </c>
      <c r="BM108" s="9">
        <f t="shared" si="196"/>
        <v>1</v>
      </c>
      <c r="BN108" s="9">
        <f t="shared" si="196"/>
        <v>1</v>
      </c>
      <c r="BO108" s="9">
        <f t="shared" si="196"/>
        <v>1</v>
      </c>
      <c r="BP108" s="9">
        <f t="shared" si="196"/>
        <v>1</v>
      </c>
      <c r="BQ108" s="9">
        <f t="shared" si="196"/>
        <v>1</v>
      </c>
      <c r="BR108" s="9">
        <f t="shared" si="196"/>
        <v>1</v>
      </c>
      <c r="BS108" s="9">
        <f t="shared" ref="BS108:ED108" si="197">IF(OR(BT16 = "", BT$8 &lt; BS$8), "", 1)</f>
        <v>1</v>
      </c>
      <c r="BT108" s="9">
        <f t="shared" si="197"/>
        <v>1</v>
      </c>
      <c r="BU108" s="9">
        <f t="shared" si="197"/>
        <v>1</v>
      </c>
      <c r="BV108" s="9">
        <f t="shared" si="197"/>
        <v>1</v>
      </c>
      <c r="BW108" s="9">
        <f t="shared" si="197"/>
        <v>1</v>
      </c>
      <c r="BX108" s="9">
        <f t="shared" si="197"/>
        <v>1</v>
      </c>
      <c r="BY108" s="9">
        <f t="shared" si="197"/>
        <v>1</v>
      </c>
      <c r="BZ108" s="9">
        <f t="shared" si="197"/>
        <v>1</v>
      </c>
      <c r="CA108" s="9">
        <f t="shared" si="197"/>
        <v>1</v>
      </c>
      <c r="CB108" s="9">
        <f t="shared" si="197"/>
        <v>1</v>
      </c>
      <c r="CC108" s="9">
        <f t="shared" si="197"/>
        <v>1</v>
      </c>
      <c r="CD108" s="9">
        <f t="shared" si="197"/>
        <v>1</v>
      </c>
      <c r="CE108" s="9">
        <f t="shared" si="197"/>
        <v>1</v>
      </c>
      <c r="CF108" s="9">
        <f t="shared" si="197"/>
        <v>1</v>
      </c>
      <c r="CG108" s="9">
        <f t="shared" si="197"/>
        <v>1</v>
      </c>
      <c r="CH108" s="9">
        <f t="shared" si="197"/>
        <v>1</v>
      </c>
      <c r="CI108" s="9">
        <f t="shared" si="197"/>
        <v>1</v>
      </c>
      <c r="CJ108" s="9">
        <f t="shared" si="197"/>
        <v>1</v>
      </c>
      <c r="CK108" s="9">
        <f t="shared" si="197"/>
        <v>1</v>
      </c>
      <c r="CL108" s="9">
        <f t="shared" si="197"/>
        <v>1</v>
      </c>
      <c r="CM108" s="9">
        <f t="shared" si="197"/>
        <v>1</v>
      </c>
      <c r="CN108" s="9">
        <f t="shared" si="197"/>
        <v>1</v>
      </c>
      <c r="CO108" s="9">
        <f t="shared" si="197"/>
        <v>1</v>
      </c>
      <c r="CP108" s="9">
        <f t="shared" si="197"/>
        <v>1</v>
      </c>
      <c r="CQ108" s="9">
        <f t="shared" si="197"/>
        <v>1</v>
      </c>
      <c r="CR108" s="9">
        <f t="shared" si="197"/>
        <v>1</v>
      </c>
      <c r="CS108" s="9">
        <f t="shared" si="197"/>
        <v>1</v>
      </c>
      <c r="CT108" s="9">
        <f t="shared" si="197"/>
        <v>1</v>
      </c>
      <c r="CU108" s="9">
        <f t="shared" si="197"/>
        <v>1</v>
      </c>
      <c r="CV108" s="9">
        <f t="shared" si="197"/>
        <v>1</v>
      </c>
      <c r="CW108" s="9">
        <f t="shared" si="197"/>
        <v>1</v>
      </c>
      <c r="CX108" s="9">
        <f t="shared" si="197"/>
        <v>1</v>
      </c>
      <c r="CY108" s="9">
        <f t="shared" si="197"/>
        <v>1</v>
      </c>
      <c r="CZ108" s="9">
        <f t="shared" si="197"/>
        <v>1</v>
      </c>
      <c r="DA108" s="9">
        <f t="shared" si="197"/>
        <v>1</v>
      </c>
      <c r="DB108" s="9">
        <f t="shared" si="197"/>
        <v>1</v>
      </c>
      <c r="DC108" s="9">
        <f t="shared" si="197"/>
        <v>1</v>
      </c>
      <c r="DD108" s="9">
        <f t="shared" si="197"/>
        <v>1</v>
      </c>
      <c r="DE108" s="9">
        <f t="shared" si="197"/>
        <v>1</v>
      </c>
      <c r="DF108" s="9" t="str">
        <f t="shared" si="197"/>
        <v/>
      </c>
      <c r="DG108" s="9" t="str">
        <f t="shared" si="197"/>
        <v/>
      </c>
      <c r="DH108" s="9" t="str">
        <f t="shared" si="197"/>
        <v/>
      </c>
      <c r="DI108" s="9" t="str">
        <f t="shared" si="197"/>
        <v/>
      </c>
      <c r="DJ108" s="9" t="str">
        <f t="shared" si="197"/>
        <v/>
      </c>
      <c r="DK108" s="9" t="str">
        <f t="shared" si="197"/>
        <v/>
      </c>
      <c r="DL108" s="9" t="str">
        <f t="shared" si="197"/>
        <v/>
      </c>
      <c r="DM108" s="9" t="str">
        <f t="shared" si="197"/>
        <v/>
      </c>
      <c r="DN108" s="9" t="str">
        <f t="shared" si="197"/>
        <v/>
      </c>
      <c r="DO108" s="9" t="str">
        <f t="shared" si="197"/>
        <v/>
      </c>
      <c r="DP108" s="9" t="str">
        <f t="shared" si="197"/>
        <v/>
      </c>
      <c r="DQ108" s="9" t="str">
        <f t="shared" si="197"/>
        <v/>
      </c>
      <c r="DR108" s="9" t="str">
        <f t="shared" si="197"/>
        <v/>
      </c>
      <c r="DS108" s="9" t="str">
        <f t="shared" si="197"/>
        <v/>
      </c>
      <c r="DT108" s="9" t="str">
        <f t="shared" si="197"/>
        <v/>
      </c>
      <c r="DU108" s="9" t="str">
        <f t="shared" si="197"/>
        <v/>
      </c>
      <c r="DV108" s="9" t="str">
        <f t="shared" si="197"/>
        <v/>
      </c>
      <c r="DW108" s="9" t="str">
        <f t="shared" si="197"/>
        <v/>
      </c>
      <c r="DX108" s="9" t="str">
        <f t="shared" si="197"/>
        <v/>
      </c>
      <c r="DY108" s="9" t="str">
        <f t="shared" si="197"/>
        <v/>
      </c>
      <c r="DZ108" s="9" t="str">
        <f t="shared" si="197"/>
        <v/>
      </c>
      <c r="EA108" s="9" t="str">
        <f t="shared" si="197"/>
        <v/>
      </c>
      <c r="EB108" s="9">
        <f t="shared" si="197"/>
        <v>1</v>
      </c>
      <c r="EC108" s="9">
        <f t="shared" si="197"/>
        <v>1</v>
      </c>
      <c r="ED108" s="9">
        <f t="shared" si="197"/>
        <v>1</v>
      </c>
      <c r="EE108" s="9">
        <f t="shared" ref="EE108:GP108" si="198">IF(OR(EF16 = "", EF$8 &lt; EE$8), "", 1)</f>
        <v>1</v>
      </c>
      <c r="EF108" s="9">
        <f t="shared" si="198"/>
        <v>1</v>
      </c>
      <c r="EG108" s="9">
        <f t="shared" si="198"/>
        <v>1</v>
      </c>
      <c r="EH108" s="9">
        <f t="shared" si="198"/>
        <v>1</v>
      </c>
      <c r="EI108" s="9">
        <f t="shared" si="198"/>
        <v>1</v>
      </c>
      <c r="EJ108" s="9">
        <f t="shared" si="198"/>
        <v>1</v>
      </c>
      <c r="EK108" s="9">
        <f t="shared" si="198"/>
        <v>1</v>
      </c>
      <c r="EL108" s="9">
        <f t="shared" si="198"/>
        <v>1</v>
      </c>
      <c r="EM108" s="9">
        <f t="shared" si="198"/>
        <v>1</v>
      </c>
      <c r="EN108" s="9">
        <f t="shared" si="198"/>
        <v>1</v>
      </c>
      <c r="EO108" s="9">
        <f t="shared" si="198"/>
        <v>1</v>
      </c>
      <c r="EP108" s="9">
        <f t="shared" si="198"/>
        <v>1</v>
      </c>
      <c r="EQ108" s="9">
        <f t="shared" si="198"/>
        <v>1</v>
      </c>
      <c r="ER108" s="9">
        <f t="shared" si="198"/>
        <v>1</v>
      </c>
      <c r="ES108" s="9">
        <f t="shared" si="198"/>
        <v>1</v>
      </c>
      <c r="ET108" s="9">
        <f t="shared" si="198"/>
        <v>1</v>
      </c>
      <c r="EU108" s="9">
        <f t="shared" si="198"/>
        <v>1</v>
      </c>
      <c r="EV108" s="9">
        <f t="shared" si="198"/>
        <v>1</v>
      </c>
      <c r="EW108" s="9">
        <f t="shared" si="198"/>
        <v>1</v>
      </c>
      <c r="EX108" s="9">
        <f t="shared" si="198"/>
        <v>1</v>
      </c>
      <c r="EY108" s="9">
        <f t="shared" si="198"/>
        <v>1</v>
      </c>
      <c r="EZ108" s="9">
        <f t="shared" si="198"/>
        <v>1</v>
      </c>
      <c r="FA108" s="9">
        <f t="shared" si="198"/>
        <v>1</v>
      </c>
      <c r="FB108" s="9">
        <f t="shared" si="198"/>
        <v>1</v>
      </c>
      <c r="FC108" s="9">
        <f t="shared" si="198"/>
        <v>1</v>
      </c>
      <c r="FD108" s="9">
        <f t="shared" si="198"/>
        <v>1</v>
      </c>
      <c r="FE108" s="9">
        <f t="shared" si="198"/>
        <v>1</v>
      </c>
      <c r="FF108" s="9">
        <f t="shared" si="198"/>
        <v>1</v>
      </c>
      <c r="FG108" s="9">
        <f t="shared" si="198"/>
        <v>1</v>
      </c>
      <c r="FH108" s="9">
        <f t="shared" si="198"/>
        <v>1</v>
      </c>
      <c r="FI108" s="9">
        <f t="shared" si="198"/>
        <v>1</v>
      </c>
      <c r="FJ108" s="9">
        <f t="shared" si="198"/>
        <v>1</v>
      </c>
      <c r="FK108" s="9">
        <f t="shared" si="198"/>
        <v>1</v>
      </c>
      <c r="FL108" s="9">
        <f t="shared" si="198"/>
        <v>1</v>
      </c>
      <c r="FM108" s="9">
        <f t="shared" si="198"/>
        <v>1</v>
      </c>
      <c r="FN108" s="9">
        <f t="shared" si="198"/>
        <v>1</v>
      </c>
      <c r="FO108" s="9">
        <f t="shared" si="198"/>
        <v>1</v>
      </c>
      <c r="FP108" s="9">
        <f t="shared" si="198"/>
        <v>1</v>
      </c>
      <c r="FQ108" s="9">
        <f t="shared" si="198"/>
        <v>1</v>
      </c>
      <c r="FR108" s="9">
        <f t="shared" si="198"/>
        <v>1</v>
      </c>
      <c r="FS108" s="9">
        <f t="shared" si="198"/>
        <v>1</v>
      </c>
      <c r="FT108" s="9">
        <f t="shared" si="198"/>
        <v>1</v>
      </c>
      <c r="FU108" s="9">
        <f t="shared" si="198"/>
        <v>1</v>
      </c>
      <c r="FV108" s="9">
        <f t="shared" si="198"/>
        <v>1</v>
      </c>
      <c r="FW108" s="9">
        <f t="shared" si="198"/>
        <v>1</v>
      </c>
      <c r="FX108" s="9">
        <f t="shared" si="198"/>
        <v>1</v>
      </c>
      <c r="FY108" s="9">
        <f t="shared" si="198"/>
        <v>1</v>
      </c>
      <c r="FZ108" s="9">
        <f t="shared" si="198"/>
        <v>1</v>
      </c>
      <c r="GA108" s="9">
        <f t="shared" si="198"/>
        <v>1</v>
      </c>
      <c r="GB108" s="9">
        <f t="shared" si="198"/>
        <v>1</v>
      </c>
      <c r="GC108" s="9">
        <f t="shared" si="198"/>
        <v>1</v>
      </c>
      <c r="GD108" s="9">
        <f t="shared" si="198"/>
        <v>1</v>
      </c>
      <c r="GE108" s="9">
        <f t="shared" si="198"/>
        <v>1</v>
      </c>
      <c r="GF108" s="9">
        <f t="shared" si="198"/>
        <v>1</v>
      </c>
      <c r="GG108" s="9">
        <f t="shared" si="198"/>
        <v>1</v>
      </c>
      <c r="GH108" s="9">
        <f t="shared" si="198"/>
        <v>1</v>
      </c>
      <c r="GI108" s="9">
        <f t="shared" si="198"/>
        <v>1</v>
      </c>
      <c r="GJ108" s="9">
        <f t="shared" si="198"/>
        <v>1</v>
      </c>
      <c r="GK108" s="9">
        <f t="shared" si="198"/>
        <v>1</v>
      </c>
      <c r="GL108" s="9">
        <f t="shared" si="198"/>
        <v>1</v>
      </c>
      <c r="GM108" s="9">
        <f t="shared" si="198"/>
        <v>1</v>
      </c>
      <c r="GN108" s="9">
        <f t="shared" si="198"/>
        <v>1</v>
      </c>
      <c r="GO108" s="9">
        <f t="shared" si="198"/>
        <v>1</v>
      </c>
      <c r="GP108" s="9">
        <f t="shared" si="198"/>
        <v>1</v>
      </c>
      <c r="GQ108" s="9">
        <f t="shared" ref="GQ108:IV108" si="199">IF(OR(GR16 = "", GR$8 &lt; GQ$8), "", 1)</f>
        <v>1</v>
      </c>
      <c r="GR108" s="9">
        <f t="shared" si="199"/>
        <v>1</v>
      </c>
      <c r="GS108" s="9">
        <f t="shared" si="199"/>
        <v>1</v>
      </c>
      <c r="GT108" s="9">
        <f t="shared" si="199"/>
        <v>1</v>
      </c>
      <c r="GU108" s="9">
        <f t="shared" si="199"/>
        <v>1</v>
      </c>
      <c r="GV108" s="9">
        <f t="shared" si="199"/>
        <v>1</v>
      </c>
      <c r="GW108" s="9">
        <f t="shared" si="199"/>
        <v>1</v>
      </c>
      <c r="GX108" s="9">
        <f t="shared" si="199"/>
        <v>1</v>
      </c>
      <c r="GY108" s="9">
        <f t="shared" si="199"/>
        <v>1</v>
      </c>
      <c r="GZ108" s="9">
        <f t="shared" si="199"/>
        <v>1</v>
      </c>
      <c r="HA108" s="9">
        <f t="shared" si="199"/>
        <v>1</v>
      </c>
      <c r="HB108" s="9">
        <f t="shared" si="199"/>
        <v>1</v>
      </c>
      <c r="HC108" s="9">
        <f t="shared" si="199"/>
        <v>1</v>
      </c>
      <c r="HD108" s="9">
        <f t="shared" si="199"/>
        <v>1</v>
      </c>
      <c r="HE108" s="9">
        <f t="shared" si="199"/>
        <v>1</v>
      </c>
      <c r="HF108" s="9">
        <f t="shared" si="199"/>
        <v>1</v>
      </c>
      <c r="HG108" s="9">
        <f t="shared" si="199"/>
        <v>1</v>
      </c>
      <c r="HH108" s="9">
        <f t="shared" si="199"/>
        <v>1</v>
      </c>
      <c r="HI108" s="9">
        <f t="shared" si="199"/>
        <v>1</v>
      </c>
      <c r="HJ108" s="9">
        <f t="shared" si="199"/>
        <v>1</v>
      </c>
      <c r="HK108" s="9">
        <f t="shared" si="199"/>
        <v>1</v>
      </c>
      <c r="HL108" s="9">
        <f t="shared" si="199"/>
        <v>1</v>
      </c>
      <c r="HM108" s="9">
        <f t="shared" si="199"/>
        <v>1</v>
      </c>
      <c r="HN108" s="9">
        <f t="shared" si="199"/>
        <v>1</v>
      </c>
      <c r="HO108" s="9">
        <f t="shared" si="199"/>
        <v>1</v>
      </c>
      <c r="HP108" s="9">
        <f t="shared" si="199"/>
        <v>1</v>
      </c>
      <c r="HQ108" s="9">
        <f t="shared" si="199"/>
        <v>1</v>
      </c>
      <c r="HR108" s="9">
        <f t="shared" si="199"/>
        <v>1</v>
      </c>
      <c r="HS108" s="9">
        <f t="shared" si="199"/>
        <v>1</v>
      </c>
      <c r="HT108" s="9">
        <f t="shared" si="199"/>
        <v>1</v>
      </c>
      <c r="HU108" s="9">
        <f t="shared" si="199"/>
        <v>1</v>
      </c>
      <c r="HV108" s="9">
        <f t="shared" si="199"/>
        <v>1</v>
      </c>
      <c r="HW108" s="9">
        <f t="shared" si="199"/>
        <v>1</v>
      </c>
      <c r="HX108" s="9">
        <f t="shared" si="199"/>
        <v>1</v>
      </c>
      <c r="HY108" s="9">
        <f t="shared" si="199"/>
        <v>1</v>
      </c>
      <c r="HZ108" s="9">
        <f t="shared" si="199"/>
        <v>1</v>
      </c>
      <c r="IA108" s="9" t="str">
        <f t="shared" si="199"/>
        <v/>
      </c>
      <c r="IB108" s="9" t="str">
        <f t="shared" si="199"/>
        <v/>
      </c>
      <c r="IC108" s="9" t="str">
        <f t="shared" si="199"/>
        <v/>
      </c>
      <c r="ID108" s="9" t="str">
        <f t="shared" si="199"/>
        <v/>
      </c>
      <c r="IE108" s="9" t="str">
        <f t="shared" si="199"/>
        <v/>
      </c>
      <c r="IF108" s="9" t="str">
        <f t="shared" si="199"/>
        <v/>
      </c>
      <c r="IG108" s="9" t="str">
        <f t="shared" si="199"/>
        <v/>
      </c>
      <c r="IH108" s="9" t="str">
        <f t="shared" si="199"/>
        <v/>
      </c>
      <c r="II108" s="9" t="str">
        <f t="shared" si="199"/>
        <v/>
      </c>
      <c r="IJ108" s="9" t="str">
        <f t="shared" si="199"/>
        <v/>
      </c>
      <c r="IK108" s="9" t="str">
        <f t="shared" si="199"/>
        <v/>
      </c>
      <c r="IL108" s="9" t="str">
        <f t="shared" si="199"/>
        <v/>
      </c>
      <c r="IM108" s="9" t="str">
        <f t="shared" si="199"/>
        <v/>
      </c>
      <c r="IN108" s="9" t="str">
        <f t="shared" si="199"/>
        <v/>
      </c>
      <c r="IO108" s="9" t="str">
        <f t="shared" si="199"/>
        <v/>
      </c>
      <c r="IP108" s="9" t="str">
        <f t="shared" si="199"/>
        <v/>
      </c>
      <c r="IQ108" s="9" t="str">
        <f t="shared" si="199"/>
        <v/>
      </c>
      <c r="IR108" s="9" t="str">
        <f t="shared" si="199"/>
        <v/>
      </c>
      <c r="IS108" s="9" t="str">
        <f t="shared" si="199"/>
        <v/>
      </c>
      <c r="IT108" s="9" t="str">
        <f t="shared" si="199"/>
        <v/>
      </c>
      <c r="IU108" s="9" t="str">
        <f t="shared" si="199"/>
        <v/>
      </c>
      <c r="IV108" s="9" t="str">
        <f t="shared" si="199"/>
        <v/>
      </c>
    </row>
    <row r="109" spans="6:256" x14ac:dyDescent="0.2">
      <c r="F109">
        <v>201603</v>
      </c>
      <c r="G109" s="9">
        <f t="shared" ref="G109:BR109" si="200">IF(OR(H17 = "", H$8 &lt; G$8), "", 1)</f>
        <v>1</v>
      </c>
      <c r="H109" s="9">
        <f t="shared" si="200"/>
        <v>1</v>
      </c>
      <c r="I109" s="9">
        <f t="shared" si="200"/>
        <v>1</v>
      </c>
      <c r="J109" s="9">
        <f t="shared" si="200"/>
        <v>1</v>
      </c>
      <c r="K109" s="9">
        <f t="shared" si="200"/>
        <v>1</v>
      </c>
      <c r="L109" s="9">
        <f t="shared" si="200"/>
        <v>1</v>
      </c>
      <c r="M109" s="9">
        <f t="shared" si="200"/>
        <v>1</v>
      </c>
      <c r="N109" s="9">
        <f t="shared" si="200"/>
        <v>1</v>
      </c>
      <c r="O109" s="9">
        <f t="shared" si="200"/>
        <v>1</v>
      </c>
      <c r="P109" s="9">
        <f t="shared" si="200"/>
        <v>1</v>
      </c>
      <c r="Q109" s="9">
        <f t="shared" si="200"/>
        <v>1</v>
      </c>
      <c r="R109" s="9">
        <f t="shared" si="200"/>
        <v>1</v>
      </c>
      <c r="S109" s="9">
        <f t="shared" si="200"/>
        <v>1</v>
      </c>
      <c r="T109" s="9">
        <f t="shared" si="200"/>
        <v>1</v>
      </c>
      <c r="U109" s="9">
        <f t="shared" si="200"/>
        <v>1</v>
      </c>
      <c r="V109" s="9">
        <f t="shared" si="200"/>
        <v>1</v>
      </c>
      <c r="W109" s="9">
        <f t="shared" si="200"/>
        <v>1</v>
      </c>
      <c r="X109" s="9">
        <f t="shared" si="200"/>
        <v>1</v>
      </c>
      <c r="Y109" s="9">
        <f t="shared" si="200"/>
        <v>1</v>
      </c>
      <c r="Z109" s="9">
        <f t="shared" si="200"/>
        <v>1</v>
      </c>
      <c r="AA109" s="9">
        <f t="shared" si="200"/>
        <v>1</v>
      </c>
      <c r="AB109" s="9">
        <f t="shared" si="200"/>
        <v>1</v>
      </c>
      <c r="AC109" s="9">
        <f t="shared" si="200"/>
        <v>1</v>
      </c>
      <c r="AD109" s="9">
        <f t="shared" si="200"/>
        <v>1</v>
      </c>
      <c r="AE109" s="9">
        <f t="shared" si="200"/>
        <v>1</v>
      </c>
      <c r="AF109" s="9">
        <f t="shared" si="200"/>
        <v>1</v>
      </c>
      <c r="AG109" s="9">
        <f t="shared" si="200"/>
        <v>1</v>
      </c>
      <c r="AH109" s="9">
        <f t="shared" si="200"/>
        <v>1</v>
      </c>
      <c r="AI109" s="9">
        <f t="shared" si="200"/>
        <v>1</v>
      </c>
      <c r="AJ109" s="9">
        <f t="shared" si="200"/>
        <v>1</v>
      </c>
      <c r="AK109" s="9">
        <f t="shared" si="200"/>
        <v>1</v>
      </c>
      <c r="AL109" s="9">
        <f t="shared" si="200"/>
        <v>1</v>
      </c>
      <c r="AM109" s="9">
        <f t="shared" si="200"/>
        <v>1</v>
      </c>
      <c r="AN109" s="9">
        <f t="shared" si="200"/>
        <v>1</v>
      </c>
      <c r="AO109" s="9">
        <f t="shared" si="200"/>
        <v>1</v>
      </c>
      <c r="AP109" s="9">
        <f t="shared" si="200"/>
        <v>1</v>
      </c>
      <c r="AQ109" s="9">
        <f t="shared" si="200"/>
        <v>1</v>
      </c>
      <c r="AR109" s="9">
        <f t="shared" si="200"/>
        <v>1</v>
      </c>
      <c r="AS109" s="9">
        <f t="shared" si="200"/>
        <v>1</v>
      </c>
      <c r="AT109" s="9">
        <f t="shared" si="200"/>
        <v>1</v>
      </c>
      <c r="AU109" s="9">
        <f t="shared" si="200"/>
        <v>1</v>
      </c>
      <c r="AV109" s="9">
        <f t="shared" si="200"/>
        <v>1</v>
      </c>
      <c r="AW109" s="9">
        <f t="shared" si="200"/>
        <v>1</v>
      </c>
      <c r="AX109" s="9">
        <f t="shared" si="200"/>
        <v>1</v>
      </c>
      <c r="AY109" s="9">
        <f t="shared" si="200"/>
        <v>1</v>
      </c>
      <c r="AZ109" s="9">
        <f t="shared" si="200"/>
        <v>1</v>
      </c>
      <c r="BA109" s="9">
        <f t="shared" si="200"/>
        <v>1</v>
      </c>
      <c r="BB109" s="9">
        <f t="shared" si="200"/>
        <v>1</v>
      </c>
      <c r="BC109" s="9">
        <f t="shared" si="200"/>
        <v>1</v>
      </c>
      <c r="BD109" s="9">
        <f t="shared" si="200"/>
        <v>1</v>
      </c>
      <c r="BE109" s="9">
        <f t="shared" si="200"/>
        <v>1</v>
      </c>
      <c r="BF109" s="9">
        <f t="shared" si="200"/>
        <v>1</v>
      </c>
      <c r="BG109" s="9">
        <f t="shared" si="200"/>
        <v>1</v>
      </c>
      <c r="BH109" s="9">
        <f t="shared" si="200"/>
        <v>1</v>
      </c>
      <c r="BI109" s="9">
        <f t="shared" si="200"/>
        <v>1</v>
      </c>
      <c r="BJ109" s="9">
        <f t="shared" si="200"/>
        <v>1</v>
      </c>
      <c r="BK109" s="9">
        <f t="shared" si="200"/>
        <v>1</v>
      </c>
      <c r="BL109" s="9">
        <f t="shared" si="200"/>
        <v>1</v>
      </c>
      <c r="BM109" s="9">
        <f t="shared" si="200"/>
        <v>1</v>
      </c>
      <c r="BN109" s="9">
        <f t="shared" si="200"/>
        <v>1</v>
      </c>
      <c r="BO109" s="9">
        <f t="shared" si="200"/>
        <v>1</v>
      </c>
      <c r="BP109" s="9">
        <f t="shared" si="200"/>
        <v>1</v>
      </c>
      <c r="BQ109" s="9">
        <f t="shared" si="200"/>
        <v>1</v>
      </c>
      <c r="BR109" s="9">
        <f t="shared" si="200"/>
        <v>1</v>
      </c>
      <c r="BS109" s="9">
        <f t="shared" ref="BS109:ED109" si="201">IF(OR(BT17 = "", BT$8 &lt; BS$8), "", 1)</f>
        <v>1</v>
      </c>
      <c r="BT109" s="9">
        <f t="shared" si="201"/>
        <v>1</v>
      </c>
      <c r="BU109" s="9">
        <f t="shared" si="201"/>
        <v>1</v>
      </c>
      <c r="BV109" s="9">
        <f t="shared" si="201"/>
        <v>1</v>
      </c>
      <c r="BW109" s="9">
        <f t="shared" si="201"/>
        <v>1</v>
      </c>
      <c r="BX109" s="9">
        <f t="shared" si="201"/>
        <v>1</v>
      </c>
      <c r="BY109" s="9">
        <f t="shared" si="201"/>
        <v>1</v>
      </c>
      <c r="BZ109" s="9">
        <f t="shared" si="201"/>
        <v>1</v>
      </c>
      <c r="CA109" s="9">
        <f t="shared" si="201"/>
        <v>1</v>
      </c>
      <c r="CB109" s="9">
        <f t="shared" si="201"/>
        <v>1</v>
      </c>
      <c r="CC109" s="9">
        <f t="shared" si="201"/>
        <v>1</v>
      </c>
      <c r="CD109" s="9">
        <f t="shared" si="201"/>
        <v>1</v>
      </c>
      <c r="CE109" s="9">
        <f t="shared" si="201"/>
        <v>1</v>
      </c>
      <c r="CF109" s="9">
        <f t="shared" si="201"/>
        <v>1</v>
      </c>
      <c r="CG109" s="9">
        <f t="shared" si="201"/>
        <v>1</v>
      </c>
      <c r="CH109" s="9">
        <f t="shared" si="201"/>
        <v>1</v>
      </c>
      <c r="CI109" s="9">
        <f t="shared" si="201"/>
        <v>1</v>
      </c>
      <c r="CJ109" s="9">
        <f t="shared" si="201"/>
        <v>1</v>
      </c>
      <c r="CK109" s="9">
        <f t="shared" si="201"/>
        <v>1</v>
      </c>
      <c r="CL109" s="9">
        <f t="shared" si="201"/>
        <v>1</v>
      </c>
      <c r="CM109" s="9">
        <f t="shared" si="201"/>
        <v>1</v>
      </c>
      <c r="CN109" s="9">
        <f t="shared" si="201"/>
        <v>1</v>
      </c>
      <c r="CO109" s="9">
        <f t="shared" si="201"/>
        <v>1</v>
      </c>
      <c r="CP109" s="9">
        <f t="shared" si="201"/>
        <v>1</v>
      </c>
      <c r="CQ109" s="9">
        <f t="shared" si="201"/>
        <v>1</v>
      </c>
      <c r="CR109" s="9">
        <f t="shared" si="201"/>
        <v>1</v>
      </c>
      <c r="CS109" s="9">
        <f t="shared" si="201"/>
        <v>1</v>
      </c>
      <c r="CT109" s="9">
        <f t="shared" si="201"/>
        <v>1</v>
      </c>
      <c r="CU109" s="9">
        <f t="shared" si="201"/>
        <v>1</v>
      </c>
      <c r="CV109" s="9">
        <f t="shared" si="201"/>
        <v>1</v>
      </c>
      <c r="CW109" s="9">
        <f t="shared" si="201"/>
        <v>1</v>
      </c>
      <c r="CX109" s="9">
        <f t="shared" si="201"/>
        <v>1</v>
      </c>
      <c r="CY109" s="9">
        <f t="shared" si="201"/>
        <v>1</v>
      </c>
      <c r="CZ109" s="9">
        <f t="shared" si="201"/>
        <v>1</v>
      </c>
      <c r="DA109" s="9">
        <f t="shared" si="201"/>
        <v>1</v>
      </c>
      <c r="DB109" s="9">
        <f t="shared" si="201"/>
        <v>1</v>
      </c>
      <c r="DC109" s="9" t="str">
        <f t="shared" si="201"/>
        <v/>
      </c>
      <c r="DD109" s="9" t="str">
        <f t="shared" si="201"/>
        <v/>
      </c>
      <c r="DE109" s="9" t="str">
        <f t="shared" si="201"/>
        <v/>
      </c>
      <c r="DF109" s="9" t="str">
        <f t="shared" si="201"/>
        <v/>
      </c>
      <c r="DG109" s="9" t="str">
        <f t="shared" si="201"/>
        <v/>
      </c>
      <c r="DH109" s="9" t="str">
        <f t="shared" si="201"/>
        <v/>
      </c>
      <c r="DI109" s="9" t="str">
        <f t="shared" si="201"/>
        <v/>
      </c>
      <c r="DJ109" s="9" t="str">
        <f t="shared" si="201"/>
        <v/>
      </c>
      <c r="DK109" s="9" t="str">
        <f t="shared" si="201"/>
        <v/>
      </c>
      <c r="DL109" s="9" t="str">
        <f t="shared" si="201"/>
        <v/>
      </c>
      <c r="DM109" s="9" t="str">
        <f t="shared" si="201"/>
        <v/>
      </c>
      <c r="DN109" s="9" t="str">
        <f t="shared" si="201"/>
        <v/>
      </c>
      <c r="DO109" s="9" t="str">
        <f t="shared" si="201"/>
        <v/>
      </c>
      <c r="DP109" s="9" t="str">
        <f t="shared" si="201"/>
        <v/>
      </c>
      <c r="DQ109" s="9" t="str">
        <f t="shared" si="201"/>
        <v/>
      </c>
      <c r="DR109" s="9" t="str">
        <f t="shared" si="201"/>
        <v/>
      </c>
      <c r="DS109" s="9" t="str">
        <f t="shared" si="201"/>
        <v/>
      </c>
      <c r="DT109" s="9" t="str">
        <f t="shared" si="201"/>
        <v/>
      </c>
      <c r="DU109" s="9" t="str">
        <f t="shared" si="201"/>
        <v/>
      </c>
      <c r="DV109" s="9" t="str">
        <f t="shared" si="201"/>
        <v/>
      </c>
      <c r="DW109" s="9" t="str">
        <f t="shared" si="201"/>
        <v/>
      </c>
      <c r="DX109" s="9" t="str">
        <f t="shared" si="201"/>
        <v/>
      </c>
      <c r="DY109" s="9" t="str">
        <f t="shared" si="201"/>
        <v/>
      </c>
      <c r="DZ109" s="9" t="str">
        <f t="shared" si="201"/>
        <v/>
      </c>
      <c r="EA109" s="9" t="str">
        <f t="shared" si="201"/>
        <v/>
      </c>
      <c r="EB109" s="9">
        <f t="shared" si="201"/>
        <v>1</v>
      </c>
      <c r="EC109" s="9">
        <f t="shared" si="201"/>
        <v>1</v>
      </c>
      <c r="ED109" s="9">
        <f t="shared" si="201"/>
        <v>1</v>
      </c>
      <c r="EE109" s="9">
        <f t="shared" ref="EE109:GP109" si="202">IF(OR(EF17 = "", EF$8 &lt; EE$8), "", 1)</f>
        <v>1</v>
      </c>
      <c r="EF109" s="9">
        <f t="shared" si="202"/>
        <v>1</v>
      </c>
      <c r="EG109" s="9">
        <f t="shared" si="202"/>
        <v>1</v>
      </c>
      <c r="EH109" s="9">
        <f t="shared" si="202"/>
        <v>1</v>
      </c>
      <c r="EI109" s="9">
        <f t="shared" si="202"/>
        <v>1</v>
      </c>
      <c r="EJ109" s="9">
        <f t="shared" si="202"/>
        <v>1</v>
      </c>
      <c r="EK109" s="9">
        <f t="shared" si="202"/>
        <v>1</v>
      </c>
      <c r="EL109" s="9">
        <f t="shared" si="202"/>
        <v>1</v>
      </c>
      <c r="EM109" s="9">
        <f t="shared" si="202"/>
        <v>1</v>
      </c>
      <c r="EN109" s="9">
        <f t="shared" si="202"/>
        <v>1</v>
      </c>
      <c r="EO109" s="9">
        <f t="shared" si="202"/>
        <v>1</v>
      </c>
      <c r="EP109" s="9">
        <f t="shared" si="202"/>
        <v>1</v>
      </c>
      <c r="EQ109" s="9">
        <f t="shared" si="202"/>
        <v>1</v>
      </c>
      <c r="ER109" s="9">
        <f t="shared" si="202"/>
        <v>1</v>
      </c>
      <c r="ES109" s="9">
        <f t="shared" si="202"/>
        <v>1</v>
      </c>
      <c r="ET109" s="9">
        <f t="shared" si="202"/>
        <v>1</v>
      </c>
      <c r="EU109" s="9">
        <f t="shared" si="202"/>
        <v>1</v>
      </c>
      <c r="EV109" s="9">
        <f t="shared" si="202"/>
        <v>1</v>
      </c>
      <c r="EW109" s="9">
        <f t="shared" si="202"/>
        <v>1</v>
      </c>
      <c r="EX109" s="9">
        <f t="shared" si="202"/>
        <v>1</v>
      </c>
      <c r="EY109" s="9">
        <f t="shared" si="202"/>
        <v>1</v>
      </c>
      <c r="EZ109" s="9">
        <f t="shared" si="202"/>
        <v>1</v>
      </c>
      <c r="FA109" s="9">
        <f t="shared" si="202"/>
        <v>1</v>
      </c>
      <c r="FB109" s="9">
        <f t="shared" si="202"/>
        <v>1</v>
      </c>
      <c r="FC109" s="9">
        <f t="shared" si="202"/>
        <v>1</v>
      </c>
      <c r="FD109" s="9">
        <f t="shared" si="202"/>
        <v>1</v>
      </c>
      <c r="FE109" s="9">
        <f t="shared" si="202"/>
        <v>1</v>
      </c>
      <c r="FF109" s="9">
        <f t="shared" si="202"/>
        <v>1</v>
      </c>
      <c r="FG109" s="9">
        <f t="shared" si="202"/>
        <v>1</v>
      </c>
      <c r="FH109" s="9">
        <f t="shared" si="202"/>
        <v>1</v>
      </c>
      <c r="FI109" s="9">
        <f t="shared" si="202"/>
        <v>1</v>
      </c>
      <c r="FJ109" s="9">
        <f t="shared" si="202"/>
        <v>1</v>
      </c>
      <c r="FK109" s="9">
        <f t="shared" si="202"/>
        <v>1</v>
      </c>
      <c r="FL109" s="9">
        <f t="shared" si="202"/>
        <v>1</v>
      </c>
      <c r="FM109" s="9">
        <f t="shared" si="202"/>
        <v>1</v>
      </c>
      <c r="FN109" s="9">
        <f t="shared" si="202"/>
        <v>1</v>
      </c>
      <c r="FO109" s="9">
        <f t="shared" si="202"/>
        <v>1</v>
      </c>
      <c r="FP109" s="9">
        <f t="shared" si="202"/>
        <v>1</v>
      </c>
      <c r="FQ109" s="9">
        <f t="shared" si="202"/>
        <v>1</v>
      </c>
      <c r="FR109" s="9">
        <f t="shared" si="202"/>
        <v>1</v>
      </c>
      <c r="FS109" s="9">
        <f t="shared" si="202"/>
        <v>1</v>
      </c>
      <c r="FT109" s="9">
        <f t="shared" si="202"/>
        <v>1</v>
      </c>
      <c r="FU109" s="9">
        <f t="shared" si="202"/>
        <v>1</v>
      </c>
      <c r="FV109" s="9">
        <f t="shared" si="202"/>
        <v>1</v>
      </c>
      <c r="FW109" s="9">
        <f t="shared" si="202"/>
        <v>1</v>
      </c>
      <c r="FX109" s="9">
        <f t="shared" si="202"/>
        <v>1</v>
      </c>
      <c r="FY109" s="9">
        <f t="shared" si="202"/>
        <v>1</v>
      </c>
      <c r="FZ109" s="9">
        <f t="shared" si="202"/>
        <v>1</v>
      </c>
      <c r="GA109" s="9">
        <f t="shared" si="202"/>
        <v>1</v>
      </c>
      <c r="GB109" s="9">
        <f t="shared" si="202"/>
        <v>1</v>
      </c>
      <c r="GC109" s="9">
        <f t="shared" si="202"/>
        <v>1</v>
      </c>
      <c r="GD109" s="9">
        <f t="shared" si="202"/>
        <v>1</v>
      </c>
      <c r="GE109" s="9">
        <f t="shared" si="202"/>
        <v>1</v>
      </c>
      <c r="GF109" s="9">
        <f t="shared" si="202"/>
        <v>1</v>
      </c>
      <c r="GG109" s="9">
        <f t="shared" si="202"/>
        <v>1</v>
      </c>
      <c r="GH109" s="9">
        <f t="shared" si="202"/>
        <v>1</v>
      </c>
      <c r="GI109" s="9">
        <f t="shared" si="202"/>
        <v>1</v>
      </c>
      <c r="GJ109" s="9">
        <f t="shared" si="202"/>
        <v>1</v>
      </c>
      <c r="GK109" s="9">
        <f t="shared" si="202"/>
        <v>1</v>
      </c>
      <c r="GL109" s="9">
        <f t="shared" si="202"/>
        <v>1</v>
      </c>
      <c r="GM109" s="9">
        <f t="shared" si="202"/>
        <v>1</v>
      </c>
      <c r="GN109" s="9">
        <f t="shared" si="202"/>
        <v>1</v>
      </c>
      <c r="GO109" s="9">
        <f t="shared" si="202"/>
        <v>1</v>
      </c>
      <c r="GP109" s="9">
        <f t="shared" si="202"/>
        <v>1</v>
      </c>
      <c r="GQ109" s="9">
        <f t="shared" ref="GQ109:IV109" si="203">IF(OR(GR17 = "", GR$8 &lt; GQ$8), "", 1)</f>
        <v>1</v>
      </c>
      <c r="GR109" s="9">
        <f t="shared" si="203"/>
        <v>1</v>
      </c>
      <c r="GS109" s="9">
        <f t="shared" si="203"/>
        <v>1</v>
      </c>
      <c r="GT109" s="9">
        <f t="shared" si="203"/>
        <v>1</v>
      </c>
      <c r="GU109" s="9">
        <f t="shared" si="203"/>
        <v>1</v>
      </c>
      <c r="GV109" s="9">
        <f t="shared" si="203"/>
        <v>1</v>
      </c>
      <c r="GW109" s="9">
        <f t="shared" si="203"/>
        <v>1</v>
      </c>
      <c r="GX109" s="9">
        <f t="shared" si="203"/>
        <v>1</v>
      </c>
      <c r="GY109" s="9">
        <f t="shared" si="203"/>
        <v>1</v>
      </c>
      <c r="GZ109" s="9">
        <f t="shared" si="203"/>
        <v>1</v>
      </c>
      <c r="HA109" s="9">
        <f t="shared" si="203"/>
        <v>1</v>
      </c>
      <c r="HB109" s="9">
        <f t="shared" si="203"/>
        <v>1</v>
      </c>
      <c r="HC109" s="9">
        <f t="shared" si="203"/>
        <v>1</v>
      </c>
      <c r="HD109" s="9">
        <f t="shared" si="203"/>
        <v>1</v>
      </c>
      <c r="HE109" s="9">
        <f t="shared" si="203"/>
        <v>1</v>
      </c>
      <c r="HF109" s="9">
        <f t="shared" si="203"/>
        <v>1</v>
      </c>
      <c r="HG109" s="9">
        <f t="shared" si="203"/>
        <v>1</v>
      </c>
      <c r="HH109" s="9">
        <f t="shared" si="203"/>
        <v>1</v>
      </c>
      <c r="HI109" s="9">
        <f t="shared" si="203"/>
        <v>1</v>
      </c>
      <c r="HJ109" s="9">
        <f t="shared" si="203"/>
        <v>1</v>
      </c>
      <c r="HK109" s="9">
        <f t="shared" si="203"/>
        <v>1</v>
      </c>
      <c r="HL109" s="9">
        <f t="shared" si="203"/>
        <v>1</v>
      </c>
      <c r="HM109" s="9">
        <f t="shared" si="203"/>
        <v>1</v>
      </c>
      <c r="HN109" s="9">
        <f t="shared" si="203"/>
        <v>1</v>
      </c>
      <c r="HO109" s="9">
        <f t="shared" si="203"/>
        <v>1</v>
      </c>
      <c r="HP109" s="9">
        <f t="shared" si="203"/>
        <v>1</v>
      </c>
      <c r="HQ109" s="9">
        <f t="shared" si="203"/>
        <v>1</v>
      </c>
      <c r="HR109" s="9">
        <f t="shared" si="203"/>
        <v>1</v>
      </c>
      <c r="HS109" s="9">
        <f t="shared" si="203"/>
        <v>1</v>
      </c>
      <c r="HT109" s="9">
        <f t="shared" si="203"/>
        <v>1</v>
      </c>
      <c r="HU109" s="9">
        <f t="shared" si="203"/>
        <v>1</v>
      </c>
      <c r="HV109" s="9">
        <f t="shared" si="203"/>
        <v>1</v>
      </c>
      <c r="HW109" s="9">
        <f t="shared" si="203"/>
        <v>1</v>
      </c>
      <c r="HX109" s="9" t="str">
        <f t="shared" si="203"/>
        <v/>
      </c>
      <c r="HY109" s="9" t="str">
        <f t="shared" si="203"/>
        <v/>
      </c>
      <c r="HZ109" s="9" t="str">
        <f t="shared" si="203"/>
        <v/>
      </c>
      <c r="IA109" s="9" t="str">
        <f t="shared" si="203"/>
        <v/>
      </c>
      <c r="IB109" s="9" t="str">
        <f t="shared" si="203"/>
        <v/>
      </c>
      <c r="IC109" s="9" t="str">
        <f t="shared" si="203"/>
        <v/>
      </c>
      <c r="ID109" s="9" t="str">
        <f t="shared" si="203"/>
        <v/>
      </c>
      <c r="IE109" s="9" t="str">
        <f t="shared" si="203"/>
        <v/>
      </c>
      <c r="IF109" s="9" t="str">
        <f t="shared" si="203"/>
        <v/>
      </c>
      <c r="IG109" s="9" t="str">
        <f t="shared" si="203"/>
        <v/>
      </c>
      <c r="IH109" s="9" t="str">
        <f t="shared" si="203"/>
        <v/>
      </c>
      <c r="II109" s="9" t="str">
        <f t="shared" si="203"/>
        <v/>
      </c>
      <c r="IJ109" s="9" t="str">
        <f t="shared" si="203"/>
        <v/>
      </c>
      <c r="IK109" s="9" t="str">
        <f t="shared" si="203"/>
        <v/>
      </c>
      <c r="IL109" s="9" t="str">
        <f t="shared" si="203"/>
        <v/>
      </c>
      <c r="IM109" s="9" t="str">
        <f t="shared" si="203"/>
        <v/>
      </c>
      <c r="IN109" s="9" t="str">
        <f t="shared" si="203"/>
        <v/>
      </c>
      <c r="IO109" s="9" t="str">
        <f t="shared" si="203"/>
        <v/>
      </c>
      <c r="IP109" s="9" t="str">
        <f t="shared" si="203"/>
        <v/>
      </c>
      <c r="IQ109" s="9" t="str">
        <f t="shared" si="203"/>
        <v/>
      </c>
      <c r="IR109" s="9" t="str">
        <f t="shared" si="203"/>
        <v/>
      </c>
      <c r="IS109" s="9" t="str">
        <f t="shared" si="203"/>
        <v/>
      </c>
      <c r="IT109" s="9" t="str">
        <f t="shared" si="203"/>
        <v/>
      </c>
      <c r="IU109" s="9" t="str">
        <f t="shared" si="203"/>
        <v/>
      </c>
      <c r="IV109" s="9" t="str">
        <f t="shared" si="203"/>
        <v/>
      </c>
    </row>
    <row r="110" spans="6:256" x14ac:dyDescent="0.2">
      <c r="F110">
        <v>201606</v>
      </c>
      <c r="G110" s="9">
        <f t="shared" ref="G110:BR110" si="204">IF(OR(H18 = "", H$8 &lt; G$8), "", 1)</f>
        <v>1</v>
      </c>
      <c r="H110" s="9">
        <f t="shared" si="204"/>
        <v>1</v>
      </c>
      <c r="I110" s="9">
        <f t="shared" si="204"/>
        <v>1</v>
      </c>
      <c r="J110" s="9">
        <f t="shared" si="204"/>
        <v>1</v>
      </c>
      <c r="K110" s="9">
        <f t="shared" si="204"/>
        <v>1</v>
      </c>
      <c r="L110" s="9">
        <f t="shared" si="204"/>
        <v>1</v>
      </c>
      <c r="M110" s="9">
        <f t="shared" si="204"/>
        <v>1</v>
      </c>
      <c r="N110" s="9">
        <f t="shared" si="204"/>
        <v>1</v>
      </c>
      <c r="O110" s="9">
        <f t="shared" si="204"/>
        <v>1</v>
      </c>
      <c r="P110" s="9">
        <f t="shared" si="204"/>
        <v>1</v>
      </c>
      <c r="Q110" s="9">
        <f t="shared" si="204"/>
        <v>1</v>
      </c>
      <c r="R110" s="9">
        <f t="shared" si="204"/>
        <v>1</v>
      </c>
      <c r="S110" s="9">
        <f t="shared" si="204"/>
        <v>1</v>
      </c>
      <c r="T110" s="9">
        <f t="shared" si="204"/>
        <v>1</v>
      </c>
      <c r="U110" s="9">
        <f t="shared" si="204"/>
        <v>1</v>
      </c>
      <c r="V110" s="9">
        <f t="shared" si="204"/>
        <v>1</v>
      </c>
      <c r="W110" s="9">
        <f t="shared" si="204"/>
        <v>1</v>
      </c>
      <c r="X110" s="9">
        <f t="shared" si="204"/>
        <v>1</v>
      </c>
      <c r="Y110" s="9">
        <f t="shared" si="204"/>
        <v>1</v>
      </c>
      <c r="Z110" s="9">
        <f t="shared" si="204"/>
        <v>1</v>
      </c>
      <c r="AA110" s="9">
        <f t="shared" si="204"/>
        <v>1</v>
      </c>
      <c r="AB110" s="9">
        <f t="shared" si="204"/>
        <v>1</v>
      </c>
      <c r="AC110" s="9">
        <f t="shared" si="204"/>
        <v>1</v>
      </c>
      <c r="AD110" s="9">
        <f t="shared" si="204"/>
        <v>1</v>
      </c>
      <c r="AE110" s="9">
        <f t="shared" si="204"/>
        <v>1</v>
      </c>
      <c r="AF110" s="9">
        <f t="shared" si="204"/>
        <v>1</v>
      </c>
      <c r="AG110" s="9">
        <f t="shared" si="204"/>
        <v>1</v>
      </c>
      <c r="AH110" s="9">
        <f t="shared" si="204"/>
        <v>1</v>
      </c>
      <c r="AI110" s="9">
        <f t="shared" si="204"/>
        <v>1</v>
      </c>
      <c r="AJ110" s="9">
        <f t="shared" si="204"/>
        <v>1</v>
      </c>
      <c r="AK110" s="9">
        <f t="shared" si="204"/>
        <v>1</v>
      </c>
      <c r="AL110" s="9">
        <f t="shared" si="204"/>
        <v>1</v>
      </c>
      <c r="AM110" s="9">
        <f t="shared" si="204"/>
        <v>1</v>
      </c>
      <c r="AN110" s="9">
        <f t="shared" si="204"/>
        <v>1</v>
      </c>
      <c r="AO110" s="9">
        <f t="shared" si="204"/>
        <v>1</v>
      </c>
      <c r="AP110" s="9">
        <f t="shared" si="204"/>
        <v>1</v>
      </c>
      <c r="AQ110" s="9">
        <f t="shared" si="204"/>
        <v>1</v>
      </c>
      <c r="AR110" s="9">
        <f t="shared" si="204"/>
        <v>1</v>
      </c>
      <c r="AS110" s="9">
        <f t="shared" si="204"/>
        <v>1</v>
      </c>
      <c r="AT110" s="9">
        <f t="shared" si="204"/>
        <v>1</v>
      </c>
      <c r="AU110" s="9">
        <f t="shared" si="204"/>
        <v>1</v>
      </c>
      <c r="AV110" s="9">
        <f t="shared" si="204"/>
        <v>1</v>
      </c>
      <c r="AW110" s="9">
        <f t="shared" si="204"/>
        <v>1</v>
      </c>
      <c r="AX110" s="9">
        <f t="shared" si="204"/>
        <v>1</v>
      </c>
      <c r="AY110" s="9">
        <f t="shared" si="204"/>
        <v>1</v>
      </c>
      <c r="AZ110" s="9">
        <f t="shared" si="204"/>
        <v>1</v>
      </c>
      <c r="BA110" s="9">
        <f t="shared" si="204"/>
        <v>1</v>
      </c>
      <c r="BB110" s="9">
        <f t="shared" si="204"/>
        <v>1</v>
      </c>
      <c r="BC110" s="9">
        <f t="shared" si="204"/>
        <v>1</v>
      </c>
      <c r="BD110" s="9">
        <f t="shared" si="204"/>
        <v>1</v>
      </c>
      <c r="BE110" s="9">
        <f t="shared" si="204"/>
        <v>1</v>
      </c>
      <c r="BF110" s="9">
        <f t="shared" si="204"/>
        <v>1</v>
      </c>
      <c r="BG110" s="9">
        <f t="shared" si="204"/>
        <v>1</v>
      </c>
      <c r="BH110" s="9">
        <f t="shared" si="204"/>
        <v>1</v>
      </c>
      <c r="BI110" s="9">
        <f t="shared" si="204"/>
        <v>1</v>
      </c>
      <c r="BJ110" s="9">
        <f t="shared" si="204"/>
        <v>1</v>
      </c>
      <c r="BK110" s="9">
        <f t="shared" si="204"/>
        <v>1</v>
      </c>
      <c r="BL110" s="9">
        <f t="shared" si="204"/>
        <v>1</v>
      </c>
      <c r="BM110" s="9">
        <f t="shared" si="204"/>
        <v>1</v>
      </c>
      <c r="BN110" s="9">
        <f t="shared" si="204"/>
        <v>1</v>
      </c>
      <c r="BO110" s="9">
        <f t="shared" si="204"/>
        <v>1</v>
      </c>
      <c r="BP110" s="9">
        <f t="shared" si="204"/>
        <v>1</v>
      </c>
      <c r="BQ110" s="9">
        <f t="shared" si="204"/>
        <v>1</v>
      </c>
      <c r="BR110" s="9">
        <f t="shared" si="204"/>
        <v>1</v>
      </c>
      <c r="BS110" s="9">
        <f t="shared" ref="BS110:ED110" si="205">IF(OR(BT18 = "", BT$8 &lt; BS$8), "", 1)</f>
        <v>1</v>
      </c>
      <c r="BT110" s="9">
        <f t="shared" si="205"/>
        <v>1</v>
      </c>
      <c r="BU110" s="9">
        <f t="shared" si="205"/>
        <v>1</v>
      </c>
      <c r="BV110" s="9">
        <f t="shared" si="205"/>
        <v>1</v>
      </c>
      <c r="BW110" s="9">
        <f t="shared" si="205"/>
        <v>1</v>
      </c>
      <c r="BX110" s="9">
        <f t="shared" si="205"/>
        <v>1</v>
      </c>
      <c r="BY110" s="9">
        <f t="shared" si="205"/>
        <v>1</v>
      </c>
      <c r="BZ110" s="9">
        <f t="shared" si="205"/>
        <v>1</v>
      </c>
      <c r="CA110" s="9">
        <f t="shared" si="205"/>
        <v>1</v>
      </c>
      <c r="CB110" s="9">
        <f t="shared" si="205"/>
        <v>1</v>
      </c>
      <c r="CC110" s="9">
        <f t="shared" si="205"/>
        <v>1</v>
      </c>
      <c r="CD110" s="9">
        <f t="shared" si="205"/>
        <v>1</v>
      </c>
      <c r="CE110" s="9">
        <f t="shared" si="205"/>
        <v>1</v>
      </c>
      <c r="CF110" s="9">
        <f t="shared" si="205"/>
        <v>1</v>
      </c>
      <c r="CG110" s="9">
        <f t="shared" si="205"/>
        <v>1</v>
      </c>
      <c r="CH110" s="9">
        <f t="shared" si="205"/>
        <v>1</v>
      </c>
      <c r="CI110" s="9">
        <f t="shared" si="205"/>
        <v>1</v>
      </c>
      <c r="CJ110" s="9">
        <f t="shared" si="205"/>
        <v>1</v>
      </c>
      <c r="CK110" s="9">
        <f t="shared" si="205"/>
        <v>1</v>
      </c>
      <c r="CL110" s="9">
        <f t="shared" si="205"/>
        <v>1</v>
      </c>
      <c r="CM110" s="9">
        <f t="shared" si="205"/>
        <v>1</v>
      </c>
      <c r="CN110" s="9">
        <f t="shared" si="205"/>
        <v>1</v>
      </c>
      <c r="CO110" s="9">
        <f t="shared" si="205"/>
        <v>1</v>
      </c>
      <c r="CP110" s="9">
        <f t="shared" si="205"/>
        <v>1</v>
      </c>
      <c r="CQ110" s="9">
        <f t="shared" si="205"/>
        <v>1</v>
      </c>
      <c r="CR110" s="9">
        <f t="shared" si="205"/>
        <v>1</v>
      </c>
      <c r="CS110" s="9">
        <f t="shared" si="205"/>
        <v>1</v>
      </c>
      <c r="CT110" s="9">
        <f t="shared" si="205"/>
        <v>1</v>
      </c>
      <c r="CU110" s="9">
        <f t="shared" si="205"/>
        <v>1</v>
      </c>
      <c r="CV110" s="9">
        <f t="shared" si="205"/>
        <v>1</v>
      </c>
      <c r="CW110" s="9">
        <f t="shared" si="205"/>
        <v>1</v>
      </c>
      <c r="CX110" s="9">
        <f t="shared" si="205"/>
        <v>1</v>
      </c>
      <c r="CY110" s="9">
        <f t="shared" si="205"/>
        <v>1</v>
      </c>
      <c r="CZ110" s="9" t="str">
        <f t="shared" si="205"/>
        <v/>
      </c>
      <c r="DA110" s="9" t="str">
        <f t="shared" si="205"/>
        <v/>
      </c>
      <c r="DB110" s="9" t="str">
        <f t="shared" si="205"/>
        <v/>
      </c>
      <c r="DC110" s="9" t="str">
        <f t="shared" si="205"/>
        <v/>
      </c>
      <c r="DD110" s="9" t="str">
        <f t="shared" si="205"/>
        <v/>
      </c>
      <c r="DE110" s="9" t="str">
        <f t="shared" si="205"/>
        <v/>
      </c>
      <c r="DF110" s="9" t="str">
        <f t="shared" si="205"/>
        <v/>
      </c>
      <c r="DG110" s="9" t="str">
        <f t="shared" si="205"/>
        <v/>
      </c>
      <c r="DH110" s="9" t="str">
        <f t="shared" si="205"/>
        <v/>
      </c>
      <c r="DI110" s="9" t="str">
        <f t="shared" si="205"/>
        <v/>
      </c>
      <c r="DJ110" s="9" t="str">
        <f t="shared" si="205"/>
        <v/>
      </c>
      <c r="DK110" s="9" t="str">
        <f t="shared" si="205"/>
        <v/>
      </c>
      <c r="DL110" s="9" t="str">
        <f t="shared" si="205"/>
        <v/>
      </c>
      <c r="DM110" s="9" t="str">
        <f t="shared" si="205"/>
        <v/>
      </c>
      <c r="DN110" s="9" t="str">
        <f t="shared" si="205"/>
        <v/>
      </c>
      <c r="DO110" s="9" t="str">
        <f t="shared" si="205"/>
        <v/>
      </c>
      <c r="DP110" s="9" t="str">
        <f t="shared" si="205"/>
        <v/>
      </c>
      <c r="DQ110" s="9" t="str">
        <f t="shared" si="205"/>
        <v/>
      </c>
      <c r="DR110" s="9" t="str">
        <f t="shared" si="205"/>
        <v/>
      </c>
      <c r="DS110" s="9" t="str">
        <f t="shared" si="205"/>
        <v/>
      </c>
      <c r="DT110" s="9" t="str">
        <f t="shared" si="205"/>
        <v/>
      </c>
      <c r="DU110" s="9" t="str">
        <f t="shared" si="205"/>
        <v/>
      </c>
      <c r="DV110" s="9" t="str">
        <f t="shared" si="205"/>
        <v/>
      </c>
      <c r="DW110" s="9" t="str">
        <f t="shared" si="205"/>
        <v/>
      </c>
      <c r="DX110" s="9" t="str">
        <f t="shared" si="205"/>
        <v/>
      </c>
      <c r="DY110" s="9" t="str">
        <f t="shared" si="205"/>
        <v/>
      </c>
      <c r="DZ110" s="9" t="str">
        <f t="shared" si="205"/>
        <v/>
      </c>
      <c r="EA110" s="9" t="str">
        <f t="shared" si="205"/>
        <v/>
      </c>
      <c r="EB110" s="9">
        <f t="shared" si="205"/>
        <v>1</v>
      </c>
      <c r="EC110" s="9">
        <f t="shared" si="205"/>
        <v>1</v>
      </c>
      <c r="ED110" s="9">
        <f t="shared" si="205"/>
        <v>1</v>
      </c>
      <c r="EE110" s="9">
        <f t="shared" ref="EE110:GP110" si="206">IF(OR(EF18 = "", EF$8 &lt; EE$8), "", 1)</f>
        <v>1</v>
      </c>
      <c r="EF110" s="9">
        <f t="shared" si="206"/>
        <v>1</v>
      </c>
      <c r="EG110" s="9">
        <f t="shared" si="206"/>
        <v>1</v>
      </c>
      <c r="EH110" s="9">
        <f t="shared" si="206"/>
        <v>1</v>
      </c>
      <c r="EI110" s="9">
        <f t="shared" si="206"/>
        <v>1</v>
      </c>
      <c r="EJ110" s="9">
        <f t="shared" si="206"/>
        <v>1</v>
      </c>
      <c r="EK110" s="9">
        <f t="shared" si="206"/>
        <v>1</v>
      </c>
      <c r="EL110" s="9">
        <f t="shared" si="206"/>
        <v>1</v>
      </c>
      <c r="EM110" s="9">
        <f t="shared" si="206"/>
        <v>1</v>
      </c>
      <c r="EN110" s="9">
        <f t="shared" si="206"/>
        <v>1</v>
      </c>
      <c r="EO110" s="9">
        <f t="shared" si="206"/>
        <v>1</v>
      </c>
      <c r="EP110" s="9">
        <f t="shared" si="206"/>
        <v>1</v>
      </c>
      <c r="EQ110" s="9">
        <f t="shared" si="206"/>
        <v>1</v>
      </c>
      <c r="ER110" s="9">
        <f t="shared" si="206"/>
        <v>1</v>
      </c>
      <c r="ES110" s="9">
        <f t="shared" si="206"/>
        <v>1</v>
      </c>
      <c r="ET110" s="9">
        <f t="shared" si="206"/>
        <v>1</v>
      </c>
      <c r="EU110" s="9">
        <f t="shared" si="206"/>
        <v>1</v>
      </c>
      <c r="EV110" s="9">
        <f t="shared" si="206"/>
        <v>1</v>
      </c>
      <c r="EW110" s="9">
        <f t="shared" si="206"/>
        <v>1</v>
      </c>
      <c r="EX110" s="9">
        <f t="shared" si="206"/>
        <v>1</v>
      </c>
      <c r="EY110" s="9">
        <f t="shared" si="206"/>
        <v>1</v>
      </c>
      <c r="EZ110" s="9">
        <f t="shared" si="206"/>
        <v>1</v>
      </c>
      <c r="FA110" s="9">
        <f t="shared" si="206"/>
        <v>1</v>
      </c>
      <c r="FB110" s="9">
        <f t="shared" si="206"/>
        <v>1</v>
      </c>
      <c r="FC110" s="9">
        <f t="shared" si="206"/>
        <v>1</v>
      </c>
      <c r="FD110" s="9">
        <f t="shared" si="206"/>
        <v>1</v>
      </c>
      <c r="FE110" s="9">
        <f t="shared" si="206"/>
        <v>1</v>
      </c>
      <c r="FF110" s="9">
        <f t="shared" si="206"/>
        <v>1</v>
      </c>
      <c r="FG110" s="9">
        <f t="shared" si="206"/>
        <v>1</v>
      </c>
      <c r="FH110" s="9">
        <f t="shared" si="206"/>
        <v>1</v>
      </c>
      <c r="FI110" s="9">
        <f t="shared" si="206"/>
        <v>1</v>
      </c>
      <c r="FJ110" s="9">
        <f t="shared" si="206"/>
        <v>1</v>
      </c>
      <c r="FK110" s="9">
        <f t="shared" si="206"/>
        <v>1</v>
      </c>
      <c r="FL110" s="9">
        <f t="shared" si="206"/>
        <v>1</v>
      </c>
      <c r="FM110" s="9">
        <f t="shared" si="206"/>
        <v>1</v>
      </c>
      <c r="FN110" s="9">
        <f t="shared" si="206"/>
        <v>1</v>
      </c>
      <c r="FO110" s="9">
        <f t="shared" si="206"/>
        <v>1</v>
      </c>
      <c r="FP110" s="9">
        <f t="shared" si="206"/>
        <v>1</v>
      </c>
      <c r="FQ110" s="9">
        <f t="shared" si="206"/>
        <v>1</v>
      </c>
      <c r="FR110" s="9">
        <f t="shared" si="206"/>
        <v>1</v>
      </c>
      <c r="FS110" s="9">
        <f t="shared" si="206"/>
        <v>1</v>
      </c>
      <c r="FT110" s="9">
        <f t="shared" si="206"/>
        <v>1</v>
      </c>
      <c r="FU110" s="9">
        <f t="shared" si="206"/>
        <v>1</v>
      </c>
      <c r="FV110" s="9">
        <f t="shared" si="206"/>
        <v>1</v>
      </c>
      <c r="FW110" s="9">
        <f t="shared" si="206"/>
        <v>1</v>
      </c>
      <c r="FX110" s="9">
        <f t="shared" si="206"/>
        <v>1</v>
      </c>
      <c r="FY110" s="9">
        <f t="shared" si="206"/>
        <v>1</v>
      </c>
      <c r="FZ110" s="9">
        <f t="shared" si="206"/>
        <v>1</v>
      </c>
      <c r="GA110" s="9">
        <f t="shared" si="206"/>
        <v>1</v>
      </c>
      <c r="GB110" s="9">
        <f t="shared" si="206"/>
        <v>1</v>
      </c>
      <c r="GC110" s="9">
        <f t="shared" si="206"/>
        <v>1</v>
      </c>
      <c r="GD110" s="9">
        <f t="shared" si="206"/>
        <v>1</v>
      </c>
      <c r="GE110" s="9">
        <f t="shared" si="206"/>
        <v>1</v>
      </c>
      <c r="GF110" s="9">
        <f t="shared" si="206"/>
        <v>1</v>
      </c>
      <c r="GG110" s="9">
        <f t="shared" si="206"/>
        <v>1</v>
      </c>
      <c r="GH110" s="9">
        <f t="shared" si="206"/>
        <v>1</v>
      </c>
      <c r="GI110" s="9">
        <f t="shared" si="206"/>
        <v>1</v>
      </c>
      <c r="GJ110" s="9">
        <f t="shared" si="206"/>
        <v>1</v>
      </c>
      <c r="GK110" s="9">
        <f t="shared" si="206"/>
        <v>1</v>
      </c>
      <c r="GL110" s="9">
        <f t="shared" si="206"/>
        <v>1</v>
      </c>
      <c r="GM110" s="9">
        <f t="shared" si="206"/>
        <v>1</v>
      </c>
      <c r="GN110" s="9">
        <f t="shared" si="206"/>
        <v>1</v>
      </c>
      <c r="GO110" s="9">
        <f t="shared" si="206"/>
        <v>1</v>
      </c>
      <c r="GP110" s="9">
        <f t="shared" si="206"/>
        <v>1</v>
      </c>
      <c r="GQ110" s="9">
        <f t="shared" ref="GQ110:IV110" si="207">IF(OR(GR18 = "", GR$8 &lt; GQ$8), "", 1)</f>
        <v>1</v>
      </c>
      <c r="GR110" s="9">
        <f t="shared" si="207"/>
        <v>1</v>
      </c>
      <c r="GS110" s="9">
        <f t="shared" si="207"/>
        <v>1</v>
      </c>
      <c r="GT110" s="9">
        <f t="shared" si="207"/>
        <v>1</v>
      </c>
      <c r="GU110" s="9">
        <f t="shared" si="207"/>
        <v>1</v>
      </c>
      <c r="GV110" s="9">
        <f t="shared" si="207"/>
        <v>1</v>
      </c>
      <c r="GW110" s="9">
        <f t="shared" si="207"/>
        <v>1</v>
      </c>
      <c r="GX110" s="9">
        <f t="shared" si="207"/>
        <v>1</v>
      </c>
      <c r="GY110" s="9">
        <f t="shared" si="207"/>
        <v>1</v>
      </c>
      <c r="GZ110" s="9">
        <f t="shared" si="207"/>
        <v>1</v>
      </c>
      <c r="HA110" s="9">
        <f t="shared" si="207"/>
        <v>1</v>
      </c>
      <c r="HB110" s="9">
        <f t="shared" si="207"/>
        <v>1</v>
      </c>
      <c r="HC110" s="9">
        <f t="shared" si="207"/>
        <v>1</v>
      </c>
      <c r="HD110" s="9">
        <f t="shared" si="207"/>
        <v>1</v>
      </c>
      <c r="HE110" s="9">
        <f t="shared" si="207"/>
        <v>1</v>
      </c>
      <c r="HF110" s="9">
        <f t="shared" si="207"/>
        <v>1</v>
      </c>
      <c r="HG110" s="9">
        <f t="shared" si="207"/>
        <v>1</v>
      </c>
      <c r="HH110" s="9">
        <f t="shared" si="207"/>
        <v>1</v>
      </c>
      <c r="HI110" s="9">
        <f t="shared" si="207"/>
        <v>1</v>
      </c>
      <c r="HJ110" s="9">
        <f t="shared" si="207"/>
        <v>1</v>
      </c>
      <c r="HK110" s="9">
        <f t="shared" si="207"/>
        <v>1</v>
      </c>
      <c r="HL110" s="9">
        <f t="shared" si="207"/>
        <v>1</v>
      </c>
      <c r="HM110" s="9">
        <f t="shared" si="207"/>
        <v>1</v>
      </c>
      <c r="HN110" s="9">
        <f t="shared" si="207"/>
        <v>1</v>
      </c>
      <c r="HO110" s="9">
        <f t="shared" si="207"/>
        <v>1</v>
      </c>
      <c r="HP110" s="9">
        <f t="shared" si="207"/>
        <v>1</v>
      </c>
      <c r="HQ110" s="9">
        <f t="shared" si="207"/>
        <v>1</v>
      </c>
      <c r="HR110" s="9">
        <f t="shared" si="207"/>
        <v>1</v>
      </c>
      <c r="HS110" s="9">
        <f t="shared" si="207"/>
        <v>1</v>
      </c>
      <c r="HT110" s="9">
        <f t="shared" si="207"/>
        <v>1</v>
      </c>
      <c r="HU110" s="9" t="str">
        <f t="shared" si="207"/>
        <v/>
      </c>
      <c r="HV110" s="9" t="str">
        <f t="shared" si="207"/>
        <v/>
      </c>
      <c r="HW110" s="9" t="str">
        <f t="shared" si="207"/>
        <v/>
      </c>
      <c r="HX110" s="9" t="str">
        <f t="shared" si="207"/>
        <v/>
      </c>
      <c r="HY110" s="9" t="str">
        <f t="shared" si="207"/>
        <v/>
      </c>
      <c r="HZ110" s="9" t="str">
        <f t="shared" si="207"/>
        <v/>
      </c>
      <c r="IA110" s="9" t="str">
        <f t="shared" si="207"/>
        <v/>
      </c>
      <c r="IB110" s="9" t="str">
        <f t="shared" si="207"/>
        <v/>
      </c>
      <c r="IC110" s="9" t="str">
        <f t="shared" si="207"/>
        <v/>
      </c>
      <c r="ID110" s="9" t="str">
        <f t="shared" si="207"/>
        <v/>
      </c>
      <c r="IE110" s="9" t="str">
        <f t="shared" si="207"/>
        <v/>
      </c>
      <c r="IF110" s="9" t="str">
        <f t="shared" si="207"/>
        <v/>
      </c>
      <c r="IG110" s="9" t="str">
        <f t="shared" si="207"/>
        <v/>
      </c>
      <c r="IH110" s="9" t="str">
        <f t="shared" si="207"/>
        <v/>
      </c>
      <c r="II110" s="9" t="str">
        <f t="shared" si="207"/>
        <v/>
      </c>
      <c r="IJ110" s="9" t="str">
        <f t="shared" si="207"/>
        <v/>
      </c>
      <c r="IK110" s="9" t="str">
        <f t="shared" si="207"/>
        <v/>
      </c>
      <c r="IL110" s="9" t="str">
        <f t="shared" si="207"/>
        <v/>
      </c>
      <c r="IM110" s="9" t="str">
        <f t="shared" si="207"/>
        <v/>
      </c>
      <c r="IN110" s="9" t="str">
        <f t="shared" si="207"/>
        <v/>
      </c>
      <c r="IO110" s="9" t="str">
        <f t="shared" si="207"/>
        <v/>
      </c>
      <c r="IP110" s="9" t="str">
        <f t="shared" si="207"/>
        <v/>
      </c>
      <c r="IQ110" s="9" t="str">
        <f t="shared" si="207"/>
        <v/>
      </c>
      <c r="IR110" s="9" t="str">
        <f t="shared" si="207"/>
        <v/>
      </c>
      <c r="IS110" s="9" t="str">
        <f t="shared" si="207"/>
        <v/>
      </c>
      <c r="IT110" s="9" t="str">
        <f t="shared" si="207"/>
        <v/>
      </c>
      <c r="IU110" s="9" t="str">
        <f t="shared" si="207"/>
        <v/>
      </c>
      <c r="IV110" s="9" t="str">
        <f t="shared" si="207"/>
        <v/>
      </c>
    </row>
    <row r="111" spans="6:256" x14ac:dyDescent="0.2">
      <c r="F111">
        <v>201609</v>
      </c>
      <c r="G111" s="9">
        <f t="shared" ref="G111:BR111" si="208">IF(OR(H19 = "", H$8 &lt; G$8), "", 1)</f>
        <v>1</v>
      </c>
      <c r="H111" s="9">
        <f t="shared" si="208"/>
        <v>1</v>
      </c>
      <c r="I111" s="9">
        <f t="shared" si="208"/>
        <v>1</v>
      </c>
      <c r="J111" s="9">
        <f t="shared" si="208"/>
        <v>1</v>
      </c>
      <c r="K111" s="9">
        <f t="shared" si="208"/>
        <v>1</v>
      </c>
      <c r="L111" s="9">
        <f t="shared" si="208"/>
        <v>1</v>
      </c>
      <c r="M111" s="9">
        <f t="shared" si="208"/>
        <v>1</v>
      </c>
      <c r="N111" s="9">
        <f t="shared" si="208"/>
        <v>1</v>
      </c>
      <c r="O111" s="9">
        <f t="shared" si="208"/>
        <v>1</v>
      </c>
      <c r="P111" s="9">
        <f t="shared" si="208"/>
        <v>1</v>
      </c>
      <c r="Q111" s="9">
        <f t="shared" si="208"/>
        <v>1</v>
      </c>
      <c r="R111" s="9">
        <f t="shared" si="208"/>
        <v>1</v>
      </c>
      <c r="S111" s="9">
        <f t="shared" si="208"/>
        <v>1</v>
      </c>
      <c r="T111" s="9">
        <f t="shared" si="208"/>
        <v>1</v>
      </c>
      <c r="U111" s="9">
        <f t="shared" si="208"/>
        <v>1</v>
      </c>
      <c r="V111" s="9">
        <f t="shared" si="208"/>
        <v>1</v>
      </c>
      <c r="W111" s="9">
        <f t="shared" si="208"/>
        <v>1</v>
      </c>
      <c r="X111" s="9">
        <f t="shared" si="208"/>
        <v>1</v>
      </c>
      <c r="Y111" s="9">
        <f t="shared" si="208"/>
        <v>1</v>
      </c>
      <c r="Z111" s="9">
        <f t="shared" si="208"/>
        <v>1</v>
      </c>
      <c r="AA111" s="9">
        <f t="shared" si="208"/>
        <v>1</v>
      </c>
      <c r="AB111" s="9">
        <f t="shared" si="208"/>
        <v>1</v>
      </c>
      <c r="AC111" s="9">
        <f t="shared" si="208"/>
        <v>1</v>
      </c>
      <c r="AD111" s="9">
        <f t="shared" si="208"/>
        <v>1</v>
      </c>
      <c r="AE111" s="9">
        <f t="shared" si="208"/>
        <v>1</v>
      </c>
      <c r="AF111" s="9">
        <f t="shared" si="208"/>
        <v>1</v>
      </c>
      <c r="AG111" s="9">
        <f t="shared" si="208"/>
        <v>1</v>
      </c>
      <c r="AH111" s="9">
        <f t="shared" si="208"/>
        <v>1</v>
      </c>
      <c r="AI111" s="9">
        <f t="shared" si="208"/>
        <v>1</v>
      </c>
      <c r="AJ111" s="9">
        <f t="shared" si="208"/>
        <v>1</v>
      </c>
      <c r="AK111" s="9">
        <f t="shared" si="208"/>
        <v>1</v>
      </c>
      <c r="AL111" s="9">
        <f t="shared" si="208"/>
        <v>1</v>
      </c>
      <c r="AM111" s="9">
        <f t="shared" si="208"/>
        <v>1</v>
      </c>
      <c r="AN111" s="9">
        <f t="shared" si="208"/>
        <v>1</v>
      </c>
      <c r="AO111" s="9">
        <f t="shared" si="208"/>
        <v>1</v>
      </c>
      <c r="AP111" s="9">
        <f t="shared" si="208"/>
        <v>1</v>
      </c>
      <c r="AQ111" s="9">
        <f t="shared" si="208"/>
        <v>1</v>
      </c>
      <c r="AR111" s="9">
        <f t="shared" si="208"/>
        <v>1</v>
      </c>
      <c r="AS111" s="9">
        <f t="shared" si="208"/>
        <v>1</v>
      </c>
      <c r="AT111" s="9">
        <f t="shared" si="208"/>
        <v>1</v>
      </c>
      <c r="AU111" s="9">
        <f t="shared" si="208"/>
        <v>1</v>
      </c>
      <c r="AV111" s="9">
        <f t="shared" si="208"/>
        <v>1</v>
      </c>
      <c r="AW111" s="9">
        <f t="shared" si="208"/>
        <v>1</v>
      </c>
      <c r="AX111" s="9">
        <f t="shared" si="208"/>
        <v>1</v>
      </c>
      <c r="AY111" s="9">
        <f t="shared" si="208"/>
        <v>1</v>
      </c>
      <c r="AZ111" s="9">
        <f t="shared" si="208"/>
        <v>1</v>
      </c>
      <c r="BA111" s="9">
        <f t="shared" si="208"/>
        <v>1</v>
      </c>
      <c r="BB111" s="9">
        <f t="shared" si="208"/>
        <v>1</v>
      </c>
      <c r="BC111" s="9">
        <f t="shared" si="208"/>
        <v>1</v>
      </c>
      <c r="BD111" s="9">
        <f t="shared" si="208"/>
        <v>1</v>
      </c>
      <c r="BE111" s="9">
        <f t="shared" si="208"/>
        <v>1</v>
      </c>
      <c r="BF111" s="9">
        <f t="shared" si="208"/>
        <v>1</v>
      </c>
      <c r="BG111" s="9">
        <f t="shared" si="208"/>
        <v>1</v>
      </c>
      <c r="BH111" s="9">
        <f t="shared" si="208"/>
        <v>1</v>
      </c>
      <c r="BI111" s="9">
        <f t="shared" si="208"/>
        <v>1</v>
      </c>
      <c r="BJ111" s="9">
        <f t="shared" si="208"/>
        <v>1</v>
      </c>
      <c r="BK111" s="9">
        <f t="shared" si="208"/>
        <v>1</v>
      </c>
      <c r="BL111" s="9">
        <f t="shared" si="208"/>
        <v>1</v>
      </c>
      <c r="BM111" s="9">
        <f t="shared" si="208"/>
        <v>1</v>
      </c>
      <c r="BN111" s="9">
        <f t="shared" si="208"/>
        <v>1</v>
      </c>
      <c r="BO111" s="9">
        <f t="shared" si="208"/>
        <v>1</v>
      </c>
      <c r="BP111" s="9">
        <f t="shared" si="208"/>
        <v>1</v>
      </c>
      <c r="BQ111" s="9">
        <f t="shared" si="208"/>
        <v>1</v>
      </c>
      <c r="BR111" s="9">
        <f t="shared" si="208"/>
        <v>1</v>
      </c>
      <c r="BS111" s="9">
        <f t="shared" ref="BS111:ED111" si="209">IF(OR(BT19 = "", BT$8 &lt; BS$8), "", 1)</f>
        <v>1</v>
      </c>
      <c r="BT111" s="9">
        <f t="shared" si="209"/>
        <v>1</v>
      </c>
      <c r="BU111" s="9">
        <f t="shared" si="209"/>
        <v>1</v>
      </c>
      <c r="BV111" s="9">
        <f t="shared" si="209"/>
        <v>1</v>
      </c>
      <c r="BW111" s="9">
        <f t="shared" si="209"/>
        <v>1</v>
      </c>
      <c r="BX111" s="9">
        <f t="shared" si="209"/>
        <v>1</v>
      </c>
      <c r="BY111" s="9">
        <f t="shared" si="209"/>
        <v>1</v>
      </c>
      <c r="BZ111" s="9">
        <f t="shared" si="209"/>
        <v>1</v>
      </c>
      <c r="CA111" s="9">
        <f t="shared" si="209"/>
        <v>1</v>
      </c>
      <c r="CB111" s="9">
        <f t="shared" si="209"/>
        <v>1</v>
      </c>
      <c r="CC111" s="9">
        <f t="shared" si="209"/>
        <v>1</v>
      </c>
      <c r="CD111" s="9">
        <f t="shared" si="209"/>
        <v>1</v>
      </c>
      <c r="CE111" s="9">
        <f t="shared" si="209"/>
        <v>1</v>
      </c>
      <c r="CF111" s="9">
        <f t="shared" si="209"/>
        <v>1</v>
      </c>
      <c r="CG111" s="9">
        <f t="shared" si="209"/>
        <v>1</v>
      </c>
      <c r="CH111" s="9">
        <f t="shared" si="209"/>
        <v>1</v>
      </c>
      <c r="CI111" s="9">
        <f t="shared" si="209"/>
        <v>1</v>
      </c>
      <c r="CJ111" s="9">
        <f t="shared" si="209"/>
        <v>1</v>
      </c>
      <c r="CK111" s="9">
        <f t="shared" si="209"/>
        <v>1</v>
      </c>
      <c r="CL111" s="9">
        <f t="shared" si="209"/>
        <v>1</v>
      </c>
      <c r="CM111" s="9">
        <f t="shared" si="209"/>
        <v>1</v>
      </c>
      <c r="CN111" s="9">
        <f t="shared" si="209"/>
        <v>1</v>
      </c>
      <c r="CO111" s="9">
        <f t="shared" si="209"/>
        <v>1</v>
      </c>
      <c r="CP111" s="9">
        <f t="shared" si="209"/>
        <v>1</v>
      </c>
      <c r="CQ111" s="9">
        <f t="shared" si="209"/>
        <v>1</v>
      </c>
      <c r="CR111" s="9">
        <f t="shared" si="209"/>
        <v>1</v>
      </c>
      <c r="CS111" s="9">
        <f t="shared" si="209"/>
        <v>1</v>
      </c>
      <c r="CT111" s="9">
        <f t="shared" si="209"/>
        <v>1</v>
      </c>
      <c r="CU111" s="9">
        <f t="shared" si="209"/>
        <v>1</v>
      </c>
      <c r="CV111" s="9">
        <f t="shared" si="209"/>
        <v>1</v>
      </c>
      <c r="CW111" s="9" t="str">
        <f t="shared" si="209"/>
        <v/>
      </c>
      <c r="CX111" s="9" t="str">
        <f t="shared" si="209"/>
        <v/>
      </c>
      <c r="CY111" s="9" t="str">
        <f t="shared" si="209"/>
        <v/>
      </c>
      <c r="CZ111" s="9" t="str">
        <f t="shared" si="209"/>
        <v/>
      </c>
      <c r="DA111" s="9" t="str">
        <f t="shared" si="209"/>
        <v/>
      </c>
      <c r="DB111" s="9" t="str">
        <f t="shared" si="209"/>
        <v/>
      </c>
      <c r="DC111" s="9" t="str">
        <f t="shared" si="209"/>
        <v/>
      </c>
      <c r="DD111" s="9" t="str">
        <f t="shared" si="209"/>
        <v/>
      </c>
      <c r="DE111" s="9" t="str">
        <f t="shared" si="209"/>
        <v/>
      </c>
      <c r="DF111" s="9" t="str">
        <f t="shared" si="209"/>
        <v/>
      </c>
      <c r="DG111" s="9" t="str">
        <f t="shared" si="209"/>
        <v/>
      </c>
      <c r="DH111" s="9" t="str">
        <f t="shared" si="209"/>
        <v/>
      </c>
      <c r="DI111" s="9" t="str">
        <f t="shared" si="209"/>
        <v/>
      </c>
      <c r="DJ111" s="9" t="str">
        <f t="shared" si="209"/>
        <v/>
      </c>
      <c r="DK111" s="9" t="str">
        <f t="shared" si="209"/>
        <v/>
      </c>
      <c r="DL111" s="9" t="str">
        <f t="shared" si="209"/>
        <v/>
      </c>
      <c r="DM111" s="9" t="str">
        <f t="shared" si="209"/>
        <v/>
      </c>
      <c r="DN111" s="9" t="str">
        <f t="shared" si="209"/>
        <v/>
      </c>
      <c r="DO111" s="9" t="str">
        <f t="shared" si="209"/>
        <v/>
      </c>
      <c r="DP111" s="9" t="str">
        <f t="shared" si="209"/>
        <v/>
      </c>
      <c r="DQ111" s="9" t="str">
        <f t="shared" si="209"/>
        <v/>
      </c>
      <c r="DR111" s="9" t="str">
        <f t="shared" si="209"/>
        <v/>
      </c>
      <c r="DS111" s="9" t="str">
        <f t="shared" si="209"/>
        <v/>
      </c>
      <c r="DT111" s="9" t="str">
        <f t="shared" si="209"/>
        <v/>
      </c>
      <c r="DU111" s="9" t="str">
        <f t="shared" si="209"/>
        <v/>
      </c>
      <c r="DV111" s="9" t="str">
        <f t="shared" si="209"/>
        <v/>
      </c>
      <c r="DW111" s="9" t="str">
        <f t="shared" si="209"/>
        <v/>
      </c>
      <c r="DX111" s="9" t="str">
        <f t="shared" si="209"/>
        <v/>
      </c>
      <c r="DY111" s="9" t="str">
        <f t="shared" si="209"/>
        <v/>
      </c>
      <c r="DZ111" s="9" t="str">
        <f t="shared" si="209"/>
        <v/>
      </c>
      <c r="EA111" s="9" t="str">
        <f t="shared" si="209"/>
        <v/>
      </c>
      <c r="EB111" s="9">
        <f t="shared" si="209"/>
        <v>1</v>
      </c>
      <c r="EC111" s="9">
        <f t="shared" si="209"/>
        <v>1</v>
      </c>
      <c r="ED111" s="9">
        <f t="shared" si="209"/>
        <v>1</v>
      </c>
      <c r="EE111" s="9">
        <f t="shared" ref="EE111:GP111" si="210">IF(OR(EF19 = "", EF$8 &lt; EE$8), "", 1)</f>
        <v>1</v>
      </c>
      <c r="EF111" s="9">
        <f t="shared" si="210"/>
        <v>1</v>
      </c>
      <c r="EG111" s="9">
        <f t="shared" si="210"/>
        <v>1</v>
      </c>
      <c r="EH111" s="9">
        <f t="shared" si="210"/>
        <v>1</v>
      </c>
      <c r="EI111" s="9">
        <f t="shared" si="210"/>
        <v>1</v>
      </c>
      <c r="EJ111" s="9">
        <f t="shared" si="210"/>
        <v>1</v>
      </c>
      <c r="EK111" s="9">
        <f t="shared" si="210"/>
        <v>1</v>
      </c>
      <c r="EL111" s="9">
        <f t="shared" si="210"/>
        <v>1</v>
      </c>
      <c r="EM111" s="9">
        <f t="shared" si="210"/>
        <v>1</v>
      </c>
      <c r="EN111" s="9">
        <f t="shared" si="210"/>
        <v>1</v>
      </c>
      <c r="EO111" s="9">
        <f t="shared" si="210"/>
        <v>1</v>
      </c>
      <c r="EP111" s="9">
        <f t="shared" si="210"/>
        <v>1</v>
      </c>
      <c r="EQ111" s="9">
        <f t="shared" si="210"/>
        <v>1</v>
      </c>
      <c r="ER111" s="9">
        <f t="shared" si="210"/>
        <v>1</v>
      </c>
      <c r="ES111" s="9">
        <f t="shared" si="210"/>
        <v>1</v>
      </c>
      <c r="ET111" s="9">
        <f t="shared" si="210"/>
        <v>1</v>
      </c>
      <c r="EU111" s="9">
        <f t="shared" si="210"/>
        <v>1</v>
      </c>
      <c r="EV111" s="9">
        <f t="shared" si="210"/>
        <v>1</v>
      </c>
      <c r="EW111" s="9">
        <f t="shared" si="210"/>
        <v>1</v>
      </c>
      <c r="EX111" s="9">
        <f t="shared" si="210"/>
        <v>1</v>
      </c>
      <c r="EY111" s="9">
        <f t="shared" si="210"/>
        <v>1</v>
      </c>
      <c r="EZ111" s="9">
        <f t="shared" si="210"/>
        <v>1</v>
      </c>
      <c r="FA111" s="9">
        <f t="shared" si="210"/>
        <v>1</v>
      </c>
      <c r="FB111" s="9">
        <f t="shared" si="210"/>
        <v>1</v>
      </c>
      <c r="FC111" s="9">
        <f t="shared" si="210"/>
        <v>1</v>
      </c>
      <c r="FD111" s="9">
        <f t="shared" si="210"/>
        <v>1</v>
      </c>
      <c r="FE111" s="9">
        <f t="shared" si="210"/>
        <v>1</v>
      </c>
      <c r="FF111" s="9">
        <f t="shared" si="210"/>
        <v>1</v>
      </c>
      <c r="FG111" s="9">
        <f t="shared" si="210"/>
        <v>1</v>
      </c>
      <c r="FH111" s="9">
        <f t="shared" si="210"/>
        <v>1</v>
      </c>
      <c r="FI111" s="9">
        <f t="shared" si="210"/>
        <v>1</v>
      </c>
      <c r="FJ111" s="9">
        <f t="shared" si="210"/>
        <v>1</v>
      </c>
      <c r="FK111" s="9">
        <f t="shared" si="210"/>
        <v>1</v>
      </c>
      <c r="FL111" s="9">
        <f t="shared" si="210"/>
        <v>1</v>
      </c>
      <c r="FM111" s="9">
        <f t="shared" si="210"/>
        <v>1</v>
      </c>
      <c r="FN111" s="9">
        <f t="shared" si="210"/>
        <v>1</v>
      </c>
      <c r="FO111" s="9">
        <f t="shared" si="210"/>
        <v>1</v>
      </c>
      <c r="FP111" s="9">
        <f t="shared" si="210"/>
        <v>1</v>
      </c>
      <c r="FQ111" s="9">
        <f t="shared" si="210"/>
        <v>1</v>
      </c>
      <c r="FR111" s="9">
        <f t="shared" si="210"/>
        <v>1</v>
      </c>
      <c r="FS111" s="9">
        <f t="shared" si="210"/>
        <v>1</v>
      </c>
      <c r="FT111" s="9">
        <f t="shared" si="210"/>
        <v>1</v>
      </c>
      <c r="FU111" s="9">
        <f t="shared" si="210"/>
        <v>1</v>
      </c>
      <c r="FV111" s="9">
        <f t="shared" si="210"/>
        <v>1</v>
      </c>
      <c r="FW111" s="9">
        <f t="shared" si="210"/>
        <v>1</v>
      </c>
      <c r="FX111" s="9">
        <f t="shared" si="210"/>
        <v>1</v>
      </c>
      <c r="FY111" s="9">
        <f t="shared" si="210"/>
        <v>1</v>
      </c>
      <c r="FZ111" s="9">
        <f t="shared" si="210"/>
        <v>1</v>
      </c>
      <c r="GA111" s="9">
        <f t="shared" si="210"/>
        <v>1</v>
      </c>
      <c r="GB111" s="9">
        <f t="shared" si="210"/>
        <v>1</v>
      </c>
      <c r="GC111" s="9">
        <f t="shared" si="210"/>
        <v>1</v>
      </c>
      <c r="GD111" s="9">
        <f t="shared" si="210"/>
        <v>1</v>
      </c>
      <c r="GE111" s="9">
        <f t="shared" si="210"/>
        <v>1</v>
      </c>
      <c r="GF111" s="9">
        <f t="shared" si="210"/>
        <v>1</v>
      </c>
      <c r="GG111" s="9">
        <f t="shared" si="210"/>
        <v>1</v>
      </c>
      <c r="GH111" s="9">
        <f t="shared" si="210"/>
        <v>1</v>
      </c>
      <c r="GI111" s="9">
        <f t="shared" si="210"/>
        <v>1</v>
      </c>
      <c r="GJ111" s="9">
        <f t="shared" si="210"/>
        <v>1</v>
      </c>
      <c r="GK111" s="9">
        <f t="shared" si="210"/>
        <v>1</v>
      </c>
      <c r="GL111" s="9">
        <f t="shared" si="210"/>
        <v>1</v>
      </c>
      <c r="GM111" s="9">
        <f t="shared" si="210"/>
        <v>1</v>
      </c>
      <c r="GN111" s="9">
        <f t="shared" si="210"/>
        <v>1</v>
      </c>
      <c r="GO111" s="9">
        <f t="shared" si="210"/>
        <v>1</v>
      </c>
      <c r="GP111" s="9">
        <f t="shared" si="210"/>
        <v>1</v>
      </c>
      <c r="GQ111" s="9">
        <f t="shared" ref="GQ111:IV111" si="211">IF(OR(GR19 = "", GR$8 &lt; GQ$8), "", 1)</f>
        <v>1</v>
      </c>
      <c r="GR111" s="9">
        <f t="shared" si="211"/>
        <v>1</v>
      </c>
      <c r="GS111" s="9">
        <f t="shared" si="211"/>
        <v>1</v>
      </c>
      <c r="GT111" s="9">
        <f t="shared" si="211"/>
        <v>1</v>
      </c>
      <c r="GU111" s="9">
        <f t="shared" si="211"/>
        <v>1</v>
      </c>
      <c r="GV111" s="9">
        <f t="shared" si="211"/>
        <v>1</v>
      </c>
      <c r="GW111" s="9">
        <f t="shared" si="211"/>
        <v>1</v>
      </c>
      <c r="GX111" s="9">
        <f t="shared" si="211"/>
        <v>1</v>
      </c>
      <c r="GY111" s="9">
        <f t="shared" si="211"/>
        <v>1</v>
      </c>
      <c r="GZ111" s="9">
        <f t="shared" si="211"/>
        <v>1</v>
      </c>
      <c r="HA111" s="9">
        <f t="shared" si="211"/>
        <v>1</v>
      </c>
      <c r="HB111" s="9">
        <f t="shared" si="211"/>
        <v>1</v>
      </c>
      <c r="HC111" s="9">
        <f t="shared" si="211"/>
        <v>1</v>
      </c>
      <c r="HD111" s="9">
        <f t="shared" si="211"/>
        <v>1</v>
      </c>
      <c r="HE111" s="9">
        <f t="shared" si="211"/>
        <v>1</v>
      </c>
      <c r="HF111" s="9">
        <f t="shared" si="211"/>
        <v>1</v>
      </c>
      <c r="HG111" s="9">
        <f t="shared" si="211"/>
        <v>1</v>
      </c>
      <c r="HH111" s="9">
        <f t="shared" si="211"/>
        <v>1</v>
      </c>
      <c r="HI111" s="9">
        <f t="shared" si="211"/>
        <v>1</v>
      </c>
      <c r="HJ111" s="9">
        <f t="shared" si="211"/>
        <v>1</v>
      </c>
      <c r="HK111" s="9">
        <f t="shared" si="211"/>
        <v>1</v>
      </c>
      <c r="HL111" s="9">
        <f t="shared" si="211"/>
        <v>1</v>
      </c>
      <c r="HM111" s="9">
        <f t="shared" si="211"/>
        <v>1</v>
      </c>
      <c r="HN111" s="9">
        <f t="shared" si="211"/>
        <v>1</v>
      </c>
      <c r="HO111" s="9">
        <f t="shared" si="211"/>
        <v>1</v>
      </c>
      <c r="HP111" s="9">
        <f t="shared" si="211"/>
        <v>1</v>
      </c>
      <c r="HQ111" s="9">
        <f t="shared" si="211"/>
        <v>1</v>
      </c>
      <c r="HR111" s="9" t="str">
        <f t="shared" si="211"/>
        <v/>
      </c>
      <c r="HS111" s="9" t="str">
        <f t="shared" si="211"/>
        <v/>
      </c>
      <c r="HT111" s="9" t="str">
        <f t="shared" si="211"/>
        <v/>
      </c>
      <c r="HU111" s="9" t="str">
        <f t="shared" si="211"/>
        <v/>
      </c>
      <c r="HV111" s="9" t="str">
        <f t="shared" si="211"/>
        <v/>
      </c>
      <c r="HW111" s="9" t="str">
        <f t="shared" si="211"/>
        <v/>
      </c>
      <c r="HX111" s="9" t="str">
        <f t="shared" si="211"/>
        <v/>
      </c>
      <c r="HY111" s="9" t="str">
        <f t="shared" si="211"/>
        <v/>
      </c>
      <c r="HZ111" s="9" t="str">
        <f t="shared" si="211"/>
        <v/>
      </c>
      <c r="IA111" s="9" t="str">
        <f t="shared" si="211"/>
        <v/>
      </c>
      <c r="IB111" s="9" t="str">
        <f t="shared" si="211"/>
        <v/>
      </c>
      <c r="IC111" s="9" t="str">
        <f t="shared" si="211"/>
        <v/>
      </c>
      <c r="ID111" s="9" t="str">
        <f t="shared" si="211"/>
        <v/>
      </c>
      <c r="IE111" s="9" t="str">
        <f t="shared" si="211"/>
        <v/>
      </c>
      <c r="IF111" s="9" t="str">
        <f t="shared" si="211"/>
        <v/>
      </c>
      <c r="IG111" s="9" t="str">
        <f t="shared" si="211"/>
        <v/>
      </c>
      <c r="IH111" s="9" t="str">
        <f t="shared" si="211"/>
        <v/>
      </c>
      <c r="II111" s="9" t="str">
        <f t="shared" si="211"/>
        <v/>
      </c>
      <c r="IJ111" s="9" t="str">
        <f t="shared" si="211"/>
        <v/>
      </c>
      <c r="IK111" s="9" t="str">
        <f t="shared" si="211"/>
        <v/>
      </c>
      <c r="IL111" s="9" t="str">
        <f t="shared" si="211"/>
        <v/>
      </c>
      <c r="IM111" s="9" t="str">
        <f t="shared" si="211"/>
        <v/>
      </c>
      <c r="IN111" s="9" t="str">
        <f t="shared" si="211"/>
        <v/>
      </c>
      <c r="IO111" s="9" t="str">
        <f t="shared" si="211"/>
        <v/>
      </c>
      <c r="IP111" s="9" t="str">
        <f t="shared" si="211"/>
        <v/>
      </c>
      <c r="IQ111" s="9" t="str">
        <f t="shared" si="211"/>
        <v/>
      </c>
      <c r="IR111" s="9" t="str">
        <f t="shared" si="211"/>
        <v/>
      </c>
      <c r="IS111" s="9" t="str">
        <f t="shared" si="211"/>
        <v/>
      </c>
      <c r="IT111" s="9" t="str">
        <f t="shared" si="211"/>
        <v/>
      </c>
      <c r="IU111" s="9" t="str">
        <f t="shared" si="211"/>
        <v/>
      </c>
      <c r="IV111" s="9" t="str">
        <f t="shared" si="211"/>
        <v/>
      </c>
    </row>
    <row r="112" spans="6:256" x14ac:dyDescent="0.2">
      <c r="F112">
        <v>201612</v>
      </c>
      <c r="G112" s="9">
        <f t="shared" ref="G112:BR112" si="212">IF(OR(H20 = "", H$8 &lt; G$8), "", 1)</f>
        <v>1</v>
      </c>
      <c r="H112" s="9">
        <f t="shared" si="212"/>
        <v>1</v>
      </c>
      <c r="I112" s="9">
        <f t="shared" si="212"/>
        <v>1</v>
      </c>
      <c r="J112" s="9">
        <f t="shared" si="212"/>
        <v>1</v>
      </c>
      <c r="K112" s="9">
        <f t="shared" si="212"/>
        <v>1</v>
      </c>
      <c r="L112" s="9">
        <f t="shared" si="212"/>
        <v>1</v>
      </c>
      <c r="M112" s="9">
        <f t="shared" si="212"/>
        <v>1</v>
      </c>
      <c r="N112" s="9">
        <f t="shared" si="212"/>
        <v>1</v>
      </c>
      <c r="O112" s="9">
        <f t="shared" si="212"/>
        <v>1</v>
      </c>
      <c r="P112" s="9">
        <f t="shared" si="212"/>
        <v>1</v>
      </c>
      <c r="Q112" s="9">
        <f t="shared" si="212"/>
        <v>1</v>
      </c>
      <c r="R112" s="9">
        <f t="shared" si="212"/>
        <v>1</v>
      </c>
      <c r="S112" s="9">
        <f t="shared" si="212"/>
        <v>1</v>
      </c>
      <c r="T112" s="9">
        <f t="shared" si="212"/>
        <v>1</v>
      </c>
      <c r="U112" s="9">
        <f t="shared" si="212"/>
        <v>1</v>
      </c>
      <c r="V112" s="9">
        <f t="shared" si="212"/>
        <v>1</v>
      </c>
      <c r="W112" s="9">
        <f t="shared" si="212"/>
        <v>1</v>
      </c>
      <c r="X112" s="9">
        <f t="shared" si="212"/>
        <v>1</v>
      </c>
      <c r="Y112" s="9">
        <f t="shared" si="212"/>
        <v>1</v>
      </c>
      <c r="Z112" s="9">
        <f t="shared" si="212"/>
        <v>1</v>
      </c>
      <c r="AA112" s="9">
        <f t="shared" si="212"/>
        <v>1</v>
      </c>
      <c r="AB112" s="9">
        <f t="shared" si="212"/>
        <v>1</v>
      </c>
      <c r="AC112" s="9">
        <f t="shared" si="212"/>
        <v>1</v>
      </c>
      <c r="AD112" s="9">
        <f t="shared" si="212"/>
        <v>1</v>
      </c>
      <c r="AE112" s="9">
        <f t="shared" si="212"/>
        <v>1</v>
      </c>
      <c r="AF112" s="9">
        <f t="shared" si="212"/>
        <v>1</v>
      </c>
      <c r="AG112" s="9">
        <f t="shared" si="212"/>
        <v>1</v>
      </c>
      <c r="AH112" s="9">
        <f t="shared" si="212"/>
        <v>1</v>
      </c>
      <c r="AI112" s="9">
        <f t="shared" si="212"/>
        <v>1</v>
      </c>
      <c r="AJ112" s="9">
        <f t="shared" si="212"/>
        <v>1</v>
      </c>
      <c r="AK112" s="9">
        <f t="shared" si="212"/>
        <v>1</v>
      </c>
      <c r="AL112" s="9">
        <f t="shared" si="212"/>
        <v>1</v>
      </c>
      <c r="AM112" s="9">
        <f t="shared" si="212"/>
        <v>1</v>
      </c>
      <c r="AN112" s="9">
        <f t="shared" si="212"/>
        <v>1</v>
      </c>
      <c r="AO112" s="9">
        <f t="shared" si="212"/>
        <v>1</v>
      </c>
      <c r="AP112" s="9">
        <f t="shared" si="212"/>
        <v>1</v>
      </c>
      <c r="AQ112" s="9">
        <f t="shared" si="212"/>
        <v>1</v>
      </c>
      <c r="AR112" s="9">
        <f t="shared" si="212"/>
        <v>1</v>
      </c>
      <c r="AS112" s="9">
        <f t="shared" si="212"/>
        <v>1</v>
      </c>
      <c r="AT112" s="9">
        <f t="shared" si="212"/>
        <v>1</v>
      </c>
      <c r="AU112" s="9">
        <f t="shared" si="212"/>
        <v>1</v>
      </c>
      <c r="AV112" s="9">
        <f t="shared" si="212"/>
        <v>1</v>
      </c>
      <c r="AW112" s="9">
        <f t="shared" si="212"/>
        <v>1</v>
      </c>
      <c r="AX112" s="9">
        <f t="shared" si="212"/>
        <v>1</v>
      </c>
      <c r="AY112" s="9">
        <f t="shared" si="212"/>
        <v>1</v>
      </c>
      <c r="AZ112" s="9">
        <f t="shared" si="212"/>
        <v>1</v>
      </c>
      <c r="BA112" s="9">
        <f t="shared" si="212"/>
        <v>1</v>
      </c>
      <c r="BB112" s="9">
        <f t="shared" si="212"/>
        <v>1</v>
      </c>
      <c r="BC112" s="9">
        <f t="shared" si="212"/>
        <v>1</v>
      </c>
      <c r="BD112" s="9">
        <f t="shared" si="212"/>
        <v>1</v>
      </c>
      <c r="BE112" s="9">
        <f t="shared" si="212"/>
        <v>1</v>
      </c>
      <c r="BF112" s="9">
        <f t="shared" si="212"/>
        <v>1</v>
      </c>
      <c r="BG112" s="9">
        <f t="shared" si="212"/>
        <v>1</v>
      </c>
      <c r="BH112" s="9">
        <f t="shared" si="212"/>
        <v>1</v>
      </c>
      <c r="BI112" s="9">
        <f t="shared" si="212"/>
        <v>1</v>
      </c>
      <c r="BJ112" s="9">
        <f t="shared" si="212"/>
        <v>1</v>
      </c>
      <c r="BK112" s="9">
        <f t="shared" si="212"/>
        <v>1</v>
      </c>
      <c r="BL112" s="9">
        <f t="shared" si="212"/>
        <v>1</v>
      </c>
      <c r="BM112" s="9">
        <f t="shared" si="212"/>
        <v>1</v>
      </c>
      <c r="BN112" s="9">
        <f t="shared" si="212"/>
        <v>1</v>
      </c>
      <c r="BO112" s="9">
        <f t="shared" si="212"/>
        <v>1</v>
      </c>
      <c r="BP112" s="9">
        <f t="shared" si="212"/>
        <v>1</v>
      </c>
      <c r="BQ112" s="9">
        <f t="shared" si="212"/>
        <v>1</v>
      </c>
      <c r="BR112" s="9">
        <f t="shared" si="212"/>
        <v>1</v>
      </c>
      <c r="BS112" s="9">
        <f t="shared" ref="BS112:ED112" si="213">IF(OR(BT20 = "", BT$8 &lt; BS$8), "", 1)</f>
        <v>1</v>
      </c>
      <c r="BT112" s="9">
        <f t="shared" si="213"/>
        <v>1</v>
      </c>
      <c r="BU112" s="9">
        <f t="shared" si="213"/>
        <v>1</v>
      </c>
      <c r="BV112" s="9">
        <f t="shared" si="213"/>
        <v>1</v>
      </c>
      <c r="BW112" s="9">
        <f t="shared" si="213"/>
        <v>1</v>
      </c>
      <c r="BX112" s="9">
        <f t="shared" si="213"/>
        <v>1</v>
      </c>
      <c r="BY112" s="9">
        <f t="shared" si="213"/>
        <v>1</v>
      </c>
      <c r="BZ112" s="9">
        <f t="shared" si="213"/>
        <v>1</v>
      </c>
      <c r="CA112" s="9">
        <f t="shared" si="213"/>
        <v>1</v>
      </c>
      <c r="CB112" s="9">
        <f t="shared" si="213"/>
        <v>1</v>
      </c>
      <c r="CC112" s="9">
        <f t="shared" si="213"/>
        <v>1</v>
      </c>
      <c r="CD112" s="9">
        <f t="shared" si="213"/>
        <v>1</v>
      </c>
      <c r="CE112" s="9">
        <f t="shared" si="213"/>
        <v>1</v>
      </c>
      <c r="CF112" s="9">
        <f t="shared" si="213"/>
        <v>1</v>
      </c>
      <c r="CG112" s="9">
        <f t="shared" si="213"/>
        <v>1</v>
      </c>
      <c r="CH112" s="9">
        <f t="shared" si="213"/>
        <v>1</v>
      </c>
      <c r="CI112" s="9">
        <f t="shared" si="213"/>
        <v>1</v>
      </c>
      <c r="CJ112" s="9">
        <f t="shared" si="213"/>
        <v>1</v>
      </c>
      <c r="CK112" s="9">
        <f t="shared" si="213"/>
        <v>1</v>
      </c>
      <c r="CL112" s="9">
        <f t="shared" si="213"/>
        <v>1</v>
      </c>
      <c r="CM112" s="9">
        <f t="shared" si="213"/>
        <v>1</v>
      </c>
      <c r="CN112" s="9">
        <f t="shared" si="213"/>
        <v>1</v>
      </c>
      <c r="CO112" s="9">
        <f t="shared" si="213"/>
        <v>1</v>
      </c>
      <c r="CP112" s="9">
        <f t="shared" si="213"/>
        <v>1</v>
      </c>
      <c r="CQ112" s="9">
        <f t="shared" si="213"/>
        <v>1</v>
      </c>
      <c r="CR112" s="9">
        <f t="shared" si="213"/>
        <v>1</v>
      </c>
      <c r="CS112" s="9">
        <f t="shared" si="213"/>
        <v>1</v>
      </c>
      <c r="CT112" s="9" t="str">
        <f t="shared" si="213"/>
        <v/>
      </c>
      <c r="CU112" s="9" t="str">
        <f t="shared" si="213"/>
        <v/>
      </c>
      <c r="CV112" s="9" t="str">
        <f t="shared" si="213"/>
        <v/>
      </c>
      <c r="CW112" s="9" t="str">
        <f t="shared" si="213"/>
        <v/>
      </c>
      <c r="CX112" s="9" t="str">
        <f t="shared" si="213"/>
        <v/>
      </c>
      <c r="CY112" s="9" t="str">
        <f t="shared" si="213"/>
        <v/>
      </c>
      <c r="CZ112" s="9" t="str">
        <f t="shared" si="213"/>
        <v/>
      </c>
      <c r="DA112" s="9" t="str">
        <f t="shared" si="213"/>
        <v/>
      </c>
      <c r="DB112" s="9" t="str">
        <f t="shared" si="213"/>
        <v/>
      </c>
      <c r="DC112" s="9" t="str">
        <f t="shared" si="213"/>
        <v/>
      </c>
      <c r="DD112" s="9" t="str">
        <f t="shared" si="213"/>
        <v/>
      </c>
      <c r="DE112" s="9" t="str">
        <f t="shared" si="213"/>
        <v/>
      </c>
      <c r="DF112" s="9" t="str">
        <f t="shared" si="213"/>
        <v/>
      </c>
      <c r="DG112" s="9" t="str">
        <f t="shared" si="213"/>
        <v/>
      </c>
      <c r="DH112" s="9" t="str">
        <f t="shared" si="213"/>
        <v/>
      </c>
      <c r="DI112" s="9" t="str">
        <f t="shared" si="213"/>
        <v/>
      </c>
      <c r="DJ112" s="9" t="str">
        <f t="shared" si="213"/>
        <v/>
      </c>
      <c r="DK112" s="9" t="str">
        <f t="shared" si="213"/>
        <v/>
      </c>
      <c r="DL112" s="9" t="str">
        <f t="shared" si="213"/>
        <v/>
      </c>
      <c r="DM112" s="9" t="str">
        <f t="shared" si="213"/>
        <v/>
      </c>
      <c r="DN112" s="9" t="str">
        <f t="shared" si="213"/>
        <v/>
      </c>
      <c r="DO112" s="9" t="str">
        <f t="shared" si="213"/>
        <v/>
      </c>
      <c r="DP112" s="9" t="str">
        <f t="shared" si="213"/>
        <v/>
      </c>
      <c r="DQ112" s="9" t="str">
        <f t="shared" si="213"/>
        <v/>
      </c>
      <c r="DR112" s="9" t="str">
        <f t="shared" si="213"/>
        <v/>
      </c>
      <c r="DS112" s="9" t="str">
        <f t="shared" si="213"/>
        <v/>
      </c>
      <c r="DT112" s="9" t="str">
        <f t="shared" si="213"/>
        <v/>
      </c>
      <c r="DU112" s="9" t="str">
        <f t="shared" si="213"/>
        <v/>
      </c>
      <c r="DV112" s="9" t="str">
        <f t="shared" si="213"/>
        <v/>
      </c>
      <c r="DW112" s="9" t="str">
        <f t="shared" si="213"/>
        <v/>
      </c>
      <c r="DX112" s="9" t="str">
        <f t="shared" si="213"/>
        <v/>
      </c>
      <c r="DY112" s="9" t="str">
        <f t="shared" si="213"/>
        <v/>
      </c>
      <c r="DZ112" s="9" t="str">
        <f t="shared" si="213"/>
        <v/>
      </c>
      <c r="EA112" s="9" t="str">
        <f t="shared" si="213"/>
        <v/>
      </c>
      <c r="EB112" s="9">
        <f t="shared" si="213"/>
        <v>1</v>
      </c>
      <c r="EC112" s="9">
        <f t="shared" si="213"/>
        <v>1</v>
      </c>
      <c r="ED112" s="9">
        <f t="shared" si="213"/>
        <v>1</v>
      </c>
      <c r="EE112" s="9">
        <f t="shared" ref="EE112:GP112" si="214">IF(OR(EF20 = "", EF$8 &lt; EE$8), "", 1)</f>
        <v>1</v>
      </c>
      <c r="EF112" s="9">
        <f t="shared" si="214"/>
        <v>1</v>
      </c>
      <c r="EG112" s="9">
        <f t="shared" si="214"/>
        <v>1</v>
      </c>
      <c r="EH112" s="9">
        <f t="shared" si="214"/>
        <v>1</v>
      </c>
      <c r="EI112" s="9">
        <f t="shared" si="214"/>
        <v>1</v>
      </c>
      <c r="EJ112" s="9">
        <f t="shared" si="214"/>
        <v>1</v>
      </c>
      <c r="EK112" s="9">
        <f t="shared" si="214"/>
        <v>1</v>
      </c>
      <c r="EL112" s="9">
        <f t="shared" si="214"/>
        <v>1</v>
      </c>
      <c r="EM112" s="9">
        <f t="shared" si="214"/>
        <v>1</v>
      </c>
      <c r="EN112" s="9">
        <f t="shared" si="214"/>
        <v>1</v>
      </c>
      <c r="EO112" s="9">
        <f t="shared" si="214"/>
        <v>1</v>
      </c>
      <c r="EP112" s="9">
        <f t="shared" si="214"/>
        <v>1</v>
      </c>
      <c r="EQ112" s="9">
        <f t="shared" si="214"/>
        <v>1</v>
      </c>
      <c r="ER112" s="9">
        <f t="shared" si="214"/>
        <v>1</v>
      </c>
      <c r="ES112" s="9">
        <f t="shared" si="214"/>
        <v>1</v>
      </c>
      <c r="ET112" s="9">
        <f t="shared" si="214"/>
        <v>1</v>
      </c>
      <c r="EU112" s="9">
        <f t="shared" si="214"/>
        <v>1</v>
      </c>
      <c r="EV112" s="9">
        <f t="shared" si="214"/>
        <v>1</v>
      </c>
      <c r="EW112" s="9">
        <f t="shared" si="214"/>
        <v>1</v>
      </c>
      <c r="EX112" s="9">
        <f t="shared" si="214"/>
        <v>1</v>
      </c>
      <c r="EY112" s="9">
        <f t="shared" si="214"/>
        <v>1</v>
      </c>
      <c r="EZ112" s="9">
        <f t="shared" si="214"/>
        <v>1</v>
      </c>
      <c r="FA112" s="9">
        <f t="shared" si="214"/>
        <v>1</v>
      </c>
      <c r="FB112" s="9">
        <f t="shared" si="214"/>
        <v>1</v>
      </c>
      <c r="FC112" s="9">
        <f t="shared" si="214"/>
        <v>1</v>
      </c>
      <c r="FD112" s="9">
        <f t="shared" si="214"/>
        <v>1</v>
      </c>
      <c r="FE112" s="9">
        <f t="shared" si="214"/>
        <v>1</v>
      </c>
      <c r="FF112" s="9">
        <f t="shared" si="214"/>
        <v>1</v>
      </c>
      <c r="FG112" s="9">
        <f t="shared" si="214"/>
        <v>1</v>
      </c>
      <c r="FH112" s="9">
        <f t="shared" si="214"/>
        <v>1</v>
      </c>
      <c r="FI112" s="9">
        <f t="shared" si="214"/>
        <v>1</v>
      </c>
      <c r="FJ112" s="9">
        <f t="shared" si="214"/>
        <v>1</v>
      </c>
      <c r="FK112" s="9">
        <f t="shared" si="214"/>
        <v>1</v>
      </c>
      <c r="FL112" s="9">
        <f t="shared" si="214"/>
        <v>1</v>
      </c>
      <c r="FM112" s="9">
        <f t="shared" si="214"/>
        <v>1</v>
      </c>
      <c r="FN112" s="9">
        <f t="shared" si="214"/>
        <v>1</v>
      </c>
      <c r="FO112" s="9">
        <f t="shared" si="214"/>
        <v>1</v>
      </c>
      <c r="FP112" s="9">
        <f t="shared" si="214"/>
        <v>1</v>
      </c>
      <c r="FQ112" s="9">
        <f t="shared" si="214"/>
        <v>1</v>
      </c>
      <c r="FR112" s="9">
        <f t="shared" si="214"/>
        <v>1</v>
      </c>
      <c r="FS112" s="9">
        <f t="shared" si="214"/>
        <v>1</v>
      </c>
      <c r="FT112" s="9">
        <f t="shared" si="214"/>
        <v>1</v>
      </c>
      <c r="FU112" s="9">
        <f t="shared" si="214"/>
        <v>1</v>
      </c>
      <c r="FV112" s="9">
        <f t="shared" si="214"/>
        <v>1</v>
      </c>
      <c r="FW112" s="9">
        <f t="shared" si="214"/>
        <v>1</v>
      </c>
      <c r="FX112" s="9">
        <f t="shared" si="214"/>
        <v>1</v>
      </c>
      <c r="FY112" s="9">
        <f t="shared" si="214"/>
        <v>1</v>
      </c>
      <c r="FZ112" s="9">
        <f t="shared" si="214"/>
        <v>1</v>
      </c>
      <c r="GA112" s="9">
        <f t="shared" si="214"/>
        <v>1</v>
      </c>
      <c r="GB112" s="9">
        <f t="shared" si="214"/>
        <v>1</v>
      </c>
      <c r="GC112" s="9">
        <f t="shared" si="214"/>
        <v>1</v>
      </c>
      <c r="GD112" s="9">
        <f t="shared" si="214"/>
        <v>1</v>
      </c>
      <c r="GE112" s="9">
        <f t="shared" si="214"/>
        <v>1</v>
      </c>
      <c r="GF112" s="9">
        <f t="shared" si="214"/>
        <v>1</v>
      </c>
      <c r="GG112" s="9">
        <f t="shared" si="214"/>
        <v>1</v>
      </c>
      <c r="GH112" s="9">
        <f t="shared" si="214"/>
        <v>1</v>
      </c>
      <c r="GI112" s="9">
        <f t="shared" si="214"/>
        <v>1</v>
      </c>
      <c r="GJ112" s="9">
        <f t="shared" si="214"/>
        <v>1</v>
      </c>
      <c r="GK112" s="9">
        <f t="shared" si="214"/>
        <v>1</v>
      </c>
      <c r="GL112" s="9">
        <f t="shared" si="214"/>
        <v>1</v>
      </c>
      <c r="GM112" s="9">
        <f t="shared" si="214"/>
        <v>1</v>
      </c>
      <c r="GN112" s="9">
        <f t="shared" si="214"/>
        <v>1</v>
      </c>
      <c r="GO112" s="9">
        <f t="shared" si="214"/>
        <v>1</v>
      </c>
      <c r="GP112" s="9">
        <f t="shared" si="214"/>
        <v>1</v>
      </c>
      <c r="GQ112" s="9">
        <f t="shared" ref="GQ112:IV112" si="215">IF(OR(GR20 = "", GR$8 &lt; GQ$8), "", 1)</f>
        <v>1</v>
      </c>
      <c r="GR112" s="9">
        <f t="shared" si="215"/>
        <v>1</v>
      </c>
      <c r="GS112" s="9">
        <f t="shared" si="215"/>
        <v>1</v>
      </c>
      <c r="GT112" s="9">
        <f t="shared" si="215"/>
        <v>1</v>
      </c>
      <c r="GU112" s="9">
        <f t="shared" si="215"/>
        <v>1</v>
      </c>
      <c r="GV112" s="9">
        <f t="shared" si="215"/>
        <v>1</v>
      </c>
      <c r="GW112" s="9">
        <f t="shared" si="215"/>
        <v>1</v>
      </c>
      <c r="GX112" s="9">
        <f t="shared" si="215"/>
        <v>1</v>
      </c>
      <c r="GY112" s="9">
        <f t="shared" si="215"/>
        <v>1</v>
      </c>
      <c r="GZ112" s="9">
        <f t="shared" si="215"/>
        <v>1</v>
      </c>
      <c r="HA112" s="9">
        <f t="shared" si="215"/>
        <v>1</v>
      </c>
      <c r="HB112" s="9">
        <f t="shared" si="215"/>
        <v>1</v>
      </c>
      <c r="HC112" s="9">
        <f t="shared" si="215"/>
        <v>1</v>
      </c>
      <c r="HD112" s="9">
        <f t="shared" si="215"/>
        <v>1</v>
      </c>
      <c r="HE112" s="9">
        <f t="shared" si="215"/>
        <v>1</v>
      </c>
      <c r="HF112" s="9">
        <f t="shared" si="215"/>
        <v>1</v>
      </c>
      <c r="HG112" s="9">
        <f t="shared" si="215"/>
        <v>1</v>
      </c>
      <c r="HH112" s="9">
        <f t="shared" si="215"/>
        <v>1</v>
      </c>
      <c r="HI112" s="9">
        <f t="shared" si="215"/>
        <v>1</v>
      </c>
      <c r="HJ112" s="9">
        <f t="shared" si="215"/>
        <v>1</v>
      </c>
      <c r="HK112" s="9">
        <f t="shared" si="215"/>
        <v>1</v>
      </c>
      <c r="HL112" s="9">
        <f t="shared" si="215"/>
        <v>1</v>
      </c>
      <c r="HM112" s="9">
        <f t="shared" si="215"/>
        <v>1</v>
      </c>
      <c r="HN112" s="9">
        <f t="shared" si="215"/>
        <v>1</v>
      </c>
      <c r="HO112" s="9" t="str">
        <f t="shared" si="215"/>
        <v/>
      </c>
      <c r="HP112" s="9" t="str">
        <f t="shared" si="215"/>
        <v/>
      </c>
      <c r="HQ112" s="9" t="str">
        <f t="shared" si="215"/>
        <v/>
      </c>
      <c r="HR112" s="9" t="str">
        <f t="shared" si="215"/>
        <v/>
      </c>
      <c r="HS112" s="9" t="str">
        <f t="shared" si="215"/>
        <v/>
      </c>
      <c r="HT112" s="9" t="str">
        <f t="shared" si="215"/>
        <v/>
      </c>
      <c r="HU112" s="9" t="str">
        <f t="shared" si="215"/>
        <v/>
      </c>
      <c r="HV112" s="9" t="str">
        <f t="shared" si="215"/>
        <v/>
      </c>
      <c r="HW112" s="9" t="str">
        <f t="shared" si="215"/>
        <v/>
      </c>
      <c r="HX112" s="9" t="str">
        <f t="shared" si="215"/>
        <v/>
      </c>
      <c r="HY112" s="9" t="str">
        <f t="shared" si="215"/>
        <v/>
      </c>
      <c r="HZ112" s="9" t="str">
        <f t="shared" si="215"/>
        <v/>
      </c>
      <c r="IA112" s="9" t="str">
        <f t="shared" si="215"/>
        <v/>
      </c>
      <c r="IB112" s="9" t="str">
        <f t="shared" si="215"/>
        <v/>
      </c>
      <c r="IC112" s="9" t="str">
        <f t="shared" si="215"/>
        <v/>
      </c>
      <c r="ID112" s="9" t="str">
        <f t="shared" si="215"/>
        <v/>
      </c>
      <c r="IE112" s="9" t="str">
        <f t="shared" si="215"/>
        <v/>
      </c>
      <c r="IF112" s="9" t="str">
        <f t="shared" si="215"/>
        <v/>
      </c>
      <c r="IG112" s="9" t="str">
        <f t="shared" si="215"/>
        <v/>
      </c>
      <c r="IH112" s="9" t="str">
        <f t="shared" si="215"/>
        <v/>
      </c>
      <c r="II112" s="9" t="str">
        <f t="shared" si="215"/>
        <v/>
      </c>
      <c r="IJ112" s="9" t="str">
        <f t="shared" si="215"/>
        <v/>
      </c>
      <c r="IK112" s="9" t="str">
        <f t="shared" si="215"/>
        <v/>
      </c>
      <c r="IL112" s="9" t="str">
        <f t="shared" si="215"/>
        <v/>
      </c>
      <c r="IM112" s="9" t="str">
        <f t="shared" si="215"/>
        <v/>
      </c>
      <c r="IN112" s="9" t="str">
        <f t="shared" si="215"/>
        <v/>
      </c>
      <c r="IO112" s="9" t="str">
        <f t="shared" si="215"/>
        <v/>
      </c>
      <c r="IP112" s="9" t="str">
        <f t="shared" si="215"/>
        <v/>
      </c>
      <c r="IQ112" s="9" t="str">
        <f t="shared" si="215"/>
        <v/>
      </c>
      <c r="IR112" s="9" t="str">
        <f t="shared" si="215"/>
        <v/>
      </c>
      <c r="IS112" s="9" t="str">
        <f t="shared" si="215"/>
        <v/>
      </c>
      <c r="IT112" s="9" t="str">
        <f t="shared" si="215"/>
        <v/>
      </c>
      <c r="IU112" s="9" t="str">
        <f t="shared" si="215"/>
        <v/>
      </c>
      <c r="IV112" s="9" t="str">
        <f t="shared" si="215"/>
        <v/>
      </c>
    </row>
    <row r="113" spans="6:256" x14ac:dyDescent="0.2">
      <c r="F113">
        <v>201703</v>
      </c>
      <c r="G113" s="9">
        <f t="shared" ref="G113:BR113" si="216">IF(OR(H21 = "", H$8 &lt; G$8), "", 1)</f>
        <v>1</v>
      </c>
      <c r="H113" s="9">
        <f t="shared" si="216"/>
        <v>1</v>
      </c>
      <c r="I113" s="9">
        <f t="shared" si="216"/>
        <v>1</v>
      </c>
      <c r="J113" s="9">
        <f t="shared" si="216"/>
        <v>1</v>
      </c>
      <c r="K113" s="9">
        <f t="shared" si="216"/>
        <v>1</v>
      </c>
      <c r="L113" s="9">
        <f t="shared" si="216"/>
        <v>1</v>
      </c>
      <c r="M113" s="9">
        <f t="shared" si="216"/>
        <v>1</v>
      </c>
      <c r="N113" s="9">
        <f t="shared" si="216"/>
        <v>1</v>
      </c>
      <c r="O113" s="9">
        <f t="shared" si="216"/>
        <v>1</v>
      </c>
      <c r="P113" s="9">
        <f t="shared" si="216"/>
        <v>1</v>
      </c>
      <c r="Q113" s="9">
        <f t="shared" si="216"/>
        <v>1</v>
      </c>
      <c r="R113" s="9">
        <f t="shared" si="216"/>
        <v>1</v>
      </c>
      <c r="S113" s="9">
        <f t="shared" si="216"/>
        <v>1</v>
      </c>
      <c r="T113" s="9">
        <f t="shared" si="216"/>
        <v>1</v>
      </c>
      <c r="U113" s="9">
        <f t="shared" si="216"/>
        <v>1</v>
      </c>
      <c r="V113" s="9">
        <f t="shared" si="216"/>
        <v>1</v>
      </c>
      <c r="W113" s="9">
        <f t="shared" si="216"/>
        <v>1</v>
      </c>
      <c r="X113" s="9">
        <f t="shared" si="216"/>
        <v>1</v>
      </c>
      <c r="Y113" s="9">
        <f t="shared" si="216"/>
        <v>1</v>
      </c>
      <c r="Z113" s="9">
        <f t="shared" si="216"/>
        <v>1</v>
      </c>
      <c r="AA113" s="9">
        <f t="shared" si="216"/>
        <v>1</v>
      </c>
      <c r="AB113" s="9">
        <f t="shared" si="216"/>
        <v>1</v>
      </c>
      <c r="AC113" s="9">
        <f t="shared" si="216"/>
        <v>1</v>
      </c>
      <c r="AD113" s="9">
        <f t="shared" si="216"/>
        <v>1</v>
      </c>
      <c r="AE113" s="9">
        <f t="shared" si="216"/>
        <v>1</v>
      </c>
      <c r="AF113" s="9">
        <f t="shared" si="216"/>
        <v>1</v>
      </c>
      <c r="AG113" s="9">
        <f t="shared" si="216"/>
        <v>1</v>
      </c>
      <c r="AH113" s="9">
        <f t="shared" si="216"/>
        <v>1</v>
      </c>
      <c r="AI113" s="9">
        <f t="shared" si="216"/>
        <v>1</v>
      </c>
      <c r="AJ113" s="9">
        <f t="shared" si="216"/>
        <v>1</v>
      </c>
      <c r="AK113" s="9">
        <f t="shared" si="216"/>
        <v>1</v>
      </c>
      <c r="AL113" s="9">
        <f t="shared" si="216"/>
        <v>1</v>
      </c>
      <c r="AM113" s="9">
        <f t="shared" si="216"/>
        <v>1</v>
      </c>
      <c r="AN113" s="9">
        <f t="shared" si="216"/>
        <v>1</v>
      </c>
      <c r="AO113" s="9">
        <f t="shared" si="216"/>
        <v>1</v>
      </c>
      <c r="AP113" s="9">
        <f t="shared" si="216"/>
        <v>1</v>
      </c>
      <c r="AQ113" s="9">
        <f t="shared" si="216"/>
        <v>1</v>
      </c>
      <c r="AR113" s="9">
        <f t="shared" si="216"/>
        <v>1</v>
      </c>
      <c r="AS113" s="9">
        <f t="shared" si="216"/>
        <v>1</v>
      </c>
      <c r="AT113" s="9">
        <f t="shared" si="216"/>
        <v>1</v>
      </c>
      <c r="AU113" s="9">
        <f t="shared" si="216"/>
        <v>1</v>
      </c>
      <c r="AV113" s="9">
        <f t="shared" si="216"/>
        <v>1</v>
      </c>
      <c r="AW113" s="9">
        <f t="shared" si="216"/>
        <v>1</v>
      </c>
      <c r="AX113" s="9">
        <f t="shared" si="216"/>
        <v>1</v>
      </c>
      <c r="AY113" s="9">
        <f t="shared" si="216"/>
        <v>1</v>
      </c>
      <c r="AZ113" s="9">
        <f t="shared" si="216"/>
        <v>1</v>
      </c>
      <c r="BA113" s="9">
        <f t="shared" si="216"/>
        <v>1</v>
      </c>
      <c r="BB113" s="9">
        <f t="shared" si="216"/>
        <v>1</v>
      </c>
      <c r="BC113" s="9">
        <f t="shared" si="216"/>
        <v>1</v>
      </c>
      <c r="BD113" s="9">
        <f t="shared" si="216"/>
        <v>1</v>
      </c>
      <c r="BE113" s="9">
        <f t="shared" si="216"/>
        <v>1</v>
      </c>
      <c r="BF113" s="9">
        <f t="shared" si="216"/>
        <v>1</v>
      </c>
      <c r="BG113" s="9">
        <f t="shared" si="216"/>
        <v>1</v>
      </c>
      <c r="BH113" s="9">
        <f t="shared" si="216"/>
        <v>1</v>
      </c>
      <c r="BI113" s="9">
        <f t="shared" si="216"/>
        <v>1</v>
      </c>
      <c r="BJ113" s="9">
        <f t="shared" si="216"/>
        <v>1</v>
      </c>
      <c r="BK113" s="9">
        <f t="shared" si="216"/>
        <v>1</v>
      </c>
      <c r="BL113" s="9">
        <f t="shared" si="216"/>
        <v>1</v>
      </c>
      <c r="BM113" s="9">
        <f t="shared" si="216"/>
        <v>1</v>
      </c>
      <c r="BN113" s="9">
        <f t="shared" si="216"/>
        <v>1</v>
      </c>
      <c r="BO113" s="9">
        <f t="shared" si="216"/>
        <v>1</v>
      </c>
      <c r="BP113" s="9">
        <f t="shared" si="216"/>
        <v>1</v>
      </c>
      <c r="BQ113" s="9">
        <f t="shared" si="216"/>
        <v>1</v>
      </c>
      <c r="BR113" s="9">
        <f t="shared" si="216"/>
        <v>1</v>
      </c>
      <c r="BS113" s="9">
        <f t="shared" ref="BS113:ED113" si="217">IF(OR(BT21 = "", BT$8 &lt; BS$8), "", 1)</f>
        <v>1</v>
      </c>
      <c r="BT113" s="9">
        <f t="shared" si="217"/>
        <v>1</v>
      </c>
      <c r="BU113" s="9">
        <f t="shared" si="217"/>
        <v>1</v>
      </c>
      <c r="BV113" s="9">
        <f t="shared" si="217"/>
        <v>1</v>
      </c>
      <c r="BW113" s="9">
        <f t="shared" si="217"/>
        <v>1</v>
      </c>
      <c r="BX113" s="9">
        <f t="shared" si="217"/>
        <v>1</v>
      </c>
      <c r="BY113" s="9">
        <f t="shared" si="217"/>
        <v>1</v>
      </c>
      <c r="BZ113" s="9">
        <f t="shared" si="217"/>
        <v>1</v>
      </c>
      <c r="CA113" s="9">
        <f t="shared" si="217"/>
        <v>1</v>
      </c>
      <c r="CB113" s="9">
        <f t="shared" si="217"/>
        <v>1</v>
      </c>
      <c r="CC113" s="9">
        <f t="shared" si="217"/>
        <v>1</v>
      </c>
      <c r="CD113" s="9">
        <f t="shared" si="217"/>
        <v>1</v>
      </c>
      <c r="CE113" s="9">
        <f t="shared" si="217"/>
        <v>1</v>
      </c>
      <c r="CF113" s="9">
        <f t="shared" si="217"/>
        <v>1</v>
      </c>
      <c r="CG113" s="9">
        <f t="shared" si="217"/>
        <v>1</v>
      </c>
      <c r="CH113" s="9">
        <f t="shared" si="217"/>
        <v>1</v>
      </c>
      <c r="CI113" s="9">
        <f t="shared" si="217"/>
        <v>1</v>
      </c>
      <c r="CJ113" s="9">
        <f t="shared" si="217"/>
        <v>1</v>
      </c>
      <c r="CK113" s="9">
        <f t="shared" si="217"/>
        <v>1</v>
      </c>
      <c r="CL113" s="9">
        <f t="shared" si="217"/>
        <v>1</v>
      </c>
      <c r="CM113" s="9">
        <f t="shared" si="217"/>
        <v>1</v>
      </c>
      <c r="CN113" s="9">
        <f t="shared" si="217"/>
        <v>1</v>
      </c>
      <c r="CO113" s="9">
        <f t="shared" si="217"/>
        <v>1</v>
      </c>
      <c r="CP113" s="9">
        <f t="shared" si="217"/>
        <v>1</v>
      </c>
      <c r="CQ113" s="9" t="str">
        <f t="shared" si="217"/>
        <v/>
      </c>
      <c r="CR113" s="9" t="str">
        <f t="shared" si="217"/>
        <v/>
      </c>
      <c r="CS113" s="9" t="str">
        <f t="shared" si="217"/>
        <v/>
      </c>
      <c r="CT113" s="9" t="str">
        <f t="shared" si="217"/>
        <v/>
      </c>
      <c r="CU113" s="9" t="str">
        <f t="shared" si="217"/>
        <v/>
      </c>
      <c r="CV113" s="9" t="str">
        <f t="shared" si="217"/>
        <v/>
      </c>
      <c r="CW113" s="9" t="str">
        <f t="shared" si="217"/>
        <v/>
      </c>
      <c r="CX113" s="9" t="str">
        <f t="shared" si="217"/>
        <v/>
      </c>
      <c r="CY113" s="9" t="str">
        <f t="shared" si="217"/>
        <v/>
      </c>
      <c r="CZ113" s="9" t="str">
        <f t="shared" si="217"/>
        <v/>
      </c>
      <c r="DA113" s="9" t="str">
        <f t="shared" si="217"/>
        <v/>
      </c>
      <c r="DB113" s="9" t="str">
        <f t="shared" si="217"/>
        <v/>
      </c>
      <c r="DC113" s="9" t="str">
        <f t="shared" si="217"/>
        <v/>
      </c>
      <c r="DD113" s="9" t="str">
        <f t="shared" si="217"/>
        <v/>
      </c>
      <c r="DE113" s="9" t="str">
        <f t="shared" si="217"/>
        <v/>
      </c>
      <c r="DF113" s="9" t="str">
        <f t="shared" si="217"/>
        <v/>
      </c>
      <c r="DG113" s="9" t="str">
        <f t="shared" si="217"/>
        <v/>
      </c>
      <c r="DH113" s="9" t="str">
        <f t="shared" si="217"/>
        <v/>
      </c>
      <c r="DI113" s="9" t="str">
        <f t="shared" si="217"/>
        <v/>
      </c>
      <c r="DJ113" s="9" t="str">
        <f t="shared" si="217"/>
        <v/>
      </c>
      <c r="DK113" s="9" t="str">
        <f t="shared" si="217"/>
        <v/>
      </c>
      <c r="DL113" s="9" t="str">
        <f t="shared" si="217"/>
        <v/>
      </c>
      <c r="DM113" s="9" t="str">
        <f t="shared" si="217"/>
        <v/>
      </c>
      <c r="DN113" s="9" t="str">
        <f t="shared" si="217"/>
        <v/>
      </c>
      <c r="DO113" s="9" t="str">
        <f t="shared" si="217"/>
        <v/>
      </c>
      <c r="DP113" s="9" t="str">
        <f t="shared" si="217"/>
        <v/>
      </c>
      <c r="DQ113" s="9" t="str">
        <f t="shared" si="217"/>
        <v/>
      </c>
      <c r="DR113" s="9" t="str">
        <f t="shared" si="217"/>
        <v/>
      </c>
      <c r="DS113" s="9" t="str">
        <f t="shared" si="217"/>
        <v/>
      </c>
      <c r="DT113" s="9" t="str">
        <f t="shared" si="217"/>
        <v/>
      </c>
      <c r="DU113" s="9" t="str">
        <f t="shared" si="217"/>
        <v/>
      </c>
      <c r="DV113" s="9" t="str">
        <f t="shared" si="217"/>
        <v/>
      </c>
      <c r="DW113" s="9" t="str">
        <f t="shared" si="217"/>
        <v/>
      </c>
      <c r="DX113" s="9" t="str">
        <f t="shared" si="217"/>
        <v/>
      </c>
      <c r="DY113" s="9" t="str">
        <f t="shared" si="217"/>
        <v/>
      </c>
      <c r="DZ113" s="9" t="str">
        <f t="shared" si="217"/>
        <v/>
      </c>
      <c r="EA113" s="9" t="str">
        <f t="shared" si="217"/>
        <v/>
      </c>
      <c r="EB113" s="9">
        <f t="shared" si="217"/>
        <v>1</v>
      </c>
      <c r="EC113" s="9">
        <f t="shared" si="217"/>
        <v>1</v>
      </c>
      <c r="ED113" s="9">
        <f t="shared" si="217"/>
        <v>1</v>
      </c>
      <c r="EE113" s="9">
        <f t="shared" ref="EE113:GP113" si="218">IF(OR(EF21 = "", EF$8 &lt; EE$8), "", 1)</f>
        <v>1</v>
      </c>
      <c r="EF113" s="9">
        <f t="shared" si="218"/>
        <v>1</v>
      </c>
      <c r="EG113" s="9">
        <f t="shared" si="218"/>
        <v>1</v>
      </c>
      <c r="EH113" s="9">
        <f t="shared" si="218"/>
        <v>1</v>
      </c>
      <c r="EI113" s="9">
        <f t="shared" si="218"/>
        <v>1</v>
      </c>
      <c r="EJ113" s="9">
        <f t="shared" si="218"/>
        <v>1</v>
      </c>
      <c r="EK113" s="9">
        <f t="shared" si="218"/>
        <v>1</v>
      </c>
      <c r="EL113" s="9">
        <f t="shared" si="218"/>
        <v>1</v>
      </c>
      <c r="EM113" s="9">
        <f t="shared" si="218"/>
        <v>1</v>
      </c>
      <c r="EN113" s="9">
        <f t="shared" si="218"/>
        <v>1</v>
      </c>
      <c r="EO113" s="9">
        <f t="shared" si="218"/>
        <v>1</v>
      </c>
      <c r="EP113" s="9">
        <f t="shared" si="218"/>
        <v>1</v>
      </c>
      <c r="EQ113" s="9">
        <f t="shared" si="218"/>
        <v>1</v>
      </c>
      <c r="ER113" s="9">
        <f t="shared" si="218"/>
        <v>1</v>
      </c>
      <c r="ES113" s="9">
        <f t="shared" si="218"/>
        <v>1</v>
      </c>
      <c r="ET113" s="9">
        <f t="shared" si="218"/>
        <v>1</v>
      </c>
      <c r="EU113" s="9">
        <f t="shared" si="218"/>
        <v>1</v>
      </c>
      <c r="EV113" s="9">
        <f t="shared" si="218"/>
        <v>1</v>
      </c>
      <c r="EW113" s="9">
        <f t="shared" si="218"/>
        <v>1</v>
      </c>
      <c r="EX113" s="9">
        <f t="shared" si="218"/>
        <v>1</v>
      </c>
      <c r="EY113" s="9">
        <f t="shared" si="218"/>
        <v>1</v>
      </c>
      <c r="EZ113" s="9">
        <f t="shared" si="218"/>
        <v>1</v>
      </c>
      <c r="FA113" s="9">
        <f t="shared" si="218"/>
        <v>1</v>
      </c>
      <c r="FB113" s="9">
        <f t="shared" si="218"/>
        <v>1</v>
      </c>
      <c r="FC113" s="9">
        <f t="shared" si="218"/>
        <v>1</v>
      </c>
      <c r="FD113" s="9">
        <f t="shared" si="218"/>
        <v>1</v>
      </c>
      <c r="FE113" s="9">
        <f t="shared" si="218"/>
        <v>1</v>
      </c>
      <c r="FF113" s="9">
        <f t="shared" si="218"/>
        <v>1</v>
      </c>
      <c r="FG113" s="9">
        <f t="shared" si="218"/>
        <v>1</v>
      </c>
      <c r="FH113" s="9">
        <f t="shared" si="218"/>
        <v>1</v>
      </c>
      <c r="FI113" s="9">
        <f t="shared" si="218"/>
        <v>1</v>
      </c>
      <c r="FJ113" s="9">
        <f t="shared" si="218"/>
        <v>1</v>
      </c>
      <c r="FK113" s="9">
        <f t="shared" si="218"/>
        <v>1</v>
      </c>
      <c r="FL113" s="9">
        <f t="shared" si="218"/>
        <v>1</v>
      </c>
      <c r="FM113" s="9">
        <f t="shared" si="218"/>
        <v>1</v>
      </c>
      <c r="FN113" s="9">
        <f t="shared" si="218"/>
        <v>1</v>
      </c>
      <c r="FO113" s="9">
        <f t="shared" si="218"/>
        <v>1</v>
      </c>
      <c r="FP113" s="9">
        <f t="shared" si="218"/>
        <v>1</v>
      </c>
      <c r="FQ113" s="9">
        <f t="shared" si="218"/>
        <v>1</v>
      </c>
      <c r="FR113" s="9">
        <f t="shared" si="218"/>
        <v>1</v>
      </c>
      <c r="FS113" s="9">
        <f t="shared" si="218"/>
        <v>1</v>
      </c>
      <c r="FT113" s="9">
        <f t="shared" si="218"/>
        <v>1</v>
      </c>
      <c r="FU113" s="9">
        <f t="shared" si="218"/>
        <v>1</v>
      </c>
      <c r="FV113" s="9">
        <f t="shared" si="218"/>
        <v>1</v>
      </c>
      <c r="FW113" s="9">
        <f t="shared" si="218"/>
        <v>1</v>
      </c>
      <c r="FX113" s="9">
        <f t="shared" si="218"/>
        <v>1</v>
      </c>
      <c r="FY113" s="9">
        <f t="shared" si="218"/>
        <v>1</v>
      </c>
      <c r="FZ113" s="9">
        <f t="shared" si="218"/>
        <v>1</v>
      </c>
      <c r="GA113" s="9">
        <f t="shared" si="218"/>
        <v>1</v>
      </c>
      <c r="GB113" s="9">
        <f t="shared" si="218"/>
        <v>1</v>
      </c>
      <c r="GC113" s="9">
        <f t="shared" si="218"/>
        <v>1</v>
      </c>
      <c r="GD113" s="9">
        <f t="shared" si="218"/>
        <v>1</v>
      </c>
      <c r="GE113" s="9">
        <f t="shared" si="218"/>
        <v>1</v>
      </c>
      <c r="GF113" s="9">
        <f t="shared" si="218"/>
        <v>1</v>
      </c>
      <c r="GG113" s="9">
        <f t="shared" si="218"/>
        <v>1</v>
      </c>
      <c r="GH113" s="9">
        <f t="shared" si="218"/>
        <v>1</v>
      </c>
      <c r="GI113" s="9">
        <f t="shared" si="218"/>
        <v>1</v>
      </c>
      <c r="GJ113" s="9">
        <f t="shared" si="218"/>
        <v>1</v>
      </c>
      <c r="GK113" s="9">
        <f t="shared" si="218"/>
        <v>1</v>
      </c>
      <c r="GL113" s="9">
        <f t="shared" si="218"/>
        <v>1</v>
      </c>
      <c r="GM113" s="9">
        <f t="shared" si="218"/>
        <v>1</v>
      </c>
      <c r="GN113" s="9">
        <f t="shared" si="218"/>
        <v>1</v>
      </c>
      <c r="GO113" s="9">
        <f t="shared" si="218"/>
        <v>1</v>
      </c>
      <c r="GP113" s="9">
        <f t="shared" si="218"/>
        <v>1</v>
      </c>
      <c r="GQ113" s="9">
        <f t="shared" ref="GQ113:IV113" si="219">IF(OR(GR21 = "", GR$8 &lt; GQ$8), "", 1)</f>
        <v>1</v>
      </c>
      <c r="GR113" s="9">
        <f t="shared" si="219"/>
        <v>1</v>
      </c>
      <c r="GS113" s="9">
        <f t="shared" si="219"/>
        <v>1</v>
      </c>
      <c r="GT113" s="9">
        <f t="shared" si="219"/>
        <v>1</v>
      </c>
      <c r="GU113" s="9">
        <f t="shared" si="219"/>
        <v>1</v>
      </c>
      <c r="GV113" s="9">
        <f t="shared" si="219"/>
        <v>1</v>
      </c>
      <c r="GW113" s="9">
        <f t="shared" si="219"/>
        <v>1</v>
      </c>
      <c r="GX113" s="9">
        <f t="shared" si="219"/>
        <v>1</v>
      </c>
      <c r="GY113" s="9">
        <f t="shared" si="219"/>
        <v>1</v>
      </c>
      <c r="GZ113" s="9">
        <f t="shared" si="219"/>
        <v>1</v>
      </c>
      <c r="HA113" s="9">
        <f t="shared" si="219"/>
        <v>1</v>
      </c>
      <c r="HB113" s="9">
        <f t="shared" si="219"/>
        <v>1</v>
      </c>
      <c r="HC113" s="9">
        <f t="shared" si="219"/>
        <v>1</v>
      </c>
      <c r="HD113" s="9">
        <f t="shared" si="219"/>
        <v>1</v>
      </c>
      <c r="HE113" s="9">
        <f t="shared" si="219"/>
        <v>1</v>
      </c>
      <c r="HF113" s="9">
        <f t="shared" si="219"/>
        <v>1</v>
      </c>
      <c r="HG113" s="9">
        <f t="shared" si="219"/>
        <v>1</v>
      </c>
      <c r="HH113" s="9">
        <f t="shared" si="219"/>
        <v>1</v>
      </c>
      <c r="HI113" s="9">
        <f t="shared" si="219"/>
        <v>1</v>
      </c>
      <c r="HJ113" s="9">
        <f t="shared" si="219"/>
        <v>1</v>
      </c>
      <c r="HK113" s="9">
        <f t="shared" si="219"/>
        <v>1</v>
      </c>
      <c r="HL113" s="9" t="str">
        <f t="shared" si="219"/>
        <v/>
      </c>
      <c r="HM113" s="9" t="str">
        <f t="shared" si="219"/>
        <v/>
      </c>
      <c r="HN113" s="9" t="str">
        <f t="shared" si="219"/>
        <v/>
      </c>
      <c r="HO113" s="9" t="str">
        <f t="shared" si="219"/>
        <v/>
      </c>
      <c r="HP113" s="9" t="str">
        <f t="shared" si="219"/>
        <v/>
      </c>
      <c r="HQ113" s="9" t="str">
        <f t="shared" si="219"/>
        <v/>
      </c>
      <c r="HR113" s="9" t="str">
        <f t="shared" si="219"/>
        <v/>
      </c>
      <c r="HS113" s="9" t="str">
        <f t="shared" si="219"/>
        <v/>
      </c>
      <c r="HT113" s="9" t="str">
        <f t="shared" si="219"/>
        <v/>
      </c>
      <c r="HU113" s="9" t="str">
        <f t="shared" si="219"/>
        <v/>
      </c>
      <c r="HV113" s="9" t="str">
        <f t="shared" si="219"/>
        <v/>
      </c>
      <c r="HW113" s="9" t="str">
        <f t="shared" si="219"/>
        <v/>
      </c>
      <c r="HX113" s="9" t="str">
        <f t="shared" si="219"/>
        <v/>
      </c>
      <c r="HY113" s="9" t="str">
        <f t="shared" si="219"/>
        <v/>
      </c>
      <c r="HZ113" s="9" t="str">
        <f t="shared" si="219"/>
        <v/>
      </c>
      <c r="IA113" s="9" t="str">
        <f t="shared" si="219"/>
        <v/>
      </c>
      <c r="IB113" s="9" t="str">
        <f t="shared" si="219"/>
        <v/>
      </c>
      <c r="IC113" s="9" t="str">
        <f t="shared" si="219"/>
        <v/>
      </c>
      <c r="ID113" s="9" t="str">
        <f t="shared" si="219"/>
        <v/>
      </c>
      <c r="IE113" s="9" t="str">
        <f t="shared" si="219"/>
        <v/>
      </c>
      <c r="IF113" s="9" t="str">
        <f t="shared" si="219"/>
        <v/>
      </c>
      <c r="IG113" s="9" t="str">
        <f t="shared" si="219"/>
        <v/>
      </c>
      <c r="IH113" s="9" t="str">
        <f t="shared" si="219"/>
        <v/>
      </c>
      <c r="II113" s="9" t="str">
        <f t="shared" si="219"/>
        <v/>
      </c>
      <c r="IJ113" s="9" t="str">
        <f t="shared" si="219"/>
        <v/>
      </c>
      <c r="IK113" s="9" t="str">
        <f t="shared" si="219"/>
        <v/>
      </c>
      <c r="IL113" s="9" t="str">
        <f t="shared" si="219"/>
        <v/>
      </c>
      <c r="IM113" s="9" t="str">
        <f t="shared" si="219"/>
        <v/>
      </c>
      <c r="IN113" s="9" t="str">
        <f t="shared" si="219"/>
        <v/>
      </c>
      <c r="IO113" s="9" t="str">
        <f t="shared" si="219"/>
        <v/>
      </c>
      <c r="IP113" s="9" t="str">
        <f t="shared" si="219"/>
        <v/>
      </c>
      <c r="IQ113" s="9" t="str">
        <f t="shared" si="219"/>
        <v/>
      </c>
      <c r="IR113" s="9" t="str">
        <f t="shared" si="219"/>
        <v/>
      </c>
      <c r="IS113" s="9" t="str">
        <f t="shared" si="219"/>
        <v/>
      </c>
      <c r="IT113" s="9" t="str">
        <f t="shared" si="219"/>
        <v/>
      </c>
      <c r="IU113" s="9" t="str">
        <f t="shared" si="219"/>
        <v/>
      </c>
      <c r="IV113" s="9" t="str">
        <f t="shared" si="219"/>
        <v/>
      </c>
    </row>
    <row r="114" spans="6:256" x14ac:dyDescent="0.2">
      <c r="F114">
        <v>201706</v>
      </c>
      <c r="G114" s="9">
        <f t="shared" ref="G114:BR114" si="220">IF(OR(H22 = "", H$8 &lt; G$8), "", 1)</f>
        <v>1</v>
      </c>
      <c r="H114" s="9">
        <f t="shared" si="220"/>
        <v>1</v>
      </c>
      <c r="I114" s="9">
        <f t="shared" si="220"/>
        <v>1</v>
      </c>
      <c r="J114" s="9">
        <f t="shared" si="220"/>
        <v>1</v>
      </c>
      <c r="K114" s="9">
        <f t="shared" si="220"/>
        <v>1</v>
      </c>
      <c r="L114" s="9">
        <f t="shared" si="220"/>
        <v>1</v>
      </c>
      <c r="M114" s="9">
        <f t="shared" si="220"/>
        <v>1</v>
      </c>
      <c r="N114" s="9">
        <f t="shared" si="220"/>
        <v>1</v>
      </c>
      <c r="O114" s="9">
        <f t="shared" si="220"/>
        <v>1</v>
      </c>
      <c r="P114" s="9">
        <f t="shared" si="220"/>
        <v>1</v>
      </c>
      <c r="Q114" s="9">
        <f t="shared" si="220"/>
        <v>1</v>
      </c>
      <c r="R114" s="9">
        <f t="shared" si="220"/>
        <v>1</v>
      </c>
      <c r="S114" s="9">
        <f t="shared" si="220"/>
        <v>1</v>
      </c>
      <c r="T114" s="9">
        <f t="shared" si="220"/>
        <v>1</v>
      </c>
      <c r="U114" s="9">
        <f t="shared" si="220"/>
        <v>1</v>
      </c>
      <c r="V114" s="9">
        <f t="shared" si="220"/>
        <v>1</v>
      </c>
      <c r="W114" s="9">
        <f t="shared" si="220"/>
        <v>1</v>
      </c>
      <c r="X114" s="9">
        <f t="shared" si="220"/>
        <v>1</v>
      </c>
      <c r="Y114" s="9">
        <f t="shared" si="220"/>
        <v>1</v>
      </c>
      <c r="Z114" s="9">
        <f t="shared" si="220"/>
        <v>1</v>
      </c>
      <c r="AA114" s="9">
        <f t="shared" si="220"/>
        <v>1</v>
      </c>
      <c r="AB114" s="9">
        <f t="shared" si="220"/>
        <v>1</v>
      </c>
      <c r="AC114" s="9">
        <f t="shared" si="220"/>
        <v>1</v>
      </c>
      <c r="AD114" s="9">
        <f t="shared" si="220"/>
        <v>1</v>
      </c>
      <c r="AE114" s="9">
        <f t="shared" si="220"/>
        <v>1</v>
      </c>
      <c r="AF114" s="9">
        <f t="shared" si="220"/>
        <v>1</v>
      </c>
      <c r="AG114" s="9">
        <f t="shared" si="220"/>
        <v>1</v>
      </c>
      <c r="AH114" s="9">
        <f t="shared" si="220"/>
        <v>1</v>
      </c>
      <c r="AI114" s="9">
        <f t="shared" si="220"/>
        <v>1</v>
      </c>
      <c r="AJ114" s="9">
        <f t="shared" si="220"/>
        <v>1</v>
      </c>
      <c r="AK114" s="9">
        <f t="shared" si="220"/>
        <v>1</v>
      </c>
      <c r="AL114" s="9">
        <f t="shared" si="220"/>
        <v>1</v>
      </c>
      <c r="AM114" s="9">
        <f t="shared" si="220"/>
        <v>1</v>
      </c>
      <c r="AN114" s="9">
        <f t="shared" si="220"/>
        <v>1</v>
      </c>
      <c r="AO114" s="9">
        <f t="shared" si="220"/>
        <v>1</v>
      </c>
      <c r="AP114" s="9">
        <f t="shared" si="220"/>
        <v>1</v>
      </c>
      <c r="AQ114" s="9">
        <f t="shared" si="220"/>
        <v>1</v>
      </c>
      <c r="AR114" s="9">
        <f t="shared" si="220"/>
        <v>1</v>
      </c>
      <c r="AS114" s="9">
        <f t="shared" si="220"/>
        <v>1</v>
      </c>
      <c r="AT114" s="9">
        <f t="shared" si="220"/>
        <v>1</v>
      </c>
      <c r="AU114" s="9">
        <f t="shared" si="220"/>
        <v>1</v>
      </c>
      <c r="AV114" s="9">
        <f t="shared" si="220"/>
        <v>1</v>
      </c>
      <c r="AW114" s="9">
        <f t="shared" si="220"/>
        <v>1</v>
      </c>
      <c r="AX114" s="9">
        <f t="shared" si="220"/>
        <v>1</v>
      </c>
      <c r="AY114" s="9">
        <f t="shared" si="220"/>
        <v>1</v>
      </c>
      <c r="AZ114" s="9">
        <f t="shared" si="220"/>
        <v>1</v>
      </c>
      <c r="BA114" s="9">
        <f t="shared" si="220"/>
        <v>1</v>
      </c>
      <c r="BB114" s="9">
        <f t="shared" si="220"/>
        <v>1</v>
      </c>
      <c r="BC114" s="9">
        <f t="shared" si="220"/>
        <v>1</v>
      </c>
      <c r="BD114" s="9">
        <f t="shared" si="220"/>
        <v>1</v>
      </c>
      <c r="BE114" s="9">
        <f t="shared" si="220"/>
        <v>1</v>
      </c>
      <c r="BF114" s="9">
        <f t="shared" si="220"/>
        <v>1</v>
      </c>
      <c r="BG114" s="9">
        <f t="shared" si="220"/>
        <v>1</v>
      </c>
      <c r="BH114" s="9">
        <f t="shared" si="220"/>
        <v>1</v>
      </c>
      <c r="BI114" s="9">
        <f t="shared" si="220"/>
        <v>1</v>
      </c>
      <c r="BJ114" s="9">
        <f t="shared" si="220"/>
        <v>1</v>
      </c>
      <c r="BK114" s="9">
        <f t="shared" si="220"/>
        <v>1</v>
      </c>
      <c r="BL114" s="9">
        <f t="shared" si="220"/>
        <v>1</v>
      </c>
      <c r="BM114" s="9">
        <f t="shared" si="220"/>
        <v>1</v>
      </c>
      <c r="BN114" s="9">
        <f t="shared" si="220"/>
        <v>1</v>
      </c>
      <c r="BO114" s="9">
        <f t="shared" si="220"/>
        <v>1</v>
      </c>
      <c r="BP114" s="9">
        <f t="shared" si="220"/>
        <v>1</v>
      </c>
      <c r="BQ114" s="9">
        <f t="shared" si="220"/>
        <v>1</v>
      </c>
      <c r="BR114" s="9">
        <f t="shared" si="220"/>
        <v>1</v>
      </c>
      <c r="BS114" s="9">
        <f t="shared" ref="BS114:ED114" si="221">IF(OR(BT22 = "", BT$8 &lt; BS$8), "", 1)</f>
        <v>1</v>
      </c>
      <c r="BT114" s="9">
        <f t="shared" si="221"/>
        <v>1</v>
      </c>
      <c r="BU114" s="9">
        <f t="shared" si="221"/>
        <v>1</v>
      </c>
      <c r="BV114" s="9">
        <f t="shared" si="221"/>
        <v>1</v>
      </c>
      <c r="BW114" s="9">
        <f t="shared" si="221"/>
        <v>1</v>
      </c>
      <c r="BX114" s="9">
        <f t="shared" si="221"/>
        <v>1</v>
      </c>
      <c r="BY114" s="9">
        <f t="shared" si="221"/>
        <v>1</v>
      </c>
      <c r="BZ114" s="9">
        <f t="shared" si="221"/>
        <v>1</v>
      </c>
      <c r="CA114" s="9">
        <f t="shared" si="221"/>
        <v>1</v>
      </c>
      <c r="CB114" s="9">
        <f t="shared" si="221"/>
        <v>1</v>
      </c>
      <c r="CC114" s="9">
        <f t="shared" si="221"/>
        <v>1</v>
      </c>
      <c r="CD114" s="9">
        <f t="shared" si="221"/>
        <v>1</v>
      </c>
      <c r="CE114" s="9">
        <f t="shared" si="221"/>
        <v>1</v>
      </c>
      <c r="CF114" s="9">
        <f t="shared" si="221"/>
        <v>1</v>
      </c>
      <c r="CG114" s="9">
        <f t="shared" si="221"/>
        <v>1</v>
      </c>
      <c r="CH114" s="9">
        <f t="shared" si="221"/>
        <v>1</v>
      </c>
      <c r="CI114" s="9">
        <f t="shared" si="221"/>
        <v>1</v>
      </c>
      <c r="CJ114" s="9">
        <f t="shared" si="221"/>
        <v>1</v>
      </c>
      <c r="CK114" s="9">
        <f t="shared" si="221"/>
        <v>1</v>
      </c>
      <c r="CL114" s="9">
        <f t="shared" si="221"/>
        <v>1</v>
      </c>
      <c r="CM114" s="9">
        <f t="shared" si="221"/>
        <v>1</v>
      </c>
      <c r="CN114" s="9" t="str">
        <f t="shared" si="221"/>
        <v/>
      </c>
      <c r="CO114" s="9" t="str">
        <f t="shared" si="221"/>
        <v/>
      </c>
      <c r="CP114" s="9" t="str">
        <f t="shared" si="221"/>
        <v/>
      </c>
      <c r="CQ114" s="9" t="str">
        <f t="shared" si="221"/>
        <v/>
      </c>
      <c r="CR114" s="9" t="str">
        <f t="shared" si="221"/>
        <v/>
      </c>
      <c r="CS114" s="9" t="str">
        <f t="shared" si="221"/>
        <v/>
      </c>
      <c r="CT114" s="9" t="str">
        <f t="shared" si="221"/>
        <v/>
      </c>
      <c r="CU114" s="9" t="str">
        <f t="shared" si="221"/>
        <v/>
      </c>
      <c r="CV114" s="9" t="str">
        <f t="shared" si="221"/>
        <v/>
      </c>
      <c r="CW114" s="9" t="str">
        <f t="shared" si="221"/>
        <v/>
      </c>
      <c r="CX114" s="9" t="str">
        <f t="shared" si="221"/>
        <v/>
      </c>
      <c r="CY114" s="9" t="str">
        <f t="shared" si="221"/>
        <v/>
      </c>
      <c r="CZ114" s="9" t="str">
        <f t="shared" si="221"/>
        <v/>
      </c>
      <c r="DA114" s="9" t="str">
        <f t="shared" si="221"/>
        <v/>
      </c>
      <c r="DB114" s="9" t="str">
        <f t="shared" si="221"/>
        <v/>
      </c>
      <c r="DC114" s="9" t="str">
        <f t="shared" si="221"/>
        <v/>
      </c>
      <c r="DD114" s="9" t="str">
        <f t="shared" si="221"/>
        <v/>
      </c>
      <c r="DE114" s="9" t="str">
        <f t="shared" si="221"/>
        <v/>
      </c>
      <c r="DF114" s="9" t="str">
        <f t="shared" si="221"/>
        <v/>
      </c>
      <c r="DG114" s="9" t="str">
        <f t="shared" si="221"/>
        <v/>
      </c>
      <c r="DH114" s="9" t="str">
        <f t="shared" si="221"/>
        <v/>
      </c>
      <c r="DI114" s="9" t="str">
        <f t="shared" si="221"/>
        <v/>
      </c>
      <c r="DJ114" s="9" t="str">
        <f t="shared" si="221"/>
        <v/>
      </c>
      <c r="DK114" s="9" t="str">
        <f t="shared" si="221"/>
        <v/>
      </c>
      <c r="DL114" s="9" t="str">
        <f t="shared" si="221"/>
        <v/>
      </c>
      <c r="DM114" s="9" t="str">
        <f t="shared" si="221"/>
        <v/>
      </c>
      <c r="DN114" s="9" t="str">
        <f t="shared" si="221"/>
        <v/>
      </c>
      <c r="DO114" s="9" t="str">
        <f t="shared" si="221"/>
        <v/>
      </c>
      <c r="DP114" s="9" t="str">
        <f t="shared" si="221"/>
        <v/>
      </c>
      <c r="DQ114" s="9" t="str">
        <f t="shared" si="221"/>
        <v/>
      </c>
      <c r="DR114" s="9" t="str">
        <f t="shared" si="221"/>
        <v/>
      </c>
      <c r="DS114" s="9" t="str">
        <f t="shared" si="221"/>
        <v/>
      </c>
      <c r="DT114" s="9" t="str">
        <f t="shared" si="221"/>
        <v/>
      </c>
      <c r="DU114" s="9" t="str">
        <f t="shared" si="221"/>
        <v/>
      </c>
      <c r="DV114" s="9" t="str">
        <f t="shared" si="221"/>
        <v/>
      </c>
      <c r="DW114" s="9" t="str">
        <f t="shared" si="221"/>
        <v/>
      </c>
      <c r="DX114" s="9" t="str">
        <f t="shared" si="221"/>
        <v/>
      </c>
      <c r="DY114" s="9" t="str">
        <f t="shared" si="221"/>
        <v/>
      </c>
      <c r="DZ114" s="9" t="str">
        <f t="shared" si="221"/>
        <v/>
      </c>
      <c r="EA114" s="9" t="str">
        <f t="shared" si="221"/>
        <v/>
      </c>
      <c r="EB114" s="9">
        <f t="shared" si="221"/>
        <v>1</v>
      </c>
      <c r="EC114" s="9">
        <f t="shared" si="221"/>
        <v>1</v>
      </c>
      <c r="ED114" s="9">
        <f t="shared" si="221"/>
        <v>1</v>
      </c>
      <c r="EE114" s="9">
        <f t="shared" ref="EE114:GP114" si="222">IF(OR(EF22 = "", EF$8 &lt; EE$8), "", 1)</f>
        <v>1</v>
      </c>
      <c r="EF114" s="9">
        <f t="shared" si="222"/>
        <v>1</v>
      </c>
      <c r="EG114" s="9">
        <f t="shared" si="222"/>
        <v>1</v>
      </c>
      <c r="EH114" s="9">
        <f t="shared" si="222"/>
        <v>1</v>
      </c>
      <c r="EI114" s="9">
        <f t="shared" si="222"/>
        <v>1</v>
      </c>
      <c r="EJ114" s="9">
        <f t="shared" si="222"/>
        <v>1</v>
      </c>
      <c r="EK114" s="9">
        <f t="shared" si="222"/>
        <v>1</v>
      </c>
      <c r="EL114" s="9">
        <f t="shared" si="222"/>
        <v>1</v>
      </c>
      <c r="EM114" s="9">
        <f t="shared" si="222"/>
        <v>1</v>
      </c>
      <c r="EN114" s="9">
        <f t="shared" si="222"/>
        <v>1</v>
      </c>
      <c r="EO114" s="9">
        <f t="shared" si="222"/>
        <v>1</v>
      </c>
      <c r="EP114" s="9">
        <f t="shared" si="222"/>
        <v>1</v>
      </c>
      <c r="EQ114" s="9">
        <f t="shared" si="222"/>
        <v>1</v>
      </c>
      <c r="ER114" s="9">
        <f t="shared" si="222"/>
        <v>1</v>
      </c>
      <c r="ES114" s="9">
        <f t="shared" si="222"/>
        <v>1</v>
      </c>
      <c r="ET114" s="9">
        <f t="shared" si="222"/>
        <v>1</v>
      </c>
      <c r="EU114" s="9">
        <f t="shared" si="222"/>
        <v>1</v>
      </c>
      <c r="EV114" s="9">
        <f t="shared" si="222"/>
        <v>1</v>
      </c>
      <c r="EW114" s="9">
        <f t="shared" si="222"/>
        <v>1</v>
      </c>
      <c r="EX114" s="9">
        <f t="shared" si="222"/>
        <v>1</v>
      </c>
      <c r="EY114" s="9">
        <f t="shared" si="222"/>
        <v>1</v>
      </c>
      <c r="EZ114" s="9">
        <f t="shared" si="222"/>
        <v>1</v>
      </c>
      <c r="FA114" s="9">
        <f t="shared" si="222"/>
        <v>1</v>
      </c>
      <c r="FB114" s="9">
        <f t="shared" si="222"/>
        <v>1</v>
      </c>
      <c r="FC114" s="9">
        <f t="shared" si="222"/>
        <v>1</v>
      </c>
      <c r="FD114" s="9">
        <f t="shared" si="222"/>
        <v>1</v>
      </c>
      <c r="FE114" s="9">
        <f t="shared" si="222"/>
        <v>1</v>
      </c>
      <c r="FF114" s="9">
        <f t="shared" si="222"/>
        <v>1</v>
      </c>
      <c r="FG114" s="9">
        <f t="shared" si="222"/>
        <v>1</v>
      </c>
      <c r="FH114" s="9">
        <f t="shared" si="222"/>
        <v>1</v>
      </c>
      <c r="FI114" s="9">
        <f t="shared" si="222"/>
        <v>1</v>
      </c>
      <c r="FJ114" s="9">
        <f t="shared" si="222"/>
        <v>1</v>
      </c>
      <c r="FK114" s="9">
        <f t="shared" si="222"/>
        <v>1</v>
      </c>
      <c r="FL114" s="9">
        <f t="shared" si="222"/>
        <v>1</v>
      </c>
      <c r="FM114" s="9">
        <f t="shared" si="222"/>
        <v>1</v>
      </c>
      <c r="FN114" s="9">
        <f t="shared" si="222"/>
        <v>1</v>
      </c>
      <c r="FO114" s="9">
        <f t="shared" si="222"/>
        <v>1</v>
      </c>
      <c r="FP114" s="9">
        <f t="shared" si="222"/>
        <v>1</v>
      </c>
      <c r="FQ114" s="9">
        <f t="shared" si="222"/>
        <v>1</v>
      </c>
      <c r="FR114" s="9">
        <f t="shared" si="222"/>
        <v>1</v>
      </c>
      <c r="FS114" s="9">
        <f t="shared" si="222"/>
        <v>1</v>
      </c>
      <c r="FT114" s="9">
        <f t="shared" si="222"/>
        <v>1</v>
      </c>
      <c r="FU114" s="9">
        <f t="shared" si="222"/>
        <v>1</v>
      </c>
      <c r="FV114" s="9">
        <f t="shared" si="222"/>
        <v>1</v>
      </c>
      <c r="FW114" s="9">
        <f t="shared" si="222"/>
        <v>1</v>
      </c>
      <c r="FX114" s="9">
        <f t="shared" si="222"/>
        <v>1</v>
      </c>
      <c r="FY114" s="9">
        <f t="shared" si="222"/>
        <v>1</v>
      </c>
      <c r="FZ114" s="9">
        <f t="shared" si="222"/>
        <v>1</v>
      </c>
      <c r="GA114" s="9">
        <f t="shared" si="222"/>
        <v>1</v>
      </c>
      <c r="GB114" s="9">
        <f t="shared" si="222"/>
        <v>1</v>
      </c>
      <c r="GC114" s="9">
        <f t="shared" si="222"/>
        <v>1</v>
      </c>
      <c r="GD114" s="9">
        <f t="shared" si="222"/>
        <v>1</v>
      </c>
      <c r="GE114" s="9">
        <f t="shared" si="222"/>
        <v>1</v>
      </c>
      <c r="GF114" s="9">
        <f t="shared" si="222"/>
        <v>1</v>
      </c>
      <c r="GG114" s="9">
        <f t="shared" si="222"/>
        <v>1</v>
      </c>
      <c r="GH114" s="9">
        <f t="shared" si="222"/>
        <v>1</v>
      </c>
      <c r="GI114" s="9">
        <f t="shared" si="222"/>
        <v>1</v>
      </c>
      <c r="GJ114" s="9">
        <f t="shared" si="222"/>
        <v>1</v>
      </c>
      <c r="GK114" s="9">
        <f t="shared" si="222"/>
        <v>1</v>
      </c>
      <c r="GL114" s="9">
        <f t="shared" si="222"/>
        <v>1</v>
      </c>
      <c r="GM114" s="9">
        <f t="shared" si="222"/>
        <v>1</v>
      </c>
      <c r="GN114" s="9">
        <f t="shared" si="222"/>
        <v>1</v>
      </c>
      <c r="GO114" s="9">
        <f t="shared" si="222"/>
        <v>1</v>
      </c>
      <c r="GP114" s="9">
        <f t="shared" si="222"/>
        <v>1</v>
      </c>
      <c r="GQ114" s="9">
        <f t="shared" ref="GQ114:IV114" si="223">IF(OR(GR22 = "", GR$8 &lt; GQ$8), "", 1)</f>
        <v>1</v>
      </c>
      <c r="GR114" s="9">
        <f t="shared" si="223"/>
        <v>1</v>
      </c>
      <c r="GS114" s="9">
        <f t="shared" si="223"/>
        <v>1</v>
      </c>
      <c r="GT114" s="9">
        <f t="shared" si="223"/>
        <v>1</v>
      </c>
      <c r="GU114" s="9">
        <f t="shared" si="223"/>
        <v>1</v>
      </c>
      <c r="GV114" s="9">
        <f t="shared" si="223"/>
        <v>1</v>
      </c>
      <c r="GW114" s="9">
        <f t="shared" si="223"/>
        <v>1</v>
      </c>
      <c r="GX114" s="9">
        <f t="shared" si="223"/>
        <v>1</v>
      </c>
      <c r="GY114" s="9">
        <f t="shared" si="223"/>
        <v>1</v>
      </c>
      <c r="GZ114" s="9">
        <f t="shared" si="223"/>
        <v>1</v>
      </c>
      <c r="HA114" s="9">
        <f t="shared" si="223"/>
        <v>1</v>
      </c>
      <c r="HB114" s="9">
        <f t="shared" si="223"/>
        <v>1</v>
      </c>
      <c r="HC114" s="9">
        <f t="shared" si="223"/>
        <v>1</v>
      </c>
      <c r="HD114" s="9">
        <f t="shared" si="223"/>
        <v>1</v>
      </c>
      <c r="HE114" s="9">
        <f t="shared" si="223"/>
        <v>1</v>
      </c>
      <c r="HF114" s="9">
        <f t="shared" si="223"/>
        <v>1</v>
      </c>
      <c r="HG114" s="9">
        <f t="shared" si="223"/>
        <v>1</v>
      </c>
      <c r="HH114" s="9">
        <f t="shared" si="223"/>
        <v>1</v>
      </c>
      <c r="HI114" s="9" t="str">
        <f t="shared" si="223"/>
        <v/>
      </c>
      <c r="HJ114" s="9" t="str">
        <f t="shared" si="223"/>
        <v/>
      </c>
      <c r="HK114" s="9" t="str">
        <f t="shared" si="223"/>
        <v/>
      </c>
      <c r="HL114" s="9" t="str">
        <f t="shared" si="223"/>
        <v/>
      </c>
      <c r="HM114" s="9" t="str">
        <f t="shared" si="223"/>
        <v/>
      </c>
      <c r="HN114" s="9" t="str">
        <f t="shared" si="223"/>
        <v/>
      </c>
      <c r="HO114" s="9" t="str">
        <f t="shared" si="223"/>
        <v/>
      </c>
      <c r="HP114" s="9" t="str">
        <f t="shared" si="223"/>
        <v/>
      </c>
      <c r="HQ114" s="9" t="str">
        <f t="shared" si="223"/>
        <v/>
      </c>
      <c r="HR114" s="9" t="str">
        <f t="shared" si="223"/>
        <v/>
      </c>
      <c r="HS114" s="9" t="str">
        <f t="shared" si="223"/>
        <v/>
      </c>
      <c r="HT114" s="9" t="str">
        <f t="shared" si="223"/>
        <v/>
      </c>
      <c r="HU114" s="9" t="str">
        <f t="shared" si="223"/>
        <v/>
      </c>
      <c r="HV114" s="9" t="str">
        <f t="shared" si="223"/>
        <v/>
      </c>
      <c r="HW114" s="9" t="str">
        <f t="shared" si="223"/>
        <v/>
      </c>
      <c r="HX114" s="9" t="str">
        <f t="shared" si="223"/>
        <v/>
      </c>
      <c r="HY114" s="9" t="str">
        <f t="shared" si="223"/>
        <v/>
      </c>
      <c r="HZ114" s="9" t="str">
        <f t="shared" si="223"/>
        <v/>
      </c>
      <c r="IA114" s="9" t="str">
        <f t="shared" si="223"/>
        <v/>
      </c>
      <c r="IB114" s="9" t="str">
        <f t="shared" si="223"/>
        <v/>
      </c>
      <c r="IC114" s="9" t="str">
        <f t="shared" si="223"/>
        <v/>
      </c>
      <c r="ID114" s="9" t="str">
        <f t="shared" si="223"/>
        <v/>
      </c>
      <c r="IE114" s="9" t="str">
        <f t="shared" si="223"/>
        <v/>
      </c>
      <c r="IF114" s="9" t="str">
        <f t="shared" si="223"/>
        <v/>
      </c>
      <c r="IG114" s="9" t="str">
        <f t="shared" si="223"/>
        <v/>
      </c>
      <c r="IH114" s="9" t="str">
        <f t="shared" si="223"/>
        <v/>
      </c>
      <c r="II114" s="9" t="str">
        <f t="shared" si="223"/>
        <v/>
      </c>
      <c r="IJ114" s="9" t="str">
        <f t="shared" si="223"/>
        <v/>
      </c>
      <c r="IK114" s="9" t="str">
        <f t="shared" si="223"/>
        <v/>
      </c>
      <c r="IL114" s="9" t="str">
        <f t="shared" si="223"/>
        <v/>
      </c>
      <c r="IM114" s="9" t="str">
        <f t="shared" si="223"/>
        <v/>
      </c>
      <c r="IN114" s="9" t="str">
        <f t="shared" si="223"/>
        <v/>
      </c>
      <c r="IO114" s="9" t="str">
        <f t="shared" si="223"/>
        <v/>
      </c>
      <c r="IP114" s="9" t="str">
        <f t="shared" si="223"/>
        <v/>
      </c>
      <c r="IQ114" s="9" t="str">
        <f t="shared" si="223"/>
        <v/>
      </c>
      <c r="IR114" s="9" t="str">
        <f t="shared" si="223"/>
        <v/>
      </c>
      <c r="IS114" s="9" t="str">
        <f t="shared" si="223"/>
        <v/>
      </c>
      <c r="IT114" s="9" t="str">
        <f t="shared" si="223"/>
        <v/>
      </c>
      <c r="IU114" s="9" t="str">
        <f t="shared" si="223"/>
        <v/>
      </c>
      <c r="IV114" s="9" t="str">
        <f t="shared" si="223"/>
        <v/>
      </c>
    </row>
    <row r="115" spans="6:256" x14ac:dyDescent="0.2">
      <c r="F115">
        <v>201709</v>
      </c>
      <c r="G115" s="9">
        <f t="shared" ref="G115:BR115" si="224">IF(OR(H23 = "", H$8 &lt; G$8), "", 1)</f>
        <v>1</v>
      </c>
      <c r="H115" s="9">
        <f t="shared" si="224"/>
        <v>1</v>
      </c>
      <c r="I115" s="9">
        <f t="shared" si="224"/>
        <v>1</v>
      </c>
      <c r="J115" s="9">
        <f t="shared" si="224"/>
        <v>1</v>
      </c>
      <c r="K115" s="9">
        <f t="shared" si="224"/>
        <v>1</v>
      </c>
      <c r="L115" s="9">
        <f t="shared" si="224"/>
        <v>1</v>
      </c>
      <c r="M115" s="9">
        <f t="shared" si="224"/>
        <v>1</v>
      </c>
      <c r="N115" s="9">
        <f t="shared" si="224"/>
        <v>1</v>
      </c>
      <c r="O115" s="9">
        <f t="shared" si="224"/>
        <v>1</v>
      </c>
      <c r="P115" s="9">
        <f t="shared" si="224"/>
        <v>1</v>
      </c>
      <c r="Q115" s="9">
        <f t="shared" si="224"/>
        <v>1</v>
      </c>
      <c r="R115" s="9">
        <f t="shared" si="224"/>
        <v>1</v>
      </c>
      <c r="S115" s="9">
        <f t="shared" si="224"/>
        <v>1</v>
      </c>
      <c r="T115" s="9">
        <f t="shared" si="224"/>
        <v>1</v>
      </c>
      <c r="U115" s="9">
        <f t="shared" si="224"/>
        <v>1</v>
      </c>
      <c r="V115" s="9">
        <f t="shared" si="224"/>
        <v>1</v>
      </c>
      <c r="W115" s="9">
        <f t="shared" si="224"/>
        <v>1</v>
      </c>
      <c r="X115" s="9">
        <f t="shared" si="224"/>
        <v>1</v>
      </c>
      <c r="Y115" s="9">
        <f t="shared" si="224"/>
        <v>1</v>
      </c>
      <c r="Z115" s="9">
        <f t="shared" si="224"/>
        <v>1</v>
      </c>
      <c r="AA115" s="9">
        <f t="shared" si="224"/>
        <v>1</v>
      </c>
      <c r="AB115" s="9">
        <f t="shared" si="224"/>
        <v>1</v>
      </c>
      <c r="AC115" s="9">
        <f t="shared" si="224"/>
        <v>1</v>
      </c>
      <c r="AD115" s="9">
        <f t="shared" si="224"/>
        <v>1</v>
      </c>
      <c r="AE115" s="9">
        <f t="shared" si="224"/>
        <v>1</v>
      </c>
      <c r="AF115" s="9">
        <f t="shared" si="224"/>
        <v>1</v>
      </c>
      <c r="AG115" s="9">
        <f t="shared" si="224"/>
        <v>1</v>
      </c>
      <c r="AH115" s="9">
        <f t="shared" si="224"/>
        <v>1</v>
      </c>
      <c r="AI115" s="9">
        <f t="shared" si="224"/>
        <v>1</v>
      </c>
      <c r="AJ115" s="9">
        <f t="shared" si="224"/>
        <v>1</v>
      </c>
      <c r="AK115" s="9">
        <f t="shared" si="224"/>
        <v>1</v>
      </c>
      <c r="AL115" s="9">
        <f t="shared" si="224"/>
        <v>1</v>
      </c>
      <c r="AM115" s="9">
        <f t="shared" si="224"/>
        <v>1</v>
      </c>
      <c r="AN115" s="9">
        <f t="shared" si="224"/>
        <v>1</v>
      </c>
      <c r="AO115" s="9">
        <f t="shared" si="224"/>
        <v>1</v>
      </c>
      <c r="AP115" s="9">
        <f t="shared" si="224"/>
        <v>1</v>
      </c>
      <c r="AQ115" s="9">
        <f t="shared" si="224"/>
        <v>1</v>
      </c>
      <c r="AR115" s="9">
        <f t="shared" si="224"/>
        <v>1</v>
      </c>
      <c r="AS115" s="9">
        <f t="shared" si="224"/>
        <v>1</v>
      </c>
      <c r="AT115" s="9">
        <f t="shared" si="224"/>
        <v>1</v>
      </c>
      <c r="AU115" s="9">
        <f t="shared" si="224"/>
        <v>1</v>
      </c>
      <c r="AV115" s="9">
        <f t="shared" si="224"/>
        <v>1</v>
      </c>
      <c r="AW115" s="9">
        <f t="shared" si="224"/>
        <v>1</v>
      </c>
      <c r="AX115" s="9">
        <f t="shared" si="224"/>
        <v>1</v>
      </c>
      <c r="AY115" s="9">
        <f t="shared" si="224"/>
        <v>1</v>
      </c>
      <c r="AZ115" s="9">
        <f t="shared" si="224"/>
        <v>1</v>
      </c>
      <c r="BA115" s="9">
        <f t="shared" si="224"/>
        <v>1</v>
      </c>
      <c r="BB115" s="9">
        <f t="shared" si="224"/>
        <v>1</v>
      </c>
      <c r="BC115" s="9">
        <f t="shared" si="224"/>
        <v>1</v>
      </c>
      <c r="BD115" s="9">
        <f t="shared" si="224"/>
        <v>1</v>
      </c>
      <c r="BE115" s="9">
        <f t="shared" si="224"/>
        <v>1</v>
      </c>
      <c r="BF115" s="9">
        <f t="shared" si="224"/>
        <v>1</v>
      </c>
      <c r="BG115" s="9">
        <f t="shared" si="224"/>
        <v>1</v>
      </c>
      <c r="BH115" s="9">
        <f t="shared" si="224"/>
        <v>1</v>
      </c>
      <c r="BI115" s="9">
        <f t="shared" si="224"/>
        <v>1</v>
      </c>
      <c r="BJ115" s="9">
        <f t="shared" si="224"/>
        <v>1</v>
      </c>
      <c r="BK115" s="9">
        <f t="shared" si="224"/>
        <v>1</v>
      </c>
      <c r="BL115" s="9">
        <f t="shared" si="224"/>
        <v>1</v>
      </c>
      <c r="BM115" s="9">
        <f t="shared" si="224"/>
        <v>1</v>
      </c>
      <c r="BN115" s="9">
        <f t="shared" si="224"/>
        <v>1</v>
      </c>
      <c r="BO115" s="9">
        <f t="shared" si="224"/>
        <v>1</v>
      </c>
      <c r="BP115" s="9">
        <f t="shared" si="224"/>
        <v>1</v>
      </c>
      <c r="BQ115" s="9">
        <f t="shared" si="224"/>
        <v>1</v>
      </c>
      <c r="BR115" s="9">
        <f t="shared" si="224"/>
        <v>1</v>
      </c>
      <c r="BS115" s="9">
        <f t="shared" ref="BS115:ED115" si="225">IF(OR(BT23 = "", BT$8 &lt; BS$8), "", 1)</f>
        <v>1</v>
      </c>
      <c r="BT115" s="9">
        <f t="shared" si="225"/>
        <v>1</v>
      </c>
      <c r="BU115" s="9">
        <f t="shared" si="225"/>
        <v>1</v>
      </c>
      <c r="BV115" s="9">
        <f t="shared" si="225"/>
        <v>1</v>
      </c>
      <c r="BW115" s="9">
        <f t="shared" si="225"/>
        <v>1</v>
      </c>
      <c r="BX115" s="9">
        <f t="shared" si="225"/>
        <v>1</v>
      </c>
      <c r="BY115" s="9">
        <f t="shared" si="225"/>
        <v>1</v>
      </c>
      <c r="BZ115" s="9">
        <f t="shared" si="225"/>
        <v>1</v>
      </c>
      <c r="CA115" s="9">
        <f t="shared" si="225"/>
        <v>1</v>
      </c>
      <c r="CB115" s="9">
        <f t="shared" si="225"/>
        <v>1</v>
      </c>
      <c r="CC115" s="9">
        <f t="shared" si="225"/>
        <v>1</v>
      </c>
      <c r="CD115" s="9">
        <f t="shared" si="225"/>
        <v>1</v>
      </c>
      <c r="CE115" s="9">
        <f t="shared" si="225"/>
        <v>1</v>
      </c>
      <c r="CF115" s="9">
        <f t="shared" si="225"/>
        <v>1</v>
      </c>
      <c r="CG115" s="9">
        <f t="shared" si="225"/>
        <v>1</v>
      </c>
      <c r="CH115" s="9">
        <f t="shared" si="225"/>
        <v>1</v>
      </c>
      <c r="CI115" s="9">
        <f t="shared" si="225"/>
        <v>1</v>
      </c>
      <c r="CJ115" s="9">
        <f t="shared" si="225"/>
        <v>1</v>
      </c>
      <c r="CK115" s="9" t="str">
        <f t="shared" si="225"/>
        <v/>
      </c>
      <c r="CL115" s="9" t="str">
        <f t="shared" si="225"/>
        <v/>
      </c>
      <c r="CM115" s="9" t="str">
        <f t="shared" si="225"/>
        <v/>
      </c>
      <c r="CN115" s="9" t="str">
        <f t="shared" si="225"/>
        <v/>
      </c>
      <c r="CO115" s="9" t="str">
        <f t="shared" si="225"/>
        <v/>
      </c>
      <c r="CP115" s="9" t="str">
        <f t="shared" si="225"/>
        <v/>
      </c>
      <c r="CQ115" s="9" t="str">
        <f t="shared" si="225"/>
        <v/>
      </c>
      <c r="CR115" s="9" t="str">
        <f t="shared" si="225"/>
        <v/>
      </c>
      <c r="CS115" s="9" t="str">
        <f t="shared" si="225"/>
        <v/>
      </c>
      <c r="CT115" s="9" t="str">
        <f t="shared" si="225"/>
        <v/>
      </c>
      <c r="CU115" s="9" t="str">
        <f t="shared" si="225"/>
        <v/>
      </c>
      <c r="CV115" s="9" t="str">
        <f t="shared" si="225"/>
        <v/>
      </c>
      <c r="CW115" s="9" t="str">
        <f t="shared" si="225"/>
        <v/>
      </c>
      <c r="CX115" s="9" t="str">
        <f t="shared" si="225"/>
        <v/>
      </c>
      <c r="CY115" s="9" t="str">
        <f t="shared" si="225"/>
        <v/>
      </c>
      <c r="CZ115" s="9" t="str">
        <f t="shared" si="225"/>
        <v/>
      </c>
      <c r="DA115" s="9" t="str">
        <f t="shared" si="225"/>
        <v/>
      </c>
      <c r="DB115" s="9" t="str">
        <f t="shared" si="225"/>
        <v/>
      </c>
      <c r="DC115" s="9" t="str">
        <f t="shared" si="225"/>
        <v/>
      </c>
      <c r="DD115" s="9" t="str">
        <f t="shared" si="225"/>
        <v/>
      </c>
      <c r="DE115" s="9" t="str">
        <f t="shared" si="225"/>
        <v/>
      </c>
      <c r="DF115" s="9" t="str">
        <f t="shared" si="225"/>
        <v/>
      </c>
      <c r="DG115" s="9" t="str">
        <f t="shared" si="225"/>
        <v/>
      </c>
      <c r="DH115" s="9" t="str">
        <f t="shared" si="225"/>
        <v/>
      </c>
      <c r="DI115" s="9" t="str">
        <f t="shared" si="225"/>
        <v/>
      </c>
      <c r="DJ115" s="9" t="str">
        <f t="shared" si="225"/>
        <v/>
      </c>
      <c r="DK115" s="9" t="str">
        <f t="shared" si="225"/>
        <v/>
      </c>
      <c r="DL115" s="9" t="str">
        <f t="shared" si="225"/>
        <v/>
      </c>
      <c r="DM115" s="9" t="str">
        <f t="shared" si="225"/>
        <v/>
      </c>
      <c r="DN115" s="9" t="str">
        <f t="shared" si="225"/>
        <v/>
      </c>
      <c r="DO115" s="9" t="str">
        <f t="shared" si="225"/>
        <v/>
      </c>
      <c r="DP115" s="9" t="str">
        <f t="shared" si="225"/>
        <v/>
      </c>
      <c r="DQ115" s="9" t="str">
        <f t="shared" si="225"/>
        <v/>
      </c>
      <c r="DR115" s="9" t="str">
        <f t="shared" si="225"/>
        <v/>
      </c>
      <c r="DS115" s="9" t="str">
        <f t="shared" si="225"/>
        <v/>
      </c>
      <c r="DT115" s="9" t="str">
        <f t="shared" si="225"/>
        <v/>
      </c>
      <c r="DU115" s="9" t="str">
        <f t="shared" si="225"/>
        <v/>
      </c>
      <c r="DV115" s="9" t="str">
        <f t="shared" si="225"/>
        <v/>
      </c>
      <c r="DW115" s="9" t="str">
        <f t="shared" si="225"/>
        <v/>
      </c>
      <c r="DX115" s="9" t="str">
        <f t="shared" si="225"/>
        <v/>
      </c>
      <c r="DY115" s="9" t="str">
        <f t="shared" si="225"/>
        <v/>
      </c>
      <c r="DZ115" s="9" t="str">
        <f t="shared" si="225"/>
        <v/>
      </c>
      <c r="EA115" s="9" t="str">
        <f t="shared" si="225"/>
        <v/>
      </c>
      <c r="EB115" s="9">
        <f t="shared" si="225"/>
        <v>1</v>
      </c>
      <c r="EC115" s="9">
        <f t="shared" si="225"/>
        <v>1</v>
      </c>
      <c r="ED115" s="9">
        <f t="shared" si="225"/>
        <v>1</v>
      </c>
      <c r="EE115" s="9">
        <f t="shared" ref="EE115:GP115" si="226">IF(OR(EF23 = "", EF$8 &lt; EE$8), "", 1)</f>
        <v>1</v>
      </c>
      <c r="EF115" s="9">
        <f t="shared" si="226"/>
        <v>1</v>
      </c>
      <c r="EG115" s="9">
        <f t="shared" si="226"/>
        <v>1</v>
      </c>
      <c r="EH115" s="9">
        <f t="shared" si="226"/>
        <v>1</v>
      </c>
      <c r="EI115" s="9">
        <f t="shared" si="226"/>
        <v>1</v>
      </c>
      <c r="EJ115" s="9">
        <f t="shared" si="226"/>
        <v>1</v>
      </c>
      <c r="EK115" s="9">
        <f t="shared" si="226"/>
        <v>1</v>
      </c>
      <c r="EL115" s="9">
        <f t="shared" si="226"/>
        <v>1</v>
      </c>
      <c r="EM115" s="9">
        <f t="shared" si="226"/>
        <v>1</v>
      </c>
      <c r="EN115" s="9">
        <f t="shared" si="226"/>
        <v>1</v>
      </c>
      <c r="EO115" s="9">
        <f t="shared" si="226"/>
        <v>1</v>
      </c>
      <c r="EP115" s="9">
        <f t="shared" si="226"/>
        <v>1</v>
      </c>
      <c r="EQ115" s="9">
        <f t="shared" si="226"/>
        <v>1</v>
      </c>
      <c r="ER115" s="9">
        <f t="shared" si="226"/>
        <v>1</v>
      </c>
      <c r="ES115" s="9">
        <f t="shared" si="226"/>
        <v>1</v>
      </c>
      <c r="ET115" s="9">
        <f t="shared" si="226"/>
        <v>1</v>
      </c>
      <c r="EU115" s="9">
        <f t="shared" si="226"/>
        <v>1</v>
      </c>
      <c r="EV115" s="9">
        <f t="shared" si="226"/>
        <v>1</v>
      </c>
      <c r="EW115" s="9">
        <f t="shared" si="226"/>
        <v>1</v>
      </c>
      <c r="EX115" s="9">
        <f t="shared" si="226"/>
        <v>1</v>
      </c>
      <c r="EY115" s="9">
        <f t="shared" si="226"/>
        <v>1</v>
      </c>
      <c r="EZ115" s="9">
        <f t="shared" si="226"/>
        <v>1</v>
      </c>
      <c r="FA115" s="9">
        <f t="shared" si="226"/>
        <v>1</v>
      </c>
      <c r="FB115" s="9">
        <f t="shared" si="226"/>
        <v>1</v>
      </c>
      <c r="FC115" s="9">
        <f t="shared" si="226"/>
        <v>1</v>
      </c>
      <c r="FD115" s="9">
        <f t="shared" si="226"/>
        <v>1</v>
      </c>
      <c r="FE115" s="9">
        <f t="shared" si="226"/>
        <v>1</v>
      </c>
      <c r="FF115" s="9">
        <f t="shared" si="226"/>
        <v>1</v>
      </c>
      <c r="FG115" s="9">
        <f t="shared" si="226"/>
        <v>1</v>
      </c>
      <c r="FH115" s="9">
        <f t="shared" si="226"/>
        <v>1</v>
      </c>
      <c r="FI115" s="9">
        <f t="shared" si="226"/>
        <v>1</v>
      </c>
      <c r="FJ115" s="9">
        <f t="shared" si="226"/>
        <v>1</v>
      </c>
      <c r="FK115" s="9">
        <f t="shared" si="226"/>
        <v>1</v>
      </c>
      <c r="FL115" s="9">
        <f t="shared" si="226"/>
        <v>1</v>
      </c>
      <c r="FM115" s="9">
        <f t="shared" si="226"/>
        <v>1</v>
      </c>
      <c r="FN115" s="9">
        <f t="shared" si="226"/>
        <v>1</v>
      </c>
      <c r="FO115" s="9">
        <f t="shared" si="226"/>
        <v>1</v>
      </c>
      <c r="FP115" s="9">
        <f t="shared" si="226"/>
        <v>1</v>
      </c>
      <c r="FQ115" s="9">
        <f t="shared" si="226"/>
        <v>1</v>
      </c>
      <c r="FR115" s="9">
        <f t="shared" si="226"/>
        <v>1</v>
      </c>
      <c r="FS115" s="9">
        <f t="shared" si="226"/>
        <v>1</v>
      </c>
      <c r="FT115" s="9">
        <f t="shared" si="226"/>
        <v>1</v>
      </c>
      <c r="FU115" s="9">
        <f t="shared" si="226"/>
        <v>1</v>
      </c>
      <c r="FV115" s="9">
        <f t="shared" si="226"/>
        <v>1</v>
      </c>
      <c r="FW115" s="9">
        <f t="shared" si="226"/>
        <v>1</v>
      </c>
      <c r="FX115" s="9">
        <f t="shared" si="226"/>
        <v>1</v>
      </c>
      <c r="FY115" s="9">
        <f t="shared" si="226"/>
        <v>1</v>
      </c>
      <c r="FZ115" s="9">
        <f t="shared" si="226"/>
        <v>1</v>
      </c>
      <c r="GA115" s="9">
        <f t="shared" si="226"/>
        <v>1</v>
      </c>
      <c r="GB115" s="9">
        <f t="shared" si="226"/>
        <v>1</v>
      </c>
      <c r="GC115" s="9">
        <f t="shared" si="226"/>
        <v>1</v>
      </c>
      <c r="GD115" s="9">
        <f t="shared" si="226"/>
        <v>1</v>
      </c>
      <c r="GE115" s="9">
        <f t="shared" si="226"/>
        <v>1</v>
      </c>
      <c r="GF115" s="9">
        <f t="shared" si="226"/>
        <v>1</v>
      </c>
      <c r="GG115" s="9">
        <f t="shared" si="226"/>
        <v>1</v>
      </c>
      <c r="GH115" s="9">
        <f t="shared" si="226"/>
        <v>1</v>
      </c>
      <c r="GI115" s="9">
        <f t="shared" si="226"/>
        <v>1</v>
      </c>
      <c r="GJ115" s="9">
        <f t="shared" si="226"/>
        <v>1</v>
      </c>
      <c r="GK115" s="9">
        <f t="shared" si="226"/>
        <v>1</v>
      </c>
      <c r="GL115" s="9">
        <f t="shared" si="226"/>
        <v>1</v>
      </c>
      <c r="GM115" s="9">
        <f t="shared" si="226"/>
        <v>1</v>
      </c>
      <c r="GN115" s="9">
        <f t="shared" si="226"/>
        <v>1</v>
      </c>
      <c r="GO115" s="9">
        <f t="shared" si="226"/>
        <v>1</v>
      </c>
      <c r="GP115" s="9">
        <f t="shared" si="226"/>
        <v>1</v>
      </c>
      <c r="GQ115" s="9">
        <f t="shared" ref="GQ115:IV115" si="227">IF(OR(GR23 = "", GR$8 &lt; GQ$8), "", 1)</f>
        <v>1</v>
      </c>
      <c r="GR115" s="9">
        <f t="shared" si="227"/>
        <v>1</v>
      </c>
      <c r="GS115" s="9">
        <f t="shared" si="227"/>
        <v>1</v>
      </c>
      <c r="GT115" s="9">
        <f t="shared" si="227"/>
        <v>1</v>
      </c>
      <c r="GU115" s="9">
        <f t="shared" si="227"/>
        <v>1</v>
      </c>
      <c r="GV115" s="9">
        <f t="shared" si="227"/>
        <v>1</v>
      </c>
      <c r="GW115" s="9">
        <f t="shared" si="227"/>
        <v>1</v>
      </c>
      <c r="GX115" s="9">
        <f t="shared" si="227"/>
        <v>1</v>
      </c>
      <c r="GY115" s="9">
        <f t="shared" si="227"/>
        <v>1</v>
      </c>
      <c r="GZ115" s="9">
        <f t="shared" si="227"/>
        <v>1</v>
      </c>
      <c r="HA115" s="9">
        <f t="shared" si="227"/>
        <v>1</v>
      </c>
      <c r="HB115" s="9">
        <f t="shared" si="227"/>
        <v>1</v>
      </c>
      <c r="HC115" s="9">
        <f t="shared" si="227"/>
        <v>1</v>
      </c>
      <c r="HD115" s="9">
        <f t="shared" si="227"/>
        <v>1</v>
      </c>
      <c r="HE115" s="9">
        <f t="shared" si="227"/>
        <v>1</v>
      </c>
      <c r="HF115" s="9" t="str">
        <f t="shared" si="227"/>
        <v/>
      </c>
      <c r="HG115" s="9" t="str">
        <f t="shared" si="227"/>
        <v/>
      </c>
      <c r="HH115" s="9" t="str">
        <f t="shared" si="227"/>
        <v/>
      </c>
      <c r="HI115" s="9" t="str">
        <f t="shared" si="227"/>
        <v/>
      </c>
      <c r="HJ115" s="9" t="str">
        <f t="shared" si="227"/>
        <v/>
      </c>
      <c r="HK115" s="9" t="str">
        <f t="shared" si="227"/>
        <v/>
      </c>
      <c r="HL115" s="9" t="str">
        <f t="shared" si="227"/>
        <v/>
      </c>
      <c r="HM115" s="9" t="str">
        <f t="shared" si="227"/>
        <v/>
      </c>
      <c r="HN115" s="9" t="str">
        <f t="shared" si="227"/>
        <v/>
      </c>
      <c r="HO115" s="9" t="str">
        <f t="shared" si="227"/>
        <v/>
      </c>
      <c r="HP115" s="9" t="str">
        <f t="shared" si="227"/>
        <v/>
      </c>
      <c r="HQ115" s="9" t="str">
        <f t="shared" si="227"/>
        <v/>
      </c>
      <c r="HR115" s="9" t="str">
        <f t="shared" si="227"/>
        <v/>
      </c>
      <c r="HS115" s="9" t="str">
        <f t="shared" si="227"/>
        <v/>
      </c>
      <c r="HT115" s="9" t="str">
        <f t="shared" si="227"/>
        <v/>
      </c>
      <c r="HU115" s="9" t="str">
        <f t="shared" si="227"/>
        <v/>
      </c>
      <c r="HV115" s="9" t="str">
        <f t="shared" si="227"/>
        <v/>
      </c>
      <c r="HW115" s="9" t="str">
        <f t="shared" si="227"/>
        <v/>
      </c>
      <c r="HX115" s="9" t="str">
        <f t="shared" si="227"/>
        <v/>
      </c>
      <c r="HY115" s="9" t="str">
        <f t="shared" si="227"/>
        <v/>
      </c>
      <c r="HZ115" s="9" t="str">
        <f t="shared" si="227"/>
        <v/>
      </c>
      <c r="IA115" s="9" t="str">
        <f t="shared" si="227"/>
        <v/>
      </c>
      <c r="IB115" s="9" t="str">
        <f t="shared" si="227"/>
        <v/>
      </c>
      <c r="IC115" s="9" t="str">
        <f t="shared" si="227"/>
        <v/>
      </c>
      <c r="ID115" s="9" t="str">
        <f t="shared" si="227"/>
        <v/>
      </c>
      <c r="IE115" s="9" t="str">
        <f t="shared" si="227"/>
        <v/>
      </c>
      <c r="IF115" s="9" t="str">
        <f t="shared" si="227"/>
        <v/>
      </c>
      <c r="IG115" s="9" t="str">
        <f t="shared" si="227"/>
        <v/>
      </c>
      <c r="IH115" s="9" t="str">
        <f t="shared" si="227"/>
        <v/>
      </c>
      <c r="II115" s="9" t="str">
        <f t="shared" si="227"/>
        <v/>
      </c>
      <c r="IJ115" s="9" t="str">
        <f t="shared" si="227"/>
        <v/>
      </c>
      <c r="IK115" s="9" t="str">
        <f t="shared" si="227"/>
        <v/>
      </c>
      <c r="IL115" s="9" t="str">
        <f t="shared" si="227"/>
        <v/>
      </c>
      <c r="IM115" s="9" t="str">
        <f t="shared" si="227"/>
        <v/>
      </c>
      <c r="IN115" s="9" t="str">
        <f t="shared" si="227"/>
        <v/>
      </c>
      <c r="IO115" s="9" t="str">
        <f t="shared" si="227"/>
        <v/>
      </c>
      <c r="IP115" s="9" t="str">
        <f t="shared" si="227"/>
        <v/>
      </c>
      <c r="IQ115" s="9" t="str">
        <f t="shared" si="227"/>
        <v/>
      </c>
      <c r="IR115" s="9" t="str">
        <f t="shared" si="227"/>
        <v/>
      </c>
      <c r="IS115" s="9" t="str">
        <f t="shared" si="227"/>
        <v/>
      </c>
      <c r="IT115" s="9" t="str">
        <f t="shared" si="227"/>
        <v/>
      </c>
      <c r="IU115" s="9" t="str">
        <f t="shared" si="227"/>
        <v/>
      </c>
      <c r="IV115" s="9" t="str">
        <f t="shared" si="227"/>
        <v/>
      </c>
    </row>
    <row r="116" spans="6:256" x14ac:dyDescent="0.2">
      <c r="F116">
        <v>201712</v>
      </c>
      <c r="G116" s="9">
        <f t="shared" ref="G116:BR116" si="228">IF(OR(H24 = "", H$8 &lt; G$8), "", 1)</f>
        <v>1</v>
      </c>
      <c r="H116" s="9">
        <f t="shared" si="228"/>
        <v>1</v>
      </c>
      <c r="I116" s="9">
        <f t="shared" si="228"/>
        <v>1</v>
      </c>
      <c r="J116" s="9">
        <f t="shared" si="228"/>
        <v>1</v>
      </c>
      <c r="K116" s="9">
        <f t="shared" si="228"/>
        <v>1</v>
      </c>
      <c r="L116" s="9">
        <f t="shared" si="228"/>
        <v>1</v>
      </c>
      <c r="M116" s="9">
        <f t="shared" si="228"/>
        <v>1</v>
      </c>
      <c r="N116" s="9">
        <f t="shared" si="228"/>
        <v>1</v>
      </c>
      <c r="O116" s="9">
        <f t="shared" si="228"/>
        <v>1</v>
      </c>
      <c r="P116" s="9">
        <f t="shared" si="228"/>
        <v>1</v>
      </c>
      <c r="Q116" s="9">
        <f t="shared" si="228"/>
        <v>1</v>
      </c>
      <c r="R116" s="9">
        <f t="shared" si="228"/>
        <v>1</v>
      </c>
      <c r="S116" s="9">
        <f t="shared" si="228"/>
        <v>1</v>
      </c>
      <c r="T116" s="9">
        <f t="shared" si="228"/>
        <v>1</v>
      </c>
      <c r="U116" s="9">
        <f t="shared" si="228"/>
        <v>1</v>
      </c>
      <c r="V116" s="9">
        <f t="shared" si="228"/>
        <v>1</v>
      </c>
      <c r="W116" s="9">
        <f t="shared" si="228"/>
        <v>1</v>
      </c>
      <c r="X116" s="9">
        <f t="shared" si="228"/>
        <v>1</v>
      </c>
      <c r="Y116" s="9">
        <f t="shared" si="228"/>
        <v>1</v>
      </c>
      <c r="Z116" s="9">
        <f t="shared" si="228"/>
        <v>1</v>
      </c>
      <c r="AA116" s="9">
        <f t="shared" si="228"/>
        <v>1</v>
      </c>
      <c r="AB116" s="9">
        <f t="shared" si="228"/>
        <v>1</v>
      </c>
      <c r="AC116" s="9">
        <f t="shared" si="228"/>
        <v>1</v>
      </c>
      <c r="AD116" s="9">
        <f t="shared" si="228"/>
        <v>1</v>
      </c>
      <c r="AE116" s="9">
        <f t="shared" si="228"/>
        <v>1</v>
      </c>
      <c r="AF116" s="9">
        <f t="shared" si="228"/>
        <v>1</v>
      </c>
      <c r="AG116" s="9">
        <f t="shared" si="228"/>
        <v>1</v>
      </c>
      <c r="AH116" s="9">
        <f t="shared" si="228"/>
        <v>1</v>
      </c>
      <c r="AI116" s="9">
        <f t="shared" si="228"/>
        <v>1</v>
      </c>
      <c r="AJ116" s="9">
        <f t="shared" si="228"/>
        <v>1</v>
      </c>
      <c r="AK116" s="9">
        <f t="shared" si="228"/>
        <v>1</v>
      </c>
      <c r="AL116" s="9">
        <f t="shared" si="228"/>
        <v>1</v>
      </c>
      <c r="AM116" s="9">
        <f t="shared" si="228"/>
        <v>1</v>
      </c>
      <c r="AN116" s="9">
        <f t="shared" si="228"/>
        <v>1</v>
      </c>
      <c r="AO116" s="9">
        <f t="shared" si="228"/>
        <v>1</v>
      </c>
      <c r="AP116" s="9">
        <f t="shared" si="228"/>
        <v>1</v>
      </c>
      <c r="AQ116" s="9">
        <f t="shared" si="228"/>
        <v>1</v>
      </c>
      <c r="AR116" s="9">
        <f t="shared" si="228"/>
        <v>1</v>
      </c>
      <c r="AS116" s="9">
        <f t="shared" si="228"/>
        <v>1</v>
      </c>
      <c r="AT116" s="9">
        <f t="shared" si="228"/>
        <v>1</v>
      </c>
      <c r="AU116" s="9">
        <f t="shared" si="228"/>
        <v>1</v>
      </c>
      <c r="AV116" s="9">
        <f t="shared" si="228"/>
        <v>1</v>
      </c>
      <c r="AW116" s="9">
        <f t="shared" si="228"/>
        <v>1</v>
      </c>
      <c r="AX116" s="9">
        <f t="shared" si="228"/>
        <v>1</v>
      </c>
      <c r="AY116" s="9">
        <f t="shared" si="228"/>
        <v>1</v>
      </c>
      <c r="AZ116" s="9">
        <f t="shared" si="228"/>
        <v>1</v>
      </c>
      <c r="BA116" s="9">
        <f t="shared" si="228"/>
        <v>1</v>
      </c>
      <c r="BB116" s="9">
        <f t="shared" si="228"/>
        <v>1</v>
      </c>
      <c r="BC116" s="9">
        <f t="shared" si="228"/>
        <v>1</v>
      </c>
      <c r="BD116" s="9">
        <f t="shared" si="228"/>
        <v>1</v>
      </c>
      <c r="BE116" s="9">
        <f t="shared" si="228"/>
        <v>1</v>
      </c>
      <c r="BF116" s="9">
        <f t="shared" si="228"/>
        <v>1</v>
      </c>
      <c r="BG116" s="9">
        <f t="shared" si="228"/>
        <v>1</v>
      </c>
      <c r="BH116" s="9">
        <f t="shared" si="228"/>
        <v>1</v>
      </c>
      <c r="BI116" s="9">
        <f t="shared" si="228"/>
        <v>1</v>
      </c>
      <c r="BJ116" s="9">
        <f t="shared" si="228"/>
        <v>1</v>
      </c>
      <c r="BK116" s="9">
        <f t="shared" si="228"/>
        <v>1</v>
      </c>
      <c r="BL116" s="9">
        <f t="shared" si="228"/>
        <v>1</v>
      </c>
      <c r="BM116" s="9">
        <f t="shared" si="228"/>
        <v>1</v>
      </c>
      <c r="BN116" s="9">
        <f t="shared" si="228"/>
        <v>1</v>
      </c>
      <c r="BO116" s="9">
        <f t="shared" si="228"/>
        <v>1</v>
      </c>
      <c r="BP116" s="9">
        <f t="shared" si="228"/>
        <v>1</v>
      </c>
      <c r="BQ116" s="9">
        <f t="shared" si="228"/>
        <v>1</v>
      </c>
      <c r="BR116" s="9">
        <f t="shared" si="228"/>
        <v>1</v>
      </c>
      <c r="BS116" s="9">
        <f t="shared" ref="BS116:ED116" si="229">IF(OR(BT24 = "", BT$8 &lt; BS$8), "", 1)</f>
        <v>1</v>
      </c>
      <c r="BT116" s="9">
        <f t="shared" si="229"/>
        <v>1</v>
      </c>
      <c r="BU116" s="9">
        <f t="shared" si="229"/>
        <v>1</v>
      </c>
      <c r="BV116" s="9">
        <f t="shared" si="229"/>
        <v>1</v>
      </c>
      <c r="BW116" s="9">
        <f t="shared" si="229"/>
        <v>1</v>
      </c>
      <c r="BX116" s="9">
        <f t="shared" si="229"/>
        <v>1</v>
      </c>
      <c r="BY116" s="9">
        <f t="shared" si="229"/>
        <v>1</v>
      </c>
      <c r="BZ116" s="9">
        <f t="shared" si="229"/>
        <v>1</v>
      </c>
      <c r="CA116" s="9">
        <f t="shared" si="229"/>
        <v>1</v>
      </c>
      <c r="CB116" s="9">
        <f t="shared" si="229"/>
        <v>1</v>
      </c>
      <c r="CC116" s="9">
        <f t="shared" si="229"/>
        <v>1</v>
      </c>
      <c r="CD116" s="9">
        <f t="shared" si="229"/>
        <v>1</v>
      </c>
      <c r="CE116" s="9">
        <f t="shared" si="229"/>
        <v>1</v>
      </c>
      <c r="CF116" s="9">
        <f t="shared" si="229"/>
        <v>1</v>
      </c>
      <c r="CG116" s="9">
        <f t="shared" si="229"/>
        <v>1</v>
      </c>
      <c r="CH116" s="9" t="str">
        <f t="shared" si="229"/>
        <v/>
      </c>
      <c r="CI116" s="9" t="str">
        <f t="shared" si="229"/>
        <v/>
      </c>
      <c r="CJ116" s="9" t="str">
        <f t="shared" si="229"/>
        <v/>
      </c>
      <c r="CK116" s="9" t="str">
        <f t="shared" si="229"/>
        <v/>
      </c>
      <c r="CL116" s="9" t="str">
        <f t="shared" si="229"/>
        <v/>
      </c>
      <c r="CM116" s="9" t="str">
        <f t="shared" si="229"/>
        <v/>
      </c>
      <c r="CN116" s="9" t="str">
        <f t="shared" si="229"/>
        <v/>
      </c>
      <c r="CO116" s="9" t="str">
        <f t="shared" si="229"/>
        <v/>
      </c>
      <c r="CP116" s="9" t="str">
        <f t="shared" si="229"/>
        <v/>
      </c>
      <c r="CQ116" s="9" t="str">
        <f t="shared" si="229"/>
        <v/>
      </c>
      <c r="CR116" s="9" t="str">
        <f t="shared" si="229"/>
        <v/>
      </c>
      <c r="CS116" s="9" t="str">
        <f t="shared" si="229"/>
        <v/>
      </c>
      <c r="CT116" s="9" t="str">
        <f t="shared" si="229"/>
        <v/>
      </c>
      <c r="CU116" s="9" t="str">
        <f t="shared" si="229"/>
        <v/>
      </c>
      <c r="CV116" s="9" t="str">
        <f t="shared" si="229"/>
        <v/>
      </c>
      <c r="CW116" s="9" t="str">
        <f t="shared" si="229"/>
        <v/>
      </c>
      <c r="CX116" s="9" t="str">
        <f t="shared" si="229"/>
        <v/>
      </c>
      <c r="CY116" s="9" t="str">
        <f t="shared" si="229"/>
        <v/>
      </c>
      <c r="CZ116" s="9" t="str">
        <f t="shared" si="229"/>
        <v/>
      </c>
      <c r="DA116" s="9" t="str">
        <f t="shared" si="229"/>
        <v/>
      </c>
      <c r="DB116" s="9" t="str">
        <f t="shared" si="229"/>
        <v/>
      </c>
      <c r="DC116" s="9" t="str">
        <f t="shared" si="229"/>
        <v/>
      </c>
      <c r="DD116" s="9" t="str">
        <f t="shared" si="229"/>
        <v/>
      </c>
      <c r="DE116" s="9" t="str">
        <f t="shared" si="229"/>
        <v/>
      </c>
      <c r="DF116" s="9" t="str">
        <f t="shared" si="229"/>
        <v/>
      </c>
      <c r="DG116" s="9" t="str">
        <f t="shared" si="229"/>
        <v/>
      </c>
      <c r="DH116" s="9" t="str">
        <f t="shared" si="229"/>
        <v/>
      </c>
      <c r="DI116" s="9" t="str">
        <f t="shared" si="229"/>
        <v/>
      </c>
      <c r="DJ116" s="9" t="str">
        <f t="shared" si="229"/>
        <v/>
      </c>
      <c r="DK116" s="9" t="str">
        <f t="shared" si="229"/>
        <v/>
      </c>
      <c r="DL116" s="9" t="str">
        <f t="shared" si="229"/>
        <v/>
      </c>
      <c r="DM116" s="9" t="str">
        <f t="shared" si="229"/>
        <v/>
      </c>
      <c r="DN116" s="9" t="str">
        <f t="shared" si="229"/>
        <v/>
      </c>
      <c r="DO116" s="9" t="str">
        <f t="shared" si="229"/>
        <v/>
      </c>
      <c r="DP116" s="9" t="str">
        <f t="shared" si="229"/>
        <v/>
      </c>
      <c r="DQ116" s="9" t="str">
        <f t="shared" si="229"/>
        <v/>
      </c>
      <c r="DR116" s="9" t="str">
        <f t="shared" si="229"/>
        <v/>
      </c>
      <c r="DS116" s="9" t="str">
        <f t="shared" si="229"/>
        <v/>
      </c>
      <c r="DT116" s="9" t="str">
        <f t="shared" si="229"/>
        <v/>
      </c>
      <c r="DU116" s="9" t="str">
        <f t="shared" si="229"/>
        <v/>
      </c>
      <c r="DV116" s="9" t="str">
        <f t="shared" si="229"/>
        <v/>
      </c>
      <c r="DW116" s="9" t="str">
        <f t="shared" si="229"/>
        <v/>
      </c>
      <c r="DX116" s="9" t="str">
        <f t="shared" si="229"/>
        <v/>
      </c>
      <c r="DY116" s="9" t="str">
        <f t="shared" si="229"/>
        <v/>
      </c>
      <c r="DZ116" s="9" t="str">
        <f t="shared" si="229"/>
        <v/>
      </c>
      <c r="EA116" s="9" t="str">
        <f t="shared" si="229"/>
        <v/>
      </c>
      <c r="EB116" s="9">
        <f t="shared" si="229"/>
        <v>1</v>
      </c>
      <c r="EC116" s="9">
        <f t="shared" si="229"/>
        <v>1</v>
      </c>
      <c r="ED116" s="9">
        <f t="shared" si="229"/>
        <v>1</v>
      </c>
      <c r="EE116" s="9">
        <f t="shared" ref="EE116:GP116" si="230">IF(OR(EF24 = "", EF$8 &lt; EE$8), "", 1)</f>
        <v>1</v>
      </c>
      <c r="EF116" s="9">
        <f t="shared" si="230"/>
        <v>1</v>
      </c>
      <c r="EG116" s="9">
        <f t="shared" si="230"/>
        <v>1</v>
      </c>
      <c r="EH116" s="9">
        <f t="shared" si="230"/>
        <v>1</v>
      </c>
      <c r="EI116" s="9">
        <f t="shared" si="230"/>
        <v>1</v>
      </c>
      <c r="EJ116" s="9">
        <f t="shared" si="230"/>
        <v>1</v>
      </c>
      <c r="EK116" s="9">
        <f t="shared" si="230"/>
        <v>1</v>
      </c>
      <c r="EL116" s="9">
        <f t="shared" si="230"/>
        <v>1</v>
      </c>
      <c r="EM116" s="9">
        <f t="shared" si="230"/>
        <v>1</v>
      </c>
      <c r="EN116" s="9">
        <f t="shared" si="230"/>
        <v>1</v>
      </c>
      <c r="EO116" s="9">
        <f t="shared" si="230"/>
        <v>1</v>
      </c>
      <c r="EP116" s="9">
        <f t="shared" si="230"/>
        <v>1</v>
      </c>
      <c r="EQ116" s="9">
        <f t="shared" si="230"/>
        <v>1</v>
      </c>
      <c r="ER116" s="9">
        <f t="shared" si="230"/>
        <v>1</v>
      </c>
      <c r="ES116" s="9">
        <f t="shared" si="230"/>
        <v>1</v>
      </c>
      <c r="ET116" s="9">
        <f t="shared" si="230"/>
        <v>1</v>
      </c>
      <c r="EU116" s="9">
        <f t="shared" si="230"/>
        <v>1</v>
      </c>
      <c r="EV116" s="9">
        <f t="shared" si="230"/>
        <v>1</v>
      </c>
      <c r="EW116" s="9">
        <f t="shared" si="230"/>
        <v>1</v>
      </c>
      <c r="EX116" s="9">
        <f t="shared" si="230"/>
        <v>1</v>
      </c>
      <c r="EY116" s="9">
        <f t="shared" si="230"/>
        <v>1</v>
      </c>
      <c r="EZ116" s="9">
        <f t="shared" si="230"/>
        <v>1</v>
      </c>
      <c r="FA116" s="9">
        <f t="shared" si="230"/>
        <v>1</v>
      </c>
      <c r="FB116" s="9">
        <f t="shared" si="230"/>
        <v>1</v>
      </c>
      <c r="FC116" s="9">
        <f t="shared" si="230"/>
        <v>1</v>
      </c>
      <c r="FD116" s="9">
        <f t="shared" si="230"/>
        <v>1</v>
      </c>
      <c r="FE116" s="9">
        <f t="shared" si="230"/>
        <v>1</v>
      </c>
      <c r="FF116" s="9">
        <f t="shared" si="230"/>
        <v>1</v>
      </c>
      <c r="FG116" s="9">
        <f t="shared" si="230"/>
        <v>1</v>
      </c>
      <c r="FH116" s="9">
        <f t="shared" si="230"/>
        <v>1</v>
      </c>
      <c r="FI116" s="9">
        <f t="shared" si="230"/>
        <v>1</v>
      </c>
      <c r="FJ116" s="9">
        <f t="shared" si="230"/>
        <v>1</v>
      </c>
      <c r="FK116" s="9">
        <f t="shared" si="230"/>
        <v>1</v>
      </c>
      <c r="FL116" s="9">
        <f t="shared" si="230"/>
        <v>1</v>
      </c>
      <c r="FM116" s="9">
        <f t="shared" si="230"/>
        <v>1</v>
      </c>
      <c r="FN116" s="9">
        <f t="shared" si="230"/>
        <v>1</v>
      </c>
      <c r="FO116" s="9">
        <f t="shared" si="230"/>
        <v>1</v>
      </c>
      <c r="FP116" s="9">
        <f t="shared" si="230"/>
        <v>1</v>
      </c>
      <c r="FQ116" s="9">
        <f t="shared" si="230"/>
        <v>1</v>
      </c>
      <c r="FR116" s="9">
        <f t="shared" si="230"/>
        <v>1</v>
      </c>
      <c r="FS116" s="9">
        <f t="shared" si="230"/>
        <v>1</v>
      </c>
      <c r="FT116" s="9">
        <f t="shared" si="230"/>
        <v>1</v>
      </c>
      <c r="FU116" s="9">
        <f t="shared" si="230"/>
        <v>1</v>
      </c>
      <c r="FV116" s="9">
        <f t="shared" si="230"/>
        <v>1</v>
      </c>
      <c r="FW116" s="9">
        <f t="shared" si="230"/>
        <v>1</v>
      </c>
      <c r="FX116" s="9">
        <f t="shared" si="230"/>
        <v>1</v>
      </c>
      <c r="FY116" s="9">
        <f t="shared" si="230"/>
        <v>1</v>
      </c>
      <c r="FZ116" s="9">
        <f t="shared" si="230"/>
        <v>1</v>
      </c>
      <c r="GA116" s="9">
        <f t="shared" si="230"/>
        <v>1</v>
      </c>
      <c r="GB116" s="9">
        <f t="shared" si="230"/>
        <v>1</v>
      </c>
      <c r="GC116" s="9">
        <f t="shared" si="230"/>
        <v>1</v>
      </c>
      <c r="GD116" s="9">
        <f t="shared" si="230"/>
        <v>1</v>
      </c>
      <c r="GE116" s="9">
        <f t="shared" si="230"/>
        <v>1</v>
      </c>
      <c r="GF116" s="9">
        <f t="shared" si="230"/>
        <v>1</v>
      </c>
      <c r="GG116" s="9">
        <f t="shared" si="230"/>
        <v>1</v>
      </c>
      <c r="GH116" s="9">
        <f t="shared" si="230"/>
        <v>1</v>
      </c>
      <c r="GI116" s="9">
        <f t="shared" si="230"/>
        <v>1</v>
      </c>
      <c r="GJ116" s="9">
        <f t="shared" si="230"/>
        <v>1</v>
      </c>
      <c r="GK116" s="9">
        <f t="shared" si="230"/>
        <v>1</v>
      </c>
      <c r="GL116" s="9">
        <f t="shared" si="230"/>
        <v>1</v>
      </c>
      <c r="GM116" s="9">
        <f t="shared" si="230"/>
        <v>1</v>
      </c>
      <c r="GN116" s="9">
        <f t="shared" si="230"/>
        <v>1</v>
      </c>
      <c r="GO116" s="9">
        <f t="shared" si="230"/>
        <v>1</v>
      </c>
      <c r="GP116" s="9">
        <f t="shared" si="230"/>
        <v>1</v>
      </c>
      <c r="GQ116" s="9">
        <f t="shared" ref="GQ116:IV116" si="231">IF(OR(GR24 = "", GR$8 &lt; GQ$8), "", 1)</f>
        <v>1</v>
      </c>
      <c r="GR116" s="9">
        <f t="shared" si="231"/>
        <v>1</v>
      </c>
      <c r="GS116" s="9">
        <f t="shared" si="231"/>
        <v>1</v>
      </c>
      <c r="GT116" s="9">
        <f t="shared" si="231"/>
        <v>1</v>
      </c>
      <c r="GU116" s="9">
        <f t="shared" si="231"/>
        <v>1</v>
      </c>
      <c r="GV116" s="9">
        <f t="shared" si="231"/>
        <v>1</v>
      </c>
      <c r="GW116" s="9">
        <f t="shared" si="231"/>
        <v>1</v>
      </c>
      <c r="GX116" s="9">
        <f t="shared" si="231"/>
        <v>1</v>
      </c>
      <c r="GY116" s="9">
        <f t="shared" si="231"/>
        <v>1</v>
      </c>
      <c r="GZ116" s="9">
        <f t="shared" si="231"/>
        <v>1</v>
      </c>
      <c r="HA116" s="9">
        <f t="shared" si="231"/>
        <v>1</v>
      </c>
      <c r="HB116" s="9">
        <f t="shared" si="231"/>
        <v>1</v>
      </c>
      <c r="HC116" s="9" t="str">
        <f t="shared" si="231"/>
        <v/>
      </c>
      <c r="HD116" s="9" t="str">
        <f t="shared" si="231"/>
        <v/>
      </c>
      <c r="HE116" s="9" t="str">
        <f t="shared" si="231"/>
        <v/>
      </c>
      <c r="HF116" s="9" t="str">
        <f t="shared" si="231"/>
        <v/>
      </c>
      <c r="HG116" s="9" t="str">
        <f t="shared" si="231"/>
        <v/>
      </c>
      <c r="HH116" s="9" t="str">
        <f t="shared" si="231"/>
        <v/>
      </c>
      <c r="HI116" s="9" t="str">
        <f t="shared" si="231"/>
        <v/>
      </c>
      <c r="HJ116" s="9" t="str">
        <f t="shared" si="231"/>
        <v/>
      </c>
      <c r="HK116" s="9" t="str">
        <f t="shared" si="231"/>
        <v/>
      </c>
      <c r="HL116" s="9" t="str">
        <f t="shared" si="231"/>
        <v/>
      </c>
      <c r="HM116" s="9" t="str">
        <f t="shared" si="231"/>
        <v/>
      </c>
      <c r="HN116" s="9" t="str">
        <f t="shared" si="231"/>
        <v/>
      </c>
      <c r="HO116" s="9" t="str">
        <f t="shared" si="231"/>
        <v/>
      </c>
      <c r="HP116" s="9" t="str">
        <f t="shared" si="231"/>
        <v/>
      </c>
      <c r="HQ116" s="9" t="str">
        <f t="shared" si="231"/>
        <v/>
      </c>
      <c r="HR116" s="9" t="str">
        <f t="shared" si="231"/>
        <v/>
      </c>
      <c r="HS116" s="9" t="str">
        <f t="shared" si="231"/>
        <v/>
      </c>
      <c r="HT116" s="9" t="str">
        <f t="shared" si="231"/>
        <v/>
      </c>
      <c r="HU116" s="9" t="str">
        <f t="shared" si="231"/>
        <v/>
      </c>
      <c r="HV116" s="9" t="str">
        <f t="shared" si="231"/>
        <v/>
      </c>
      <c r="HW116" s="9" t="str">
        <f t="shared" si="231"/>
        <v/>
      </c>
      <c r="HX116" s="9" t="str">
        <f t="shared" si="231"/>
        <v/>
      </c>
      <c r="HY116" s="9" t="str">
        <f t="shared" si="231"/>
        <v/>
      </c>
      <c r="HZ116" s="9" t="str">
        <f t="shared" si="231"/>
        <v/>
      </c>
      <c r="IA116" s="9" t="str">
        <f t="shared" si="231"/>
        <v/>
      </c>
      <c r="IB116" s="9" t="str">
        <f t="shared" si="231"/>
        <v/>
      </c>
      <c r="IC116" s="9" t="str">
        <f t="shared" si="231"/>
        <v/>
      </c>
      <c r="ID116" s="9" t="str">
        <f t="shared" si="231"/>
        <v/>
      </c>
      <c r="IE116" s="9" t="str">
        <f t="shared" si="231"/>
        <v/>
      </c>
      <c r="IF116" s="9" t="str">
        <f t="shared" si="231"/>
        <v/>
      </c>
      <c r="IG116" s="9" t="str">
        <f t="shared" si="231"/>
        <v/>
      </c>
      <c r="IH116" s="9" t="str">
        <f t="shared" si="231"/>
        <v/>
      </c>
      <c r="II116" s="9" t="str">
        <f t="shared" si="231"/>
        <v/>
      </c>
      <c r="IJ116" s="9" t="str">
        <f t="shared" si="231"/>
        <v/>
      </c>
      <c r="IK116" s="9" t="str">
        <f t="shared" si="231"/>
        <v/>
      </c>
      <c r="IL116" s="9" t="str">
        <f t="shared" si="231"/>
        <v/>
      </c>
      <c r="IM116" s="9" t="str">
        <f t="shared" si="231"/>
        <v/>
      </c>
      <c r="IN116" s="9" t="str">
        <f t="shared" si="231"/>
        <v/>
      </c>
      <c r="IO116" s="9" t="str">
        <f t="shared" si="231"/>
        <v/>
      </c>
      <c r="IP116" s="9" t="str">
        <f t="shared" si="231"/>
        <v/>
      </c>
      <c r="IQ116" s="9" t="str">
        <f t="shared" si="231"/>
        <v/>
      </c>
      <c r="IR116" s="9" t="str">
        <f t="shared" si="231"/>
        <v/>
      </c>
      <c r="IS116" s="9" t="str">
        <f t="shared" si="231"/>
        <v/>
      </c>
      <c r="IT116" s="9" t="str">
        <f t="shared" si="231"/>
        <v/>
      </c>
      <c r="IU116" s="9" t="str">
        <f t="shared" si="231"/>
        <v/>
      </c>
      <c r="IV116" s="9" t="str">
        <f t="shared" si="231"/>
        <v/>
      </c>
    </row>
    <row r="117" spans="6:256" x14ac:dyDescent="0.2">
      <c r="F117">
        <v>201803</v>
      </c>
      <c r="G117" s="9">
        <f t="shared" ref="G117:BR117" si="232">IF(OR(H25 = "", H$8 &lt; G$8), "", 1)</f>
        <v>1</v>
      </c>
      <c r="H117" s="9">
        <f t="shared" si="232"/>
        <v>1</v>
      </c>
      <c r="I117" s="9">
        <f t="shared" si="232"/>
        <v>1</v>
      </c>
      <c r="J117" s="9">
        <f t="shared" si="232"/>
        <v>1</v>
      </c>
      <c r="K117" s="9">
        <f t="shared" si="232"/>
        <v>1</v>
      </c>
      <c r="L117" s="9">
        <f t="shared" si="232"/>
        <v>1</v>
      </c>
      <c r="M117" s="9">
        <f t="shared" si="232"/>
        <v>1</v>
      </c>
      <c r="N117" s="9">
        <f t="shared" si="232"/>
        <v>1</v>
      </c>
      <c r="O117" s="9">
        <f t="shared" si="232"/>
        <v>1</v>
      </c>
      <c r="P117" s="9">
        <f t="shared" si="232"/>
        <v>1</v>
      </c>
      <c r="Q117" s="9">
        <f t="shared" si="232"/>
        <v>1</v>
      </c>
      <c r="R117" s="9">
        <f t="shared" si="232"/>
        <v>1</v>
      </c>
      <c r="S117" s="9">
        <f t="shared" si="232"/>
        <v>1</v>
      </c>
      <c r="T117" s="9">
        <f t="shared" si="232"/>
        <v>1</v>
      </c>
      <c r="U117" s="9">
        <f t="shared" si="232"/>
        <v>1</v>
      </c>
      <c r="V117" s="9">
        <f t="shared" si="232"/>
        <v>1</v>
      </c>
      <c r="W117" s="9">
        <f t="shared" si="232"/>
        <v>1</v>
      </c>
      <c r="X117" s="9">
        <f t="shared" si="232"/>
        <v>1</v>
      </c>
      <c r="Y117" s="9">
        <f t="shared" si="232"/>
        <v>1</v>
      </c>
      <c r="Z117" s="9">
        <f t="shared" si="232"/>
        <v>1</v>
      </c>
      <c r="AA117" s="9">
        <f t="shared" si="232"/>
        <v>1</v>
      </c>
      <c r="AB117" s="9">
        <f t="shared" si="232"/>
        <v>1</v>
      </c>
      <c r="AC117" s="9">
        <f t="shared" si="232"/>
        <v>1</v>
      </c>
      <c r="AD117" s="9">
        <f t="shared" si="232"/>
        <v>1</v>
      </c>
      <c r="AE117" s="9">
        <f t="shared" si="232"/>
        <v>1</v>
      </c>
      <c r="AF117" s="9">
        <f t="shared" si="232"/>
        <v>1</v>
      </c>
      <c r="AG117" s="9">
        <f t="shared" si="232"/>
        <v>1</v>
      </c>
      <c r="AH117" s="9">
        <f t="shared" si="232"/>
        <v>1</v>
      </c>
      <c r="AI117" s="9">
        <f t="shared" si="232"/>
        <v>1</v>
      </c>
      <c r="AJ117" s="9">
        <f t="shared" si="232"/>
        <v>1</v>
      </c>
      <c r="AK117" s="9">
        <f t="shared" si="232"/>
        <v>1</v>
      </c>
      <c r="AL117" s="9">
        <f t="shared" si="232"/>
        <v>1</v>
      </c>
      <c r="AM117" s="9">
        <f t="shared" si="232"/>
        <v>1</v>
      </c>
      <c r="AN117" s="9">
        <f t="shared" si="232"/>
        <v>1</v>
      </c>
      <c r="AO117" s="9">
        <f t="shared" si="232"/>
        <v>1</v>
      </c>
      <c r="AP117" s="9">
        <f t="shared" si="232"/>
        <v>1</v>
      </c>
      <c r="AQ117" s="9">
        <f t="shared" si="232"/>
        <v>1</v>
      </c>
      <c r="AR117" s="9">
        <f t="shared" si="232"/>
        <v>1</v>
      </c>
      <c r="AS117" s="9">
        <f t="shared" si="232"/>
        <v>1</v>
      </c>
      <c r="AT117" s="9">
        <f t="shared" si="232"/>
        <v>1</v>
      </c>
      <c r="AU117" s="9">
        <f t="shared" si="232"/>
        <v>1</v>
      </c>
      <c r="AV117" s="9">
        <f t="shared" si="232"/>
        <v>1</v>
      </c>
      <c r="AW117" s="9">
        <f t="shared" si="232"/>
        <v>1</v>
      </c>
      <c r="AX117" s="9">
        <f t="shared" si="232"/>
        <v>1</v>
      </c>
      <c r="AY117" s="9">
        <f t="shared" si="232"/>
        <v>1</v>
      </c>
      <c r="AZ117" s="9">
        <f t="shared" si="232"/>
        <v>1</v>
      </c>
      <c r="BA117" s="9">
        <f t="shared" si="232"/>
        <v>1</v>
      </c>
      <c r="BB117" s="9">
        <f t="shared" si="232"/>
        <v>1</v>
      </c>
      <c r="BC117" s="9">
        <f t="shared" si="232"/>
        <v>1</v>
      </c>
      <c r="BD117" s="9">
        <f t="shared" si="232"/>
        <v>1</v>
      </c>
      <c r="BE117" s="9">
        <f t="shared" si="232"/>
        <v>1</v>
      </c>
      <c r="BF117" s="9">
        <f t="shared" si="232"/>
        <v>1</v>
      </c>
      <c r="BG117" s="9">
        <f t="shared" si="232"/>
        <v>1</v>
      </c>
      <c r="BH117" s="9">
        <f t="shared" si="232"/>
        <v>1</v>
      </c>
      <c r="BI117" s="9">
        <f t="shared" si="232"/>
        <v>1</v>
      </c>
      <c r="BJ117" s="9">
        <f t="shared" si="232"/>
        <v>1</v>
      </c>
      <c r="BK117" s="9">
        <f t="shared" si="232"/>
        <v>1</v>
      </c>
      <c r="BL117" s="9">
        <f t="shared" si="232"/>
        <v>1</v>
      </c>
      <c r="BM117" s="9">
        <f t="shared" si="232"/>
        <v>1</v>
      </c>
      <c r="BN117" s="9">
        <f t="shared" si="232"/>
        <v>1</v>
      </c>
      <c r="BO117" s="9">
        <f t="shared" si="232"/>
        <v>1</v>
      </c>
      <c r="BP117" s="9">
        <f t="shared" si="232"/>
        <v>1</v>
      </c>
      <c r="BQ117" s="9">
        <f t="shared" si="232"/>
        <v>1</v>
      </c>
      <c r="BR117" s="9">
        <f t="shared" si="232"/>
        <v>1</v>
      </c>
      <c r="BS117" s="9">
        <f t="shared" ref="BS117:ED117" si="233">IF(OR(BT25 = "", BT$8 &lt; BS$8), "", 1)</f>
        <v>1</v>
      </c>
      <c r="BT117" s="9">
        <f t="shared" si="233"/>
        <v>1</v>
      </c>
      <c r="BU117" s="9">
        <f t="shared" si="233"/>
        <v>1</v>
      </c>
      <c r="BV117" s="9">
        <f t="shared" si="233"/>
        <v>1</v>
      </c>
      <c r="BW117" s="9">
        <f t="shared" si="233"/>
        <v>1</v>
      </c>
      <c r="BX117" s="9">
        <f t="shared" si="233"/>
        <v>1</v>
      </c>
      <c r="BY117" s="9">
        <f t="shared" si="233"/>
        <v>1</v>
      </c>
      <c r="BZ117" s="9">
        <f t="shared" si="233"/>
        <v>1</v>
      </c>
      <c r="CA117" s="9">
        <f t="shared" si="233"/>
        <v>1</v>
      </c>
      <c r="CB117" s="9">
        <f t="shared" si="233"/>
        <v>1</v>
      </c>
      <c r="CC117" s="9">
        <f t="shared" si="233"/>
        <v>1</v>
      </c>
      <c r="CD117" s="9">
        <f t="shared" si="233"/>
        <v>1</v>
      </c>
      <c r="CE117" s="9" t="str">
        <f t="shared" si="233"/>
        <v/>
      </c>
      <c r="CF117" s="9" t="str">
        <f t="shared" si="233"/>
        <v/>
      </c>
      <c r="CG117" s="9" t="str">
        <f t="shared" si="233"/>
        <v/>
      </c>
      <c r="CH117" s="9" t="str">
        <f t="shared" si="233"/>
        <v/>
      </c>
      <c r="CI117" s="9" t="str">
        <f t="shared" si="233"/>
        <v/>
      </c>
      <c r="CJ117" s="9" t="str">
        <f t="shared" si="233"/>
        <v/>
      </c>
      <c r="CK117" s="9" t="str">
        <f t="shared" si="233"/>
        <v/>
      </c>
      <c r="CL117" s="9" t="str">
        <f t="shared" si="233"/>
        <v/>
      </c>
      <c r="CM117" s="9" t="str">
        <f t="shared" si="233"/>
        <v/>
      </c>
      <c r="CN117" s="9" t="str">
        <f t="shared" si="233"/>
        <v/>
      </c>
      <c r="CO117" s="9" t="str">
        <f t="shared" si="233"/>
        <v/>
      </c>
      <c r="CP117" s="9" t="str">
        <f t="shared" si="233"/>
        <v/>
      </c>
      <c r="CQ117" s="9" t="str">
        <f t="shared" si="233"/>
        <v/>
      </c>
      <c r="CR117" s="9" t="str">
        <f t="shared" si="233"/>
        <v/>
      </c>
      <c r="CS117" s="9" t="str">
        <f t="shared" si="233"/>
        <v/>
      </c>
      <c r="CT117" s="9" t="str">
        <f t="shared" si="233"/>
        <v/>
      </c>
      <c r="CU117" s="9" t="str">
        <f t="shared" si="233"/>
        <v/>
      </c>
      <c r="CV117" s="9" t="str">
        <f t="shared" si="233"/>
        <v/>
      </c>
      <c r="CW117" s="9" t="str">
        <f t="shared" si="233"/>
        <v/>
      </c>
      <c r="CX117" s="9" t="str">
        <f t="shared" si="233"/>
        <v/>
      </c>
      <c r="CY117" s="9" t="str">
        <f t="shared" si="233"/>
        <v/>
      </c>
      <c r="CZ117" s="9" t="str">
        <f t="shared" si="233"/>
        <v/>
      </c>
      <c r="DA117" s="9" t="str">
        <f t="shared" si="233"/>
        <v/>
      </c>
      <c r="DB117" s="9" t="str">
        <f t="shared" si="233"/>
        <v/>
      </c>
      <c r="DC117" s="9" t="str">
        <f t="shared" si="233"/>
        <v/>
      </c>
      <c r="DD117" s="9" t="str">
        <f t="shared" si="233"/>
        <v/>
      </c>
      <c r="DE117" s="9" t="str">
        <f t="shared" si="233"/>
        <v/>
      </c>
      <c r="DF117" s="9" t="str">
        <f t="shared" si="233"/>
        <v/>
      </c>
      <c r="DG117" s="9" t="str">
        <f t="shared" si="233"/>
        <v/>
      </c>
      <c r="DH117" s="9" t="str">
        <f t="shared" si="233"/>
        <v/>
      </c>
      <c r="DI117" s="9" t="str">
        <f t="shared" si="233"/>
        <v/>
      </c>
      <c r="DJ117" s="9" t="str">
        <f t="shared" si="233"/>
        <v/>
      </c>
      <c r="DK117" s="9" t="str">
        <f t="shared" si="233"/>
        <v/>
      </c>
      <c r="DL117" s="9" t="str">
        <f t="shared" si="233"/>
        <v/>
      </c>
      <c r="DM117" s="9" t="str">
        <f t="shared" si="233"/>
        <v/>
      </c>
      <c r="DN117" s="9" t="str">
        <f t="shared" si="233"/>
        <v/>
      </c>
      <c r="DO117" s="9" t="str">
        <f t="shared" si="233"/>
        <v/>
      </c>
      <c r="DP117" s="9" t="str">
        <f t="shared" si="233"/>
        <v/>
      </c>
      <c r="DQ117" s="9" t="str">
        <f t="shared" si="233"/>
        <v/>
      </c>
      <c r="DR117" s="9" t="str">
        <f t="shared" si="233"/>
        <v/>
      </c>
      <c r="DS117" s="9" t="str">
        <f t="shared" si="233"/>
        <v/>
      </c>
      <c r="DT117" s="9" t="str">
        <f t="shared" si="233"/>
        <v/>
      </c>
      <c r="DU117" s="9" t="str">
        <f t="shared" si="233"/>
        <v/>
      </c>
      <c r="DV117" s="9" t="str">
        <f t="shared" si="233"/>
        <v/>
      </c>
      <c r="DW117" s="9" t="str">
        <f t="shared" si="233"/>
        <v/>
      </c>
      <c r="DX117" s="9" t="str">
        <f t="shared" si="233"/>
        <v/>
      </c>
      <c r="DY117" s="9" t="str">
        <f t="shared" si="233"/>
        <v/>
      </c>
      <c r="DZ117" s="9" t="str">
        <f t="shared" si="233"/>
        <v/>
      </c>
      <c r="EA117" s="9" t="str">
        <f t="shared" si="233"/>
        <v/>
      </c>
      <c r="EB117" s="9">
        <f t="shared" si="233"/>
        <v>1</v>
      </c>
      <c r="EC117" s="9">
        <f t="shared" si="233"/>
        <v>1</v>
      </c>
      <c r="ED117" s="9">
        <f t="shared" si="233"/>
        <v>1</v>
      </c>
      <c r="EE117" s="9">
        <f t="shared" ref="EE117:GP117" si="234">IF(OR(EF25 = "", EF$8 &lt; EE$8), "", 1)</f>
        <v>1</v>
      </c>
      <c r="EF117" s="9">
        <f t="shared" si="234"/>
        <v>1</v>
      </c>
      <c r="EG117" s="9">
        <f t="shared" si="234"/>
        <v>1</v>
      </c>
      <c r="EH117" s="9">
        <f t="shared" si="234"/>
        <v>1</v>
      </c>
      <c r="EI117" s="9">
        <f t="shared" si="234"/>
        <v>1</v>
      </c>
      <c r="EJ117" s="9">
        <f t="shared" si="234"/>
        <v>1</v>
      </c>
      <c r="EK117" s="9">
        <f t="shared" si="234"/>
        <v>1</v>
      </c>
      <c r="EL117" s="9">
        <f t="shared" si="234"/>
        <v>1</v>
      </c>
      <c r="EM117" s="9">
        <f t="shared" si="234"/>
        <v>1</v>
      </c>
      <c r="EN117" s="9">
        <f t="shared" si="234"/>
        <v>1</v>
      </c>
      <c r="EO117" s="9">
        <f t="shared" si="234"/>
        <v>1</v>
      </c>
      <c r="EP117" s="9">
        <f t="shared" si="234"/>
        <v>1</v>
      </c>
      <c r="EQ117" s="9">
        <f t="shared" si="234"/>
        <v>1</v>
      </c>
      <c r="ER117" s="9">
        <f t="shared" si="234"/>
        <v>1</v>
      </c>
      <c r="ES117" s="9">
        <f t="shared" si="234"/>
        <v>1</v>
      </c>
      <c r="ET117" s="9">
        <f t="shared" si="234"/>
        <v>1</v>
      </c>
      <c r="EU117" s="9">
        <f t="shared" si="234"/>
        <v>1</v>
      </c>
      <c r="EV117" s="9">
        <f t="shared" si="234"/>
        <v>1</v>
      </c>
      <c r="EW117" s="9">
        <f t="shared" si="234"/>
        <v>1</v>
      </c>
      <c r="EX117" s="9">
        <f t="shared" si="234"/>
        <v>1</v>
      </c>
      <c r="EY117" s="9">
        <f t="shared" si="234"/>
        <v>1</v>
      </c>
      <c r="EZ117" s="9">
        <f t="shared" si="234"/>
        <v>1</v>
      </c>
      <c r="FA117" s="9">
        <f t="shared" si="234"/>
        <v>1</v>
      </c>
      <c r="FB117" s="9">
        <f t="shared" si="234"/>
        <v>1</v>
      </c>
      <c r="FC117" s="9">
        <f t="shared" si="234"/>
        <v>1</v>
      </c>
      <c r="FD117" s="9">
        <f t="shared" si="234"/>
        <v>1</v>
      </c>
      <c r="FE117" s="9">
        <f t="shared" si="234"/>
        <v>1</v>
      </c>
      <c r="FF117" s="9">
        <f t="shared" si="234"/>
        <v>1</v>
      </c>
      <c r="FG117" s="9">
        <f t="shared" si="234"/>
        <v>1</v>
      </c>
      <c r="FH117" s="9">
        <f t="shared" si="234"/>
        <v>1</v>
      </c>
      <c r="FI117" s="9">
        <f t="shared" si="234"/>
        <v>1</v>
      </c>
      <c r="FJ117" s="9">
        <f t="shared" si="234"/>
        <v>1</v>
      </c>
      <c r="FK117" s="9">
        <f t="shared" si="234"/>
        <v>1</v>
      </c>
      <c r="FL117" s="9">
        <f t="shared" si="234"/>
        <v>1</v>
      </c>
      <c r="FM117" s="9">
        <f t="shared" si="234"/>
        <v>1</v>
      </c>
      <c r="FN117" s="9">
        <f t="shared" si="234"/>
        <v>1</v>
      </c>
      <c r="FO117" s="9">
        <f t="shared" si="234"/>
        <v>1</v>
      </c>
      <c r="FP117" s="9">
        <f t="shared" si="234"/>
        <v>1</v>
      </c>
      <c r="FQ117" s="9">
        <f t="shared" si="234"/>
        <v>1</v>
      </c>
      <c r="FR117" s="9">
        <f t="shared" si="234"/>
        <v>1</v>
      </c>
      <c r="FS117" s="9">
        <f t="shared" si="234"/>
        <v>1</v>
      </c>
      <c r="FT117" s="9">
        <f t="shared" si="234"/>
        <v>1</v>
      </c>
      <c r="FU117" s="9">
        <f t="shared" si="234"/>
        <v>1</v>
      </c>
      <c r="FV117" s="9">
        <f t="shared" si="234"/>
        <v>1</v>
      </c>
      <c r="FW117" s="9">
        <f t="shared" si="234"/>
        <v>1</v>
      </c>
      <c r="FX117" s="9">
        <f t="shared" si="234"/>
        <v>1</v>
      </c>
      <c r="FY117" s="9">
        <f t="shared" si="234"/>
        <v>1</v>
      </c>
      <c r="FZ117" s="9">
        <f t="shared" si="234"/>
        <v>1</v>
      </c>
      <c r="GA117" s="9">
        <f t="shared" si="234"/>
        <v>1</v>
      </c>
      <c r="GB117" s="9">
        <f t="shared" si="234"/>
        <v>1</v>
      </c>
      <c r="GC117" s="9">
        <f t="shared" si="234"/>
        <v>1</v>
      </c>
      <c r="GD117" s="9">
        <f t="shared" si="234"/>
        <v>1</v>
      </c>
      <c r="GE117" s="9">
        <f t="shared" si="234"/>
        <v>1</v>
      </c>
      <c r="GF117" s="9">
        <f t="shared" si="234"/>
        <v>1</v>
      </c>
      <c r="GG117" s="9">
        <f t="shared" si="234"/>
        <v>1</v>
      </c>
      <c r="GH117" s="9">
        <f t="shared" si="234"/>
        <v>1</v>
      </c>
      <c r="GI117" s="9">
        <f t="shared" si="234"/>
        <v>1</v>
      </c>
      <c r="GJ117" s="9">
        <f t="shared" si="234"/>
        <v>1</v>
      </c>
      <c r="GK117" s="9">
        <f t="shared" si="234"/>
        <v>1</v>
      </c>
      <c r="GL117" s="9">
        <f t="shared" si="234"/>
        <v>1</v>
      </c>
      <c r="GM117" s="9">
        <f t="shared" si="234"/>
        <v>1</v>
      </c>
      <c r="GN117" s="9">
        <f t="shared" si="234"/>
        <v>1</v>
      </c>
      <c r="GO117" s="9">
        <f t="shared" si="234"/>
        <v>1</v>
      </c>
      <c r="GP117" s="9">
        <f t="shared" si="234"/>
        <v>1</v>
      </c>
      <c r="GQ117" s="9">
        <f t="shared" ref="GQ117:IV117" si="235">IF(OR(GR25 = "", GR$8 &lt; GQ$8), "", 1)</f>
        <v>1</v>
      </c>
      <c r="GR117" s="9">
        <f t="shared" si="235"/>
        <v>1</v>
      </c>
      <c r="GS117" s="9">
        <f t="shared" si="235"/>
        <v>1</v>
      </c>
      <c r="GT117" s="9">
        <f t="shared" si="235"/>
        <v>1</v>
      </c>
      <c r="GU117" s="9">
        <f t="shared" si="235"/>
        <v>1</v>
      </c>
      <c r="GV117" s="9">
        <f t="shared" si="235"/>
        <v>1</v>
      </c>
      <c r="GW117" s="9">
        <f t="shared" si="235"/>
        <v>1</v>
      </c>
      <c r="GX117" s="9">
        <f t="shared" si="235"/>
        <v>1</v>
      </c>
      <c r="GY117" s="9">
        <f t="shared" si="235"/>
        <v>1</v>
      </c>
      <c r="GZ117" s="9" t="str">
        <f t="shared" si="235"/>
        <v/>
      </c>
      <c r="HA117" s="9" t="str">
        <f t="shared" si="235"/>
        <v/>
      </c>
      <c r="HB117" s="9" t="str">
        <f t="shared" si="235"/>
        <v/>
      </c>
      <c r="HC117" s="9" t="str">
        <f t="shared" si="235"/>
        <v/>
      </c>
      <c r="HD117" s="9" t="str">
        <f t="shared" si="235"/>
        <v/>
      </c>
      <c r="HE117" s="9" t="str">
        <f t="shared" si="235"/>
        <v/>
      </c>
      <c r="HF117" s="9" t="str">
        <f t="shared" si="235"/>
        <v/>
      </c>
      <c r="HG117" s="9" t="str">
        <f t="shared" si="235"/>
        <v/>
      </c>
      <c r="HH117" s="9" t="str">
        <f t="shared" si="235"/>
        <v/>
      </c>
      <c r="HI117" s="9" t="str">
        <f t="shared" si="235"/>
        <v/>
      </c>
      <c r="HJ117" s="9" t="str">
        <f t="shared" si="235"/>
        <v/>
      </c>
      <c r="HK117" s="9" t="str">
        <f t="shared" si="235"/>
        <v/>
      </c>
      <c r="HL117" s="9" t="str">
        <f t="shared" si="235"/>
        <v/>
      </c>
      <c r="HM117" s="9" t="str">
        <f t="shared" si="235"/>
        <v/>
      </c>
      <c r="HN117" s="9" t="str">
        <f t="shared" si="235"/>
        <v/>
      </c>
      <c r="HO117" s="9" t="str">
        <f t="shared" si="235"/>
        <v/>
      </c>
      <c r="HP117" s="9" t="str">
        <f t="shared" si="235"/>
        <v/>
      </c>
      <c r="HQ117" s="9" t="str">
        <f t="shared" si="235"/>
        <v/>
      </c>
      <c r="HR117" s="9" t="str">
        <f t="shared" si="235"/>
        <v/>
      </c>
      <c r="HS117" s="9" t="str">
        <f t="shared" si="235"/>
        <v/>
      </c>
      <c r="HT117" s="9" t="str">
        <f t="shared" si="235"/>
        <v/>
      </c>
      <c r="HU117" s="9" t="str">
        <f t="shared" si="235"/>
        <v/>
      </c>
      <c r="HV117" s="9" t="str">
        <f t="shared" si="235"/>
        <v/>
      </c>
      <c r="HW117" s="9" t="str">
        <f t="shared" si="235"/>
        <v/>
      </c>
      <c r="HX117" s="9" t="str">
        <f t="shared" si="235"/>
        <v/>
      </c>
      <c r="HY117" s="9" t="str">
        <f t="shared" si="235"/>
        <v/>
      </c>
      <c r="HZ117" s="9" t="str">
        <f t="shared" si="235"/>
        <v/>
      </c>
      <c r="IA117" s="9" t="str">
        <f t="shared" si="235"/>
        <v/>
      </c>
      <c r="IB117" s="9" t="str">
        <f t="shared" si="235"/>
        <v/>
      </c>
      <c r="IC117" s="9" t="str">
        <f t="shared" si="235"/>
        <v/>
      </c>
      <c r="ID117" s="9" t="str">
        <f t="shared" si="235"/>
        <v/>
      </c>
      <c r="IE117" s="9" t="str">
        <f t="shared" si="235"/>
        <v/>
      </c>
      <c r="IF117" s="9" t="str">
        <f t="shared" si="235"/>
        <v/>
      </c>
      <c r="IG117" s="9" t="str">
        <f t="shared" si="235"/>
        <v/>
      </c>
      <c r="IH117" s="9" t="str">
        <f t="shared" si="235"/>
        <v/>
      </c>
      <c r="II117" s="9" t="str">
        <f t="shared" si="235"/>
        <v/>
      </c>
      <c r="IJ117" s="9" t="str">
        <f t="shared" si="235"/>
        <v/>
      </c>
      <c r="IK117" s="9" t="str">
        <f t="shared" si="235"/>
        <v/>
      </c>
      <c r="IL117" s="9" t="str">
        <f t="shared" si="235"/>
        <v/>
      </c>
      <c r="IM117" s="9" t="str">
        <f t="shared" si="235"/>
        <v/>
      </c>
      <c r="IN117" s="9" t="str">
        <f t="shared" si="235"/>
        <v/>
      </c>
      <c r="IO117" s="9" t="str">
        <f t="shared" si="235"/>
        <v/>
      </c>
      <c r="IP117" s="9" t="str">
        <f t="shared" si="235"/>
        <v/>
      </c>
      <c r="IQ117" s="9" t="str">
        <f t="shared" si="235"/>
        <v/>
      </c>
      <c r="IR117" s="9" t="str">
        <f t="shared" si="235"/>
        <v/>
      </c>
      <c r="IS117" s="9" t="str">
        <f t="shared" si="235"/>
        <v/>
      </c>
      <c r="IT117" s="9" t="str">
        <f t="shared" si="235"/>
        <v/>
      </c>
      <c r="IU117" s="9" t="str">
        <f t="shared" si="235"/>
        <v/>
      </c>
      <c r="IV117" s="9" t="str">
        <f t="shared" si="235"/>
        <v/>
      </c>
    </row>
    <row r="118" spans="6:256" x14ac:dyDescent="0.2">
      <c r="F118">
        <v>201806</v>
      </c>
      <c r="G118" s="9">
        <f t="shared" ref="G118:BR118" si="236">IF(OR(H26 = "", H$8 &lt; G$8), "", 1)</f>
        <v>1</v>
      </c>
      <c r="H118" s="9">
        <f t="shared" si="236"/>
        <v>1</v>
      </c>
      <c r="I118" s="9">
        <f t="shared" si="236"/>
        <v>1</v>
      </c>
      <c r="J118" s="9">
        <f t="shared" si="236"/>
        <v>1</v>
      </c>
      <c r="K118" s="9">
        <f t="shared" si="236"/>
        <v>1</v>
      </c>
      <c r="L118" s="9">
        <f t="shared" si="236"/>
        <v>1</v>
      </c>
      <c r="M118" s="9">
        <f t="shared" si="236"/>
        <v>1</v>
      </c>
      <c r="N118" s="9">
        <f t="shared" si="236"/>
        <v>1</v>
      </c>
      <c r="O118" s="9">
        <f t="shared" si="236"/>
        <v>1</v>
      </c>
      <c r="P118" s="9">
        <f t="shared" si="236"/>
        <v>1</v>
      </c>
      <c r="Q118" s="9">
        <f t="shared" si="236"/>
        <v>1</v>
      </c>
      <c r="R118" s="9">
        <f t="shared" si="236"/>
        <v>1</v>
      </c>
      <c r="S118" s="9">
        <f t="shared" si="236"/>
        <v>1</v>
      </c>
      <c r="T118" s="9">
        <f t="shared" si="236"/>
        <v>1</v>
      </c>
      <c r="U118" s="9">
        <f t="shared" si="236"/>
        <v>1</v>
      </c>
      <c r="V118" s="9">
        <f t="shared" si="236"/>
        <v>1</v>
      </c>
      <c r="W118" s="9">
        <f t="shared" si="236"/>
        <v>1</v>
      </c>
      <c r="X118" s="9">
        <f t="shared" si="236"/>
        <v>1</v>
      </c>
      <c r="Y118" s="9">
        <f t="shared" si="236"/>
        <v>1</v>
      </c>
      <c r="Z118" s="9">
        <f t="shared" si="236"/>
        <v>1</v>
      </c>
      <c r="AA118" s="9">
        <f t="shared" si="236"/>
        <v>1</v>
      </c>
      <c r="AB118" s="9">
        <f t="shared" si="236"/>
        <v>1</v>
      </c>
      <c r="AC118" s="9">
        <f t="shared" si="236"/>
        <v>1</v>
      </c>
      <c r="AD118" s="9">
        <f t="shared" si="236"/>
        <v>1</v>
      </c>
      <c r="AE118" s="9">
        <f t="shared" si="236"/>
        <v>1</v>
      </c>
      <c r="AF118" s="9">
        <f t="shared" si="236"/>
        <v>1</v>
      </c>
      <c r="AG118" s="9">
        <f t="shared" si="236"/>
        <v>1</v>
      </c>
      <c r="AH118" s="9">
        <f t="shared" si="236"/>
        <v>1</v>
      </c>
      <c r="AI118" s="9">
        <f t="shared" si="236"/>
        <v>1</v>
      </c>
      <c r="AJ118" s="9">
        <f t="shared" si="236"/>
        <v>1</v>
      </c>
      <c r="AK118" s="9">
        <f t="shared" si="236"/>
        <v>1</v>
      </c>
      <c r="AL118" s="9">
        <f t="shared" si="236"/>
        <v>1</v>
      </c>
      <c r="AM118" s="9">
        <f t="shared" si="236"/>
        <v>1</v>
      </c>
      <c r="AN118" s="9">
        <f t="shared" si="236"/>
        <v>1</v>
      </c>
      <c r="AO118" s="9">
        <f t="shared" si="236"/>
        <v>1</v>
      </c>
      <c r="AP118" s="9">
        <f t="shared" si="236"/>
        <v>1</v>
      </c>
      <c r="AQ118" s="9">
        <f t="shared" si="236"/>
        <v>1</v>
      </c>
      <c r="AR118" s="9">
        <f t="shared" si="236"/>
        <v>1</v>
      </c>
      <c r="AS118" s="9">
        <f t="shared" si="236"/>
        <v>1</v>
      </c>
      <c r="AT118" s="9">
        <f t="shared" si="236"/>
        <v>1</v>
      </c>
      <c r="AU118" s="9">
        <f t="shared" si="236"/>
        <v>1</v>
      </c>
      <c r="AV118" s="9">
        <f t="shared" si="236"/>
        <v>1</v>
      </c>
      <c r="AW118" s="9">
        <f t="shared" si="236"/>
        <v>1</v>
      </c>
      <c r="AX118" s="9">
        <f t="shared" si="236"/>
        <v>1</v>
      </c>
      <c r="AY118" s="9">
        <f t="shared" si="236"/>
        <v>1</v>
      </c>
      <c r="AZ118" s="9">
        <f t="shared" si="236"/>
        <v>1</v>
      </c>
      <c r="BA118" s="9">
        <f t="shared" si="236"/>
        <v>1</v>
      </c>
      <c r="BB118" s="9">
        <f t="shared" si="236"/>
        <v>1</v>
      </c>
      <c r="BC118" s="9">
        <f t="shared" si="236"/>
        <v>1</v>
      </c>
      <c r="BD118" s="9">
        <f t="shared" si="236"/>
        <v>1</v>
      </c>
      <c r="BE118" s="9">
        <f t="shared" si="236"/>
        <v>1</v>
      </c>
      <c r="BF118" s="9">
        <f t="shared" si="236"/>
        <v>1</v>
      </c>
      <c r="BG118" s="9">
        <f t="shared" si="236"/>
        <v>1</v>
      </c>
      <c r="BH118" s="9">
        <f t="shared" si="236"/>
        <v>1</v>
      </c>
      <c r="BI118" s="9">
        <f t="shared" si="236"/>
        <v>1</v>
      </c>
      <c r="BJ118" s="9">
        <f t="shared" si="236"/>
        <v>1</v>
      </c>
      <c r="BK118" s="9">
        <f t="shared" si="236"/>
        <v>1</v>
      </c>
      <c r="BL118" s="9">
        <f t="shared" si="236"/>
        <v>1</v>
      </c>
      <c r="BM118" s="9">
        <f t="shared" si="236"/>
        <v>1</v>
      </c>
      <c r="BN118" s="9">
        <f t="shared" si="236"/>
        <v>1</v>
      </c>
      <c r="BO118" s="9">
        <f t="shared" si="236"/>
        <v>1</v>
      </c>
      <c r="BP118" s="9">
        <f t="shared" si="236"/>
        <v>1</v>
      </c>
      <c r="BQ118" s="9">
        <f t="shared" si="236"/>
        <v>1</v>
      </c>
      <c r="BR118" s="9">
        <f t="shared" si="236"/>
        <v>1</v>
      </c>
      <c r="BS118" s="9">
        <f t="shared" ref="BS118:ED118" si="237">IF(OR(BT26 = "", BT$8 &lt; BS$8), "", 1)</f>
        <v>1</v>
      </c>
      <c r="BT118" s="9">
        <f t="shared" si="237"/>
        <v>1</v>
      </c>
      <c r="BU118" s="9">
        <f t="shared" si="237"/>
        <v>1</v>
      </c>
      <c r="BV118" s="9">
        <f t="shared" si="237"/>
        <v>1</v>
      </c>
      <c r="BW118" s="9">
        <f t="shared" si="237"/>
        <v>1</v>
      </c>
      <c r="BX118" s="9">
        <f t="shared" si="237"/>
        <v>1</v>
      </c>
      <c r="BY118" s="9">
        <f t="shared" si="237"/>
        <v>1</v>
      </c>
      <c r="BZ118" s="9">
        <f t="shared" si="237"/>
        <v>1</v>
      </c>
      <c r="CA118" s="9">
        <f t="shared" si="237"/>
        <v>1</v>
      </c>
      <c r="CB118" s="9" t="str">
        <f t="shared" si="237"/>
        <v/>
      </c>
      <c r="CC118" s="9" t="str">
        <f t="shared" si="237"/>
        <v/>
      </c>
      <c r="CD118" s="9" t="str">
        <f t="shared" si="237"/>
        <v/>
      </c>
      <c r="CE118" s="9" t="str">
        <f t="shared" si="237"/>
        <v/>
      </c>
      <c r="CF118" s="9" t="str">
        <f t="shared" si="237"/>
        <v/>
      </c>
      <c r="CG118" s="9" t="str">
        <f t="shared" si="237"/>
        <v/>
      </c>
      <c r="CH118" s="9" t="str">
        <f t="shared" si="237"/>
        <v/>
      </c>
      <c r="CI118" s="9" t="str">
        <f t="shared" si="237"/>
        <v/>
      </c>
      <c r="CJ118" s="9" t="str">
        <f t="shared" si="237"/>
        <v/>
      </c>
      <c r="CK118" s="9" t="str">
        <f t="shared" si="237"/>
        <v/>
      </c>
      <c r="CL118" s="9" t="str">
        <f t="shared" si="237"/>
        <v/>
      </c>
      <c r="CM118" s="9" t="str">
        <f t="shared" si="237"/>
        <v/>
      </c>
      <c r="CN118" s="9" t="str">
        <f t="shared" si="237"/>
        <v/>
      </c>
      <c r="CO118" s="9" t="str">
        <f t="shared" si="237"/>
        <v/>
      </c>
      <c r="CP118" s="9" t="str">
        <f t="shared" si="237"/>
        <v/>
      </c>
      <c r="CQ118" s="9" t="str">
        <f t="shared" si="237"/>
        <v/>
      </c>
      <c r="CR118" s="9" t="str">
        <f t="shared" si="237"/>
        <v/>
      </c>
      <c r="CS118" s="9" t="str">
        <f t="shared" si="237"/>
        <v/>
      </c>
      <c r="CT118" s="9" t="str">
        <f t="shared" si="237"/>
        <v/>
      </c>
      <c r="CU118" s="9" t="str">
        <f t="shared" si="237"/>
        <v/>
      </c>
      <c r="CV118" s="9" t="str">
        <f t="shared" si="237"/>
        <v/>
      </c>
      <c r="CW118" s="9" t="str">
        <f t="shared" si="237"/>
        <v/>
      </c>
      <c r="CX118" s="9" t="str">
        <f t="shared" si="237"/>
        <v/>
      </c>
      <c r="CY118" s="9" t="str">
        <f t="shared" si="237"/>
        <v/>
      </c>
      <c r="CZ118" s="9" t="str">
        <f t="shared" si="237"/>
        <v/>
      </c>
      <c r="DA118" s="9" t="str">
        <f t="shared" si="237"/>
        <v/>
      </c>
      <c r="DB118" s="9" t="str">
        <f t="shared" si="237"/>
        <v/>
      </c>
      <c r="DC118" s="9" t="str">
        <f t="shared" si="237"/>
        <v/>
      </c>
      <c r="DD118" s="9" t="str">
        <f t="shared" si="237"/>
        <v/>
      </c>
      <c r="DE118" s="9" t="str">
        <f t="shared" si="237"/>
        <v/>
      </c>
      <c r="DF118" s="9" t="str">
        <f t="shared" si="237"/>
        <v/>
      </c>
      <c r="DG118" s="9" t="str">
        <f t="shared" si="237"/>
        <v/>
      </c>
      <c r="DH118" s="9" t="str">
        <f t="shared" si="237"/>
        <v/>
      </c>
      <c r="DI118" s="9" t="str">
        <f t="shared" si="237"/>
        <v/>
      </c>
      <c r="DJ118" s="9" t="str">
        <f t="shared" si="237"/>
        <v/>
      </c>
      <c r="DK118" s="9" t="str">
        <f t="shared" si="237"/>
        <v/>
      </c>
      <c r="DL118" s="9" t="str">
        <f t="shared" si="237"/>
        <v/>
      </c>
      <c r="DM118" s="9" t="str">
        <f t="shared" si="237"/>
        <v/>
      </c>
      <c r="DN118" s="9" t="str">
        <f t="shared" si="237"/>
        <v/>
      </c>
      <c r="DO118" s="9" t="str">
        <f t="shared" si="237"/>
        <v/>
      </c>
      <c r="DP118" s="9" t="str">
        <f t="shared" si="237"/>
        <v/>
      </c>
      <c r="DQ118" s="9" t="str">
        <f t="shared" si="237"/>
        <v/>
      </c>
      <c r="DR118" s="9" t="str">
        <f t="shared" si="237"/>
        <v/>
      </c>
      <c r="DS118" s="9" t="str">
        <f t="shared" si="237"/>
        <v/>
      </c>
      <c r="DT118" s="9" t="str">
        <f t="shared" si="237"/>
        <v/>
      </c>
      <c r="DU118" s="9" t="str">
        <f t="shared" si="237"/>
        <v/>
      </c>
      <c r="DV118" s="9" t="str">
        <f t="shared" si="237"/>
        <v/>
      </c>
      <c r="DW118" s="9" t="str">
        <f t="shared" si="237"/>
        <v/>
      </c>
      <c r="DX118" s="9" t="str">
        <f t="shared" si="237"/>
        <v/>
      </c>
      <c r="DY118" s="9" t="str">
        <f t="shared" si="237"/>
        <v/>
      </c>
      <c r="DZ118" s="9" t="str">
        <f t="shared" si="237"/>
        <v/>
      </c>
      <c r="EA118" s="9" t="str">
        <f t="shared" si="237"/>
        <v/>
      </c>
      <c r="EB118" s="9">
        <f t="shared" si="237"/>
        <v>1</v>
      </c>
      <c r="EC118" s="9">
        <f t="shared" si="237"/>
        <v>1</v>
      </c>
      <c r="ED118" s="9">
        <f t="shared" si="237"/>
        <v>1</v>
      </c>
      <c r="EE118" s="9">
        <f t="shared" ref="EE118:GP118" si="238">IF(OR(EF26 = "", EF$8 &lt; EE$8), "", 1)</f>
        <v>1</v>
      </c>
      <c r="EF118" s="9">
        <f t="shared" si="238"/>
        <v>1</v>
      </c>
      <c r="EG118" s="9">
        <f t="shared" si="238"/>
        <v>1</v>
      </c>
      <c r="EH118" s="9">
        <f t="shared" si="238"/>
        <v>1</v>
      </c>
      <c r="EI118" s="9">
        <f t="shared" si="238"/>
        <v>1</v>
      </c>
      <c r="EJ118" s="9">
        <f t="shared" si="238"/>
        <v>1</v>
      </c>
      <c r="EK118" s="9">
        <f t="shared" si="238"/>
        <v>1</v>
      </c>
      <c r="EL118" s="9">
        <f t="shared" si="238"/>
        <v>1</v>
      </c>
      <c r="EM118" s="9">
        <f t="shared" si="238"/>
        <v>1</v>
      </c>
      <c r="EN118" s="9">
        <f t="shared" si="238"/>
        <v>1</v>
      </c>
      <c r="EO118" s="9">
        <f t="shared" si="238"/>
        <v>1</v>
      </c>
      <c r="EP118" s="9">
        <f t="shared" si="238"/>
        <v>1</v>
      </c>
      <c r="EQ118" s="9">
        <f t="shared" si="238"/>
        <v>1</v>
      </c>
      <c r="ER118" s="9">
        <f t="shared" si="238"/>
        <v>1</v>
      </c>
      <c r="ES118" s="9">
        <f t="shared" si="238"/>
        <v>1</v>
      </c>
      <c r="ET118" s="9">
        <f t="shared" si="238"/>
        <v>1</v>
      </c>
      <c r="EU118" s="9">
        <f t="shared" si="238"/>
        <v>1</v>
      </c>
      <c r="EV118" s="9">
        <f t="shared" si="238"/>
        <v>1</v>
      </c>
      <c r="EW118" s="9">
        <f t="shared" si="238"/>
        <v>1</v>
      </c>
      <c r="EX118" s="9">
        <f t="shared" si="238"/>
        <v>1</v>
      </c>
      <c r="EY118" s="9">
        <f t="shared" si="238"/>
        <v>1</v>
      </c>
      <c r="EZ118" s="9">
        <f t="shared" si="238"/>
        <v>1</v>
      </c>
      <c r="FA118" s="9">
        <f t="shared" si="238"/>
        <v>1</v>
      </c>
      <c r="FB118" s="9">
        <f t="shared" si="238"/>
        <v>1</v>
      </c>
      <c r="FC118" s="9">
        <f t="shared" si="238"/>
        <v>1</v>
      </c>
      <c r="FD118" s="9">
        <f t="shared" si="238"/>
        <v>1</v>
      </c>
      <c r="FE118" s="9">
        <f t="shared" si="238"/>
        <v>1</v>
      </c>
      <c r="FF118" s="9">
        <f t="shared" si="238"/>
        <v>1</v>
      </c>
      <c r="FG118" s="9">
        <f t="shared" si="238"/>
        <v>1</v>
      </c>
      <c r="FH118" s="9">
        <f t="shared" si="238"/>
        <v>1</v>
      </c>
      <c r="FI118" s="9">
        <f t="shared" si="238"/>
        <v>1</v>
      </c>
      <c r="FJ118" s="9">
        <f t="shared" si="238"/>
        <v>1</v>
      </c>
      <c r="FK118" s="9">
        <f t="shared" si="238"/>
        <v>1</v>
      </c>
      <c r="FL118" s="9">
        <f t="shared" si="238"/>
        <v>1</v>
      </c>
      <c r="FM118" s="9">
        <f t="shared" si="238"/>
        <v>1</v>
      </c>
      <c r="FN118" s="9">
        <f t="shared" si="238"/>
        <v>1</v>
      </c>
      <c r="FO118" s="9">
        <f t="shared" si="238"/>
        <v>1</v>
      </c>
      <c r="FP118" s="9">
        <f t="shared" si="238"/>
        <v>1</v>
      </c>
      <c r="FQ118" s="9">
        <f t="shared" si="238"/>
        <v>1</v>
      </c>
      <c r="FR118" s="9">
        <f t="shared" si="238"/>
        <v>1</v>
      </c>
      <c r="FS118" s="9">
        <f t="shared" si="238"/>
        <v>1</v>
      </c>
      <c r="FT118" s="9">
        <f t="shared" si="238"/>
        <v>1</v>
      </c>
      <c r="FU118" s="9">
        <f t="shared" si="238"/>
        <v>1</v>
      </c>
      <c r="FV118" s="9">
        <f t="shared" si="238"/>
        <v>1</v>
      </c>
      <c r="FW118" s="9">
        <f t="shared" si="238"/>
        <v>1</v>
      </c>
      <c r="FX118" s="9">
        <f t="shared" si="238"/>
        <v>1</v>
      </c>
      <c r="FY118" s="9">
        <f t="shared" si="238"/>
        <v>1</v>
      </c>
      <c r="FZ118" s="9">
        <f t="shared" si="238"/>
        <v>1</v>
      </c>
      <c r="GA118" s="9">
        <f t="shared" si="238"/>
        <v>1</v>
      </c>
      <c r="GB118" s="9">
        <f t="shared" si="238"/>
        <v>1</v>
      </c>
      <c r="GC118" s="9">
        <f t="shared" si="238"/>
        <v>1</v>
      </c>
      <c r="GD118" s="9">
        <f t="shared" si="238"/>
        <v>1</v>
      </c>
      <c r="GE118" s="9">
        <f t="shared" si="238"/>
        <v>1</v>
      </c>
      <c r="GF118" s="9">
        <f t="shared" si="238"/>
        <v>1</v>
      </c>
      <c r="GG118" s="9">
        <f t="shared" si="238"/>
        <v>1</v>
      </c>
      <c r="GH118" s="9">
        <f t="shared" si="238"/>
        <v>1</v>
      </c>
      <c r="GI118" s="9">
        <f t="shared" si="238"/>
        <v>1</v>
      </c>
      <c r="GJ118" s="9">
        <f t="shared" si="238"/>
        <v>1</v>
      </c>
      <c r="GK118" s="9">
        <f t="shared" si="238"/>
        <v>1</v>
      </c>
      <c r="GL118" s="9">
        <f t="shared" si="238"/>
        <v>1</v>
      </c>
      <c r="GM118" s="9">
        <f t="shared" si="238"/>
        <v>1</v>
      </c>
      <c r="GN118" s="9">
        <f t="shared" si="238"/>
        <v>1</v>
      </c>
      <c r="GO118" s="9">
        <f t="shared" si="238"/>
        <v>1</v>
      </c>
      <c r="GP118" s="9">
        <f t="shared" si="238"/>
        <v>1</v>
      </c>
      <c r="GQ118" s="9">
        <f t="shared" ref="GQ118:IV118" si="239">IF(OR(GR26 = "", GR$8 &lt; GQ$8), "", 1)</f>
        <v>1</v>
      </c>
      <c r="GR118" s="9">
        <f t="shared" si="239"/>
        <v>1</v>
      </c>
      <c r="GS118" s="9">
        <f t="shared" si="239"/>
        <v>1</v>
      </c>
      <c r="GT118" s="9">
        <f t="shared" si="239"/>
        <v>1</v>
      </c>
      <c r="GU118" s="9">
        <f t="shared" si="239"/>
        <v>1</v>
      </c>
      <c r="GV118" s="9">
        <f t="shared" si="239"/>
        <v>1</v>
      </c>
      <c r="GW118" s="9" t="str">
        <f t="shared" si="239"/>
        <v/>
      </c>
      <c r="GX118" s="9" t="str">
        <f t="shared" si="239"/>
        <v/>
      </c>
      <c r="GY118" s="9" t="str">
        <f t="shared" si="239"/>
        <v/>
      </c>
      <c r="GZ118" s="9" t="str">
        <f t="shared" si="239"/>
        <v/>
      </c>
      <c r="HA118" s="9" t="str">
        <f t="shared" si="239"/>
        <v/>
      </c>
      <c r="HB118" s="9" t="str">
        <f t="shared" si="239"/>
        <v/>
      </c>
      <c r="HC118" s="9" t="str">
        <f t="shared" si="239"/>
        <v/>
      </c>
      <c r="HD118" s="9" t="str">
        <f t="shared" si="239"/>
        <v/>
      </c>
      <c r="HE118" s="9" t="str">
        <f t="shared" si="239"/>
        <v/>
      </c>
      <c r="HF118" s="9" t="str">
        <f t="shared" si="239"/>
        <v/>
      </c>
      <c r="HG118" s="9" t="str">
        <f t="shared" si="239"/>
        <v/>
      </c>
      <c r="HH118" s="9" t="str">
        <f t="shared" si="239"/>
        <v/>
      </c>
      <c r="HI118" s="9" t="str">
        <f t="shared" si="239"/>
        <v/>
      </c>
      <c r="HJ118" s="9" t="str">
        <f t="shared" si="239"/>
        <v/>
      </c>
      <c r="HK118" s="9" t="str">
        <f t="shared" si="239"/>
        <v/>
      </c>
      <c r="HL118" s="9" t="str">
        <f t="shared" si="239"/>
        <v/>
      </c>
      <c r="HM118" s="9" t="str">
        <f t="shared" si="239"/>
        <v/>
      </c>
      <c r="HN118" s="9" t="str">
        <f t="shared" si="239"/>
        <v/>
      </c>
      <c r="HO118" s="9" t="str">
        <f t="shared" si="239"/>
        <v/>
      </c>
      <c r="HP118" s="9" t="str">
        <f t="shared" si="239"/>
        <v/>
      </c>
      <c r="HQ118" s="9" t="str">
        <f t="shared" si="239"/>
        <v/>
      </c>
      <c r="HR118" s="9" t="str">
        <f t="shared" si="239"/>
        <v/>
      </c>
      <c r="HS118" s="9" t="str">
        <f t="shared" si="239"/>
        <v/>
      </c>
      <c r="HT118" s="9" t="str">
        <f t="shared" si="239"/>
        <v/>
      </c>
      <c r="HU118" s="9" t="str">
        <f t="shared" si="239"/>
        <v/>
      </c>
      <c r="HV118" s="9" t="str">
        <f t="shared" si="239"/>
        <v/>
      </c>
      <c r="HW118" s="9" t="str">
        <f t="shared" si="239"/>
        <v/>
      </c>
      <c r="HX118" s="9" t="str">
        <f t="shared" si="239"/>
        <v/>
      </c>
      <c r="HY118" s="9" t="str">
        <f t="shared" si="239"/>
        <v/>
      </c>
      <c r="HZ118" s="9" t="str">
        <f t="shared" si="239"/>
        <v/>
      </c>
      <c r="IA118" s="9" t="str">
        <f t="shared" si="239"/>
        <v/>
      </c>
      <c r="IB118" s="9" t="str">
        <f t="shared" si="239"/>
        <v/>
      </c>
      <c r="IC118" s="9" t="str">
        <f t="shared" si="239"/>
        <v/>
      </c>
      <c r="ID118" s="9" t="str">
        <f t="shared" si="239"/>
        <v/>
      </c>
      <c r="IE118" s="9" t="str">
        <f t="shared" si="239"/>
        <v/>
      </c>
      <c r="IF118" s="9" t="str">
        <f t="shared" si="239"/>
        <v/>
      </c>
      <c r="IG118" s="9" t="str">
        <f t="shared" si="239"/>
        <v/>
      </c>
      <c r="IH118" s="9" t="str">
        <f t="shared" si="239"/>
        <v/>
      </c>
      <c r="II118" s="9" t="str">
        <f t="shared" si="239"/>
        <v/>
      </c>
      <c r="IJ118" s="9" t="str">
        <f t="shared" si="239"/>
        <v/>
      </c>
      <c r="IK118" s="9" t="str">
        <f t="shared" si="239"/>
        <v/>
      </c>
      <c r="IL118" s="9" t="str">
        <f t="shared" si="239"/>
        <v/>
      </c>
      <c r="IM118" s="9" t="str">
        <f t="shared" si="239"/>
        <v/>
      </c>
      <c r="IN118" s="9" t="str">
        <f t="shared" si="239"/>
        <v/>
      </c>
      <c r="IO118" s="9" t="str">
        <f t="shared" si="239"/>
        <v/>
      </c>
      <c r="IP118" s="9" t="str">
        <f t="shared" si="239"/>
        <v/>
      </c>
      <c r="IQ118" s="9" t="str">
        <f t="shared" si="239"/>
        <v/>
      </c>
      <c r="IR118" s="9" t="str">
        <f t="shared" si="239"/>
        <v/>
      </c>
      <c r="IS118" s="9" t="str">
        <f t="shared" si="239"/>
        <v/>
      </c>
      <c r="IT118" s="9" t="str">
        <f t="shared" si="239"/>
        <v/>
      </c>
      <c r="IU118" s="9" t="str">
        <f t="shared" si="239"/>
        <v/>
      </c>
      <c r="IV118" s="9" t="str">
        <f t="shared" si="239"/>
        <v/>
      </c>
    </row>
    <row r="119" spans="6:256" x14ac:dyDescent="0.2">
      <c r="F119">
        <v>201809</v>
      </c>
      <c r="G119" s="9">
        <f t="shared" ref="G119:BR119" si="240">IF(OR(H27 = "", H$8 &lt; G$8), "", 1)</f>
        <v>1</v>
      </c>
      <c r="H119" s="9">
        <f t="shared" si="240"/>
        <v>1</v>
      </c>
      <c r="I119" s="9">
        <f t="shared" si="240"/>
        <v>1</v>
      </c>
      <c r="J119" s="9">
        <f t="shared" si="240"/>
        <v>1</v>
      </c>
      <c r="K119" s="9">
        <f t="shared" si="240"/>
        <v>1</v>
      </c>
      <c r="L119" s="9">
        <f t="shared" si="240"/>
        <v>1</v>
      </c>
      <c r="M119" s="9">
        <f t="shared" si="240"/>
        <v>1</v>
      </c>
      <c r="N119" s="9">
        <f t="shared" si="240"/>
        <v>1</v>
      </c>
      <c r="O119" s="9">
        <f t="shared" si="240"/>
        <v>1</v>
      </c>
      <c r="P119" s="9">
        <f t="shared" si="240"/>
        <v>1</v>
      </c>
      <c r="Q119" s="9">
        <f t="shared" si="240"/>
        <v>1</v>
      </c>
      <c r="R119" s="9">
        <f t="shared" si="240"/>
        <v>1</v>
      </c>
      <c r="S119" s="9">
        <f t="shared" si="240"/>
        <v>1</v>
      </c>
      <c r="T119" s="9">
        <f t="shared" si="240"/>
        <v>1</v>
      </c>
      <c r="U119" s="9">
        <f t="shared" si="240"/>
        <v>1</v>
      </c>
      <c r="V119" s="9">
        <f t="shared" si="240"/>
        <v>1</v>
      </c>
      <c r="W119" s="9">
        <f t="shared" si="240"/>
        <v>1</v>
      </c>
      <c r="X119" s="9">
        <f t="shared" si="240"/>
        <v>1</v>
      </c>
      <c r="Y119" s="9">
        <f t="shared" si="240"/>
        <v>1</v>
      </c>
      <c r="Z119" s="9">
        <f t="shared" si="240"/>
        <v>1</v>
      </c>
      <c r="AA119" s="9">
        <f t="shared" si="240"/>
        <v>1</v>
      </c>
      <c r="AB119" s="9">
        <f t="shared" si="240"/>
        <v>1</v>
      </c>
      <c r="AC119" s="9">
        <f t="shared" si="240"/>
        <v>1</v>
      </c>
      <c r="AD119" s="9">
        <f t="shared" si="240"/>
        <v>1</v>
      </c>
      <c r="AE119" s="9">
        <f t="shared" si="240"/>
        <v>1</v>
      </c>
      <c r="AF119" s="9">
        <f t="shared" si="240"/>
        <v>1</v>
      </c>
      <c r="AG119" s="9">
        <f t="shared" si="240"/>
        <v>1</v>
      </c>
      <c r="AH119" s="9">
        <f t="shared" si="240"/>
        <v>1</v>
      </c>
      <c r="AI119" s="9">
        <f t="shared" si="240"/>
        <v>1</v>
      </c>
      <c r="AJ119" s="9">
        <f t="shared" si="240"/>
        <v>1</v>
      </c>
      <c r="AK119" s="9">
        <f t="shared" si="240"/>
        <v>1</v>
      </c>
      <c r="AL119" s="9">
        <f t="shared" si="240"/>
        <v>1</v>
      </c>
      <c r="AM119" s="9">
        <f t="shared" si="240"/>
        <v>1</v>
      </c>
      <c r="AN119" s="9">
        <f t="shared" si="240"/>
        <v>1</v>
      </c>
      <c r="AO119" s="9">
        <f t="shared" si="240"/>
        <v>1</v>
      </c>
      <c r="AP119" s="9">
        <f t="shared" si="240"/>
        <v>1</v>
      </c>
      <c r="AQ119" s="9">
        <f t="shared" si="240"/>
        <v>1</v>
      </c>
      <c r="AR119" s="9">
        <f t="shared" si="240"/>
        <v>1</v>
      </c>
      <c r="AS119" s="9">
        <f t="shared" si="240"/>
        <v>1</v>
      </c>
      <c r="AT119" s="9">
        <f t="shared" si="240"/>
        <v>1</v>
      </c>
      <c r="AU119" s="9">
        <f t="shared" si="240"/>
        <v>1</v>
      </c>
      <c r="AV119" s="9">
        <f t="shared" si="240"/>
        <v>1</v>
      </c>
      <c r="AW119" s="9">
        <f t="shared" si="240"/>
        <v>1</v>
      </c>
      <c r="AX119" s="9">
        <f t="shared" si="240"/>
        <v>1</v>
      </c>
      <c r="AY119" s="9">
        <f t="shared" si="240"/>
        <v>1</v>
      </c>
      <c r="AZ119" s="9">
        <f t="shared" si="240"/>
        <v>1</v>
      </c>
      <c r="BA119" s="9">
        <f t="shared" si="240"/>
        <v>1</v>
      </c>
      <c r="BB119" s="9">
        <f t="shared" si="240"/>
        <v>1</v>
      </c>
      <c r="BC119" s="9">
        <f t="shared" si="240"/>
        <v>1</v>
      </c>
      <c r="BD119" s="9">
        <f t="shared" si="240"/>
        <v>1</v>
      </c>
      <c r="BE119" s="9">
        <f t="shared" si="240"/>
        <v>1</v>
      </c>
      <c r="BF119" s="9">
        <f t="shared" si="240"/>
        <v>1</v>
      </c>
      <c r="BG119" s="9">
        <f t="shared" si="240"/>
        <v>1</v>
      </c>
      <c r="BH119" s="9">
        <f t="shared" si="240"/>
        <v>1</v>
      </c>
      <c r="BI119" s="9">
        <f t="shared" si="240"/>
        <v>1</v>
      </c>
      <c r="BJ119" s="9">
        <f t="shared" si="240"/>
        <v>1</v>
      </c>
      <c r="BK119" s="9">
        <f t="shared" si="240"/>
        <v>1</v>
      </c>
      <c r="BL119" s="9">
        <f t="shared" si="240"/>
        <v>1</v>
      </c>
      <c r="BM119" s="9">
        <f t="shared" si="240"/>
        <v>1</v>
      </c>
      <c r="BN119" s="9">
        <f t="shared" si="240"/>
        <v>1</v>
      </c>
      <c r="BO119" s="9">
        <f t="shared" si="240"/>
        <v>1</v>
      </c>
      <c r="BP119" s="9">
        <f t="shared" si="240"/>
        <v>1</v>
      </c>
      <c r="BQ119" s="9">
        <f t="shared" si="240"/>
        <v>1</v>
      </c>
      <c r="BR119" s="9">
        <f t="shared" si="240"/>
        <v>1</v>
      </c>
      <c r="BS119" s="9">
        <f t="shared" ref="BS119:ED119" si="241">IF(OR(BT27 = "", BT$8 &lt; BS$8), "", 1)</f>
        <v>1</v>
      </c>
      <c r="BT119" s="9">
        <f t="shared" si="241"/>
        <v>1</v>
      </c>
      <c r="BU119" s="9">
        <f t="shared" si="241"/>
        <v>1</v>
      </c>
      <c r="BV119" s="9">
        <f t="shared" si="241"/>
        <v>1</v>
      </c>
      <c r="BW119" s="9">
        <f t="shared" si="241"/>
        <v>1</v>
      </c>
      <c r="BX119" s="9">
        <f t="shared" si="241"/>
        <v>1</v>
      </c>
      <c r="BY119" s="9" t="str">
        <f t="shared" si="241"/>
        <v/>
      </c>
      <c r="BZ119" s="9" t="str">
        <f t="shared" si="241"/>
        <v/>
      </c>
      <c r="CA119" s="9" t="str">
        <f t="shared" si="241"/>
        <v/>
      </c>
      <c r="CB119" s="9" t="str">
        <f t="shared" si="241"/>
        <v/>
      </c>
      <c r="CC119" s="9" t="str">
        <f t="shared" si="241"/>
        <v/>
      </c>
      <c r="CD119" s="9" t="str">
        <f t="shared" si="241"/>
        <v/>
      </c>
      <c r="CE119" s="9" t="str">
        <f t="shared" si="241"/>
        <v/>
      </c>
      <c r="CF119" s="9" t="str">
        <f t="shared" si="241"/>
        <v/>
      </c>
      <c r="CG119" s="9" t="str">
        <f t="shared" si="241"/>
        <v/>
      </c>
      <c r="CH119" s="9" t="str">
        <f t="shared" si="241"/>
        <v/>
      </c>
      <c r="CI119" s="9" t="str">
        <f t="shared" si="241"/>
        <v/>
      </c>
      <c r="CJ119" s="9" t="str">
        <f t="shared" si="241"/>
        <v/>
      </c>
      <c r="CK119" s="9" t="str">
        <f t="shared" si="241"/>
        <v/>
      </c>
      <c r="CL119" s="9" t="str">
        <f t="shared" si="241"/>
        <v/>
      </c>
      <c r="CM119" s="9" t="str">
        <f t="shared" si="241"/>
        <v/>
      </c>
      <c r="CN119" s="9" t="str">
        <f t="shared" si="241"/>
        <v/>
      </c>
      <c r="CO119" s="9" t="str">
        <f t="shared" si="241"/>
        <v/>
      </c>
      <c r="CP119" s="9" t="str">
        <f t="shared" si="241"/>
        <v/>
      </c>
      <c r="CQ119" s="9" t="str">
        <f t="shared" si="241"/>
        <v/>
      </c>
      <c r="CR119" s="9" t="str">
        <f t="shared" si="241"/>
        <v/>
      </c>
      <c r="CS119" s="9" t="str">
        <f t="shared" si="241"/>
        <v/>
      </c>
      <c r="CT119" s="9" t="str">
        <f t="shared" si="241"/>
        <v/>
      </c>
      <c r="CU119" s="9" t="str">
        <f t="shared" si="241"/>
        <v/>
      </c>
      <c r="CV119" s="9" t="str">
        <f t="shared" si="241"/>
        <v/>
      </c>
      <c r="CW119" s="9" t="str">
        <f t="shared" si="241"/>
        <v/>
      </c>
      <c r="CX119" s="9" t="str">
        <f t="shared" si="241"/>
        <v/>
      </c>
      <c r="CY119" s="9" t="str">
        <f t="shared" si="241"/>
        <v/>
      </c>
      <c r="CZ119" s="9" t="str">
        <f t="shared" si="241"/>
        <v/>
      </c>
      <c r="DA119" s="9" t="str">
        <f t="shared" si="241"/>
        <v/>
      </c>
      <c r="DB119" s="9" t="str">
        <f t="shared" si="241"/>
        <v/>
      </c>
      <c r="DC119" s="9" t="str">
        <f t="shared" si="241"/>
        <v/>
      </c>
      <c r="DD119" s="9" t="str">
        <f t="shared" si="241"/>
        <v/>
      </c>
      <c r="DE119" s="9" t="str">
        <f t="shared" si="241"/>
        <v/>
      </c>
      <c r="DF119" s="9" t="str">
        <f t="shared" si="241"/>
        <v/>
      </c>
      <c r="DG119" s="9" t="str">
        <f t="shared" si="241"/>
        <v/>
      </c>
      <c r="DH119" s="9" t="str">
        <f t="shared" si="241"/>
        <v/>
      </c>
      <c r="DI119" s="9" t="str">
        <f t="shared" si="241"/>
        <v/>
      </c>
      <c r="DJ119" s="9" t="str">
        <f t="shared" si="241"/>
        <v/>
      </c>
      <c r="DK119" s="9" t="str">
        <f t="shared" si="241"/>
        <v/>
      </c>
      <c r="DL119" s="9" t="str">
        <f t="shared" si="241"/>
        <v/>
      </c>
      <c r="DM119" s="9" t="str">
        <f t="shared" si="241"/>
        <v/>
      </c>
      <c r="DN119" s="9" t="str">
        <f t="shared" si="241"/>
        <v/>
      </c>
      <c r="DO119" s="9" t="str">
        <f t="shared" si="241"/>
        <v/>
      </c>
      <c r="DP119" s="9" t="str">
        <f t="shared" si="241"/>
        <v/>
      </c>
      <c r="DQ119" s="9" t="str">
        <f t="shared" si="241"/>
        <v/>
      </c>
      <c r="DR119" s="9" t="str">
        <f t="shared" si="241"/>
        <v/>
      </c>
      <c r="DS119" s="9" t="str">
        <f t="shared" si="241"/>
        <v/>
      </c>
      <c r="DT119" s="9" t="str">
        <f t="shared" si="241"/>
        <v/>
      </c>
      <c r="DU119" s="9" t="str">
        <f t="shared" si="241"/>
        <v/>
      </c>
      <c r="DV119" s="9" t="str">
        <f t="shared" si="241"/>
        <v/>
      </c>
      <c r="DW119" s="9" t="str">
        <f t="shared" si="241"/>
        <v/>
      </c>
      <c r="DX119" s="9" t="str">
        <f t="shared" si="241"/>
        <v/>
      </c>
      <c r="DY119" s="9" t="str">
        <f t="shared" si="241"/>
        <v/>
      </c>
      <c r="DZ119" s="9" t="str">
        <f t="shared" si="241"/>
        <v/>
      </c>
      <c r="EA119" s="9" t="str">
        <f t="shared" si="241"/>
        <v/>
      </c>
      <c r="EB119" s="9">
        <f t="shared" si="241"/>
        <v>1</v>
      </c>
      <c r="EC119" s="9">
        <f t="shared" si="241"/>
        <v>1</v>
      </c>
      <c r="ED119" s="9">
        <f t="shared" si="241"/>
        <v>1</v>
      </c>
      <c r="EE119" s="9">
        <f t="shared" ref="EE119:GP119" si="242">IF(OR(EF27 = "", EF$8 &lt; EE$8), "", 1)</f>
        <v>1</v>
      </c>
      <c r="EF119" s="9">
        <f t="shared" si="242"/>
        <v>1</v>
      </c>
      <c r="EG119" s="9">
        <f t="shared" si="242"/>
        <v>1</v>
      </c>
      <c r="EH119" s="9">
        <f t="shared" si="242"/>
        <v>1</v>
      </c>
      <c r="EI119" s="9">
        <f t="shared" si="242"/>
        <v>1</v>
      </c>
      <c r="EJ119" s="9">
        <f t="shared" si="242"/>
        <v>1</v>
      </c>
      <c r="EK119" s="9">
        <f t="shared" si="242"/>
        <v>1</v>
      </c>
      <c r="EL119" s="9">
        <f t="shared" si="242"/>
        <v>1</v>
      </c>
      <c r="EM119" s="9">
        <f t="shared" si="242"/>
        <v>1</v>
      </c>
      <c r="EN119" s="9">
        <f t="shared" si="242"/>
        <v>1</v>
      </c>
      <c r="EO119" s="9">
        <f t="shared" si="242"/>
        <v>1</v>
      </c>
      <c r="EP119" s="9">
        <f t="shared" si="242"/>
        <v>1</v>
      </c>
      <c r="EQ119" s="9">
        <f t="shared" si="242"/>
        <v>1</v>
      </c>
      <c r="ER119" s="9">
        <f t="shared" si="242"/>
        <v>1</v>
      </c>
      <c r="ES119" s="9">
        <f t="shared" si="242"/>
        <v>1</v>
      </c>
      <c r="ET119" s="9">
        <f t="shared" si="242"/>
        <v>1</v>
      </c>
      <c r="EU119" s="9">
        <f t="shared" si="242"/>
        <v>1</v>
      </c>
      <c r="EV119" s="9">
        <f t="shared" si="242"/>
        <v>1</v>
      </c>
      <c r="EW119" s="9">
        <f t="shared" si="242"/>
        <v>1</v>
      </c>
      <c r="EX119" s="9">
        <f t="shared" si="242"/>
        <v>1</v>
      </c>
      <c r="EY119" s="9">
        <f t="shared" si="242"/>
        <v>1</v>
      </c>
      <c r="EZ119" s="9">
        <f t="shared" si="242"/>
        <v>1</v>
      </c>
      <c r="FA119" s="9">
        <f t="shared" si="242"/>
        <v>1</v>
      </c>
      <c r="FB119" s="9">
        <f t="shared" si="242"/>
        <v>1</v>
      </c>
      <c r="FC119" s="9">
        <f t="shared" si="242"/>
        <v>1</v>
      </c>
      <c r="FD119" s="9">
        <f t="shared" si="242"/>
        <v>1</v>
      </c>
      <c r="FE119" s="9">
        <f t="shared" si="242"/>
        <v>1</v>
      </c>
      <c r="FF119" s="9">
        <f t="shared" si="242"/>
        <v>1</v>
      </c>
      <c r="FG119" s="9">
        <f t="shared" si="242"/>
        <v>1</v>
      </c>
      <c r="FH119" s="9">
        <f t="shared" si="242"/>
        <v>1</v>
      </c>
      <c r="FI119" s="9">
        <f t="shared" si="242"/>
        <v>1</v>
      </c>
      <c r="FJ119" s="9">
        <f t="shared" si="242"/>
        <v>1</v>
      </c>
      <c r="FK119" s="9">
        <f t="shared" si="242"/>
        <v>1</v>
      </c>
      <c r="FL119" s="9">
        <f t="shared" si="242"/>
        <v>1</v>
      </c>
      <c r="FM119" s="9">
        <f t="shared" si="242"/>
        <v>1</v>
      </c>
      <c r="FN119" s="9">
        <f t="shared" si="242"/>
        <v>1</v>
      </c>
      <c r="FO119" s="9">
        <f t="shared" si="242"/>
        <v>1</v>
      </c>
      <c r="FP119" s="9">
        <f t="shared" si="242"/>
        <v>1</v>
      </c>
      <c r="FQ119" s="9">
        <f t="shared" si="242"/>
        <v>1</v>
      </c>
      <c r="FR119" s="9">
        <f t="shared" si="242"/>
        <v>1</v>
      </c>
      <c r="FS119" s="9">
        <f t="shared" si="242"/>
        <v>1</v>
      </c>
      <c r="FT119" s="9">
        <f t="shared" si="242"/>
        <v>1</v>
      </c>
      <c r="FU119" s="9">
        <f t="shared" si="242"/>
        <v>1</v>
      </c>
      <c r="FV119" s="9">
        <f t="shared" si="242"/>
        <v>1</v>
      </c>
      <c r="FW119" s="9">
        <f t="shared" si="242"/>
        <v>1</v>
      </c>
      <c r="FX119" s="9">
        <f t="shared" si="242"/>
        <v>1</v>
      </c>
      <c r="FY119" s="9">
        <f t="shared" si="242"/>
        <v>1</v>
      </c>
      <c r="FZ119" s="9">
        <f t="shared" si="242"/>
        <v>1</v>
      </c>
      <c r="GA119" s="9">
        <f t="shared" si="242"/>
        <v>1</v>
      </c>
      <c r="GB119" s="9">
        <f t="shared" si="242"/>
        <v>1</v>
      </c>
      <c r="GC119" s="9">
        <f t="shared" si="242"/>
        <v>1</v>
      </c>
      <c r="GD119" s="9">
        <f t="shared" si="242"/>
        <v>1</v>
      </c>
      <c r="GE119" s="9">
        <f t="shared" si="242"/>
        <v>1</v>
      </c>
      <c r="GF119" s="9">
        <f t="shared" si="242"/>
        <v>1</v>
      </c>
      <c r="GG119" s="9">
        <f t="shared" si="242"/>
        <v>1</v>
      </c>
      <c r="GH119" s="9">
        <f t="shared" si="242"/>
        <v>1</v>
      </c>
      <c r="GI119" s="9">
        <f t="shared" si="242"/>
        <v>1</v>
      </c>
      <c r="GJ119" s="9">
        <f t="shared" si="242"/>
        <v>1</v>
      </c>
      <c r="GK119" s="9">
        <f t="shared" si="242"/>
        <v>1</v>
      </c>
      <c r="GL119" s="9">
        <f t="shared" si="242"/>
        <v>1</v>
      </c>
      <c r="GM119" s="9">
        <f t="shared" si="242"/>
        <v>1</v>
      </c>
      <c r="GN119" s="9">
        <f t="shared" si="242"/>
        <v>1</v>
      </c>
      <c r="GO119" s="9">
        <f t="shared" si="242"/>
        <v>1</v>
      </c>
      <c r="GP119" s="9">
        <f t="shared" si="242"/>
        <v>1</v>
      </c>
      <c r="GQ119" s="9">
        <f t="shared" ref="GQ119:IV119" si="243">IF(OR(GR27 = "", GR$8 &lt; GQ$8), "", 1)</f>
        <v>1</v>
      </c>
      <c r="GR119" s="9">
        <f t="shared" si="243"/>
        <v>1</v>
      </c>
      <c r="GS119" s="9">
        <f t="shared" si="243"/>
        <v>1</v>
      </c>
      <c r="GT119" s="9" t="str">
        <f t="shared" si="243"/>
        <v/>
      </c>
      <c r="GU119" s="9" t="str">
        <f t="shared" si="243"/>
        <v/>
      </c>
      <c r="GV119" s="9" t="str">
        <f t="shared" si="243"/>
        <v/>
      </c>
      <c r="GW119" s="9" t="str">
        <f t="shared" si="243"/>
        <v/>
      </c>
      <c r="GX119" s="9" t="str">
        <f t="shared" si="243"/>
        <v/>
      </c>
      <c r="GY119" s="9" t="str">
        <f t="shared" si="243"/>
        <v/>
      </c>
      <c r="GZ119" s="9" t="str">
        <f t="shared" si="243"/>
        <v/>
      </c>
      <c r="HA119" s="9" t="str">
        <f t="shared" si="243"/>
        <v/>
      </c>
      <c r="HB119" s="9" t="str">
        <f t="shared" si="243"/>
        <v/>
      </c>
      <c r="HC119" s="9" t="str">
        <f t="shared" si="243"/>
        <v/>
      </c>
      <c r="HD119" s="9" t="str">
        <f t="shared" si="243"/>
        <v/>
      </c>
      <c r="HE119" s="9" t="str">
        <f t="shared" si="243"/>
        <v/>
      </c>
      <c r="HF119" s="9" t="str">
        <f t="shared" si="243"/>
        <v/>
      </c>
      <c r="HG119" s="9" t="str">
        <f t="shared" si="243"/>
        <v/>
      </c>
      <c r="HH119" s="9" t="str">
        <f t="shared" si="243"/>
        <v/>
      </c>
      <c r="HI119" s="9" t="str">
        <f t="shared" si="243"/>
        <v/>
      </c>
      <c r="HJ119" s="9" t="str">
        <f t="shared" si="243"/>
        <v/>
      </c>
      <c r="HK119" s="9" t="str">
        <f t="shared" si="243"/>
        <v/>
      </c>
      <c r="HL119" s="9" t="str">
        <f t="shared" si="243"/>
        <v/>
      </c>
      <c r="HM119" s="9" t="str">
        <f t="shared" si="243"/>
        <v/>
      </c>
      <c r="HN119" s="9" t="str">
        <f t="shared" si="243"/>
        <v/>
      </c>
      <c r="HO119" s="9" t="str">
        <f t="shared" si="243"/>
        <v/>
      </c>
      <c r="HP119" s="9" t="str">
        <f t="shared" si="243"/>
        <v/>
      </c>
      <c r="HQ119" s="9" t="str">
        <f t="shared" si="243"/>
        <v/>
      </c>
      <c r="HR119" s="9" t="str">
        <f t="shared" si="243"/>
        <v/>
      </c>
      <c r="HS119" s="9" t="str">
        <f t="shared" si="243"/>
        <v/>
      </c>
      <c r="HT119" s="9" t="str">
        <f t="shared" si="243"/>
        <v/>
      </c>
      <c r="HU119" s="9" t="str">
        <f t="shared" si="243"/>
        <v/>
      </c>
      <c r="HV119" s="9" t="str">
        <f t="shared" si="243"/>
        <v/>
      </c>
      <c r="HW119" s="9" t="str">
        <f t="shared" si="243"/>
        <v/>
      </c>
      <c r="HX119" s="9" t="str">
        <f t="shared" si="243"/>
        <v/>
      </c>
      <c r="HY119" s="9" t="str">
        <f t="shared" si="243"/>
        <v/>
      </c>
      <c r="HZ119" s="9" t="str">
        <f t="shared" si="243"/>
        <v/>
      </c>
      <c r="IA119" s="9" t="str">
        <f t="shared" si="243"/>
        <v/>
      </c>
      <c r="IB119" s="9" t="str">
        <f t="shared" si="243"/>
        <v/>
      </c>
      <c r="IC119" s="9" t="str">
        <f t="shared" si="243"/>
        <v/>
      </c>
      <c r="ID119" s="9" t="str">
        <f t="shared" si="243"/>
        <v/>
      </c>
      <c r="IE119" s="9" t="str">
        <f t="shared" si="243"/>
        <v/>
      </c>
      <c r="IF119" s="9" t="str">
        <f t="shared" si="243"/>
        <v/>
      </c>
      <c r="IG119" s="9" t="str">
        <f t="shared" si="243"/>
        <v/>
      </c>
      <c r="IH119" s="9" t="str">
        <f t="shared" si="243"/>
        <v/>
      </c>
      <c r="II119" s="9" t="str">
        <f t="shared" si="243"/>
        <v/>
      </c>
      <c r="IJ119" s="9" t="str">
        <f t="shared" si="243"/>
        <v/>
      </c>
      <c r="IK119" s="9" t="str">
        <f t="shared" si="243"/>
        <v/>
      </c>
      <c r="IL119" s="9" t="str">
        <f t="shared" si="243"/>
        <v/>
      </c>
      <c r="IM119" s="9" t="str">
        <f t="shared" si="243"/>
        <v/>
      </c>
      <c r="IN119" s="9" t="str">
        <f t="shared" si="243"/>
        <v/>
      </c>
      <c r="IO119" s="9" t="str">
        <f t="shared" si="243"/>
        <v/>
      </c>
      <c r="IP119" s="9" t="str">
        <f t="shared" si="243"/>
        <v/>
      </c>
      <c r="IQ119" s="9" t="str">
        <f t="shared" si="243"/>
        <v/>
      </c>
      <c r="IR119" s="9" t="str">
        <f t="shared" si="243"/>
        <v/>
      </c>
      <c r="IS119" s="9" t="str">
        <f t="shared" si="243"/>
        <v/>
      </c>
      <c r="IT119" s="9" t="str">
        <f t="shared" si="243"/>
        <v/>
      </c>
      <c r="IU119" s="9" t="str">
        <f t="shared" si="243"/>
        <v/>
      </c>
      <c r="IV119" s="9" t="str">
        <f t="shared" si="243"/>
        <v/>
      </c>
    </row>
    <row r="120" spans="6:256" x14ac:dyDescent="0.2">
      <c r="F120">
        <v>201812</v>
      </c>
      <c r="G120" s="9">
        <f t="shared" ref="G120:BR120" si="244">IF(OR(H28 = "", H$8 &lt; G$8), "", 1)</f>
        <v>1</v>
      </c>
      <c r="H120" s="9">
        <f t="shared" si="244"/>
        <v>1</v>
      </c>
      <c r="I120" s="9">
        <f t="shared" si="244"/>
        <v>1</v>
      </c>
      <c r="J120" s="9">
        <f t="shared" si="244"/>
        <v>1</v>
      </c>
      <c r="K120" s="9">
        <f t="shared" si="244"/>
        <v>1</v>
      </c>
      <c r="L120" s="9">
        <f t="shared" si="244"/>
        <v>1</v>
      </c>
      <c r="M120" s="9">
        <f t="shared" si="244"/>
        <v>1</v>
      </c>
      <c r="N120" s="9">
        <f t="shared" si="244"/>
        <v>1</v>
      </c>
      <c r="O120" s="9">
        <f t="shared" si="244"/>
        <v>1</v>
      </c>
      <c r="P120" s="9">
        <f t="shared" si="244"/>
        <v>1</v>
      </c>
      <c r="Q120" s="9">
        <f t="shared" si="244"/>
        <v>1</v>
      </c>
      <c r="R120" s="9">
        <f t="shared" si="244"/>
        <v>1</v>
      </c>
      <c r="S120" s="9">
        <f t="shared" si="244"/>
        <v>1</v>
      </c>
      <c r="T120" s="9">
        <f t="shared" si="244"/>
        <v>1</v>
      </c>
      <c r="U120" s="9">
        <f t="shared" si="244"/>
        <v>1</v>
      </c>
      <c r="V120" s="9">
        <f t="shared" si="244"/>
        <v>1</v>
      </c>
      <c r="W120" s="9">
        <f t="shared" si="244"/>
        <v>1</v>
      </c>
      <c r="X120" s="9">
        <f t="shared" si="244"/>
        <v>1</v>
      </c>
      <c r="Y120" s="9">
        <f t="shared" si="244"/>
        <v>1</v>
      </c>
      <c r="Z120" s="9">
        <f t="shared" si="244"/>
        <v>1</v>
      </c>
      <c r="AA120" s="9">
        <f t="shared" si="244"/>
        <v>1</v>
      </c>
      <c r="AB120" s="9">
        <f t="shared" si="244"/>
        <v>1</v>
      </c>
      <c r="AC120" s="9">
        <f t="shared" si="244"/>
        <v>1</v>
      </c>
      <c r="AD120" s="9">
        <f t="shared" si="244"/>
        <v>1</v>
      </c>
      <c r="AE120" s="9">
        <f t="shared" si="244"/>
        <v>1</v>
      </c>
      <c r="AF120" s="9">
        <f t="shared" si="244"/>
        <v>1</v>
      </c>
      <c r="AG120" s="9">
        <f t="shared" si="244"/>
        <v>1</v>
      </c>
      <c r="AH120" s="9">
        <f t="shared" si="244"/>
        <v>1</v>
      </c>
      <c r="AI120" s="9">
        <f t="shared" si="244"/>
        <v>1</v>
      </c>
      <c r="AJ120" s="9">
        <f t="shared" si="244"/>
        <v>1</v>
      </c>
      <c r="AK120" s="9">
        <f t="shared" si="244"/>
        <v>1</v>
      </c>
      <c r="AL120" s="9">
        <f t="shared" si="244"/>
        <v>1</v>
      </c>
      <c r="AM120" s="9">
        <f t="shared" si="244"/>
        <v>1</v>
      </c>
      <c r="AN120" s="9">
        <f t="shared" si="244"/>
        <v>1</v>
      </c>
      <c r="AO120" s="9">
        <f t="shared" si="244"/>
        <v>1</v>
      </c>
      <c r="AP120" s="9">
        <f t="shared" si="244"/>
        <v>1</v>
      </c>
      <c r="AQ120" s="9">
        <f t="shared" si="244"/>
        <v>1</v>
      </c>
      <c r="AR120" s="9">
        <f t="shared" si="244"/>
        <v>1</v>
      </c>
      <c r="AS120" s="9">
        <f t="shared" si="244"/>
        <v>1</v>
      </c>
      <c r="AT120" s="9">
        <f t="shared" si="244"/>
        <v>1</v>
      </c>
      <c r="AU120" s="9">
        <f t="shared" si="244"/>
        <v>1</v>
      </c>
      <c r="AV120" s="9">
        <f t="shared" si="244"/>
        <v>1</v>
      </c>
      <c r="AW120" s="9">
        <f t="shared" si="244"/>
        <v>1</v>
      </c>
      <c r="AX120" s="9">
        <f t="shared" si="244"/>
        <v>1</v>
      </c>
      <c r="AY120" s="9">
        <f t="shared" si="244"/>
        <v>1</v>
      </c>
      <c r="AZ120" s="9">
        <f t="shared" si="244"/>
        <v>1</v>
      </c>
      <c r="BA120" s="9">
        <f t="shared" si="244"/>
        <v>1</v>
      </c>
      <c r="BB120" s="9">
        <f t="shared" si="244"/>
        <v>1</v>
      </c>
      <c r="BC120" s="9">
        <f t="shared" si="244"/>
        <v>1</v>
      </c>
      <c r="BD120" s="9">
        <f t="shared" si="244"/>
        <v>1</v>
      </c>
      <c r="BE120" s="9">
        <f t="shared" si="244"/>
        <v>1</v>
      </c>
      <c r="BF120" s="9">
        <f t="shared" si="244"/>
        <v>1</v>
      </c>
      <c r="BG120" s="9">
        <f t="shared" si="244"/>
        <v>1</v>
      </c>
      <c r="BH120" s="9">
        <f t="shared" si="244"/>
        <v>1</v>
      </c>
      <c r="BI120" s="9">
        <f t="shared" si="244"/>
        <v>1</v>
      </c>
      <c r="BJ120" s="9">
        <f t="shared" si="244"/>
        <v>1</v>
      </c>
      <c r="BK120" s="9">
        <f t="shared" si="244"/>
        <v>1</v>
      </c>
      <c r="BL120" s="9">
        <f t="shared" si="244"/>
        <v>1</v>
      </c>
      <c r="BM120" s="9">
        <f t="shared" si="244"/>
        <v>1</v>
      </c>
      <c r="BN120" s="9">
        <f t="shared" si="244"/>
        <v>1</v>
      </c>
      <c r="BO120" s="9">
        <f t="shared" si="244"/>
        <v>1</v>
      </c>
      <c r="BP120" s="9">
        <f t="shared" si="244"/>
        <v>1</v>
      </c>
      <c r="BQ120" s="9">
        <f t="shared" si="244"/>
        <v>1</v>
      </c>
      <c r="BR120" s="9">
        <f t="shared" si="244"/>
        <v>1</v>
      </c>
      <c r="BS120" s="9">
        <f t="shared" ref="BS120:ED120" si="245">IF(OR(BT28 = "", BT$8 &lt; BS$8), "", 1)</f>
        <v>1</v>
      </c>
      <c r="BT120" s="9">
        <f t="shared" si="245"/>
        <v>1</v>
      </c>
      <c r="BU120" s="9">
        <f t="shared" si="245"/>
        <v>1</v>
      </c>
      <c r="BV120" s="9" t="str">
        <f t="shared" si="245"/>
        <v/>
      </c>
      <c r="BW120" s="9" t="str">
        <f t="shared" si="245"/>
        <v/>
      </c>
      <c r="BX120" s="9" t="str">
        <f t="shared" si="245"/>
        <v/>
      </c>
      <c r="BY120" s="9" t="str">
        <f t="shared" si="245"/>
        <v/>
      </c>
      <c r="BZ120" s="9" t="str">
        <f t="shared" si="245"/>
        <v/>
      </c>
      <c r="CA120" s="9" t="str">
        <f t="shared" si="245"/>
        <v/>
      </c>
      <c r="CB120" s="9" t="str">
        <f t="shared" si="245"/>
        <v/>
      </c>
      <c r="CC120" s="9" t="str">
        <f t="shared" si="245"/>
        <v/>
      </c>
      <c r="CD120" s="9" t="str">
        <f t="shared" si="245"/>
        <v/>
      </c>
      <c r="CE120" s="9" t="str">
        <f t="shared" si="245"/>
        <v/>
      </c>
      <c r="CF120" s="9" t="str">
        <f t="shared" si="245"/>
        <v/>
      </c>
      <c r="CG120" s="9" t="str">
        <f t="shared" si="245"/>
        <v/>
      </c>
      <c r="CH120" s="9" t="str">
        <f t="shared" si="245"/>
        <v/>
      </c>
      <c r="CI120" s="9" t="str">
        <f t="shared" si="245"/>
        <v/>
      </c>
      <c r="CJ120" s="9" t="str">
        <f t="shared" si="245"/>
        <v/>
      </c>
      <c r="CK120" s="9" t="str">
        <f t="shared" si="245"/>
        <v/>
      </c>
      <c r="CL120" s="9" t="str">
        <f t="shared" si="245"/>
        <v/>
      </c>
      <c r="CM120" s="9" t="str">
        <f t="shared" si="245"/>
        <v/>
      </c>
      <c r="CN120" s="9" t="str">
        <f t="shared" si="245"/>
        <v/>
      </c>
      <c r="CO120" s="9" t="str">
        <f t="shared" si="245"/>
        <v/>
      </c>
      <c r="CP120" s="9" t="str">
        <f t="shared" si="245"/>
        <v/>
      </c>
      <c r="CQ120" s="9" t="str">
        <f t="shared" si="245"/>
        <v/>
      </c>
      <c r="CR120" s="9" t="str">
        <f t="shared" si="245"/>
        <v/>
      </c>
      <c r="CS120" s="9" t="str">
        <f t="shared" si="245"/>
        <v/>
      </c>
      <c r="CT120" s="9" t="str">
        <f t="shared" si="245"/>
        <v/>
      </c>
      <c r="CU120" s="9" t="str">
        <f t="shared" si="245"/>
        <v/>
      </c>
      <c r="CV120" s="9" t="str">
        <f t="shared" si="245"/>
        <v/>
      </c>
      <c r="CW120" s="9" t="str">
        <f t="shared" si="245"/>
        <v/>
      </c>
      <c r="CX120" s="9" t="str">
        <f t="shared" si="245"/>
        <v/>
      </c>
      <c r="CY120" s="9" t="str">
        <f t="shared" si="245"/>
        <v/>
      </c>
      <c r="CZ120" s="9" t="str">
        <f t="shared" si="245"/>
        <v/>
      </c>
      <c r="DA120" s="9" t="str">
        <f t="shared" si="245"/>
        <v/>
      </c>
      <c r="DB120" s="9" t="str">
        <f t="shared" si="245"/>
        <v/>
      </c>
      <c r="DC120" s="9" t="str">
        <f t="shared" si="245"/>
        <v/>
      </c>
      <c r="DD120" s="9" t="str">
        <f t="shared" si="245"/>
        <v/>
      </c>
      <c r="DE120" s="9" t="str">
        <f t="shared" si="245"/>
        <v/>
      </c>
      <c r="DF120" s="9" t="str">
        <f t="shared" si="245"/>
        <v/>
      </c>
      <c r="DG120" s="9" t="str">
        <f t="shared" si="245"/>
        <v/>
      </c>
      <c r="DH120" s="9" t="str">
        <f t="shared" si="245"/>
        <v/>
      </c>
      <c r="DI120" s="9" t="str">
        <f t="shared" si="245"/>
        <v/>
      </c>
      <c r="DJ120" s="9" t="str">
        <f t="shared" si="245"/>
        <v/>
      </c>
      <c r="DK120" s="9" t="str">
        <f t="shared" si="245"/>
        <v/>
      </c>
      <c r="DL120" s="9" t="str">
        <f t="shared" si="245"/>
        <v/>
      </c>
      <c r="DM120" s="9" t="str">
        <f t="shared" si="245"/>
        <v/>
      </c>
      <c r="DN120" s="9" t="str">
        <f t="shared" si="245"/>
        <v/>
      </c>
      <c r="DO120" s="9" t="str">
        <f t="shared" si="245"/>
        <v/>
      </c>
      <c r="DP120" s="9" t="str">
        <f t="shared" si="245"/>
        <v/>
      </c>
      <c r="DQ120" s="9" t="str">
        <f t="shared" si="245"/>
        <v/>
      </c>
      <c r="DR120" s="9" t="str">
        <f t="shared" si="245"/>
        <v/>
      </c>
      <c r="DS120" s="9" t="str">
        <f t="shared" si="245"/>
        <v/>
      </c>
      <c r="DT120" s="9" t="str">
        <f t="shared" si="245"/>
        <v/>
      </c>
      <c r="DU120" s="9" t="str">
        <f t="shared" si="245"/>
        <v/>
      </c>
      <c r="DV120" s="9" t="str">
        <f t="shared" si="245"/>
        <v/>
      </c>
      <c r="DW120" s="9" t="str">
        <f t="shared" si="245"/>
        <v/>
      </c>
      <c r="DX120" s="9" t="str">
        <f t="shared" si="245"/>
        <v/>
      </c>
      <c r="DY120" s="9" t="str">
        <f t="shared" si="245"/>
        <v/>
      </c>
      <c r="DZ120" s="9" t="str">
        <f t="shared" si="245"/>
        <v/>
      </c>
      <c r="EA120" s="9" t="str">
        <f t="shared" si="245"/>
        <v/>
      </c>
      <c r="EB120" s="9">
        <f t="shared" si="245"/>
        <v>1</v>
      </c>
      <c r="EC120" s="9">
        <f t="shared" si="245"/>
        <v>1</v>
      </c>
      <c r="ED120" s="9">
        <f t="shared" si="245"/>
        <v>1</v>
      </c>
      <c r="EE120" s="9">
        <f t="shared" ref="EE120:GP120" si="246">IF(OR(EF28 = "", EF$8 &lt; EE$8), "", 1)</f>
        <v>1</v>
      </c>
      <c r="EF120" s="9">
        <f t="shared" si="246"/>
        <v>1</v>
      </c>
      <c r="EG120" s="9">
        <f t="shared" si="246"/>
        <v>1</v>
      </c>
      <c r="EH120" s="9">
        <f t="shared" si="246"/>
        <v>1</v>
      </c>
      <c r="EI120" s="9">
        <f t="shared" si="246"/>
        <v>1</v>
      </c>
      <c r="EJ120" s="9">
        <f t="shared" si="246"/>
        <v>1</v>
      </c>
      <c r="EK120" s="9">
        <f t="shared" si="246"/>
        <v>1</v>
      </c>
      <c r="EL120" s="9">
        <f t="shared" si="246"/>
        <v>1</v>
      </c>
      <c r="EM120" s="9">
        <f t="shared" si="246"/>
        <v>1</v>
      </c>
      <c r="EN120" s="9">
        <f t="shared" si="246"/>
        <v>1</v>
      </c>
      <c r="EO120" s="9">
        <f t="shared" si="246"/>
        <v>1</v>
      </c>
      <c r="EP120" s="9">
        <f t="shared" si="246"/>
        <v>1</v>
      </c>
      <c r="EQ120" s="9">
        <f t="shared" si="246"/>
        <v>1</v>
      </c>
      <c r="ER120" s="9">
        <f t="shared" si="246"/>
        <v>1</v>
      </c>
      <c r="ES120" s="9">
        <f t="shared" si="246"/>
        <v>1</v>
      </c>
      <c r="ET120" s="9">
        <f t="shared" si="246"/>
        <v>1</v>
      </c>
      <c r="EU120" s="9">
        <f t="shared" si="246"/>
        <v>1</v>
      </c>
      <c r="EV120" s="9">
        <f t="shared" si="246"/>
        <v>1</v>
      </c>
      <c r="EW120" s="9">
        <f t="shared" si="246"/>
        <v>1</v>
      </c>
      <c r="EX120" s="9">
        <f t="shared" si="246"/>
        <v>1</v>
      </c>
      <c r="EY120" s="9">
        <f t="shared" si="246"/>
        <v>1</v>
      </c>
      <c r="EZ120" s="9">
        <f t="shared" si="246"/>
        <v>1</v>
      </c>
      <c r="FA120" s="9">
        <f t="shared" si="246"/>
        <v>1</v>
      </c>
      <c r="FB120" s="9">
        <f t="shared" si="246"/>
        <v>1</v>
      </c>
      <c r="FC120" s="9">
        <f t="shared" si="246"/>
        <v>1</v>
      </c>
      <c r="FD120" s="9">
        <f t="shared" si="246"/>
        <v>1</v>
      </c>
      <c r="FE120" s="9">
        <f t="shared" si="246"/>
        <v>1</v>
      </c>
      <c r="FF120" s="9">
        <f t="shared" si="246"/>
        <v>1</v>
      </c>
      <c r="FG120" s="9">
        <f t="shared" si="246"/>
        <v>1</v>
      </c>
      <c r="FH120" s="9">
        <f t="shared" si="246"/>
        <v>1</v>
      </c>
      <c r="FI120" s="9">
        <f t="shared" si="246"/>
        <v>1</v>
      </c>
      <c r="FJ120" s="9">
        <f t="shared" si="246"/>
        <v>1</v>
      </c>
      <c r="FK120" s="9">
        <f t="shared" si="246"/>
        <v>1</v>
      </c>
      <c r="FL120" s="9">
        <f t="shared" si="246"/>
        <v>1</v>
      </c>
      <c r="FM120" s="9">
        <f t="shared" si="246"/>
        <v>1</v>
      </c>
      <c r="FN120" s="9">
        <f t="shared" si="246"/>
        <v>1</v>
      </c>
      <c r="FO120" s="9">
        <f t="shared" si="246"/>
        <v>1</v>
      </c>
      <c r="FP120" s="9">
        <f t="shared" si="246"/>
        <v>1</v>
      </c>
      <c r="FQ120" s="9">
        <f t="shared" si="246"/>
        <v>1</v>
      </c>
      <c r="FR120" s="9">
        <f t="shared" si="246"/>
        <v>1</v>
      </c>
      <c r="FS120" s="9">
        <f t="shared" si="246"/>
        <v>1</v>
      </c>
      <c r="FT120" s="9">
        <f t="shared" si="246"/>
        <v>1</v>
      </c>
      <c r="FU120" s="9">
        <f t="shared" si="246"/>
        <v>1</v>
      </c>
      <c r="FV120" s="9">
        <f t="shared" si="246"/>
        <v>1</v>
      </c>
      <c r="FW120" s="9">
        <f t="shared" si="246"/>
        <v>1</v>
      </c>
      <c r="FX120" s="9">
        <f t="shared" si="246"/>
        <v>1</v>
      </c>
      <c r="FY120" s="9">
        <f t="shared" si="246"/>
        <v>1</v>
      </c>
      <c r="FZ120" s="9">
        <f t="shared" si="246"/>
        <v>1</v>
      </c>
      <c r="GA120" s="9">
        <f t="shared" si="246"/>
        <v>1</v>
      </c>
      <c r="GB120" s="9">
        <f t="shared" si="246"/>
        <v>1</v>
      </c>
      <c r="GC120" s="9">
        <f t="shared" si="246"/>
        <v>1</v>
      </c>
      <c r="GD120" s="9">
        <f t="shared" si="246"/>
        <v>1</v>
      </c>
      <c r="GE120" s="9">
        <f t="shared" si="246"/>
        <v>1</v>
      </c>
      <c r="GF120" s="9">
        <f t="shared" si="246"/>
        <v>1</v>
      </c>
      <c r="GG120" s="9">
        <f t="shared" si="246"/>
        <v>1</v>
      </c>
      <c r="GH120" s="9">
        <f t="shared" si="246"/>
        <v>1</v>
      </c>
      <c r="GI120" s="9">
        <f t="shared" si="246"/>
        <v>1</v>
      </c>
      <c r="GJ120" s="9">
        <f t="shared" si="246"/>
        <v>1</v>
      </c>
      <c r="GK120" s="9">
        <f t="shared" si="246"/>
        <v>1</v>
      </c>
      <c r="GL120" s="9">
        <f t="shared" si="246"/>
        <v>1</v>
      </c>
      <c r="GM120" s="9">
        <f t="shared" si="246"/>
        <v>1</v>
      </c>
      <c r="GN120" s="9">
        <f t="shared" si="246"/>
        <v>1</v>
      </c>
      <c r="GO120" s="9">
        <f t="shared" si="246"/>
        <v>1</v>
      </c>
      <c r="GP120" s="9">
        <f t="shared" si="246"/>
        <v>1</v>
      </c>
      <c r="GQ120" s="9" t="str">
        <f t="shared" ref="GQ120:IV120" si="247">IF(OR(GR28 = "", GR$8 &lt; GQ$8), "", 1)</f>
        <v/>
      </c>
      <c r="GR120" s="9" t="str">
        <f t="shared" si="247"/>
        <v/>
      </c>
      <c r="GS120" s="9" t="str">
        <f t="shared" si="247"/>
        <v/>
      </c>
      <c r="GT120" s="9" t="str">
        <f t="shared" si="247"/>
        <v/>
      </c>
      <c r="GU120" s="9" t="str">
        <f t="shared" si="247"/>
        <v/>
      </c>
      <c r="GV120" s="9" t="str">
        <f t="shared" si="247"/>
        <v/>
      </c>
      <c r="GW120" s="9" t="str">
        <f t="shared" si="247"/>
        <v/>
      </c>
      <c r="GX120" s="9" t="str">
        <f t="shared" si="247"/>
        <v/>
      </c>
      <c r="GY120" s="9" t="str">
        <f t="shared" si="247"/>
        <v/>
      </c>
      <c r="GZ120" s="9" t="str">
        <f t="shared" si="247"/>
        <v/>
      </c>
      <c r="HA120" s="9" t="str">
        <f t="shared" si="247"/>
        <v/>
      </c>
      <c r="HB120" s="9" t="str">
        <f t="shared" si="247"/>
        <v/>
      </c>
      <c r="HC120" s="9" t="str">
        <f t="shared" si="247"/>
        <v/>
      </c>
      <c r="HD120" s="9" t="str">
        <f t="shared" si="247"/>
        <v/>
      </c>
      <c r="HE120" s="9" t="str">
        <f t="shared" si="247"/>
        <v/>
      </c>
      <c r="HF120" s="9" t="str">
        <f t="shared" si="247"/>
        <v/>
      </c>
      <c r="HG120" s="9" t="str">
        <f t="shared" si="247"/>
        <v/>
      </c>
      <c r="HH120" s="9" t="str">
        <f t="shared" si="247"/>
        <v/>
      </c>
      <c r="HI120" s="9" t="str">
        <f t="shared" si="247"/>
        <v/>
      </c>
      <c r="HJ120" s="9" t="str">
        <f t="shared" si="247"/>
        <v/>
      </c>
      <c r="HK120" s="9" t="str">
        <f t="shared" si="247"/>
        <v/>
      </c>
      <c r="HL120" s="9" t="str">
        <f t="shared" si="247"/>
        <v/>
      </c>
      <c r="HM120" s="9" t="str">
        <f t="shared" si="247"/>
        <v/>
      </c>
      <c r="HN120" s="9" t="str">
        <f t="shared" si="247"/>
        <v/>
      </c>
      <c r="HO120" s="9" t="str">
        <f t="shared" si="247"/>
        <v/>
      </c>
      <c r="HP120" s="9" t="str">
        <f t="shared" si="247"/>
        <v/>
      </c>
      <c r="HQ120" s="9" t="str">
        <f t="shared" si="247"/>
        <v/>
      </c>
      <c r="HR120" s="9" t="str">
        <f t="shared" si="247"/>
        <v/>
      </c>
      <c r="HS120" s="9" t="str">
        <f t="shared" si="247"/>
        <v/>
      </c>
      <c r="HT120" s="9" t="str">
        <f t="shared" si="247"/>
        <v/>
      </c>
      <c r="HU120" s="9" t="str">
        <f t="shared" si="247"/>
        <v/>
      </c>
      <c r="HV120" s="9" t="str">
        <f t="shared" si="247"/>
        <v/>
      </c>
      <c r="HW120" s="9" t="str">
        <f t="shared" si="247"/>
        <v/>
      </c>
      <c r="HX120" s="9" t="str">
        <f t="shared" si="247"/>
        <v/>
      </c>
      <c r="HY120" s="9" t="str">
        <f t="shared" si="247"/>
        <v/>
      </c>
      <c r="HZ120" s="9" t="str">
        <f t="shared" si="247"/>
        <v/>
      </c>
      <c r="IA120" s="9" t="str">
        <f t="shared" si="247"/>
        <v/>
      </c>
      <c r="IB120" s="9" t="str">
        <f t="shared" si="247"/>
        <v/>
      </c>
      <c r="IC120" s="9" t="str">
        <f t="shared" si="247"/>
        <v/>
      </c>
      <c r="ID120" s="9" t="str">
        <f t="shared" si="247"/>
        <v/>
      </c>
      <c r="IE120" s="9" t="str">
        <f t="shared" si="247"/>
        <v/>
      </c>
      <c r="IF120" s="9" t="str">
        <f t="shared" si="247"/>
        <v/>
      </c>
      <c r="IG120" s="9" t="str">
        <f t="shared" si="247"/>
        <v/>
      </c>
      <c r="IH120" s="9" t="str">
        <f t="shared" si="247"/>
        <v/>
      </c>
      <c r="II120" s="9" t="str">
        <f t="shared" si="247"/>
        <v/>
      </c>
      <c r="IJ120" s="9" t="str">
        <f t="shared" si="247"/>
        <v/>
      </c>
      <c r="IK120" s="9" t="str">
        <f t="shared" si="247"/>
        <v/>
      </c>
      <c r="IL120" s="9" t="str">
        <f t="shared" si="247"/>
        <v/>
      </c>
      <c r="IM120" s="9" t="str">
        <f t="shared" si="247"/>
        <v/>
      </c>
      <c r="IN120" s="9" t="str">
        <f t="shared" si="247"/>
        <v/>
      </c>
      <c r="IO120" s="9" t="str">
        <f t="shared" si="247"/>
        <v/>
      </c>
      <c r="IP120" s="9" t="str">
        <f t="shared" si="247"/>
        <v/>
      </c>
      <c r="IQ120" s="9" t="str">
        <f t="shared" si="247"/>
        <v/>
      </c>
      <c r="IR120" s="9" t="str">
        <f t="shared" si="247"/>
        <v/>
      </c>
      <c r="IS120" s="9" t="str">
        <f t="shared" si="247"/>
        <v/>
      </c>
      <c r="IT120" s="9" t="str">
        <f t="shared" si="247"/>
        <v/>
      </c>
      <c r="IU120" s="9" t="str">
        <f t="shared" si="247"/>
        <v/>
      </c>
      <c r="IV120" s="9" t="str">
        <f t="shared" si="247"/>
        <v/>
      </c>
    </row>
    <row r="121" spans="6:256" x14ac:dyDescent="0.2">
      <c r="F121">
        <v>201903</v>
      </c>
      <c r="G121" s="9">
        <f t="shared" ref="G121:BR121" si="248">IF(OR(H29 = "", H$8 &lt; G$8), "", 1)</f>
        <v>1</v>
      </c>
      <c r="H121" s="9">
        <f t="shared" si="248"/>
        <v>1</v>
      </c>
      <c r="I121" s="9">
        <f t="shared" si="248"/>
        <v>1</v>
      </c>
      <c r="J121" s="9">
        <f t="shared" si="248"/>
        <v>1</v>
      </c>
      <c r="K121" s="9">
        <f t="shared" si="248"/>
        <v>1</v>
      </c>
      <c r="L121" s="9">
        <f t="shared" si="248"/>
        <v>1</v>
      </c>
      <c r="M121" s="9">
        <f t="shared" si="248"/>
        <v>1</v>
      </c>
      <c r="N121" s="9">
        <f t="shared" si="248"/>
        <v>1</v>
      </c>
      <c r="O121" s="9">
        <f t="shared" si="248"/>
        <v>1</v>
      </c>
      <c r="P121" s="9">
        <f t="shared" si="248"/>
        <v>1</v>
      </c>
      <c r="Q121" s="9">
        <f t="shared" si="248"/>
        <v>1</v>
      </c>
      <c r="R121" s="9">
        <f t="shared" si="248"/>
        <v>1</v>
      </c>
      <c r="S121" s="9">
        <f t="shared" si="248"/>
        <v>1</v>
      </c>
      <c r="T121" s="9">
        <f t="shared" si="248"/>
        <v>1</v>
      </c>
      <c r="U121" s="9">
        <f t="shared" si="248"/>
        <v>1</v>
      </c>
      <c r="V121" s="9">
        <f t="shared" si="248"/>
        <v>1</v>
      </c>
      <c r="W121" s="9">
        <f t="shared" si="248"/>
        <v>1</v>
      </c>
      <c r="X121" s="9">
        <f t="shared" si="248"/>
        <v>1</v>
      </c>
      <c r="Y121" s="9">
        <f t="shared" si="248"/>
        <v>1</v>
      </c>
      <c r="Z121" s="9">
        <f t="shared" si="248"/>
        <v>1</v>
      </c>
      <c r="AA121" s="9">
        <f t="shared" si="248"/>
        <v>1</v>
      </c>
      <c r="AB121" s="9">
        <f t="shared" si="248"/>
        <v>1</v>
      </c>
      <c r="AC121" s="9">
        <f t="shared" si="248"/>
        <v>1</v>
      </c>
      <c r="AD121" s="9">
        <f t="shared" si="248"/>
        <v>1</v>
      </c>
      <c r="AE121" s="9">
        <f t="shared" si="248"/>
        <v>1</v>
      </c>
      <c r="AF121" s="9">
        <f t="shared" si="248"/>
        <v>1</v>
      </c>
      <c r="AG121" s="9">
        <f t="shared" si="248"/>
        <v>1</v>
      </c>
      <c r="AH121" s="9">
        <f t="shared" si="248"/>
        <v>1</v>
      </c>
      <c r="AI121" s="9">
        <f t="shared" si="248"/>
        <v>1</v>
      </c>
      <c r="AJ121" s="9">
        <f t="shared" si="248"/>
        <v>1</v>
      </c>
      <c r="AK121" s="9">
        <f t="shared" si="248"/>
        <v>1</v>
      </c>
      <c r="AL121" s="9">
        <f t="shared" si="248"/>
        <v>1</v>
      </c>
      <c r="AM121" s="9">
        <f t="shared" si="248"/>
        <v>1</v>
      </c>
      <c r="AN121" s="9">
        <f t="shared" si="248"/>
        <v>1</v>
      </c>
      <c r="AO121" s="9">
        <f t="shared" si="248"/>
        <v>1</v>
      </c>
      <c r="AP121" s="9">
        <f t="shared" si="248"/>
        <v>1</v>
      </c>
      <c r="AQ121" s="9">
        <f t="shared" si="248"/>
        <v>1</v>
      </c>
      <c r="AR121" s="9">
        <f t="shared" si="248"/>
        <v>1</v>
      </c>
      <c r="AS121" s="9">
        <f t="shared" si="248"/>
        <v>1</v>
      </c>
      <c r="AT121" s="9">
        <f t="shared" si="248"/>
        <v>1</v>
      </c>
      <c r="AU121" s="9">
        <f t="shared" si="248"/>
        <v>1</v>
      </c>
      <c r="AV121" s="9">
        <f t="shared" si="248"/>
        <v>1</v>
      </c>
      <c r="AW121" s="9">
        <f t="shared" si="248"/>
        <v>1</v>
      </c>
      <c r="AX121" s="9">
        <f t="shared" si="248"/>
        <v>1</v>
      </c>
      <c r="AY121" s="9">
        <f t="shared" si="248"/>
        <v>1</v>
      </c>
      <c r="AZ121" s="9">
        <f t="shared" si="248"/>
        <v>1</v>
      </c>
      <c r="BA121" s="9">
        <f t="shared" si="248"/>
        <v>1</v>
      </c>
      <c r="BB121" s="9">
        <f t="shared" si="248"/>
        <v>1</v>
      </c>
      <c r="BC121" s="9">
        <f t="shared" si="248"/>
        <v>1</v>
      </c>
      <c r="BD121" s="9">
        <f t="shared" si="248"/>
        <v>1</v>
      </c>
      <c r="BE121" s="9">
        <f t="shared" si="248"/>
        <v>1</v>
      </c>
      <c r="BF121" s="9">
        <f t="shared" si="248"/>
        <v>1</v>
      </c>
      <c r="BG121" s="9">
        <f t="shared" si="248"/>
        <v>1</v>
      </c>
      <c r="BH121" s="9">
        <f t="shared" si="248"/>
        <v>1</v>
      </c>
      <c r="BI121" s="9">
        <f t="shared" si="248"/>
        <v>1</v>
      </c>
      <c r="BJ121" s="9">
        <f t="shared" si="248"/>
        <v>1</v>
      </c>
      <c r="BK121" s="9">
        <f t="shared" si="248"/>
        <v>1</v>
      </c>
      <c r="BL121" s="9">
        <f t="shared" si="248"/>
        <v>1</v>
      </c>
      <c r="BM121" s="9">
        <f t="shared" si="248"/>
        <v>1</v>
      </c>
      <c r="BN121" s="9">
        <f t="shared" si="248"/>
        <v>1</v>
      </c>
      <c r="BO121" s="9">
        <f t="shared" si="248"/>
        <v>1</v>
      </c>
      <c r="BP121" s="9">
        <f t="shared" si="248"/>
        <v>1</v>
      </c>
      <c r="BQ121" s="9">
        <f t="shared" si="248"/>
        <v>1</v>
      </c>
      <c r="BR121" s="9">
        <f t="shared" si="248"/>
        <v>1</v>
      </c>
      <c r="BS121" s="9" t="str">
        <f t="shared" ref="BS121:ED121" si="249">IF(OR(BT29 = "", BT$8 &lt; BS$8), "", 1)</f>
        <v/>
      </c>
      <c r="BT121" s="9" t="str">
        <f t="shared" si="249"/>
        <v/>
      </c>
      <c r="BU121" s="9" t="str">
        <f t="shared" si="249"/>
        <v/>
      </c>
      <c r="BV121" s="9" t="str">
        <f t="shared" si="249"/>
        <v/>
      </c>
      <c r="BW121" s="9" t="str">
        <f t="shared" si="249"/>
        <v/>
      </c>
      <c r="BX121" s="9" t="str">
        <f t="shared" si="249"/>
        <v/>
      </c>
      <c r="BY121" s="9" t="str">
        <f t="shared" si="249"/>
        <v/>
      </c>
      <c r="BZ121" s="9" t="str">
        <f t="shared" si="249"/>
        <v/>
      </c>
      <c r="CA121" s="9" t="str">
        <f t="shared" si="249"/>
        <v/>
      </c>
      <c r="CB121" s="9" t="str">
        <f t="shared" si="249"/>
        <v/>
      </c>
      <c r="CC121" s="9" t="str">
        <f t="shared" si="249"/>
        <v/>
      </c>
      <c r="CD121" s="9" t="str">
        <f t="shared" si="249"/>
        <v/>
      </c>
      <c r="CE121" s="9" t="str">
        <f t="shared" si="249"/>
        <v/>
      </c>
      <c r="CF121" s="9" t="str">
        <f t="shared" si="249"/>
        <v/>
      </c>
      <c r="CG121" s="9" t="str">
        <f t="shared" si="249"/>
        <v/>
      </c>
      <c r="CH121" s="9" t="str">
        <f t="shared" si="249"/>
        <v/>
      </c>
      <c r="CI121" s="9" t="str">
        <f t="shared" si="249"/>
        <v/>
      </c>
      <c r="CJ121" s="9" t="str">
        <f t="shared" si="249"/>
        <v/>
      </c>
      <c r="CK121" s="9" t="str">
        <f t="shared" si="249"/>
        <v/>
      </c>
      <c r="CL121" s="9" t="str">
        <f t="shared" si="249"/>
        <v/>
      </c>
      <c r="CM121" s="9" t="str">
        <f t="shared" si="249"/>
        <v/>
      </c>
      <c r="CN121" s="9" t="str">
        <f t="shared" si="249"/>
        <v/>
      </c>
      <c r="CO121" s="9" t="str">
        <f t="shared" si="249"/>
        <v/>
      </c>
      <c r="CP121" s="9" t="str">
        <f t="shared" si="249"/>
        <v/>
      </c>
      <c r="CQ121" s="9" t="str">
        <f t="shared" si="249"/>
        <v/>
      </c>
      <c r="CR121" s="9" t="str">
        <f t="shared" si="249"/>
        <v/>
      </c>
      <c r="CS121" s="9" t="str">
        <f t="shared" si="249"/>
        <v/>
      </c>
      <c r="CT121" s="9" t="str">
        <f t="shared" si="249"/>
        <v/>
      </c>
      <c r="CU121" s="9" t="str">
        <f t="shared" si="249"/>
        <v/>
      </c>
      <c r="CV121" s="9" t="str">
        <f t="shared" si="249"/>
        <v/>
      </c>
      <c r="CW121" s="9" t="str">
        <f t="shared" si="249"/>
        <v/>
      </c>
      <c r="CX121" s="9" t="str">
        <f t="shared" si="249"/>
        <v/>
      </c>
      <c r="CY121" s="9" t="str">
        <f t="shared" si="249"/>
        <v/>
      </c>
      <c r="CZ121" s="9" t="str">
        <f t="shared" si="249"/>
        <v/>
      </c>
      <c r="DA121" s="9" t="str">
        <f t="shared" si="249"/>
        <v/>
      </c>
      <c r="DB121" s="9" t="str">
        <f t="shared" si="249"/>
        <v/>
      </c>
      <c r="DC121" s="9" t="str">
        <f t="shared" si="249"/>
        <v/>
      </c>
      <c r="DD121" s="9" t="str">
        <f t="shared" si="249"/>
        <v/>
      </c>
      <c r="DE121" s="9" t="str">
        <f t="shared" si="249"/>
        <v/>
      </c>
      <c r="DF121" s="9" t="str">
        <f t="shared" si="249"/>
        <v/>
      </c>
      <c r="DG121" s="9" t="str">
        <f t="shared" si="249"/>
        <v/>
      </c>
      <c r="DH121" s="9" t="str">
        <f t="shared" si="249"/>
        <v/>
      </c>
      <c r="DI121" s="9" t="str">
        <f t="shared" si="249"/>
        <v/>
      </c>
      <c r="DJ121" s="9" t="str">
        <f t="shared" si="249"/>
        <v/>
      </c>
      <c r="DK121" s="9" t="str">
        <f t="shared" si="249"/>
        <v/>
      </c>
      <c r="DL121" s="9" t="str">
        <f t="shared" si="249"/>
        <v/>
      </c>
      <c r="DM121" s="9" t="str">
        <f t="shared" si="249"/>
        <v/>
      </c>
      <c r="DN121" s="9" t="str">
        <f t="shared" si="249"/>
        <v/>
      </c>
      <c r="DO121" s="9" t="str">
        <f t="shared" si="249"/>
        <v/>
      </c>
      <c r="DP121" s="9" t="str">
        <f t="shared" si="249"/>
        <v/>
      </c>
      <c r="DQ121" s="9" t="str">
        <f t="shared" si="249"/>
        <v/>
      </c>
      <c r="DR121" s="9" t="str">
        <f t="shared" si="249"/>
        <v/>
      </c>
      <c r="DS121" s="9" t="str">
        <f t="shared" si="249"/>
        <v/>
      </c>
      <c r="DT121" s="9" t="str">
        <f t="shared" si="249"/>
        <v/>
      </c>
      <c r="DU121" s="9" t="str">
        <f t="shared" si="249"/>
        <v/>
      </c>
      <c r="DV121" s="9" t="str">
        <f t="shared" si="249"/>
        <v/>
      </c>
      <c r="DW121" s="9" t="str">
        <f t="shared" si="249"/>
        <v/>
      </c>
      <c r="DX121" s="9" t="str">
        <f t="shared" si="249"/>
        <v/>
      </c>
      <c r="DY121" s="9" t="str">
        <f t="shared" si="249"/>
        <v/>
      </c>
      <c r="DZ121" s="9" t="str">
        <f t="shared" si="249"/>
        <v/>
      </c>
      <c r="EA121" s="9" t="str">
        <f t="shared" si="249"/>
        <v/>
      </c>
      <c r="EB121" s="9">
        <f t="shared" si="249"/>
        <v>1</v>
      </c>
      <c r="EC121" s="9">
        <f t="shared" si="249"/>
        <v>1</v>
      </c>
      <c r="ED121" s="9">
        <f t="shared" si="249"/>
        <v>1</v>
      </c>
      <c r="EE121" s="9">
        <f t="shared" ref="EE121:GP121" si="250">IF(OR(EF29 = "", EF$8 &lt; EE$8), "", 1)</f>
        <v>1</v>
      </c>
      <c r="EF121" s="9">
        <f t="shared" si="250"/>
        <v>1</v>
      </c>
      <c r="EG121" s="9">
        <f t="shared" si="250"/>
        <v>1</v>
      </c>
      <c r="EH121" s="9">
        <f t="shared" si="250"/>
        <v>1</v>
      </c>
      <c r="EI121" s="9">
        <f t="shared" si="250"/>
        <v>1</v>
      </c>
      <c r="EJ121" s="9">
        <f t="shared" si="250"/>
        <v>1</v>
      </c>
      <c r="EK121" s="9">
        <f t="shared" si="250"/>
        <v>1</v>
      </c>
      <c r="EL121" s="9">
        <f t="shared" si="250"/>
        <v>1</v>
      </c>
      <c r="EM121" s="9">
        <f t="shared" si="250"/>
        <v>1</v>
      </c>
      <c r="EN121" s="9">
        <f t="shared" si="250"/>
        <v>1</v>
      </c>
      <c r="EO121" s="9">
        <f t="shared" si="250"/>
        <v>1</v>
      </c>
      <c r="EP121" s="9">
        <f t="shared" si="250"/>
        <v>1</v>
      </c>
      <c r="EQ121" s="9">
        <f t="shared" si="250"/>
        <v>1</v>
      </c>
      <c r="ER121" s="9">
        <f t="shared" si="250"/>
        <v>1</v>
      </c>
      <c r="ES121" s="9">
        <f t="shared" si="250"/>
        <v>1</v>
      </c>
      <c r="ET121" s="9">
        <f t="shared" si="250"/>
        <v>1</v>
      </c>
      <c r="EU121" s="9">
        <f t="shared" si="250"/>
        <v>1</v>
      </c>
      <c r="EV121" s="9">
        <f t="shared" si="250"/>
        <v>1</v>
      </c>
      <c r="EW121" s="9">
        <f t="shared" si="250"/>
        <v>1</v>
      </c>
      <c r="EX121" s="9">
        <f t="shared" si="250"/>
        <v>1</v>
      </c>
      <c r="EY121" s="9">
        <f t="shared" si="250"/>
        <v>1</v>
      </c>
      <c r="EZ121" s="9">
        <f t="shared" si="250"/>
        <v>1</v>
      </c>
      <c r="FA121" s="9">
        <f t="shared" si="250"/>
        <v>1</v>
      </c>
      <c r="FB121" s="9">
        <f t="shared" si="250"/>
        <v>1</v>
      </c>
      <c r="FC121" s="9">
        <f t="shared" si="250"/>
        <v>1</v>
      </c>
      <c r="FD121" s="9">
        <f t="shared" si="250"/>
        <v>1</v>
      </c>
      <c r="FE121" s="9">
        <f t="shared" si="250"/>
        <v>1</v>
      </c>
      <c r="FF121" s="9">
        <f t="shared" si="250"/>
        <v>1</v>
      </c>
      <c r="FG121" s="9">
        <f t="shared" si="250"/>
        <v>1</v>
      </c>
      <c r="FH121" s="9">
        <f t="shared" si="250"/>
        <v>1</v>
      </c>
      <c r="FI121" s="9">
        <f t="shared" si="250"/>
        <v>1</v>
      </c>
      <c r="FJ121" s="9">
        <f t="shared" si="250"/>
        <v>1</v>
      </c>
      <c r="FK121" s="9">
        <f t="shared" si="250"/>
        <v>1</v>
      </c>
      <c r="FL121" s="9">
        <f t="shared" si="250"/>
        <v>1</v>
      </c>
      <c r="FM121" s="9">
        <f t="shared" si="250"/>
        <v>1</v>
      </c>
      <c r="FN121" s="9">
        <f t="shared" si="250"/>
        <v>1</v>
      </c>
      <c r="FO121" s="9">
        <f t="shared" si="250"/>
        <v>1</v>
      </c>
      <c r="FP121" s="9">
        <f t="shared" si="250"/>
        <v>1</v>
      </c>
      <c r="FQ121" s="9">
        <f t="shared" si="250"/>
        <v>1</v>
      </c>
      <c r="FR121" s="9">
        <f t="shared" si="250"/>
        <v>1</v>
      </c>
      <c r="FS121" s="9">
        <f t="shared" si="250"/>
        <v>1</v>
      </c>
      <c r="FT121" s="9">
        <f t="shared" si="250"/>
        <v>1</v>
      </c>
      <c r="FU121" s="9">
        <f t="shared" si="250"/>
        <v>1</v>
      </c>
      <c r="FV121" s="9">
        <f t="shared" si="250"/>
        <v>1</v>
      </c>
      <c r="FW121" s="9">
        <f t="shared" si="250"/>
        <v>1</v>
      </c>
      <c r="FX121" s="9">
        <f t="shared" si="250"/>
        <v>1</v>
      </c>
      <c r="FY121" s="9">
        <f t="shared" si="250"/>
        <v>1</v>
      </c>
      <c r="FZ121" s="9">
        <f t="shared" si="250"/>
        <v>1</v>
      </c>
      <c r="GA121" s="9">
        <f t="shared" si="250"/>
        <v>1</v>
      </c>
      <c r="GB121" s="9">
        <f t="shared" si="250"/>
        <v>1</v>
      </c>
      <c r="GC121" s="9">
        <f t="shared" si="250"/>
        <v>1</v>
      </c>
      <c r="GD121" s="9">
        <f t="shared" si="250"/>
        <v>1</v>
      </c>
      <c r="GE121" s="9">
        <f t="shared" si="250"/>
        <v>1</v>
      </c>
      <c r="GF121" s="9">
        <f t="shared" si="250"/>
        <v>1</v>
      </c>
      <c r="GG121" s="9">
        <f t="shared" si="250"/>
        <v>1</v>
      </c>
      <c r="GH121" s="9">
        <f t="shared" si="250"/>
        <v>1</v>
      </c>
      <c r="GI121" s="9">
        <f t="shared" si="250"/>
        <v>1</v>
      </c>
      <c r="GJ121" s="9">
        <f t="shared" si="250"/>
        <v>1</v>
      </c>
      <c r="GK121" s="9">
        <f t="shared" si="250"/>
        <v>1</v>
      </c>
      <c r="GL121" s="9">
        <f t="shared" si="250"/>
        <v>1</v>
      </c>
      <c r="GM121" s="9">
        <f t="shared" si="250"/>
        <v>1</v>
      </c>
      <c r="GN121" s="9" t="str">
        <f t="shared" si="250"/>
        <v/>
      </c>
      <c r="GO121" s="9" t="str">
        <f t="shared" si="250"/>
        <v/>
      </c>
      <c r="GP121" s="9" t="str">
        <f t="shared" si="250"/>
        <v/>
      </c>
      <c r="GQ121" s="9" t="str">
        <f t="shared" ref="GQ121:IV121" si="251">IF(OR(GR29 = "", GR$8 &lt; GQ$8), "", 1)</f>
        <v/>
      </c>
      <c r="GR121" s="9" t="str">
        <f t="shared" si="251"/>
        <v/>
      </c>
      <c r="GS121" s="9" t="str">
        <f t="shared" si="251"/>
        <v/>
      </c>
      <c r="GT121" s="9" t="str">
        <f t="shared" si="251"/>
        <v/>
      </c>
      <c r="GU121" s="9" t="str">
        <f t="shared" si="251"/>
        <v/>
      </c>
      <c r="GV121" s="9" t="str">
        <f t="shared" si="251"/>
        <v/>
      </c>
      <c r="GW121" s="9" t="str">
        <f t="shared" si="251"/>
        <v/>
      </c>
      <c r="GX121" s="9" t="str">
        <f t="shared" si="251"/>
        <v/>
      </c>
      <c r="GY121" s="9" t="str">
        <f t="shared" si="251"/>
        <v/>
      </c>
      <c r="GZ121" s="9" t="str">
        <f t="shared" si="251"/>
        <v/>
      </c>
      <c r="HA121" s="9" t="str">
        <f t="shared" si="251"/>
        <v/>
      </c>
      <c r="HB121" s="9" t="str">
        <f t="shared" si="251"/>
        <v/>
      </c>
      <c r="HC121" s="9" t="str">
        <f t="shared" si="251"/>
        <v/>
      </c>
      <c r="HD121" s="9" t="str">
        <f t="shared" si="251"/>
        <v/>
      </c>
      <c r="HE121" s="9" t="str">
        <f t="shared" si="251"/>
        <v/>
      </c>
      <c r="HF121" s="9" t="str">
        <f t="shared" si="251"/>
        <v/>
      </c>
      <c r="HG121" s="9" t="str">
        <f t="shared" si="251"/>
        <v/>
      </c>
      <c r="HH121" s="9" t="str">
        <f t="shared" si="251"/>
        <v/>
      </c>
      <c r="HI121" s="9" t="str">
        <f t="shared" si="251"/>
        <v/>
      </c>
      <c r="HJ121" s="9" t="str">
        <f t="shared" si="251"/>
        <v/>
      </c>
      <c r="HK121" s="9" t="str">
        <f t="shared" si="251"/>
        <v/>
      </c>
      <c r="HL121" s="9" t="str">
        <f t="shared" si="251"/>
        <v/>
      </c>
      <c r="HM121" s="9" t="str">
        <f t="shared" si="251"/>
        <v/>
      </c>
      <c r="HN121" s="9" t="str">
        <f t="shared" si="251"/>
        <v/>
      </c>
      <c r="HO121" s="9" t="str">
        <f t="shared" si="251"/>
        <v/>
      </c>
      <c r="HP121" s="9" t="str">
        <f t="shared" si="251"/>
        <v/>
      </c>
      <c r="HQ121" s="9" t="str">
        <f t="shared" si="251"/>
        <v/>
      </c>
      <c r="HR121" s="9" t="str">
        <f t="shared" si="251"/>
        <v/>
      </c>
      <c r="HS121" s="9" t="str">
        <f t="shared" si="251"/>
        <v/>
      </c>
      <c r="HT121" s="9" t="str">
        <f t="shared" si="251"/>
        <v/>
      </c>
      <c r="HU121" s="9" t="str">
        <f t="shared" si="251"/>
        <v/>
      </c>
      <c r="HV121" s="9" t="str">
        <f t="shared" si="251"/>
        <v/>
      </c>
      <c r="HW121" s="9" t="str">
        <f t="shared" si="251"/>
        <v/>
      </c>
      <c r="HX121" s="9" t="str">
        <f t="shared" si="251"/>
        <v/>
      </c>
      <c r="HY121" s="9" t="str">
        <f t="shared" si="251"/>
        <v/>
      </c>
      <c r="HZ121" s="9" t="str">
        <f t="shared" si="251"/>
        <v/>
      </c>
      <c r="IA121" s="9" t="str">
        <f t="shared" si="251"/>
        <v/>
      </c>
      <c r="IB121" s="9" t="str">
        <f t="shared" si="251"/>
        <v/>
      </c>
      <c r="IC121" s="9" t="str">
        <f t="shared" si="251"/>
        <v/>
      </c>
      <c r="ID121" s="9" t="str">
        <f t="shared" si="251"/>
        <v/>
      </c>
      <c r="IE121" s="9" t="str">
        <f t="shared" si="251"/>
        <v/>
      </c>
      <c r="IF121" s="9" t="str">
        <f t="shared" si="251"/>
        <v/>
      </c>
      <c r="IG121" s="9" t="str">
        <f t="shared" si="251"/>
        <v/>
      </c>
      <c r="IH121" s="9" t="str">
        <f t="shared" si="251"/>
        <v/>
      </c>
      <c r="II121" s="9" t="str">
        <f t="shared" si="251"/>
        <v/>
      </c>
      <c r="IJ121" s="9" t="str">
        <f t="shared" si="251"/>
        <v/>
      </c>
      <c r="IK121" s="9" t="str">
        <f t="shared" si="251"/>
        <v/>
      </c>
      <c r="IL121" s="9" t="str">
        <f t="shared" si="251"/>
        <v/>
      </c>
      <c r="IM121" s="9" t="str">
        <f t="shared" si="251"/>
        <v/>
      </c>
      <c r="IN121" s="9" t="str">
        <f t="shared" si="251"/>
        <v/>
      </c>
      <c r="IO121" s="9" t="str">
        <f t="shared" si="251"/>
        <v/>
      </c>
      <c r="IP121" s="9" t="str">
        <f t="shared" si="251"/>
        <v/>
      </c>
      <c r="IQ121" s="9" t="str">
        <f t="shared" si="251"/>
        <v/>
      </c>
      <c r="IR121" s="9" t="str">
        <f t="shared" si="251"/>
        <v/>
      </c>
      <c r="IS121" s="9" t="str">
        <f t="shared" si="251"/>
        <v/>
      </c>
      <c r="IT121" s="9" t="str">
        <f t="shared" si="251"/>
        <v/>
      </c>
      <c r="IU121" s="9" t="str">
        <f t="shared" si="251"/>
        <v/>
      </c>
      <c r="IV121" s="9" t="str">
        <f t="shared" si="251"/>
        <v/>
      </c>
    </row>
    <row r="122" spans="6:256" x14ac:dyDescent="0.2">
      <c r="F122">
        <v>201906</v>
      </c>
      <c r="G122" s="9">
        <f t="shared" ref="G122:BR122" si="252">IF(OR(H30 = "", H$8 &lt; G$8), "", 1)</f>
        <v>1</v>
      </c>
      <c r="H122" s="9">
        <f t="shared" si="252"/>
        <v>1</v>
      </c>
      <c r="I122" s="9">
        <f t="shared" si="252"/>
        <v>1</v>
      </c>
      <c r="J122" s="9">
        <f t="shared" si="252"/>
        <v>1</v>
      </c>
      <c r="K122" s="9">
        <f t="shared" si="252"/>
        <v>1</v>
      </c>
      <c r="L122" s="9">
        <f t="shared" si="252"/>
        <v>1</v>
      </c>
      <c r="M122" s="9">
        <f t="shared" si="252"/>
        <v>1</v>
      </c>
      <c r="N122" s="9">
        <f t="shared" si="252"/>
        <v>1</v>
      </c>
      <c r="O122" s="9">
        <f t="shared" si="252"/>
        <v>1</v>
      </c>
      <c r="P122" s="9">
        <f t="shared" si="252"/>
        <v>1</v>
      </c>
      <c r="Q122" s="9">
        <f t="shared" si="252"/>
        <v>1</v>
      </c>
      <c r="R122" s="9">
        <f t="shared" si="252"/>
        <v>1</v>
      </c>
      <c r="S122" s="9">
        <f t="shared" si="252"/>
        <v>1</v>
      </c>
      <c r="T122" s="9">
        <f t="shared" si="252"/>
        <v>1</v>
      </c>
      <c r="U122" s="9">
        <f t="shared" si="252"/>
        <v>1</v>
      </c>
      <c r="V122" s="9">
        <f t="shared" si="252"/>
        <v>1</v>
      </c>
      <c r="W122" s="9">
        <f t="shared" si="252"/>
        <v>1</v>
      </c>
      <c r="X122" s="9">
        <f t="shared" si="252"/>
        <v>1</v>
      </c>
      <c r="Y122" s="9">
        <f t="shared" si="252"/>
        <v>1</v>
      </c>
      <c r="Z122" s="9">
        <f t="shared" si="252"/>
        <v>1</v>
      </c>
      <c r="AA122" s="9">
        <f t="shared" si="252"/>
        <v>1</v>
      </c>
      <c r="AB122" s="9">
        <f t="shared" si="252"/>
        <v>1</v>
      </c>
      <c r="AC122" s="9">
        <f t="shared" si="252"/>
        <v>1</v>
      </c>
      <c r="AD122" s="9">
        <f t="shared" si="252"/>
        <v>1</v>
      </c>
      <c r="AE122" s="9">
        <f t="shared" si="252"/>
        <v>1</v>
      </c>
      <c r="AF122" s="9">
        <f t="shared" si="252"/>
        <v>1</v>
      </c>
      <c r="AG122" s="9">
        <f t="shared" si="252"/>
        <v>1</v>
      </c>
      <c r="AH122" s="9">
        <f t="shared" si="252"/>
        <v>1</v>
      </c>
      <c r="AI122" s="9">
        <f t="shared" si="252"/>
        <v>1</v>
      </c>
      <c r="AJ122" s="9">
        <f t="shared" si="252"/>
        <v>1</v>
      </c>
      <c r="AK122" s="9">
        <f t="shared" si="252"/>
        <v>1</v>
      </c>
      <c r="AL122" s="9">
        <f t="shared" si="252"/>
        <v>1</v>
      </c>
      <c r="AM122" s="9">
        <f t="shared" si="252"/>
        <v>1</v>
      </c>
      <c r="AN122" s="9">
        <f t="shared" si="252"/>
        <v>1</v>
      </c>
      <c r="AO122" s="9">
        <f t="shared" si="252"/>
        <v>1</v>
      </c>
      <c r="AP122" s="9">
        <f t="shared" si="252"/>
        <v>1</v>
      </c>
      <c r="AQ122" s="9">
        <f t="shared" si="252"/>
        <v>1</v>
      </c>
      <c r="AR122" s="9">
        <f t="shared" si="252"/>
        <v>1</v>
      </c>
      <c r="AS122" s="9">
        <f t="shared" si="252"/>
        <v>1</v>
      </c>
      <c r="AT122" s="9">
        <f t="shared" si="252"/>
        <v>1</v>
      </c>
      <c r="AU122" s="9">
        <f t="shared" si="252"/>
        <v>1</v>
      </c>
      <c r="AV122" s="9">
        <f t="shared" si="252"/>
        <v>1</v>
      </c>
      <c r="AW122" s="9">
        <f t="shared" si="252"/>
        <v>1</v>
      </c>
      <c r="AX122" s="9">
        <f t="shared" si="252"/>
        <v>1</v>
      </c>
      <c r="AY122" s="9">
        <f t="shared" si="252"/>
        <v>1</v>
      </c>
      <c r="AZ122" s="9">
        <f t="shared" si="252"/>
        <v>1</v>
      </c>
      <c r="BA122" s="9">
        <f t="shared" si="252"/>
        <v>1</v>
      </c>
      <c r="BB122" s="9">
        <f t="shared" si="252"/>
        <v>1</v>
      </c>
      <c r="BC122" s="9">
        <f t="shared" si="252"/>
        <v>1</v>
      </c>
      <c r="BD122" s="9">
        <f t="shared" si="252"/>
        <v>1</v>
      </c>
      <c r="BE122" s="9">
        <f t="shared" si="252"/>
        <v>1</v>
      </c>
      <c r="BF122" s="9">
        <f t="shared" si="252"/>
        <v>1</v>
      </c>
      <c r="BG122" s="9">
        <f t="shared" si="252"/>
        <v>1</v>
      </c>
      <c r="BH122" s="9">
        <f t="shared" si="252"/>
        <v>1</v>
      </c>
      <c r="BI122" s="9">
        <f t="shared" si="252"/>
        <v>1</v>
      </c>
      <c r="BJ122" s="9">
        <f t="shared" si="252"/>
        <v>1</v>
      </c>
      <c r="BK122" s="9">
        <f t="shared" si="252"/>
        <v>1</v>
      </c>
      <c r="BL122" s="9">
        <f t="shared" si="252"/>
        <v>1</v>
      </c>
      <c r="BM122" s="9">
        <f t="shared" si="252"/>
        <v>1</v>
      </c>
      <c r="BN122" s="9">
        <f t="shared" si="252"/>
        <v>1</v>
      </c>
      <c r="BO122" s="9">
        <f t="shared" si="252"/>
        <v>1</v>
      </c>
      <c r="BP122" s="9" t="str">
        <f t="shared" si="252"/>
        <v/>
      </c>
      <c r="BQ122" s="9" t="str">
        <f t="shared" si="252"/>
        <v/>
      </c>
      <c r="BR122" s="9" t="str">
        <f t="shared" si="252"/>
        <v/>
      </c>
      <c r="BS122" s="9" t="str">
        <f t="shared" ref="BS122:ED122" si="253">IF(OR(BT30 = "", BT$8 &lt; BS$8), "", 1)</f>
        <v/>
      </c>
      <c r="BT122" s="9" t="str">
        <f t="shared" si="253"/>
        <v/>
      </c>
      <c r="BU122" s="9" t="str">
        <f t="shared" si="253"/>
        <v/>
      </c>
      <c r="BV122" s="9" t="str">
        <f t="shared" si="253"/>
        <v/>
      </c>
      <c r="BW122" s="9" t="str">
        <f t="shared" si="253"/>
        <v/>
      </c>
      <c r="BX122" s="9" t="str">
        <f t="shared" si="253"/>
        <v/>
      </c>
      <c r="BY122" s="9" t="str">
        <f t="shared" si="253"/>
        <v/>
      </c>
      <c r="BZ122" s="9" t="str">
        <f t="shared" si="253"/>
        <v/>
      </c>
      <c r="CA122" s="9" t="str">
        <f t="shared" si="253"/>
        <v/>
      </c>
      <c r="CB122" s="9" t="str">
        <f t="shared" si="253"/>
        <v/>
      </c>
      <c r="CC122" s="9" t="str">
        <f t="shared" si="253"/>
        <v/>
      </c>
      <c r="CD122" s="9" t="str">
        <f t="shared" si="253"/>
        <v/>
      </c>
      <c r="CE122" s="9" t="str">
        <f t="shared" si="253"/>
        <v/>
      </c>
      <c r="CF122" s="9" t="str">
        <f t="shared" si="253"/>
        <v/>
      </c>
      <c r="CG122" s="9" t="str">
        <f t="shared" si="253"/>
        <v/>
      </c>
      <c r="CH122" s="9" t="str">
        <f t="shared" si="253"/>
        <v/>
      </c>
      <c r="CI122" s="9" t="str">
        <f t="shared" si="253"/>
        <v/>
      </c>
      <c r="CJ122" s="9" t="str">
        <f t="shared" si="253"/>
        <v/>
      </c>
      <c r="CK122" s="9" t="str">
        <f t="shared" si="253"/>
        <v/>
      </c>
      <c r="CL122" s="9" t="str">
        <f t="shared" si="253"/>
        <v/>
      </c>
      <c r="CM122" s="9" t="str">
        <f t="shared" si="253"/>
        <v/>
      </c>
      <c r="CN122" s="9" t="str">
        <f t="shared" si="253"/>
        <v/>
      </c>
      <c r="CO122" s="9" t="str">
        <f t="shared" si="253"/>
        <v/>
      </c>
      <c r="CP122" s="9" t="str">
        <f t="shared" si="253"/>
        <v/>
      </c>
      <c r="CQ122" s="9" t="str">
        <f t="shared" si="253"/>
        <v/>
      </c>
      <c r="CR122" s="9" t="str">
        <f t="shared" si="253"/>
        <v/>
      </c>
      <c r="CS122" s="9" t="str">
        <f t="shared" si="253"/>
        <v/>
      </c>
      <c r="CT122" s="9" t="str">
        <f t="shared" si="253"/>
        <v/>
      </c>
      <c r="CU122" s="9" t="str">
        <f t="shared" si="253"/>
        <v/>
      </c>
      <c r="CV122" s="9" t="str">
        <f t="shared" si="253"/>
        <v/>
      </c>
      <c r="CW122" s="9" t="str">
        <f t="shared" si="253"/>
        <v/>
      </c>
      <c r="CX122" s="9" t="str">
        <f t="shared" si="253"/>
        <v/>
      </c>
      <c r="CY122" s="9" t="str">
        <f t="shared" si="253"/>
        <v/>
      </c>
      <c r="CZ122" s="9" t="str">
        <f t="shared" si="253"/>
        <v/>
      </c>
      <c r="DA122" s="9" t="str">
        <f t="shared" si="253"/>
        <v/>
      </c>
      <c r="DB122" s="9" t="str">
        <f t="shared" si="253"/>
        <v/>
      </c>
      <c r="DC122" s="9" t="str">
        <f t="shared" si="253"/>
        <v/>
      </c>
      <c r="DD122" s="9" t="str">
        <f t="shared" si="253"/>
        <v/>
      </c>
      <c r="DE122" s="9" t="str">
        <f t="shared" si="253"/>
        <v/>
      </c>
      <c r="DF122" s="9" t="str">
        <f t="shared" si="253"/>
        <v/>
      </c>
      <c r="DG122" s="9" t="str">
        <f t="shared" si="253"/>
        <v/>
      </c>
      <c r="DH122" s="9" t="str">
        <f t="shared" si="253"/>
        <v/>
      </c>
      <c r="DI122" s="9" t="str">
        <f t="shared" si="253"/>
        <v/>
      </c>
      <c r="DJ122" s="9" t="str">
        <f t="shared" si="253"/>
        <v/>
      </c>
      <c r="DK122" s="9" t="str">
        <f t="shared" si="253"/>
        <v/>
      </c>
      <c r="DL122" s="9" t="str">
        <f t="shared" si="253"/>
        <v/>
      </c>
      <c r="DM122" s="9" t="str">
        <f t="shared" si="253"/>
        <v/>
      </c>
      <c r="DN122" s="9" t="str">
        <f t="shared" si="253"/>
        <v/>
      </c>
      <c r="DO122" s="9" t="str">
        <f t="shared" si="253"/>
        <v/>
      </c>
      <c r="DP122" s="9" t="str">
        <f t="shared" si="253"/>
        <v/>
      </c>
      <c r="DQ122" s="9" t="str">
        <f t="shared" si="253"/>
        <v/>
      </c>
      <c r="DR122" s="9" t="str">
        <f t="shared" si="253"/>
        <v/>
      </c>
      <c r="DS122" s="9" t="str">
        <f t="shared" si="253"/>
        <v/>
      </c>
      <c r="DT122" s="9" t="str">
        <f t="shared" si="253"/>
        <v/>
      </c>
      <c r="DU122" s="9" t="str">
        <f t="shared" si="253"/>
        <v/>
      </c>
      <c r="DV122" s="9" t="str">
        <f t="shared" si="253"/>
        <v/>
      </c>
      <c r="DW122" s="9" t="str">
        <f t="shared" si="253"/>
        <v/>
      </c>
      <c r="DX122" s="9" t="str">
        <f t="shared" si="253"/>
        <v/>
      </c>
      <c r="DY122" s="9" t="str">
        <f t="shared" si="253"/>
        <v/>
      </c>
      <c r="DZ122" s="9" t="str">
        <f t="shared" si="253"/>
        <v/>
      </c>
      <c r="EA122" s="9" t="str">
        <f t="shared" si="253"/>
        <v/>
      </c>
      <c r="EB122" s="9">
        <f t="shared" si="253"/>
        <v>1</v>
      </c>
      <c r="EC122" s="9">
        <f t="shared" si="253"/>
        <v>1</v>
      </c>
      <c r="ED122" s="9">
        <f t="shared" si="253"/>
        <v>1</v>
      </c>
      <c r="EE122" s="9">
        <f t="shared" ref="EE122:GP122" si="254">IF(OR(EF30 = "", EF$8 &lt; EE$8), "", 1)</f>
        <v>1</v>
      </c>
      <c r="EF122" s="9">
        <f t="shared" si="254"/>
        <v>1</v>
      </c>
      <c r="EG122" s="9">
        <f t="shared" si="254"/>
        <v>1</v>
      </c>
      <c r="EH122" s="9">
        <f t="shared" si="254"/>
        <v>1</v>
      </c>
      <c r="EI122" s="9">
        <f t="shared" si="254"/>
        <v>1</v>
      </c>
      <c r="EJ122" s="9">
        <f t="shared" si="254"/>
        <v>1</v>
      </c>
      <c r="EK122" s="9">
        <f t="shared" si="254"/>
        <v>1</v>
      </c>
      <c r="EL122" s="9">
        <f t="shared" si="254"/>
        <v>1</v>
      </c>
      <c r="EM122" s="9">
        <f t="shared" si="254"/>
        <v>1</v>
      </c>
      <c r="EN122" s="9">
        <f t="shared" si="254"/>
        <v>1</v>
      </c>
      <c r="EO122" s="9">
        <f t="shared" si="254"/>
        <v>1</v>
      </c>
      <c r="EP122" s="9">
        <f t="shared" si="254"/>
        <v>1</v>
      </c>
      <c r="EQ122" s="9">
        <f t="shared" si="254"/>
        <v>1</v>
      </c>
      <c r="ER122" s="9">
        <f t="shared" si="254"/>
        <v>1</v>
      </c>
      <c r="ES122" s="9">
        <f t="shared" si="254"/>
        <v>1</v>
      </c>
      <c r="ET122" s="9">
        <f t="shared" si="254"/>
        <v>1</v>
      </c>
      <c r="EU122" s="9">
        <f t="shared" si="254"/>
        <v>1</v>
      </c>
      <c r="EV122" s="9">
        <f t="shared" si="254"/>
        <v>1</v>
      </c>
      <c r="EW122" s="9">
        <f t="shared" si="254"/>
        <v>1</v>
      </c>
      <c r="EX122" s="9">
        <f t="shared" si="254"/>
        <v>1</v>
      </c>
      <c r="EY122" s="9">
        <f t="shared" si="254"/>
        <v>1</v>
      </c>
      <c r="EZ122" s="9">
        <f t="shared" si="254"/>
        <v>1</v>
      </c>
      <c r="FA122" s="9">
        <f t="shared" si="254"/>
        <v>1</v>
      </c>
      <c r="FB122" s="9">
        <f t="shared" si="254"/>
        <v>1</v>
      </c>
      <c r="FC122" s="9">
        <f t="shared" si="254"/>
        <v>1</v>
      </c>
      <c r="FD122" s="9">
        <f t="shared" si="254"/>
        <v>1</v>
      </c>
      <c r="FE122" s="9">
        <f t="shared" si="254"/>
        <v>1</v>
      </c>
      <c r="FF122" s="9">
        <f t="shared" si="254"/>
        <v>1</v>
      </c>
      <c r="FG122" s="9">
        <f t="shared" si="254"/>
        <v>1</v>
      </c>
      <c r="FH122" s="9">
        <f t="shared" si="254"/>
        <v>1</v>
      </c>
      <c r="FI122" s="9">
        <f t="shared" si="254"/>
        <v>1</v>
      </c>
      <c r="FJ122" s="9">
        <f t="shared" si="254"/>
        <v>1</v>
      </c>
      <c r="FK122" s="9">
        <f t="shared" si="254"/>
        <v>1</v>
      </c>
      <c r="FL122" s="9">
        <f t="shared" si="254"/>
        <v>1</v>
      </c>
      <c r="FM122" s="9">
        <f t="shared" si="254"/>
        <v>1</v>
      </c>
      <c r="FN122" s="9">
        <f t="shared" si="254"/>
        <v>1</v>
      </c>
      <c r="FO122" s="9">
        <f t="shared" si="254"/>
        <v>1</v>
      </c>
      <c r="FP122" s="9">
        <f t="shared" si="254"/>
        <v>1</v>
      </c>
      <c r="FQ122" s="9">
        <f t="shared" si="254"/>
        <v>1</v>
      </c>
      <c r="FR122" s="9">
        <f t="shared" si="254"/>
        <v>1</v>
      </c>
      <c r="FS122" s="9">
        <f t="shared" si="254"/>
        <v>1</v>
      </c>
      <c r="FT122" s="9">
        <f t="shared" si="254"/>
        <v>1</v>
      </c>
      <c r="FU122" s="9">
        <f t="shared" si="254"/>
        <v>1</v>
      </c>
      <c r="FV122" s="9">
        <f t="shared" si="254"/>
        <v>1</v>
      </c>
      <c r="FW122" s="9">
        <f t="shared" si="254"/>
        <v>1</v>
      </c>
      <c r="FX122" s="9">
        <f t="shared" si="254"/>
        <v>1</v>
      </c>
      <c r="FY122" s="9">
        <f t="shared" si="254"/>
        <v>1</v>
      </c>
      <c r="FZ122" s="9">
        <f t="shared" si="254"/>
        <v>1</v>
      </c>
      <c r="GA122" s="9">
        <f t="shared" si="254"/>
        <v>1</v>
      </c>
      <c r="GB122" s="9">
        <f t="shared" si="254"/>
        <v>1</v>
      </c>
      <c r="GC122" s="9">
        <f t="shared" si="254"/>
        <v>1</v>
      </c>
      <c r="GD122" s="9">
        <f t="shared" si="254"/>
        <v>1</v>
      </c>
      <c r="GE122" s="9">
        <f t="shared" si="254"/>
        <v>1</v>
      </c>
      <c r="GF122" s="9">
        <f t="shared" si="254"/>
        <v>1</v>
      </c>
      <c r="GG122" s="9">
        <f t="shared" si="254"/>
        <v>1</v>
      </c>
      <c r="GH122" s="9">
        <f t="shared" si="254"/>
        <v>1</v>
      </c>
      <c r="GI122" s="9">
        <f t="shared" si="254"/>
        <v>1</v>
      </c>
      <c r="GJ122" s="9">
        <f t="shared" si="254"/>
        <v>1</v>
      </c>
      <c r="GK122" s="9" t="str">
        <f t="shared" si="254"/>
        <v/>
      </c>
      <c r="GL122" s="9" t="str">
        <f t="shared" si="254"/>
        <v/>
      </c>
      <c r="GM122" s="9" t="str">
        <f t="shared" si="254"/>
        <v/>
      </c>
      <c r="GN122" s="9" t="str">
        <f t="shared" si="254"/>
        <v/>
      </c>
      <c r="GO122" s="9" t="str">
        <f t="shared" si="254"/>
        <v/>
      </c>
      <c r="GP122" s="9" t="str">
        <f t="shared" si="254"/>
        <v/>
      </c>
      <c r="GQ122" s="9" t="str">
        <f t="shared" ref="GQ122:IV122" si="255">IF(OR(GR30 = "", GR$8 &lt; GQ$8), "", 1)</f>
        <v/>
      </c>
      <c r="GR122" s="9" t="str">
        <f t="shared" si="255"/>
        <v/>
      </c>
      <c r="GS122" s="9" t="str">
        <f t="shared" si="255"/>
        <v/>
      </c>
      <c r="GT122" s="9" t="str">
        <f t="shared" si="255"/>
        <v/>
      </c>
      <c r="GU122" s="9" t="str">
        <f t="shared" si="255"/>
        <v/>
      </c>
      <c r="GV122" s="9" t="str">
        <f t="shared" si="255"/>
        <v/>
      </c>
      <c r="GW122" s="9" t="str">
        <f t="shared" si="255"/>
        <v/>
      </c>
      <c r="GX122" s="9" t="str">
        <f t="shared" si="255"/>
        <v/>
      </c>
      <c r="GY122" s="9" t="str">
        <f t="shared" si="255"/>
        <v/>
      </c>
      <c r="GZ122" s="9" t="str">
        <f t="shared" si="255"/>
        <v/>
      </c>
      <c r="HA122" s="9" t="str">
        <f t="shared" si="255"/>
        <v/>
      </c>
      <c r="HB122" s="9" t="str">
        <f t="shared" si="255"/>
        <v/>
      </c>
      <c r="HC122" s="9" t="str">
        <f t="shared" si="255"/>
        <v/>
      </c>
      <c r="HD122" s="9" t="str">
        <f t="shared" si="255"/>
        <v/>
      </c>
      <c r="HE122" s="9" t="str">
        <f t="shared" si="255"/>
        <v/>
      </c>
      <c r="HF122" s="9" t="str">
        <f t="shared" si="255"/>
        <v/>
      </c>
      <c r="HG122" s="9" t="str">
        <f t="shared" si="255"/>
        <v/>
      </c>
      <c r="HH122" s="9" t="str">
        <f t="shared" si="255"/>
        <v/>
      </c>
      <c r="HI122" s="9" t="str">
        <f t="shared" si="255"/>
        <v/>
      </c>
      <c r="HJ122" s="9" t="str">
        <f t="shared" si="255"/>
        <v/>
      </c>
      <c r="HK122" s="9" t="str">
        <f t="shared" si="255"/>
        <v/>
      </c>
      <c r="HL122" s="9" t="str">
        <f t="shared" si="255"/>
        <v/>
      </c>
      <c r="HM122" s="9" t="str">
        <f t="shared" si="255"/>
        <v/>
      </c>
      <c r="HN122" s="9" t="str">
        <f t="shared" si="255"/>
        <v/>
      </c>
      <c r="HO122" s="9" t="str">
        <f t="shared" si="255"/>
        <v/>
      </c>
      <c r="HP122" s="9" t="str">
        <f t="shared" si="255"/>
        <v/>
      </c>
      <c r="HQ122" s="9" t="str">
        <f t="shared" si="255"/>
        <v/>
      </c>
      <c r="HR122" s="9" t="str">
        <f t="shared" si="255"/>
        <v/>
      </c>
      <c r="HS122" s="9" t="str">
        <f t="shared" si="255"/>
        <v/>
      </c>
      <c r="HT122" s="9" t="str">
        <f t="shared" si="255"/>
        <v/>
      </c>
      <c r="HU122" s="9" t="str">
        <f t="shared" si="255"/>
        <v/>
      </c>
      <c r="HV122" s="9" t="str">
        <f t="shared" si="255"/>
        <v/>
      </c>
      <c r="HW122" s="9" t="str">
        <f t="shared" si="255"/>
        <v/>
      </c>
      <c r="HX122" s="9" t="str">
        <f t="shared" si="255"/>
        <v/>
      </c>
      <c r="HY122" s="9" t="str">
        <f t="shared" si="255"/>
        <v/>
      </c>
      <c r="HZ122" s="9" t="str">
        <f t="shared" si="255"/>
        <v/>
      </c>
      <c r="IA122" s="9" t="str">
        <f t="shared" si="255"/>
        <v/>
      </c>
      <c r="IB122" s="9" t="str">
        <f t="shared" si="255"/>
        <v/>
      </c>
      <c r="IC122" s="9" t="str">
        <f t="shared" si="255"/>
        <v/>
      </c>
      <c r="ID122" s="9" t="str">
        <f t="shared" si="255"/>
        <v/>
      </c>
      <c r="IE122" s="9" t="str">
        <f t="shared" si="255"/>
        <v/>
      </c>
      <c r="IF122" s="9" t="str">
        <f t="shared" si="255"/>
        <v/>
      </c>
      <c r="IG122" s="9" t="str">
        <f t="shared" si="255"/>
        <v/>
      </c>
      <c r="IH122" s="9" t="str">
        <f t="shared" si="255"/>
        <v/>
      </c>
      <c r="II122" s="9" t="str">
        <f t="shared" si="255"/>
        <v/>
      </c>
      <c r="IJ122" s="9" t="str">
        <f t="shared" si="255"/>
        <v/>
      </c>
      <c r="IK122" s="9" t="str">
        <f t="shared" si="255"/>
        <v/>
      </c>
      <c r="IL122" s="9" t="str">
        <f t="shared" si="255"/>
        <v/>
      </c>
      <c r="IM122" s="9" t="str">
        <f t="shared" si="255"/>
        <v/>
      </c>
      <c r="IN122" s="9" t="str">
        <f t="shared" si="255"/>
        <v/>
      </c>
      <c r="IO122" s="9" t="str">
        <f t="shared" si="255"/>
        <v/>
      </c>
      <c r="IP122" s="9" t="str">
        <f t="shared" si="255"/>
        <v/>
      </c>
      <c r="IQ122" s="9" t="str">
        <f t="shared" si="255"/>
        <v/>
      </c>
      <c r="IR122" s="9" t="str">
        <f t="shared" si="255"/>
        <v/>
      </c>
      <c r="IS122" s="9" t="str">
        <f t="shared" si="255"/>
        <v/>
      </c>
      <c r="IT122" s="9" t="str">
        <f t="shared" si="255"/>
        <v/>
      </c>
      <c r="IU122" s="9" t="str">
        <f t="shared" si="255"/>
        <v/>
      </c>
      <c r="IV122" s="9" t="str">
        <f t="shared" si="255"/>
        <v/>
      </c>
    </row>
    <row r="123" spans="6:256" x14ac:dyDescent="0.2">
      <c r="F123">
        <v>201909</v>
      </c>
      <c r="G123" s="9">
        <f t="shared" ref="G123:BR123" si="256">IF(OR(H31 = "", H$8 &lt; G$8), "", 1)</f>
        <v>1</v>
      </c>
      <c r="H123" s="9">
        <f t="shared" si="256"/>
        <v>1</v>
      </c>
      <c r="I123" s="9">
        <f t="shared" si="256"/>
        <v>1</v>
      </c>
      <c r="J123" s="9">
        <f t="shared" si="256"/>
        <v>1</v>
      </c>
      <c r="K123" s="9">
        <f t="shared" si="256"/>
        <v>1</v>
      </c>
      <c r="L123" s="9">
        <f t="shared" si="256"/>
        <v>1</v>
      </c>
      <c r="M123" s="9">
        <f t="shared" si="256"/>
        <v>1</v>
      </c>
      <c r="N123" s="9">
        <f t="shared" si="256"/>
        <v>1</v>
      </c>
      <c r="O123" s="9">
        <f t="shared" si="256"/>
        <v>1</v>
      </c>
      <c r="P123" s="9">
        <f t="shared" si="256"/>
        <v>1</v>
      </c>
      <c r="Q123" s="9">
        <f t="shared" si="256"/>
        <v>1</v>
      </c>
      <c r="R123" s="9">
        <f t="shared" si="256"/>
        <v>1</v>
      </c>
      <c r="S123" s="9">
        <f t="shared" si="256"/>
        <v>1</v>
      </c>
      <c r="T123" s="9">
        <f t="shared" si="256"/>
        <v>1</v>
      </c>
      <c r="U123" s="9">
        <f t="shared" si="256"/>
        <v>1</v>
      </c>
      <c r="V123" s="9">
        <f t="shared" si="256"/>
        <v>1</v>
      </c>
      <c r="W123" s="9">
        <f t="shared" si="256"/>
        <v>1</v>
      </c>
      <c r="X123" s="9">
        <f t="shared" si="256"/>
        <v>1</v>
      </c>
      <c r="Y123" s="9">
        <f t="shared" si="256"/>
        <v>1</v>
      </c>
      <c r="Z123" s="9">
        <f t="shared" si="256"/>
        <v>1</v>
      </c>
      <c r="AA123" s="9">
        <f t="shared" si="256"/>
        <v>1</v>
      </c>
      <c r="AB123" s="9">
        <f t="shared" si="256"/>
        <v>1</v>
      </c>
      <c r="AC123" s="9">
        <f t="shared" si="256"/>
        <v>1</v>
      </c>
      <c r="AD123" s="9">
        <f t="shared" si="256"/>
        <v>1</v>
      </c>
      <c r="AE123" s="9">
        <f t="shared" si="256"/>
        <v>1</v>
      </c>
      <c r="AF123" s="9">
        <f t="shared" si="256"/>
        <v>1</v>
      </c>
      <c r="AG123" s="9">
        <f t="shared" si="256"/>
        <v>1</v>
      </c>
      <c r="AH123" s="9">
        <f t="shared" si="256"/>
        <v>1</v>
      </c>
      <c r="AI123" s="9">
        <f t="shared" si="256"/>
        <v>1</v>
      </c>
      <c r="AJ123" s="9">
        <f t="shared" si="256"/>
        <v>1</v>
      </c>
      <c r="AK123" s="9">
        <f t="shared" si="256"/>
        <v>1</v>
      </c>
      <c r="AL123" s="9">
        <f t="shared" si="256"/>
        <v>1</v>
      </c>
      <c r="AM123" s="9">
        <f t="shared" si="256"/>
        <v>1</v>
      </c>
      <c r="AN123" s="9">
        <f t="shared" si="256"/>
        <v>1</v>
      </c>
      <c r="AO123" s="9">
        <f t="shared" si="256"/>
        <v>1</v>
      </c>
      <c r="AP123" s="9">
        <f t="shared" si="256"/>
        <v>1</v>
      </c>
      <c r="AQ123" s="9">
        <f t="shared" si="256"/>
        <v>1</v>
      </c>
      <c r="AR123" s="9">
        <f t="shared" si="256"/>
        <v>1</v>
      </c>
      <c r="AS123" s="9">
        <f t="shared" si="256"/>
        <v>1</v>
      </c>
      <c r="AT123" s="9">
        <f t="shared" si="256"/>
        <v>1</v>
      </c>
      <c r="AU123" s="9">
        <f t="shared" si="256"/>
        <v>1</v>
      </c>
      <c r="AV123" s="9">
        <f t="shared" si="256"/>
        <v>1</v>
      </c>
      <c r="AW123" s="9">
        <f t="shared" si="256"/>
        <v>1</v>
      </c>
      <c r="AX123" s="9">
        <f t="shared" si="256"/>
        <v>1</v>
      </c>
      <c r="AY123" s="9">
        <f t="shared" si="256"/>
        <v>1</v>
      </c>
      <c r="AZ123" s="9">
        <f t="shared" si="256"/>
        <v>1</v>
      </c>
      <c r="BA123" s="9">
        <f t="shared" si="256"/>
        <v>1</v>
      </c>
      <c r="BB123" s="9">
        <f t="shared" si="256"/>
        <v>1</v>
      </c>
      <c r="BC123" s="9">
        <f t="shared" si="256"/>
        <v>1</v>
      </c>
      <c r="BD123" s="9">
        <f t="shared" si="256"/>
        <v>1</v>
      </c>
      <c r="BE123" s="9">
        <f t="shared" si="256"/>
        <v>1</v>
      </c>
      <c r="BF123" s="9">
        <f t="shared" si="256"/>
        <v>1</v>
      </c>
      <c r="BG123" s="9">
        <f t="shared" si="256"/>
        <v>1</v>
      </c>
      <c r="BH123" s="9">
        <f t="shared" si="256"/>
        <v>1</v>
      </c>
      <c r="BI123" s="9">
        <f t="shared" si="256"/>
        <v>1</v>
      </c>
      <c r="BJ123" s="9">
        <f t="shared" si="256"/>
        <v>1</v>
      </c>
      <c r="BK123" s="9">
        <f t="shared" si="256"/>
        <v>1</v>
      </c>
      <c r="BL123" s="9">
        <f t="shared" si="256"/>
        <v>1</v>
      </c>
      <c r="BM123" s="9" t="str">
        <f t="shared" si="256"/>
        <v/>
      </c>
      <c r="BN123" s="9" t="str">
        <f t="shared" si="256"/>
        <v/>
      </c>
      <c r="BO123" s="9" t="str">
        <f t="shared" si="256"/>
        <v/>
      </c>
      <c r="BP123" s="9" t="str">
        <f t="shared" si="256"/>
        <v/>
      </c>
      <c r="BQ123" s="9" t="str">
        <f t="shared" si="256"/>
        <v/>
      </c>
      <c r="BR123" s="9" t="str">
        <f t="shared" si="256"/>
        <v/>
      </c>
      <c r="BS123" s="9" t="str">
        <f t="shared" ref="BS123:ED123" si="257">IF(OR(BT31 = "", BT$8 &lt; BS$8), "", 1)</f>
        <v/>
      </c>
      <c r="BT123" s="9" t="str">
        <f t="shared" si="257"/>
        <v/>
      </c>
      <c r="BU123" s="9" t="str">
        <f t="shared" si="257"/>
        <v/>
      </c>
      <c r="BV123" s="9" t="str">
        <f t="shared" si="257"/>
        <v/>
      </c>
      <c r="BW123" s="9" t="str">
        <f t="shared" si="257"/>
        <v/>
      </c>
      <c r="BX123" s="9" t="str">
        <f t="shared" si="257"/>
        <v/>
      </c>
      <c r="BY123" s="9" t="str">
        <f t="shared" si="257"/>
        <v/>
      </c>
      <c r="BZ123" s="9" t="str">
        <f t="shared" si="257"/>
        <v/>
      </c>
      <c r="CA123" s="9" t="str">
        <f t="shared" si="257"/>
        <v/>
      </c>
      <c r="CB123" s="9" t="str">
        <f t="shared" si="257"/>
        <v/>
      </c>
      <c r="CC123" s="9" t="str">
        <f t="shared" si="257"/>
        <v/>
      </c>
      <c r="CD123" s="9" t="str">
        <f t="shared" si="257"/>
        <v/>
      </c>
      <c r="CE123" s="9" t="str">
        <f t="shared" si="257"/>
        <v/>
      </c>
      <c r="CF123" s="9" t="str">
        <f t="shared" si="257"/>
        <v/>
      </c>
      <c r="CG123" s="9" t="str">
        <f t="shared" si="257"/>
        <v/>
      </c>
      <c r="CH123" s="9" t="str">
        <f t="shared" si="257"/>
        <v/>
      </c>
      <c r="CI123" s="9" t="str">
        <f t="shared" si="257"/>
        <v/>
      </c>
      <c r="CJ123" s="9" t="str">
        <f t="shared" si="257"/>
        <v/>
      </c>
      <c r="CK123" s="9" t="str">
        <f t="shared" si="257"/>
        <v/>
      </c>
      <c r="CL123" s="9" t="str">
        <f t="shared" si="257"/>
        <v/>
      </c>
      <c r="CM123" s="9" t="str">
        <f t="shared" si="257"/>
        <v/>
      </c>
      <c r="CN123" s="9" t="str">
        <f t="shared" si="257"/>
        <v/>
      </c>
      <c r="CO123" s="9" t="str">
        <f t="shared" si="257"/>
        <v/>
      </c>
      <c r="CP123" s="9" t="str">
        <f t="shared" si="257"/>
        <v/>
      </c>
      <c r="CQ123" s="9" t="str">
        <f t="shared" si="257"/>
        <v/>
      </c>
      <c r="CR123" s="9" t="str">
        <f t="shared" si="257"/>
        <v/>
      </c>
      <c r="CS123" s="9" t="str">
        <f t="shared" si="257"/>
        <v/>
      </c>
      <c r="CT123" s="9" t="str">
        <f t="shared" si="257"/>
        <v/>
      </c>
      <c r="CU123" s="9" t="str">
        <f t="shared" si="257"/>
        <v/>
      </c>
      <c r="CV123" s="9" t="str">
        <f t="shared" si="257"/>
        <v/>
      </c>
      <c r="CW123" s="9" t="str">
        <f t="shared" si="257"/>
        <v/>
      </c>
      <c r="CX123" s="9" t="str">
        <f t="shared" si="257"/>
        <v/>
      </c>
      <c r="CY123" s="9" t="str">
        <f t="shared" si="257"/>
        <v/>
      </c>
      <c r="CZ123" s="9" t="str">
        <f t="shared" si="257"/>
        <v/>
      </c>
      <c r="DA123" s="9" t="str">
        <f t="shared" si="257"/>
        <v/>
      </c>
      <c r="DB123" s="9" t="str">
        <f t="shared" si="257"/>
        <v/>
      </c>
      <c r="DC123" s="9" t="str">
        <f t="shared" si="257"/>
        <v/>
      </c>
      <c r="DD123" s="9" t="str">
        <f t="shared" si="257"/>
        <v/>
      </c>
      <c r="DE123" s="9" t="str">
        <f t="shared" si="257"/>
        <v/>
      </c>
      <c r="DF123" s="9" t="str">
        <f t="shared" si="257"/>
        <v/>
      </c>
      <c r="DG123" s="9" t="str">
        <f t="shared" si="257"/>
        <v/>
      </c>
      <c r="DH123" s="9" t="str">
        <f t="shared" si="257"/>
        <v/>
      </c>
      <c r="DI123" s="9" t="str">
        <f t="shared" si="257"/>
        <v/>
      </c>
      <c r="DJ123" s="9" t="str">
        <f t="shared" si="257"/>
        <v/>
      </c>
      <c r="DK123" s="9" t="str">
        <f t="shared" si="257"/>
        <v/>
      </c>
      <c r="DL123" s="9" t="str">
        <f t="shared" si="257"/>
        <v/>
      </c>
      <c r="DM123" s="9" t="str">
        <f t="shared" si="257"/>
        <v/>
      </c>
      <c r="DN123" s="9" t="str">
        <f t="shared" si="257"/>
        <v/>
      </c>
      <c r="DO123" s="9" t="str">
        <f t="shared" si="257"/>
        <v/>
      </c>
      <c r="DP123" s="9" t="str">
        <f t="shared" si="257"/>
        <v/>
      </c>
      <c r="DQ123" s="9" t="str">
        <f t="shared" si="257"/>
        <v/>
      </c>
      <c r="DR123" s="9" t="str">
        <f t="shared" si="257"/>
        <v/>
      </c>
      <c r="DS123" s="9" t="str">
        <f t="shared" si="257"/>
        <v/>
      </c>
      <c r="DT123" s="9" t="str">
        <f t="shared" si="257"/>
        <v/>
      </c>
      <c r="DU123" s="9" t="str">
        <f t="shared" si="257"/>
        <v/>
      </c>
      <c r="DV123" s="9" t="str">
        <f t="shared" si="257"/>
        <v/>
      </c>
      <c r="DW123" s="9" t="str">
        <f t="shared" si="257"/>
        <v/>
      </c>
      <c r="DX123" s="9" t="str">
        <f t="shared" si="257"/>
        <v/>
      </c>
      <c r="DY123" s="9" t="str">
        <f t="shared" si="257"/>
        <v/>
      </c>
      <c r="DZ123" s="9" t="str">
        <f t="shared" si="257"/>
        <v/>
      </c>
      <c r="EA123" s="9" t="str">
        <f t="shared" si="257"/>
        <v/>
      </c>
      <c r="EB123" s="9">
        <f t="shared" si="257"/>
        <v>1</v>
      </c>
      <c r="EC123" s="9">
        <f t="shared" si="257"/>
        <v>1</v>
      </c>
      <c r="ED123" s="9">
        <f t="shared" si="257"/>
        <v>1</v>
      </c>
      <c r="EE123" s="9">
        <f t="shared" ref="EE123:GP123" si="258">IF(OR(EF31 = "", EF$8 &lt; EE$8), "", 1)</f>
        <v>1</v>
      </c>
      <c r="EF123" s="9">
        <f t="shared" si="258"/>
        <v>1</v>
      </c>
      <c r="EG123" s="9">
        <f t="shared" si="258"/>
        <v>1</v>
      </c>
      <c r="EH123" s="9">
        <f t="shared" si="258"/>
        <v>1</v>
      </c>
      <c r="EI123" s="9">
        <f t="shared" si="258"/>
        <v>1</v>
      </c>
      <c r="EJ123" s="9">
        <f t="shared" si="258"/>
        <v>1</v>
      </c>
      <c r="EK123" s="9">
        <f t="shared" si="258"/>
        <v>1</v>
      </c>
      <c r="EL123" s="9">
        <f t="shared" si="258"/>
        <v>1</v>
      </c>
      <c r="EM123" s="9">
        <f t="shared" si="258"/>
        <v>1</v>
      </c>
      <c r="EN123" s="9">
        <f t="shared" si="258"/>
        <v>1</v>
      </c>
      <c r="EO123" s="9">
        <f t="shared" si="258"/>
        <v>1</v>
      </c>
      <c r="EP123" s="9">
        <f t="shared" si="258"/>
        <v>1</v>
      </c>
      <c r="EQ123" s="9">
        <f t="shared" si="258"/>
        <v>1</v>
      </c>
      <c r="ER123" s="9">
        <f t="shared" si="258"/>
        <v>1</v>
      </c>
      <c r="ES123" s="9">
        <f t="shared" si="258"/>
        <v>1</v>
      </c>
      <c r="ET123" s="9">
        <f t="shared" si="258"/>
        <v>1</v>
      </c>
      <c r="EU123" s="9">
        <f t="shared" si="258"/>
        <v>1</v>
      </c>
      <c r="EV123" s="9">
        <f t="shared" si="258"/>
        <v>1</v>
      </c>
      <c r="EW123" s="9">
        <f t="shared" si="258"/>
        <v>1</v>
      </c>
      <c r="EX123" s="9">
        <f t="shared" si="258"/>
        <v>1</v>
      </c>
      <c r="EY123" s="9">
        <f t="shared" si="258"/>
        <v>1</v>
      </c>
      <c r="EZ123" s="9">
        <f t="shared" si="258"/>
        <v>1</v>
      </c>
      <c r="FA123" s="9">
        <f t="shared" si="258"/>
        <v>1</v>
      </c>
      <c r="FB123" s="9">
        <f t="shared" si="258"/>
        <v>1</v>
      </c>
      <c r="FC123" s="9">
        <f t="shared" si="258"/>
        <v>1</v>
      </c>
      <c r="FD123" s="9">
        <f t="shared" si="258"/>
        <v>1</v>
      </c>
      <c r="FE123" s="9">
        <f t="shared" si="258"/>
        <v>1</v>
      </c>
      <c r="FF123" s="9">
        <f t="shared" si="258"/>
        <v>1</v>
      </c>
      <c r="FG123" s="9">
        <f t="shared" si="258"/>
        <v>1</v>
      </c>
      <c r="FH123" s="9">
        <f t="shared" si="258"/>
        <v>1</v>
      </c>
      <c r="FI123" s="9">
        <f t="shared" si="258"/>
        <v>1</v>
      </c>
      <c r="FJ123" s="9">
        <f t="shared" si="258"/>
        <v>1</v>
      </c>
      <c r="FK123" s="9">
        <f t="shared" si="258"/>
        <v>1</v>
      </c>
      <c r="FL123" s="9">
        <f t="shared" si="258"/>
        <v>1</v>
      </c>
      <c r="FM123" s="9">
        <f t="shared" si="258"/>
        <v>1</v>
      </c>
      <c r="FN123" s="9">
        <f t="shared" si="258"/>
        <v>1</v>
      </c>
      <c r="FO123" s="9">
        <f t="shared" si="258"/>
        <v>1</v>
      </c>
      <c r="FP123" s="9">
        <f t="shared" si="258"/>
        <v>1</v>
      </c>
      <c r="FQ123" s="9">
        <f t="shared" si="258"/>
        <v>1</v>
      </c>
      <c r="FR123" s="9">
        <f t="shared" si="258"/>
        <v>1</v>
      </c>
      <c r="FS123" s="9">
        <f t="shared" si="258"/>
        <v>1</v>
      </c>
      <c r="FT123" s="9">
        <f t="shared" si="258"/>
        <v>1</v>
      </c>
      <c r="FU123" s="9">
        <f t="shared" si="258"/>
        <v>1</v>
      </c>
      <c r="FV123" s="9">
        <f t="shared" si="258"/>
        <v>1</v>
      </c>
      <c r="FW123" s="9">
        <f t="shared" si="258"/>
        <v>1</v>
      </c>
      <c r="FX123" s="9">
        <f t="shared" si="258"/>
        <v>1</v>
      </c>
      <c r="FY123" s="9">
        <f t="shared" si="258"/>
        <v>1</v>
      </c>
      <c r="FZ123" s="9">
        <f t="shared" si="258"/>
        <v>1</v>
      </c>
      <c r="GA123" s="9">
        <f t="shared" si="258"/>
        <v>1</v>
      </c>
      <c r="GB123" s="9">
        <f t="shared" si="258"/>
        <v>1</v>
      </c>
      <c r="GC123" s="9">
        <f t="shared" si="258"/>
        <v>1</v>
      </c>
      <c r="GD123" s="9">
        <f t="shared" si="258"/>
        <v>1</v>
      </c>
      <c r="GE123" s="9">
        <f t="shared" si="258"/>
        <v>1</v>
      </c>
      <c r="GF123" s="9">
        <f t="shared" si="258"/>
        <v>1</v>
      </c>
      <c r="GG123" s="9">
        <f t="shared" si="258"/>
        <v>1</v>
      </c>
      <c r="GH123" s="9" t="str">
        <f t="shared" si="258"/>
        <v/>
      </c>
      <c r="GI123" s="9" t="str">
        <f t="shared" si="258"/>
        <v/>
      </c>
      <c r="GJ123" s="9" t="str">
        <f t="shared" si="258"/>
        <v/>
      </c>
      <c r="GK123" s="9" t="str">
        <f t="shared" si="258"/>
        <v/>
      </c>
      <c r="GL123" s="9" t="str">
        <f t="shared" si="258"/>
        <v/>
      </c>
      <c r="GM123" s="9" t="str">
        <f t="shared" si="258"/>
        <v/>
      </c>
      <c r="GN123" s="9" t="str">
        <f t="shared" si="258"/>
        <v/>
      </c>
      <c r="GO123" s="9" t="str">
        <f t="shared" si="258"/>
        <v/>
      </c>
      <c r="GP123" s="9" t="str">
        <f t="shared" si="258"/>
        <v/>
      </c>
      <c r="GQ123" s="9" t="str">
        <f t="shared" ref="GQ123:IV123" si="259">IF(OR(GR31 = "", GR$8 &lt; GQ$8), "", 1)</f>
        <v/>
      </c>
      <c r="GR123" s="9" t="str">
        <f t="shared" si="259"/>
        <v/>
      </c>
      <c r="GS123" s="9" t="str">
        <f t="shared" si="259"/>
        <v/>
      </c>
      <c r="GT123" s="9" t="str">
        <f t="shared" si="259"/>
        <v/>
      </c>
      <c r="GU123" s="9" t="str">
        <f t="shared" si="259"/>
        <v/>
      </c>
      <c r="GV123" s="9" t="str">
        <f t="shared" si="259"/>
        <v/>
      </c>
      <c r="GW123" s="9" t="str">
        <f t="shared" si="259"/>
        <v/>
      </c>
      <c r="GX123" s="9" t="str">
        <f t="shared" si="259"/>
        <v/>
      </c>
      <c r="GY123" s="9" t="str">
        <f t="shared" si="259"/>
        <v/>
      </c>
      <c r="GZ123" s="9" t="str">
        <f t="shared" si="259"/>
        <v/>
      </c>
      <c r="HA123" s="9" t="str">
        <f t="shared" si="259"/>
        <v/>
      </c>
      <c r="HB123" s="9" t="str">
        <f t="shared" si="259"/>
        <v/>
      </c>
      <c r="HC123" s="9" t="str">
        <f t="shared" si="259"/>
        <v/>
      </c>
      <c r="HD123" s="9" t="str">
        <f t="shared" si="259"/>
        <v/>
      </c>
      <c r="HE123" s="9" t="str">
        <f t="shared" si="259"/>
        <v/>
      </c>
      <c r="HF123" s="9" t="str">
        <f t="shared" si="259"/>
        <v/>
      </c>
      <c r="HG123" s="9" t="str">
        <f t="shared" si="259"/>
        <v/>
      </c>
      <c r="HH123" s="9" t="str">
        <f t="shared" si="259"/>
        <v/>
      </c>
      <c r="HI123" s="9" t="str">
        <f t="shared" si="259"/>
        <v/>
      </c>
      <c r="HJ123" s="9" t="str">
        <f t="shared" si="259"/>
        <v/>
      </c>
      <c r="HK123" s="9" t="str">
        <f t="shared" si="259"/>
        <v/>
      </c>
      <c r="HL123" s="9" t="str">
        <f t="shared" si="259"/>
        <v/>
      </c>
      <c r="HM123" s="9" t="str">
        <f t="shared" si="259"/>
        <v/>
      </c>
      <c r="HN123" s="9" t="str">
        <f t="shared" si="259"/>
        <v/>
      </c>
      <c r="HO123" s="9" t="str">
        <f t="shared" si="259"/>
        <v/>
      </c>
      <c r="HP123" s="9" t="str">
        <f t="shared" si="259"/>
        <v/>
      </c>
      <c r="HQ123" s="9" t="str">
        <f t="shared" si="259"/>
        <v/>
      </c>
      <c r="HR123" s="9" t="str">
        <f t="shared" si="259"/>
        <v/>
      </c>
      <c r="HS123" s="9" t="str">
        <f t="shared" si="259"/>
        <v/>
      </c>
      <c r="HT123" s="9" t="str">
        <f t="shared" si="259"/>
        <v/>
      </c>
      <c r="HU123" s="9" t="str">
        <f t="shared" si="259"/>
        <v/>
      </c>
      <c r="HV123" s="9" t="str">
        <f t="shared" si="259"/>
        <v/>
      </c>
      <c r="HW123" s="9" t="str">
        <f t="shared" si="259"/>
        <v/>
      </c>
      <c r="HX123" s="9" t="str">
        <f t="shared" si="259"/>
        <v/>
      </c>
      <c r="HY123" s="9" t="str">
        <f t="shared" si="259"/>
        <v/>
      </c>
      <c r="HZ123" s="9" t="str">
        <f t="shared" si="259"/>
        <v/>
      </c>
      <c r="IA123" s="9" t="str">
        <f t="shared" si="259"/>
        <v/>
      </c>
      <c r="IB123" s="9" t="str">
        <f t="shared" si="259"/>
        <v/>
      </c>
      <c r="IC123" s="9" t="str">
        <f t="shared" si="259"/>
        <v/>
      </c>
      <c r="ID123" s="9" t="str">
        <f t="shared" si="259"/>
        <v/>
      </c>
      <c r="IE123" s="9" t="str">
        <f t="shared" si="259"/>
        <v/>
      </c>
      <c r="IF123" s="9" t="str">
        <f t="shared" si="259"/>
        <v/>
      </c>
      <c r="IG123" s="9" t="str">
        <f t="shared" si="259"/>
        <v/>
      </c>
      <c r="IH123" s="9" t="str">
        <f t="shared" si="259"/>
        <v/>
      </c>
      <c r="II123" s="9" t="str">
        <f t="shared" si="259"/>
        <v/>
      </c>
      <c r="IJ123" s="9" t="str">
        <f t="shared" si="259"/>
        <v/>
      </c>
      <c r="IK123" s="9" t="str">
        <f t="shared" si="259"/>
        <v/>
      </c>
      <c r="IL123" s="9" t="str">
        <f t="shared" si="259"/>
        <v/>
      </c>
      <c r="IM123" s="9" t="str">
        <f t="shared" si="259"/>
        <v/>
      </c>
      <c r="IN123" s="9" t="str">
        <f t="shared" si="259"/>
        <v/>
      </c>
      <c r="IO123" s="9" t="str">
        <f t="shared" si="259"/>
        <v/>
      </c>
      <c r="IP123" s="9" t="str">
        <f t="shared" si="259"/>
        <v/>
      </c>
      <c r="IQ123" s="9" t="str">
        <f t="shared" si="259"/>
        <v/>
      </c>
      <c r="IR123" s="9" t="str">
        <f t="shared" si="259"/>
        <v/>
      </c>
      <c r="IS123" s="9" t="str">
        <f t="shared" si="259"/>
        <v/>
      </c>
      <c r="IT123" s="9" t="str">
        <f t="shared" si="259"/>
        <v/>
      </c>
      <c r="IU123" s="9" t="str">
        <f t="shared" si="259"/>
        <v/>
      </c>
      <c r="IV123" s="9" t="str">
        <f t="shared" si="259"/>
        <v/>
      </c>
    </row>
    <row r="124" spans="6:256" x14ac:dyDescent="0.2">
      <c r="F124">
        <v>201912</v>
      </c>
      <c r="G124" s="9">
        <f t="shared" ref="G124:BR124" si="260">IF(OR(H32 = "", H$8 &lt; G$8), "", 1)</f>
        <v>1</v>
      </c>
      <c r="H124" s="9">
        <f t="shared" si="260"/>
        <v>1</v>
      </c>
      <c r="I124" s="9">
        <f t="shared" si="260"/>
        <v>1</v>
      </c>
      <c r="J124" s="9">
        <f t="shared" si="260"/>
        <v>1</v>
      </c>
      <c r="K124" s="9">
        <f t="shared" si="260"/>
        <v>1</v>
      </c>
      <c r="L124" s="9">
        <f t="shared" si="260"/>
        <v>1</v>
      </c>
      <c r="M124" s="9">
        <f t="shared" si="260"/>
        <v>1</v>
      </c>
      <c r="N124" s="9">
        <f t="shared" si="260"/>
        <v>1</v>
      </c>
      <c r="O124" s="9">
        <f t="shared" si="260"/>
        <v>1</v>
      </c>
      <c r="P124" s="9">
        <f t="shared" si="260"/>
        <v>1</v>
      </c>
      <c r="Q124" s="9">
        <f t="shared" si="260"/>
        <v>1</v>
      </c>
      <c r="R124" s="9">
        <f t="shared" si="260"/>
        <v>1</v>
      </c>
      <c r="S124" s="9">
        <f t="shared" si="260"/>
        <v>1</v>
      </c>
      <c r="T124" s="9">
        <f t="shared" si="260"/>
        <v>1</v>
      </c>
      <c r="U124" s="9">
        <f t="shared" si="260"/>
        <v>1</v>
      </c>
      <c r="V124" s="9">
        <f t="shared" si="260"/>
        <v>1</v>
      </c>
      <c r="W124" s="9">
        <f t="shared" si="260"/>
        <v>1</v>
      </c>
      <c r="X124" s="9">
        <f t="shared" si="260"/>
        <v>1</v>
      </c>
      <c r="Y124" s="9">
        <f t="shared" si="260"/>
        <v>1</v>
      </c>
      <c r="Z124" s="9">
        <f t="shared" si="260"/>
        <v>1</v>
      </c>
      <c r="AA124" s="9">
        <f t="shared" si="260"/>
        <v>1</v>
      </c>
      <c r="AB124" s="9">
        <f t="shared" si="260"/>
        <v>1</v>
      </c>
      <c r="AC124" s="9">
        <f t="shared" si="260"/>
        <v>1</v>
      </c>
      <c r="AD124" s="9">
        <f t="shared" si="260"/>
        <v>1</v>
      </c>
      <c r="AE124" s="9">
        <f t="shared" si="260"/>
        <v>1</v>
      </c>
      <c r="AF124" s="9">
        <f t="shared" si="260"/>
        <v>1</v>
      </c>
      <c r="AG124" s="9">
        <f t="shared" si="260"/>
        <v>1</v>
      </c>
      <c r="AH124" s="9">
        <f t="shared" si="260"/>
        <v>1</v>
      </c>
      <c r="AI124" s="9">
        <f t="shared" si="260"/>
        <v>1</v>
      </c>
      <c r="AJ124" s="9">
        <f t="shared" si="260"/>
        <v>1</v>
      </c>
      <c r="AK124" s="9">
        <f t="shared" si="260"/>
        <v>1</v>
      </c>
      <c r="AL124" s="9">
        <f t="shared" si="260"/>
        <v>1</v>
      </c>
      <c r="AM124" s="9">
        <f t="shared" si="260"/>
        <v>1</v>
      </c>
      <c r="AN124" s="9">
        <f t="shared" si="260"/>
        <v>1</v>
      </c>
      <c r="AO124" s="9">
        <f t="shared" si="260"/>
        <v>1</v>
      </c>
      <c r="AP124" s="9">
        <f t="shared" si="260"/>
        <v>1</v>
      </c>
      <c r="AQ124" s="9">
        <f t="shared" si="260"/>
        <v>1</v>
      </c>
      <c r="AR124" s="9">
        <f t="shared" si="260"/>
        <v>1</v>
      </c>
      <c r="AS124" s="9">
        <f t="shared" si="260"/>
        <v>1</v>
      </c>
      <c r="AT124" s="9">
        <f t="shared" si="260"/>
        <v>1</v>
      </c>
      <c r="AU124" s="9">
        <f t="shared" si="260"/>
        <v>1</v>
      </c>
      <c r="AV124" s="9">
        <f t="shared" si="260"/>
        <v>1</v>
      </c>
      <c r="AW124" s="9">
        <f t="shared" si="260"/>
        <v>1</v>
      </c>
      <c r="AX124" s="9">
        <f t="shared" si="260"/>
        <v>1</v>
      </c>
      <c r="AY124" s="9">
        <f t="shared" si="260"/>
        <v>1</v>
      </c>
      <c r="AZ124" s="9">
        <f t="shared" si="260"/>
        <v>1</v>
      </c>
      <c r="BA124" s="9">
        <f t="shared" si="260"/>
        <v>1</v>
      </c>
      <c r="BB124" s="9">
        <f t="shared" si="260"/>
        <v>1</v>
      </c>
      <c r="BC124" s="9">
        <f t="shared" si="260"/>
        <v>1</v>
      </c>
      <c r="BD124" s="9">
        <f t="shared" si="260"/>
        <v>1</v>
      </c>
      <c r="BE124" s="9">
        <f t="shared" si="260"/>
        <v>1</v>
      </c>
      <c r="BF124" s="9">
        <f t="shared" si="260"/>
        <v>1</v>
      </c>
      <c r="BG124" s="9">
        <f t="shared" si="260"/>
        <v>1</v>
      </c>
      <c r="BH124" s="9">
        <f t="shared" si="260"/>
        <v>1</v>
      </c>
      <c r="BI124" s="9">
        <f t="shared" si="260"/>
        <v>1</v>
      </c>
      <c r="BJ124" s="9" t="str">
        <f t="shared" si="260"/>
        <v/>
      </c>
      <c r="BK124" s="9" t="str">
        <f t="shared" si="260"/>
        <v/>
      </c>
      <c r="BL124" s="9" t="str">
        <f t="shared" si="260"/>
        <v/>
      </c>
      <c r="BM124" s="9" t="str">
        <f t="shared" si="260"/>
        <v/>
      </c>
      <c r="BN124" s="9" t="str">
        <f t="shared" si="260"/>
        <v/>
      </c>
      <c r="BO124" s="9" t="str">
        <f t="shared" si="260"/>
        <v/>
      </c>
      <c r="BP124" s="9" t="str">
        <f t="shared" si="260"/>
        <v/>
      </c>
      <c r="BQ124" s="9" t="str">
        <f t="shared" si="260"/>
        <v/>
      </c>
      <c r="BR124" s="9" t="str">
        <f t="shared" si="260"/>
        <v/>
      </c>
      <c r="BS124" s="9" t="str">
        <f t="shared" ref="BS124:ED124" si="261">IF(OR(BT32 = "", BT$8 &lt; BS$8), "", 1)</f>
        <v/>
      </c>
      <c r="BT124" s="9" t="str">
        <f t="shared" si="261"/>
        <v/>
      </c>
      <c r="BU124" s="9" t="str">
        <f t="shared" si="261"/>
        <v/>
      </c>
      <c r="BV124" s="9" t="str">
        <f t="shared" si="261"/>
        <v/>
      </c>
      <c r="BW124" s="9" t="str">
        <f t="shared" si="261"/>
        <v/>
      </c>
      <c r="BX124" s="9" t="str">
        <f t="shared" si="261"/>
        <v/>
      </c>
      <c r="BY124" s="9" t="str">
        <f t="shared" si="261"/>
        <v/>
      </c>
      <c r="BZ124" s="9" t="str">
        <f t="shared" si="261"/>
        <v/>
      </c>
      <c r="CA124" s="9" t="str">
        <f t="shared" si="261"/>
        <v/>
      </c>
      <c r="CB124" s="9" t="str">
        <f t="shared" si="261"/>
        <v/>
      </c>
      <c r="CC124" s="9" t="str">
        <f t="shared" si="261"/>
        <v/>
      </c>
      <c r="CD124" s="9" t="str">
        <f t="shared" si="261"/>
        <v/>
      </c>
      <c r="CE124" s="9" t="str">
        <f t="shared" si="261"/>
        <v/>
      </c>
      <c r="CF124" s="9" t="str">
        <f t="shared" si="261"/>
        <v/>
      </c>
      <c r="CG124" s="9" t="str">
        <f t="shared" si="261"/>
        <v/>
      </c>
      <c r="CH124" s="9" t="str">
        <f t="shared" si="261"/>
        <v/>
      </c>
      <c r="CI124" s="9" t="str">
        <f t="shared" si="261"/>
        <v/>
      </c>
      <c r="CJ124" s="9" t="str">
        <f t="shared" si="261"/>
        <v/>
      </c>
      <c r="CK124" s="9" t="str">
        <f t="shared" si="261"/>
        <v/>
      </c>
      <c r="CL124" s="9" t="str">
        <f t="shared" si="261"/>
        <v/>
      </c>
      <c r="CM124" s="9" t="str">
        <f t="shared" si="261"/>
        <v/>
      </c>
      <c r="CN124" s="9" t="str">
        <f t="shared" si="261"/>
        <v/>
      </c>
      <c r="CO124" s="9" t="str">
        <f t="shared" si="261"/>
        <v/>
      </c>
      <c r="CP124" s="9" t="str">
        <f t="shared" si="261"/>
        <v/>
      </c>
      <c r="CQ124" s="9" t="str">
        <f t="shared" si="261"/>
        <v/>
      </c>
      <c r="CR124" s="9" t="str">
        <f t="shared" si="261"/>
        <v/>
      </c>
      <c r="CS124" s="9" t="str">
        <f t="shared" si="261"/>
        <v/>
      </c>
      <c r="CT124" s="9" t="str">
        <f t="shared" si="261"/>
        <v/>
      </c>
      <c r="CU124" s="9" t="str">
        <f t="shared" si="261"/>
        <v/>
      </c>
      <c r="CV124" s="9" t="str">
        <f t="shared" si="261"/>
        <v/>
      </c>
      <c r="CW124" s="9" t="str">
        <f t="shared" si="261"/>
        <v/>
      </c>
      <c r="CX124" s="9" t="str">
        <f t="shared" si="261"/>
        <v/>
      </c>
      <c r="CY124" s="9" t="str">
        <f t="shared" si="261"/>
        <v/>
      </c>
      <c r="CZ124" s="9" t="str">
        <f t="shared" si="261"/>
        <v/>
      </c>
      <c r="DA124" s="9" t="str">
        <f t="shared" si="261"/>
        <v/>
      </c>
      <c r="DB124" s="9" t="str">
        <f t="shared" si="261"/>
        <v/>
      </c>
      <c r="DC124" s="9" t="str">
        <f t="shared" si="261"/>
        <v/>
      </c>
      <c r="DD124" s="9" t="str">
        <f t="shared" si="261"/>
        <v/>
      </c>
      <c r="DE124" s="9" t="str">
        <f t="shared" si="261"/>
        <v/>
      </c>
      <c r="DF124" s="9" t="str">
        <f t="shared" si="261"/>
        <v/>
      </c>
      <c r="DG124" s="9" t="str">
        <f t="shared" si="261"/>
        <v/>
      </c>
      <c r="DH124" s="9" t="str">
        <f t="shared" si="261"/>
        <v/>
      </c>
      <c r="DI124" s="9" t="str">
        <f t="shared" si="261"/>
        <v/>
      </c>
      <c r="DJ124" s="9" t="str">
        <f t="shared" si="261"/>
        <v/>
      </c>
      <c r="DK124" s="9" t="str">
        <f t="shared" si="261"/>
        <v/>
      </c>
      <c r="DL124" s="9" t="str">
        <f t="shared" si="261"/>
        <v/>
      </c>
      <c r="DM124" s="9" t="str">
        <f t="shared" si="261"/>
        <v/>
      </c>
      <c r="DN124" s="9" t="str">
        <f t="shared" si="261"/>
        <v/>
      </c>
      <c r="DO124" s="9" t="str">
        <f t="shared" si="261"/>
        <v/>
      </c>
      <c r="DP124" s="9" t="str">
        <f t="shared" si="261"/>
        <v/>
      </c>
      <c r="DQ124" s="9" t="str">
        <f t="shared" si="261"/>
        <v/>
      </c>
      <c r="DR124" s="9" t="str">
        <f t="shared" si="261"/>
        <v/>
      </c>
      <c r="DS124" s="9" t="str">
        <f t="shared" si="261"/>
        <v/>
      </c>
      <c r="DT124" s="9" t="str">
        <f t="shared" si="261"/>
        <v/>
      </c>
      <c r="DU124" s="9" t="str">
        <f t="shared" si="261"/>
        <v/>
      </c>
      <c r="DV124" s="9" t="str">
        <f t="shared" si="261"/>
        <v/>
      </c>
      <c r="DW124" s="9" t="str">
        <f t="shared" si="261"/>
        <v/>
      </c>
      <c r="DX124" s="9" t="str">
        <f t="shared" si="261"/>
        <v/>
      </c>
      <c r="DY124" s="9" t="str">
        <f t="shared" si="261"/>
        <v/>
      </c>
      <c r="DZ124" s="9" t="str">
        <f t="shared" si="261"/>
        <v/>
      </c>
      <c r="EA124" s="9" t="str">
        <f t="shared" si="261"/>
        <v/>
      </c>
      <c r="EB124" s="9">
        <f t="shared" si="261"/>
        <v>1</v>
      </c>
      <c r="EC124" s="9">
        <f t="shared" si="261"/>
        <v>1</v>
      </c>
      <c r="ED124" s="9">
        <f t="shared" si="261"/>
        <v>1</v>
      </c>
      <c r="EE124" s="9">
        <f t="shared" ref="EE124:GP124" si="262">IF(OR(EF32 = "", EF$8 &lt; EE$8), "", 1)</f>
        <v>1</v>
      </c>
      <c r="EF124" s="9">
        <f t="shared" si="262"/>
        <v>1</v>
      </c>
      <c r="EG124" s="9">
        <f t="shared" si="262"/>
        <v>1</v>
      </c>
      <c r="EH124" s="9">
        <f t="shared" si="262"/>
        <v>1</v>
      </c>
      <c r="EI124" s="9">
        <f t="shared" si="262"/>
        <v>1</v>
      </c>
      <c r="EJ124" s="9">
        <f t="shared" si="262"/>
        <v>1</v>
      </c>
      <c r="EK124" s="9">
        <f t="shared" si="262"/>
        <v>1</v>
      </c>
      <c r="EL124" s="9">
        <f t="shared" si="262"/>
        <v>1</v>
      </c>
      <c r="EM124" s="9">
        <f t="shared" si="262"/>
        <v>1</v>
      </c>
      <c r="EN124" s="9">
        <f t="shared" si="262"/>
        <v>1</v>
      </c>
      <c r="EO124" s="9">
        <f t="shared" si="262"/>
        <v>1</v>
      </c>
      <c r="EP124" s="9">
        <f t="shared" si="262"/>
        <v>1</v>
      </c>
      <c r="EQ124" s="9">
        <f t="shared" si="262"/>
        <v>1</v>
      </c>
      <c r="ER124" s="9">
        <f t="shared" si="262"/>
        <v>1</v>
      </c>
      <c r="ES124" s="9">
        <f t="shared" si="262"/>
        <v>1</v>
      </c>
      <c r="ET124" s="9">
        <f t="shared" si="262"/>
        <v>1</v>
      </c>
      <c r="EU124" s="9">
        <f t="shared" si="262"/>
        <v>1</v>
      </c>
      <c r="EV124" s="9">
        <f t="shared" si="262"/>
        <v>1</v>
      </c>
      <c r="EW124" s="9">
        <f t="shared" si="262"/>
        <v>1</v>
      </c>
      <c r="EX124" s="9">
        <f t="shared" si="262"/>
        <v>1</v>
      </c>
      <c r="EY124" s="9">
        <f t="shared" si="262"/>
        <v>1</v>
      </c>
      <c r="EZ124" s="9">
        <f t="shared" si="262"/>
        <v>1</v>
      </c>
      <c r="FA124" s="9">
        <f t="shared" si="262"/>
        <v>1</v>
      </c>
      <c r="FB124" s="9">
        <f t="shared" si="262"/>
        <v>1</v>
      </c>
      <c r="FC124" s="9">
        <f t="shared" si="262"/>
        <v>1</v>
      </c>
      <c r="FD124" s="9">
        <f t="shared" si="262"/>
        <v>1</v>
      </c>
      <c r="FE124" s="9">
        <f t="shared" si="262"/>
        <v>1</v>
      </c>
      <c r="FF124" s="9">
        <f t="shared" si="262"/>
        <v>1</v>
      </c>
      <c r="FG124" s="9">
        <f t="shared" si="262"/>
        <v>1</v>
      </c>
      <c r="FH124" s="9">
        <f t="shared" si="262"/>
        <v>1</v>
      </c>
      <c r="FI124" s="9">
        <f t="shared" si="262"/>
        <v>1</v>
      </c>
      <c r="FJ124" s="9">
        <f t="shared" si="262"/>
        <v>1</v>
      </c>
      <c r="FK124" s="9">
        <f t="shared" si="262"/>
        <v>1</v>
      </c>
      <c r="FL124" s="9">
        <f t="shared" si="262"/>
        <v>1</v>
      </c>
      <c r="FM124" s="9">
        <f t="shared" si="262"/>
        <v>1</v>
      </c>
      <c r="FN124" s="9">
        <f t="shared" si="262"/>
        <v>1</v>
      </c>
      <c r="FO124" s="9">
        <f t="shared" si="262"/>
        <v>1</v>
      </c>
      <c r="FP124" s="9">
        <f t="shared" si="262"/>
        <v>1</v>
      </c>
      <c r="FQ124" s="9">
        <f t="shared" si="262"/>
        <v>1</v>
      </c>
      <c r="FR124" s="9">
        <f t="shared" si="262"/>
        <v>1</v>
      </c>
      <c r="FS124" s="9">
        <f t="shared" si="262"/>
        <v>1</v>
      </c>
      <c r="FT124" s="9">
        <f t="shared" si="262"/>
        <v>1</v>
      </c>
      <c r="FU124" s="9">
        <f t="shared" si="262"/>
        <v>1</v>
      </c>
      <c r="FV124" s="9">
        <f t="shared" si="262"/>
        <v>1</v>
      </c>
      <c r="FW124" s="9">
        <f t="shared" si="262"/>
        <v>1</v>
      </c>
      <c r="FX124" s="9">
        <f t="shared" si="262"/>
        <v>1</v>
      </c>
      <c r="FY124" s="9">
        <f t="shared" si="262"/>
        <v>1</v>
      </c>
      <c r="FZ124" s="9">
        <f t="shared" si="262"/>
        <v>1</v>
      </c>
      <c r="GA124" s="9">
        <f t="shared" si="262"/>
        <v>1</v>
      </c>
      <c r="GB124" s="9">
        <f t="shared" si="262"/>
        <v>1</v>
      </c>
      <c r="GC124" s="9">
        <f t="shared" si="262"/>
        <v>1</v>
      </c>
      <c r="GD124" s="9">
        <f t="shared" si="262"/>
        <v>1</v>
      </c>
      <c r="GE124" s="9" t="str">
        <f t="shared" si="262"/>
        <v/>
      </c>
      <c r="GF124" s="9" t="str">
        <f t="shared" si="262"/>
        <v/>
      </c>
      <c r="GG124" s="9" t="str">
        <f t="shared" si="262"/>
        <v/>
      </c>
      <c r="GH124" s="9" t="str">
        <f t="shared" si="262"/>
        <v/>
      </c>
      <c r="GI124" s="9" t="str">
        <f t="shared" si="262"/>
        <v/>
      </c>
      <c r="GJ124" s="9" t="str">
        <f t="shared" si="262"/>
        <v/>
      </c>
      <c r="GK124" s="9" t="str">
        <f t="shared" si="262"/>
        <v/>
      </c>
      <c r="GL124" s="9" t="str">
        <f t="shared" si="262"/>
        <v/>
      </c>
      <c r="GM124" s="9" t="str">
        <f t="shared" si="262"/>
        <v/>
      </c>
      <c r="GN124" s="9" t="str">
        <f t="shared" si="262"/>
        <v/>
      </c>
      <c r="GO124" s="9" t="str">
        <f t="shared" si="262"/>
        <v/>
      </c>
      <c r="GP124" s="9" t="str">
        <f t="shared" si="262"/>
        <v/>
      </c>
      <c r="GQ124" s="9" t="str">
        <f t="shared" ref="GQ124:IV124" si="263">IF(OR(GR32 = "", GR$8 &lt; GQ$8), "", 1)</f>
        <v/>
      </c>
      <c r="GR124" s="9" t="str">
        <f t="shared" si="263"/>
        <v/>
      </c>
      <c r="GS124" s="9" t="str">
        <f t="shared" si="263"/>
        <v/>
      </c>
      <c r="GT124" s="9" t="str">
        <f t="shared" si="263"/>
        <v/>
      </c>
      <c r="GU124" s="9" t="str">
        <f t="shared" si="263"/>
        <v/>
      </c>
      <c r="GV124" s="9" t="str">
        <f t="shared" si="263"/>
        <v/>
      </c>
      <c r="GW124" s="9" t="str">
        <f t="shared" si="263"/>
        <v/>
      </c>
      <c r="GX124" s="9" t="str">
        <f t="shared" si="263"/>
        <v/>
      </c>
      <c r="GY124" s="9" t="str">
        <f t="shared" si="263"/>
        <v/>
      </c>
      <c r="GZ124" s="9" t="str">
        <f t="shared" si="263"/>
        <v/>
      </c>
      <c r="HA124" s="9" t="str">
        <f t="shared" si="263"/>
        <v/>
      </c>
      <c r="HB124" s="9" t="str">
        <f t="shared" si="263"/>
        <v/>
      </c>
      <c r="HC124" s="9" t="str">
        <f t="shared" si="263"/>
        <v/>
      </c>
      <c r="HD124" s="9" t="str">
        <f t="shared" si="263"/>
        <v/>
      </c>
      <c r="HE124" s="9" t="str">
        <f t="shared" si="263"/>
        <v/>
      </c>
      <c r="HF124" s="9" t="str">
        <f t="shared" si="263"/>
        <v/>
      </c>
      <c r="HG124" s="9" t="str">
        <f t="shared" si="263"/>
        <v/>
      </c>
      <c r="HH124" s="9" t="str">
        <f t="shared" si="263"/>
        <v/>
      </c>
      <c r="HI124" s="9" t="str">
        <f t="shared" si="263"/>
        <v/>
      </c>
      <c r="HJ124" s="9" t="str">
        <f t="shared" si="263"/>
        <v/>
      </c>
      <c r="HK124" s="9" t="str">
        <f t="shared" si="263"/>
        <v/>
      </c>
      <c r="HL124" s="9" t="str">
        <f t="shared" si="263"/>
        <v/>
      </c>
      <c r="HM124" s="9" t="str">
        <f t="shared" si="263"/>
        <v/>
      </c>
      <c r="HN124" s="9" t="str">
        <f t="shared" si="263"/>
        <v/>
      </c>
      <c r="HO124" s="9" t="str">
        <f t="shared" si="263"/>
        <v/>
      </c>
      <c r="HP124" s="9" t="str">
        <f t="shared" si="263"/>
        <v/>
      </c>
      <c r="HQ124" s="9" t="str">
        <f t="shared" si="263"/>
        <v/>
      </c>
      <c r="HR124" s="9" t="str">
        <f t="shared" si="263"/>
        <v/>
      </c>
      <c r="HS124" s="9" t="str">
        <f t="shared" si="263"/>
        <v/>
      </c>
      <c r="HT124" s="9" t="str">
        <f t="shared" si="263"/>
        <v/>
      </c>
      <c r="HU124" s="9" t="str">
        <f t="shared" si="263"/>
        <v/>
      </c>
      <c r="HV124" s="9" t="str">
        <f t="shared" si="263"/>
        <v/>
      </c>
      <c r="HW124" s="9" t="str">
        <f t="shared" si="263"/>
        <v/>
      </c>
      <c r="HX124" s="9" t="str">
        <f t="shared" si="263"/>
        <v/>
      </c>
      <c r="HY124" s="9" t="str">
        <f t="shared" si="263"/>
        <v/>
      </c>
      <c r="HZ124" s="9" t="str">
        <f t="shared" si="263"/>
        <v/>
      </c>
      <c r="IA124" s="9" t="str">
        <f t="shared" si="263"/>
        <v/>
      </c>
      <c r="IB124" s="9" t="str">
        <f t="shared" si="263"/>
        <v/>
      </c>
      <c r="IC124" s="9" t="str">
        <f t="shared" si="263"/>
        <v/>
      </c>
      <c r="ID124" s="9" t="str">
        <f t="shared" si="263"/>
        <v/>
      </c>
      <c r="IE124" s="9" t="str">
        <f t="shared" si="263"/>
        <v/>
      </c>
      <c r="IF124" s="9" t="str">
        <f t="shared" si="263"/>
        <v/>
      </c>
      <c r="IG124" s="9" t="str">
        <f t="shared" si="263"/>
        <v/>
      </c>
      <c r="IH124" s="9" t="str">
        <f t="shared" si="263"/>
        <v/>
      </c>
      <c r="II124" s="9" t="str">
        <f t="shared" si="263"/>
        <v/>
      </c>
      <c r="IJ124" s="9" t="str">
        <f t="shared" si="263"/>
        <v/>
      </c>
      <c r="IK124" s="9" t="str">
        <f t="shared" si="263"/>
        <v/>
      </c>
      <c r="IL124" s="9" t="str">
        <f t="shared" si="263"/>
        <v/>
      </c>
      <c r="IM124" s="9" t="str">
        <f t="shared" si="263"/>
        <v/>
      </c>
      <c r="IN124" s="9" t="str">
        <f t="shared" si="263"/>
        <v/>
      </c>
      <c r="IO124" s="9" t="str">
        <f t="shared" si="263"/>
        <v/>
      </c>
      <c r="IP124" s="9" t="str">
        <f t="shared" si="263"/>
        <v/>
      </c>
      <c r="IQ124" s="9" t="str">
        <f t="shared" si="263"/>
        <v/>
      </c>
      <c r="IR124" s="9" t="str">
        <f t="shared" si="263"/>
        <v/>
      </c>
      <c r="IS124" s="9" t="str">
        <f t="shared" si="263"/>
        <v/>
      </c>
      <c r="IT124" s="9" t="str">
        <f t="shared" si="263"/>
        <v/>
      </c>
      <c r="IU124" s="9" t="str">
        <f t="shared" si="263"/>
        <v/>
      </c>
      <c r="IV124" s="9" t="str">
        <f t="shared" si="263"/>
        <v/>
      </c>
    </row>
    <row r="125" spans="6:256" x14ac:dyDescent="0.2">
      <c r="F125">
        <v>202003</v>
      </c>
      <c r="G125" s="9">
        <f t="shared" ref="G125:BR125" si="264">IF(OR(H33 = "", H$8 &lt; G$8), "", 1)</f>
        <v>1</v>
      </c>
      <c r="H125" s="9">
        <f t="shared" si="264"/>
        <v>1</v>
      </c>
      <c r="I125" s="9">
        <f t="shared" si="264"/>
        <v>1</v>
      </c>
      <c r="J125" s="9">
        <f t="shared" si="264"/>
        <v>1</v>
      </c>
      <c r="K125" s="9">
        <f t="shared" si="264"/>
        <v>1</v>
      </c>
      <c r="L125" s="9">
        <f t="shared" si="264"/>
        <v>1</v>
      </c>
      <c r="M125" s="9">
        <f t="shared" si="264"/>
        <v>1</v>
      </c>
      <c r="N125" s="9">
        <f t="shared" si="264"/>
        <v>1</v>
      </c>
      <c r="O125" s="9">
        <f t="shared" si="264"/>
        <v>1</v>
      </c>
      <c r="P125" s="9">
        <f t="shared" si="264"/>
        <v>1</v>
      </c>
      <c r="Q125" s="9">
        <f t="shared" si="264"/>
        <v>1</v>
      </c>
      <c r="R125" s="9">
        <f t="shared" si="264"/>
        <v>1</v>
      </c>
      <c r="S125" s="9">
        <f t="shared" si="264"/>
        <v>1</v>
      </c>
      <c r="T125" s="9">
        <f t="shared" si="264"/>
        <v>1</v>
      </c>
      <c r="U125" s="9">
        <f t="shared" si="264"/>
        <v>1</v>
      </c>
      <c r="V125" s="9">
        <f t="shared" si="264"/>
        <v>1</v>
      </c>
      <c r="W125" s="9">
        <f t="shared" si="264"/>
        <v>1</v>
      </c>
      <c r="X125" s="9">
        <f t="shared" si="264"/>
        <v>1</v>
      </c>
      <c r="Y125" s="9">
        <f t="shared" si="264"/>
        <v>1</v>
      </c>
      <c r="Z125" s="9">
        <f t="shared" si="264"/>
        <v>1</v>
      </c>
      <c r="AA125" s="9">
        <f t="shared" si="264"/>
        <v>1</v>
      </c>
      <c r="AB125" s="9">
        <f t="shared" si="264"/>
        <v>1</v>
      </c>
      <c r="AC125" s="9">
        <f t="shared" si="264"/>
        <v>1</v>
      </c>
      <c r="AD125" s="9">
        <f t="shared" si="264"/>
        <v>1</v>
      </c>
      <c r="AE125" s="9">
        <f t="shared" si="264"/>
        <v>1</v>
      </c>
      <c r="AF125" s="9">
        <f t="shared" si="264"/>
        <v>1</v>
      </c>
      <c r="AG125" s="9">
        <f t="shared" si="264"/>
        <v>1</v>
      </c>
      <c r="AH125" s="9">
        <f t="shared" si="264"/>
        <v>1</v>
      </c>
      <c r="AI125" s="9">
        <f t="shared" si="264"/>
        <v>1</v>
      </c>
      <c r="AJ125" s="9">
        <f t="shared" si="264"/>
        <v>1</v>
      </c>
      <c r="AK125" s="9">
        <f t="shared" si="264"/>
        <v>1</v>
      </c>
      <c r="AL125" s="9">
        <f t="shared" si="264"/>
        <v>1</v>
      </c>
      <c r="AM125" s="9">
        <f t="shared" si="264"/>
        <v>1</v>
      </c>
      <c r="AN125" s="9">
        <f t="shared" si="264"/>
        <v>1</v>
      </c>
      <c r="AO125" s="9">
        <f t="shared" si="264"/>
        <v>1</v>
      </c>
      <c r="AP125" s="9">
        <f t="shared" si="264"/>
        <v>1</v>
      </c>
      <c r="AQ125" s="9">
        <f t="shared" si="264"/>
        <v>1</v>
      </c>
      <c r="AR125" s="9">
        <f t="shared" si="264"/>
        <v>1</v>
      </c>
      <c r="AS125" s="9">
        <f t="shared" si="264"/>
        <v>1</v>
      </c>
      <c r="AT125" s="9">
        <f t="shared" si="264"/>
        <v>1</v>
      </c>
      <c r="AU125" s="9">
        <f t="shared" si="264"/>
        <v>1</v>
      </c>
      <c r="AV125" s="9">
        <f t="shared" si="264"/>
        <v>1</v>
      </c>
      <c r="AW125" s="9">
        <f t="shared" si="264"/>
        <v>1</v>
      </c>
      <c r="AX125" s="9">
        <f t="shared" si="264"/>
        <v>1</v>
      </c>
      <c r="AY125" s="9">
        <f t="shared" si="264"/>
        <v>1</v>
      </c>
      <c r="AZ125" s="9">
        <f t="shared" si="264"/>
        <v>1</v>
      </c>
      <c r="BA125" s="9">
        <f t="shared" si="264"/>
        <v>1</v>
      </c>
      <c r="BB125" s="9">
        <f t="shared" si="264"/>
        <v>1</v>
      </c>
      <c r="BC125" s="9">
        <f t="shared" si="264"/>
        <v>1</v>
      </c>
      <c r="BD125" s="9">
        <f t="shared" si="264"/>
        <v>1</v>
      </c>
      <c r="BE125" s="9">
        <f t="shared" si="264"/>
        <v>1</v>
      </c>
      <c r="BF125" s="9">
        <f t="shared" si="264"/>
        <v>1</v>
      </c>
      <c r="BG125" s="9" t="str">
        <f t="shared" si="264"/>
        <v/>
      </c>
      <c r="BH125" s="9" t="str">
        <f t="shared" si="264"/>
        <v/>
      </c>
      <c r="BI125" s="9" t="str">
        <f t="shared" si="264"/>
        <v/>
      </c>
      <c r="BJ125" s="9" t="str">
        <f t="shared" si="264"/>
        <v/>
      </c>
      <c r="BK125" s="9" t="str">
        <f t="shared" si="264"/>
        <v/>
      </c>
      <c r="BL125" s="9" t="str">
        <f t="shared" si="264"/>
        <v/>
      </c>
      <c r="BM125" s="9" t="str">
        <f t="shared" si="264"/>
        <v/>
      </c>
      <c r="BN125" s="9" t="str">
        <f t="shared" si="264"/>
        <v/>
      </c>
      <c r="BO125" s="9" t="str">
        <f t="shared" si="264"/>
        <v/>
      </c>
      <c r="BP125" s="9" t="str">
        <f t="shared" si="264"/>
        <v/>
      </c>
      <c r="BQ125" s="9" t="str">
        <f t="shared" si="264"/>
        <v/>
      </c>
      <c r="BR125" s="9" t="str">
        <f t="shared" si="264"/>
        <v/>
      </c>
      <c r="BS125" s="9" t="str">
        <f t="shared" ref="BS125:ED125" si="265">IF(OR(BT33 = "", BT$8 &lt; BS$8), "", 1)</f>
        <v/>
      </c>
      <c r="BT125" s="9" t="str">
        <f t="shared" si="265"/>
        <v/>
      </c>
      <c r="BU125" s="9" t="str">
        <f t="shared" si="265"/>
        <v/>
      </c>
      <c r="BV125" s="9" t="str">
        <f t="shared" si="265"/>
        <v/>
      </c>
      <c r="BW125" s="9" t="str">
        <f t="shared" si="265"/>
        <v/>
      </c>
      <c r="BX125" s="9" t="str">
        <f t="shared" si="265"/>
        <v/>
      </c>
      <c r="BY125" s="9" t="str">
        <f t="shared" si="265"/>
        <v/>
      </c>
      <c r="BZ125" s="9" t="str">
        <f t="shared" si="265"/>
        <v/>
      </c>
      <c r="CA125" s="9" t="str">
        <f t="shared" si="265"/>
        <v/>
      </c>
      <c r="CB125" s="9" t="str">
        <f t="shared" si="265"/>
        <v/>
      </c>
      <c r="CC125" s="9" t="str">
        <f t="shared" si="265"/>
        <v/>
      </c>
      <c r="CD125" s="9" t="str">
        <f t="shared" si="265"/>
        <v/>
      </c>
      <c r="CE125" s="9" t="str">
        <f t="shared" si="265"/>
        <v/>
      </c>
      <c r="CF125" s="9" t="str">
        <f t="shared" si="265"/>
        <v/>
      </c>
      <c r="CG125" s="9" t="str">
        <f t="shared" si="265"/>
        <v/>
      </c>
      <c r="CH125" s="9" t="str">
        <f t="shared" si="265"/>
        <v/>
      </c>
      <c r="CI125" s="9" t="str">
        <f t="shared" si="265"/>
        <v/>
      </c>
      <c r="CJ125" s="9" t="str">
        <f t="shared" si="265"/>
        <v/>
      </c>
      <c r="CK125" s="9" t="str">
        <f t="shared" si="265"/>
        <v/>
      </c>
      <c r="CL125" s="9" t="str">
        <f t="shared" si="265"/>
        <v/>
      </c>
      <c r="CM125" s="9" t="str">
        <f t="shared" si="265"/>
        <v/>
      </c>
      <c r="CN125" s="9" t="str">
        <f t="shared" si="265"/>
        <v/>
      </c>
      <c r="CO125" s="9" t="str">
        <f t="shared" si="265"/>
        <v/>
      </c>
      <c r="CP125" s="9" t="str">
        <f t="shared" si="265"/>
        <v/>
      </c>
      <c r="CQ125" s="9" t="str">
        <f t="shared" si="265"/>
        <v/>
      </c>
      <c r="CR125" s="9" t="str">
        <f t="shared" si="265"/>
        <v/>
      </c>
      <c r="CS125" s="9" t="str">
        <f t="shared" si="265"/>
        <v/>
      </c>
      <c r="CT125" s="9" t="str">
        <f t="shared" si="265"/>
        <v/>
      </c>
      <c r="CU125" s="9" t="str">
        <f t="shared" si="265"/>
        <v/>
      </c>
      <c r="CV125" s="9" t="str">
        <f t="shared" si="265"/>
        <v/>
      </c>
      <c r="CW125" s="9" t="str">
        <f t="shared" si="265"/>
        <v/>
      </c>
      <c r="CX125" s="9" t="str">
        <f t="shared" si="265"/>
        <v/>
      </c>
      <c r="CY125" s="9" t="str">
        <f t="shared" si="265"/>
        <v/>
      </c>
      <c r="CZ125" s="9" t="str">
        <f t="shared" si="265"/>
        <v/>
      </c>
      <c r="DA125" s="9" t="str">
        <f t="shared" si="265"/>
        <v/>
      </c>
      <c r="DB125" s="9" t="str">
        <f t="shared" si="265"/>
        <v/>
      </c>
      <c r="DC125" s="9" t="str">
        <f t="shared" si="265"/>
        <v/>
      </c>
      <c r="DD125" s="9" t="str">
        <f t="shared" si="265"/>
        <v/>
      </c>
      <c r="DE125" s="9" t="str">
        <f t="shared" si="265"/>
        <v/>
      </c>
      <c r="DF125" s="9" t="str">
        <f t="shared" si="265"/>
        <v/>
      </c>
      <c r="DG125" s="9" t="str">
        <f t="shared" si="265"/>
        <v/>
      </c>
      <c r="DH125" s="9" t="str">
        <f t="shared" si="265"/>
        <v/>
      </c>
      <c r="DI125" s="9" t="str">
        <f t="shared" si="265"/>
        <v/>
      </c>
      <c r="DJ125" s="9" t="str">
        <f t="shared" si="265"/>
        <v/>
      </c>
      <c r="DK125" s="9" t="str">
        <f t="shared" si="265"/>
        <v/>
      </c>
      <c r="DL125" s="9" t="str">
        <f t="shared" si="265"/>
        <v/>
      </c>
      <c r="DM125" s="9" t="str">
        <f t="shared" si="265"/>
        <v/>
      </c>
      <c r="DN125" s="9" t="str">
        <f t="shared" si="265"/>
        <v/>
      </c>
      <c r="DO125" s="9" t="str">
        <f t="shared" si="265"/>
        <v/>
      </c>
      <c r="DP125" s="9" t="str">
        <f t="shared" si="265"/>
        <v/>
      </c>
      <c r="DQ125" s="9" t="str">
        <f t="shared" si="265"/>
        <v/>
      </c>
      <c r="DR125" s="9" t="str">
        <f t="shared" si="265"/>
        <v/>
      </c>
      <c r="DS125" s="9" t="str">
        <f t="shared" si="265"/>
        <v/>
      </c>
      <c r="DT125" s="9" t="str">
        <f t="shared" si="265"/>
        <v/>
      </c>
      <c r="DU125" s="9" t="str">
        <f t="shared" si="265"/>
        <v/>
      </c>
      <c r="DV125" s="9" t="str">
        <f t="shared" si="265"/>
        <v/>
      </c>
      <c r="DW125" s="9" t="str">
        <f t="shared" si="265"/>
        <v/>
      </c>
      <c r="DX125" s="9" t="str">
        <f t="shared" si="265"/>
        <v/>
      </c>
      <c r="DY125" s="9" t="str">
        <f t="shared" si="265"/>
        <v/>
      </c>
      <c r="DZ125" s="9" t="str">
        <f t="shared" si="265"/>
        <v/>
      </c>
      <c r="EA125" s="9" t="str">
        <f t="shared" si="265"/>
        <v/>
      </c>
      <c r="EB125" s="9">
        <f t="shared" si="265"/>
        <v>1</v>
      </c>
      <c r="EC125" s="9">
        <f t="shared" si="265"/>
        <v>1</v>
      </c>
      <c r="ED125" s="9">
        <f t="shared" si="265"/>
        <v>1</v>
      </c>
      <c r="EE125" s="9">
        <f t="shared" ref="EE125:GP125" si="266">IF(OR(EF33 = "", EF$8 &lt; EE$8), "", 1)</f>
        <v>1</v>
      </c>
      <c r="EF125" s="9">
        <f t="shared" si="266"/>
        <v>1</v>
      </c>
      <c r="EG125" s="9">
        <f t="shared" si="266"/>
        <v>1</v>
      </c>
      <c r="EH125" s="9">
        <f t="shared" si="266"/>
        <v>1</v>
      </c>
      <c r="EI125" s="9">
        <f t="shared" si="266"/>
        <v>1</v>
      </c>
      <c r="EJ125" s="9">
        <f t="shared" si="266"/>
        <v>1</v>
      </c>
      <c r="EK125" s="9">
        <f t="shared" si="266"/>
        <v>1</v>
      </c>
      <c r="EL125" s="9">
        <f t="shared" si="266"/>
        <v>1</v>
      </c>
      <c r="EM125" s="9">
        <f t="shared" si="266"/>
        <v>1</v>
      </c>
      <c r="EN125" s="9">
        <f t="shared" si="266"/>
        <v>1</v>
      </c>
      <c r="EO125" s="9">
        <f t="shared" si="266"/>
        <v>1</v>
      </c>
      <c r="EP125" s="9">
        <f t="shared" si="266"/>
        <v>1</v>
      </c>
      <c r="EQ125" s="9">
        <f t="shared" si="266"/>
        <v>1</v>
      </c>
      <c r="ER125" s="9">
        <f t="shared" si="266"/>
        <v>1</v>
      </c>
      <c r="ES125" s="9">
        <f t="shared" si="266"/>
        <v>1</v>
      </c>
      <c r="ET125" s="9">
        <f t="shared" si="266"/>
        <v>1</v>
      </c>
      <c r="EU125" s="9">
        <f t="shared" si="266"/>
        <v>1</v>
      </c>
      <c r="EV125" s="9">
        <f t="shared" si="266"/>
        <v>1</v>
      </c>
      <c r="EW125" s="9">
        <f t="shared" si="266"/>
        <v>1</v>
      </c>
      <c r="EX125" s="9">
        <f t="shared" si="266"/>
        <v>1</v>
      </c>
      <c r="EY125" s="9">
        <f t="shared" si="266"/>
        <v>1</v>
      </c>
      <c r="EZ125" s="9">
        <f t="shared" si="266"/>
        <v>1</v>
      </c>
      <c r="FA125" s="9">
        <f t="shared" si="266"/>
        <v>1</v>
      </c>
      <c r="FB125" s="9">
        <f t="shared" si="266"/>
        <v>1</v>
      </c>
      <c r="FC125" s="9">
        <f t="shared" si="266"/>
        <v>1</v>
      </c>
      <c r="FD125" s="9">
        <f t="shared" si="266"/>
        <v>1</v>
      </c>
      <c r="FE125" s="9">
        <f t="shared" si="266"/>
        <v>1</v>
      </c>
      <c r="FF125" s="9">
        <f t="shared" si="266"/>
        <v>1</v>
      </c>
      <c r="FG125" s="9">
        <f t="shared" si="266"/>
        <v>1</v>
      </c>
      <c r="FH125" s="9">
        <f t="shared" si="266"/>
        <v>1</v>
      </c>
      <c r="FI125" s="9">
        <f t="shared" si="266"/>
        <v>1</v>
      </c>
      <c r="FJ125" s="9">
        <f t="shared" si="266"/>
        <v>1</v>
      </c>
      <c r="FK125" s="9">
        <f t="shared" si="266"/>
        <v>1</v>
      </c>
      <c r="FL125" s="9">
        <f t="shared" si="266"/>
        <v>1</v>
      </c>
      <c r="FM125" s="9">
        <f t="shared" si="266"/>
        <v>1</v>
      </c>
      <c r="FN125" s="9">
        <f t="shared" si="266"/>
        <v>1</v>
      </c>
      <c r="FO125" s="9">
        <f t="shared" si="266"/>
        <v>1</v>
      </c>
      <c r="FP125" s="9">
        <f t="shared" si="266"/>
        <v>1</v>
      </c>
      <c r="FQ125" s="9">
        <f t="shared" si="266"/>
        <v>1</v>
      </c>
      <c r="FR125" s="9">
        <f t="shared" si="266"/>
        <v>1</v>
      </c>
      <c r="FS125" s="9">
        <f t="shared" si="266"/>
        <v>1</v>
      </c>
      <c r="FT125" s="9">
        <f t="shared" si="266"/>
        <v>1</v>
      </c>
      <c r="FU125" s="9">
        <f t="shared" si="266"/>
        <v>1</v>
      </c>
      <c r="FV125" s="9">
        <f t="shared" si="266"/>
        <v>1</v>
      </c>
      <c r="FW125" s="9">
        <f t="shared" si="266"/>
        <v>1</v>
      </c>
      <c r="FX125" s="9">
        <f t="shared" si="266"/>
        <v>1</v>
      </c>
      <c r="FY125" s="9">
        <f t="shared" si="266"/>
        <v>1</v>
      </c>
      <c r="FZ125" s="9">
        <f t="shared" si="266"/>
        <v>1</v>
      </c>
      <c r="GA125" s="9">
        <f t="shared" si="266"/>
        <v>1</v>
      </c>
      <c r="GB125" s="9" t="str">
        <f t="shared" si="266"/>
        <v/>
      </c>
      <c r="GC125" s="9" t="str">
        <f t="shared" si="266"/>
        <v/>
      </c>
      <c r="GD125" s="9" t="str">
        <f t="shared" si="266"/>
        <v/>
      </c>
      <c r="GE125" s="9" t="str">
        <f t="shared" si="266"/>
        <v/>
      </c>
      <c r="GF125" s="9" t="str">
        <f t="shared" si="266"/>
        <v/>
      </c>
      <c r="GG125" s="9" t="str">
        <f t="shared" si="266"/>
        <v/>
      </c>
      <c r="GH125" s="9" t="str">
        <f t="shared" si="266"/>
        <v/>
      </c>
      <c r="GI125" s="9" t="str">
        <f t="shared" si="266"/>
        <v/>
      </c>
      <c r="GJ125" s="9" t="str">
        <f t="shared" si="266"/>
        <v/>
      </c>
      <c r="GK125" s="9" t="str">
        <f t="shared" si="266"/>
        <v/>
      </c>
      <c r="GL125" s="9" t="str">
        <f t="shared" si="266"/>
        <v/>
      </c>
      <c r="GM125" s="9" t="str">
        <f t="shared" si="266"/>
        <v/>
      </c>
      <c r="GN125" s="9" t="str">
        <f t="shared" si="266"/>
        <v/>
      </c>
      <c r="GO125" s="9" t="str">
        <f t="shared" si="266"/>
        <v/>
      </c>
      <c r="GP125" s="9" t="str">
        <f t="shared" si="266"/>
        <v/>
      </c>
      <c r="GQ125" s="9" t="str">
        <f t="shared" ref="GQ125:IV125" si="267">IF(OR(GR33 = "", GR$8 &lt; GQ$8), "", 1)</f>
        <v/>
      </c>
      <c r="GR125" s="9" t="str">
        <f t="shared" si="267"/>
        <v/>
      </c>
      <c r="GS125" s="9" t="str">
        <f t="shared" si="267"/>
        <v/>
      </c>
      <c r="GT125" s="9" t="str">
        <f t="shared" si="267"/>
        <v/>
      </c>
      <c r="GU125" s="9" t="str">
        <f t="shared" si="267"/>
        <v/>
      </c>
      <c r="GV125" s="9" t="str">
        <f t="shared" si="267"/>
        <v/>
      </c>
      <c r="GW125" s="9" t="str">
        <f t="shared" si="267"/>
        <v/>
      </c>
      <c r="GX125" s="9" t="str">
        <f t="shared" si="267"/>
        <v/>
      </c>
      <c r="GY125" s="9" t="str">
        <f t="shared" si="267"/>
        <v/>
      </c>
      <c r="GZ125" s="9" t="str">
        <f t="shared" si="267"/>
        <v/>
      </c>
      <c r="HA125" s="9" t="str">
        <f t="shared" si="267"/>
        <v/>
      </c>
      <c r="HB125" s="9" t="str">
        <f t="shared" si="267"/>
        <v/>
      </c>
      <c r="HC125" s="9" t="str">
        <f t="shared" si="267"/>
        <v/>
      </c>
      <c r="HD125" s="9" t="str">
        <f t="shared" si="267"/>
        <v/>
      </c>
      <c r="HE125" s="9" t="str">
        <f t="shared" si="267"/>
        <v/>
      </c>
      <c r="HF125" s="9" t="str">
        <f t="shared" si="267"/>
        <v/>
      </c>
      <c r="HG125" s="9" t="str">
        <f t="shared" si="267"/>
        <v/>
      </c>
      <c r="HH125" s="9" t="str">
        <f t="shared" si="267"/>
        <v/>
      </c>
      <c r="HI125" s="9" t="str">
        <f t="shared" si="267"/>
        <v/>
      </c>
      <c r="HJ125" s="9" t="str">
        <f t="shared" si="267"/>
        <v/>
      </c>
      <c r="HK125" s="9" t="str">
        <f t="shared" si="267"/>
        <v/>
      </c>
      <c r="HL125" s="9" t="str">
        <f t="shared" si="267"/>
        <v/>
      </c>
      <c r="HM125" s="9" t="str">
        <f t="shared" si="267"/>
        <v/>
      </c>
      <c r="HN125" s="9" t="str">
        <f t="shared" si="267"/>
        <v/>
      </c>
      <c r="HO125" s="9" t="str">
        <f t="shared" si="267"/>
        <v/>
      </c>
      <c r="HP125" s="9" t="str">
        <f t="shared" si="267"/>
        <v/>
      </c>
      <c r="HQ125" s="9" t="str">
        <f t="shared" si="267"/>
        <v/>
      </c>
      <c r="HR125" s="9" t="str">
        <f t="shared" si="267"/>
        <v/>
      </c>
      <c r="HS125" s="9" t="str">
        <f t="shared" si="267"/>
        <v/>
      </c>
      <c r="HT125" s="9" t="str">
        <f t="shared" si="267"/>
        <v/>
      </c>
      <c r="HU125" s="9" t="str">
        <f t="shared" si="267"/>
        <v/>
      </c>
      <c r="HV125" s="9" t="str">
        <f t="shared" si="267"/>
        <v/>
      </c>
      <c r="HW125" s="9" t="str">
        <f t="shared" si="267"/>
        <v/>
      </c>
      <c r="HX125" s="9" t="str">
        <f t="shared" si="267"/>
        <v/>
      </c>
      <c r="HY125" s="9" t="str">
        <f t="shared" si="267"/>
        <v/>
      </c>
      <c r="HZ125" s="9" t="str">
        <f t="shared" si="267"/>
        <v/>
      </c>
      <c r="IA125" s="9" t="str">
        <f t="shared" si="267"/>
        <v/>
      </c>
      <c r="IB125" s="9" t="str">
        <f t="shared" si="267"/>
        <v/>
      </c>
      <c r="IC125" s="9" t="str">
        <f t="shared" si="267"/>
        <v/>
      </c>
      <c r="ID125" s="9" t="str">
        <f t="shared" si="267"/>
        <v/>
      </c>
      <c r="IE125" s="9" t="str">
        <f t="shared" si="267"/>
        <v/>
      </c>
      <c r="IF125" s="9" t="str">
        <f t="shared" si="267"/>
        <v/>
      </c>
      <c r="IG125" s="9" t="str">
        <f t="shared" si="267"/>
        <v/>
      </c>
      <c r="IH125" s="9" t="str">
        <f t="shared" si="267"/>
        <v/>
      </c>
      <c r="II125" s="9" t="str">
        <f t="shared" si="267"/>
        <v/>
      </c>
      <c r="IJ125" s="9" t="str">
        <f t="shared" si="267"/>
        <v/>
      </c>
      <c r="IK125" s="9" t="str">
        <f t="shared" si="267"/>
        <v/>
      </c>
      <c r="IL125" s="9" t="str">
        <f t="shared" si="267"/>
        <v/>
      </c>
      <c r="IM125" s="9" t="str">
        <f t="shared" si="267"/>
        <v/>
      </c>
      <c r="IN125" s="9" t="str">
        <f t="shared" si="267"/>
        <v/>
      </c>
      <c r="IO125" s="9" t="str">
        <f t="shared" si="267"/>
        <v/>
      </c>
      <c r="IP125" s="9" t="str">
        <f t="shared" si="267"/>
        <v/>
      </c>
      <c r="IQ125" s="9" t="str">
        <f t="shared" si="267"/>
        <v/>
      </c>
      <c r="IR125" s="9" t="str">
        <f t="shared" si="267"/>
        <v/>
      </c>
      <c r="IS125" s="9" t="str">
        <f t="shared" si="267"/>
        <v/>
      </c>
      <c r="IT125" s="9" t="str">
        <f t="shared" si="267"/>
        <v/>
      </c>
      <c r="IU125" s="9" t="str">
        <f t="shared" si="267"/>
        <v/>
      </c>
      <c r="IV125" s="9" t="str">
        <f t="shared" si="267"/>
        <v/>
      </c>
    </row>
    <row r="126" spans="6:256" x14ac:dyDescent="0.2">
      <c r="F126">
        <v>202006</v>
      </c>
      <c r="G126" s="9">
        <f t="shared" ref="G126:BR126" si="268">IF(OR(H34 = "", H$8 &lt; G$8), "", 1)</f>
        <v>1</v>
      </c>
      <c r="H126" s="9">
        <f t="shared" si="268"/>
        <v>1</v>
      </c>
      <c r="I126" s="9">
        <f t="shared" si="268"/>
        <v>1</v>
      </c>
      <c r="J126" s="9">
        <f t="shared" si="268"/>
        <v>1</v>
      </c>
      <c r="K126" s="9">
        <f t="shared" si="268"/>
        <v>1</v>
      </c>
      <c r="L126" s="9">
        <f t="shared" si="268"/>
        <v>1</v>
      </c>
      <c r="M126" s="9">
        <f t="shared" si="268"/>
        <v>1</v>
      </c>
      <c r="N126" s="9">
        <f t="shared" si="268"/>
        <v>1</v>
      </c>
      <c r="O126" s="9">
        <f t="shared" si="268"/>
        <v>1</v>
      </c>
      <c r="P126" s="9">
        <f t="shared" si="268"/>
        <v>1</v>
      </c>
      <c r="Q126" s="9">
        <f t="shared" si="268"/>
        <v>1</v>
      </c>
      <c r="R126" s="9">
        <f t="shared" si="268"/>
        <v>1</v>
      </c>
      <c r="S126" s="9">
        <f t="shared" si="268"/>
        <v>1</v>
      </c>
      <c r="T126" s="9">
        <f t="shared" si="268"/>
        <v>1</v>
      </c>
      <c r="U126" s="9">
        <f t="shared" si="268"/>
        <v>1</v>
      </c>
      <c r="V126" s="9">
        <f t="shared" si="268"/>
        <v>1</v>
      </c>
      <c r="W126" s="9">
        <f t="shared" si="268"/>
        <v>1</v>
      </c>
      <c r="X126" s="9">
        <f t="shared" si="268"/>
        <v>1</v>
      </c>
      <c r="Y126" s="9">
        <f t="shared" si="268"/>
        <v>1</v>
      </c>
      <c r="Z126" s="9">
        <f t="shared" si="268"/>
        <v>1</v>
      </c>
      <c r="AA126" s="9">
        <f t="shared" si="268"/>
        <v>1</v>
      </c>
      <c r="AB126" s="9">
        <f t="shared" si="268"/>
        <v>1</v>
      </c>
      <c r="AC126" s="9">
        <f t="shared" si="268"/>
        <v>1</v>
      </c>
      <c r="AD126" s="9">
        <f t="shared" si="268"/>
        <v>1</v>
      </c>
      <c r="AE126" s="9">
        <f t="shared" si="268"/>
        <v>1</v>
      </c>
      <c r="AF126" s="9">
        <f t="shared" si="268"/>
        <v>1</v>
      </c>
      <c r="AG126" s="9">
        <f t="shared" si="268"/>
        <v>1</v>
      </c>
      <c r="AH126" s="9">
        <f t="shared" si="268"/>
        <v>1</v>
      </c>
      <c r="AI126" s="9">
        <f t="shared" si="268"/>
        <v>1</v>
      </c>
      <c r="AJ126" s="9">
        <f t="shared" si="268"/>
        <v>1</v>
      </c>
      <c r="AK126" s="9">
        <f t="shared" si="268"/>
        <v>1</v>
      </c>
      <c r="AL126" s="9">
        <f t="shared" si="268"/>
        <v>1</v>
      </c>
      <c r="AM126" s="9">
        <f t="shared" si="268"/>
        <v>1</v>
      </c>
      <c r="AN126" s="9">
        <f t="shared" si="268"/>
        <v>1</v>
      </c>
      <c r="AO126" s="9">
        <f t="shared" si="268"/>
        <v>1</v>
      </c>
      <c r="AP126" s="9">
        <f t="shared" si="268"/>
        <v>1</v>
      </c>
      <c r="AQ126" s="9">
        <f t="shared" si="268"/>
        <v>1</v>
      </c>
      <c r="AR126" s="9">
        <f t="shared" si="268"/>
        <v>1</v>
      </c>
      <c r="AS126" s="9">
        <f t="shared" si="268"/>
        <v>1</v>
      </c>
      <c r="AT126" s="9">
        <f t="shared" si="268"/>
        <v>1</v>
      </c>
      <c r="AU126" s="9">
        <f t="shared" si="268"/>
        <v>1</v>
      </c>
      <c r="AV126" s="9">
        <f t="shared" si="268"/>
        <v>1</v>
      </c>
      <c r="AW126" s="9">
        <f t="shared" si="268"/>
        <v>1</v>
      </c>
      <c r="AX126" s="9">
        <f t="shared" si="268"/>
        <v>1</v>
      </c>
      <c r="AY126" s="9">
        <f t="shared" si="268"/>
        <v>1</v>
      </c>
      <c r="AZ126" s="9">
        <f t="shared" si="268"/>
        <v>1</v>
      </c>
      <c r="BA126" s="9">
        <f t="shared" si="268"/>
        <v>1</v>
      </c>
      <c r="BB126" s="9">
        <f t="shared" si="268"/>
        <v>1</v>
      </c>
      <c r="BC126" s="9">
        <f t="shared" si="268"/>
        <v>1</v>
      </c>
      <c r="BD126" s="9" t="str">
        <f t="shared" si="268"/>
        <v/>
      </c>
      <c r="BE126" s="9" t="str">
        <f t="shared" si="268"/>
        <v/>
      </c>
      <c r="BF126" s="9" t="str">
        <f t="shared" si="268"/>
        <v/>
      </c>
      <c r="BG126" s="9" t="str">
        <f t="shared" si="268"/>
        <v/>
      </c>
      <c r="BH126" s="9" t="str">
        <f t="shared" si="268"/>
        <v/>
      </c>
      <c r="BI126" s="9" t="str">
        <f t="shared" si="268"/>
        <v/>
      </c>
      <c r="BJ126" s="9" t="str">
        <f t="shared" si="268"/>
        <v/>
      </c>
      <c r="BK126" s="9" t="str">
        <f t="shared" si="268"/>
        <v/>
      </c>
      <c r="BL126" s="9" t="str">
        <f t="shared" si="268"/>
        <v/>
      </c>
      <c r="BM126" s="9" t="str">
        <f t="shared" si="268"/>
        <v/>
      </c>
      <c r="BN126" s="9" t="str">
        <f t="shared" si="268"/>
        <v/>
      </c>
      <c r="BO126" s="9" t="str">
        <f t="shared" si="268"/>
        <v/>
      </c>
      <c r="BP126" s="9" t="str">
        <f t="shared" si="268"/>
        <v/>
      </c>
      <c r="BQ126" s="9" t="str">
        <f t="shared" si="268"/>
        <v/>
      </c>
      <c r="BR126" s="9" t="str">
        <f t="shared" si="268"/>
        <v/>
      </c>
      <c r="BS126" s="9" t="str">
        <f t="shared" ref="BS126:ED126" si="269">IF(OR(BT34 = "", BT$8 &lt; BS$8), "", 1)</f>
        <v/>
      </c>
      <c r="BT126" s="9" t="str">
        <f t="shared" si="269"/>
        <v/>
      </c>
      <c r="BU126" s="9" t="str">
        <f t="shared" si="269"/>
        <v/>
      </c>
      <c r="BV126" s="9" t="str">
        <f t="shared" si="269"/>
        <v/>
      </c>
      <c r="BW126" s="9" t="str">
        <f t="shared" si="269"/>
        <v/>
      </c>
      <c r="BX126" s="9" t="str">
        <f t="shared" si="269"/>
        <v/>
      </c>
      <c r="BY126" s="9" t="str">
        <f t="shared" si="269"/>
        <v/>
      </c>
      <c r="BZ126" s="9" t="str">
        <f t="shared" si="269"/>
        <v/>
      </c>
      <c r="CA126" s="9" t="str">
        <f t="shared" si="269"/>
        <v/>
      </c>
      <c r="CB126" s="9" t="str">
        <f t="shared" si="269"/>
        <v/>
      </c>
      <c r="CC126" s="9" t="str">
        <f t="shared" si="269"/>
        <v/>
      </c>
      <c r="CD126" s="9" t="str">
        <f t="shared" si="269"/>
        <v/>
      </c>
      <c r="CE126" s="9" t="str">
        <f t="shared" si="269"/>
        <v/>
      </c>
      <c r="CF126" s="9" t="str">
        <f t="shared" si="269"/>
        <v/>
      </c>
      <c r="CG126" s="9" t="str">
        <f t="shared" si="269"/>
        <v/>
      </c>
      <c r="CH126" s="9" t="str">
        <f t="shared" si="269"/>
        <v/>
      </c>
      <c r="CI126" s="9" t="str">
        <f t="shared" si="269"/>
        <v/>
      </c>
      <c r="CJ126" s="9" t="str">
        <f t="shared" si="269"/>
        <v/>
      </c>
      <c r="CK126" s="9" t="str">
        <f t="shared" si="269"/>
        <v/>
      </c>
      <c r="CL126" s="9" t="str">
        <f t="shared" si="269"/>
        <v/>
      </c>
      <c r="CM126" s="9" t="str">
        <f t="shared" si="269"/>
        <v/>
      </c>
      <c r="CN126" s="9" t="str">
        <f t="shared" si="269"/>
        <v/>
      </c>
      <c r="CO126" s="9" t="str">
        <f t="shared" si="269"/>
        <v/>
      </c>
      <c r="CP126" s="9" t="str">
        <f t="shared" si="269"/>
        <v/>
      </c>
      <c r="CQ126" s="9" t="str">
        <f t="shared" si="269"/>
        <v/>
      </c>
      <c r="CR126" s="9" t="str">
        <f t="shared" si="269"/>
        <v/>
      </c>
      <c r="CS126" s="9" t="str">
        <f t="shared" si="269"/>
        <v/>
      </c>
      <c r="CT126" s="9" t="str">
        <f t="shared" si="269"/>
        <v/>
      </c>
      <c r="CU126" s="9" t="str">
        <f t="shared" si="269"/>
        <v/>
      </c>
      <c r="CV126" s="9" t="str">
        <f t="shared" si="269"/>
        <v/>
      </c>
      <c r="CW126" s="9" t="str">
        <f t="shared" si="269"/>
        <v/>
      </c>
      <c r="CX126" s="9" t="str">
        <f t="shared" si="269"/>
        <v/>
      </c>
      <c r="CY126" s="9" t="str">
        <f t="shared" si="269"/>
        <v/>
      </c>
      <c r="CZ126" s="9" t="str">
        <f t="shared" si="269"/>
        <v/>
      </c>
      <c r="DA126" s="9" t="str">
        <f t="shared" si="269"/>
        <v/>
      </c>
      <c r="DB126" s="9" t="str">
        <f t="shared" si="269"/>
        <v/>
      </c>
      <c r="DC126" s="9" t="str">
        <f t="shared" si="269"/>
        <v/>
      </c>
      <c r="DD126" s="9" t="str">
        <f t="shared" si="269"/>
        <v/>
      </c>
      <c r="DE126" s="9" t="str">
        <f t="shared" si="269"/>
        <v/>
      </c>
      <c r="DF126" s="9" t="str">
        <f t="shared" si="269"/>
        <v/>
      </c>
      <c r="DG126" s="9" t="str">
        <f t="shared" si="269"/>
        <v/>
      </c>
      <c r="DH126" s="9" t="str">
        <f t="shared" si="269"/>
        <v/>
      </c>
      <c r="DI126" s="9" t="str">
        <f t="shared" si="269"/>
        <v/>
      </c>
      <c r="DJ126" s="9" t="str">
        <f t="shared" si="269"/>
        <v/>
      </c>
      <c r="DK126" s="9" t="str">
        <f t="shared" si="269"/>
        <v/>
      </c>
      <c r="DL126" s="9" t="str">
        <f t="shared" si="269"/>
        <v/>
      </c>
      <c r="DM126" s="9" t="str">
        <f t="shared" si="269"/>
        <v/>
      </c>
      <c r="DN126" s="9" t="str">
        <f t="shared" si="269"/>
        <v/>
      </c>
      <c r="DO126" s="9" t="str">
        <f t="shared" si="269"/>
        <v/>
      </c>
      <c r="DP126" s="9" t="str">
        <f t="shared" si="269"/>
        <v/>
      </c>
      <c r="DQ126" s="9" t="str">
        <f t="shared" si="269"/>
        <v/>
      </c>
      <c r="DR126" s="9" t="str">
        <f t="shared" si="269"/>
        <v/>
      </c>
      <c r="DS126" s="9" t="str">
        <f t="shared" si="269"/>
        <v/>
      </c>
      <c r="DT126" s="9" t="str">
        <f t="shared" si="269"/>
        <v/>
      </c>
      <c r="DU126" s="9" t="str">
        <f t="shared" si="269"/>
        <v/>
      </c>
      <c r="DV126" s="9" t="str">
        <f t="shared" si="269"/>
        <v/>
      </c>
      <c r="DW126" s="9" t="str">
        <f t="shared" si="269"/>
        <v/>
      </c>
      <c r="DX126" s="9" t="str">
        <f t="shared" si="269"/>
        <v/>
      </c>
      <c r="DY126" s="9" t="str">
        <f t="shared" si="269"/>
        <v/>
      </c>
      <c r="DZ126" s="9" t="str">
        <f t="shared" si="269"/>
        <v/>
      </c>
      <c r="EA126" s="9" t="str">
        <f t="shared" si="269"/>
        <v/>
      </c>
      <c r="EB126" s="9">
        <f t="shared" si="269"/>
        <v>1</v>
      </c>
      <c r="EC126" s="9">
        <f t="shared" si="269"/>
        <v>1</v>
      </c>
      <c r="ED126" s="9">
        <f t="shared" si="269"/>
        <v>1</v>
      </c>
      <c r="EE126" s="9">
        <f t="shared" ref="EE126:GP126" si="270">IF(OR(EF34 = "", EF$8 &lt; EE$8), "", 1)</f>
        <v>1</v>
      </c>
      <c r="EF126" s="9">
        <f t="shared" si="270"/>
        <v>1</v>
      </c>
      <c r="EG126" s="9">
        <f t="shared" si="270"/>
        <v>1</v>
      </c>
      <c r="EH126" s="9">
        <f t="shared" si="270"/>
        <v>1</v>
      </c>
      <c r="EI126" s="9">
        <f t="shared" si="270"/>
        <v>1</v>
      </c>
      <c r="EJ126" s="9">
        <f t="shared" si="270"/>
        <v>1</v>
      </c>
      <c r="EK126" s="9">
        <f t="shared" si="270"/>
        <v>1</v>
      </c>
      <c r="EL126" s="9">
        <f t="shared" si="270"/>
        <v>1</v>
      </c>
      <c r="EM126" s="9">
        <f t="shared" si="270"/>
        <v>1</v>
      </c>
      <c r="EN126" s="9">
        <f t="shared" si="270"/>
        <v>1</v>
      </c>
      <c r="EO126" s="9">
        <f t="shared" si="270"/>
        <v>1</v>
      </c>
      <c r="EP126" s="9">
        <f t="shared" si="270"/>
        <v>1</v>
      </c>
      <c r="EQ126" s="9">
        <f t="shared" si="270"/>
        <v>1</v>
      </c>
      <c r="ER126" s="9">
        <f t="shared" si="270"/>
        <v>1</v>
      </c>
      <c r="ES126" s="9">
        <f t="shared" si="270"/>
        <v>1</v>
      </c>
      <c r="ET126" s="9">
        <f t="shared" si="270"/>
        <v>1</v>
      </c>
      <c r="EU126" s="9">
        <f t="shared" si="270"/>
        <v>1</v>
      </c>
      <c r="EV126" s="9">
        <f t="shared" si="270"/>
        <v>1</v>
      </c>
      <c r="EW126" s="9">
        <f t="shared" si="270"/>
        <v>1</v>
      </c>
      <c r="EX126" s="9">
        <f t="shared" si="270"/>
        <v>1</v>
      </c>
      <c r="EY126" s="9">
        <f t="shared" si="270"/>
        <v>1</v>
      </c>
      <c r="EZ126" s="9">
        <f t="shared" si="270"/>
        <v>1</v>
      </c>
      <c r="FA126" s="9">
        <f t="shared" si="270"/>
        <v>1</v>
      </c>
      <c r="FB126" s="9">
        <f t="shared" si="270"/>
        <v>1</v>
      </c>
      <c r="FC126" s="9">
        <f t="shared" si="270"/>
        <v>1</v>
      </c>
      <c r="FD126" s="9">
        <f t="shared" si="270"/>
        <v>1</v>
      </c>
      <c r="FE126" s="9">
        <f t="shared" si="270"/>
        <v>1</v>
      </c>
      <c r="FF126" s="9">
        <f t="shared" si="270"/>
        <v>1</v>
      </c>
      <c r="FG126" s="9">
        <f t="shared" si="270"/>
        <v>1</v>
      </c>
      <c r="FH126" s="9">
        <f t="shared" si="270"/>
        <v>1</v>
      </c>
      <c r="FI126" s="9">
        <f t="shared" si="270"/>
        <v>1</v>
      </c>
      <c r="FJ126" s="9">
        <f t="shared" si="270"/>
        <v>1</v>
      </c>
      <c r="FK126" s="9">
        <f t="shared" si="270"/>
        <v>1</v>
      </c>
      <c r="FL126" s="9">
        <f t="shared" si="270"/>
        <v>1</v>
      </c>
      <c r="FM126" s="9">
        <f t="shared" si="270"/>
        <v>1</v>
      </c>
      <c r="FN126" s="9">
        <f t="shared" si="270"/>
        <v>1</v>
      </c>
      <c r="FO126" s="9">
        <f t="shared" si="270"/>
        <v>1</v>
      </c>
      <c r="FP126" s="9">
        <f t="shared" si="270"/>
        <v>1</v>
      </c>
      <c r="FQ126" s="9">
        <f t="shared" si="270"/>
        <v>1</v>
      </c>
      <c r="FR126" s="9">
        <f t="shared" si="270"/>
        <v>1</v>
      </c>
      <c r="FS126" s="9">
        <f t="shared" si="270"/>
        <v>1</v>
      </c>
      <c r="FT126" s="9">
        <f t="shared" si="270"/>
        <v>1</v>
      </c>
      <c r="FU126" s="9">
        <f t="shared" si="270"/>
        <v>1</v>
      </c>
      <c r="FV126" s="9">
        <f t="shared" si="270"/>
        <v>1</v>
      </c>
      <c r="FW126" s="9">
        <f t="shared" si="270"/>
        <v>1</v>
      </c>
      <c r="FX126" s="9">
        <f t="shared" si="270"/>
        <v>1</v>
      </c>
      <c r="FY126" s="9" t="str">
        <f t="shared" si="270"/>
        <v/>
      </c>
      <c r="FZ126" s="9" t="str">
        <f t="shared" si="270"/>
        <v/>
      </c>
      <c r="GA126" s="9" t="str">
        <f t="shared" si="270"/>
        <v/>
      </c>
      <c r="GB126" s="9" t="str">
        <f t="shared" si="270"/>
        <v/>
      </c>
      <c r="GC126" s="9" t="str">
        <f t="shared" si="270"/>
        <v/>
      </c>
      <c r="GD126" s="9" t="str">
        <f t="shared" si="270"/>
        <v/>
      </c>
      <c r="GE126" s="9" t="str">
        <f t="shared" si="270"/>
        <v/>
      </c>
      <c r="GF126" s="9" t="str">
        <f t="shared" si="270"/>
        <v/>
      </c>
      <c r="GG126" s="9" t="str">
        <f t="shared" si="270"/>
        <v/>
      </c>
      <c r="GH126" s="9" t="str">
        <f t="shared" si="270"/>
        <v/>
      </c>
      <c r="GI126" s="9" t="str">
        <f t="shared" si="270"/>
        <v/>
      </c>
      <c r="GJ126" s="9" t="str">
        <f t="shared" si="270"/>
        <v/>
      </c>
      <c r="GK126" s="9" t="str">
        <f t="shared" si="270"/>
        <v/>
      </c>
      <c r="GL126" s="9" t="str">
        <f t="shared" si="270"/>
        <v/>
      </c>
      <c r="GM126" s="9" t="str">
        <f t="shared" si="270"/>
        <v/>
      </c>
      <c r="GN126" s="9" t="str">
        <f t="shared" si="270"/>
        <v/>
      </c>
      <c r="GO126" s="9" t="str">
        <f t="shared" si="270"/>
        <v/>
      </c>
      <c r="GP126" s="9" t="str">
        <f t="shared" si="270"/>
        <v/>
      </c>
      <c r="GQ126" s="9" t="str">
        <f t="shared" ref="GQ126:IV126" si="271">IF(OR(GR34 = "", GR$8 &lt; GQ$8), "", 1)</f>
        <v/>
      </c>
      <c r="GR126" s="9" t="str">
        <f t="shared" si="271"/>
        <v/>
      </c>
      <c r="GS126" s="9" t="str">
        <f t="shared" si="271"/>
        <v/>
      </c>
      <c r="GT126" s="9" t="str">
        <f t="shared" si="271"/>
        <v/>
      </c>
      <c r="GU126" s="9" t="str">
        <f t="shared" si="271"/>
        <v/>
      </c>
      <c r="GV126" s="9" t="str">
        <f t="shared" si="271"/>
        <v/>
      </c>
      <c r="GW126" s="9" t="str">
        <f t="shared" si="271"/>
        <v/>
      </c>
      <c r="GX126" s="9" t="str">
        <f t="shared" si="271"/>
        <v/>
      </c>
      <c r="GY126" s="9" t="str">
        <f t="shared" si="271"/>
        <v/>
      </c>
      <c r="GZ126" s="9" t="str">
        <f t="shared" si="271"/>
        <v/>
      </c>
      <c r="HA126" s="9" t="str">
        <f t="shared" si="271"/>
        <v/>
      </c>
      <c r="HB126" s="9" t="str">
        <f t="shared" si="271"/>
        <v/>
      </c>
      <c r="HC126" s="9" t="str">
        <f t="shared" si="271"/>
        <v/>
      </c>
      <c r="HD126" s="9" t="str">
        <f t="shared" si="271"/>
        <v/>
      </c>
      <c r="HE126" s="9" t="str">
        <f t="shared" si="271"/>
        <v/>
      </c>
      <c r="HF126" s="9" t="str">
        <f t="shared" si="271"/>
        <v/>
      </c>
      <c r="HG126" s="9" t="str">
        <f t="shared" si="271"/>
        <v/>
      </c>
      <c r="HH126" s="9" t="str">
        <f t="shared" si="271"/>
        <v/>
      </c>
      <c r="HI126" s="9" t="str">
        <f t="shared" si="271"/>
        <v/>
      </c>
      <c r="HJ126" s="9" t="str">
        <f t="shared" si="271"/>
        <v/>
      </c>
      <c r="HK126" s="9" t="str">
        <f t="shared" si="271"/>
        <v/>
      </c>
      <c r="HL126" s="9" t="str">
        <f t="shared" si="271"/>
        <v/>
      </c>
      <c r="HM126" s="9" t="str">
        <f t="shared" si="271"/>
        <v/>
      </c>
      <c r="HN126" s="9" t="str">
        <f t="shared" si="271"/>
        <v/>
      </c>
      <c r="HO126" s="9" t="str">
        <f t="shared" si="271"/>
        <v/>
      </c>
      <c r="HP126" s="9" t="str">
        <f t="shared" si="271"/>
        <v/>
      </c>
      <c r="HQ126" s="9" t="str">
        <f t="shared" si="271"/>
        <v/>
      </c>
      <c r="HR126" s="9" t="str">
        <f t="shared" si="271"/>
        <v/>
      </c>
      <c r="HS126" s="9" t="str">
        <f t="shared" si="271"/>
        <v/>
      </c>
      <c r="HT126" s="9" t="str">
        <f t="shared" si="271"/>
        <v/>
      </c>
      <c r="HU126" s="9" t="str">
        <f t="shared" si="271"/>
        <v/>
      </c>
      <c r="HV126" s="9" t="str">
        <f t="shared" si="271"/>
        <v/>
      </c>
      <c r="HW126" s="9" t="str">
        <f t="shared" si="271"/>
        <v/>
      </c>
      <c r="HX126" s="9" t="str">
        <f t="shared" si="271"/>
        <v/>
      </c>
      <c r="HY126" s="9" t="str">
        <f t="shared" si="271"/>
        <v/>
      </c>
      <c r="HZ126" s="9" t="str">
        <f t="shared" si="271"/>
        <v/>
      </c>
      <c r="IA126" s="9" t="str">
        <f t="shared" si="271"/>
        <v/>
      </c>
      <c r="IB126" s="9" t="str">
        <f t="shared" si="271"/>
        <v/>
      </c>
      <c r="IC126" s="9" t="str">
        <f t="shared" si="271"/>
        <v/>
      </c>
      <c r="ID126" s="9" t="str">
        <f t="shared" si="271"/>
        <v/>
      </c>
      <c r="IE126" s="9" t="str">
        <f t="shared" si="271"/>
        <v/>
      </c>
      <c r="IF126" s="9" t="str">
        <f t="shared" si="271"/>
        <v/>
      </c>
      <c r="IG126" s="9" t="str">
        <f t="shared" si="271"/>
        <v/>
      </c>
      <c r="IH126" s="9" t="str">
        <f t="shared" si="271"/>
        <v/>
      </c>
      <c r="II126" s="9" t="str">
        <f t="shared" si="271"/>
        <v/>
      </c>
      <c r="IJ126" s="9" t="str">
        <f t="shared" si="271"/>
        <v/>
      </c>
      <c r="IK126" s="9" t="str">
        <f t="shared" si="271"/>
        <v/>
      </c>
      <c r="IL126" s="9" t="str">
        <f t="shared" si="271"/>
        <v/>
      </c>
      <c r="IM126" s="9" t="str">
        <f t="shared" si="271"/>
        <v/>
      </c>
      <c r="IN126" s="9" t="str">
        <f t="shared" si="271"/>
        <v/>
      </c>
      <c r="IO126" s="9" t="str">
        <f t="shared" si="271"/>
        <v/>
      </c>
      <c r="IP126" s="9" t="str">
        <f t="shared" si="271"/>
        <v/>
      </c>
      <c r="IQ126" s="9" t="str">
        <f t="shared" si="271"/>
        <v/>
      </c>
      <c r="IR126" s="9" t="str">
        <f t="shared" si="271"/>
        <v/>
      </c>
      <c r="IS126" s="9" t="str">
        <f t="shared" si="271"/>
        <v/>
      </c>
      <c r="IT126" s="9" t="str">
        <f t="shared" si="271"/>
        <v/>
      </c>
      <c r="IU126" s="9" t="str">
        <f t="shared" si="271"/>
        <v/>
      </c>
      <c r="IV126" s="9" t="str">
        <f t="shared" si="271"/>
        <v/>
      </c>
    </row>
    <row r="127" spans="6:256" x14ac:dyDescent="0.2">
      <c r="F127">
        <v>202009</v>
      </c>
      <c r="G127" s="9">
        <f t="shared" ref="G127:BR127" si="272">IF(OR(H35 = "", H$8 &lt; G$8), "", 1)</f>
        <v>1</v>
      </c>
      <c r="H127" s="9">
        <f t="shared" si="272"/>
        <v>1</v>
      </c>
      <c r="I127" s="9">
        <f t="shared" si="272"/>
        <v>1</v>
      </c>
      <c r="J127" s="9">
        <f t="shared" si="272"/>
        <v>1</v>
      </c>
      <c r="K127" s="9">
        <f t="shared" si="272"/>
        <v>1</v>
      </c>
      <c r="L127" s="9">
        <f t="shared" si="272"/>
        <v>1</v>
      </c>
      <c r="M127" s="9">
        <f t="shared" si="272"/>
        <v>1</v>
      </c>
      <c r="N127" s="9">
        <f t="shared" si="272"/>
        <v>1</v>
      </c>
      <c r="O127" s="9">
        <f t="shared" si="272"/>
        <v>1</v>
      </c>
      <c r="P127" s="9">
        <f t="shared" si="272"/>
        <v>1</v>
      </c>
      <c r="Q127" s="9">
        <f t="shared" si="272"/>
        <v>1</v>
      </c>
      <c r="R127" s="9">
        <f t="shared" si="272"/>
        <v>1</v>
      </c>
      <c r="S127" s="9">
        <f t="shared" si="272"/>
        <v>1</v>
      </c>
      <c r="T127" s="9">
        <f t="shared" si="272"/>
        <v>1</v>
      </c>
      <c r="U127" s="9">
        <f t="shared" si="272"/>
        <v>1</v>
      </c>
      <c r="V127" s="9">
        <f t="shared" si="272"/>
        <v>1</v>
      </c>
      <c r="W127" s="9">
        <f t="shared" si="272"/>
        <v>1</v>
      </c>
      <c r="X127" s="9">
        <f t="shared" si="272"/>
        <v>1</v>
      </c>
      <c r="Y127" s="9">
        <f t="shared" si="272"/>
        <v>1</v>
      </c>
      <c r="Z127" s="9">
        <f t="shared" si="272"/>
        <v>1</v>
      </c>
      <c r="AA127" s="9">
        <f t="shared" si="272"/>
        <v>1</v>
      </c>
      <c r="AB127" s="9">
        <f t="shared" si="272"/>
        <v>1</v>
      </c>
      <c r="AC127" s="9">
        <f t="shared" si="272"/>
        <v>1</v>
      </c>
      <c r="AD127" s="9">
        <f t="shared" si="272"/>
        <v>1</v>
      </c>
      <c r="AE127" s="9">
        <f t="shared" si="272"/>
        <v>1</v>
      </c>
      <c r="AF127" s="9">
        <f t="shared" si="272"/>
        <v>1</v>
      </c>
      <c r="AG127" s="9">
        <f t="shared" si="272"/>
        <v>1</v>
      </c>
      <c r="AH127" s="9">
        <f t="shared" si="272"/>
        <v>1</v>
      </c>
      <c r="AI127" s="9">
        <f t="shared" si="272"/>
        <v>1</v>
      </c>
      <c r="AJ127" s="9">
        <f t="shared" si="272"/>
        <v>1</v>
      </c>
      <c r="AK127" s="9">
        <f t="shared" si="272"/>
        <v>1</v>
      </c>
      <c r="AL127" s="9">
        <f t="shared" si="272"/>
        <v>1</v>
      </c>
      <c r="AM127" s="9">
        <f t="shared" si="272"/>
        <v>1</v>
      </c>
      <c r="AN127" s="9">
        <f t="shared" si="272"/>
        <v>1</v>
      </c>
      <c r="AO127" s="9">
        <f t="shared" si="272"/>
        <v>1</v>
      </c>
      <c r="AP127" s="9">
        <f t="shared" si="272"/>
        <v>1</v>
      </c>
      <c r="AQ127" s="9">
        <f t="shared" si="272"/>
        <v>1</v>
      </c>
      <c r="AR127" s="9">
        <f t="shared" si="272"/>
        <v>1</v>
      </c>
      <c r="AS127" s="9">
        <f t="shared" si="272"/>
        <v>1</v>
      </c>
      <c r="AT127" s="9">
        <f t="shared" si="272"/>
        <v>1</v>
      </c>
      <c r="AU127" s="9">
        <f t="shared" si="272"/>
        <v>1</v>
      </c>
      <c r="AV127" s="9">
        <f t="shared" si="272"/>
        <v>1</v>
      </c>
      <c r="AW127" s="9">
        <f t="shared" si="272"/>
        <v>1</v>
      </c>
      <c r="AX127" s="9">
        <f t="shared" si="272"/>
        <v>1</v>
      </c>
      <c r="AY127" s="9">
        <f t="shared" si="272"/>
        <v>1</v>
      </c>
      <c r="AZ127" s="9">
        <f t="shared" si="272"/>
        <v>1</v>
      </c>
      <c r="BA127" s="9" t="str">
        <f t="shared" si="272"/>
        <v/>
      </c>
      <c r="BB127" s="9" t="str">
        <f t="shared" si="272"/>
        <v/>
      </c>
      <c r="BC127" s="9" t="str">
        <f t="shared" si="272"/>
        <v/>
      </c>
      <c r="BD127" s="9" t="str">
        <f t="shared" si="272"/>
        <v/>
      </c>
      <c r="BE127" s="9" t="str">
        <f t="shared" si="272"/>
        <v/>
      </c>
      <c r="BF127" s="9" t="str">
        <f t="shared" si="272"/>
        <v/>
      </c>
      <c r="BG127" s="9" t="str">
        <f t="shared" si="272"/>
        <v/>
      </c>
      <c r="BH127" s="9" t="str">
        <f t="shared" si="272"/>
        <v/>
      </c>
      <c r="BI127" s="9" t="str">
        <f t="shared" si="272"/>
        <v/>
      </c>
      <c r="BJ127" s="9" t="str">
        <f t="shared" si="272"/>
        <v/>
      </c>
      <c r="BK127" s="9" t="str">
        <f t="shared" si="272"/>
        <v/>
      </c>
      <c r="BL127" s="9" t="str">
        <f t="shared" si="272"/>
        <v/>
      </c>
      <c r="BM127" s="9" t="str">
        <f t="shared" si="272"/>
        <v/>
      </c>
      <c r="BN127" s="9" t="str">
        <f t="shared" si="272"/>
        <v/>
      </c>
      <c r="BO127" s="9" t="str">
        <f t="shared" si="272"/>
        <v/>
      </c>
      <c r="BP127" s="9" t="str">
        <f t="shared" si="272"/>
        <v/>
      </c>
      <c r="BQ127" s="9" t="str">
        <f t="shared" si="272"/>
        <v/>
      </c>
      <c r="BR127" s="9" t="str">
        <f t="shared" si="272"/>
        <v/>
      </c>
      <c r="BS127" s="9" t="str">
        <f t="shared" ref="BS127:ED127" si="273">IF(OR(BT35 = "", BT$8 &lt; BS$8), "", 1)</f>
        <v/>
      </c>
      <c r="BT127" s="9" t="str">
        <f t="shared" si="273"/>
        <v/>
      </c>
      <c r="BU127" s="9" t="str">
        <f t="shared" si="273"/>
        <v/>
      </c>
      <c r="BV127" s="9" t="str">
        <f t="shared" si="273"/>
        <v/>
      </c>
      <c r="BW127" s="9" t="str">
        <f t="shared" si="273"/>
        <v/>
      </c>
      <c r="BX127" s="9" t="str">
        <f t="shared" si="273"/>
        <v/>
      </c>
      <c r="BY127" s="9" t="str">
        <f t="shared" si="273"/>
        <v/>
      </c>
      <c r="BZ127" s="9" t="str">
        <f t="shared" si="273"/>
        <v/>
      </c>
      <c r="CA127" s="9" t="str">
        <f t="shared" si="273"/>
        <v/>
      </c>
      <c r="CB127" s="9" t="str">
        <f t="shared" si="273"/>
        <v/>
      </c>
      <c r="CC127" s="9" t="str">
        <f t="shared" si="273"/>
        <v/>
      </c>
      <c r="CD127" s="9" t="str">
        <f t="shared" si="273"/>
        <v/>
      </c>
      <c r="CE127" s="9" t="str">
        <f t="shared" si="273"/>
        <v/>
      </c>
      <c r="CF127" s="9" t="str">
        <f t="shared" si="273"/>
        <v/>
      </c>
      <c r="CG127" s="9" t="str">
        <f t="shared" si="273"/>
        <v/>
      </c>
      <c r="CH127" s="9" t="str">
        <f t="shared" si="273"/>
        <v/>
      </c>
      <c r="CI127" s="9" t="str">
        <f t="shared" si="273"/>
        <v/>
      </c>
      <c r="CJ127" s="9" t="str">
        <f t="shared" si="273"/>
        <v/>
      </c>
      <c r="CK127" s="9" t="str">
        <f t="shared" si="273"/>
        <v/>
      </c>
      <c r="CL127" s="9" t="str">
        <f t="shared" si="273"/>
        <v/>
      </c>
      <c r="CM127" s="9" t="str">
        <f t="shared" si="273"/>
        <v/>
      </c>
      <c r="CN127" s="9" t="str">
        <f t="shared" si="273"/>
        <v/>
      </c>
      <c r="CO127" s="9" t="str">
        <f t="shared" si="273"/>
        <v/>
      </c>
      <c r="CP127" s="9" t="str">
        <f t="shared" si="273"/>
        <v/>
      </c>
      <c r="CQ127" s="9" t="str">
        <f t="shared" si="273"/>
        <v/>
      </c>
      <c r="CR127" s="9" t="str">
        <f t="shared" si="273"/>
        <v/>
      </c>
      <c r="CS127" s="9" t="str">
        <f t="shared" si="273"/>
        <v/>
      </c>
      <c r="CT127" s="9" t="str">
        <f t="shared" si="273"/>
        <v/>
      </c>
      <c r="CU127" s="9" t="str">
        <f t="shared" si="273"/>
        <v/>
      </c>
      <c r="CV127" s="9" t="str">
        <f t="shared" si="273"/>
        <v/>
      </c>
      <c r="CW127" s="9" t="str">
        <f t="shared" si="273"/>
        <v/>
      </c>
      <c r="CX127" s="9" t="str">
        <f t="shared" si="273"/>
        <v/>
      </c>
      <c r="CY127" s="9" t="str">
        <f t="shared" si="273"/>
        <v/>
      </c>
      <c r="CZ127" s="9" t="str">
        <f t="shared" si="273"/>
        <v/>
      </c>
      <c r="DA127" s="9" t="str">
        <f t="shared" si="273"/>
        <v/>
      </c>
      <c r="DB127" s="9" t="str">
        <f t="shared" si="273"/>
        <v/>
      </c>
      <c r="DC127" s="9" t="str">
        <f t="shared" si="273"/>
        <v/>
      </c>
      <c r="DD127" s="9" t="str">
        <f t="shared" si="273"/>
        <v/>
      </c>
      <c r="DE127" s="9" t="str">
        <f t="shared" si="273"/>
        <v/>
      </c>
      <c r="DF127" s="9" t="str">
        <f t="shared" si="273"/>
        <v/>
      </c>
      <c r="DG127" s="9" t="str">
        <f t="shared" si="273"/>
        <v/>
      </c>
      <c r="DH127" s="9" t="str">
        <f t="shared" si="273"/>
        <v/>
      </c>
      <c r="DI127" s="9" t="str">
        <f t="shared" si="273"/>
        <v/>
      </c>
      <c r="DJ127" s="9" t="str">
        <f t="shared" si="273"/>
        <v/>
      </c>
      <c r="DK127" s="9" t="str">
        <f t="shared" si="273"/>
        <v/>
      </c>
      <c r="DL127" s="9" t="str">
        <f t="shared" si="273"/>
        <v/>
      </c>
      <c r="DM127" s="9" t="str">
        <f t="shared" si="273"/>
        <v/>
      </c>
      <c r="DN127" s="9" t="str">
        <f t="shared" si="273"/>
        <v/>
      </c>
      <c r="DO127" s="9" t="str">
        <f t="shared" si="273"/>
        <v/>
      </c>
      <c r="DP127" s="9" t="str">
        <f t="shared" si="273"/>
        <v/>
      </c>
      <c r="DQ127" s="9" t="str">
        <f t="shared" si="273"/>
        <v/>
      </c>
      <c r="DR127" s="9" t="str">
        <f t="shared" si="273"/>
        <v/>
      </c>
      <c r="DS127" s="9" t="str">
        <f t="shared" si="273"/>
        <v/>
      </c>
      <c r="DT127" s="9" t="str">
        <f t="shared" si="273"/>
        <v/>
      </c>
      <c r="DU127" s="9" t="str">
        <f t="shared" si="273"/>
        <v/>
      </c>
      <c r="DV127" s="9" t="str">
        <f t="shared" si="273"/>
        <v/>
      </c>
      <c r="DW127" s="9" t="str">
        <f t="shared" si="273"/>
        <v/>
      </c>
      <c r="DX127" s="9" t="str">
        <f t="shared" si="273"/>
        <v/>
      </c>
      <c r="DY127" s="9" t="str">
        <f t="shared" si="273"/>
        <v/>
      </c>
      <c r="DZ127" s="9" t="str">
        <f t="shared" si="273"/>
        <v/>
      </c>
      <c r="EA127" s="9" t="str">
        <f t="shared" si="273"/>
        <v/>
      </c>
      <c r="EB127" s="9">
        <f t="shared" si="273"/>
        <v>1</v>
      </c>
      <c r="EC127" s="9">
        <f t="shared" si="273"/>
        <v>1</v>
      </c>
      <c r="ED127" s="9">
        <f t="shared" si="273"/>
        <v>1</v>
      </c>
      <c r="EE127" s="9">
        <f t="shared" ref="EE127:GP127" si="274">IF(OR(EF35 = "", EF$8 &lt; EE$8), "", 1)</f>
        <v>1</v>
      </c>
      <c r="EF127" s="9">
        <f t="shared" si="274"/>
        <v>1</v>
      </c>
      <c r="EG127" s="9">
        <f t="shared" si="274"/>
        <v>1</v>
      </c>
      <c r="EH127" s="9">
        <f t="shared" si="274"/>
        <v>1</v>
      </c>
      <c r="EI127" s="9">
        <f t="shared" si="274"/>
        <v>1</v>
      </c>
      <c r="EJ127" s="9">
        <f t="shared" si="274"/>
        <v>1</v>
      </c>
      <c r="EK127" s="9">
        <f t="shared" si="274"/>
        <v>1</v>
      </c>
      <c r="EL127" s="9">
        <f t="shared" si="274"/>
        <v>1</v>
      </c>
      <c r="EM127" s="9">
        <f t="shared" si="274"/>
        <v>1</v>
      </c>
      <c r="EN127" s="9">
        <f t="shared" si="274"/>
        <v>1</v>
      </c>
      <c r="EO127" s="9">
        <f t="shared" si="274"/>
        <v>1</v>
      </c>
      <c r="EP127" s="9">
        <f t="shared" si="274"/>
        <v>1</v>
      </c>
      <c r="EQ127" s="9">
        <f t="shared" si="274"/>
        <v>1</v>
      </c>
      <c r="ER127" s="9">
        <f t="shared" si="274"/>
        <v>1</v>
      </c>
      <c r="ES127" s="9">
        <f t="shared" si="274"/>
        <v>1</v>
      </c>
      <c r="ET127" s="9">
        <f t="shared" si="274"/>
        <v>1</v>
      </c>
      <c r="EU127" s="9">
        <f t="shared" si="274"/>
        <v>1</v>
      </c>
      <c r="EV127" s="9">
        <f t="shared" si="274"/>
        <v>1</v>
      </c>
      <c r="EW127" s="9">
        <f t="shared" si="274"/>
        <v>1</v>
      </c>
      <c r="EX127" s="9">
        <f t="shared" si="274"/>
        <v>1</v>
      </c>
      <c r="EY127" s="9">
        <f t="shared" si="274"/>
        <v>1</v>
      </c>
      <c r="EZ127" s="9">
        <f t="shared" si="274"/>
        <v>1</v>
      </c>
      <c r="FA127" s="9">
        <f t="shared" si="274"/>
        <v>1</v>
      </c>
      <c r="FB127" s="9">
        <f t="shared" si="274"/>
        <v>1</v>
      </c>
      <c r="FC127" s="9">
        <f t="shared" si="274"/>
        <v>1</v>
      </c>
      <c r="FD127" s="9">
        <f t="shared" si="274"/>
        <v>1</v>
      </c>
      <c r="FE127" s="9">
        <f t="shared" si="274"/>
        <v>1</v>
      </c>
      <c r="FF127" s="9">
        <f t="shared" si="274"/>
        <v>1</v>
      </c>
      <c r="FG127" s="9">
        <f t="shared" si="274"/>
        <v>1</v>
      </c>
      <c r="FH127" s="9">
        <f t="shared" si="274"/>
        <v>1</v>
      </c>
      <c r="FI127" s="9">
        <f t="shared" si="274"/>
        <v>1</v>
      </c>
      <c r="FJ127" s="9">
        <f t="shared" si="274"/>
        <v>1</v>
      </c>
      <c r="FK127" s="9">
        <f t="shared" si="274"/>
        <v>1</v>
      </c>
      <c r="FL127" s="9">
        <f t="shared" si="274"/>
        <v>1</v>
      </c>
      <c r="FM127" s="9">
        <f t="shared" si="274"/>
        <v>1</v>
      </c>
      <c r="FN127" s="9">
        <f t="shared" si="274"/>
        <v>1</v>
      </c>
      <c r="FO127" s="9">
        <f t="shared" si="274"/>
        <v>1</v>
      </c>
      <c r="FP127" s="9">
        <f t="shared" si="274"/>
        <v>1</v>
      </c>
      <c r="FQ127" s="9">
        <f t="shared" si="274"/>
        <v>1</v>
      </c>
      <c r="FR127" s="9">
        <f t="shared" si="274"/>
        <v>1</v>
      </c>
      <c r="FS127" s="9">
        <f t="shared" si="274"/>
        <v>1</v>
      </c>
      <c r="FT127" s="9">
        <f t="shared" si="274"/>
        <v>1</v>
      </c>
      <c r="FU127" s="9">
        <f t="shared" si="274"/>
        <v>1</v>
      </c>
      <c r="FV127" s="9" t="str">
        <f t="shared" si="274"/>
        <v/>
      </c>
      <c r="FW127" s="9" t="str">
        <f t="shared" si="274"/>
        <v/>
      </c>
      <c r="FX127" s="9" t="str">
        <f t="shared" si="274"/>
        <v/>
      </c>
      <c r="FY127" s="9" t="str">
        <f t="shared" si="274"/>
        <v/>
      </c>
      <c r="FZ127" s="9" t="str">
        <f t="shared" si="274"/>
        <v/>
      </c>
      <c r="GA127" s="9" t="str">
        <f t="shared" si="274"/>
        <v/>
      </c>
      <c r="GB127" s="9" t="str">
        <f t="shared" si="274"/>
        <v/>
      </c>
      <c r="GC127" s="9" t="str">
        <f t="shared" si="274"/>
        <v/>
      </c>
      <c r="GD127" s="9" t="str">
        <f t="shared" si="274"/>
        <v/>
      </c>
      <c r="GE127" s="9" t="str">
        <f t="shared" si="274"/>
        <v/>
      </c>
      <c r="GF127" s="9" t="str">
        <f t="shared" si="274"/>
        <v/>
      </c>
      <c r="GG127" s="9" t="str">
        <f t="shared" si="274"/>
        <v/>
      </c>
      <c r="GH127" s="9" t="str">
        <f t="shared" si="274"/>
        <v/>
      </c>
      <c r="GI127" s="9" t="str">
        <f t="shared" si="274"/>
        <v/>
      </c>
      <c r="GJ127" s="9" t="str">
        <f t="shared" si="274"/>
        <v/>
      </c>
      <c r="GK127" s="9" t="str">
        <f t="shared" si="274"/>
        <v/>
      </c>
      <c r="GL127" s="9" t="str">
        <f t="shared" si="274"/>
        <v/>
      </c>
      <c r="GM127" s="9" t="str">
        <f t="shared" si="274"/>
        <v/>
      </c>
      <c r="GN127" s="9" t="str">
        <f t="shared" si="274"/>
        <v/>
      </c>
      <c r="GO127" s="9" t="str">
        <f t="shared" si="274"/>
        <v/>
      </c>
      <c r="GP127" s="9" t="str">
        <f t="shared" si="274"/>
        <v/>
      </c>
      <c r="GQ127" s="9" t="str">
        <f t="shared" ref="GQ127:IV127" si="275">IF(OR(GR35 = "", GR$8 &lt; GQ$8), "", 1)</f>
        <v/>
      </c>
      <c r="GR127" s="9" t="str">
        <f t="shared" si="275"/>
        <v/>
      </c>
      <c r="GS127" s="9" t="str">
        <f t="shared" si="275"/>
        <v/>
      </c>
      <c r="GT127" s="9" t="str">
        <f t="shared" si="275"/>
        <v/>
      </c>
      <c r="GU127" s="9" t="str">
        <f t="shared" si="275"/>
        <v/>
      </c>
      <c r="GV127" s="9" t="str">
        <f t="shared" si="275"/>
        <v/>
      </c>
      <c r="GW127" s="9" t="str">
        <f t="shared" si="275"/>
        <v/>
      </c>
      <c r="GX127" s="9" t="str">
        <f t="shared" si="275"/>
        <v/>
      </c>
      <c r="GY127" s="9" t="str">
        <f t="shared" si="275"/>
        <v/>
      </c>
      <c r="GZ127" s="9" t="str">
        <f t="shared" si="275"/>
        <v/>
      </c>
      <c r="HA127" s="9" t="str">
        <f t="shared" si="275"/>
        <v/>
      </c>
      <c r="HB127" s="9" t="str">
        <f t="shared" si="275"/>
        <v/>
      </c>
      <c r="HC127" s="9" t="str">
        <f t="shared" si="275"/>
        <v/>
      </c>
      <c r="HD127" s="9" t="str">
        <f t="shared" si="275"/>
        <v/>
      </c>
      <c r="HE127" s="9" t="str">
        <f t="shared" si="275"/>
        <v/>
      </c>
      <c r="HF127" s="9" t="str">
        <f t="shared" si="275"/>
        <v/>
      </c>
      <c r="HG127" s="9" t="str">
        <f t="shared" si="275"/>
        <v/>
      </c>
      <c r="HH127" s="9" t="str">
        <f t="shared" si="275"/>
        <v/>
      </c>
      <c r="HI127" s="9" t="str">
        <f t="shared" si="275"/>
        <v/>
      </c>
      <c r="HJ127" s="9" t="str">
        <f t="shared" si="275"/>
        <v/>
      </c>
      <c r="HK127" s="9" t="str">
        <f t="shared" si="275"/>
        <v/>
      </c>
      <c r="HL127" s="9" t="str">
        <f t="shared" si="275"/>
        <v/>
      </c>
      <c r="HM127" s="9" t="str">
        <f t="shared" si="275"/>
        <v/>
      </c>
      <c r="HN127" s="9" t="str">
        <f t="shared" si="275"/>
        <v/>
      </c>
      <c r="HO127" s="9" t="str">
        <f t="shared" si="275"/>
        <v/>
      </c>
      <c r="HP127" s="9" t="str">
        <f t="shared" si="275"/>
        <v/>
      </c>
      <c r="HQ127" s="9" t="str">
        <f t="shared" si="275"/>
        <v/>
      </c>
      <c r="HR127" s="9" t="str">
        <f t="shared" si="275"/>
        <v/>
      </c>
      <c r="HS127" s="9" t="str">
        <f t="shared" si="275"/>
        <v/>
      </c>
      <c r="HT127" s="9" t="str">
        <f t="shared" si="275"/>
        <v/>
      </c>
      <c r="HU127" s="9" t="str">
        <f t="shared" si="275"/>
        <v/>
      </c>
      <c r="HV127" s="9" t="str">
        <f t="shared" si="275"/>
        <v/>
      </c>
      <c r="HW127" s="9" t="str">
        <f t="shared" si="275"/>
        <v/>
      </c>
      <c r="HX127" s="9" t="str">
        <f t="shared" si="275"/>
        <v/>
      </c>
      <c r="HY127" s="9" t="str">
        <f t="shared" si="275"/>
        <v/>
      </c>
      <c r="HZ127" s="9" t="str">
        <f t="shared" si="275"/>
        <v/>
      </c>
      <c r="IA127" s="9" t="str">
        <f t="shared" si="275"/>
        <v/>
      </c>
      <c r="IB127" s="9" t="str">
        <f t="shared" si="275"/>
        <v/>
      </c>
      <c r="IC127" s="9" t="str">
        <f t="shared" si="275"/>
        <v/>
      </c>
      <c r="ID127" s="9" t="str">
        <f t="shared" si="275"/>
        <v/>
      </c>
      <c r="IE127" s="9" t="str">
        <f t="shared" si="275"/>
        <v/>
      </c>
      <c r="IF127" s="9" t="str">
        <f t="shared" si="275"/>
        <v/>
      </c>
      <c r="IG127" s="9" t="str">
        <f t="shared" si="275"/>
        <v/>
      </c>
      <c r="IH127" s="9" t="str">
        <f t="shared" si="275"/>
        <v/>
      </c>
      <c r="II127" s="9" t="str">
        <f t="shared" si="275"/>
        <v/>
      </c>
      <c r="IJ127" s="9" t="str">
        <f t="shared" si="275"/>
        <v/>
      </c>
      <c r="IK127" s="9" t="str">
        <f t="shared" si="275"/>
        <v/>
      </c>
      <c r="IL127" s="9" t="str">
        <f t="shared" si="275"/>
        <v/>
      </c>
      <c r="IM127" s="9" t="str">
        <f t="shared" si="275"/>
        <v/>
      </c>
      <c r="IN127" s="9" t="str">
        <f t="shared" si="275"/>
        <v/>
      </c>
      <c r="IO127" s="9" t="str">
        <f t="shared" si="275"/>
        <v/>
      </c>
      <c r="IP127" s="9" t="str">
        <f t="shared" si="275"/>
        <v/>
      </c>
      <c r="IQ127" s="9" t="str">
        <f t="shared" si="275"/>
        <v/>
      </c>
      <c r="IR127" s="9" t="str">
        <f t="shared" si="275"/>
        <v/>
      </c>
      <c r="IS127" s="9" t="str">
        <f t="shared" si="275"/>
        <v/>
      </c>
      <c r="IT127" s="9" t="str">
        <f t="shared" si="275"/>
        <v/>
      </c>
      <c r="IU127" s="9" t="str">
        <f t="shared" si="275"/>
        <v/>
      </c>
      <c r="IV127" s="9" t="str">
        <f t="shared" si="275"/>
        <v/>
      </c>
    </row>
    <row r="128" spans="6:256" x14ac:dyDescent="0.2">
      <c r="F128">
        <v>202012</v>
      </c>
      <c r="G128" s="9">
        <f t="shared" ref="G128:BR128" si="276">IF(OR(H36 = "", H$8 &lt; G$8), "", 1)</f>
        <v>1</v>
      </c>
      <c r="H128" s="9">
        <f t="shared" si="276"/>
        <v>1</v>
      </c>
      <c r="I128" s="9">
        <f t="shared" si="276"/>
        <v>1</v>
      </c>
      <c r="J128" s="9">
        <f t="shared" si="276"/>
        <v>1</v>
      </c>
      <c r="K128" s="9">
        <f t="shared" si="276"/>
        <v>1</v>
      </c>
      <c r="L128" s="9">
        <f t="shared" si="276"/>
        <v>1</v>
      </c>
      <c r="M128" s="9">
        <f t="shared" si="276"/>
        <v>1</v>
      </c>
      <c r="N128" s="9">
        <f t="shared" si="276"/>
        <v>1</v>
      </c>
      <c r="O128" s="9">
        <f t="shared" si="276"/>
        <v>1</v>
      </c>
      <c r="P128" s="9">
        <f t="shared" si="276"/>
        <v>1</v>
      </c>
      <c r="Q128" s="9">
        <f t="shared" si="276"/>
        <v>1</v>
      </c>
      <c r="R128" s="9">
        <f t="shared" si="276"/>
        <v>1</v>
      </c>
      <c r="S128" s="9">
        <f t="shared" si="276"/>
        <v>1</v>
      </c>
      <c r="T128" s="9">
        <f t="shared" si="276"/>
        <v>1</v>
      </c>
      <c r="U128" s="9">
        <f t="shared" si="276"/>
        <v>1</v>
      </c>
      <c r="V128" s="9">
        <f t="shared" si="276"/>
        <v>1</v>
      </c>
      <c r="W128" s="9">
        <f t="shared" si="276"/>
        <v>1</v>
      </c>
      <c r="X128" s="9">
        <f t="shared" si="276"/>
        <v>1</v>
      </c>
      <c r="Y128" s="9">
        <f t="shared" si="276"/>
        <v>1</v>
      </c>
      <c r="Z128" s="9">
        <f t="shared" si="276"/>
        <v>1</v>
      </c>
      <c r="AA128" s="9">
        <f t="shared" si="276"/>
        <v>1</v>
      </c>
      <c r="AB128" s="9">
        <f t="shared" si="276"/>
        <v>1</v>
      </c>
      <c r="AC128" s="9">
        <f t="shared" si="276"/>
        <v>1</v>
      </c>
      <c r="AD128" s="9">
        <f t="shared" si="276"/>
        <v>1</v>
      </c>
      <c r="AE128" s="9">
        <f t="shared" si="276"/>
        <v>1</v>
      </c>
      <c r="AF128" s="9">
        <f t="shared" si="276"/>
        <v>1</v>
      </c>
      <c r="AG128" s="9">
        <f t="shared" si="276"/>
        <v>1</v>
      </c>
      <c r="AH128" s="9">
        <f t="shared" si="276"/>
        <v>1</v>
      </c>
      <c r="AI128" s="9">
        <f t="shared" si="276"/>
        <v>1</v>
      </c>
      <c r="AJ128" s="9">
        <f t="shared" si="276"/>
        <v>1</v>
      </c>
      <c r="AK128" s="9">
        <f t="shared" si="276"/>
        <v>1</v>
      </c>
      <c r="AL128" s="9">
        <f t="shared" si="276"/>
        <v>1</v>
      </c>
      <c r="AM128" s="9">
        <f t="shared" si="276"/>
        <v>1</v>
      </c>
      <c r="AN128" s="9">
        <f t="shared" si="276"/>
        <v>1</v>
      </c>
      <c r="AO128" s="9">
        <f t="shared" si="276"/>
        <v>1</v>
      </c>
      <c r="AP128" s="9">
        <f t="shared" si="276"/>
        <v>1</v>
      </c>
      <c r="AQ128" s="9">
        <f t="shared" si="276"/>
        <v>1</v>
      </c>
      <c r="AR128" s="9">
        <f t="shared" si="276"/>
        <v>1</v>
      </c>
      <c r="AS128" s="9">
        <f t="shared" si="276"/>
        <v>1</v>
      </c>
      <c r="AT128" s="9">
        <f t="shared" si="276"/>
        <v>1</v>
      </c>
      <c r="AU128" s="9">
        <f t="shared" si="276"/>
        <v>1</v>
      </c>
      <c r="AV128" s="9">
        <f t="shared" si="276"/>
        <v>1</v>
      </c>
      <c r="AW128" s="9">
        <f t="shared" si="276"/>
        <v>1</v>
      </c>
      <c r="AX128" s="9" t="str">
        <f t="shared" si="276"/>
        <v/>
      </c>
      <c r="AY128" s="9" t="str">
        <f t="shared" si="276"/>
        <v/>
      </c>
      <c r="AZ128" s="9" t="str">
        <f t="shared" si="276"/>
        <v/>
      </c>
      <c r="BA128" s="9" t="str">
        <f t="shared" si="276"/>
        <v/>
      </c>
      <c r="BB128" s="9" t="str">
        <f t="shared" si="276"/>
        <v/>
      </c>
      <c r="BC128" s="9" t="str">
        <f t="shared" si="276"/>
        <v/>
      </c>
      <c r="BD128" s="9" t="str">
        <f t="shared" si="276"/>
        <v/>
      </c>
      <c r="BE128" s="9" t="str">
        <f t="shared" si="276"/>
        <v/>
      </c>
      <c r="BF128" s="9" t="str">
        <f t="shared" si="276"/>
        <v/>
      </c>
      <c r="BG128" s="9" t="str">
        <f t="shared" si="276"/>
        <v/>
      </c>
      <c r="BH128" s="9" t="str">
        <f t="shared" si="276"/>
        <v/>
      </c>
      <c r="BI128" s="9" t="str">
        <f t="shared" si="276"/>
        <v/>
      </c>
      <c r="BJ128" s="9" t="str">
        <f t="shared" si="276"/>
        <v/>
      </c>
      <c r="BK128" s="9" t="str">
        <f t="shared" si="276"/>
        <v/>
      </c>
      <c r="BL128" s="9" t="str">
        <f t="shared" si="276"/>
        <v/>
      </c>
      <c r="BM128" s="9" t="str">
        <f t="shared" si="276"/>
        <v/>
      </c>
      <c r="BN128" s="9" t="str">
        <f t="shared" si="276"/>
        <v/>
      </c>
      <c r="BO128" s="9" t="str">
        <f t="shared" si="276"/>
        <v/>
      </c>
      <c r="BP128" s="9" t="str">
        <f t="shared" si="276"/>
        <v/>
      </c>
      <c r="BQ128" s="9" t="str">
        <f t="shared" si="276"/>
        <v/>
      </c>
      <c r="BR128" s="9" t="str">
        <f t="shared" si="276"/>
        <v/>
      </c>
      <c r="BS128" s="9" t="str">
        <f t="shared" ref="BS128:ED128" si="277">IF(OR(BT36 = "", BT$8 &lt; BS$8), "", 1)</f>
        <v/>
      </c>
      <c r="BT128" s="9" t="str">
        <f t="shared" si="277"/>
        <v/>
      </c>
      <c r="BU128" s="9" t="str">
        <f t="shared" si="277"/>
        <v/>
      </c>
      <c r="BV128" s="9" t="str">
        <f t="shared" si="277"/>
        <v/>
      </c>
      <c r="BW128" s="9" t="str">
        <f t="shared" si="277"/>
        <v/>
      </c>
      <c r="BX128" s="9" t="str">
        <f t="shared" si="277"/>
        <v/>
      </c>
      <c r="BY128" s="9" t="str">
        <f t="shared" si="277"/>
        <v/>
      </c>
      <c r="BZ128" s="9" t="str">
        <f t="shared" si="277"/>
        <v/>
      </c>
      <c r="CA128" s="9" t="str">
        <f t="shared" si="277"/>
        <v/>
      </c>
      <c r="CB128" s="9" t="str">
        <f t="shared" si="277"/>
        <v/>
      </c>
      <c r="CC128" s="9" t="str">
        <f t="shared" si="277"/>
        <v/>
      </c>
      <c r="CD128" s="9" t="str">
        <f t="shared" si="277"/>
        <v/>
      </c>
      <c r="CE128" s="9" t="str">
        <f t="shared" si="277"/>
        <v/>
      </c>
      <c r="CF128" s="9" t="str">
        <f t="shared" si="277"/>
        <v/>
      </c>
      <c r="CG128" s="9" t="str">
        <f t="shared" si="277"/>
        <v/>
      </c>
      <c r="CH128" s="9" t="str">
        <f t="shared" si="277"/>
        <v/>
      </c>
      <c r="CI128" s="9" t="str">
        <f t="shared" si="277"/>
        <v/>
      </c>
      <c r="CJ128" s="9" t="str">
        <f t="shared" si="277"/>
        <v/>
      </c>
      <c r="CK128" s="9" t="str">
        <f t="shared" si="277"/>
        <v/>
      </c>
      <c r="CL128" s="9" t="str">
        <f t="shared" si="277"/>
        <v/>
      </c>
      <c r="CM128" s="9" t="str">
        <f t="shared" si="277"/>
        <v/>
      </c>
      <c r="CN128" s="9" t="str">
        <f t="shared" si="277"/>
        <v/>
      </c>
      <c r="CO128" s="9" t="str">
        <f t="shared" si="277"/>
        <v/>
      </c>
      <c r="CP128" s="9" t="str">
        <f t="shared" si="277"/>
        <v/>
      </c>
      <c r="CQ128" s="9" t="str">
        <f t="shared" si="277"/>
        <v/>
      </c>
      <c r="CR128" s="9" t="str">
        <f t="shared" si="277"/>
        <v/>
      </c>
      <c r="CS128" s="9" t="str">
        <f t="shared" si="277"/>
        <v/>
      </c>
      <c r="CT128" s="9" t="str">
        <f t="shared" si="277"/>
        <v/>
      </c>
      <c r="CU128" s="9" t="str">
        <f t="shared" si="277"/>
        <v/>
      </c>
      <c r="CV128" s="9" t="str">
        <f t="shared" si="277"/>
        <v/>
      </c>
      <c r="CW128" s="9" t="str">
        <f t="shared" si="277"/>
        <v/>
      </c>
      <c r="CX128" s="9" t="str">
        <f t="shared" si="277"/>
        <v/>
      </c>
      <c r="CY128" s="9" t="str">
        <f t="shared" si="277"/>
        <v/>
      </c>
      <c r="CZ128" s="9" t="str">
        <f t="shared" si="277"/>
        <v/>
      </c>
      <c r="DA128" s="9" t="str">
        <f t="shared" si="277"/>
        <v/>
      </c>
      <c r="DB128" s="9" t="str">
        <f t="shared" si="277"/>
        <v/>
      </c>
      <c r="DC128" s="9" t="str">
        <f t="shared" si="277"/>
        <v/>
      </c>
      <c r="DD128" s="9" t="str">
        <f t="shared" si="277"/>
        <v/>
      </c>
      <c r="DE128" s="9" t="str">
        <f t="shared" si="277"/>
        <v/>
      </c>
      <c r="DF128" s="9" t="str">
        <f t="shared" si="277"/>
        <v/>
      </c>
      <c r="DG128" s="9" t="str">
        <f t="shared" si="277"/>
        <v/>
      </c>
      <c r="DH128" s="9" t="str">
        <f t="shared" si="277"/>
        <v/>
      </c>
      <c r="DI128" s="9" t="str">
        <f t="shared" si="277"/>
        <v/>
      </c>
      <c r="DJ128" s="9" t="str">
        <f t="shared" si="277"/>
        <v/>
      </c>
      <c r="DK128" s="9" t="str">
        <f t="shared" si="277"/>
        <v/>
      </c>
      <c r="DL128" s="9" t="str">
        <f t="shared" si="277"/>
        <v/>
      </c>
      <c r="DM128" s="9" t="str">
        <f t="shared" si="277"/>
        <v/>
      </c>
      <c r="DN128" s="9" t="str">
        <f t="shared" si="277"/>
        <v/>
      </c>
      <c r="DO128" s="9" t="str">
        <f t="shared" si="277"/>
        <v/>
      </c>
      <c r="DP128" s="9" t="str">
        <f t="shared" si="277"/>
        <v/>
      </c>
      <c r="DQ128" s="9" t="str">
        <f t="shared" si="277"/>
        <v/>
      </c>
      <c r="DR128" s="9" t="str">
        <f t="shared" si="277"/>
        <v/>
      </c>
      <c r="DS128" s="9" t="str">
        <f t="shared" si="277"/>
        <v/>
      </c>
      <c r="DT128" s="9" t="str">
        <f t="shared" si="277"/>
        <v/>
      </c>
      <c r="DU128" s="9" t="str">
        <f t="shared" si="277"/>
        <v/>
      </c>
      <c r="DV128" s="9" t="str">
        <f t="shared" si="277"/>
        <v/>
      </c>
      <c r="DW128" s="9" t="str">
        <f t="shared" si="277"/>
        <v/>
      </c>
      <c r="DX128" s="9" t="str">
        <f t="shared" si="277"/>
        <v/>
      </c>
      <c r="DY128" s="9" t="str">
        <f t="shared" si="277"/>
        <v/>
      </c>
      <c r="DZ128" s="9" t="str">
        <f t="shared" si="277"/>
        <v/>
      </c>
      <c r="EA128" s="9" t="str">
        <f t="shared" si="277"/>
        <v/>
      </c>
      <c r="EB128" s="9">
        <f t="shared" si="277"/>
        <v>1</v>
      </c>
      <c r="EC128" s="9">
        <f t="shared" si="277"/>
        <v>1</v>
      </c>
      <c r="ED128" s="9">
        <f t="shared" si="277"/>
        <v>1</v>
      </c>
      <c r="EE128" s="9">
        <f t="shared" ref="EE128:GP128" si="278">IF(OR(EF36 = "", EF$8 &lt; EE$8), "", 1)</f>
        <v>1</v>
      </c>
      <c r="EF128" s="9">
        <f t="shared" si="278"/>
        <v>1</v>
      </c>
      <c r="EG128" s="9">
        <f t="shared" si="278"/>
        <v>1</v>
      </c>
      <c r="EH128" s="9">
        <f t="shared" si="278"/>
        <v>1</v>
      </c>
      <c r="EI128" s="9">
        <f t="shared" si="278"/>
        <v>1</v>
      </c>
      <c r="EJ128" s="9">
        <f t="shared" si="278"/>
        <v>1</v>
      </c>
      <c r="EK128" s="9">
        <f t="shared" si="278"/>
        <v>1</v>
      </c>
      <c r="EL128" s="9">
        <f t="shared" si="278"/>
        <v>1</v>
      </c>
      <c r="EM128" s="9">
        <f t="shared" si="278"/>
        <v>1</v>
      </c>
      <c r="EN128" s="9">
        <f t="shared" si="278"/>
        <v>1</v>
      </c>
      <c r="EO128" s="9">
        <f t="shared" si="278"/>
        <v>1</v>
      </c>
      <c r="EP128" s="9">
        <f t="shared" si="278"/>
        <v>1</v>
      </c>
      <c r="EQ128" s="9">
        <f t="shared" si="278"/>
        <v>1</v>
      </c>
      <c r="ER128" s="9">
        <f t="shared" si="278"/>
        <v>1</v>
      </c>
      <c r="ES128" s="9">
        <f t="shared" si="278"/>
        <v>1</v>
      </c>
      <c r="ET128" s="9">
        <f t="shared" si="278"/>
        <v>1</v>
      </c>
      <c r="EU128" s="9">
        <f t="shared" si="278"/>
        <v>1</v>
      </c>
      <c r="EV128" s="9">
        <f t="shared" si="278"/>
        <v>1</v>
      </c>
      <c r="EW128" s="9">
        <f t="shared" si="278"/>
        <v>1</v>
      </c>
      <c r="EX128" s="9">
        <f t="shared" si="278"/>
        <v>1</v>
      </c>
      <c r="EY128" s="9">
        <f t="shared" si="278"/>
        <v>1</v>
      </c>
      <c r="EZ128" s="9">
        <f t="shared" si="278"/>
        <v>1</v>
      </c>
      <c r="FA128" s="9">
        <f t="shared" si="278"/>
        <v>1</v>
      </c>
      <c r="FB128" s="9">
        <f t="shared" si="278"/>
        <v>1</v>
      </c>
      <c r="FC128" s="9">
        <f t="shared" si="278"/>
        <v>1</v>
      </c>
      <c r="FD128" s="9">
        <f t="shared" si="278"/>
        <v>1</v>
      </c>
      <c r="FE128" s="9">
        <f t="shared" si="278"/>
        <v>1</v>
      </c>
      <c r="FF128" s="9">
        <f t="shared" si="278"/>
        <v>1</v>
      </c>
      <c r="FG128" s="9">
        <f t="shared" si="278"/>
        <v>1</v>
      </c>
      <c r="FH128" s="9">
        <f t="shared" si="278"/>
        <v>1</v>
      </c>
      <c r="FI128" s="9">
        <f t="shared" si="278"/>
        <v>1</v>
      </c>
      <c r="FJ128" s="9">
        <f t="shared" si="278"/>
        <v>1</v>
      </c>
      <c r="FK128" s="9">
        <f t="shared" si="278"/>
        <v>1</v>
      </c>
      <c r="FL128" s="9">
        <f t="shared" si="278"/>
        <v>1</v>
      </c>
      <c r="FM128" s="9">
        <f t="shared" si="278"/>
        <v>1</v>
      </c>
      <c r="FN128" s="9">
        <f t="shared" si="278"/>
        <v>1</v>
      </c>
      <c r="FO128" s="9">
        <f t="shared" si="278"/>
        <v>1</v>
      </c>
      <c r="FP128" s="9">
        <f t="shared" si="278"/>
        <v>1</v>
      </c>
      <c r="FQ128" s="9">
        <f t="shared" si="278"/>
        <v>1</v>
      </c>
      <c r="FR128" s="9">
        <f t="shared" si="278"/>
        <v>1</v>
      </c>
      <c r="FS128" s="9" t="str">
        <f t="shared" si="278"/>
        <v/>
      </c>
      <c r="FT128" s="9" t="str">
        <f t="shared" si="278"/>
        <v/>
      </c>
      <c r="FU128" s="9" t="str">
        <f t="shared" si="278"/>
        <v/>
      </c>
      <c r="FV128" s="9" t="str">
        <f t="shared" si="278"/>
        <v/>
      </c>
      <c r="FW128" s="9" t="str">
        <f t="shared" si="278"/>
        <v/>
      </c>
      <c r="FX128" s="9" t="str">
        <f t="shared" si="278"/>
        <v/>
      </c>
      <c r="FY128" s="9" t="str">
        <f t="shared" si="278"/>
        <v/>
      </c>
      <c r="FZ128" s="9" t="str">
        <f t="shared" si="278"/>
        <v/>
      </c>
      <c r="GA128" s="9" t="str">
        <f t="shared" si="278"/>
        <v/>
      </c>
      <c r="GB128" s="9" t="str">
        <f t="shared" si="278"/>
        <v/>
      </c>
      <c r="GC128" s="9" t="str">
        <f t="shared" si="278"/>
        <v/>
      </c>
      <c r="GD128" s="9" t="str">
        <f t="shared" si="278"/>
        <v/>
      </c>
      <c r="GE128" s="9" t="str">
        <f t="shared" si="278"/>
        <v/>
      </c>
      <c r="GF128" s="9" t="str">
        <f t="shared" si="278"/>
        <v/>
      </c>
      <c r="GG128" s="9" t="str">
        <f t="shared" si="278"/>
        <v/>
      </c>
      <c r="GH128" s="9" t="str">
        <f t="shared" si="278"/>
        <v/>
      </c>
      <c r="GI128" s="9" t="str">
        <f t="shared" si="278"/>
        <v/>
      </c>
      <c r="GJ128" s="9" t="str">
        <f t="shared" si="278"/>
        <v/>
      </c>
      <c r="GK128" s="9" t="str">
        <f t="shared" si="278"/>
        <v/>
      </c>
      <c r="GL128" s="9" t="str">
        <f t="shared" si="278"/>
        <v/>
      </c>
      <c r="GM128" s="9" t="str">
        <f t="shared" si="278"/>
        <v/>
      </c>
      <c r="GN128" s="9" t="str">
        <f t="shared" si="278"/>
        <v/>
      </c>
      <c r="GO128" s="9" t="str">
        <f t="shared" si="278"/>
        <v/>
      </c>
      <c r="GP128" s="9" t="str">
        <f t="shared" si="278"/>
        <v/>
      </c>
      <c r="GQ128" s="9" t="str">
        <f t="shared" ref="GQ128:IV128" si="279">IF(OR(GR36 = "", GR$8 &lt; GQ$8), "", 1)</f>
        <v/>
      </c>
      <c r="GR128" s="9" t="str">
        <f t="shared" si="279"/>
        <v/>
      </c>
      <c r="GS128" s="9" t="str">
        <f t="shared" si="279"/>
        <v/>
      </c>
      <c r="GT128" s="9" t="str">
        <f t="shared" si="279"/>
        <v/>
      </c>
      <c r="GU128" s="9" t="str">
        <f t="shared" si="279"/>
        <v/>
      </c>
      <c r="GV128" s="9" t="str">
        <f t="shared" si="279"/>
        <v/>
      </c>
      <c r="GW128" s="9" t="str">
        <f t="shared" si="279"/>
        <v/>
      </c>
      <c r="GX128" s="9" t="str">
        <f t="shared" si="279"/>
        <v/>
      </c>
      <c r="GY128" s="9" t="str">
        <f t="shared" si="279"/>
        <v/>
      </c>
      <c r="GZ128" s="9" t="str">
        <f t="shared" si="279"/>
        <v/>
      </c>
      <c r="HA128" s="9" t="str">
        <f t="shared" si="279"/>
        <v/>
      </c>
      <c r="HB128" s="9" t="str">
        <f t="shared" si="279"/>
        <v/>
      </c>
      <c r="HC128" s="9" t="str">
        <f t="shared" si="279"/>
        <v/>
      </c>
      <c r="HD128" s="9" t="str">
        <f t="shared" si="279"/>
        <v/>
      </c>
      <c r="HE128" s="9" t="str">
        <f t="shared" si="279"/>
        <v/>
      </c>
      <c r="HF128" s="9" t="str">
        <f t="shared" si="279"/>
        <v/>
      </c>
      <c r="HG128" s="9" t="str">
        <f t="shared" si="279"/>
        <v/>
      </c>
      <c r="HH128" s="9" t="str">
        <f t="shared" si="279"/>
        <v/>
      </c>
      <c r="HI128" s="9" t="str">
        <f t="shared" si="279"/>
        <v/>
      </c>
      <c r="HJ128" s="9" t="str">
        <f t="shared" si="279"/>
        <v/>
      </c>
      <c r="HK128" s="9" t="str">
        <f t="shared" si="279"/>
        <v/>
      </c>
      <c r="HL128" s="9" t="str">
        <f t="shared" si="279"/>
        <v/>
      </c>
      <c r="HM128" s="9" t="str">
        <f t="shared" si="279"/>
        <v/>
      </c>
      <c r="HN128" s="9" t="str">
        <f t="shared" si="279"/>
        <v/>
      </c>
      <c r="HO128" s="9" t="str">
        <f t="shared" si="279"/>
        <v/>
      </c>
      <c r="HP128" s="9" t="str">
        <f t="shared" si="279"/>
        <v/>
      </c>
      <c r="HQ128" s="9" t="str">
        <f t="shared" si="279"/>
        <v/>
      </c>
      <c r="HR128" s="9" t="str">
        <f t="shared" si="279"/>
        <v/>
      </c>
      <c r="HS128" s="9" t="str">
        <f t="shared" si="279"/>
        <v/>
      </c>
      <c r="HT128" s="9" t="str">
        <f t="shared" si="279"/>
        <v/>
      </c>
      <c r="HU128" s="9" t="str">
        <f t="shared" si="279"/>
        <v/>
      </c>
      <c r="HV128" s="9" t="str">
        <f t="shared" si="279"/>
        <v/>
      </c>
      <c r="HW128" s="9" t="str">
        <f t="shared" si="279"/>
        <v/>
      </c>
      <c r="HX128" s="9" t="str">
        <f t="shared" si="279"/>
        <v/>
      </c>
      <c r="HY128" s="9" t="str">
        <f t="shared" si="279"/>
        <v/>
      </c>
      <c r="HZ128" s="9" t="str">
        <f t="shared" si="279"/>
        <v/>
      </c>
      <c r="IA128" s="9" t="str">
        <f t="shared" si="279"/>
        <v/>
      </c>
      <c r="IB128" s="9" t="str">
        <f t="shared" si="279"/>
        <v/>
      </c>
      <c r="IC128" s="9" t="str">
        <f t="shared" si="279"/>
        <v/>
      </c>
      <c r="ID128" s="9" t="str">
        <f t="shared" si="279"/>
        <v/>
      </c>
      <c r="IE128" s="9" t="str">
        <f t="shared" si="279"/>
        <v/>
      </c>
      <c r="IF128" s="9" t="str">
        <f t="shared" si="279"/>
        <v/>
      </c>
      <c r="IG128" s="9" t="str">
        <f t="shared" si="279"/>
        <v/>
      </c>
      <c r="IH128" s="9" t="str">
        <f t="shared" si="279"/>
        <v/>
      </c>
      <c r="II128" s="9" t="str">
        <f t="shared" si="279"/>
        <v/>
      </c>
      <c r="IJ128" s="9" t="str">
        <f t="shared" si="279"/>
        <v/>
      </c>
      <c r="IK128" s="9" t="str">
        <f t="shared" si="279"/>
        <v/>
      </c>
      <c r="IL128" s="9" t="str">
        <f t="shared" si="279"/>
        <v/>
      </c>
      <c r="IM128" s="9" t="str">
        <f t="shared" si="279"/>
        <v/>
      </c>
      <c r="IN128" s="9" t="str">
        <f t="shared" si="279"/>
        <v/>
      </c>
      <c r="IO128" s="9" t="str">
        <f t="shared" si="279"/>
        <v/>
      </c>
      <c r="IP128" s="9" t="str">
        <f t="shared" si="279"/>
        <v/>
      </c>
      <c r="IQ128" s="9" t="str">
        <f t="shared" si="279"/>
        <v/>
      </c>
      <c r="IR128" s="9" t="str">
        <f t="shared" si="279"/>
        <v/>
      </c>
      <c r="IS128" s="9" t="str">
        <f t="shared" si="279"/>
        <v/>
      </c>
      <c r="IT128" s="9" t="str">
        <f t="shared" si="279"/>
        <v/>
      </c>
      <c r="IU128" s="9" t="str">
        <f t="shared" si="279"/>
        <v/>
      </c>
      <c r="IV128" s="9" t="str">
        <f t="shared" si="279"/>
        <v/>
      </c>
    </row>
    <row r="129" spans="6:256" x14ac:dyDescent="0.2">
      <c r="F129">
        <v>202103</v>
      </c>
      <c r="G129" s="9">
        <f t="shared" ref="G129:BR129" si="280">IF(OR(H37 = "", H$8 &lt; G$8), "", 1)</f>
        <v>1</v>
      </c>
      <c r="H129" s="9">
        <f t="shared" si="280"/>
        <v>1</v>
      </c>
      <c r="I129" s="9">
        <f t="shared" si="280"/>
        <v>1</v>
      </c>
      <c r="J129" s="9">
        <f t="shared" si="280"/>
        <v>1</v>
      </c>
      <c r="K129" s="9">
        <f t="shared" si="280"/>
        <v>1</v>
      </c>
      <c r="L129" s="9">
        <f t="shared" si="280"/>
        <v>1</v>
      </c>
      <c r="M129" s="9">
        <f t="shared" si="280"/>
        <v>1</v>
      </c>
      <c r="N129" s="9">
        <f t="shared" si="280"/>
        <v>1</v>
      </c>
      <c r="O129" s="9">
        <f t="shared" si="280"/>
        <v>1</v>
      </c>
      <c r="P129" s="9">
        <f t="shared" si="280"/>
        <v>1</v>
      </c>
      <c r="Q129" s="9">
        <f t="shared" si="280"/>
        <v>1</v>
      </c>
      <c r="R129" s="9">
        <f t="shared" si="280"/>
        <v>1</v>
      </c>
      <c r="S129" s="9">
        <f t="shared" si="280"/>
        <v>1</v>
      </c>
      <c r="T129" s="9">
        <f t="shared" si="280"/>
        <v>1</v>
      </c>
      <c r="U129" s="9">
        <f t="shared" si="280"/>
        <v>1</v>
      </c>
      <c r="V129" s="9">
        <f t="shared" si="280"/>
        <v>1</v>
      </c>
      <c r="W129" s="9">
        <f t="shared" si="280"/>
        <v>1</v>
      </c>
      <c r="X129" s="9">
        <f t="shared" si="280"/>
        <v>1</v>
      </c>
      <c r="Y129" s="9">
        <f t="shared" si="280"/>
        <v>1</v>
      </c>
      <c r="Z129" s="9">
        <f t="shared" si="280"/>
        <v>1</v>
      </c>
      <c r="AA129" s="9">
        <f t="shared" si="280"/>
        <v>1</v>
      </c>
      <c r="AB129" s="9">
        <f t="shared" si="280"/>
        <v>1</v>
      </c>
      <c r="AC129" s="9">
        <f t="shared" si="280"/>
        <v>1</v>
      </c>
      <c r="AD129" s="9">
        <f t="shared" si="280"/>
        <v>1</v>
      </c>
      <c r="AE129" s="9">
        <f t="shared" si="280"/>
        <v>1</v>
      </c>
      <c r="AF129" s="9">
        <f t="shared" si="280"/>
        <v>1</v>
      </c>
      <c r="AG129" s="9">
        <f t="shared" si="280"/>
        <v>1</v>
      </c>
      <c r="AH129" s="9">
        <f t="shared" si="280"/>
        <v>1</v>
      </c>
      <c r="AI129" s="9">
        <f t="shared" si="280"/>
        <v>1</v>
      </c>
      <c r="AJ129" s="9">
        <f t="shared" si="280"/>
        <v>1</v>
      </c>
      <c r="AK129" s="9">
        <f t="shared" si="280"/>
        <v>1</v>
      </c>
      <c r="AL129" s="9">
        <f t="shared" si="280"/>
        <v>1</v>
      </c>
      <c r="AM129" s="9">
        <f t="shared" si="280"/>
        <v>1</v>
      </c>
      <c r="AN129" s="9">
        <f t="shared" si="280"/>
        <v>1</v>
      </c>
      <c r="AO129" s="9">
        <f t="shared" si="280"/>
        <v>1</v>
      </c>
      <c r="AP129" s="9">
        <f t="shared" si="280"/>
        <v>1</v>
      </c>
      <c r="AQ129" s="9">
        <f t="shared" si="280"/>
        <v>1</v>
      </c>
      <c r="AR129" s="9">
        <f t="shared" si="280"/>
        <v>1</v>
      </c>
      <c r="AS129" s="9">
        <f t="shared" si="280"/>
        <v>1</v>
      </c>
      <c r="AT129" s="9">
        <f t="shared" si="280"/>
        <v>1</v>
      </c>
      <c r="AU129" s="9" t="str">
        <f t="shared" si="280"/>
        <v/>
      </c>
      <c r="AV129" s="9" t="str">
        <f t="shared" si="280"/>
        <v/>
      </c>
      <c r="AW129" s="9" t="str">
        <f t="shared" si="280"/>
        <v/>
      </c>
      <c r="AX129" s="9" t="str">
        <f t="shared" si="280"/>
        <v/>
      </c>
      <c r="AY129" s="9" t="str">
        <f t="shared" si="280"/>
        <v/>
      </c>
      <c r="AZ129" s="9" t="str">
        <f t="shared" si="280"/>
        <v/>
      </c>
      <c r="BA129" s="9" t="str">
        <f t="shared" si="280"/>
        <v/>
      </c>
      <c r="BB129" s="9" t="str">
        <f t="shared" si="280"/>
        <v/>
      </c>
      <c r="BC129" s="9" t="str">
        <f t="shared" si="280"/>
        <v/>
      </c>
      <c r="BD129" s="9" t="str">
        <f t="shared" si="280"/>
        <v/>
      </c>
      <c r="BE129" s="9" t="str">
        <f t="shared" si="280"/>
        <v/>
      </c>
      <c r="BF129" s="9" t="str">
        <f t="shared" si="280"/>
        <v/>
      </c>
      <c r="BG129" s="9" t="str">
        <f t="shared" si="280"/>
        <v/>
      </c>
      <c r="BH129" s="9" t="str">
        <f t="shared" si="280"/>
        <v/>
      </c>
      <c r="BI129" s="9" t="str">
        <f t="shared" si="280"/>
        <v/>
      </c>
      <c r="BJ129" s="9" t="str">
        <f t="shared" si="280"/>
        <v/>
      </c>
      <c r="BK129" s="9" t="str">
        <f t="shared" si="280"/>
        <v/>
      </c>
      <c r="BL129" s="9" t="str">
        <f t="shared" si="280"/>
        <v/>
      </c>
      <c r="BM129" s="9" t="str">
        <f t="shared" si="280"/>
        <v/>
      </c>
      <c r="BN129" s="9" t="str">
        <f t="shared" si="280"/>
        <v/>
      </c>
      <c r="BO129" s="9" t="str">
        <f t="shared" si="280"/>
        <v/>
      </c>
      <c r="BP129" s="9" t="str">
        <f t="shared" si="280"/>
        <v/>
      </c>
      <c r="BQ129" s="9" t="str">
        <f t="shared" si="280"/>
        <v/>
      </c>
      <c r="BR129" s="9" t="str">
        <f t="shared" si="280"/>
        <v/>
      </c>
      <c r="BS129" s="9" t="str">
        <f t="shared" ref="BS129:ED129" si="281">IF(OR(BT37 = "", BT$8 &lt; BS$8), "", 1)</f>
        <v/>
      </c>
      <c r="BT129" s="9" t="str">
        <f t="shared" si="281"/>
        <v/>
      </c>
      <c r="BU129" s="9" t="str">
        <f t="shared" si="281"/>
        <v/>
      </c>
      <c r="BV129" s="9" t="str">
        <f t="shared" si="281"/>
        <v/>
      </c>
      <c r="BW129" s="9" t="str">
        <f t="shared" si="281"/>
        <v/>
      </c>
      <c r="BX129" s="9" t="str">
        <f t="shared" si="281"/>
        <v/>
      </c>
      <c r="BY129" s="9" t="str">
        <f t="shared" si="281"/>
        <v/>
      </c>
      <c r="BZ129" s="9" t="str">
        <f t="shared" si="281"/>
        <v/>
      </c>
      <c r="CA129" s="9" t="str">
        <f t="shared" si="281"/>
        <v/>
      </c>
      <c r="CB129" s="9" t="str">
        <f t="shared" si="281"/>
        <v/>
      </c>
      <c r="CC129" s="9" t="str">
        <f t="shared" si="281"/>
        <v/>
      </c>
      <c r="CD129" s="9" t="str">
        <f t="shared" si="281"/>
        <v/>
      </c>
      <c r="CE129" s="9" t="str">
        <f t="shared" si="281"/>
        <v/>
      </c>
      <c r="CF129" s="9" t="str">
        <f t="shared" si="281"/>
        <v/>
      </c>
      <c r="CG129" s="9" t="str">
        <f t="shared" si="281"/>
        <v/>
      </c>
      <c r="CH129" s="9" t="str">
        <f t="shared" si="281"/>
        <v/>
      </c>
      <c r="CI129" s="9" t="str">
        <f t="shared" si="281"/>
        <v/>
      </c>
      <c r="CJ129" s="9" t="str">
        <f t="shared" si="281"/>
        <v/>
      </c>
      <c r="CK129" s="9" t="str">
        <f t="shared" si="281"/>
        <v/>
      </c>
      <c r="CL129" s="9" t="str">
        <f t="shared" si="281"/>
        <v/>
      </c>
      <c r="CM129" s="9" t="str">
        <f t="shared" si="281"/>
        <v/>
      </c>
      <c r="CN129" s="9" t="str">
        <f t="shared" si="281"/>
        <v/>
      </c>
      <c r="CO129" s="9" t="str">
        <f t="shared" si="281"/>
        <v/>
      </c>
      <c r="CP129" s="9" t="str">
        <f t="shared" si="281"/>
        <v/>
      </c>
      <c r="CQ129" s="9" t="str">
        <f t="shared" si="281"/>
        <v/>
      </c>
      <c r="CR129" s="9" t="str">
        <f t="shared" si="281"/>
        <v/>
      </c>
      <c r="CS129" s="9" t="str">
        <f t="shared" si="281"/>
        <v/>
      </c>
      <c r="CT129" s="9" t="str">
        <f t="shared" si="281"/>
        <v/>
      </c>
      <c r="CU129" s="9" t="str">
        <f t="shared" si="281"/>
        <v/>
      </c>
      <c r="CV129" s="9" t="str">
        <f t="shared" si="281"/>
        <v/>
      </c>
      <c r="CW129" s="9" t="str">
        <f t="shared" si="281"/>
        <v/>
      </c>
      <c r="CX129" s="9" t="str">
        <f t="shared" si="281"/>
        <v/>
      </c>
      <c r="CY129" s="9" t="str">
        <f t="shared" si="281"/>
        <v/>
      </c>
      <c r="CZ129" s="9" t="str">
        <f t="shared" si="281"/>
        <v/>
      </c>
      <c r="DA129" s="9" t="str">
        <f t="shared" si="281"/>
        <v/>
      </c>
      <c r="DB129" s="9" t="str">
        <f t="shared" si="281"/>
        <v/>
      </c>
      <c r="DC129" s="9" t="str">
        <f t="shared" si="281"/>
        <v/>
      </c>
      <c r="DD129" s="9" t="str">
        <f t="shared" si="281"/>
        <v/>
      </c>
      <c r="DE129" s="9" t="str">
        <f t="shared" si="281"/>
        <v/>
      </c>
      <c r="DF129" s="9" t="str">
        <f t="shared" si="281"/>
        <v/>
      </c>
      <c r="DG129" s="9" t="str">
        <f t="shared" si="281"/>
        <v/>
      </c>
      <c r="DH129" s="9" t="str">
        <f t="shared" si="281"/>
        <v/>
      </c>
      <c r="DI129" s="9" t="str">
        <f t="shared" si="281"/>
        <v/>
      </c>
      <c r="DJ129" s="9" t="str">
        <f t="shared" si="281"/>
        <v/>
      </c>
      <c r="DK129" s="9" t="str">
        <f t="shared" si="281"/>
        <v/>
      </c>
      <c r="DL129" s="9" t="str">
        <f t="shared" si="281"/>
        <v/>
      </c>
      <c r="DM129" s="9" t="str">
        <f t="shared" si="281"/>
        <v/>
      </c>
      <c r="DN129" s="9" t="str">
        <f t="shared" si="281"/>
        <v/>
      </c>
      <c r="DO129" s="9" t="str">
        <f t="shared" si="281"/>
        <v/>
      </c>
      <c r="DP129" s="9" t="str">
        <f t="shared" si="281"/>
        <v/>
      </c>
      <c r="DQ129" s="9" t="str">
        <f t="shared" si="281"/>
        <v/>
      </c>
      <c r="DR129" s="9" t="str">
        <f t="shared" si="281"/>
        <v/>
      </c>
      <c r="DS129" s="9" t="str">
        <f t="shared" si="281"/>
        <v/>
      </c>
      <c r="DT129" s="9" t="str">
        <f t="shared" si="281"/>
        <v/>
      </c>
      <c r="DU129" s="9" t="str">
        <f t="shared" si="281"/>
        <v/>
      </c>
      <c r="DV129" s="9" t="str">
        <f t="shared" si="281"/>
        <v/>
      </c>
      <c r="DW129" s="9" t="str">
        <f t="shared" si="281"/>
        <v/>
      </c>
      <c r="DX129" s="9" t="str">
        <f t="shared" si="281"/>
        <v/>
      </c>
      <c r="DY129" s="9" t="str">
        <f t="shared" si="281"/>
        <v/>
      </c>
      <c r="DZ129" s="9" t="str">
        <f t="shared" si="281"/>
        <v/>
      </c>
      <c r="EA129" s="9" t="str">
        <f t="shared" si="281"/>
        <v/>
      </c>
      <c r="EB129" s="9">
        <f t="shared" si="281"/>
        <v>1</v>
      </c>
      <c r="EC129" s="9">
        <f t="shared" si="281"/>
        <v>1</v>
      </c>
      <c r="ED129" s="9">
        <f t="shared" si="281"/>
        <v>1</v>
      </c>
      <c r="EE129" s="9">
        <f t="shared" ref="EE129:GP129" si="282">IF(OR(EF37 = "", EF$8 &lt; EE$8), "", 1)</f>
        <v>1</v>
      </c>
      <c r="EF129" s="9">
        <f t="shared" si="282"/>
        <v>1</v>
      </c>
      <c r="EG129" s="9">
        <f t="shared" si="282"/>
        <v>1</v>
      </c>
      <c r="EH129" s="9">
        <f t="shared" si="282"/>
        <v>1</v>
      </c>
      <c r="EI129" s="9">
        <f t="shared" si="282"/>
        <v>1</v>
      </c>
      <c r="EJ129" s="9">
        <f t="shared" si="282"/>
        <v>1</v>
      </c>
      <c r="EK129" s="9">
        <f t="shared" si="282"/>
        <v>1</v>
      </c>
      <c r="EL129" s="9">
        <f t="shared" si="282"/>
        <v>1</v>
      </c>
      <c r="EM129" s="9">
        <f t="shared" si="282"/>
        <v>1</v>
      </c>
      <c r="EN129" s="9">
        <f t="shared" si="282"/>
        <v>1</v>
      </c>
      <c r="EO129" s="9">
        <f t="shared" si="282"/>
        <v>1</v>
      </c>
      <c r="EP129" s="9">
        <f t="shared" si="282"/>
        <v>1</v>
      </c>
      <c r="EQ129" s="9">
        <f t="shared" si="282"/>
        <v>1</v>
      </c>
      <c r="ER129" s="9">
        <f t="shared" si="282"/>
        <v>1</v>
      </c>
      <c r="ES129" s="9">
        <f t="shared" si="282"/>
        <v>1</v>
      </c>
      <c r="ET129" s="9">
        <f t="shared" si="282"/>
        <v>1</v>
      </c>
      <c r="EU129" s="9">
        <f t="shared" si="282"/>
        <v>1</v>
      </c>
      <c r="EV129" s="9">
        <f t="shared" si="282"/>
        <v>1</v>
      </c>
      <c r="EW129" s="9">
        <f t="shared" si="282"/>
        <v>1</v>
      </c>
      <c r="EX129" s="9">
        <f t="shared" si="282"/>
        <v>1</v>
      </c>
      <c r="EY129" s="9">
        <f t="shared" si="282"/>
        <v>1</v>
      </c>
      <c r="EZ129" s="9">
        <f t="shared" si="282"/>
        <v>1</v>
      </c>
      <c r="FA129" s="9">
        <f t="shared" si="282"/>
        <v>1</v>
      </c>
      <c r="FB129" s="9">
        <f t="shared" si="282"/>
        <v>1</v>
      </c>
      <c r="FC129" s="9">
        <f t="shared" si="282"/>
        <v>1</v>
      </c>
      <c r="FD129" s="9">
        <f t="shared" si="282"/>
        <v>1</v>
      </c>
      <c r="FE129" s="9">
        <f t="shared" si="282"/>
        <v>1</v>
      </c>
      <c r="FF129" s="9">
        <f t="shared" si="282"/>
        <v>1</v>
      </c>
      <c r="FG129" s="9">
        <f t="shared" si="282"/>
        <v>1</v>
      </c>
      <c r="FH129" s="9">
        <f t="shared" si="282"/>
        <v>1</v>
      </c>
      <c r="FI129" s="9">
        <f t="shared" si="282"/>
        <v>1</v>
      </c>
      <c r="FJ129" s="9">
        <f t="shared" si="282"/>
        <v>1</v>
      </c>
      <c r="FK129" s="9">
        <f t="shared" si="282"/>
        <v>1</v>
      </c>
      <c r="FL129" s="9">
        <f t="shared" si="282"/>
        <v>1</v>
      </c>
      <c r="FM129" s="9">
        <f t="shared" si="282"/>
        <v>1</v>
      </c>
      <c r="FN129" s="9">
        <f t="shared" si="282"/>
        <v>1</v>
      </c>
      <c r="FO129" s="9">
        <f t="shared" si="282"/>
        <v>1</v>
      </c>
      <c r="FP129" s="9" t="str">
        <f t="shared" si="282"/>
        <v/>
      </c>
      <c r="FQ129" s="9" t="str">
        <f t="shared" si="282"/>
        <v/>
      </c>
      <c r="FR129" s="9" t="str">
        <f t="shared" si="282"/>
        <v/>
      </c>
      <c r="FS129" s="9" t="str">
        <f t="shared" si="282"/>
        <v/>
      </c>
      <c r="FT129" s="9" t="str">
        <f t="shared" si="282"/>
        <v/>
      </c>
      <c r="FU129" s="9" t="str">
        <f t="shared" si="282"/>
        <v/>
      </c>
      <c r="FV129" s="9" t="str">
        <f t="shared" si="282"/>
        <v/>
      </c>
      <c r="FW129" s="9" t="str">
        <f t="shared" si="282"/>
        <v/>
      </c>
      <c r="FX129" s="9" t="str">
        <f t="shared" si="282"/>
        <v/>
      </c>
      <c r="FY129" s="9" t="str">
        <f t="shared" si="282"/>
        <v/>
      </c>
      <c r="FZ129" s="9" t="str">
        <f t="shared" si="282"/>
        <v/>
      </c>
      <c r="GA129" s="9" t="str">
        <f t="shared" si="282"/>
        <v/>
      </c>
      <c r="GB129" s="9" t="str">
        <f t="shared" si="282"/>
        <v/>
      </c>
      <c r="GC129" s="9" t="str">
        <f t="shared" si="282"/>
        <v/>
      </c>
      <c r="GD129" s="9" t="str">
        <f t="shared" si="282"/>
        <v/>
      </c>
      <c r="GE129" s="9" t="str">
        <f t="shared" si="282"/>
        <v/>
      </c>
      <c r="GF129" s="9" t="str">
        <f t="shared" si="282"/>
        <v/>
      </c>
      <c r="GG129" s="9" t="str">
        <f t="shared" si="282"/>
        <v/>
      </c>
      <c r="GH129" s="9" t="str">
        <f t="shared" si="282"/>
        <v/>
      </c>
      <c r="GI129" s="9" t="str">
        <f t="shared" si="282"/>
        <v/>
      </c>
      <c r="GJ129" s="9" t="str">
        <f t="shared" si="282"/>
        <v/>
      </c>
      <c r="GK129" s="9" t="str">
        <f t="shared" si="282"/>
        <v/>
      </c>
      <c r="GL129" s="9" t="str">
        <f t="shared" si="282"/>
        <v/>
      </c>
      <c r="GM129" s="9" t="str">
        <f t="shared" si="282"/>
        <v/>
      </c>
      <c r="GN129" s="9" t="str">
        <f t="shared" si="282"/>
        <v/>
      </c>
      <c r="GO129" s="9" t="str">
        <f t="shared" si="282"/>
        <v/>
      </c>
      <c r="GP129" s="9" t="str">
        <f t="shared" si="282"/>
        <v/>
      </c>
      <c r="GQ129" s="9" t="str">
        <f t="shared" ref="GQ129:IV129" si="283">IF(OR(GR37 = "", GR$8 &lt; GQ$8), "", 1)</f>
        <v/>
      </c>
      <c r="GR129" s="9" t="str">
        <f t="shared" si="283"/>
        <v/>
      </c>
      <c r="GS129" s="9" t="str">
        <f t="shared" si="283"/>
        <v/>
      </c>
      <c r="GT129" s="9" t="str">
        <f t="shared" si="283"/>
        <v/>
      </c>
      <c r="GU129" s="9" t="str">
        <f t="shared" si="283"/>
        <v/>
      </c>
      <c r="GV129" s="9" t="str">
        <f t="shared" si="283"/>
        <v/>
      </c>
      <c r="GW129" s="9" t="str">
        <f t="shared" si="283"/>
        <v/>
      </c>
      <c r="GX129" s="9" t="str">
        <f t="shared" si="283"/>
        <v/>
      </c>
      <c r="GY129" s="9" t="str">
        <f t="shared" si="283"/>
        <v/>
      </c>
      <c r="GZ129" s="9" t="str">
        <f t="shared" si="283"/>
        <v/>
      </c>
      <c r="HA129" s="9" t="str">
        <f t="shared" si="283"/>
        <v/>
      </c>
      <c r="HB129" s="9" t="str">
        <f t="shared" si="283"/>
        <v/>
      </c>
      <c r="HC129" s="9" t="str">
        <f t="shared" si="283"/>
        <v/>
      </c>
      <c r="HD129" s="9" t="str">
        <f t="shared" si="283"/>
        <v/>
      </c>
      <c r="HE129" s="9" t="str">
        <f t="shared" si="283"/>
        <v/>
      </c>
      <c r="HF129" s="9" t="str">
        <f t="shared" si="283"/>
        <v/>
      </c>
      <c r="HG129" s="9" t="str">
        <f t="shared" si="283"/>
        <v/>
      </c>
      <c r="HH129" s="9" t="str">
        <f t="shared" si="283"/>
        <v/>
      </c>
      <c r="HI129" s="9" t="str">
        <f t="shared" si="283"/>
        <v/>
      </c>
      <c r="HJ129" s="9" t="str">
        <f t="shared" si="283"/>
        <v/>
      </c>
      <c r="HK129" s="9" t="str">
        <f t="shared" si="283"/>
        <v/>
      </c>
      <c r="HL129" s="9" t="str">
        <f t="shared" si="283"/>
        <v/>
      </c>
      <c r="HM129" s="9" t="str">
        <f t="shared" si="283"/>
        <v/>
      </c>
      <c r="HN129" s="9" t="str">
        <f t="shared" si="283"/>
        <v/>
      </c>
      <c r="HO129" s="9" t="str">
        <f t="shared" si="283"/>
        <v/>
      </c>
      <c r="HP129" s="9" t="str">
        <f t="shared" si="283"/>
        <v/>
      </c>
      <c r="HQ129" s="9" t="str">
        <f t="shared" si="283"/>
        <v/>
      </c>
      <c r="HR129" s="9" t="str">
        <f t="shared" si="283"/>
        <v/>
      </c>
      <c r="HS129" s="9" t="str">
        <f t="shared" si="283"/>
        <v/>
      </c>
      <c r="HT129" s="9" t="str">
        <f t="shared" si="283"/>
        <v/>
      </c>
      <c r="HU129" s="9" t="str">
        <f t="shared" si="283"/>
        <v/>
      </c>
      <c r="HV129" s="9" t="str">
        <f t="shared" si="283"/>
        <v/>
      </c>
      <c r="HW129" s="9" t="str">
        <f t="shared" si="283"/>
        <v/>
      </c>
      <c r="HX129" s="9" t="str">
        <f t="shared" si="283"/>
        <v/>
      </c>
      <c r="HY129" s="9" t="str">
        <f t="shared" si="283"/>
        <v/>
      </c>
      <c r="HZ129" s="9" t="str">
        <f t="shared" si="283"/>
        <v/>
      </c>
      <c r="IA129" s="9" t="str">
        <f t="shared" si="283"/>
        <v/>
      </c>
      <c r="IB129" s="9" t="str">
        <f t="shared" si="283"/>
        <v/>
      </c>
      <c r="IC129" s="9" t="str">
        <f t="shared" si="283"/>
        <v/>
      </c>
      <c r="ID129" s="9" t="str">
        <f t="shared" si="283"/>
        <v/>
      </c>
      <c r="IE129" s="9" t="str">
        <f t="shared" si="283"/>
        <v/>
      </c>
      <c r="IF129" s="9" t="str">
        <f t="shared" si="283"/>
        <v/>
      </c>
      <c r="IG129" s="9" t="str">
        <f t="shared" si="283"/>
        <v/>
      </c>
      <c r="IH129" s="9" t="str">
        <f t="shared" si="283"/>
        <v/>
      </c>
      <c r="II129" s="9" t="str">
        <f t="shared" si="283"/>
        <v/>
      </c>
      <c r="IJ129" s="9" t="str">
        <f t="shared" si="283"/>
        <v/>
      </c>
      <c r="IK129" s="9" t="str">
        <f t="shared" si="283"/>
        <v/>
      </c>
      <c r="IL129" s="9" t="str">
        <f t="shared" si="283"/>
        <v/>
      </c>
      <c r="IM129" s="9" t="str">
        <f t="shared" si="283"/>
        <v/>
      </c>
      <c r="IN129" s="9" t="str">
        <f t="shared" si="283"/>
        <v/>
      </c>
      <c r="IO129" s="9" t="str">
        <f t="shared" si="283"/>
        <v/>
      </c>
      <c r="IP129" s="9" t="str">
        <f t="shared" si="283"/>
        <v/>
      </c>
      <c r="IQ129" s="9" t="str">
        <f t="shared" si="283"/>
        <v/>
      </c>
      <c r="IR129" s="9" t="str">
        <f t="shared" si="283"/>
        <v/>
      </c>
      <c r="IS129" s="9" t="str">
        <f t="shared" si="283"/>
        <v/>
      </c>
      <c r="IT129" s="9" t="str">
        <f t="shared" si="283"/>
        <v/>
      </c>
      <c r="IU129" s="9" t="str">
        <f t="shared" si="283"/>
        <v/>
      </c>
      <c r="IV129" s="9" t="str">
        <f t="shared" si="283"/>
        <v/>
      </c>
    </row>
    <row r="130" spans="6:256" x14ac:dyDescent="0.2">
      <c r="F130">
        <v>202106</v>
      </c>
      <c r="G130" s="9">
        <f t="shared" ref="G130:BR130" si="284">IF(OR(H38 = "", H$8 &lt; G$8), "", 1)</f>
        <v>1</v>
      </c>
      <c r="H130" s="9">
        <f t="shared" si="284"/>
        <v>1</v>
      </c>
      <c r="I130" s="9">
        <f t="shared" si="284"/>
        <v>1</v>
      </c>
      <c r="J130" s="9">
        <f t="shared" si="284"/>
        <v>1</v>
      </c>
      <c r="K130" s="9">
        <f t="shared" si="284"/>
        <v>1</v>
      </c>
      <c r="L130" s="9">
        <f t="shared" si="284"/>
        <v>1</v>
      </c>
      <c r="M130" s="9">
        <f t="shared" si="284"/>
        <v>1</v>
      </c>
      <c r="N130" s="9">
        <f t="shared" si="284"/>
        <v>1</v>
      </c>
      <c r="O130" s="9">
        <f t="shared" si="284"/>
        <v>1</v>
      </c>
      <c r="P130" s="9">
        <f t="shared" si="284"/>
        <v>1</v>
      </c>
      <c r="Q130" s="9">
        <f t="shared" si="284"/>
        <v>1</v>
      </c>
      <c r="R130" s="9">
        <f t="shared" si="284"/>
        <v>1</v>
      </c>
      <c r="S130" s="9">
        <f t="shared" si="284"/>
        <v>1</v>
      </c>
      <c r="T130" s="9">
        <f t="shared" si="284"/>
        <v>1</v>
      </c>
      <c r="U130" s="9">
        <f t="shared" si="284"/>
        <v>1</v>
      </c>
      <c r="V130" s="9">
        <f t="shared" si="284"/>
        <v>1</v>
      </c>
      <c r="W130" s="9">
        <f t="shared" si="284"/>
        <v>1</v>
      </c>
      <c r="X130" s="9">
        <f t="shared" si="284"/>
        <v>1</v>
      </c>
      <c r="Y130" s="9">
        <f t="shared" si="284"/>
        <v>1</v>
      </c>
      <c r="Z130" s="9">
        <f t="shared" si="284"/>
        <v>1</v>
      </c>
      <c r="AA130" s="9">
        <f t="shared" si="284"/>
        <v>1</v>
      </c>
      <c r="AB130" s="9">
        <f t="shared" si="284"/>
        <v>1</v>
      </c>
      <c r="AC130" s="9">
        <f t="shared" si="284"/>
        <v>1</v>
      </c>
      <c r="AD130" s="9">
        <f t="shared" si="284"/>
        <v>1</v>
      </c>
      <c r="AE130" s="9">
        <f t="shared" si="284"/>
        <v>1</v>
      </c>
      <c r="AF130" s="9">
        <f t="shared" si="284"/>
        <v>1</v>
      </c>
      <c r="AG130" s="9">
        <f t="shared" si="284"/>
        <v>1</v>
      </c>
      <c r="AH130" s="9">
        <f t="shared" si="284"/>
        <v>1</v>
      </c>
      <c r="AI130" s="9">
        <f t="shared" si="284"/>
        <v>1</v>
      </c>
      <c r="AJ130" s="9">
        <f t="shared" si="284"/>
        <v>1</v>
      </c>
      <c r="AK130" s="9">
        <f t="shared" si="284"/>
        <v>1</v>
      </c>
      <c r="AL130" s="9">
        <f t="shared" si="284"/>
        <v>1</v>
      </c>
      <c r="AM130" s="9">
        <f t="shared" si="284"/>
        <v>1</v>
      </c>
      <c r="AN130" s="9">
        <f t="shared" si="284"/>
        <v>1</v>
      </c>
      <c r="AO130" s="9">
        <f t="shared" si="284"/>
        <v>1</v>
      </c>
      <c r="AP130" s="9">
        <f t="shared" si="284"/>
        <v>1</v>
      </c>
      <c r="AQ130" s="9">
        <f t="shared" si="284"/>
        <v>1</v>
      </c>
      <c r="AR130" s="9" t="str">
        <f t="shared" si="284"/>
        <v/>
      </c>
      <c r="AS130" s="9" t="str">
        <f t="shared" si="284"/>
        <v/>
      </c>
      <c r="AT130" s="9" t="str">
        <f t="shared" si="284"/>
        <v/>
      </c>
      <c r="AU130" s="9" t="str">
        <f t="shared" si="284"/>
        <v/>
      </c>
      <c r="AV130" s="9" t="str">
        <f t="shared" si="284"/>
        <v/>
      </c>
      <c r="AW130" s="9" t="str">
        <f t="shared" si="284"/>
        <v/>
      </c>
      <c r="AX130" s="9" t="str">
        <f t="shared" si="284"/>
        <v/>
      </c>
      <c r="AY130" s="9" t="str">
        <f t="shared" si="284"/>
        <v/>
      </c>
      <c r="AZ130" s="9" t="str">
        <f t="shared" si="284"/>
        <v/>
      </c>
      <c r="BA130" s="9" t="str">
        <f t="shared" si="284"/>
        <v/>
      </c>
      <c r="BB130" s="9" t="str">
        <f t="shared" si="284"/>
        <v/>
      </c>
      <c r="BC130" s="9" t="str">
        <f t="shared" si="284"/>
        <v/>
      </c>
      <c r="BD130" s="9" t="str">
        <f t="shared" si="284"/>
        <v/>
      </c>
      <c r="BE130" s="9" t="str">
        <f t="shared" si="284"/>
        <v/>
      </c>
      <c r="BF130" s="9" t="str">
        <f t="shared" si="284"/>
        <v/>
      </c>
      <c r="BG130" s="9" t="str">
        <f t="shared" si="284"/>
        <v/>
      </c>
      <c r="BH130" s="9" t="str">
        <f t="shared" si="284"/>
        <v/>
      </c>
      <c r="BI130" s="9" t="str">
        <f t="shared" si="284"/>
        <v/>
      </c>
      <c r="BJ130" s="9" t="str">
        <f t="shared" si="284"/>
        <v/>
      </c>
      <c r="BK130" s="9" t="str">
        <f t="shared" si="284"/>
        <v/>
      </c>
      <c r="BL130" s="9" t="str">
        <f t="shared" si="284"/>
        <v/>
      </c>
      <c r="BM130" s="9" t="str">
        <f t="shared" si="284"/>
        <v/>
      </c>
      <c r="BN130" s="9" t="str">
        <f t="shared" si="284"/>
        <v/>
      </c>
      <c r="BO130" s="9" t="str">
        <f t="shared" si="284"/>
        <v/>
      </c>
      <c r="BP130" s="9" t="str">
        <f t="shared" si="284"/>
        <v/>
      </c>
      <c r="BQ130" s="9" t="str">
        <f t="shared" si="284"/>
        <v/>
      </c>
      <c r="BR130" s="9" t="str">
        <f t="shared" si="284"/>
        <v/>
      </c>
      <c r="BS130" s="9" t="str">
        <f t="shared" ref="BS130:ED130" si="285">IF(OR(BT38 = "", BT$8 &lt; BS$8), "", 1)</f>
        <v/>
      </c>
      <c r="BT130" s="9" t="str">
        <f t="shared" si="285"/>
        <v/>
      </c>
      <c r="BU130" s="9" t="str">
        <f t="shared" si="285"/>
        <v/>
      </c>
      <c r="BV130" s="9" t="str">
        <f t="shared" si="285"/>
        <v/>
      </c>
      <c r="BW130" s="9" t="str">
        <f t="shared" si="285"/>
        <v/>
      </c>
      <c r="BX130" s="9" t="str">
        <f t="shared" si="285"/>
        <v/>
      </c>
      <c r="BY130" s="9" t="str">
        <f t="shared" si="285"/>
        <v/>
      </c>
      <c r="BZ130" s="9" t="str">
        <f t="shared" si="285"/>
        <v/>
      </c>
      <c r="CA130" s="9" t="str">
        <f t="shared" si="285"/>
        <v/>
      </c>
      <c r="CB130" s="9" t="str">
        <f t="shared" si="285"/>
        <v/>
      </c>
      <c r="CC130" s="9" t="str">
        <f t="shared" si="285"/>
        <v/>
      </c>
      <c r="CD130" s="9" t="str">
        <f t="shared" si="285"/>
        <v/>
      </c>
      <c r="CE130" s="9" t="str">
        <f t="shared" si="285"/>
        <v/>
      </c>
      <c r="CF130" s="9" t="str">
        <f t="shared" si="285"/>
        <v/>
      </c>
      <c r="CG130" s="9" t="str">
        <f t="shared" si="285"/>
        <v/>
      </c>
      <c r="CH130" s="9" t="str">
        <f t="shared" si="285"/>
        <v/>
      </c>
      <c r="CI130" s="9" t="str">
        <f t="shared" si="285"/>
        <v/>
      </c>
      <c r="CJ130" s="9" t="str">
        <f t="shared" si="285"/>
        <v/>
      </c>
      <c r="CK130" s="9" t="str">
        <f t="shared" si="285"/>
        <v/>
      </c>
      <c r="CL130" s="9" t="str">
        <f t="shared" si="285"/>
        <v/>
      </c>
      <c r="CM130" s="9" t="str">
        <f t="shared" si="285"/>
        <v/>
      </c>
      <c r="CN130" s="9" t="str">
        <f t="shared" si="285"/>
        <v/>
      </c>
      <c r="CO130" s="9" t="str">
        <f t="shared" si="285"/>
        <v/>
      </c>
      <c r="CP130" s="9" t="str">
        <f t="shared" si="285"/>
        <v/>
      </c>
      <c r="CQ130" s="9" t="str">
        <f t="shared" si="285"/>
        <v/>
      </c>
      <c r="CR130" s="9" t="str">
        <f t="shared" si="285"/>
        <v/>
      </c>
      <c r="CS130" s="9" t="str">
        <f t="shared" si="285"/>
        <v/>
      </c>
      <c r="CT130" s="9" t="str">
        <f t="shared" si="285"/>
        <v/>
      </c>
      <c r="CU130" s="9" t="str">
        <f t="shared" si="285"/>
        <v/>
      </c>
      <c r="CV130" s="9" t="str">
        <f t="shared" si="285"/>
        <v/>
      </c>
      <c r="CW130" s="9" t="str">
        <f t="shared" si="285"/>
        <v/>
      </c>
      <c r="CX130" s="9" t="str">
        <f t="shared" si="285"/>
        <v/>
      </c>
      <c r="CY130" s="9" t="str">
        <f t="shared" si="285"/>
        <v/>
      </c>
      <c r="CZ130" s="9" t="str">
        <f t="shared" si="285"/>
        <v/>
      </c>
      <c r="DA130" s="9" t="str">
        <f t="shared" si="285"/>
        <v/>
      </c>
      <c r="DB130" s="9" t="str">
        <f t="shared" si="285"/>
        <v/>
      </c>
      <c r="DC130" s="9" t="str">
        <f t="shared" si="285"/>
        <v/>
      </c>
      <c r="DD130" s="9" t="str">
        <f t="shared" si="285"/>
        <v/>
      </c>
      <c r="DE130" s="9" t="str">
        <f t="shared" si="285"/>
        <v/>
      </c>
      <c r="DF130" s="9" t="str">
        <f t="shared" si="285"/>
        <v/>
      </c>
      <c r="DG130" s="9" t="str">
        <f t="shared" si="285"/>
        <v/>
      </c>
      <c r="DH130" s="9" t="str">
        <f t="shared" si="285"/>
        <v/>
      </c>
      <c r="DI130" s="9" t="str">
        <f t="shared" si="285"/>
        <v/>
      </c>
      <c r="DJ130" s="9" t="str">
        <f t="shared" si="285"/>
        <v/>
      </c>
      <c r="DK130" s="9" t="str">
        <f t="shared" si="285"/>
        <v/>
      </c>
      <c r="DL130" s="9" t="str">
        <f t="shared" si="285"/>
        <v/>
      </c>
      <c r="DM130" s="9" t="str">
        <f t="shared" si="285"/>
        <v/>
      </c>
      <c r="DN130" s="9" t="str">
        <f t="shared" si="285"/>
        <v/>
      </c>
      <c r="DO130" s="9" t="str">
        <f t="shared" si="285"/>
        <v/>
      </c>
      <c r="DP130" s="9" t="str">
        <f t="shared" si="285"/>
        <v/>
      </c>
      <c r="DQ130" s="9" t="str">
        <f t="shared" si="285"/>
        <v/>
      </c>
      <c r="DR130" s="9" t="str">
        <f t="shared" si="285"/>
        <v/>
      </c>
      <c r="DS130" s="9" t="str">
        <f t="shared" si="285"/>
        <v/>
      </c>
      <c r="DT130" s="9" t="str">
        <f t="shared" si="285"/>
        <v/>
      </c>
      <c r="DU130" s="9" t="str">
        <f t="shared" si="285"/>
        <v/>
      </c>
      <c r="DV130" s="9" t="str">
        <f t="shared" si="285"/>
        <v/>
      </c>
      <c r="DW130" s="9" t="str">
        <f t="shared" si="285"/>
        <v/>
      </c>
      <c r="DX130" s="9" t="str">
        <f t="shared" si="285"/>
        <v/>
      </c>
      <c r="DY130" s="9" t="str">
        <f t="shared" si="285"/>
        <v/>
      </c>
      <c r="DZ130" s="9" t="str">
        <f t="shared" si="285"/>
        <v/>
      </c>
      <c r="EA130" s="9" t="str">
        <f t="shared" si="285"/>
        <v/>
      </c>
      <c r="EB130" s="9">
        <f t="shared" si="285"/>
        <v>1</v>
      </c>
      <c r="EC130" s="9">
        <f t="shared" si="285"/>
        <v>1</v>
      </c>
      <c r="ED130" s="9">
        <f t="shared" si="285"/>
        <v>1</v>
      </c>
      <c r="EE130" s="9">
        <f t="shared" ref="EE130:GP130" si="286">IF(OR(EF38 = "", EF$8 &lt; EE$8), "", 1)</f>
        <v>1</v>
      </c>
      <c r="EF130" s="9">
        <f t="shared" si="286"/>
        <v>1</v>
      </c>
      <c r="EG130" s="9">
        <f t="shared" si="286"/>
        <v>1</v>
      </c>
      <c r="EH130" s="9">
        <f t="shared" si="286"/>
        <v>1</v>
      </c>
      <c r="EI130" s="9">
        <f t="shared" si="286"/>
        <v>1</v>
      </c>
      <c r="EJ130" s="9">
        <f t="shared" si="286"/>
        <v>1</v>
      </c>
      <c r="EK130" s="9">
        <f t="shared" si="286"/>
        <v>1</v>
      </c>
      <c r="EL130" s="9">
        <f t="shared" si="286"/>
        <v>1</v>
      </c>
      <c r="EM130" s="9">
        <f t="shared" si="286"/>
        <v>1</v>
      </c>
      <c r="EN130" s="9">
        <f t="shared" si="286"/>
        <v>1</v>
      </c>
      <c r="EO130" s="9">
        <f t="shared" si="286"/>
        <v>1</v>
      </c>
      <c r="EP130" s="9">
        <f t="shared" si="286"/>
        <v>1</v>
      </c>
      <c r="EQ130" s="9">
        <f t="shared" si="286"/>
        <v>1</v>
      </c>
      <c r="ER130" s="9">
        <f t="shared" si="286"/>
        <v>1</v>
      </c>
      <c r="ES130" s="9">
        <f t="shared" si="286"/>
        <v>1</v>
      </c>
      <c r="ET130" s="9">
        <f t="shared" si="286"/>
        <v>1</v>
      </c>
      <c r="EU130" s="9">
        <f t="shared" si="286"/>
        <v>1</v>
      </c>
      <c r="EV130" s="9">
        <f t="shared" si="286"/>
        <v>1</v>
      </c>
      <c r="EW130" s="9">
        <f t="shared" si="286"/>
        <v>1</v>
      </c>
      <c r="EX130" s="9">
        <f t="shared" si="286"/>
        <v>1</v>
      </c>
      <c r="EY130" s="9">
        <f t="shared" si="286"/>
        <v>1</v>
      </c>
      <c r="EZ130" s="9">
        <f t="shared" si="286"/>
        <v>1</v>
      </c>
      <c r="FA130" s="9">
        <f t="shared" si="286"/>
        <v>1</v>
      </c>
      <c r="FB130" s="9">
        <f t="shared" si="286"/>
        <v>1</v>
      </c>
      <c r="FC130" s="9">
        <f t="shared" si="286"/>
        <v>1</v>
      </c>
      <c r="FD130" s="9">
        <f t="shared" si="286"/>
        <v>1</v>
      </c>
      <c r="FE130" s="9">
        <f t="shared" si="286"/>
        <v>1</v>
      </c>
      <c r="FF130" s="9">
        <f t="shared" si="286"/>
        <v>1</v>
      </c>
      <c r="FG130" s="9">
        <f t="shared" si="286"/>
        <v>1</v>
      </c>
      <c r="FH130" s="9">
        <f t="shared" si="286"/>
        <v>1</v>
      </c>
      <c r="FI130" s="9">
        <f t="shared" si="286"/>
        <v>1</v>
      </c>
      <c r="FJ130" s="9">
        <f t="shared" si="286"/>
        <v>1</v>
      </c>
      <c r="FK130" s="9">
        <f t="shared" si="286"/>
        <v>1</v>
      </c>
      <c r="FL130" s="9">
        <f t="shared" si="286"/>
        <v>1</v>
      </c>
      <c r="FM130" s="9" t="str">
        <f t="shared" si="286"/>
        <v/>
      </c>
      <c r="FN130" s="9" t="str">
        <f t="shared" si="286"/>
        <v/>
      </c>
      <c r="FO130" s="9" t="str">
        <f t="shared" si="286"/>
        <v/>
      </c>
      <c r="FP130" s="9" t="str">
        <f t="shared" si="286"/>
        <v/>
      </c>
      <c r="FQ130" s="9" t="str">
        <f t="shared" si="286"/>
        <v/>
      </c>
      <c r="FR130" s="9" t="str">
        <f t="shared" si="286"/>
        <v/>
      </c>
      <c r="FS130" s="9" t="str">
        <f t="shared" si="286"/>
        <v/>
      </c>
      <c r="FT130" s="9" t="str">
        <f t="shared" si="286"/>
        <v/>
      </c>
      <c r="FU130" s="9" t="str">
        <f t="shared" si="286"/>
        <v/>
      </c>
      <c r="FV130" s="9" t="str">
        <f t="shared" si="286"/>
        <v/>
      </c>
      <c r="FW130" s="9" t="str">
        <f t="shared" si="286"/>
        <v/>
      </c>
      <c r="FX130" s="9" t="str">
        <f t="shared" si="286"/>
        <v/>
      </c>
      <c r="FY130" s="9" t="str">
        <f t="shared" si="286"/>
        <v/>
      </c>
      <c r="FZ130" s="9" t="str">
        <f t="shared" si="286"/>
        <v/>
      </c>
      <c r="GA130" s="9" t="str">
        <f t="shared" si="286"/>
        <v/>
      </c>
      <c r="GB130" s="9" t="str">
        <f t="shared" si="286"/>
        <v/>
      </c>
      <c r="GC130" s="9" t="str">
        <f t="shared" si="286"/>
        <v/>
      </c>
      <c r="GD130" s="9" t="str">
        <f t="shared" si="286"/>
        <v/>
      </c>
      <c r="GE130" s="9" t="str">
        <f t="shared" si="286"/>
        <v/>
      </c>
      <c r="GF130" s="9" t="str">
        <f t="shared" si="286"/>
        <v/>
      </c>
      <c r="GG130" s="9" t="str">
        <f t="shared" si="286"/>
        <v/>
      </c>
      <c r="GH130" s="9" t="str">
        <f t="shared" si="286"/>
        <v/>
      </c>
      <c r="GI130" s="9" t="str">
        <f t="shared" si="286"/>
        <v/>
      </c>
      <c r="GJ130" s="9" t="str">
        <f t="shared" si="286"/>
        <v/>
      </c>
      <c r="GK130" s="9" t="str">
        <f t="shared" si="286"/>
        <v/>
      </c>
      <c r="GL130" s="9" t="str">
        <f t="shared" si="286"/>
        <v/>
      </c>
      <c r="GM130" s="9" t="str">
        <f t="shared" si="286"/>
        <v/>
      </c>
      <c r="GN130" s="9" t="str">
        <f t="shared" si="286"/>
        <v/>
      </c>
      <c r="GO130" s="9" t="str">
        <f t="shared" si="286"/>
        <v/>
      </c>
      <c r="GP130" s="9" t="str">
        <f t="shared" si="286"/>
        <v/>
      </c>
      <c r="GQ130" s="9" t="str">
        <f t="shared" ref="GQ130:IV130" si="287">IF(OR(GR38 = "", GR$8 &lt; GQ$8), "", 1)</f>
        <v/>
      </c>
      <c r="GR130" s="9" t="str">
        <f t="shared" si="287"/>
        <v/>
      </c>
      <c r="GS130" s="9" t="str">
        <f t="shared" si="287"/>
        <v/>
      </c>
      <c r="GT130" s="9" t="str">
        <f t="shared" si="287"/>
        <v/>
      </c>
      <c r="GU130" s="9" t="str">
        <f t="shared" si="287"/>
        <v/>
      </c>
      <c r="GV130" s="9" t="str">
        <f t="shared" si="287"/>
        <v/>
      </c>
      <c r="GW130" s="9" t="str">
        <f t="shared" si="287"/>
        <v/>
      </c>
      <c r="GX130" s="9" t="str">
        <f t="shared" si="287"/>
        <v/>
      </c>
      <c r="GY130" s="9" t="str">
        <f t="shared" si="287"/>
        <v/>
      </c>
      <c r="GZ130" s="9" t="str">
        <f t="shared" si="287"/>
        <v/>
      </c>
      <c r="HA130" s="9" t="str">
        <f t="shared" si="287"/>
        <v/>
      </c>
      <c r="HB130" s="9" t="str">
        <f t="shared" si="287"/>
        <v/>
      </c>
      <c r="HC130" s="9" t="str">
        <f t="shared" si="287"/>
        <v/>
      </c>
      <c r="HD130" s="9" t="str">
        <f t="shared" si="287"/>
        <v/>
      </c>
      <c r="HE130" s="9" t="str">
        <f t="shared" si="287"/>
        <v/>
      </c>
      <c r="HF130" s="9" t="str">
        <f t="shared" si="287"/>
        <v/>
      </c>
      <c r="HG130" s="9" t="str">
        <f t="shared" si="287"/>
        <v/>
      </c>
      <c r="HH130" s="9" t="str">
        <f t="shared" si="287"/>
        <v/>
      </c>
      <c r="HI130" s="9" t="str">
        <f t="shared" si="287"/>
        <v/>
      </c>
      <c r="HJ130" s="9" t="str">
        <f t="shared" si="287"/>
        <v/>
      </c>
      <c r="HK130" s="9" t="str">
        <f t="shared" si="287"/>
        <v/>
      </c>
      <c r="HL130" s="9" t="str">
        <f t="shared" si="287"/>
        <v/>
      </c>
      <c r="HM130" s="9" t="str">
        <f t="shared" si="287"/>
        <v/>
      </c>
      <c r="HN130" s="9" t="str">
        <f t="shared" si="287"/>
        <v/>
      </c>
      <c r="HO130" s="9" t="str">
        <f t="shared" si="287"/>
        <v/>
      </c>
      <c r="HP130" s="9" t="str">
        <f t="shared" si="287"/>
        <v/>
      </c>
      <c r="HQ130" s="9" t="str">
        <f t="shared" si="287"/>
        <v/>
      </c>
      <c r="HR130" s="9" t="str">
        <f t="shared" si="287"/>
        <v/>
      </c>
      <c r="HS130" s="9" t="str">
        <f t="shared" si="287"/>
        <v/>
      </c>
      <c r="HT130" s="9" t="str">
        <f t="shared" si="287"/>
        <v/>
      </c>
      <c r="HU130" s="9" t="str">
        <f t="shared" si="287"/>
        <v/>
      </c>
      <c r="HV130" s="9" t="str">
        <f t="shared" si="287"/>
        <v/>
      </c>
      <c r="HW130" s="9" t="str">
        <f t="shared" si="287"/>
        <v/>
      </c>
      <c r="HX130" s="9" t="str">
        <f t="shared" si="287"/>
        <v/>
      </c>
      <c r="HY130" s="9" t="str">
        <f t="shared" si="287"/>
        <v/>
      </c>
      <c r="HZ130" s="9" t="str">
        <f t="shared" si="287"/>
        <v/>
      </c>
      <c r="IA130" s="9" t="str">
        <f t="shared" si="287"/>
        <v/>
      </c>
      <c r="IB130" s="9" t="str">
        <f t="shared" si="287"/>
        <v/>
      </c>
      <c r="IC130" s="9" t="str">
        <f t="shared" si="287"/>
        <v/>
      </c>
      <c r="ID130" s="9" t="str">
        <f t="shared" si="287"/>
        <v/>
      </c>
      <c r="IE130" s="9" t="str">
        <f t="shared" si="287"/>
        <v/>
      </c>
      <c r="IF130" s="9" t="str">
        <f t="shared" si="287"/>
        <v/>
      </c>
      <c r="IG130" s="9" t="str">
        <f t="shared" si="287"/>
        <v/>
      </c>
      <c r="IH130" s="9" t="str">
        <f t="shared" si="287"/>
        <v/>
      </c>
      <c r="II130" s="9" t="str">
        <f t="shared" si="287"/>
        <v/>
      </c>
      <c r="IJ130" s="9" t="str">
        <f t="shared" si="287"/>
        <v/>
      </c>
      <c r="IK130" s="9" t="str">
        <f t="shared" si="287"/>
        <v/>
      </c>
      <c r="IL130" s="9" t="str">
        <f t="shared" si="287"/>
        <v/>
      </c>
      <c r="IM130" s="9" t="str">
        <f t="shared" si="287"/>
        <v/>
      </c>
      <c r="IN130" s="9" t="str">
        <f t="shared" si="287"/>
        <v/>
      </c>
      <c r="IO130" s="9" t="str">
        <f t="shared" si="287"/>
        <v/>
      </c>
      <c r="IP130" s="9" t="str">
        <f t="shared" si="287"/>
        <v/>
      </c>
      <c r="IQ130" s="9" t="str">
        <f t="shared" si="287"/>
        <v/>
      </c>
      <c r="IR130" s="9" t="str">
        <f t="shared" si="287"/>
        <v/>
      </c>
      <c r="IS130" s="9" t="str">
        <f t="shared" si="287"/>
        <v/>
      </c>
      <c r="IT130" s="9" t="str">
        <f t="shared" si="287"/>
        <v/>
      </c>
      <c r="IU130" s="9" t="str">
        <f t="shared" si="287"/>
        <v/>
      </c>
      <c r="IV130" s="9" t="str">
        <f t="shared" si="287"/>
        <v/>
      </c>
    </row>
    <row r="131" spans="6:256" x14ac:dyDescent="0.2">
      <c r="F131">
        <v>202109</v>
      </c>
      <c r="G131" s="9">
        <f t="shared" ref="G131:BR131" si="288">IF(OR(H39 = "", H$8 &lt; G$8), "", 1)</f>
        <v>1</v>
      </c>
      <c r="H131" s="9">
        <f t="shared" si="288"/>
        <v>1</v>
      </c>
      <c r="I131" s="9">
        <f t="shared" si="288"/>
        <v>1</v>
      </c>
      <c r="J131" s="9">
        <f t="shared" si="288"/>
        <v>1</v>
      </c>
      <c r="K131" s="9">
        <f t="shared" si="288"/>
        <v>1</v>
      </c>
      <c r="L131" s="9">
        <f t="shared" si="288"/>
        <v>1</v>
      </c>
      <c r="M131" s="9">
        <f t="shared" si="288"/>
        <v>1</v>
      </c>
      <c r="N131" s="9">
        <f t="shared" si="288"/>
        <v>1</v>
      </c>
      <c r="O131" s="9">
        <f t="shared" si="288"/>
        <v>1</v>
      </c>
      <c r="P131" s="9">
        <f t="shared" si="288"/>
        <v>1</v>
      </c>
      <c r="Q131" s="9">
        <f t="shared" si="288"/>
        <v>1</v>
      </c>
      <c r="R131" s="9">
        <f t="shared" si="288"/>
        <v>1</v>
      </c>
      <c r="S131" s="9">
        <f t="shared" si="288"/>
        <v>1</v>
      </c>
      <c r="T131" s="9">
        <f t="shared" si="288"/>
        <v>1</v>
      </c>
      <c r="U131" s="9">
        <f t="shared" si="288"/>
        <v>1</v>
      </c>
      <c r="V131" s="9">
        <f t="shared" si="288"/>
        <v>1</v>
      </c>
      <c r="W131" s="9">
        <f t="shared" si="288"/>
        <v>1</v>
      </c>
      <c r="X131" s="9">
        <f t="shared" si="288"/>
        <v>1</v>
      </c>
      <c r="Y131" s="9">
        <f t="shared" si="288"/>
        <v>1</v>
      </c>
      <c r="Z131" s="9">
        <f t="shared" si="288"/>
        <v>1</v>
      </c>
      <c r="AA131" s="9">
        <f t="shared" si="288"/>
        <v>1</v>
      </c>
      <c r="AB131" s="9">
        <f t="shared" si="288"/>
        <v>1</v>
      </c>
      <c r="AC131" s="9">
        <f t="shared" si="288"/>
        <v>1</v>
      </c>
      <c r="AD131" s="9">
        <f t="shared" si="288"/>
        <v>1</v>
      </c>
      <c r="AE131" s="9">
        <f t="shared" si="288"/>
        <v>1</v>
      </c>
      <c r="AF131" s="9">
        <f t="shared" si="288"/>
        <v>1</v>
      </c>
      <c r="AG131" s="9">
        <f t="shared" si="288"/>
        <v>1</v>
      </c>
      <c r="AH131" s="9">
        <f t="shared" si="288"/>
        <v>1</v>
      </c>
      <c r="AI131" s="9">
        <f t="shared" si="288"/>
        <v>1</v>
      </c>
      <c r="AJ131" s="9">
        <f t="shared" si="288"/>
        <v>1</v>
      </c>
      <c r="AK131" s="9">
        <f t="shared" si="288"/>
        <v>1</v>
      </c>
      <c r="AL131" s="9">
        <f t="shared" si="288"/>
        <v>1</v>
      </c>
      <c r="AM131" s="9">
        <f t="shared" si="288"/>
        <v>1</v>
      </c>
      <c r="AN131" s="9">
        <f t="shared" si="288"/>
        <v>1</v>
      </c>
      <c r="AO131" s="9" t="str">
        <f t="shared" si="288"/>
        <v/>
      </c>
      <c r="AP131" s="9" t="str">
        <f t="shared" si="288"/>
        <v/>
      </c>
      <c r="AQ131" s="9" t="str">
        <f t="shared" si="288"/>
        <v/>
      </c>
      <c r="AR131" s="9" t="str">
        <f t="shared" si="288"/>
        <v/>
      </c>
      <c r="AS131" s="9" t="str">
        <f t="shared" si="288"/>
        <v/>
      </c>
      <c r="AT131" s="9" t="str">
        <f t="shared" si="288"/>
        <v/>
      </c>
      <c r="AU131" s="9" t="str">
        <f t="shared" si="288"/>
        <v/>
      </c>
      <c r="AV131" s="9" t="str">
        <f t="shared" si="288"/>
        <v/>
      </c>
      <c r="AW131" s="9" t="str">
        <f t="shared" si="288"/>
        <v/>
      </c>
      <c r="AX131" s="9" t="str">
        <f t="shared" si="288"/>
        <v/>
      </c>
      <c r="AY131" s="9" t="str">
        <f t="shared" si="288"/>
        <v/>
      </c>
      <c r="AZ131" s="9" t="str">
        <f t="shared" si="288"/>
        <v/>
      </c>
      <c r="BA131" s="9" t="str">
        <f t="shared" si="288"/>
        <v/>
      </c>
      <c r="BB131" s="9" t="str">
        <f t="shared" si="288"/>
        <v/>
      </c>
      <c r="BC131" s="9" t="str">
        <f t="shared" si="288"/>
        <v/>
      </c>
      <c r="BD131" s="9" t="str">
        <f t="shared" si="288"/>
        <v/>
      </c>
      <c r="BE131" s="9" t="str">
        <f t="shared" si="288"/>
        <v/>
      </c>
      <c r="BF131" s="9" t="str">
        <f t="shared" si="288"/>
        <v/>
      </c>
      <c r="BG131" s="9" t="str">
        <f t="shared" si="288"/>
        <v/>
      </c>
      <c r="BH131" s="9" t="str">
        <f t="shared" si="288"/>
        <v/>
      </c>
      <c r="BI131" s="9" t="str">
        <f t="shared" si="288"/>
        <v/>
      </c>
      <c r="BJ131" s="9" t="str">
        <f t="shared" si="288"/>
        <v/>
      </c>
      <c r="BK131" s="9" t="str">
        <f t="shared" si="288"/>
        <v/>
      </c>
      <c r="BL131" s="9" t="str">
        <f t="shared" si="288"/>
        <v/>
      </c>
      <c r="BM131" s="9" t="str">
        <f t="shared" si="288"/>
        <v/>
      </c>
      <c r="BN131" s="9" t="str">
        <f t="shared" si="288"/>
        <v/>
      </c>
      <c r="BO131" s="9" t="str">
        <f t="shared" si="288"/>
        <v/>
      </c>
      <c r="BP131" s="9" t="str">
        <f t="shared" si="288"/>
        <v/>
      </c>
      <c r="BQ131" s="9" t="str">
        <f t="shared" si="288"/>
        <v/>
      </c>
      <c r="BR131" s="9" t="str">
        <f t="shared" si="288"/>
        <v/>
      </c>
      <c r="BS131" s="9" t="str">
        <f t="shared" ref="BS131:ED131" si="289">IF(OR(BT39 = "", BT$8 &lt; BS$8), "", 1)</f>
        <v/>
      </c>
      <c r="BT131" s="9" t="str">
        <f t="shared" si="289"/>
        <v/>
      </c>
      <c r="BU131" s="9" t="str">
        <f t="shared" si="289"/>
        <v/>
      </c>
      <c r="BV131" s="9" t="str">
        <f t="shared" si="289"/>
        <v/>
      </c>
      <c r="BW131" s="9" t="str">
        <f t="shared" si="289"/>
        <v/>
      </c>
      <c r="BX131" s="9" t="str">
        <f t="shared" si="289"/>
        <v/>
      </c>
      <c r="BY131" s="9" t="str">
        <f t="shared" si="289"/>
        <v/>
      </c>
      <c r="BZ131" s="9" t="str">
        <f t="shared" si="289"/>
        <v/>
      </c>
      <c r="CA131" s="9" t="str">
        <f t="shared" si="289"/>
        <v/>
      </c>
      <c r="CB131" s="9" t="str">
        <f t="shared" si="289"/>
        <v/>
      </c>
      <c r="CC131" s="9" t="str">
        <f t="shared" si="289"/>
        <v/>
      </c>
      <c r="CD131" s="9" t="str">
        <f t="shared" si="289"/>
        <v/>
      </c>
      <c r="CE131" s="9" t="str">
        <f t="shared" si="289"/>
        <v/>
      </c>
      <c r="CF131" s="9" t="str">
        <f t="shared" si="289"/>
        <v/>
      </c>
      <c r="CG131" s="9" t="str">
        <f t="shared" si="289"/>
        <v/>
      </c>
      <c r="CH131" s="9" t="str">
        <f t="shared" si="289"/>
        <v/>
      </c>
      <c r="CI131" s="9" t="str">
        <f t="shared" si="289"/>
        <v/>
      </c>
      <c r="CJ131" s="9" t="str">
        <f t="shared" si="289"/>
        <v/>
      </c>
      <c r="CK131" s="9" t="str">
        <f t="shared" si="289"/>
        <v/>
      </c>
      <c r="CL131" s="9" t="str">
        <f t="shared" si="289"/>
        <v/>
      </c>
      <c r="CM131" s="9" t="str">
        <f t="shared" si="289"/>
        <v/>
      </c>
      <c r="CN131" s="9" t="str">
        <f t="shared" si="289"/>
        <v/>
      </c>
      <c r="CO131" s="9" t="str">
        <f t="shared" si="289"/>
        <v/>
      </c>
      <c r="CP131" s="9" t="str">
        <f t="shared" si="289"/>
        <v/>
      </c>
      <c r="CQ131" s="9" t="str">
        <f t="shared" si="289"/>
        <v/>
      </c>
      <c r="CR131" s="9" t="str">
        <f t="shared" si="289"/>
        <v/>
      </c>
      <c r="CS131" s="9" t="str">
        <f t="shared" si="289"/>
        <v/>
      </c>
      <c r="CT131" s="9" t="str">
        <f t="shared" si="289"/>
        <v/>
      </c>
      <c r="CU131" s="9" t="str">
        <f t="shared" si="289"/>
        <v/>
      </c>
      <c r="CV131" s="9" t="str">
        <f t="shared" si="289"/>
        <v/>
      </c>
      <c r="CW131" s="9" t="str">
        <f t="shared" si="289"/>
        <v/>
      </c>
      <c r="CX131" s="9" t="str">
        <f t="shared" si="289"/>
        <v/>
      </c>
      <c r="CY131" s="9" t="str">
        <f t="shared" si="289"/>
        <v/>
      </c>
      <c r="CZ131" s="9" t="str">
        <f t="shared" si="289"/>
        <v/>
      </c>
      <c r="DA131" s="9" t="str">
        <f t="shared" si="289"/>
        <v/>
      </c>
      <c r="DB131" s="9" t="str">
        <f t="shared" si="289"/>
        <v/>
      </c>
      <c r="DC131" s="9" t="str">
        <f t="shared" si="289"/>
        <v/>
      </c>
      <c r="DD131" s="9" t="str">
        <f t="shared" si="289"/>
        <v/>
      </c>
      <c r="DE131" s="9" t="str">
        <f t="shared" si="289"/>
        <v/>
      </c>
      <c r="DF131" s="9" t="str">
        <f t="shared" si="289"/>
        <v/>
      </c>
      <c r="DG131" s="9" t="str">
        <f t="shared" si="289"/>
        <v/>
      </c>
      <c r="DH131" s="9" t="str">
        <f t="shared" si="289"/>
        <v/>
      </c>
      <c r="DI131" s="9" t="str">
        <f t="shared" si="289"/>
        <v/>
      </c>
      <c r="DJ131" s="9" t="str">
        <f t="shared" si="289"/>
        <v/>
      </c>
      <c r="DK131" s="9" t="str">
        <f t="shared" si="289"/>
        <v/>
      </c>
      <c r="DL131" s="9" t="str">
        <f t="shared" si="289"/>
        <v/>
      </c>
      <c r="DM131" s="9" t="str">
        <f t="shared" si="289"/>
        <v/>
      </c>
      <c r="DN131" s="9" t="str">
        <f t="shared" si="289"/>
        <v/>
      </c>
      <c r="DO131" s="9" t="str">
        <f t="shared" si="289"/>
        <v/>
      </c>
      <c r="DP131" s="9" t="str">
        <f t="shared" si="289"/>
        <v/>
      </c>
      <c r="DQ131" s="9" t="str">
        <f t="shared" si="289"/>
        <v/>
      </c>
      <c r="DR131" s="9" t="str">
        <f t="shared" si="289"/>
        <v/>
      </c>
      <c r="DS131" s="9" t="str">
        <f t="shared" si="289"/>
        <v/>
      </c>
      <c r="DT131" s="9" t="str">
        <f t="shared" si="289"/>
        <v/>
      </c>
      <c r="DU131" s="9" t="str">
        <f t="shared" si="289"/>
        <v/>
      </c>
      <c r="DV131" s="9" t="str">
        <f t="shared" si="289"/>
        <v/>
      </c>
      <c r="DW131" s="9" t="str">
        <f t="shared" si="289"/>
        <v/>
      </c>
      <c r="DX131" s="9" t="str">
        <f t="shared" si="289"/>
        <v/>
      </c>
      <c r="DY131" s="9" t="str">
        <f t="shared" si="289"/>
        <v/>
      </c>
      <c r="DZ131" s="9" t="str">
        <f t="shared" si="289"/>
        <v/>
      </c>
      <c r="EA131" s="9" t="str">
        <f t="shared" si="289"/>
        <v/>
      </c>
      <c r="EB131" s="9">
        <f t="shared" si="289"/>
        <v>1</v>
      </c>
      <c r="EC131" s="9">
        <f t="shared" si="289"/>
        <v>1</v>
      </c>
      <c r="ED131" s="9">
        <f t="shared" si="289"/>
        <v>1</v>
      </c>
      <c r="EE131" s="9">
        <f t="shared" ref="EE131:GP131" si="290">IF(OR(EF39 = "", EF$8 &lt; EE$8), "", 1)</f>
        <v>1</v>
      </c>
      <c r="EF131" s="9">
        <f t="shared" si="290"/>
        <v>1</v>
      </c>
      <c r="EG131" s="9">
        <f t="shared" si="290"/>
        <v>1</v>
      </c>
      <c r="EH131" s="9">
        <f t="shared" si="290"/>
        <v>1</v>
      </c>
      <c r="EI131" s="9">
        <f t="shared" si="290"/>
        <v>1</v>
      </c>
      <c r="EJ131" s="9">
        <f t="shared" si="290"/>
        <v>1</v>
      </c>
      <c r="EK131" s="9">
        <f t="shared" si="290"/>
        <v>1</v>
      </c>
      <c r="EL131" s="9">
        <f t="shared" si="290"/>
        <v>1</v>
      </c>
      <c r="EM131" s="9">
        <f t="shared" si="290"/>
        <v>1</v>
      </c>
      <c r="EN131" s="9">
        <f t="shared" si="290"/>
        <v>1</v>
      </c>
      <c r="EO131" s="9">
        <f t="shared" si="290"/>
        <v>1</v>
      </c>
      <c r="EP131" s="9">
        <f t="shared" si="290"/>
        <v>1</v>
      </c>
      <c r="EQ131" s="9">
        <f t="shared" si="290"/>
        <v>1</v>
      </c>
      <c r="ER131" s="9">
        <f t="shared" si="290"/>
        <v>1</v>
      </c>
      <c r="ES131" s="9">
        <f t="shared" si="290"/>
        <v>1</v>
      </c>
      <c r="ET131" s="9">
        <f t="shared" si="290"/>
        <v>1</v>
      </c>
      <c r="EU131" s="9">
        <f t="shared" si="290"/>
        <v>1</v>
      </c>
      <c r="EV131" s="9">
        <f t="shared" si="290"/>
        <v>1</v>
      </c>
      <c r="EW131" s="9">
        <f t="shared" si="290"/>
        <v>1</v>
      </c>
      <c r="EX131" s="9">
        <f t="shared" si="290"/>
        <v>1</v>
      </c>
      <c r="EY131" s="9">
        <f t="shared" si="290"/>
        <v>1</v>
      </c>
      <c r="EZ131" s="9">
        <f t="shared" si="290"/>
        <v>1</v>
      </c>
      <c r="FA131" s="9">
        <f t="shared" si="290"/>
        <v>1</v>
      </c>
      <c r="FB131" s="9">
        <f t="shared" si="290"/>
        <v>1</v>
      </c>
      <c r="FC131" s="9">
        <f t="shared" si="290"/>
        <v>1</v>
      </c>
      <c r="FD131" s="9">
        <f t="shared" si="290"/>
        <v>1</v>
      </c>
      <c r="FE131" s="9">
        <f t="shared" si="290"/>
        <v>1</v>
      </c>
      <c r="FF131" s="9">
        <f t="shared" si="290"/>
        <v>1</v>
      </c>
      <c r="FG131" s="9">
        <f t="shared" si="290"/>
        <v>1</v>
      </c>
      <c r="FH131" s="9">
        <f t="shared" si="290"/>
        <v>1</v>
      </c>
      <c r="FI131" s="9">
        <f t="shared" si="290"/>
        <v>1</v>
      </c>
      <c r="FJ131" s="9" t="str">
        <f t="shared" si="290"/>
        <v/>
      </c>
      <c r="FK131" s="9" t="str">
        <f t="shared" si="290"/>
        <v/>
      </c>
      <c r="FL131" s="9" t="str">
        <f t="shared" si="290"/>
        <v/>
      </c>
      <c r="FM131" s="9" t="str">
        <f t="shared" si="290"/>
        <v/>
      </c>
      <c r="FN131" s="9" t="str">
        <f t="shared" si="290"/>
        <v/>
      </c>
      <c r="FO131" s="9" t="str">
        <f t="shared" si="290"/>
        <v/>
      </c>
      <c r="FP131" s="9" t="str">
        <f t="shared" si="290"/>
        <v/>
      </c>
      <c r="FQ131" s="9" t="str">
        <f t="shared" si="290"/>
        <v/>
      </c>
      <c r="FR131" s="9" t="str">
        <f t="shared" si="290"/>
        <v/>
      </c>
      <c r="FS131" s="9" t="str">
        <f t="shared" si="290"/>
        <v/>
      </c>
      <c r="FT131" s="9" t="str">
        <f t="shared" si="290"/>
        <v/>
      </c>
      <c r="FU131" s="9" t="str">
        <f t="shared" si="290"/>
        <v/>
      </c>
      <c r="FV131" s="9" t="str">
        <f t="shared" si="290"/>
        <v/>
      </c>
      <c r="FW131" s="9" t="str">
        <f t="shared" si="290"/>
        <v/>
      </c>
      <c r="FX131" s="9" t="str">
        <f t="shared" si="290"/>
        <v/>
      </c>
      <c r="FY131" s="9" t="str">
        <f t="shared" si="290"/>
        <v/>
      </c>
      <c r="FZ131" s="9" t="str">
        <f t="shared" si="290"/>
        <v/>
      </c>
      <c r="GA131" s="9" t="str">
        <f t="shared" si="290"/>
        <v/>
      </c>
      <c r="GB131" s="9" t="str">
        <f t="shared" si="290"/>
        <v/>
      </c>
      <c r="GC131" s="9" t="str">
        <f t="shared" si="290"/>
        <v/>
      </c>
      <c r="GD131" s="9" t="str">
        <f t="shared" si="290"/>
        <v/>
      </c>
      <c r="GE131" s="9" t="str">
        <f t="shared" si="290"/>
        <v/>
      </c>
      <c r="GF131" s="9" t="str">
        <f t="shared" si="290"/>
        <v/>
      </c>
      <c r="GG131" s="9" t="str">
        <f t="shared" si="290"/>
        <v/>
      </c>
      <c r="GH131" s="9" t="str">
        <f t="shared" si="290"/>
        <v/>
      </c>
      <c r="GI131" s="9" t="str">
        <f t="shared" si="290"/>
        <v/>
      </c>
      <c r="GJ131" s="9" t="str">
        <f t="shared" si="290"/>
        <v/>
      </c>
      <c r="GK131" s="9" t="str">
        <f t="shared" si="290"/>
        <v/>
      </c>
      <c r="GL131" s="9" t="str">
        <f t="shared" si="290"/>
        <v/>
      </c>
      <c r="GM131" s="9" t="str">
        <f t="shared" si="290"/>
        <v/>
      </c>
      <c r="GN131" s="9" t="str">
        <f t="shared" si="290"/>
        <v/>
      </c>
      <c r="GO131" s="9" t="str">
        <f t="shared" si="290"/>
        <v/>
      </c>
      <c r="GP131" s="9" t="str">
        <f t="shared" si="290"/>
        <v/>
      </c>
      <c r="GQ131" s="9" t="str">
        <f t="shared" ref="GQ131:IV131" si="291">IF(OR(GR39 = "", GR$8 &lt; GQ$8), "", 1)</f>
        <v/>
      </c>
      <c r="GR131" s="9" t="str">
        <f t="shared" si="291"/>
        <v/>
      </c>
      <c r="GS131" s="9" t="str">
        <f t="shared" si="291"/>
        <v/>
      </c>
      <c r="GT131" s="9" t="str">
        <f t="shared" si="291"/>
        <v/>
      </c>
      <c r="GU131" s="9" t="str">
        <f t="shared" si="291"/>
        <v/>
      </c>
      <c r="GV131" s="9" t="str">
        <f t="shared" si="291"/>
        <v/>
      </c>
      <c r="GW131" s="9" t="str">
        <f t="shared" si="291"/>
        <v/>
      </c>
      <c r="GX131" s="9" t="str">
        <f t="shared" si="291"/>
        <v/>
      </c>
      <c r="GY131" s="9" t="str">
        <f t="shared" si="291"/>
        <v/>
      </c>
      <c r="GZ131" s="9" t="str">
        <f t="shared" si="291"/>
        <v/>
      </c>
      <c r="HA131" s="9" t="str">
        <f t="shared" si="291"/>
        <v/>
      </c>
      <c r="HB131" s="9" t="str">
        <f t="shared" si="291"/>
        <v/>
      </c>
      <c r="HC131" s="9" t="str">
        <f t="shared" si="291"/>
        <v/>
      </c>
      <c r="HD131" s="9" t="str">
        <f t="shared" si="291"/>
        <v/>
      </c>
      <c r="HE131" s="9" t="str">
        <f t="shared" si="291"/>
        <v/>
      </c>
      <c r="HF131" s="9" t="str">
        <f t="shared" si="291"/>
        <v/>
      </c>
      <c r="HG131" s="9" t="str">
        <f t="shared" si="291"/>
        <v/>
      </c>
      <c r="HH131" s="9" t="str">
        <f t="shared" si="291"/>
        <v/>
      </c>
      <c r="HI131" s="9" t="str">
        <f t="shared" si="291"/>
        <v/>
      </c>
      <c r="HJ131" s="9" t="str">
        <f t="shared" si="291"/>
        <v/>
      </c>
      <c r="HK131" s="9" t="str">
        <f t="shared" si="291"/>
        <v/>
      </c>
      <c r="HL131" s="9" t="str">
        <f t="shared" si="291"/>
        <v/>
      </c>
      <c r="HM131" s="9" t="str">
        <f t="shared" si="291"/>
        <v/>
      </c>
      <c r="HN131" s="9" t="str">
        <f t="shared" si="291"/>
        <v/>
      </c>
      <c r="HO131" s="9" t="str">
        <f t="shared" si="291"/>
        <v/>
      </c>
      <c r="HP131" s="9" t="str">
        <f t="shared" si="291"/>
        <v/>
      </c>
      <c r="HQ131" s="9" t="str">
        <f t="shared" si="291"/>
        <v/>
      </c>
      <c r="HR131" s="9" t="str">
        <f t="shared" si="291"/>
        <v/>
      </c>
      <c r="HS131" s="9" t="str">
        <f t="shared" si="291"/>
        <v/>
      </c>
      <c r="HT131" s="9" t="str">
        <f t="shared" si="291"/>
        <v/>
      </c>
      <c r="HU131" s="9" t="str">
        <f t="shared" si="291"/>
        <v/>
      </c>
      <c r="HV131" s="9" t="str">
        <f t="shared" si="291"/>
        <v/>
      </c>
      <c r="HW131" s="9" t="str">
        <f t="shared" si="291"/>
        <v/>
      </c>
      <c r="HX131" s="9" t="str">
        <f t="shared" si="291"/>
        <v/>
      </c>
      <c r="HY131" s="9" t="str">
        <f t="shared" si="291"/>
        <v/>
      </c>
      <c r="HZ131" s="9" t="str">
        <f t="shared" si="291"/>
        <v/>
      </c>
      <c r="IA131" s="9" t="str">
        <f t="shared" si="291"/>
        <v/>
      </c>
      <c r="IB131" s="9" t="str">
        <f t="shared" si="291"/>
        <v/>
      </c>
      <c r="IC131" s="9" t="str">
        <f t="shared" si="291"/>
        <v/>
      </c>
      <c r="ID131" s="9" t="str">
        <f t="shared" si="291"/>
        <v/>
      </c>
      <c r="IE131" s="9" t="str">
        <f t="shared" si="291"/>
        <v/>
      </c>
      <c r="IF131" s="9" t="str">
        <f t="shared" si="291"/>
        <v/>
      </c>
      <c r="IG131" s="9" t="str">
        <f t="shared" si="291"/>
        <v/>
      </c>
      <c r="IH131" s="9" t="str">
        <f t="shared" si="291"/>
        <v/>
      </c>
      <c r="II131" s="9" t="str">
        <f t="shared" si="291"/>
        <v/>
      </c>
      <c r="IJ131" s="9" t="str">
        <f t="shared" si="291"/>
        <v/>
      </c>
      <c r="IK131" s="9" t="str">
        <f t="shared" si="291"/>
        <v/>
      </c>
      <c r="IL131" s="9" t="str">
        <f t="shared" si="291"/>
        <v/>
      </c>
      <c r="IM131" s="9" t="str">
        <f t="shared" si="291"/>
        <v/>
      </c>
      <c r="IN131" s="9" t="str">
        <f t="shared" si="291"/>
        <v/>
      </c>
      <c r="IO131" s="9" t="str">
        <f t="shared" si="291"/>
        <v/>
      </c>
      <c r="IP131" s="9" t="str">
        <f t="shared" si="291"/>
        <v/>
      </c>
      <c r="IQ131" s="9" t="str">
        <f t="shared" si="291"/>
        <v/>
      </c>
      <c r="IR131" s="9" t="str">
        <f t="shared" si="291"/>
        <v/>
      </c>
      <c r="IS131" s="9" t="str">
        <f t="shared" si="291"/>
        <v/>
      </c>
      <c r="IT131" s="9" t="str">
        <f t="shared" si="291"/>
        <v/>
      </c>
      <c r="IU131" s="9" t="str">
        <f t="shared" si="291"/>
        <v/>
      </c>
      <c r="IV131" s="9" t="str">
        <f t="shared" si="291"/>
        <v/>
      </c>
    </row>
    <row r="132" spans="6:256" x14ac:dyDescent="0.2">
      <c r="F132">
        <v>202112</v>
      </c>
      <c r="G132" s="9">
        <f t="shared" ref="G132:BR132" si="292">IF(OR(H40 = "", H$8 &lt; G$8), "", 1)</f>
        <v>1</v>
      </c>
      <c r="H132" s="9">
        <f t="shared" si="292"/>
        <v>1</v>
      </c>
      <c r="I132" s="9">
        <f t="shared" si="292"/>
        <v>1</v>
      </c>
      <c r="J132" s="9">
        <f t="shared" si="292"/>
        <v>1</v>
      </c>
      <c r="K132" s="9">
        <f t="shared" si="292"/>
        <v>1</v>
      </c>
      <c r="L132" s="9">
        <f t="shared" si="292"/>
        <v>1</v>
      </c>
      <c r="M132" s="9">
        <f t="shared" si="292"/>
        <v>1</v>
      </c>
      <c r="N132" s="9">
        <f t="shared" si="292"/>
        <v>1</v>
      </c>
      <c r="O132" s="9">
        <f t="shared" si="292"/>
        <v>1</v>
      </c>
      <c r="P132" s="9">
        <f t="shared" si="292"/>
        <v>1</v>
      </c>
      <c r="Q132" s="9">
        <f t="shared" si="292"/>
        <v>1</v>
      </c>
      <c r="R132" s="9">
        <f t="shared" si="292"/>
        <v>1</v>
      </c>
      <c r="S132" s="9">
        <f t="shared" si="292"/>
        <v>1</v>
      </c>
      <c r="T132" s="9">
        <f t="shared" si="292"/>
        <v>1</v>
      </c>
      <c r="U132" s="9">
        <f t="shared" si="292"/>
        <v>1</v>
      </c>
      <c r="V132" s="9">
        <f t="shared" si="292"/>
        <v>1</v>
      </c>
      <c r="W132" s="9">
        <f t="shared" si="292"/>
        <v>1</v>
      </c>
      <c r="X132" s="9">
        <f t="shared" si="292"/>
        <v>1</v>
      </c>
      <c r="Y132" s="9">
        <f t="shared" si="292"/>
        <v>1</v>
      </c>
      <c r="Z132" s="9">
        <f t="shared" si="292"/>
        <v>1</v>
      </c>
      <c r="AA132" s="9">
        <f t="shared" si="292"/>
        <v>1</v>
      </c>
      <c r="AB132" s="9">
        <f t="shared" si="292"/>
        <v>1</v>
      </c>
      <c r="AC132" s="9">
        <f t="shared" si="292"/>
        <v>1</v>
      </c>
      <c r="AD132" s="9">
        <f t="shared" si="292"/>
        <v>1</v>
      </c>
      <c r="AE132" s="9">
        <f t="shared" si="292"/>
        <v>1</v>
      </c>
      <c r="AF132" s="9">
        <f t="shared" si="292"/>
        <v>1</v>
      </c>
      <c r="AG132" s="9">
        <f t="shared" si="292"/>
        <v>1</v>
      </c>
      <c r="AH132" s="9">
        <f t="shared" si="292"/>
        <v>1</v>
      </c>
      <c r="AI132" s="9">
        <f t="shared" si="292"/>
        <v>1</v>
      </c>
      <c r="AJ132" s="9">
        <f t="shared" si="292"/>
        <v>1</v>
      </c>
      <c r="AK132" s="9">
        <f t="shared" si="292"/>
        <v>1</v>
      </c>
      <c r="AL132" s="9" t="str">
        <f t="shared" si="292"/>
        <v/>
      </c>
      <c r="AM132" s="9" t="str">
        <f t="shared" si="292"/>
        <v/>
      </c>
      <c r="AN132" s="9" t="str">
        <f t="shared" si="292"/>
        <v/>
      </c>
      <c r="AO132" s="9" t="str">
        <f t="shared" si="292"/>
        <v/>
      </c>
      <c r="AP132" s="9" t="str">
        <f t="shared" si="292"/>
        <v/>
      </c>
      <c r="AQ132" s="9" t="str">
        <f t="shared" si="292"/>
        <v/>
      </c>
      <c r="AR132" s="9" t="str">
        <f t="shared" si="292"/>
        <v/>
      </c>
      <c r="AS132" s="9" t="str">
        <f t="shared" si="292"/>
        <v/>
      </c>
      <c r="AT132" s="9" t="str">
        <f t="shared" si="292"/>
        <v/>
      </c>
      <c r="AU132" s="9" t="str">
        <f t="shared" si="292"/>
        <v/>
      </c>
      <c r="AV132" s="9" t="str">
        <f t="shared" si="292"/>
        <v/>
      </c>
      <c r="AW132" s="9" t="str">
        <f t="shared" si="292"/>
        <v/>
      </c>
      <c r="AX132" s="9" t="str">
        <f t="shared" si="292"/>
        <v/>
      </c>
      <c r="AY132" s="9" t="str">
        <f t="shared" si="292"/>
        <v/>
      </c>
      <c r="AZ132" s="9" t="str">
        <f t="shared" si="292"/>
        <v/>
      </c>
      <c r="BA132" s="9" t="str">
        <f t="shared" si="292"/>
        <v/>
      </c>
      <c r="BB132" s="9" t="str">
        <f t="shared" si="292"/>
        <v/>
      </c>
      <c r="BC132" s="9" t="str">
        <f t="shared" si="292"/>
        <v/>
      </c>
      <c r="BD132" s="9" t="str">
        <f t="shared" si="292"/>
        <v/>
      </c>
      <c r="BE132" s="9" t="str">
        <f t="shared" si="292"/>
        <v/>
      </c>
      <c r="BF132" s="9" t="str">
        <f t="shared" si="292"/>
        <v/>
      </c>
      <c r="BG132" s="9" t="str">
        <f t="shared" si="292"/>
        <v/>
      </c>
      <c r="BH132" s="9" t="str">
        <f t="shared" si="292"/>
        <v/>
      </c>
      <c r="BI132" s="9" t="str">
        <f t="shared" si="292"/>
        <v/>
      </c>
      <c r="BJ132" s="9" t="str">
        <f t="shared" si="292"/>
        <v/>
      </c>
      <c r="BK132" s="9" t="str">
        <f t="shared" si="292"/>
        <v/>
      </c>
      <c r="BL132" s="9" t="str">
        <f t="shared" si="292"/>
        <v/>
      </c>
      <c r="BM132" s="9" t="str">
        <f t="shared" si="292"/>
        <v/>
      </c>
      <c r="BN132" s="9" t="str">
        <f t="shared" si="292"/>
        <v/>
      </c>
      <c r="BO132" s="9" t="str">
        <f t="shared" si="292"/>
        <v/>
      </c>
      <c r="BP132" s="9" t="str">
        <f t="shared" si="292"/>
        <v/>
      </c>
      <c r="BQ132" s="9" t="str">
        <f t="shared" si="292"/>
        <v/>
      </c>
      <c r="BR132" s="9" t="str">
        <f t="shared" si="292"/>
        <v/>
      </c>
      <c r="BS132" s="9" t="str">
        <f t="shared" ref="BS132:ED132" si="293">IF(OR(BT40 = "", BT$8 &lt; BS$8), "", 1)</f>
        <v/>
      </c>
      <c r="BT132" s="9" t="str">
        <f t="shared" si="293"/>
        <v/>
      </c>
      <c r="BU132" s="9" t="str">
        <f t="shared" si="293"/>
        <v/>
      </c>
      <c r="BV132" s="9" t="str">
        <f t="shared" si="293"/>
        <v/>
      </c>
      <c r="BW132" s="9" t="str">
        <f t="shared" si="293"/>
        <v/>
      </c>
      <c r="BX132" s="9" t="str">
        <f t="shared" si="293"/>
        <v/>
      </c>
      <c r="BY132" s="9" t="str">
        <f t="shared" si="293"/>
        <v/>
      </c>
      <c r="BZ132" s="9" t="str">
        <f t="shared" si="293"/>
        <v/>
      </c>
      <c r="CA132" s="9" t="str">
        <f t="shared" si="293"/>
        <v/>
      </c>
      <c r="CB132" s="9" t="str">
        <f t="shared" si="293"/>
        <v/>
      </c>
      <c r="CC132" s="9" t="str">
        <f t="shared" si="293"/>
        <v/>
      </c>
      <c r="CD132" s="9" t="str">
        <f t="shared" si="293"/>
        <v/>
      </c>
      <c r="CE132" s="9" t="str">
        <f t="shared" si="293"/>
        <v/>
      </c>
      <c r="CF132" s="9" t="str">
        <f t="shared" si="293"/>
        <v/>
      </c>
      <c r="CG132" s="9" t="str">
        <f t="shared" si="293"/>
        <v/>
      </c>
      <c r="CH132" s="9" t="str">
        <f t="shared" si="293"/>
        <v/>
      </c>
      <c r="CI132" s="9" t="str">
        <f t="shared" si="293"/>
        <v/>
      </c>
      <c r="CJ132" s="9" t="str">
        <f t="shared" si="293"/>
        <v/>
      </c>
      <c r="CK132" s="9" t="str">
        <f t="shared" si="293"/>
        <v/>
      </c>
      <c r="CL132" s="9" t="str">
        <f t="shared" si="293"/>
        <v/>
      </c>
      <c r="CM132" s="9" t="str">
        <f t="shared" si="293"/>
        <v/>
      </c>
      <c r="CN132" s="9" t="str">
        <f t="shared" si="293"/>
        <v/>
      </c>
      <c r="CO132" s="9" t="str">
        <f t="shared" si="293"/>
        <v/>
      </c>
      <c r="CP132" s="9" t="str">
        <f t="shared" si="293"/>
        <v/>
      </c>
      <c r="CQ132" s="9" t="str">
        <f t="shared" si="293"/>
        <v/>
      </c>
      <c r="CR132" s="9" t="str">
        <f t="shared" si="293"/>
        <v/>
      </c>
      <c r="CS132" s="9" t="str">
        <f t="shared" si="293"/>
        <v/>
      </c>
      <c r="CT132" s="9" t="str">
        <f t="shared" si="293"/>
        <v/>
      </c>
      <c r="CU132" s="9" t="str">
        <f t="shared" si="293"/>
        <v/>
      </c>
      <c r="CV132" s="9" t="str">
        <f t="shared" si="293"/>
        <v/>
      </c>
      <c r="CW132" s="9" t="str">
        <f t="shared" si="293"/>
        <v/>
      </c>
      <c r="CX132" s="9" t="str">
        <f t="shared" si="293"/>
        <v/>
      </c>
      <c r="CY132" s="9" t="str">
        <f t="shared" si="293"/>
        <v/>
      </c>
      <c r="CZ132" s="9" t="str">
        <f t="shared" si="293"/>
        <v/>
      </c>
      <c r="DA132" s="9" t="str">
        <f t="shared" si="293"/>
        <v/>
      </c>
      <c r="DB132" s="9" t="str">
        <f t="shared" si="293"/>
        <v/>
      </c>
      <c r="DC132" s="9" t="str">
        <f t="shared" si="293"/>
        <v/>
      </c>
      <c r="DD132" s="9" t="str">
        <f t="shared" si="293"/>
        <v/>
      </c>
      <c r="DE132" s="9" t="str">
        <f t="shared" si="293"/>
        <v/>
      </c>
      <c r="DF132" s="9" t="str">
        <f t="shared" si="293"/>
        <v/>
      </c>
      <c r="DG132" s="9" t="str">
        <f t="shared" si="293"/>
        <v/>
      </c>
      <c r="DH132" s="9" t="str">
        <f t="shared" si="293"/>
        <v/>
      </c>
      <c r="DI132" s="9" t="str">
        <f t="shared" si="293"/>
        <v/>
      </c>
      <c r="DJ132" s="9" t="str">
        <f t="shared" si="293"/>
        <v/>
      </c>
      <c r="DK132" s="9" t="str">
        <f t="shared" si="293"/>
        <v/>
      </c>
      <c r="DL132" s="9" t="str">
        <f t="shared" si="293"/>
        <v/>
      </c>
      <c r="DM132" s="9" t="str">
        <f t="shared" si="293"/>
        <v/>
      </c>
      <c r="DN132" s="9" t="str">
        <f t="shared" si="293"/>
        <v/>
      </c>
      <c r="DO132" s="9" t="str">
        <f t="shared" si="293"/>
        <v/>
      </c>
      <c r="DP132" s="9" t="str">
        <f t="shared" si="293"/>
        <v/>
      </c>
      <c r="DQ132" s="9" t="str">
        <f t="shared" si="293"/>
        <v/>
      </c>
      <c r="DR132" s="9" t="str">
        <f t="shared" si="293"/>
        <v/>
      </c>
      <c r="DS132" s="9" t="str">
        <f t="shared" si="293"/>
        <v/>
      </c>
      <c r="DT132" s="9" t="str">
        <f t="shared" si="293"/>
        <v/>
      </c>
      <c r="DU132" s="9" t="str">
        <f t="shared" si="293"/>
        <v/>
      </c>
      <c r="DV132" s="9" t="str">
        <f t="shared" si="293"/>
        <v/>
      </c>
      <c r="DW132" s="9" t="str">
        <f t="shared" si="293"/>
        <v/>
      </c>
      <c r="DX132" s="9" t="str">
        <f t="shared" si="293"/>
        <v/>
      </c>
      <c r="DY132" s="9" t="str">
        <f t="shared" si="293"/>
        <v/>
      </c>
      <c r="DZ132" s="9" t="str">
        <f t="shared" si="293"/>
        <v/>
      </c>
      <c r="EA132" s="9" t="str">
        <f t="shared" si="293"/>
        <v/>
      </c>
      <c r="EB132" s="9">
        <f t="shared" si="293"/>
        <v>1</v>
      </c>
      <c r="EC132" s="9">
        <f t="shared" si="293"/>
        <v>1</v>
      </c>
      <c r="ED132" s="9">
        <f t="shared" si="293"/>
        <v>1</v>
      </c>
      <c r="EE132" s="9">
        <f t="shared" ref="EE132:GP132" si="294">IF(OR(EF40 = "", EF$8 &lt; EE$8), "", 1)</f>
        <v>1</v>
      </c>
      <c r="EF132" s="9">
        <f t="shared" si="294"/>
        <v>1</v>
      </c>
      <c r="EG132" s="9">
        <f t="shared" si="294"/>
        <v>1</v>
      </c>
      <c r="EH132" s="9">
        <f t="shared" si="294"/>
        <v>1</v>
      </c>
      <c r="EI132" s="9">
        <f t="shared" si="294"/>
        <v>1</v>
      </c>
      <c r="EJ132" s="9">
        <f t="shared" si="294"/>
        <v>1</v>
      </c>
      <c r="EK132" s="9">
        <f t="shared" si="294"/>
        <v>1</v>
      </c>
      <c r="EL132" s="9">
        <f t="shared" si="294"/>
        <v>1</v>
      </c>
      <c r="EM132" s="9">
        <f t="shared" si="294"/>
        <v>1</v>
      </c>
      <c r="EN132" s="9">
        <f t="shared" si="294"/>
        <v>1</v>
      </c>
      <c r="EO132" s="9">
        <f t="shared" si="294"/>
        <v>1</v>
      </c>
      <c r="EP132" s="9">
        <f t="shared" si="294"/>
        <v>1</v>
      </c>
      <c r="EQ132" s="9">
        <f t="shared" si="294"/>
        <v>1</v>
      </c>
      <c r="ER132" s="9">
        <f t="shared" si="294"/>
        <v>1</v>
      </c>
      <c r="ES132" s="9">
        <f t="shared" si="294"/>
        <v>1</v>
      </c>
      <c r="ET132" s="9">
        <f t="shared" si="294"/>
        <v>1</v>
      </c>
      <c r="EU132" s="9">
        <f t="shared" si="294"/>
        <v>1</v>
      </c>
      <c r="EV132" s="9">
        <f t="shared" si="294"/>
        <v>1</v>
      </c>
      <c r="EW132" s="9">
        <f t="shared" si="294"/>
        <v>1</v>
      </c>
      <c r="EX132" s="9">
        <f t="shared" si="294"/>
        <v>1</v>
      </c>
      <c r="EY132" s="9">
        <f t="shared" si="294"/>
        <v>1</v>
      </c>
      <c r="EZ132" s="9">
        <f t="shared" si="294"/>
        <v>1</v>
      </c>
      <c r="FA132" s="9">
        <f t="shared" si="294"/>
        <v>1</v>
      </c>
      <c r="FB132" s="9">
        <f t="shared" si="294"/>
        <v>1</v>
      </c>
      <c r="FC132" s="9">
        <f t="shared" si="294"/>
        <v>1</v>
      </c>
      <c r="FD132" s="9">
        <f t="shared" si="294"/>
        <v>1</v>
      </c>
      <c r="FE132" s="9">
        <f t="shared" si="294"/>
        <v>1</v>
      </c>
      <c r="FF132" s="9">
        <f t="shared" si="294"/>
        <v>1</v>
      </c>
      <c r="FG132" s="9" t="str">
        <f t="shared" si="294"/>
        <v/>
      </c>
      <c r="FH132" s="9" t="str">
        <f t="shared" si="294"/>
        <v/>
      </c>
      <c r="FI132" s="9" t="str">
        <f t="shared" si="294"/>
        <v/>
      </c>
      <c r="FJ132" s="9" t="str">
        <f t="shared" si="294"/>
        <v/>
      </c>
      <c r="FK132" s="9" t="str">
        <f t="shared" si="294"/>
        <v/>
      </c>
      <c r="FL132" s="9" t="str">
        <f t="shared" si="294"/>
        <v/>
      </c>
      <c r="FM132" s="9" t="str">
        <f t="shared" si="294"/>
        <v/>
      </c>
      <c r="FN132" s="9" t="str">
        <f t="shared" si="294"/>
        <v/>
      </c>
      <c r="FO132" s="9" t="str">
        <f t="shared" si="294"/>
        <v/>
      </c>
      <c r="FP132" s="9" t="str">
        <f t="shared" si="294"/>
        <v/>
      </c>
      <c r="FQ132" s="9" t="str">
        <f t="shared" si="294"/>
        <v/>
      </c>
      <c r="FR132" s="9" t="str">
        <f t="shared" si="294"/>
        <v/>
      </c>
      <c r="FS132" s="9" t="str">
        <f t="shared" si="294"/>
        <v/>
      </c>
      <c r="FT132" s="9" t="str">
        <f t="shared" si="294"/>
        <v/>
      </c>
      <c r="FU132" s="9" t="str">
        <f t="shared" si="294"/>
        <v/>
      </c>
      <c r="FV132" s="9" t="str">
        <f t="shared" si="294"/>
        <v/>
      </c>
      <c r="FW132" s="9" t="str">
        <f t="shared" si="294"/>
        <v/>
      </c>
      <c r="FX132" s="9" t="str">
        <f t="shared" si="294"/>
        <v/>
      </c>
      <c r="FY132" s="9" t="str">
        <f t="shared" si="294"/>
        <v/>
      </c>
      <c r="FZ132" s="9" t="str">
        <f t="shared" si="294"/>
        <v/>
      </c>
      <c r="GA132" s="9" t="str">
        <f t="shared" si="294"/>
        <v/>
      </c>
      <c r="GB132" s="9" t="str">
        <f t="shared" si="294"/>
        <v/>
      </c>
      <c r="GC132" s="9" t="str">
        <f t="shared" si="294"/>
        <v/>
      </c>
      <c r="GD132" s="9" t="str">
        <f t="shared" si="294"/>
        <v/>
      </c>
      <c r="GE132" s="9" t="str">
        <f t="shared" si="294"/>
        <v/>
      </c>
      <c r="GF132" s="9" t="str">
        <f t="shared" si="294"/>
        <v/>
      </c>
      <c r="GG132" s="9" t="str">
        <f t="shared" si="294"/>
        <v/>
      </c>
      <c r="GH132" s="9" t="str">
        <f t="shared" si="294"/>
        <v/>
      </c>
      <c r="GI132" s="9" t="str">
        <f t="shared" si="294"/>
        <v/>
      </c>
      <c r="GJ132" s="9" t="str">
        <f t="shared" si="294"/>
        <v/>
      </c>
      <c r="GK132" s="9" t="str">
        <f t="shared" si="294"/>
        <v/>
      </c>
      <c r="GL132" s="9" t="str">
        <f t="shared" si="294"/>
        <v/>
      </c>
      <c r="GM132" s="9" t="str">
        <f t="shared" si="294"/>
        <v/>
      </c>
      <c r="GN132" s="9" t="str">
        <f t="shared" si="294"/>
        <v/>
      </c>
      <c r="GO132" s="9" t="str">
        <f t="shared" si="294"/>
        <v/>
      </c>
      <c r="GP132" s="9" t="str">
        <f t="shared" si="294"/>
        <v/>
      </c>
      <c r="GQ132" s="9" t="str">
        <f t="shared" ref="GQ132:IV132" si="295">IF(OR(GR40 = "", GR$8 &lt; GQ$8), "", 1)</f>
        <v/>
      </c>
      <c r="GR132" s="9" t="str">
        <f t="shared" si="295"/>
        <v/>
      </c>
      <c r="GS132" s="9" t="str">
        <f t="shared" si="295"/>
        <v/>
      </c>
      <c r="GT132" s="9" t="str">
        <f t="shared" si="295"/>
        <v/>
      </c>
      <c r="GU132" s="9" t="str">
        <f t="shared" si="295"/>
        <v/>
      </c>
      <c r="GV132" s="9" t="str">
        <f t="shared" si="295"/>
        <v/>
      </c>
      <c r="GW132" s="9" t="str">
        <f t="shared" si="295"/>
        <v/>
      </c>
      <c r="GX132" s="9" t="str">
        <f t="shared" si="295"/>
        <v/>
      </c>
      <c r="GY132" s="9" t="str">
        <f t="shared" si="295"/>
        <v/>
      </c>
      <c r="GZ132" s="9" t="str">
        <f t="shared" si="295"/>
        <v/>
      </c>
      <c r="HA132" s="9" t="str">
        <f t="shared" si="295"/>
        <v/>
      </c>
      <c r="HB132" s="9" t="str">
        <f t="shared" si="295"/>
        <v/>
      </c>
      <c r="HC132" s="9" t="str">
        <f t="shared" si="295"/>
        <v/>
      </c>
      <c r="HD132" s="9" t="str">
        <f t="shared" si="295"/>
        <v/>
      </c>
      <c r="HE132" s="9" t="str">
        <f t="shared" si="295"/>
        <v/>
      </c>
      <c r="HF132" s="9" t="str">
        <f t="shared" si="295"/>
        <v/>
      </c>
      <c r="HG132" s="9" t="str">
        <f t="shared" si="295"/>
        <v/>
      </c>
      <c r="HH132" s="9" t="str">
        <f t="shared" si="295"/>
        <v/>
      </c>
      <c r="HI132" s="9" t="str">
        <f t="shared" si="295"/>
        <v/>
      </c>
      <c r="HJ132" s="9" t="str">
        <f t="shared" si="295"/>
        <v/>
      </c>
      <c r="HK132" s="9" t="str">
        <f t="shared" si="295"/>
        <v/>
      </c>
      <c r="HL132" s="9" t="str">
        <f t="shared" si="295"/>
        <v/>
      </c>
      <c r="HM132" s="9" t="str">
        <f t="shared" si="295"/>
        <v/>
      </c>
      <c r="HN132" s="9" t="str">
        <f t="shared" si="295"/>
        <v/>
      </c>
      <c r="HO132" s="9" t="str">
        <f t="shared" si="295"/>
        <v/>
      </c>
      <c r="HP132" s="9" t="str">
        <f t="shared" si="295"/>
        <v/>
      </c>
      <c r="HQ132" s="9" t="str">
        <f t="shared" si="295"/>
        <v/>
      </c>
      <c r="HR132" s="9" t="str">
        <f t="shared" si="295"/>
        <v/>
      </c>
      <c r="HS132" s="9" t="str">
        <f t="shared" si="295"/>
        <v/>
      </c>
      <c r="HT132" s="9" t="str">
        <f t="shared" si="295"/>
        <v/>
      </c>
      <c r="HU132" s="9" t="str">
        <f t="shared" si="295"/>
        <v/>
      </c>
      <c r="HV132" s="9" t="str">
        <f t="shared" si="295"/>
        <v/>
      </c>
      <c r="HW132" s="9" t="str">
        <f t="shared" si="295"/>
        <v/>
      </c>
      <c r="HX132" s="9" t="str">
        <f t="shared" si="295"/>
        <v/>
      </c>
      <c r="HY132" s="9" t="str">
        <f t="shared" si="295"/>
        <v/>
      </c>
      <c r="HZ132" s="9" t="str">
        <f t="shared" si="295"/>
        <v/>
      </c>
      <c r="IA132" s="9" t="str">
        <f t="shared" si="295"/>
        <v/>
      </c>
      <c r="IB132" s="9" t="str">
        <f t="shared" si="295"/>
        <v/>
      </c>
      <c r="IC132" s="9" t="str">
        <f t="shared" si="295"/>
        <v/>
      </c>
      <c r="ID132" s="9" t="str">
        <f t="shared" si="295"/>
        <v/>
      </c>
      <c r="IE132" s="9" t="str">
        <f t="shared" si="295"/>
        <v/>
      </c>
      <c r="IF132" s="9" t="str">
        <f t="shared" si="295"/>
        <v/>
      </c>
      <c r="IG132" s="9" t="str">
        <f t="shared" si="295"/>
        <v/>
      </c>
      <c r="IH132" s="9" t="str">
        <f t="shared" si="295"/>
        <v/>
      </c>
      <c r="II132" s="9" t="str">
        <f t="shared" si="295"/>
        <v/>
      </c>
      <c r="IJ132" s="9" t="str">
        <f t="shared" si="295"/>
        <v/>
      </c>
      <c r="IK132" s="9" t="str">
        <f t="shared" si="295"/>
        <v/>
      </c>
      <c r="IL132" s="9" t="str">
        <f t="shared" si="295"/>
        <v/>
      </c>
      <c r="IM132" s="9" t="str">
        <f t="shared" si="295"/>
        <v/>
      </c>
      <c r="IN132" s="9" t="str">
        <f t="shared" si="295"/>
        <v/>
      </c>
      <c r="IO132" s="9" t="str">
        <f t="shared" si="295"/>
        <v/>
      </c>
      <c r="IP132" s="9" t="str">
        <f t="shared" si="295"/>
        <v/>
      </c>
      <c r="IQ132" s="9" t="str">
        <f t="shared" si="295"/>
        <v/>
      </c>
      <c r="IR132" s="9" t="str">
        <f t="shared" si="295"/>
        <v/>
      </c>
      <c r="IS132" s="9" t="str">
        <f t="shared" si="295"/>
        <v/>
      </c>
      <c r="IT132" s="9" t="str">
        <f t="shared" si="295"/>
        <v/>
      </c>
      <c r="IU132" s="9" t="str">
        <f t="shared" si="295"/>
        <v/>
      </c>
      <c r="IV132" s="9" t="str">
        <f t="shared" si="295"/>
        <v/>
      </c>
    </row>
    <row r="133" spans="6:256" x14ac:dyDescent="0.2">
      <c r="F133">
        <v>202203</v>
      </c>
      <c r="G133" s="9">
        <f t="shared" ref="G133:BR133" si="296">IF(OR(H41 = "", H$8 &lt; G$8), "", 1)</f>
        <v>1</v>
      </c>
      <c r="H133" s="9">
        <f t="shared" si="296"/>
        <v>1</v>
      </c>
      <c r="I133" s="9">
        <f t="shared" si="296"/>
        <v>1</v>
      </c>
      <c r="J133" s="9">
        <f t="shared" si="296"/>
        <v>1</v>
      </c>
      <c r="K133" s="9">
        <f t="shared" si="296"/>
        <v>1</v>
      </c>
      <c r="L133" s="9">
        <f t="shared" si="296"/>
        <v>1</v>
      </c>
      <c r="M133" s="9">
        <f t="shared" si="296"/>
        <v>1</v>
      </c>
      <c r="N133" s="9">
        <f t="shared" si="296"/>
        <v>1</v>
      </c>
      <c r="O133" s="9">
        <f t="shared" si="296"/>
        <v>1</v>
      </c>
      <c r="P133" s="9">
        <f t="shared" si="296"/>
        <v>1</v>
      </c>
      <c r="Q133" s="9">
        <f t="shared" si="296"/>
        <v>1</v>
      </c>
      <c r="R133" s="9">
        <f t="shared" si="296"/>
        <v>1</v>
      </c>
      <c r="S133" s="9">
        <f t="shared" si="296"/>
        <v>1</v>
      </c>
      <c r="T133" s="9">
        <f t="shared" si="296"/>
        <v>1</v>
      </c>
      <c r="U133" s="9">
        <f t="shared" si="296"/>
        <v>1</v>
      </c>
      <c r="V133" s="9">
        <f t="shared" si="296"/>
        <v>1</v>
      </c>
      <c r="W133" s="9">
        <f t="shared" si="296"/>
        <v>1</v>
      </c>
      <c r="X133" s="9">
        <f t="shared" si="296"/>
        <v>1</v>
      </c>
      <c r="Y133" s="9">
        <f t="shared" si="296"/>
        <v>1</v>
      </c>
      <c r="Z133" s="9">
        <f t="shared" si="296"/>
        <v>1</v>
      </c>
      <c r="AA133" s="9">
        <f t="shared" si="296"/>
        <v>1</v>
      </c>
      <c r="AB133" s="9">
        <f t="shared" si="296"/>
        <v>1</v>
      </c>
      <c r="AC133" s="9">
        <f t="shared" si="296"/>
        <v>1</v>
      </c>
      <c r="AD133" s="9">
        <f t="shared" si="296"/>
        <v>1</v>
      </c>
      <c r="AE133" s="9">
        <f t="shared" si="296"/>
        <v>1</v>
      </c>
      <c r="AF133" s="9">
        <f t="shared" si="296"/>
        <v>1</v>
      </c>
      <c r="AG133" s="9">
        <f t="shared" si="296"/>
        <v>1</v>
      </c>
      <c r="AH133" s="9">
        <f t="shared" si="296"/>
        <v>1</v>
      </c>
      <c r="AI133" s="9" t="str">
        <f t="shared" si="296"/>
        <v/>
      </c>
      <c r="AJ133" s="9" t="str">
        <f t="shared" si="296"/>
        <v/>
      </c>
      <c r="AK133" s="9" t="str">
        <f t="shared" si="296"/>
        <v/>
      </c>
      <c r="AL133" s="9" t="str">
        <f t="shared" si="296"/>
        <v/>
      </c>
      <c r="AM133" s="9" t="str">
        <f t="shared" si="296"/>
        <v/>
      </c>
      <c r="AN133" s="9" t="str">
        <f t="shared" si="296"/>
        <v/>
      </c>
      <c r="AO133" s="9" t="str">
        <f t="shared" si="296"/>
        <v/>
      </c>
      <c r="AP133" s="9" t="str">
        <f t="shared" si="296"/>
        <v/>
      </c>
      <c r="AQ133" s="9" t="str">
        <f t="shared" si="296"/>
        <v/>
      </c>
      <c r="AR133" s="9" t="str">
        <f t="shared" si="296"/>
        <v/>
      </c>
      <c r="AS133" s="9" t="str">
        <f t="shared" si="296"/>
        <v/>
      </c>
      <c r="AT133" s="9" t="str">
        <f t="shared" si="296"/>
        <v/>
      </c>
      <c r="AU133" s="9" t="str">
        <f t="shared" si="296"/>
        <v/>
      </c>
      <c r="AV133" s="9" t="str">
        <f t="shared" si="296"/>
        <v/>
      </c>
      <c r="AW133" s="9" t="str">
        <f t="shared" si="296"/>
        <v/>
      </c>
      <c r="AX133" s="9" t="str">
        <f t="shared" si="296"/>
        <v/>
      </c>
      <c r="AY133" s="9" t="str">
        <f t="shared" si="296"/>
        <v/>
      </c>
      <c r="AZ133" s="9" t="str">
        <f t="shared" si="296"/>
        <v/>
      </c>
      <c r="BA133" s="9" t="str">
        <f t="shared" si="296"/>
        <v/>
      </c>
      <c r="BB133" s="9" t="str">
        <f t="shared" si="296"/>
        <v/>
      </c>
      <c r="BC133" s="9" t="str">
        <f t="shared" si="296"/>
        <v/>
      </c>
      <c r="BD133" s="9" t="str">
        <f t="shared" si="296"/>
        <v/>
      </c>
      <c r="BE133" s="9" t="str">
        <f t="shared" si="296"/>
        <v/>
      </c>
      <c r="BF133" s="9" t="str">
        <f t="shared" si="296"/>
        <v/>
      </c>
      <c r="BG133" s="9" t="str">
        <f t="shared" si="296"/>
        <v/>
      </c>
      <c r="BH133" s="9" t="str">
        <f t="shared" si="296"/>
        <v/>
      </c>
      <c r="BI133" s="9" t="str">
        <f t="shared" si="296"/>
        <v/>
      </c>
      <c r="BJ133" s="9" t="str">
        <f t="shared" si="296"/>
        <v/>
      </c>
      <c r="BK133" s="9" t="str">
        <f t="shared" si="296"/>
        <v/>
      </c>
      <c r="BL133" s="9" t="str">
        <f t="shared" si="296"/>
        <v/>
      </c>
      <c r="BM133" s="9" t="str">
        <f t="shared" si="296"/>
        <v/>
      </c>
      <c r="BN133" s="9" t="str">
        <f t="shared" si="296"/>
        <v/>
      </c>
      <c r="BO133" s="9" t="str">
        <f t="shared" si="296"/>
        <v/>
      </c>
      <c r="BP133" s="9" t="str">
        <f t="shared" si="296"/>
        <v/>
      </c>
      <c r="BQ133" s="9" t="str">
        <f t="shared" si="296"/>
        <v/>
      </c>
      <c r="BR133" s="9" t="str">
        <f t="shared" si="296"/>
        <v/>
      </c>
      <c r="BS133" s="9" t="str">
        <f t="shared" ref="BS133:ED133" si="297">IF(OR(BT41 = "", BT$8 &lt; BS$8), "", 1)</f>
        <v/>
      </c>
      <c r="BT133" s="9" t="str">
        <f t="shared" si="297"/>
        <v/>
      </c>
      <c r="BU133" s="9" t="str">
        <f t="shared" si="297"/>
        <v/>
      </c>
      <c r="BV133" s="9" t="str">
        <f t="shared" si="297"/>
        <v/>
      </c>
      <c r="BW133" s="9" t="str">
        <f t="shared" si="297"/>
        <v/>
      </c>
      <c r="BX133" s="9" t="str">
        <f t="shared" si="297"/>
        <v/>
      </c>
      <c r="BY133" s="9" t="str">
        <f t="shared" si="297"/>
        <v/>
      </c>
      <c r="BZ133" s="9" t="str">
        <f t="shared" si="297"/>
        <v/>
      </c>
      <c r="CA133" s="9" t="str">
        <f t="shared" si="297"/>
        <v/>
      </c>
      <c r="CB133" s="9" t="str">
        <f t="shared" si="297"/>
        <v/>
      </c>
      <c r="CC133" s="9" t="str">
        <f t="shared" si="297"/>
        <v/>
      </c>
      <c r="CD133" s="9" t="str">
        <f t="shared" si="297"/>
        <v/>
      </c>
      <c r="CE133" s="9" t="str">
        <f t="shared" si="297"/>
        <v/>
      </c>
      <c r="CF133" s="9" t="str">
        <f t="shared" si="297"/>
        <v/>
      </c>
      <c r="CG133" s="9" t="str">
        <f t="shared" si="297"/>
        <v/>
      </c>
      <c r="CH133" s="9" t="str">
        <f t="shared" si="297"/>
        <v/>
      </c>
      <c r="CI133" s="9" t="str">
        <f t="shared" si="297"/>
        <v/>
      </c>
      <c r="CJ133" s="9" t="str">
        <f t="shared" si="297"/>
        <v/>
      </c>
      <c r="CK133" s="9" t="str">
        <f t="shared" si="297"/>
        <v/>
      </c>
      <c r="CL133" s="9" t="str">
        <f t="shared" si="297"/>
        <v/>
      </c>
      <c r="CM133" s="9" t="str">
        <f t="shared" si="297"/>
        <v/>
      </c>
      <c r="CN133" s="9" t="str">
        <f t="shared" si="297"/>
        <v/>
      </c>
      <c r="CO133" s="9" t="str">
        <f t="shared" si="297"/>
        <v/>
      </c>
      <c r="CP133" s="9" t="str">
        <f t="shared" si="297"/>
        <v/>
      </c>
      <c r="CQ133" s="9" t="str">
        <f t="shared" si="297"/>
        <v/>
      </c>
      <c r="CR133" s="9" t="str">
        <f t="shared" si="297"/>
        <v/>
      </c>
      <c r="CS133" s="9" t="str">
        <f t="shared" si="297"/>
        <v/>
      </c>
      <c r="CT133" s="9" t="str">
        <f t="shared" si="297"/>
        <v/>
      </c>
      <c r="CU133" s="9" t="str">
        <f t="shared" si="297"/>
        <v/>
      </c>
      <c r="CV133" s="9" t="str">
        <f t="shared" si="297"/>
        <v/>
      </c>
      <c r="CW133" s="9" t="str">
        <f t="shared" si="297"/>
        <v/>
      </c>
      <c r="CX133" s="9" t="str">
        <f t="shared" si="297"/>
        <v/>
      </c>
      <c r="CY133" s="9" t="str">
        <f t="shared" si="297"/>
        <v/>
      </c>
      <c r="CZ133" s="9" t="str">
        <f t="shared" si="297"/>
        <v/>
      </c>
      <c r="DA133" s="9" t="str">
        <f t="shared" si="297"/>
        <v/>
      </c>
      <c r="DB133" s="9" t="str">
        <f t="shared" si="297"/>
        <v/>
      </c>
      <c r="DC133" s="9" t="str">
        <f t="shared" si="297"/>
        <v/>
      </c>
      <c r="DD133" s="9" t="str">
        <f t="shared" si="297"/>
        <v/>
      </c>
      <c r="DE133" s="9" t="str">
        <f t="shared" si="297"/>
        <v/>
      </c>
      <c r="DF133" s="9" t="str">
        <f t="shared" si="297"/>
        <v/>
      </c>
      <c r="DG133" s="9" t="str">
        <f t="shared" si="297"/>
        <v/>
      </c>
      <c r="DH133" s="9" t="str">
        <f t="shared" si="297"/>
        <v/>
      </c>
      <c r="DI133" s="9" t="str">
        <f t="shared" si="297"/>
        <v/>
      </c>
      <c r="DJ133" s="9" t="str">
        <f t="shared" si="297"/>
        <v/>
      </c>
      <c r="DK133" s="9" t="str">
        <f t="shared" si="297"/>
        <v/>
      </c>
      <c r="DL133" s="9" t="str">
        <f t="shared" si="297"/>
        <v/>
      </c>
      <c r="DM133" s="9" t="str">
        <f t="shared" si="297"/>
        <v/>
      </c>
      <c r="DN133" s="9" t="str">
        <f t="shared" si="297"/>
        <v/>
      </c>
      <c r="DO133" s="9" t="str">
        <f t="shared" si="297"/>
        <v/>
      </c>
      <c r="DP133" s="9" t="str">
        <f t="shared" si="297"/>
        <v/>
      </c>
      <c r="DQ133" s="9" t="str">
        <f t="shared" si="297"/>
        <v/>
      </c>
      <c r="DR133" s="9" t="str">
        <f t="shared" si="297"/>
        <v/>
      </c>
      <c r="DS133" s="9" t="str">
        <f t="shared" si="297"/>
        <v/>
      </c>
      <c r="DT133" s="9" t="str">
        <f t="shared" si="297"/>
        <v/>
      </c>
      <c r="DU133" s="9" t="str">
        <f t="shared" si="297"/>
        <v/>
      </c>
      <c r="DV133" s="9" t="str">
        <f t="shared" si="297"/>
        <v/>
      </c>
      <c r="DW133" s="9" t="str">
        <f t="shared" si="297"/>
        <v/>
      </c>
      <c r="DX133" s="9" t="str">
        <f t="shared" si="297"/>
        <v/>
      </c>
      <c r="DY133" s="9" t="str">
        <f t="shared" si="297"/>
        <v/>
      </c>
      <c r="DZ133" s="9" t="str">
        <f t="shared" si="297"/>
        <v/>
      </c>
      <c r="EA133" s="9" t="str">
        <f t="shared" si="297"/>
        <v/>
      </c>
      <c r="EB133" s="9">
        <f t="shared" si="297"/>
        <v>1</v>
      </c>
      <c r="EC133" s="9">
        <f t="shared" si="297"/>
        <v>1</v>
      </c>
      <c r="ED133" s="9">
        <f t="shared" si="297"/>
        <v>1</v>
      </c>
      <c r="EE133" s="9">
        <f t="shared" ref="EE133:GP133" si="298">IF(OR(EF41 = "", EF$8 &lt; EE$8), "", 1)</f>
        <v>1</v>
      </c>
      <c r="EF133" s="9">
        <f t="shared" si="298"/>
        <v>1</v>
      </c>
      <c r="EG133" s="9">
        <f t="shared" si="298"/>
        <v>1</v>
      </c>
      <c r="EH133" s="9">
        <f t="shared" si="298"/>
        <v>1</v>
      </c>
      <c r="EI133" s="9">
        <f t="shared" si="298"/>
        <v>1</v>
      </c>
      <c r="EJ133" s="9">
        <f t="shared" si="298"/>
        <v>1</v>
      </c>
      <c r="EK133" s="9">
        <f t="shared" si="298"/>
        <v>1</v>
      </c>
      <c r="EL133" s="9">
        <f t="shared" si="298"/>
        <v>1</v>
      </c>
      <c r="EM133" s="9">
        <f t="shared" si="298"/>
        <v>1</v>
      </c>
      <c r="EN133" s="9">
        <f t="shared" si="298"/>
        <v>1</v>
      </c>
      <c r="EO133" s="9">
        <f t="shared" si="298"/>
        <v>1</v>
      </c>
      <c r="EP133" s="9">
        <f t="shared" si="298"/>
        <v>1</v>
      </c>
      <c r="EQ133" s="9">
        <f t="shared" si="298"/>
        <v>1</v>
      </c>
      <c r="ER133" s="9">
        <f t="shared" si="298"/>
        <v>1</v>
      </c>
      <c r="ES133" s="9">
        <f t="shared" si="298"/>
        <v>1</v>
      </c>
      <c r="ET133" s="9">
        <f t="shared" si="298"/>
        <v>1</v>
      </c>
      <c r="EU133" s="9">
        <f t="shared" si="298"/>
        <v>1</v>
      </c>
      <c r="EV133" s="9">
        <f t="shared" si="298"/>
        <v>1</v>
      </c>
      <c r="EW133" s="9">
        <f t="shared" si="298"/>
        <v>1</v>
      </c>
      <c r="EX133" s="9">
        <f t="shared" si="298"/>
        <v>1</v>
      </c>
      <c r="EY133" s="9">
        <f t="shared" si="298"/>
        <v>1</v>
      </c>
      <c r="EZ133" s="9">
        <f t="shared" si="298"/>
        <v>1</v>
      </c>
      <c r="FA133" s="9">
        <f t="shared" si="298"/>
        <v>1</v>
      </c>
      <c r="FB133" s="9">
        <f t="shared" si="298"/>
        <v>1</v>
      </c>
      <c r="FC133" s="9">
        <f t="shared" si="298"/>
        <v>1</v>
      </c>
      <c r="FD133" s="9" t="str">
        <f t="shared" si="298"/>
        <v/>
      </c>
      <c r="FE133" s="9" t="str">
        <f t="shared" si="298"/>
        <v/>
      </c>
      <c r="FF133" s="9" t="str">
        <f t="shared" si="298"/>
        <v/>
      </c>
      <c r="FG133" s="9" t="str">
        <f t="shared" si="298"/>
        <v/>
      </c>
      <c r="FH133" s="9" t="str">
        <f t="shared" si="298"/>
        <v/>
      </c>
      <c r="FI133" s="9" t="str">
        <f t="shared" si="298"/>
        <v/>
      </c>
      <c r="FJ133" s="9" t="str">
        <f t="shared" si="298"/>
        <v/>
      </c>
      <c r="FK133" s="9" t="str">
        <f t="shared" si="298"/>
        <v/>
      </c>
      <c r="FL133" s="9" t="str">
        <f t="shared" si="298"/>
        <v/>
      </c>
      <c r="FM133" s="9" t="str">
        <f t="shared" si="298"/>
        <v/>
      </c>
      <c r="FN133" s="9" t="str">
        <f t="shared" si="298"/>
        <v/>
      </c>
      <c r="FO133" s="9" t="str">
        <f t="shared" si="298"/>
        <v/>
      </c>
      <c r="FP133" s="9" t="str">
        <f t="shared" si="298"/>
        <v/>
      </c>
      <c r="FQ133" s="9" t="str">
        <f t="shared" si="298"/>
        <v/>
      </c>
      <c r="FR133" s="9" t="str">
        <f t="shared" si="298"/>
        <v/>
      </c>
      <c r="FS133" s="9" t="str">
        <f t="shared" si="298"/>
        <v/>
      </c>
      <c r="FT133" s="9" t="str">
        <f t="shared" si="298"/>
        <v/>
      </c>
      <c r="FU133" s="9" t="str">
        <f t="shared" si="298"/>
        <v/>
      </c>
      <c r="FV133" s="9" t="str">
        <f t="shared" si="298"/>
        <v/>
      </c>
      <c r="FW133" s="9" t="str">
        <f t="shared" si="298"/>
        <v/>
      </c>
      <c r="FX133" s="9" t="str">
        <f t="shared" si="298"/>
        <v/>
      </c>
      <c r="FY133" s="9" t="str">
        <f t="shared" si="298"/>
        <v/>
      </c>
      <c r="FZ133" s="9" t="str">
        <f t="shared" si="298"/>
        <v/>
      </c>
      <c r="GA133" s="9" t="str">
        <f t="shared" si="298"/>
        <v/>
      </c>
      <c r="GB133" s="9" t="str">
        <f t="shared" si="298"/>
        <v/>
      </c>
      <c r="GC133" s="9" t="str">
        <f t="shared" si="298"/>
        <v/>
      </c>
      <c r="GD133" s="9" t="str">
        <f t="shared" si="298"/>
        <v/>
      </c>
      <c r="GE133" s="9" t="str">
        <f t="shared" si="298"/>
        <v/>
      </c>
      <c r="GF133" s="9" t="str">
        <f t="shared" si="298"/>
        <v/>
      </c>
      <c r="GG133" s="9" t="str">
        <f t="shared" si="298"/>
        <v/>
      </c>
      <c r="GH133" s="9" t="str">
        <f t="shared" si="298"/>
        <v/>
      </c>
      <c r="GI133" s="9" t="str">
        <f t="shared" si="298"/>
        <v/>
      </c>
      <c r="GJ133" s="9" t="str">
        <f t="shared" si="298"/>
        <v/>
      </c>
      <c r="GK133" s="9" t="str">
        <f t="shared" si="298"/>
        <v/>
      </c>
      <c r="GL133" s="9" t="str">
        <f t="shared" si="298"/>
        <v/>
      </c>
      <c r="GM133" s="9" t="str">
        <f t="shared" si="298"/>
        <v/>
      </c>
      <c r="GN133" s="9" t="str">
        <f t="shared" si="298"/>
        <v/>
      </c>
      <c r="GO133" s="9" t="str">
        <f t="shared" si="298"/>
        <v/>
      </c>
      <c r="GP133" s="9" t="str">
        <f t="shared" si="298"/>
        <v/>
      </c>
      <c r="GQ133" s="9" t="str">
        <f t="shared" ref="GQ133:IV133" si="299">IF(OR(GR41 = "", GR$8 &lt; GQ$8), "", 1)</f>
        <v/>
      </c>
      <c r="GR133" s="9" t="str">
        <f t="shared" si="299"/>
        <v/>
      </c>
      <c r="GS133" s="9" t="str">
        <f t="shared" si="299"/>
        <v/>
      </c>
      <c r="GT133" s="9" t="str">
        <f t="shared" si="299"/>
        <v/>
      </c>
      <c r="GU133" s="9" t="str">
        <f t="shared" si="299"/>
        <v/>
      </c>
      <c r="GV133" s="9" t="str">
        <f t="shared" si="299"/>
        <v/>
      </c>
      <c r="GW133" s="9" t="str">
        <f t="shared" si="299"/>
        <v/>
      </c>
      <c r="GX133" s="9" t="str">
        <f t="shared" si="299"/>
        <v/>
      </c>
      <c r="GY133" s="9" t="str">
        <f t="shared" si="299"/>
        <v/>
      </c>
      <c r="GZ133" s="9" t="str">
        <f t="shared" si="299"/>
        <v/>
      </c>
      <c r="HA133" s="9" t="str">
        <f t="shared" si="299"/>
        <v/>
      </c>
      <c r="HB133" s="9" t="str">
        <f t="shared" si="299"/>
        <v/>
      </c>
      <c r="HC133" s="9" t="str">
        <f t="shared" si="299"/>
        <v/>
      </c>
      <c r="HD133" s="9" t="str">
        <f t="shared" si="299"/>
        <v/>
      </c>
      <c r="HE133" s="9" t="str">
        <f t="shared" si="299"/>
        <v/>
      </c>
      <c r="HF133" s="9" t="str">
        <f t="shared" si="299"/>
        <v/>
      </c>
      <c r="HG133" s="9" t="str">
        <f t="shared" si="299"/>
        <v/>
      </c>
      <c r="HH133" s="9" t="str">
        <f t="shared" si="299"/>
        <v/>
      </c>
      <c r="HI133" s="9" t="str">
        <f t="shared" si="299"/>
        <v/>
      </c>
      <c r="HJ133" s="9" t="str">
        <f t="shared" si="299"/>
        <v/>
      </c>
      <c r="HK133" s="9" t="str">
        <f t="shared" si="299"/>
        <v/>
      </c>
      <c r="HL133" s="9" t="str">
        <f t="shared" si="299"/>
        <v/>
      </c>
      <c r="HM133" s="9" t="str">
        <f t="shared" si="299"/>
        <v/>
      </c>
      <c r="HN133" s="9" t="str">
        <f t="shared" si="299"/>
        <v/>
      </c>
      <c r="HO133" s="9" t="str">
        <f t="shared" si="299"/>
        <v/>
      </c>
      <c r="HP133" s="9" t="str">
        <f t="shared" si="299"/>
        <v/>
      </c>
      <c r="HQ133" s="9" t="str">
        <f t="shared" si="299"/>
        <v/>
      </c>
      <c r="HR133" s="9" t="str">
        <f t="shared" si="299"/>
        <v/>
      </c>
      <c r="HS133" s="9" t="str">
        <f t="shared" si="299"/>
        <v/>
      </c>
      <c r="HT133" s="9" t="str">
        <f t="shared" si="299"/>
        <v/>
      </c>
      <c r="HU133" s="9" t="str">
        <f t="shared" si="299"/>
        <v/>
      </c>
      <c r="HV133" s="9" t="str">
        <f t="shared" si="299"/>
        <v/>
      </c>
      <c r="HW133" s="9" t="str">
        <f t="shared" si="299"/>
        <v/>
      </c>
      <c r="HX133" s="9" t="str">
        <f t="shared" si="299"/>
        <v/>
      </c>
      <c r="HY133" s="9" t="str">
        <f t="shared" si="299"/>
        <v/>
      </c>
      <c r="HZ133" s="9" t="str">
        <f t="shared" si="299"/>
        <v/>
      </c>
      <c r="IA133" s="9" t="str">
        <f t="shared" si="299"/>
        <v/>
      </c>
      <c r="IB133" s="9" t="str">
        <f t="shared" si="299"/>
        <v/>
      </c>
      <c r="IC133" s="9" t="str">
        <f t="shared" si="299"/>
        <v/>
      </c>
      <c r="ID133" s="9" t="str">
        <f t="shared" si="299"/>
        <v/>
      </c>
      <c r="IE133" s="9" t="str">
        <f t="shared" si="299"/>
        <v/>
      </c>
      <c r="IF133" s="9" t="str">
        <f t="shared" si="299"/>
        <v/>
      </c>
      <c r="IG133" s="9" t="str">
        <f t="shared" si="299"/>
        <v/>
      </c>
      <c r="IH133" s="9" t="str">
        <f t="shared" si="299"/>
        <v/>
      </c>
      <c r="II133" s="9" t="str">
        <f t="shared" si="299"/>
        <v/>
      </c>
      <c r="IJ133" s="9" t="str">
        <f t="shared" si="299"/>
        <v/>
      </c>
      <c r="IK133" s="9" t="str">
        <f t="shared" si="299"/>
        <v/>
      </c>
      <c r="IL133" s="9" t="str">
        <f t="shared" si="299"/>
        <v/>
      </c>
      <c r="IM133" s="9" t="str">
        <f t="shared" si="299"/>
        <v/>
      </c>
      <c r="IN133" s="9" t="str">
        <f t="shared" si="299"/>
        <v/>
      </c>
      <c r="IO133" s="9" t="str">
        <f t="shared" si="299"/>
        <v/>
      </c>
      <c r="IP133" s="9" t="str">
        <f t="shared" si="299"/>
        <v/>
      </c>
      <c r="IQ133" s="9" t="str">
        <f t="shared" si="299"/>
        <v/>
      </c>
      <c r="IR133" s="9" t="str">
        <f t="shared" si="299"/>
        <v/>
      </c>
      <c r="IS133" s="9" t="str">
        <f t="shared" si="299"/>
        <v/>
      </c>
      <c r="IT133" s="9" t="str">
        <f t="shared" si="299"/>
        <v/>
      </c>
      <c r="IU133" s="9" t="str">
        <f t="shared" si="299"/>
        <v/>
      </c>
      <c r="IV133" s="9" t="str">
        <f t="shared" si="299"/>
        <v/>
      </c>
    </row>
    <row r="134" spans="6:256" x14ac:dyDescent="0.2">
      <c r="F134">
        <v>202206</v>
      </c>
      <c r="G134" s="9">
        <f t="shared" ref="G134:BR134" si="300">IF(OR(H42 = "", H$8 &lt; G$8), "", 1)</f>
        <v>1</v>
      </c>
      <c r="H134" s="9">
        <f t="shared" si="300"/>
        <v>1</v>
      </c>
      <c r="I134" s="9">
        <f t="shared" si="300"/>
        <v>1</v>
      </c>
      <c r="J134" s="9">
        <f t="shared" si="300"/>
        <v>1</v>
      </c>
      <c r="K134" s="9">
        <f t="shared" si="300"/>
        <v>1</v>
      </c>
      <c r="L134" s="9">
        <f t="shared" si="300"/>
        <v>1</v>
      </c>
      <c r="M134" s="9">
        <f t="shared" si="300"/>
        <v>1</v>
      </c>
      <c r="N134" s="9">
        <f t="shared" si="300"/>
        <v>1</v>
      </c>
      <c r="O134" s="9">
        <f t="shared" si="300"/>
        <v>1</v>
      </c>
      <c r="P134" s="9">
        <f t="shared" si="300"/>
        <v>1</v>
      </c>
      <c r="Q134" s="9">
        <f t="shared" si="300"/>
        <v>1</v>
      </c>
      <c r="R134" s="9">
        <f t="shared" si="300"/>
        <v>1</v>
      </c>
      <c r="S134" s="9">
        <f t="shared" si="300"/>
        <v>1</v>
      </c>
      <c r="T134" s="9">
        <f t="shared" si="300"/>
        <v>1</v>
      </c>
      <c r="U134" s="9">
        <f t="shared" si="300"/>
        <v>1</v>
      </c>
      <c r="V134" s="9">
        <f t="shared" si="300"/>
        <v>1</v>
      </c>
      <c r="W134" s="9">
        <f t="shared" si="300"/>
        <v>1</v>
      </c>
      <c r="X134" s="9">
        <f t="shared" si="300"/>
        <v>1</v>
      </c>
      <c r="Y134" s="9">
        <f t="shared" si="300"/>
        <v>1</v>
      </c>
      <c r="Z134" s="9">
        <f t="shared" si="300"/>
        <v>1</v>
      </c>
      <c r="AA134" s="9">
        <f t="shared" si="300"/>
        <v>1</v>
      </c>
      <c r="AB134" s="9">
        <f t="shared" si="300"/>
        <v>1</v>
      </c>
      <c r="AC134" s="9">
        <f t="shared" si="300"/>
        <v>1</v>
      </c>
      <c r="AD134" s="9">
        <f t="shared" si="300"/>
        <v>1</v>
      </c>
      <c r="AE134" s="9">
        <f t="shared" si="300"/>
        <v>1</v>
      </c>
      <c r="AF134" s="9" t="str">
        <f t="shared" si="300"/>
        <v/>
      </c>
      <c r="AG134" s="9" t="str">
        <f t="shared" si="300"/>
        <v/>
      </c>
      <c r="AH134" s="9" t="str">
        <f t="shared" si="300"/>
        <v/>
      </c>
      <c r="AI134" s="9" t="str">
        <f t="shared" si="300"/>
        <v/>
      </c>
      <c r="AJ134" s="9" t="str">
        <f t="shared" si="300"/>
        <v/>
      </c>
      <c r="AK134" s="9" t="str">
        <f t="shared" si="300"/>
        <v/>
      </c>
      <c r="AL134" s="9" t="str">
        <f t="shared" si="300"/>
        <v/>
      </c>
      <c r="AM134" s="9" t="str">
        <f t="shared" si="300"/>
        <v/>
      </c>
      <c r="AN134" s="9" t="str">
        <f t="shared" si="300"/>
        <v/>
      </c>
      <c r="AO134" s="9" t="str">
        <f t="shared" si="300"/>
        <v/>
      </c>
      <c r="AP134" s="9" t="str">
        <f t="shared" si="300"/>
        <v/>
      </c>
      <c r="AQ134" s="9" t="str">
        <f t="shared" si="300"/>
        <v/>
      </c>
      <c r="AR134" s="9" t="str">
        <f t="shared" si="300"/>
        <v/>
      </c>
      <c r="AS134" s="9" t="str">
        <f t="shared" si="300"/>
        <v/>
      </c>
      <c r="AT134" s="9" t="str">
        <f t="shared" si="300"/>
        <v/>
      </c>
      <c r="AU134" s="9" t="str">
        <f t="shared" si="300"/>
        <v/>
      </c>
      <c r="AV134" s="9" t="str">
        <f t="shared" si="300"/>
        <v/>
      </c>
      <c r="AW134" s="9" t="str">
        <f t="shared" si="300"/>
        <v/>
      </c>
      <c r="AX134" s="9" t="str">
        <f t="shared" si="300"/>
        <v/>
      </c>
      <c r="AY134" s="9" t="str">
        <f t="shared" si="300"/>
        <v/>
      </c>
      <c r="AZ134" s="9" t="str">
        <f t="shared" si="300"/>
        <v/>
      </c>
      <c r="BA134" s="9" t="str">
        <f t="shared" si="300"/>
        <v/>
      </c>
      <c r="BB134" s="9" t="str">
        <f t="shared" si="300"/>
        <v/>
      </c>
      <c r="BC134" s="9" t="str">
        <f t="shared" si="300"/>
        <v/>
      </c>
      <c r="BD134" s="9" t="str">
        <f t="shared" si="300"/>
        <v/>
      </c>
      <c r="BE134" s="9" t="str">
        <f t="shared" si="300"/>
        <v/>
      </c>
      <c r="BF134" s="9" t="str">
        <f t="shared" si="300"/>
        <v/>
      </c>
      <c r="BG134" s="9" t="str">
        <f t="shared" si="300"/>
        <v/>
      </c>
      <c r="BH134" s="9" t="str">
        <f t="shared" si="300"/>
        <v/>
      </c>
      <c r="BI134" s="9" t="str">
        <f t="shared" si="300"/>
        <v/>
      </c>
      <c r="BJ134" s="9" t="str">
        <f t="shared" si="300"/>
        <v/>
      </c>
      <c r="BK134" s="9" t="str">
        <f t="shared" si="300"/>
        <v/>
      </c>
      <c r="BL134" s="9" t="str">
        <f t="shared" si="300"/>
        <v/>
      </c>
      <c r="BM134" s="9" t="str">
        <f t="shared" si="300"/>
        <v/>
      </c>
      <c r="BN134" s="9" t="str">
        <f t="shared" si="300"/>
        <v/>
      </c>
      <c r="BO134" s="9" t="str">
        <f t="shared" si="300"/>
        <v/>
      </c>
      <c r="BP134" s="9" t="str">
        <f t="shared" si="300"/>
        <v/>
      </c>
      <c r="BQ134" s="9" t="str">
        <f t="shared" si="300"/>
        <v/>
      </c>
      <c r="BR134" s="9" t="str">
        <f t="shared" si="300"/>
        <v/>
      </c>
      <c r="BS134" s="9" t="str">
        <f t="shared" ref="BS134:ED134" si="301">IF(OR(BT42 = "", BT$8 &lt; BS$8), "", 1)</f>
        <v/>
      </c>
      <c r="BT134" s="9" t="str">
        <f t="shared" si="301"/>
        <v/>
      </c>
      <c r="BU134" s="9" t="str">
        <f t="shared" si="301"/>
        <v/>
      </c>
      <c r="BV134" s="9" t="str">
        <f t="shared" si="301"/>
        <v/>
      </c>
      <c r="BW134" s="9" t="str">
        <f t="shared" si="301"/>
        <v/>
      </c>
      <c r="BX134" s="9" t="str">
        <f t="shared" si="301"/>
        <v/>
      </c>
      <c r="BY134" s="9" t="str">
        <f t="shared" si="301"/>
        <v/>
      </c>
      <c r="BZ134" s="9" t="str">
        <f t="shared" si="301"/>
        <v/>
      </c>
      <c r="CA134" s="9" t="str">
        <f t="shared" si="301"/>
        <v/>
      </c>
      <c r="CB134" s="9" t="str">
        <f t="shared" si="301"/>
        <v/>
      </c>
      <c r="CC134" s="9" t="str">
        <f t="shared" si="301"/>
        <v/>
      </c>
      <c r="CD134" s="9" t="str">
        <f t="shared" si="301"/>
        <v/>
      </c>
      <c r="CE134" s="9" t="str">
        <f t="shared" si="301"/>
        <v/>
      </c>
      <c r="CF134" s="9" t="str">
        <f t="shared" si="301"/>
        <v/>
      </c>
      <c r="CG134" s="9" t="str">
        <f t="shared" si="301"/>
        <v/>
      </c>
      <c r="CH134" s="9" t="str">
        <f t="shared" si="301"/>
        <v/>
      </c>
      <c r="CI134" s="9" t="str">
        <f t="shared" si="301"/>
        <v/>
      </c>
      <c r="CJ134" s="9" t="str">
        <f t="shared" si="301"/>
        <v/>
      </c>
      <c r="CK134" s="9" t="str">
        <f t="shared" si="301"/>
        <v/>
      </c>
      <c r="CL134" s="9" t="str">
        <f t="shared" si="301"/>
        <v/>
      </c>
      <c r="CM134" s="9" t="str">
        <f t="shared" si="301"/>
        <v/>
      </c>
      <c r="CN134" s="9" t="str">
        <f t="shared" si="301"/>
        <v/>
      </c>
      <c r="CO134" s="9" t="str">
        <f t="shared" si="301"/>
        <v/>
      </c>
      <c r="CP134" s="9" t="str">
        <f t="shared" si="301"/>
        <v/>
      </c>
      <c r="CQ134" s="9" t="str">
        <f t="shared" si="301"/>
        <v/>
      </c>
      <c r="CR134" s="9" t="str">
        <f t="shared" si="301"/>
        <v/>
      </c>
      <c r="CS134" s="9" t="str">
        <f t="shared" si="301"/>
        <v/>
      </c>
      <c r="CT134" s="9" t="str">
        <f t="shared" si="301"/>
        <v/>
      </c>
      <c r="CU134" s="9" t="str">
        <f t="shared" si="301"/>
        <v/>
      </c>
      <c r="CV134" s="9" t="str">
        <f t="shared" si="301"/>
        <v/>
      </c>
      <c r="CW134" s="9" t="str">
        <f t="shared" si="301"/>
        <v/>
      </c>
      <c r="CX134" s="9" t="str">
        <f t="shared" si="301"/>
        <v/>
      </c>
      <c r="CY134" s="9" t="str">
        <f t="shared" si="301"/>
        <v/>
      </c>
      <c r="CZ134" s="9" t="str">
        <f t="shared" si="301"/>
        <v/>
      </c>
      <c r="DA134" s="9" t="str">
        <f t="shared" si="301"/>
        <v/>
      </c>
      <c r="DB134" s="9" t="str">
        <f t="shared" si="301"/>
        <v/>
      </c>
      <c r="DC134" s="9" t="str">
        <f t="shared" si="301"/>
        <v/>
      </c>
      <c r="DD134" s="9" t="str">
        <f t="shared" si="301"/>
        <v/>
      </c>
      <c r="DE134" s="9" t="str">
        <f t="shared" si="301"/>
        <v/>
      </c>
      <c r="DF134" s="9" t="str">
        <f t="shared" si="301"/>
        <v/>
      </c>
      <c r="DG134" s="9" t="str">
        <f t="shared" si="301"/>
        <v/>
      </c>
      <c r="DH134" s="9" t="str">
        <f t="shared" si="301"/>
        <v/>
      </c>
      <c r="DI134" s="9" t="str">
        <f t="shared" si="301"/>
        <v/>
      </c>
      <c r="DJ134" s="9" t="str">
        <f t="shared" si="301"/>
        <v/>
      </c>
      <c r="DK134" s="9" t="str">
        <f t="shared" si="301"/>
        <v/>
      </c>
      <c r="DL134" s="9" t="str">
        <f t="shared" si="301"/>
        <v/>
      </c>
      <c r="DM134" s="9" t="str">
        <f t="shared" si="301"/>
        <v/>
      </c>
      <c r="DN134" s="9" t="str">
        <f t="shared" si="301"/>
        <v/>
      </c>
      <c r="DO134" s="9" t="str">
        <f t="shared" si="301"/>
        <v/>
      </c>
      <c r="DP134" s="9" t="str">
        <f t="shared" si="301"/>
        <v/>
      </c>
      <c r="DQ134" s="9" t="str">
        <f t="shared" si="301"/>
        <v/>
      </c>
      <c r="DR134" s="9" t="str">
        <f t="shared" si="301"/>
        <v/>
      </c>
      <c r="DS134" s="9" t="str">
        <f t="shared" si="301"/>
        <v/>
      </c>
      <c r="DT134" s="9" t="str">
        <f t="shared" si="301"/>
        <v/>
      </c>
      <c r="DU134" s="9" t="str">
        <f t="shared" si="301"/>
        <v/>
      </c>
      <c r="DV134" s="9" t="str">
        <f t="shared" si="301"/>
        <v/>
      </c>
      <c r="DW134" s="9" t="str">
        <f t="shared" si="301"/>
        <v/>
      </c>
      <c r="DX134" s="9" t="str">
        <f t="shared" si="301"/>
        <v/>
      </c>
      <c r="DY134" s="9" t="str">
        <f t="shared" si="301"/>
        <v/>
      </c>
      <c r="DZ134" s="9" t="str">
        <f t="shared" si="301"/>
        <v/>
      </c>
      <c r="EA134" s="9" t="str">
        <f t="shared" si="301"/>
        <v/>
      </c>
      <c r="EB134" s="9">
        <f t="shared" si="301"/>
        <v>1</v>
      </c>
      <c r="EC134" s="9">
        <f t="shared" si="301"/>
        <v>1</v>
      </c>
      <c r="ED134" s="9">
        <f t="shared" si="301"/>
        <v>1</v>
      </c>
      <c r="EE134" s="9">
        <f t="shared" ref="EE134:GP134" si="302">IF(OR(EF42 = "", EF$8 &lt; EE$8), "", 1)</f>
        <v>1</v>
      </c>
      <c r="EF134" s="9">
        <f t="shared" si="302"/>
        <v>1</v>
      </c>
      <c r="EG134" s="9">
        <f t="shared" si="302"/>
        <v>1</v>
      </c>
      <c r="EH134" s="9">
        <f t="shared" si="302"/>
        <v>1</v>
      </c>
      <c r="EI134" s="9">
        <f t="shared" si="302"/>
        <v>1</v>
      </c>
      <c r="EJ134" s="9">
        <f t="shared" si="302"/>
        <v>1</v>
      </c>
      <c r="EK134" s="9">
        <f t="shared" si="302"/>
        <v>1</v>
      </c>
      <c r="EL134" s="9">
        <f t="shared" si="302"/>
        <v>1</v>
      </c>
      <c r="EM134" s="9">
        <f t="shared" si="302"/>
        <v>1</v>
      </c>
      <c r="EN134" s="9">
        <f t="shared" si="302"/>
        <v>1</v>
      </c>
      <c r="EO134" s="9">
        <f t="shared" si="302"/>
        <v>1</v>
      </c>
      <c r="EP134" s="9">
        <f t="shared" si="302"/>
        <v>1</v>
      </c>
      <c r="EQ134" s="9">
        <f t="shared" si="302"/>
        <v>1</v>
      </c>
      <c r="ER134" s="9">
        <f t="shared" si="302"/>
        <v>1</v>
      </c>
      <c r="ES134" s="9">
        <f t="shared" si="302"/>
        <v>1</v>
      </c>
      <c r="ET134" s="9">
        <f t="shared" si="302"/>
        <v>1</v>
      </c>
      <c r="EU134" s="9">
        <f t="shared" si="302"/>
        <v>1</v>
      </c>
      <c r="EV134" s="9">
        <f t="shared" si="302"/>
        <v>1</v>
      </c>
      <c r="EW134" s="9">
        <f t="shared" si="302"/>
        <v>1</v>
      </c>
      <c r="EX134" s="9">
        <f t="shared" si="302"/>
        <v>1</v>
      </c>
      <c r="EY134" s="9">
        <f t="shared" si="302"/>
        <v>1</v>
      </c>
      <c r="EZ134" s="9">
        <f t="shared" si="302"/>
        <v>1</v>
      </c>
      <c r="FA134" s="9" t="str">
        <f t="shared" si="302"/>
        <v/>
      </c>
      <c r="FB134" s="9" t="str">
        <f t="shared" si="302"/>
        <v/>
      </c>
      <c r="FC134" s="9" t="str">
        <f t="shared" si="302"/>
        <v/>
      </c>
      <c r="FD134" s="9" t="str">
        <f t="shared" si="302"/>
        <v/>
      </c>
      <c r="FE134" s="9" t="str">
        <f t="shared" si="302"/>
        <v/>
      </c>
      <c r="FF134" s="9" t="str">
        <f t="shared" si="302"/>
        <v/>
      </c>
      <c r="FG134" s="9" t="str">
        <f t="shared" si="302"/>
        <v/>
      </c>
      <c r="FH134" s="9" t="str">
        <f t="shared" si="302"/>
        <v/>
      </c>
      <c r="FI134" s="9" t="str">
        <f t="shared" si="302"/>
        <v/>
      </c>
      <c r="FJ134" s="9" t="str">
        <f t="shared" si="302"/>
        <v/>
      </c>
      <c r="FK134" s="9" t="str">
        <f t="shared" si="302"/>
        <v/>
      </c>
      <c r="FL134" s="9" t="str">
        <f t="shared" si="302"/>
        <v/>
      </c>
      <c r="FM134" s="9" t="str">
        <f t="shared" si="302"/>
        <v/>
      </c>
      <c r="FN134" s="9" t="str">
        <f t="shared" si="302"/>
        <v/>
      </c>
      <c r="FO134" s="9" t="str">
        <f t="shared" si="302"/>
        <v/>
      </c>
      <c r="FP134" s="9" t="str">
        <f t="shared" si="302"/>
        <v/>
      </c>
      <c r="FQ134" s="9" t="str">
        <f t="shared" si="302"/>
        <v/>
      </c>
      <c r="FR134" s="9" t="str">
        <f t="shared" si="302"/>
        <v/>
      </c>
      <c r="FS134" s="9" t="str">
        <f t="shared" si="302"/>
        <v/>
      </c>
      <c r="FT134" s="9" t="str">
        <f t="shared" si="302"/>
        <v/>
      </c>
      <c r="FU134" s="9" t="str">
        <f t="shared" si="302"/>
        <v/>
      </c>
      <c r="FV134" s="9" t="str">
        <f t="shared" si="302"/>
        <v/>
      </c>
      <c r="FW134" s="9" t="str">
        <f t="shared" si="302"/>
        <v/>
      </c>
      <c r="FX134" s="9" t="str">
        <f t="shared" si="302"/>
        <v/>
      </c>
      <c r="FY134" s="9" t="str">
        <f t="shared" si="302"/>
        <v/>
      </c>
      <c r="FZ134" s="9" t="str">
        <f t="shared" si="302"/>
        <v/>
      </c>
      <c r="GA134" s="9" t="str">
        <f t="shared" si="302"/>
        <v/>
      </c>
      <c r="GB134" s="9" t="str">
        <f t="shared" si="302"/>
        <v/>
      </c>
      <c r="GC134" s="9" t="str">
        <f t="shared" si="302"/>
        <v/>
      </c>
      <c r="GD134" s="9" t="str">
        <f t="shared" si="302"/>
        <v/>
      </c>
      <c r="GE134" s="9" t="str">
        <f t="shared" si="302"/>
        <v/>
      </c>
      <c r="GF134" s="9" t="str">
        <f t="shared" si="302"/>
        <v/>
      </c>
      <c r="GG134" s="9" t="str">
        <f t="shared" si="302"/>
        <v/>
      </c>
      <c r="GH134" s="9" t="str">
        <f t="shared" si="302"/>
        <v/>
      </c>
      <c r="GI134" s="9" t="str">
        <f t="shared" si="302"/>
        <v/>
      </c>
      <c r="GJ134" s="9" t="str">
        <f t="shared" si="302"/>
        <v/>
      </c>
      <c r="GK134" s="9" t="str">
        <f t="shared" si="302"/>
        <v/>
      </c>
      <c r="GL134" s="9" t="str">
        <f t="shared" si="302"/>
        <v/>
      </c>
      <c r="GM134" s="9" t="str">
        <f t="shared" si="302"/>
        <v/>
      </c>
      <c r="GN134" s="9" t="str">
        <f t="shared" si="302"/>
        <v/>
      </c>
      <c r="GO134" s="9" t="str">
        <f t="shared" si="302"/>
        <v/>
      </c>
      <c r="GP134" s="9" t="str">
        <f t="shared" si="302"/>
        <v/>
      </c>
      <c r="GQ134" s="9" t="str">
        <f t="shared" ref="GQ134:IV134" si="303">IF(OR(GR42 = "", GR$8 &lt; GQ$8), "", 1)</f>
        <v/>
      </c>
      <c r="GR134" s="9" t="str">
        <f t="shared" si="303"/>
        <v/>
      </c>
      <c r="GS134" s="9" t="str">
        <f t="shared" si="303"/>
        <v/>
      </c>
      <c r="GT134" s="9" t="str">
        <f t="shared" si="303"/>
        <v/>
      </c>
      <c r="GU134" s="9" t="str">
        <f t="shared" si="303"/>
        <v/>
      </c>
      <c r="GV134" s="9" t="str">
        <f t="shared" si="303"/>
        <v/>
      </c>
      <c r="GW134" s="9" t="str">
        <f t="shared" si="303"/>
        <v/>
      </c>
      <c r="GX134" s="9" t="str">
        <f t="shared" si="303"/>
        <v/>
      </c>
      <c r="GY134" s="9" t="str">
        <f t="shared" si="303"/>
        <v/>
      </c>
      <c r="GZ134" s="9" t="str">
        <f t="shared" si="303"/>
        <v/>
      </c>
      <c r="HA134" s="9" t="str">
        <f t="shared" si="303"/>
        <v/>
      </c>
      <c r="HB134" s="9" t="str">
        <f t="shared" si="303"/>
        <v/>
      </c>
      <c r="HC134" s="9" t="str">
        <f t="shared" si="303"/>
        <v/>
      </c>
      <c r="HD134" s="9" t="str">
        <f t="shared" si="303"/>
        <v/>
      </c>
      <c r="HE134" s="9" t="str">
        <f t="shared" si="303"/>
        <v/>
      </c>
      <c r="HF134" s="9" t="str">
        <f t="shared" si="303"/>
        <v/>
      </c>
      <c r="HG134" s="9" t="str">
        <f t="shared" si="303"/>
        <v/>
      </c>
      <c r="HH134" s="9" t="str">
        <f t="shared" si="303"/>
        <v/>
      </c>
      <c r="HI134" s="9" t="str">
        <f t="shared" si="303"/>
        <v/>
      </c>
      <c r="HJ134" s="9" t="str">
        <f t="shared" si="303"/>
        <v/>
      </c>
      <c r="HK134" s="9" t="str">
        <f t="shared" si="303"/>
        <v/>
      </c>
      <c r="HL134" s="9" t="str">
        <f t="shared" si="303"/>
        <v/>
      </c>
      <c r="HM134" s="9" t="str">
        <f t="shared" si="303"/>
        <v/>
      </c>
      <c r="HN134" s="9" t="str">
        <f t="shared" si="303"/>
        <v/>
      </c>
      <c r="HO134" s="9" t="str">
        <f t="shared" si="303"/>
        <v/>
      </c>
      <c r="HP134" s="9" t="str">
        <f t="shared" si="303"/>
        <v/>
      </c>
      <c r="HQ134" s="9" t="str">
        <f t="shared" si="303"/>
        <v/>
      </c>
      <c r="HR134" s="9" t="str">
        <f t="shared" si="303"/>
        <v/>
      </c>
      <c r="HS134" s="9" t="str">
        <f t="shared" si="303"/>
        <v/>
      </c>
      <c r="HT134" s="9" t="str">
        <f t="shared" si="303"/>
        <v/>
      </c>
      <c r="HU134" s="9" t="str">
        <f t="shared" si="303"/>
        <v/>
      </c>
      <c r="HV134" s="9" t="str">
        <f t="shared" si="303"/>
        <v/>
      </c>
      <c r="HW134" s="9" t="str">
        <f t="shared" si="303"/>
        <v/>
      </c>
      <c r="HX134" s="9" t="str">
        <f t="shared" si="303"/>
        <v/>
      </c>
      <c r="HY134" s="9" t="str">
        <f t="shared" si="303"/>
        <v/>
      </c>
      <c r="HZ134" s="9" t="str">
        <f t="shared" si="303"/>
        <v/>
      </c>
      <c r="IA134" s="9" t="str">
        <f t="shared" si="303"/>
        <v/>
      </c>
      <c r="IB134" s="9" t="str">
        <f t="shared" si="303"/>
        <v/>
      </c>
      <c r="IC134" s="9" t="str">
        <f t="shared" si="303"/>
        <v/>
      </c>
      <c r="ID134" s="9" t="str">
        <f t="shared" si="303"/>
        <v/>
      </c>
      <c r="IE134" s="9" t="str">
        <f t="shared" si="303"/>
        <v/>
      </c>
      <c r="IF134" s="9" t="str">
        <f t="shared" si="303"/>
        <v/>
      </c>
      <c r="IG134" s="9" t="str">
        <f t="shared" si="303"/>
        <v/>
      </c>
      <c r="IH134" s="9" t="str">
        <f t="shared" si="303"/>
        <v/>
      </c>
      <c r="II134" s="9" t="str">
        <f t="shared" si="303"/>
        <v/>
      </c>
      <c r="IJ134" s="9" t="str">
        <f t="shared" si="303"/>
        <v/>
      </c>
      <c r="IK134" s="9" t="str">
        <f t="shared" si="303"/>
        <v/>
      </c>
      <c r="IL134" s="9" t="str">
        <f t="shared" si="303"/>
        <v/>
      </c>
      <c r="IM134" s="9" t="str">
        <f t="shared" si="303"/>
        <v/>
      </c>
      <c r="IN134" s="9" t="str">
        <f t="shared" si="303"/>
        <v/>
      </c>
      <c r="IO134" s="9" t="str">
        <f t="shared" si="303"/>
        <v/>
      </c>
      <c r="IP134" s="9" t="str">
        <f t="shared" si="303"/>
        <v/>
      </c>
      <c r="IQ134" s="9" t="str">
        <f t="shared" si="303"/>
        <v/>
      </c>
      <c r="IR134" s="9" t="str">
        <f t="shared" si="303"/>
        <v/>
      </c>
      <c r="IS134" s="9" t="str">
        <f t="shared" si="303"/>
        <v/>
      </c>
      <c r="IT134" s="9" t="str">
        <f t="shared" si="303"/>
        <v/>
      </c>
      <c r="IU134" s="9" t="str">
        <f t="shared" si="303"/>
        <v/>
      </c>
      <c r="IV134" s="9" t="str">
        <f t="shared" si="303"/>
        <v/>
      </c>
    </row>
    <row r="135" spans="6:256" x14ac:dyDescent="0.2">
      <c r="F135">
        <v>202209</v>
      </c>
      <c r="G135" s="9">
        <f t="shared" ref="G135:BR135" si="304">IF(OR(H43 = "", H$8 &lt; G$8), "", 1)</f>
        <v>1</v>
      </c>
      <c r="H135" s="9">
        <f t="shared" si="304"/>
        <v>1</v>
      </c>
      <c r="I135" s="9">
        <f t="shared" si="304"/>
        <v>1</v>
      </c>
      <c r="J135" s="9">
        <f t="shared" si="304"/>
        <v>1</v>
      </c>
      <c r="K135" s="9">
        <f t="shared" si="304"/>
        <v>1</v>
      </c>
      <c r="L135" s="9">
        <f t="shared" si="304"/>
        <v>1</v>
      </c>
      <c r="M135" s="9">
        <f t="shared" si="304"/>
        <v>1</v>
      </c>
      <c r="N135" s="9">
        <f t="shared" si="304"/>
        <v>1</v>
      </c>
      <c r="O135" s="9">
        <f t="shared" si="304"/>
        <v>1</v>
      </c>
      <c r="P135" s="9">
        <f t="shared" si="304"/>
        <v>1</v>
      </c>
      <c r="Q135" s="9">
        <f t="shared" si="304"/>
        <v>1</v>
      </c>
      <c r="R135" s="9">
        <f t="shared" si="304"/>
        <v>1</v>
      </c>
      <c r="S135" s="9">
        <f t="shared" si="304"/>
        <v>1</v>
      </c>
      <c r="T135" s="9">
        <f t="shared" si="304"/>
        <v>1</v>
      </c>
      <c r="U135" s="9">
        <f t="shared" si="304"/>
        <v>1</v>
      </c>
      <c r="V135" s="9">
        <f t="shared" si="304"/>
        <v>1</v>
      </c>
      <c r="W135" s="9">
        <f t="shared" si="304"/>
        <v>1</v>
      </c>
      <c r="X135" s="9">
        <f t="shared" si="304"/>
        <v>1</v>
      </c>
      <c r="Y135" s="9">
        <f t="shared" si="304"/>
        <v>1</v>
      </c>
      <c r="Z135" s="9">
        <f t="shared" si="304"/>
        <v>1</v>
      </c>
      <c r="AA135" s="9">
        <f t="shared" si="304"/>
        <v>1</v>
      </c>
      <c r="AB135" s="9">
        <f t="shared" si="304"/>
        <v>1</v>
      </c>
      <c r="AC135" s="9" t="str">
        <f t="shared" si="304"/>
        <v/>
      </c>
      <c r="AD135" s="9" t="str">
        <f t="shared" si="304"/>
        <v/>
      </c>
      <c r="AE135" s="9" t="str">
        <f t="shared" si="304"/>
        <v/>
      </c>
      <c r="AF135" s="9" t="str">
        <f t="shared" si="304"/>
        <v/>
      </c>
      <c r="AG135" s="9" t="str">
        <f t="shared" si="304"/>
        <v/>
      </c>
      <c r="AH135" s="9" t="str">
        <f t="shared" si="304"/>
        <v/>
      </c>
      <c r="AI135" s="9" t="str">
        <f t="shared" si="304"/>
        <v/>
      </c>
      <c r="AJ135" s="9" t="str">
        <f t="shared" si="304"/>
        <v/>
      </c>
      <c r="AK135" s="9" t="str">
        <f t="shared" si="304"/>
        <v/>
      </c>
      <c r="AL135" s="9" t="str">
        <f t="shared" si="304"/>
        <v/>
      </c>
      <c r="AM135" s="9" t="str">
        <f t="shared" si="304"/>
        <v/>
      </c>
      <c r="AN135" s="9" t="str">
        <f t="shared" si="304"/>
        <v/>
      </c>
      <c r="AO135" s="9" t="str">
        <f t="shared" si="304"/>
        <v/>
      </c>
      <c r="AP135" s="9" t="str">
        <f t="shared" si="304"/>
        <v/>
      </c>
      <c r="AQ135" s="9" t="str">
        <f t="shared" si="304"/>
        <v/>
      </c>
      <c r="AR135" s="9" t="str">
        <f t="shared" si="304"/>
        <v/>
      </c>
      <c r="AS135" s="9" t="str">
        <f t="shared" si="304"/>
        <v/>
      </c>
      <c r="AT135" s="9" t="str">
        <f t="shared" si="304"/>
        <v/>
      </c>
      <c r="AU135" s="9" t="str">
        <f t="shared" si="304"/>
        <v/>
      </c>
      <c r="AV135" s="9" t="str">
        <f t="shared" si="304"/>
        <v/>
      </c>
      <c r="AW135" s="9" t="str">
        <f t="shared" si="304"/>
        <v/>
      </c>
      <c r="AX135" s="9" t="str">
        <f t="shared" si="304"/>
        <v/>
      </c>
      <c r="AY135" s="9" t="str">
        <f t="shared" si="304"/>
        <v/>
      </c>
      <c r="AZ135" s="9" t="str">
        <f t="shared" si="304"/>
        <v/>
      </c>
      <c r="BA135" s="9" t="str">
        <f t="shared" si="304"/>
        <v/>
      </c>
      <c r="BB135" s="9" t="str">
        <f t="shared" si="304"/>
        <v/>
      </c>
      <c r="BC135" s="9" t="str">
        <f t="shared" si="304"/>
        <v/>
      </c>
      <c r="BD135" s="9" t="str">
        <f t="shared" si="304"/>
        <v/>
      </c>
      <c r="BE135" s="9" t="str">
        <f t="shared" si="304"/>
        <v/>
      </c>
      <c r="BF135" s="9" t="str">
        <f t="shared" si="304"/>
        <v/>
      </c>
      <c r="BG135" s="9" t="str">
        <f t="shared" si="304"/>
        <v/>
      </c>
      <c r="BH135" s="9" t="str">
        <f t="shared" si="304"/>
        <v/>
      </c>
      <c r="BI135" s="9" t="str">
        <f t="shared" si="304"/>
        <v/>
      </c>
      <c r="BJ135" s="9" t="str">
        <f t="shared" si="304"/>
        <v/>
      </c>
      <c r="BK135" s="9" t="str">
        <f t="shared" si="304"/>
        <v/>
      </c>
      <c r="BL135" s="9" t="str">
        <f t="shared" si="304"/>
        <v/>
      </c>
      <c r="BM135" s="9" t="str">
        <f t="shared" si="304"/>
        <v/>
      </c>
      <c r="BN135" s="9" t="str">
        <f t="shared" si="304"/>
        <v/>
      </c>
      <c r="BO135" s="9" t="str">
        <f t="shared" si="304"/>
        <v/>
      </c>
      <c r="BP135" s="9" t="str">
        <f t="shared" si="304"/>
        <v/>
      </c>
      <c r="BQ135" s="9" t="str">
        <f t="shared" si="304"/>
        <v/>
      </c>
      <c r="BR135" s="9" t="str">
        <f t="shared" si="304"/>
        <v/>
      </c>
      <c r="BS135" s="9" t="str">
        <f t="shared" ref="BS135:ED135" si="305">IF(OR(BT43 = "", BT$8 &lt; BS$8), "", 1)</f>
        <v/>
      </c>
      <c r="BT135" s="9" t="str">
        <f t="shared" si="305"/>
        <v/>
      </c>
      <c r="BU135" s="9" t="str">
        <f t="shared" si="305"/>
        <v/>
      </c>
      <c r="BV135" s="9" t="str">
        <f t="shared" si="305"/>
        <v/>
      </c>
      <c r="BW135" s="9" t="str">
        <f t="shared" si="305"/>
        <v/>
      </c>
      <c r="BX135" s="9" t="str">
        <f t="shared" si="305"/>
        <v/>
      </c>
      <c r="BY135" s="9" t="str">
        <f t="shared" si="305"/>
        <v/>
      </c>
      <c r="BZ135" s="9" t="str">
        <f t="shared" si="305"/>
        <v/>
      </c>
      <c r="CA135" s="9" t="str">
        <f t="shared" si="305"/>
        <v/>
      </c>
      <c r="CB135" s="9" t="str">
        <f t="shared" si="305"/>
        <v/>
      </c>
      <c r="CC135" s="9" t="str">
        <f t="shared" si="305"/>
        <v/>
      </c>
      <c r="CD135" s="9" t="str">
        <f t="shared" si="305"/>
        <v/>
      </c>
      <c r="CE135" s="9" t="str">
        <f t="shared" si="305"/>
        <v/>
      </c>
      <c r="CF135" s="9" t="str">
        <f t="shared" si="305"/>
        <v/>
      </c>
      <c r="CG135" s="9" t="str">
        <f t="shared" si="305"/>
        <v/>
      </c>
      <c r="CH135" s="9" t="str">
        <f t="shared" si="305"/>
        <v/>
      </c>
      <c r="CI135" s="9" t="str">
        <f t="shared" si="305"/>
        <v/>
      </c>
      <c r="CJ135" s="9" t="str">
        <f t="shared" si="305"/>
        <v/>
      </c>
      <c r="CK135" s="9" t="str">
        <f t="shared" si="305"/>
        <v/>
      </c>
      <c r="CL135" s="9" t="str">
        <f t="shared" si="305"/>
        <v/>
      </c>
      <c r="CM135" s="9" t="str">
        <f t="shared" si="305"/>
        <v/>
      </c>
      <c r="CN135" s="9" t="str">
        <f t="shared" si="305"/>
        <v/>
      </c>
      <c r="CO135" s="9" t="str">
        <f t="shared" si="305"/>
        <v/>
      </c>
      <c r="CP135" s="9" t="str">
        <f t="shared" si="305"/>
        <v/>
      </c>
      <c r="CQ135" s="9" t="str">
        <f t="shared" si="305"/>
        <v/>
      </c>
      <c r="CR135" s="9" t="str">
        <f t="shared" si="305"/>
        <v/>
      </c>
      <c r="CS135" s="9" t="str">
        <f t="shared" si="305"/>
        <v/>
      </c>
      <c r="CT135" s="9" t="str">
        <f t="shared" si="305"/>
        <v/>
      </c>
      <c r="CU135" s="9" t="str">
        <f t="shared" si="305"/>
        <v/>
      </c>
      <c r="CV135" s="9" t="str">
        <f t="shared" si="305"/>
        <v/>
      </c>
      <c r="CW135" s="9" t="str">
        <f t="shared" si="305"/>
        <v/>
      </c>
      <c r="CX135" s="9" t="str">
        <f t="shared" si="305"/>
        <v/>
      </c>
      <c r="CY135" s="9" t="str">
        <f t="shared" si="305"/>
        <v/>
      </c>
      <c r="CZ135" s="9" t="str">
        <f t="shared" si="305"/>
        <v/>
      </c>
      <c r="DA135" s="9" t="str">
        <f t="shared" si="305"/>
        <v/>
      </c>
      <c r="DB135" s="9" t="str">
        <f t="shared" si="305"/>
        <v/>
      </c>
      <c r="DC135" s="9" t="str">
        <f t="shared" si="305"/>
        <v/>
      </c>
      <c r="DD135" s="9" t="str">
        <f t="shared" si="305"/>
        <v/>
      </c>
      <c r="DE135" s="9" t="str">
        <f t="shared" si="305"/>
        <v/>
      </c>
      <c r="DF135" s="9" t="str">
        <f t="shared" si="305"/>
        <v/>
      </c>
      <c r="DG135" s="9" t="str">
        <f t="shared" si="305"/>
        <v/>
      </c>
      <c r="DH135" s="9" t="str">
        <f t="shared" si="305"/>
        <v/>
      </c>
      <c r="DI135" s="9" t="str">
        <f t="shared" si="305"/>
        <v/>
      </c>
      <c r="DJ135" s="9" t="str">
        <f t="shared" si="305"/>
        <v/>
      </c>
      <c r="DK135" s="9" t="str">
        <f t="shared" si="305"/>
        <v/>
      </c>
      <c r="DL135" s="9" t="str">
        <f t="shared" si="305"/>
        <v/>
      </c>
      <c r="DM135" s="9" t="str">
        <f t="shared" si="305"/>
        <v/>
      </c>
      <c r="DN135" s="9" t="str">
        <f t="shared" si="305"/>
        <v/>
      </c>
      <c r="DO135" s="9" t="str">
        <f t="shared" si="305"/>
        <v/>
      </c>
      <c r="DP135" s="9" t="str">
        <f t="shared" si="305"/>
        <v/>
      </c>
      <c r="DQ135" s="9" t="str">
        <f t="shared" si="305"/>
        <v/>
      </c>
      <c r="DR135" s="9" t="str">
        <f t="shared" si="305"/>
        <v/>
      </c>
      <c r="DS135" s="9" t="str">
        <f t="shared" si="305"/>
        <v/>
      </c>
      <c r="DT135" s="9" t="str">
        <f t="shared" si="305"/>
        <v/>
      </c>
      <c r="DU135" s="9" t="str">
        <f t="shared" si="305"/>
        <v/>
      </c>
      <c r="DV135" s="9" t="str">
        <f t="shared" si="305"/>
        <v/>
      </c>
      <c r="DW135" s="9" t="str">
        <f t="shared" si="305"/>
        <v/>
      </c>
      <c r="DX135" s="9" t="str">
        <f t="shared" si="305"/>
        <v/>
      </c>
      <c r="DY135" s="9" t="str">
        <f t="shared" si="305"/>
        <v/>
      </c>
      <c r="DZ135" s="9" t="str">
        <f t="shared" si="305"/>
        <v/>
      </c>
      <c r="EA135" s="9" t="str">
        <f t="shared" si="305"/>
        <v/>
      </c>
      <c r="EB135" s="9">
        <f t="shared" si="305"/>
        <v>1</v>
      </c>
      <c r="EC135" s="9">
        <f t="shared" si="305"/>
        <v>1</v>
      </c>
      <c r="ED135" s="9">
        <f t="shared" si="305"/>
        <v>1</v>
      </c>
      <c r="EE135" s="9">
        <f t="shared" ref="EE135:GP135" si="306">IF(OR(EF43 = "", EF$8 &lt; EE$8), "", 1)</f>
        <v>1</v>
      </c>
      <c r="EF135" s="9">
        <f t="shared" si="306"/>
        <v>1</v>
      </c>
      <c r="EG135" s="9">
        <f t="shared" si="306"/>
        <v>1</v>
      </c>
      <c r="EH135" s="9">
        <f t="shared" si="306"/>
        <v>1</v>
      </c>
      <c r="EI135" s="9">
        <f t="shared" si="306"/>
        <v>1</v>
      </c>
      <c r="EJ135" s="9">
        <f t="shared" si="306"/>
        <v>1</v>
      </c>
      <c r="EK135" s="9">
        <f t="shared" si="306"/>
        <v>1</v>
      </c>
      <c r="EL135" s="9">
        <f t="shared" si="306"/>
        <v>1</v>
      </c>
      <c r="EM135" s="9">
        <f t="shared" si="306"/>
        <v>1</v>
      </c>
      <c r="EN135" s="9">
        <f t="shared" si="306"/>
        <v>1</v>
      </c>
      <c r="EO135" s="9">
        <f t="shared" si="306"/>
        <v>1</v>
      </c>
      <c r="EP135" s="9">
        <f t="shared" si="306"/>
        <v>1</v>
      </c>
      <c r="EQ135" s="9">
        <f t="shared" si="306"/>
        <v>1</v>
      </c>
      <c r="ER135" s="9">
        <f t="shared" si="306"/>
        <v>1</v>
      </c>
      <c r="ES135" s="9">
        <f t="shared" si="306"/>
        <v>1</v>
      </c>
      <c r="ET135" s="9">
        <f t="shared" si="306"/>
        <v>1</v>
      </c>
      <c r="EU135" s="9">
        <f t="shared" si="306"/>
        <v>1</v>
      </c>
      <c r="EV135" s="9">
        <f t="shared" si="306"/>
        <v>1</v>
      </c>
      <c r="EW135" s="9">
        <f t="shared" si="306"/>
        <v>1</v>
      </c>
      <c r="EX135" s="9" t="str">
        <f t="shared" si="306"/>
        <v/>
      </c>
      <c r="EY135" s="9" t="str">
        <f t="shared" si="306"/>
        <v/>
      </c>
      <c r="EZ135" s="9" t="str">
        <f t="shared" si="306"/>
        <v/>
      </c>
      <c r="FA135" s="9" t="str">
        <f t="shared" si="306"/>
        <v/>
      </c>
      <c r="FB135" s="9" t="str">
        <f t="shared" si="306"/>
        <v/>
      </c>
      <c r="FC135" s="9" t="str">
        <f t="shared" si="306"/>
        <v/>
      </c>
      <c r="FD135" s="9" t="str">
        <f t="shared" si="306"/>
        <v/>
      </c>
      <c r="FE135" s="9" t="str">
        <f t="shared" si="306"/>
        <v/>
      </c>
      <c r="FF135" s="9" t="str">
        <f t="shared" si="306"/>
        <v/>
      </c>
      <c r="FG135" s="9" t="str">
        <f t="shared" si="306"/>
        <v/>
      </c>
      <c r="FH135" s="9" t="str">
        <f t="shared" si="306"/>
        <v/>
      </c>
      <c r="FI135" s="9" t="str">
        <f t="shared" si="306"/>
        <v/>
      </c>
      <c r="FJ135" s="9" t="str">
        <f t="shared" si="306"/>
        <v/>
      </c>
      <c r="FK135" s="9" t="str">
        <f t="shared" si="306"/>
        <v/>
      </c>
      <c r="FL135" s="9" t="str">
        <f t="shared" si="306"/>
        <v/>
      </c>
      <c r="FM135" s="9" t="str">
        <f t="shared" si="306"/>
        <v/>
      </c>
      <c r="FN135" s="9" t="str">
        <f t="shared" si="306"/>
        <v/>
      </c>
      <c r="FO135" s="9" t="str">
        <f t="shared" si="306"/>
        <v/>
      </c>
      <c r="FP135" s="9" t="str">
        <f t="shared" si="306"/>
        <v/>
      </c>
      <c r="FQ135" s="9" t="str">
        <f t="shared" si="306"/>
        <v/>
      </c>
      <c r="FR135" s="9" t="str">
        <f t="shared" si="306"/>
        <v/>
      </c>
      <c r="FS135" s="9" t="str">
        <f t="shared" si="306"/>
        <v/>
      </c>
      <c r="FT135" s="9" t="str">
        <f t="shared" si="306"/>
        <v/>
      </c>
      <c r="FU135" s="9" t="str">
        <f t="shared" si="306"/>
        <v/>
      </c>
      <c r="FV135" s="9" t="str">
        <f t="shared" si="306"/>
        <v/>
      </c>
      <c r="FW135" s="9" t="str">
        <f t="shared" si="306"/>
        <v/>
      </c>
      <c r="FX135" s="9" t="str">
        <f t="shared" si="306"/>
        <v/>
      </c>
      <c r="FY135" s="9" t="str">
        <f t="shared" si="306"/>
        <v/>
      </c>
      <c r="FZ135" s="9" t="str">
        <f t="shared" si="306"/>
        <v/>
      </c>
      <c r="GA135" s="9" t="str">
        <f t="shared" si="306"/>
        <v/>
      </c>
      <c r="GB135" s="9" t="str">
        <f t="shared" si="306"/>
        <v/>
      </c>
      <c r="GC135" s="9" t="str">
        <f t="shared" si="306"/>
        <v/>
      </c>
      <c r="GD135" s="9" t="str">
        <f t="shared" si="306"/>
        <v/>
      </c>
      <c r="GE135" s="9" t="str">
        <f t="shared" si="306"/>
        <v/>
      </c>
      <c r="GF135" s="9" t="str">
        <f t="shared" si="306"/>
        <v/>
      </c>
      <c r="GG135" s="9" t="str">
        <f t="shared" si="306"/>
        <v/>
      </c>
      <c r="GH135" s="9" t="str">
        <f t="shared" si="306"/>
        <v/>
      </c>
      <c r="GI135" s="9" t="str">
        <f t="shared" si="306"/>
        <v/>
      </c>
      <c r="GJ135" s="9" t="str">
        <f t="shared" si="306"/>
        <v/>
      </c>
      <c r="GK135" s="9" t="str">
        <f t="shared" si="306"/>
        <v/>
      </c>
      <c r="GL135" s="9" t="str">
        <f t="shared" si="306"/>
        <v/>
      </c>
      <c r="GM135" s="9" t="str">
        <f t="shared" si="306"/>
        <v/>
      </c>
      <c r="GN135" s="9" t="str">
        <f t="shared" si="306"/>
        <v/>
      </c>
      <c r="GO135" s="9" t="str">
        <f t="shared" si="306"/>
        <v/>
      </c>
      <c r="GP135" s="9" t="str">
        <f t="shared" si="306"/>
        <v/>
      </c>
      <c r="GQ135" s="9" t="str">
        <f t="shared" ref="GQ135:IV135" si="307">IF(OR(GR43 = "", GR$8 &lt; GQ$8), "", 1)</f>
        <v/>
      </c>
      <c r="GR135" s="9" t="str">
        <f t="shared" si="307"/>
        <v/>
      </c>
      <c r="GS135" s="9" t="str">
        <f t="shared" si="307"/>
        <v/>
      </c>
      <c r="GT135" s="9" t="str">
        <f t="shared" si="307"/>
        <v/>
      </c>
      <c r="GU135" s="9" t="str">
        <f t="shared" si="307"/>
        <v/>
      </c>
      <c r="GV135" s="9" t="str">
        <f t="shared" si="307"/>
        <v/>
      </c>
      <c r="GW135" s="9" t="str">
        <f t="shared" si="307"/>
        <v/>
      </c>
      <c r="GX135" s="9" t="str">
        <f t="shared" si="307"/>
        <v/>
      </c>
      <c r="GY135" s="9" t="str">
        <f t="shared" si="307"/>
        <v/>
      </c>
      <c r="GZ135" s="9" t="str">
        <f t="shared" si="307"/>
        <v/>
      </c>
      <c r="HA135" s="9" t="str">
        <f t="shared" si="307"/>
        <v/>
      </c>
      <c r="HB135" s="9" t="str">
        <f t="shared" si="307"/>
        <v/>
      </c>
      <c r="HC135" s="9" t="str">
        <f t="shared" si="307"/>
        <v/>
      </c>
      <c r="HD135" s="9" t="str">
        <f t="shared" si="307"/>
        <v/>
      </c>
      <c r="HE135" s="9" t="str">
        <f t="shared" si="307"/>
        <v/>
      </c>
      <c r="HF135" s="9" t="str">
        <f t="shared" si="307"/>
        <v/>
      </c>
      <c r="HG135" s="9" t="str">
        <f t="shared" si="307"/>
        <v/>
      </c>
      <c r="HH135" s="9" t="str">
        <f t="shared" si="307"/>
        <v/>
      </c>
      <c r="HI135" s="9" t="str">
        <f t="shared" si="307"/>
        <v/>
      </c>
      <c r="HJ135" s="9" t="str">
        <f t="shared" si="307"/>
        <v/>
      </c>
      <c r="HK135" s="9" t="str">
        <f t="shared" si="307"/>
        <v/>
      </c>
      <c r="HL135" s="9" t="str">
        <f t="shared" si="307"/>
        <v/>
      </c>
      <c r="HM135" s="9" t="str">
        <f t="shared" si="307"/>
        <v/>
      </c>
      <c r="HN135" s="9" t="str">
        <f t="shared" si="307"/>
        <v/>
      </c>
      <c r="HO135" s="9" t="str">
        <f t="shared" si="307"/>
        <v/>
      </c>
      <c r="HP135" s="9" t="str">
        <f t="shared" si="307"/>
        <v/>
      </c>
      <c r="HQ135" s="9" t="str">
        <f t="shared" si="307"/>
        <v/>
      </c>
      <c r="HR135" s="9" t="str">
        <f t="shared" si="307"/>
        <v/>
      </c>
      <c r="HS135" s="9" t="str">
        <f t="shared" si="307"/>
        <v/>
      </c>
      <c r="HT135" s="9" t="str">
        <f t="shared" si="307"/>
        <v/>
      </c>
      <c r="HU135" s="9" t="str">
        <f t="shared" si="307"/>
        <v/>
      </c>
      <c r="HV135" s="9" t="str">
        <f t="shared" si="307"/>
        <v/>
      </c>
      <c r="HW135" s="9" t="str">
        <f t="shared" si="307"/>
        <v/>
      </c>
      <c r="HX135" s="9" t="str">
        <f t="shared" si="307"/>
        <v/>
      </c>
      <c r="HY135" s="9" t="str">
        <f t="shared" si="307"/>
        <v/>
      </c>
      <c r="HZ135" s="9" t="str">
        <f t="shared" si="307"/>
        <v/>
      </c>
      <c r="IA135" s="9" t="str">
        <f t="shared" si="307"/>
        <v/>
      </c>
      <c r="IB135" s="9" t="str">
        <f t="shared" si="307"/>
        <v/>
      </c>
      <c r="IC135" s="9" t="str">
        <f t="shared" si="307"/>
        <v/>
      </c>
      <c r="ID135" s="9" t="str">
        <f t="shared" si="307"/>
        <v/>
      </c>
      <c r="IE135" s="9" t="str">
        <f t="shared" si="307"/>
        <v/>
      </c>
      <c r="IF135" s="9" t="str">
        <f t="shared" si="307"/>
        <v/>
      </c>
      <c r="IG135" s="9" t="str">
        <f t="shared" si="307"/>
        <v/>
      </c>
      <c r="IH135" s="9" t="str">
        <f t="shared" si="307"/>
        <v/>
      </c>
      <c r="II135" s="9" t="str">
        <f t="shared" si="307"/>
        <v/>
      </c>
      <c r="IJ135" s="9" t="str">
        <f t="shared" si="307"/>
        <v/>
      </c>
      <c r="IK135" s="9" t="str">
        <f t="shared" si="307"/>
        <v/>
      </c>
      <c r="IL135" s="9" t="str">
        <f t="shared" si="307"/>
        <v/>
      </c>
      <c r="IM135" s="9" t="str">
        <f t="shared" si="307"/>
        <v/>
      </c>
      <c r="IN135" s="9" t="str">
        <f t="shared" si="307"/>
        <v/>
      </c>
      <c r="IO135" s="9" t="str">
        <f t="shared" si="307"/>
        <v/>
      </c>
      <c r="IP135" s="9" t="str">
        <f t="shared" si="307"/>
        <v/>
      </c>
      <c r="IQ135" s="9" t="str">
        <f t="shared" si="307"/>
        <v/>
      </c>
      <c r="IR135" s="9" t="str">
        <f t="shared" si="307"/>
        <v/>
      </c>
      <c r="IS135" s="9" t="str">
        <f t="shared" si="307"/>
        <v/>
      </c>
      <c r="IT135" s="9" t="str">
        <f t="shared" si="307"/>
        <v/>
      </c>
      <c r="IU135" s="9" t="str">
        <f t="shared" si="307"/>
        <v/>
      </c>
      <c r="IV135" s="9" t="str">
        <f t="shared" si="307"/>
        <v/>
      </c>
    </row>
    <row r="136" spans="6:256" x14ac:dyDescent="0.2">
      <c r="F136">
        <v>202212</v>
      </c>
      <c r="G136" s="9">
        <f t="shared" ref="G136:BR136" si="308">IF(OR(H44 = "", H$8 &lt; G$8), "", 1)</f>
        <v>1</v>
      </c>
      <c r="H136" s="9">
        <f t="shared" si="308"/>
        <v>1</v>
      </c>
      <c r="I136" s="9">
        <f t="shared" si="308"/>
        <v>1</v>
      </c>
      <c r="J136" s="9">
        <f t="shared" si="308"/>
        <v>1</v>
      </c>
      <c r="K136" s="9">
        <f t="shared" si="308"/>
        <v>1</v>
      </c>
      <c r="L136" s="9">
        <f t="shared" si="308"/>
        <v>1</v>
      </c>
      <c r="M136" s="9">
        <f t="shared" si="308"/>
        <v>1</v>
      </c>
      <c r="N136" s="9">
        <f t="shared" si="308"/>
        <v>1</v>
      </c>
      <c r="O136" s="9">
        <f t="shared" si="308"/>
        <v>1</v>
      </c>
      <c r="P136" s="9">
        <f t="shared" si="308"/>
        <v>1</v>
      </c>
      <c r="Q136" s="9">
        <f t="shared" si="308"/>
        <v>1</v>
      </c>
      <c r="R136" s="9">
        <f t="shared" si="308"/>
        <v>1</v>
      </c>
      <c r="S136" s="9">
        <f t="shared" si="308"/>
        <v>1</v>
      </c>
      <c r="T136" s="9">
        <f t="shared" si="308"/>
        <v>1</v>
      </c>
      <c r="U136" s="9">
        <f t="shared" si="308"/>
        <v>1</v>
      </c>
      <c r="V136" s="9">
        <f t="shared" si="308"/>
        <v>1</v>
      </c>
      <c r="W136" s="9">
        <f t="shared" si="308"/>
        <v>1</v>
      </c>
      <c r="X136" s="9">
        <f t="shared" si="308"/>
        <v>1</v>
      </c>
      <c r="Y136" s="9">
        <f t="shared" si="308"/>
        <v>1</v>
      </c>
      <c r="Z136" s="9" t="str">
        <f t="shared" si="308"/>
        <v/>
      </c>
      <c r="AA136" s="9" t="str">
        <f t="shared" si="308"/>
        <v/>
      </c>
      <c r="AB136" s="9" t="str">
        <f t="shared" si="308"/>
        <v/>
      </c>
      <c r="AC136" s="9" t="str">
        <f t="shared" si="308"/>
        <v/>
      </c>
      <c r="AD136" s="9" t="str">
        <f t="shared" si="308"/>
        <v/>
      </c>
      <c r="AE136" s="9" t="str">
        <f t="shared" si="308"/>
        <v/>
      </c>
      <c r="AF136" s="9" t="str">
        <f t="shared" si="308"/>
        <v/>
      </c>
      <c r="AG136" s="9" t="str">
        <f t="shared" si="308"/>
        <v/>
      </c>
      <c r="AH136" s="9" t="str">
        <f t="shared" si="308"/>
        <v/>
      </c>
      <c r="AI136" s="9" t="str">
        <f t="shared" si="308"/>
        <v/>
      </c>
      <c r="AJ136" s="9" t="str">
        <f t="shared" si="308"/>
        <v/>
      </c>
      <c r="AK136" s="9" t="str">
        <f t="shared" si="308"/>
        <v/>
      </c>
      <c r="AL136" s="9" t="str">
        <f t="shared" si="308"/>
        <v/>
      </c>
      <c r="AM136" s="9" t="str">
        <f t="shared" si="308"/>
        <v/>
      </c>
      <c r="AN136" s="9" t="str">
        <f t="shared" si="308"/>
        <v/>
      </c>
      <c r="AO136" s="9" t="str">
        <f t="shared" si="308"/>
        <v/>
      </c>
      <c r="AP136" s="9" t="str">
        <f t="shared" si="308"/>
        <v/>
      </c>
      <c r="AQ136" s="9" t="str">
        <f t="shared" si="308"/>
        <v/>
      </c>
      <c r="AR136" s="9" t="str">
        <f t="shared" si="308"/>
        <v/>
      </c>
      <c r="AS136" s="9" t="str">
        <f t="shared" si="308"/>
        <v/>
      </c>
      <c r="AT136" s="9" t="str">
        <f t="shared" si="308"/>
        <v/>
      </c>
      <c r="AU136" s="9" t="str">
        <f t="shared" si="308"/>
        <v/>
      </c>
      <c r="AV136" s="9" t="str">
        <f t="shared" si="308"/>
        <v/>
      </c>
      <c r="AW136" s="9" t="str">
        <f t="shared" si="308"/>
        <v/>
      </c>
      <c r="AX136" s="9" t="str">
        <f t="shared" si="308"/>
        <v/>
      </c>
      <c r="AY136" s="9" t="str">
        <f t="shared" si="308"/>
        <v/>
      </c>
      <c r="AZ136" s="9" t="str">
        <f t="shared" si="308"/>
        <v/>
      </c>
      <c r="BA136" s="9" t="str">
        <f t="shared" si="308"/>
        <v/>
      </c>
      <c r="BB136" s="9" t="str">
        <f t="shared" si="308"/>
        <v/>
      </c>
      <c r="BC136" s="9" t="str">
        <f t="shared" si="308"/>
        <v/>
      </c>
      <c r="BD136" s="9" t="str">
        <f t="shared" si="308"/>
        <v/>
      </c>
      <c r="BE136" s="9" t="str">
        <f t="shared" si="308"/>
        <v/>
      </c>
      <c r="BF136" s="9" t="str">
        <f t="shared" si="308"/>
        <v/>
      </c>
      <c r="BG136" s="9" t="str">
        <f t="shared" si="308"/>
        <v/>
      </c>
      <c r="BH136" s="9" t="str">
        <f t="shared" si="308"/>
        <v/>
      </c>
      <c r="BI136" s="9" t="str">
        <f t="shared" si="308"/>
        <v/>
      </c>
      <c r="BJ136" s="9" t="str">
        <f t="shared" si="308"/>
        <v/>
      </c>
      <c r="BK136" s="9" t="str">
        <f t="shared" si="308"/>
        <v/>
      </c>
      <c r="BL136" s="9" t="str">
        <f t="shared" si="308"/>
        <v/>
      </c>
      <c r="BM136" s="9" t="str">
        <f t="shared" si="308"/>
        <v/>
      </c>
      <c r="BN136" s="9" t="str">
        <f t="shared" si="308"/>
        <v/>
      </c>
      <c r="BO136" s="9" t="str">
        <f t="shared" si="308"/>
        <v/>
      </c>
      <c r="BP136" s="9" t="str">
        <f t="shared" si="308"/>
        <v/>
      </c>
      <c r="BQ136" s="9" t="str">
        <f t="shared" si="308"/>
        <v/>
      </c>
      <c r="BR136" s="9" t="str">
        <f t="shared" si="308"/>
        <v/>
      </c>
      <c r="BS136" s="9" t="str">
        <f t="shared" ref="BS136:ED136" si="309">IF(OR(BT44 = "", BT$8 &lt; BS$8), "", 1)</f>
        <v/>
      </c>
      <c r="BT136" s="9" t="str">
        <f t="shared" si="309"/>
        <v/>
      </c>
      <c r="BU136" s="9" t="str">
        <f t="shared" si="309"/>
        <v/>
      </c>
      <c r="BV136" s="9" t="str">
        <f t="shared" si="309"/>
        <v/>
      </c>
      <c r="BW136" s="9" t="str">
        <f t="shared" si="309"/>
        <v/>
      </c>
      <c r="BX136" s="9" t="str">
        <f t="shared" si="309"/>
        <v/>
      </c>
      <c r="BY136" s="9" t="str">
        <f t="shared" si="309"/>
        <v/>
      </c>
      <c r="BZ136" s="9" t="str">
        <f t="shared" si="309"/>
        <v/>
      </c>
      <c r="CA136" s="9" t="str">
        <f t="shared" si="309"/>
        <v/>
      </c>
      <c r="CB136" s="9" t="str">
        <f t="shared" si="309"/>
        <v/>
      </c>
      <c r="CC136" s="9" t="str">
        <f t="shared" si="309"/>
        <v/>
      </c>
      <c r="CD136" s="9" t="str">
        <f t="shared" si="309"/>
        <v/>
      </c>
      <c r="CE136" s="9" t="str">
        <f t="shared" si="309"/>
        <v/>
      </c>
      <c r="CF136" s="9" t="str">
        <f t="shared" si="309"/>
        <v/>
      </c>
      <c r="CG136" s="9" t="str">
        <f t="shared" si="309"/>
        <v/>
      </c>
      <c r="CH136" s="9" t="str">
        <f t="shared" si="309"/>
        <v/>
      </c>
      <c r="CI136" s="9" t="str">
        <f t="shared" si="309"/>
        <v/>
      </c>
      <c r="CJ136" s="9" t="str">
        <f t="shared" si="309"/>
        <v/>
      </c>
      <c r="CK136" s="9" t="str">
        <f t="shared" si="309"/>
        <v/>
      </c>
      <c r="CL136" s="9" t="str">
        <f t="shared" si="309"/>
        <v/>
      </c>
      <c r="CM136" s="9" t="str">
        <f t="shared" si="309"/>
        <v/>
      </c>
      <c r="CN136" s="9" t="str">
        <f t="shared" si="309"/>
        <v/>
      </c>
      <c r="CO136" s="9" t="str">
        <f t="shared" si="309"/>
        <v/>
      </c>
      <c r="CP136" s="9" t="str">
        <f t="shared" si="309"/>
        <v/>
      </c>
      <c r="CQ136" s="9" t="str">
        <f t="shared" si="309"/>
        <v/>
      </c>
      <c r="CR136" s="9" t="str">
        <f t="shared" si="309"/>
        <v/>
      </c>
      <c r="CS136" s="9" t="str">
        <f t="shared" si="309"/>
        <v/>
      </c>
      <c r="CT136" s="9" t="str">
        <f t="shared" si="309"/>
        <v/>
      </c>
      <c r="CU136" s="9" t="str">
        <f t="shared" si="309"/>
        <v/>
      </c>
      <c r="CV136" s="9" t="str">
        <f t="shared" si="309"/>
        <v/>
      </c>
      <c r="CW136" s="9" t="str">
        <f t="shared" si="309"/>
        <v/>
      </c>
      <c r="CX136" s="9" t="str">
        <f t="shared" si="309"/>
        <v/>
      </c>
      <c r="CY136" s="9" t="str">
        <f t="shared" si="309"/>
        <v/>
      </c>
      <c r="CZ136" s="9" t="str">
        <f t="shared" si="309"/>
        <v/>
      </c>
      <c r="DA136" s="9" t="str">
        <f t="shared" si="309"/>
        <v/>
      </c>
      <c r="DB136" s="9" t="str">
        <f t="shared" si="309"/>
        <v/>
      </c>
      <c r="DC136" s="9" t="str">
        <f t="shared" si="309"/>
        <v/>
      </c>
      <c r="DD136" s="9" t="str">
        <f t="shared" si="309"/>
        <v/>
      </c>
      <c r="DE136" s="9" t="str">
        <f t="shared" si="309"/>
        <v/>
      </c>
      <c r="DF136" s="9" t="str">
        <f t="shared" si="309"/>
        <v/>
      </c>
      <c r="DG136" s="9" t="str">
        <f t="shared" si="309"/>
        <v/>
      </c>
      <c r="DH136" s="9" t="str">
        <f t="shared" si="309"/>
        <v/>
      </c>
      <c r="DI136" s="9" t="str">
        <f t="shared" si="309"/>
        <v/>
      </c>
      <c r="DJ136" s="9" t="str">
        <f t="shared" si="309"/>
        <v/>
      </c>
      <c r="DK136" s="9" t="str">
        <f t="shared" si="309"/>
        <v/>
      </c>
      <c r="DL136" s="9" t="str">
        <f t="shared" si="309"/>
        <v/>
      </c>
      <c r="DM136" s="9" t="str">
        <f t="shared" si="309"/>
        <v/>
      </c>
      <c r="DN136" s="9" t="str">
        <f t="shared" si="309"/>
        <v/>
      </c>
      <c r="DO136" s="9" t="str">
        <f t="shared" si="309"/>
        <v/>
      </c>
      <c r="DP136" s="9" t="str">
        <f t="shared" si="309"/>
        <v/>
      </c>
      <c r="DQ136" s="9" t="str">
        <f t="shared" si="309"/>
        <v/>
      </c>
      <c r="DR136" s="9" t="str">
        <f t="shared" si="309"/>
        <v/>
      </c>
      <c r="DS136" s="9" t="str">
        <f t="shared" si="309"/>
        <v/>
      </c>
      <c r="DT136" s="9" t="str">
        <f t="shared" si="309"/>
        <v/>
      </c>
      <c r="DU136" s="9" t="str">
        <f t="shared" si="309"/>
        <v/>
      </c>
      <c r="DV136" s="9" t="str">
        <f t="shared" si="309"/>
        <v/>
      </c>
      <c r="DW136" s="9" t="str">
        <f t="shared" si="309"/>
        <v/>
      </c>
      <c r="DX136" s="9" t="str">
        <f t="shared" si="309"/>
        <v/>
      </c>
      <c r="DY136" s="9" t="str">
        <f t="shared" si="309"/>
        <v/>
      </c>
      <c r="DZ136" s="9" t="str">
        <f t="shared" si="309"/>
        <v/>
      </c>
      <c r="EA136" s="9" t="str">
        <f t="shared" si="309"/>
        <v/>
      </c>
      <c r="EB136" s="9">
        <f t="shared" si="309"/>
        <v>1</v>
      </c>
      <c r="EC136" s="9">
        <f t="shared" si="309"/>
        <v>1</v>
      </c>
      <c r="ED136" s="9">
        <f t="shared" si="309"/>
        <v>1</v>
      </c>
      <c r="EE136" s="9">
        <f t="shared" ref="EE136:GP136" si="310">IF(OR(EF44 = "", EF$8 &lt; EE$8), "", 1)</f>
        <v>1</v>
      </c>
      <c r="EF136" s="9">
        <f t="shared" si="310"/>
        <v>1</v>
      </c>
      <c r="EG136" s="9">
        <f t="shared" si="310"/>
        <v>1</v>
      </c>
      <c r="EH136" s="9">
        <f t="shared" si="310"/>
        <v>1</v>
      </c>
      <c r="EI136" s="9">
        <f t="shared" si="310"/>
        <v>1</v>
      </c>
      <c r="EJ136" s="9">
        <f t="shared" si="310"/>
        <v>1</v>
      </c>
      <c r="EK136" s="9">
        <f t="shared" si="310"/>
        <v>1</v>
      </c>
      <c r="EL136" s="9">
        <f t="shared" si="310"/>
        <v>1</v>
      </c>
      <c r="EM136" s="9">
        <f t="shared" si="310"/>
        <v>1</v>
      </c>
      <c r="EN136" s="9">
        <f t="shared" si="310"/>
        <v>1</v>
      </c>
      <c r="EO136" s="9">
        <f t="shared" si="310"/>
        <v>1</v>
      </c>
      <c r="EP136" s="9">
        <f t="shared" si="310"/>
        <v>1</v>
      </c>
      <c r="EQ136" s="9">
        <f t="shared" si="310"/>
        <v>1</v>
      </c>
      <c r="ER136" s="9">
        <f t="shared" si="310"/>
        <v>1</v>
      </c>
      <c r="ES136" s="9">
        <f t="shared" si="310"/>
        <v>1</v>
      </c>
      <c r="ET136" s="9">
        <f t="shared" si="310"/>
        <v>1</v>
      </c>
      <c r="EU136" s="9" t="str">
        <f t="shared" si="310"/>
        <v/>
      </c>
      <c r="EV136" s="9" t="str">
        <f t="shared" si="310"/>
        <v/>
      </c>
      <c r="EW136" s="9" t="str">
        <f t="shared" si="310"/>
        <v/>
      </c>
      <c r="EX136" s="9" t="str">
        <f t="shared" si="310"/>
        <v/>
      </c>
      <c r="EY136" s="9" t="str">
        <f t="shared" si="310"/>
        <v/>
      </c>
      <c r="EZ136" s="9" t="str">
        <f t="shared" si="310"/>
        <v/>
      </c>
      <c r="FA136" s="9" t="str">
        <f t="shared" si="310"/>
        <v/>
      </c>
      <c r="FB136" s="9" t="str">
        <f t="shared" si="310"/>
        <v/>
      </c>
      <c r="FC136" s="9" t="str">
        <f t="shared" si="310"/>
        <v/>
      </c>
      <c r="FD136" s="9" t="str">
        <f t="shared" si="310"/>
        <v/>
      </c>
      <c r="FE136" s="9" t="str">
        <f t="shared" si="310"/>
        <v/>
      </c>
      <c r="FF136" s="9" t="str">
        <f t="shared" si="310"/>
        <v/>
      </c>
      <c r="FG136" s="9" t="str">
        <f t="shared" si="310"/>
        <v/>
      </c>
      <c r="FH136" s="9" t="str">
        <f t="shared" si="310"/>
        <v/>
      </c>
      <c r="FI136" s="9" t="str">
        <f t="shared" si="310"/>
        <v/>
      </c>
      <c r="FJ136" s="9" t="str">
        <f t="shared" si="310"/>
        <v/>
      </c>
      <c r="FK136" s="9" t="str">
        <f t="shared" si="310"/>
        <v/>
      </c>
      <c r="FL136" s="9" t="str">
        <f t="shared" si="310"/>
        <v/>
      </c>
      <c r="FM136" s="9" t="str">
        <f t="shared" si="310"/>
        <v/>
      </c>
      <c r="FN136" s="9" t="str">
        <f t="shared" si="310"/>
        <v/>
      </c>
      <c r="FO136" s="9" t="str">
        <f t="shared" si="310"/>
        <v/>
      </c>
      <c r="FP136" s="9" t="str">
        <f t="shared" si="310"/>
        <v/>
      </c>
      <c r="FQ136" s="9" t="str">
        <f t="shared" si="310"/>
        <v/>
      </c>
      <c r="FR136" s="9" t="str">
        <f t="shared" si="310"/>
        <v/>
      </c>
      <c r="FS136" s="9" t="str">
        <f t="shared" si="310"/>
        <v/>
      </c>
      <c r="FT136" s="9" t="str">
        <f t="shared" si="310"/>
        <v/>
      </c>
      <c r="FU136" s="9" t="str">
        <f t="shared" si="310"/>
        <v/>
      </c>
      <c r="FV136" s="9" t="str">
        <f t="shared" si="310"/>
        <v/>
      </c>
      <c r="FW136" s="9" t="str">
        <f t="shared" si="310"/>
        <v/>
      </c>
      <c r="FX136" s="9" t="str">
        <f t="shared" si="310"/>
        <v/>
      </c>
      <c r="FY136" s="9" t="str">
        <f t="shared" si="310"/>
        <v/>
      </c>
      <c r="FZ136" s="9" t="str">
        <f t="shared" si="310"/>
        <v/>
      </c>
      <c r="GA136" s="9" t="str">
        <f t="shared" si="310"/>
        <v/>
      </c>
      <c r="GB136" s="9" t="str">
        <f t="shared" si="310"/>
        <v/>
      </c>
      <c r="GC136" s="9" t="str">
        <f t="shared" si="310"/>
        <v/>
      </c>
      <c r="GD136" s="9" t="str">
        <f t="shared" si="310"/>
        <v/>
      </c>
      <c r="GE136" s="9" t="str">
        <f t="shared" si="310"/>
        <v/>
      </c>
      <c r="GF136" s="9" t="str">
        <f t="shared" si="310"/>
        <v/>
      </c>
      <c r="GG136" s="9" t="str">
        <f t="shared" si="310"/>
        <v/>
      </c>
      <c r="GH136" s="9" t="str">
        <f t="shared" si="310"/>
        <v/>
      </c>
      <c r="GI136" s="9" t="str">
        <f t="shared" si="310"/>
        <v/>
      </c>
      <c r="GJ136" s="9" t="str">
        <f t="shared" si="310"/>
        <v/>
      </c>
      <c r="GK136" s="9" t="str">
        <f t="shared" si="310"/>
        <v/>
      </c>
      <c r="GL136" s="9" t="str">
        <f t="shared" si="310"/>
        <v/>
      </c>
      <c r="GM136" s="9" t="str">
        <f t="shared" si="310"/>
        <v/>
      </c>
      <c r="GN136" s="9" t="str">
        <f t="shared" si="310"/>
        <v/>
      </c>
      <c r="GO136" s="9" t="str">
        <f t="shared" si="310"/>
        <v/>
      </c>
      <c r="GP136" s="9" t="str">
        <f t="shared" si="310"/>
        <v/>
      </c>
      <c r="GQ136" s="9" t="str">
        <f t="shared" ref="GQ136:IV136" si="311">IF(OR(GR44 = "", GR$8 &lt; GQ$8), "", 1)</f>
        <v/>
      </c>
      <c r="GR136" s="9" t="str">
        <f t="shared" si="311"/>
        <v/>
      </c>
      <c r="GS136" s="9" t="str">
        <f t="shared" si="311"/>
        <v/>
      </c>
      <c r="GT136" s="9" t="str">
        <f t="shared" si="311"/>
        <v/>
      </c>
      <c r="GU136" s="9" t="str">
        <f t="shared" si="311"/>
        <v/>
      </c>
      <c r="GV136" s="9" t="str">
        <f t="shared" si="311"/>
        <v/>
      </c>
      <c r="GW136" s="9" t="str">
        <f t="shared" si="311"/>
        <v/>
      </c>
      <c r="GX136" s="9" t="str">
        <f t="shared" si="311"/>
        <v/>
      </c>
      <c r="GY136" s="9" t="str">
        <f t="shared" si="311"/>
        <v/>
      </c>
      <c r="GZ136" s="9" t="str">
        <f t="shared" si="311"/>
        <v/>
      </c>
      <c r="HA136" s="9" t="str">
        <f t="shared" si="311"/>
        <v/>
      </c>
      <c r="HB136" s="9" t="str">
        <f t="shared" si="311"/>
        <v/>
      </c>
      <c r="HC136" s="9" t="str">
        <f t="shared" si="311"/>
        <v/>
      </c>
      <c r="HD136" s="9" t="str">
        <f t="shared" si="311"/>
        <v/>
      </c>
      <c r="HE136" s="9" t="str">
        <f t="shared" si="311"/>
        <v/>
      </c>
      <c r="HF136" s="9" t="str">
        <f t="shared" si="311"/>
        <v/>
      </c>
      <c r="HG136" s="9" t="str">
        <f t="shared" si="311"/>
        <v/>
      </c>
      <c r="HH136" s="9" t="str">
        <f t="shared" si="311"/>
        <v/>
      </c>
      <c r="HI136" s="9" t="str">
        <f t="shared" si="311"/>
        <v/>
      </c>
      <c r="HJ136" s="9" t="str">
        <f t="shared" si="311"/>
        <v/>
      </c>
      <c r="HK136" s="9" t="str">
        <f t="shared" si="311"/>
        <v/>
      </c>
      <c r="HL136" s="9" t="str">
        <f t="shared" si="311"/>
        <v/>
      </c>
      <c r="HM136" s="9" t="str">
        <f t="shared" si="311"/>
        <v/>
      </c>
      <c r="HN136" s="9" t="str">
        <f t="shared" si="311"/>
        <v/>
      </c>
      <c r="HO136" s="9" t="str">
        <f t="shared" si="311"/>
        <v/>
      </c>
      <c r="HP136" s="9" t="str">
        <f t="shared" si="311"/>
        <v/>
      </c>
      <c r="HQ136" s="9" t="str">
        <f t="shared" si="311"/>
        <v/>
      </c>
      <c r="HR136" s="9" t="str">
        <f t="shared" si="311"/>
        <v/>
      </c>
      <c r="HS136" s="9" t="str">
        <f t="shared" si="311"/>
        <v/>
      </c>
      <c r="HT136" s="9" t="str">
        <f t="shared" si="311"/>
        <v/>
      </c>
      <c r="HU136" s="9" t="str">
        <f t="shared" si="311"/>
        <v/>
      </c>
      <c r="HV136" s="9" t="str">
        <f t="shared" si="311"/>
        <v/>
      </c>
      <c r="HW136" s="9" t="str">
        <f t="shared" si="311"/>
        <v/>
      </c>
      <c r="HX136" s="9" t="str">
        <f t="shared" si="311"/>
        <v/>
      </c>
      <c r="HY136" s="9" t="str">
        <f t="shared" si="311"/>
        <v/>
      </c>
      <c r="HZ136" s="9" t="str">
        <f t="shared" si="311"/>
        <v/>
      </c>
      <c r="IA136" s="9" t="str">
        <f t="shared" si="311"/>
        <v/>
      </c>
      <c r="IB136" s="9" t="str">
        <f t="shared" si="311"/>
        <v/>
      </c>
      <c r="IC136" s="9" t="str">
        <f t="shared" si="311"/>
        <v/>
      </c>
      <c r="ID136" s="9" t="str">
        <f t="shared" si="311"/>
        <v/>
      </c>
      <c r="IE136" s="9" t="str">
        <f t="shared" si="311"/>
        <v/>
      </c>
      <c r="IF136" s="9" t="str">
        <f t="shared" si="311"/>
        <v/>
      </c>
      <c r="IG136" s="9" t="str">
        <f t="shared" si="311"/>
        <v/>
      </c>
      <c r="IH136" s="9" t="str">
        <f t="shared" si="311"/>
        <v/>
      </c>
      <c r="II136" s="9" t="str">
        <f t="shared" si="311"/>
        <v/>
      </c>
      <c r="IJ136" s="9" t="str">
        <f t="shared" si="311"/>
        <v/>
      </c>
      <c r="IK136" s="9" t="str">
        <f t="shared" si="311"/>
        <v/>
      </c>
      <c r="IL136" s="9" t="str">
        <f t="shared" si="311"/>
        <v/>
      </c>
      <c r="IM136" s="9" t="str">
        <f t="shared" si="311"/>
        <v/>
      </c>
      <c r="IN136" s="9" t="str">
        <f t="shared" si="311"/>
        <v/>
      </c>
      <c r="IO136" s="9" t="str">
        <f t="shared" si="311"/>
        <v/>
      </c>
      <c r="IP136" s="9" t="str">
        <f t="shared" si="311"/>
        <v/>
      </c>
      <c r="IQ136" s="9" t="str">
        <f t="shared" si="311"/>
        <v/>
      </c>
      <c r="IR136" s="9" t="str">
        <f t="shared" si="311"/>
        <v/>
      </c>
      <c r="IS136" s="9" t="str">
        <f t="shared" si="311"/>
        <v/>
      </c>
      <c r="IT136" s="9" t="str">
        <f t="shared" si="311"/>
        <v/>
      </c>
      <c r="IU136" s="9" t="str">
        <f t="shared" si="311"/>
        <v/>
      </c>
      <c r="IV136" s="9" t="str">
        <f t="shared" si="311"/>
        <v/>
      </c>
    </row>
    <row r="137" spans="6:256" x14ac:dyDescent="0.2">
      <c r="F137">
        <v>202303</v>
      </c>
      <c r="G137" s="9">
        <f t="shared" ref="G137:BR137" si="312">IF(OR(H45 = "", H$8 &lt; G$8), "", 1)</f>
        <v>1</v>
      </c>
      <c r="H137" s="9">
        <f t="shared" si="312"/>
        <v>1</v>
      </c>
      <c r="I137" s="9">
        <f t="shared" si="312"/>
        <v>1</v>
      </c>
      <c r="J137" s="9">
        <f t="shared" si="312"/>
        <v>1</v>
      </c>
      <c r="K137" s="9">
        <f t="shared" si="312"/>
        <v>1</v>
      </c>
      <c r="L137" s="9">
        <f t="shared" si="312"/>
        <v>1</v>
      </c>
      <c r="M137" s="9">
        <f t="shared" si="312"/>
        <v>1</v>
      </c>
      <c r="N137" s="9">
        <f t="shared" si="312"/>
        <v>1</v>
      </c>
      <c r="O137" s="9">
        <f t="shared" si="312"/>
        <v>1</v>
      </c>
      <c r="P137" s="9">
        <f t="shared" si="312"/>
        <v>1</v>
      </c>
      <c r="Q137" s="9">
        <f t="shared" si="312"/>
        <v>1</v>
      </c>
      <c r="R137" s="9">
        <f t="shared" si="312"/>
        <v>1</v>
      </c>
      <c r="S137" s="9">
        <f t="shared" si="312"/>
        <v>1</v>
      </c>
      <c r="T137" s="9">
        <f t="shared" si="312"/>
        <v>1</v>
      </c>
      <c r="U137" s="9">
        <f t="shared" si="312"/>
        <v>1</v>
      </c>
      <c r="V137" s="9">
        <f t="shared" si="312"/>
        <v>1</v>
      </c>
      <c r="W137" s="9" t="str">
        <f t="shared" si="312"/>
        <v/>
      </c>
      <c r="X137" s="9" t="str">
        <f t="shared" si="312"/>
        <v/>
      </c>
      <c r="Y137" s="9" t="str">
        <f t="shared" si="312"/>
        <v/>
      </c>
      <c r="Z137" s="9" t="str">
        <f t="shared" si="312"/>
        <v/>
      </c>
      <c r="AA137" s="9" t="str">
        <f t="shared" si="312"/>
        <v/>
      </c>
      <c r="AB137" s="9" t="str">
        <f t="shared" si="312"/>
        <v/>
      </c>
      <c r="AC137" s="9" t="str">
        <f t="shared" si="312"/>
        <v/>
      </c>
      <c r="AD137" s="9" t="str">
        <f t="shared" si="312"/>
        <v/>
      </c>
      <c r="AE137" s="9" t="str">
        <f t="shared" si="312"/>
        <v/>
      </c>
      <c r="AF137" s="9" t="str">
        <f t="shared" si="312"/>
        <v/>
      </c>
      <c r="AG137" s="9" t="str">
        <f t="shared" si="312"/>
        <v/>
      </c>
      <c r="AH137" s="9" t="str">
        <f t="shared" si="312"/>
        <v/>
      </c>
      <c r="AI137" s="9" t="str">
        <f t="shared" si="312"/>
        <v/>
      </c>
      <c r="AJ137" s="9" t="str">
        <f t="shared" si="312"/>
        <v/>
      </c>
      <c r="AK137" s="9" t="str">
        <f t="shared" si="312"/>
        <v/>
      </c>
      <c r="AL137" s="9" t="str">
        <f t="shared" si="312"/>
        <v/>
      </c>
      <c r="AM137" s="9" t="str">
        <f t="shared" si="312"/>
        <v/>
      </c>
      <c r="AN137" s="9" t="str">
        <f t="shared" si="312"/>
        <v/>
      </c>
      <c r="AO137" s="9" t="str">
        <f t="shared" si="312"/>
        <v/>
      </c>
      <c r="AP137" s="9" t="str">
        <f t="shared" si="312"/>
        <v/>
      </c>
      <c r="AQ137" s="9" t="str">
        <f t="shared" si="312"/>
        <v/>
      </c>
      <c r="AR137" s="9" t="str">
        <f t="shared" si="312"/>
        <v/>
      </c>
      <c r="AS137" s="9" t="str">
        <f t="shared" si="312"/>
        <v/>
      </c>
      <c r="AT137" s="9" t="str">
        <f t="shared" si="312"/>
        <v/>
      </c>
      <c r="AU137" s="9" t="str">
        <f t="shared" si="312"/>
        <v/>
      </c>
      <c r="AV137" s="9" t="str">
        <f t="shared" si="312"/>
        <v/>
      </c>
      <c r="AW137" s="9" t="str">
        <f t="shared" si="312"/>
        <v/>
      </c>
      <c r="AX137" s="9" t="str">
        <f t="shared" si="312"/>
        <v/>
      </c>
      <c r="AY137" s="9" t="str">
        <f t="shared" si="312"/>
        <v/>
      </c>
      <c r="AZ137" s="9" t="str">
        <f t="shared" si="312"/>
        <v/>
      </c>
      <c r="BA137" s="9" t="str">
        <f t="shared" si="312"/>
        <v/>
      </c>
      <c r="BB137" s="9" t="str">
        <f t="shared" si="312"/>
        <v/>
      </c>
      <c r="BC137" s="9" t="str">
        <f t="shared" si="312"/>
        <v/>
      </c>
      <c r="BD137" s="9" t="str">
        <f t="shared" si="312"/>
        <v/>
      </c>
      <c r="BE137" s="9" t="str">
        <f t="shared" si="312"/>
        <v/>
      </c>
      <c r="BF137" s="9" t="str">
        <f t="shared" si="312"/>
        <v/>
      </c>
      <c r="BG137" s="9" t="str">
        <f t="shared" si="312"/>
        <v/>
      </c>
      <c r="BH137" s="9" t="str">
        <f t="shared" si="312"/>
        <v/>
      </c>
      <c r="BI137" s="9" t="str">
        <f t="shared" si="312"/>
        <v/>
      </c>
      <c r="BJ137" s="9" t="str">
        <f t="shared" si="312"/>
        <v/>
      </c>
      <c r="BK137" s="9" t="str">
        <f t="shared" si="312"/>
        <v/>
      </c>
      <c r="BL137" s="9" t="str">
        <f t="shared" si="312"/>
        <v/>
      </c>
      <c r="BM137" s="9" t="str">
        <f t="shared" si="312"/>
        <v/>
      </c>
      <c r="BN137" s="9" t="str">
        <f t="shared" si="312"/>
        <v/>
      </c>
      <c r="BO137" s="9" t="str">
        <f t="shared" si="312"/>
        <v/>
      </c>
      <c r="BP137" s="9" t="str">
        <f t="shared" si="312"/>
        <v/>
      </c>
      <c r="BQ137" s="9" t="str">
        <f t="shared" si="312"/>
        <v/>
      </c>
      <c r="BR137" s="9" t="str">
        <f t="shared" si="312"/>
        <v/>
      </c>
      <c r="BS137" s="9" t="str">
        <f t="shared" ref="BS137:ED137" si="313">IF(OR(BT45 = "", BT$8 &lt; BS$8), "", 1)</f>
        <v/>
      </c>
      <c r="BT137" s="9" t="str">
        <f t="shared" si="313"/>
        <v/>
      </c>
      <c r="BU137" s="9" t="str">
        <f t="shared" si="313"/>
        <v/>
      </c>
      <c r="BV137" s="9" t="str">
        <f t="shared" si="313"/>
        <v/>
      </c>
      <c r="BW137" s="9" t="str">
        <f t="shared" si="313"/>
        <v/>
      </c>
      <c r="BX137" s="9" t="str">
        <f t="shared" si="313"/>
        <v/>
      </c>
      <c r="BY137" s="9" t="str">
        <f t="shared" si="313"/>
        <v/>
      </c>
      <c r="BZ137" s="9" t="str">
        <f t="shared" si="313"/>
        <v/>
      </c>
      <c r="CA137" s="9" t="str">
        <f t="shared" si="313"/>
        <v/>
      </c>
      <c r="CB137" s="9" t="str">
        <f t="shared" si="313"/>
        <v/>
      </c>
      <c r="CC137" s="9" t="str">
        <f t="shared" si="313"/>
        <v/>
      </c>
      <c r="CD137" s="9" t="str">
        <f t="shared" si="313"/>
        <v/>
      </c>
      <c r="CE137" s="9" t="str">
        <f t="shared" si="313"/>
        <v/>
      </c>
      <c r="CF137" s="9" t="str">
        <f t="shared" si="313"/>
        <v/>
      </c>
      <c r="CG137" s="9" t="str">
        <f t="shared" si="313"/>
        <v/>
      </c>
      <c r="CH137" s="9" t="str">
        <f t="shared" si="313"/>
        <v/>
      </c>
      <c r="CI137" s="9" t="str">
        <f t="shared" si="313"/>
        <v/>
      </c>
      <c r="CJ137" s="9" t="str">
        <f t="shared" si="313"/>
        <v/>
      </c>
      <c r="CK137" s="9" t="str">
        <f t="shared" si="313"/>
        <v/>
      </c>
      <c r="CL137" s="9" t="str">
        <f t="shared" si="313"/>
        <v/>
      </c>
      <c r="CM137" s="9" t="str">
        <f t="shared" si="313"/>
        <v/>
      </c>
      <c r="CN137" s="9" t="str">
        <f t="shared" si="313"/>
        <v/>
      </c>
      <c r="CO137" s="9" t="str">
        <f t="shared" si="313"/>
        <v/>
      </c>
      <c r="CP137" s="9" t="str">
        <f t="shared" si="313"/>
        <v/>
      </c>
      <c r="CQ137" s="9" t="str">
        <f t="shared" si="313"/>
        <v/>
      </c>
      <c r="CR137" s="9" t="str">
        <f t="shared" si="313"/>
        <v/>
      </c>
      <c r="CS137" s="9" t="str">
        <f t="shared" si="313"/>
        <v/>
      </c>
      <c r="CT137" s="9" t="str">
        <f t="shared" si="313"/>
        <v/>
      </c>
      <c r="CU137" s="9" t="str">
        <f t="shared" si="313"/>
        <v/>
      </c>
      <c r="CV137" s="9" t="str">
        <f t="shared" si="313"/>
        <v/>
      </c>
      <c r="CW137" s="9" t="str">
        <f t="shared" si="313"/>
        <v/>
      </c>
      <c r="CX137" s="9" t="str">
        <f t="shared" si="313"/>
        <v/>
      </c>
      <c r="CY137" s="9" t="str">
        <f t="shared" si="313"/>
        <v/>
      </c>
      <c r="CZ137" s="9" t="str">
        <f t="shared" si="313"/>
        <v/>
      </c>
      <c r="DA137" s="9" t="str">
        <f t="shared" si="313"/>
        <v/>
      </c>
      <c r="DB137" s="9" t="str">
        <f t="shared" si="313"/>
        <v/>
      </c>
      <c r="DC137" s="9" t="str">
        <f t="shared" si="313"/>
        <v/>
      </c>
      <c r="DD137" s="9" t="str">
        <f t="shared" si="313"/>
        <v/>
      </c>
      <c r="DE137" s="9" t="str">
        <f t="shared" si="313"/>
        <v/>
      </c>
      <c r="DF137" s="9" t="str">
        <f t="shared" si="313"/>
        <v/>
      </c>
      <c r="DG137" s="9" t="str">
        <f t="shared" si="313"/>
        <v/>
      </c>
      <c r="DH137" s="9" t="str">
        <f t="shared" si="313"/>
        <v/>
      </c>
      <c r="DI137" s="9" t="str">
        <f t="shared" si="313"/>
        <v/>
      </c>
      <c r="DJ137" s="9" t="str">
        <f t="shared" si="313"/>
        <v/>
      </c>
      <c r="DK137" s="9" t="str">
        <f t="shared" si="313"/>
        <v/>
      </c>
      <c r="DL137" s="9" t="str">
        <f t="shared" si="313"/>
        <v/>
      </c>
      <c r="DM137" s="9" t="str">
        <f t="shared" si="313"/>
        <v/>
      </c>
      <c r="DN137" s="9" t="str">
        <f t="shared" si="313"/>
        <v/>
      </c>
      <c r="DO137" s="9" t="str">
        <f t="shared" si="313"/>
        <v/>
      </c>
      <c r="DP137" s="9" t="str">
        <f t="shared" si="313"/>
        <v/>
      </c>
      <c r="DQ137" s="9" t="str">
        <f t="shared" si="313"/>
        <v/>
      </c>
      <c r="DR137" s="9" t="str">
        <f t="shared" si="313"/>
        <v/>
      </c>
      <c r="DS137" s="9" t="str">
        <f t="shared" si="313"/>
        <v/>
      </c>
      <c r="DT137" s="9" t="str">
        <f t="shared" si="313"/>
        <v/>
      </c>
      <c r="DU137" s="9" t="str">
        <f t="shared" si="313"/>
        <v/>
      </c>
      <c r="DV137" s="9" t="str">
        <f t="shared" si="313"/>
        <v/>
      </c>
      <c r="DW137" s="9" t="str">
        <f t="shared" si="313"/>
        <v/>
      </c>
      <c r="DX137" s="9" t="str">
        <f t="shared" si="313"/>
        <v/>
      </c>
      <c r="DY137" s="9" t="str">
        <f t="shared" si="313"/>
        <v/>
      </c>
      <c r="DZ137" s="9" t="str">
        <f t="shared" si="313"/>
        <v/>
      </c>
      <c r="EA137" s="9" t="str">
        <f t="shared" si="313"/>
        <v/>
      </c>
      <c r="EB137" s="9">
        <f t="shared" si="313"/>
        <v>1</v>
      </c>
      <c r="EC137" s="9">
        <f t="shared" si="313"/>
        <v>1</v>
      </c>
      <c r="ED137" s="9">
        <f t="shared" si="313"/>
        <v>1</v>
      </c>
      <c r="EE137" s="9">
        <f t="shared" ref="EE137:GP137" si="314">IF(OR(EF45 = "", EF$8 &lt; EE$8), "", 1)</f>
        <v>1</v>
      </c>
      <c r="EF137" s="9">
        <f t="shared" si="314"/>
        <v>1</v>
      </c>
      <c r="EG137" s="9">
        <f t="shared" si="314"/>
        <v>1</v>
      </c>
      <c r="EH137" s="9">
        <f t="shared" si="314"/>
        <v>1</v>
      </c>
      <c r="EI137" s="9">
        <f t="shared" si="314"/>
        <v>1</v>
      </c>
      <c r="EJ137" s="9">
        <f t="shared" si="314"/>
        <v>1</v>
      </c>
      <c r="EK137" s="9">
        <f t="shared" si="314"/>
        <v>1</v>
      </c>
      <c r="EL137" s="9">
        <f t="shared" si="314"/>
        <v>1</v>
      </c>
      <c r="EM137" s="9">
        <f t="shared" si="314"/>
        <v>1</v>
      </c>
      <c r="EN137" s="9">
        <f t="shared" si="314"/>
        <v>1</v>
      </c>
      <c r="EO137" s="9">
        <f t="shared" si="314"/>
        <v>1</v>
      </c>
      <c r="EP137" s="9">
        <f t="shared" si="314"/>
        <v>1</v>
      </c>
      <c r="EQ137" s="9">
        <f t="shared" si="314"/>
        <v>1</v>
      </c>
      <c r="ER137" s="9" t="str">
        <f t="shared" si="314"/>
        <v/>
      </c>
      <c r="ES137" s="9" t="str">
        <f t="shared" si="314"/>
        <v/>
      </c>
      <c r="ET137" s="9" t="str">
        <f t="shared" si="314"/>
        <v/>
      </c>
      <c r="EU137" s="9" t="str">
        <f t="shared" si="314"/>
        <v/>
      </c>
      <c r="EV137" s="9" t="str">
        <f t="shared" si="314"/>
        <v/>
      </c>
      <c r="EW137" s="9" t="str">
        <f t="shared" si="314"/>
        <v/>
      </c>
      <c r="EX137" s="9" t="str">
        <f t="shared" si="314"/>
        <v/>
      </c>
      <c r="EY137" s="9" t="str">
        <f t="shared" si="314"/>
        <v/>
      </c>
      <c r="EZ137" s="9" t="str">
        <f t="shared" si="314"/>
        <v/>
      </c>
      <c r="FA137" s="9" t="str">
        <f t="shared" si="314"/>
        <v/>
      </c>
      <c r="FB137" s="9" t="str">
        <f t="shared" si="314"/>
        <v/>
      </c>
      <c r="FC137" s="9" t="str">
        <f t="shared" si="314"/>
        <v/>
      </c>
      <c r="FD137" s="9" t="str">
        <f t="shared" si="314"/>
        <v/>
      </c>
      <c r="FE137" s="9" t="str">
        <f t="shared" si="314"/>
        <v/>
      </c>
      <c r="FF137" s="9" t="str">
        <f t="shared" si="314"/>
        <v/>
      </c>
      <c r="FG137" s="9" t="str">
        <f t="shared" si="314"/>
        <v/>
      </c>
      <c r="FH137" s="9" t="str">
        <f t="shared" si="314"/>
        <v/>
      </c>
      <c r="FI137" s="9" t="str">
        <f t="shared" si="314"/>
        <v/>
      </c>
      <c r="FJ137" s="9" t="str">
        <f t="shared" si="314"/>
        <v/>
      </c>
      <c r="FK137" s="9" t="str">
        <f t="shared" si="314"/>
        <v/>
      </c>
      <c r="FL137" s="9" t="str">
        <f t="shared" si="314"/>
        <v/>
      </c>
      <c r="FM137" s="9" t="str">
        <f t="shared" si="314"/>
        <v/>
      </c>
      <c r="FN137" s="9" t="str">
        <f t="shared" si="314"/>
        <v/>
      </c>
      <c r="FO137" s="9" t="str">
        <f t="shared" si="314"/>
        <v/>
      </c>
      <c r="FP137" s="9" t="str">
        <f t="shared" si="314"/>
        <v/>
      </c>
      <c r="FQ137" s="9" t="str">
        <f t="shared" si="314"/>
        <v/>
      </c>
      <c r="FR137" s="9" t="str">
        <f t="shared" si="314"/>
        <v/>
      </c>
      <c r="FS137" s="9" t="str">
        <f t="shared" si="314"/>
        <v/>
      </c>
      <c r="FT137" s="9" t="str">
        <f t="shared" si="314"/>
        <v/>
      </c>
      <c r="FU137" s="9" t="str">
        <f t="shared" si="314"/>
        <v/>
      </c>
      <c r="FV137" s="9" t="str">
        <f t="shared" si="314"/>
        <v/>
      </c>
      <c r="FW137" s="9" t="str">
        <f t="shared" si="314"/>
        <v/>
      </c>
      <c r="FX137" s="9" t="str">
        <f t="shared" si="314"/>
        <v/>
      </c>
      <c r="FY137" s="9" t="str">
        <f t="shared" si="314"/>
        <v/>
      </c>
      <c r="FZ137" s="9" t="str">
        <f t="shared" si="314"/>
        <v/>
      </c>
      <c r="GA137" s="9" t="str">
        <f t="shared" si="314"/>
        <v/>
      </c>
      <c r="GB137" s="9" t="str">
        <f t="shared" si="314"/>
        <v/>
      </c>
      <c r="GC137" s="9" t="str">
        <f t="shared" si="314"/>
        <v/>
      </c>
      <c r="GD137" s="9" t="str">
        <f t="shared" si="314"/>
        <v/>
      </c>
      <c r="GE137" s="9" t="str">
        <f t="shared" si="314"/>
        <v/>
      </c>
      <c r="GF137" s="9" t="str">
        <f t="shared" si="314"/>
        <v/>
      </c>
      <c r="GG137" s="9" t="str">
        <f t="shared" si="314"/>
        <v/>
      </c>
      <c r="GH137" s="9" t="str">
        <f t="shared" si="314"/>
        <v/>
      </c>
      <c r="GI137" s="9" t="str">
        <f t="shared" si="314"/>
        <v/>
      </c>
      <c r="GJ137" s="9" t="str">
        <f t="shared" si="314"/>
        <v/>
      </c>
      <c r="GK137" s="9" t="str">
        <f t="shared" si="314"/>
        <v/>
      </c>
      <c r="GL137" s="9" t="str">
        <f t="shared" si="314"/>
        <v/>
      </c>
      <c r="GM137" s="9" t="str">
        <f t="shared" si="314"/>
        <v/>
      </c>
      <c r="GN137" s="9" t="str">
        <f t="shared" si="314"/>
        <v/>
      </c>
      <c r="GO137" s="9" t="str">
        <f t="shared" si="314"/>
        <v/>
      </c>
      <c r="GP137" s="9" t="str">
        <f t="shared" si="314"/>
        <v/>
      </c>
      <c r="GQ137" s="9" t="str">
        <f t="shared" ref="GQ137:IV137" si="315">IF(OR(GR45 = "", GR$8 &lt; GQ$8), "", 1)</f>
        <v/>
      </c>
      <c r="GR137" s="9" t="str">
        <f t="shared" si="315"/>
        <v/>
      </c>
      <c r="GS137" s="9" t="str">
        <f t="shared" si="315"/>
        <v/>
      </c>
      <c r="GT137" s="9" t="str">
        <f t="shared" si="315"/>
        <v/>
      </c>
      <c r="GU137" s="9" t="str">
        <f t="shared" si="315"/>
        <v/>
      </c>
      <c r="GV137" s="9" t="str">
        <f t="shared" si="315"/>
        <v/>
      </c>
      <c r="GW137" s="9" t="str">
        <f t="shared" si="315"/>
        <v/>
      </c>
      <c r="GX137" s="9" t="str">
        <f t="shared" si="315"/>
        <v/>
      </c>
      <c r="GY137" s="9" t="str">
        <f t="shared" si="315"/>
        <v/>
      </c>
      <c r="GZ137" s="9" t="str">
        <f t="shared" si="315"/>
        <v/>
      </c>
      <c r="HA137" s="9" t="str">
        <f t="shared" si="315"/>
        <v/>
      </c>
      <c r="HB137" s="9" t="str">
        <f t="shared" si="315"/>
        <v/>
      </c>
      <c r="HC137" s="9" t="str">
        <f t="shared" si="315"/>
        <v/>
      </c>
      <c r="HD137" s="9" t="str">
        <f t="shared" si="315"/>
        <v/>
      </c>
      <c r="HE137" s="9" t="str">
        <f t="shared" si="315"/>
        <v/>
      </c>
      <c r="HF137" s="9" t="str">
        <f t="shared" si="315"/>
        <v/>
      </c>
      <c r="HG137" s="9" t="str">
        <f t="shared" si="315"/>
        <v/>
      </c>
      <c r="HH137" s="9" t="str">
        <f t="shared" si="315"/>
        <v/>
      </c>
      <c r="HI137" s="9" t="str">
        <f t="shared" si="315"/>
        <v/>
      </c>
      <c r="HJ137" s="9" t="str">
        <f t="shared" si="315"/>
        <v/>
      </c>
      <c r="HK137" s="9" t="str">
        <f t="shared" si="315"/>
        <v/>
      </c>
      <c r="HL137" s="9" t="str">
        <f t="shared" si="315"/>
        <v/>
      </c>
      <c r="HM137" s="9" t="str">
        <f t="shared" si="315"/>
        <v/>
      </c>
      <c r="HN137" s="9" t="str">
        <f t="shared" si="315"/>
        <v/>
      </c>
      <c r="HO137" s="9" t="str">
        <f t="shared" si="315"/>
        <v/>
      </c>
      <c r="HP137" s="9" t="str">
        <f t="shared" si="315"/>
        <v/>
      </c>
      <c r="HQ137" s="9" t="str">
        <f t="shared" si="315"/>
        <v/>
      </c>
      <c r="HR137" s="9" t="str">
        <f t="shared" si="315"/>
        <v/>
      </c>
      <c r="HS137" s="9" t="str">
        <f t="shared" si="315"/>
        <v/>
      </c>
      <c r="HT137" s="9" t="str">
        <f t="shared" si="315"/>
        <v/>
      </c>
      <c r="HU137" s="9" t="str">
        <f t="shared" si="315"/>
        <v/>
      </c>
      <c r="HV137" s="9" t="str">
        <f t="shared" si="315"/>
        <v/>
      </c>
      <c r="HW137" s="9" t="str">
        <f t="shared" si="315"/>
        <v/>
      </c>
      <c r="HX137" s="9" t="str">
        <f t="shared" si="315"/>
        <v/>
      </c>
      <c r="HY137" s="9" t="str">
        <f t="shared" si="315"/>
        <v/>
      </c>
      <c r="HZ137" s="9" t="str">
        <f t="shared" si="315"/>
        <v/>
      </c>
      <c r="IA137" s="9" t="str">
        <f t="shared" si="315"/>
        <v/>
      </c>
      <c r="IB137" s="9" t="str">
        <f t="shared" si="315"/>
        <v/>
      </c>
      <c r="IC137" s="9" t="str">
        <f t="shared" si="315"/>
        <v/>
      </c>
      <c r="ID137" s="9" t="str">
        <f t="shared" si="315"/>
        <v/>
      </c>
      <c r="IE137" s="9" t="str">
        <f t="shared" si="315"/>
        <v/>
      </c>
      <c r="IF137" s="9" t="str">
        <f t="shared" si="315"/>
        <v/>
      </c>
      <c r="IG137" s="9" t="str">
        <f t="shared" si="315"/>
        <v/>
      </c>
      <c r="IH137" s="9" t="str">
        <f t="shared" si="315"/>
        <v/>
      </c>
      <c r="II137" s="9" t="str">
        <f t="shared" si="315"/>
        <v/>
      </c>
      <c r="IJ137" s="9" t="str">
        <f t="shared" si="315"/>
        <v/>
      </c>
      <c r="IK137" s="9" t="str">
        <f t="shared" si="315"/>
        <v/>
      </c>
      <c r="IL137" s="9" t="str">
        <f t="shared" si="315"/>
        <v/>
      </c>
      <c r="IM137" s="9" t="str">
        <f t="shared" si="315"/>
        <v/>
      </c>
      <c r="IN137" s="9" t="str">
        <f t="shared" si="315"/>
        <v/>
      </c>
      <c r="IO137" s="9" t="str">
        <f t="shared" si="315"/>
        <v/>
      </c>
      <c r="IP137" s="9" t="str">
        <f t="shared" si="315"/>
        <v/>
      </c>
      <c r="IQ137" s="9" t="str">
        <f t="shared" si="315"/>
        <v/>
      </c>
      <c r="IR137" s="9" t="str">
        <f t="shared" si="315"/>
        <v/>
      </c>
      <c r="IS137" s="9" t="str">
        <f t="shared" si="315"/>
        <v/>
      </c>
      <c r="IT137" s="9" t="str">
        <f t="shared" si="315"/>
        <v/>
      </c>
      <c r="IU137" s="9" t="str">
        <f t="shared" si="315"/>
        <v/>
      </c>
      <c r="IV137" s="9" t="str">
        <f t="shared" si="315"/>
        <v/>
      </c>
    </row>
    <row r="138" spans="6:256" x14ac:dyDescent="0.2">
      <c r="F138">
        <v>202306</v>
      </c>
      <c r="G138" s="9">
        <f t="shared" ref="G138:BR138" si="316">IF(OR(H46 = "", H$8 &lt; G$8), "", 1)</f>
        <v>1</v>
      </c>
      <c r="H138" s="9">
        <f t="shared" si="316"/>
        <v>1</v>
      </c>
      <c r="I138" s="9">
        <f t="shared" si="316"/>
        <v>1</v>
      </c>
      <c r="J138" s="9">
        <f t="shared" si="316"/>
        <v>1</v>
      </c>
      <c r="K138" s="9">
        <f t="shared" si="316"/>
        <v>1</v>
      </c>
      <c r="L138" s="9">
        <f t="shared" si="316"/>
        <v>1</v>
      </c>
      <c r="M138" s="9">
        <f t="shared" si="316"/>
        <v>1</v>
      </c>
      <c r="N138" s="9">
        <f t="shared" si="316"/>
        <v>1</v>
      </c>
      <c r="O138" s="9">
        <f t="shared" si="316"/>
        <v>1</v>
      </c>
      <c r="P138" s="9">
        <f t="shared" si="316"/>
        <v>1</v>
      </c>
      <c r="Q138" s="9">
        <f t="shared" si="316"/>
        <v>1</v>
      </c>
      <c r="R138" s="9">
        <f t="shared" si="316"/>
        <v>1</v>
      </c>
      <c r="S138" s="9">
        <f t="shared" si="316"/>
        <v>1</v>
      </c>
      <c r="T138" s="9" t="str">
        <f t="shared" si="316"/>
        <v/>
      </c>
      <c r="U138" s="9" t="str">
        <f t="shared" si="316"/>
        <v/>
      </c>
      <c r="V138" s="9" t="str">
        <f t="shared" si="316"/>
        <v/>
      </c>
      <c r="W138" s="9" t="str">
        <f t="shared" si="316"/>
        <v/>
      </c>
      <c r="X138" s="9" t="str">
        <f t="shared" si="316"/>
        <v/>
      </c>
      <c r="Y138" s="9" t="str">
        <f t="shared" si="316"/>
        <v/>
      </c>
      <c r="Z138" s="9" t="str">
        <f t="shared" si="316"/>
        <v/>
      </c>
      <c r="AA138" s="9" t="str">
        <f t="shared" si="316"/>
        <v/>
      </c>
      <c r="AB138" s="9" t="str">
        <f t="shared" si="316"/>
        <v/>
      </c>
      <c r="AC138" s="9" t="str">
        <f t="shared" si="316"/>
        <v/>
      </c>
      <c r="AD138" s="9" t="str">
        <f t="shared" si="316"/>
        <v/>
      </c>
      <c r="AE138" s="9" t="str">
        <f t="shared" si="316"/>
        <v/>
      </c>
      <c r="AF138" s="9" t="str">
        <f t="shared" si="316"/>
        <v/>
      </c>
      <c r="AG138" s="9" t="str">
        <f t="shared" si="316"/>
        <v/>
      </c>
      <c r="AH138" s="9" t="str">
        <f t="shared" si="316"/>
        <v/>
      </c>
      <c r="AI138" s="9" t="str">
        <f t="shared" si="316"/>
        <v/>
      </c>
      <c r="AJ138" s="9" t="str">
        <f t="shared" si="316"/>
        <v/>
      </c>
      <c r="AK138" s="9" t="str">
        <f t="shared" si="316"/>
        <v/>
      </c>
      <c r="AL138" s="9" t="str">
        <f t="shared" si="316"/>
        <v/>
      </c>
      <c r="AM138" s="9" t="str">
        <f t="shared" si="316"/>
        <v/>
      </c>
      <c r="AN138" s="9" t="str">
        <f t="shared" si="316"/>
        <v/>
      </c>
      <c r="AO138" s="9" t="str">
        <f t="shared" si="316"/>
        <v/>
      </c>
      <c r="AP138" s="9" t="str">
        <f t="shared" si="316"/>
        <v/>
      </c>
      <c r="AQ138" s="9" t="str">
        <f t="shared" si="316"/>
        <v/>
      </c>
      <c r="AR138" s="9" t="str">
        <f t="shared" si="316"/>
        <v/>
      </c>
      <c r="AS138" s="9" t="str">
        <f t="shared" si="316"/>
        <v/>
      </c>
      <c r="AT138" s="9" t="str">
        <f t="shared" si="316"/>
        <v/>
      </c>
      <c r="AU138" s="9" t="str">
        <f t="shared" si="316"/>
        <v/>
      </c>
      <c r="AV138" s="9" t="str">
        <f t="shared" si="316"/>
        <v/>
      </c>
      <c r="AW138" s="9" t="str">
        <f t="shared" si="316"/>
        <v/>
      </c>
      <c r="AX138" s="9" t="str">
        <f t="shared" si="316"/>
        <v/>
      </c>
      <c r="AY138" s="9" t="str">
        <f t="shared" si="316"/>
        <v/>
      </c>
      <c r="AZ138" s="9" t="str">
        <f t="shared" si="316"/>
        <v/>
      </c>
      <c r="BA138" s="9" t="str">
        <f t="shared" si="316"/>
        <v/>
      </c>
      <c r="BB138" s="9" t="str">
        <f t="shared" si="316"/>
        <v/>
      </c>
      <c r="BC138" s="9" t="str">
        <f t="shared" si="316"/>
        <v/>
      </c>
      <c r="BD138" s="9" t="str">
        <f t="shared" si="316"/>
        <v/>
      </c>
      <c r="BE138" s="9" t="str">
        <f t="shared" si="316"/>
        <v/>
      </c>
      <c r="BF138" s="9" t="str">
        <f t="shared" si="316"/>
        <v/>
      </c>
      <c r="BG138" s="9" t="str">
        <f t="shared" si="316"/>
        <v/>
      </c>
      <c r="BH138" s="9" t="str">
        <f t="shared" si="316"/>
        <v/>
      </c>
      <c r="BI138" s="9" t="str">
        <f t="shared" si="316"/>
        <v/>
      </c>
      <c r="BJ138" s="9" t="str">
        <f t="shared" si="316"/>
        <v/>
      </c>
      <c r="BK138" s="9" t="str">
        <f t="shared" si="316"/>
        <v/>
      </c>
      <c r="BL138" s="9" t="str">
        <f t="shared" si="316"/>
        <v/>
      </c>
      <c r="BM138" s="9" t="str">
        <f t="shared" si="316"/>
        <v/>
      </c>
      <c r="BN138" s="9" t="str">
        <f t="shared" si="316"/>
        <v/>
      </c>
      <c r="BO138" s="9" t="str">
        <f t="shared" si="316"/>
        <v/>
      </c>
      <c r="BP138" s="9" t="str">
        <f t="shared" si="316"/>
        <v/>
      </c>
      <c r="BQ138" s="9" t="str">
        <f t="shared" si="316"/>
        <v/>
      </c>
      <c r="BR138" s="9" t="str">
        <f t="shared" si="316"/>
        <v/>
      </c>
      <c r="BS138" s="9" t="str">
        <f t="shared" ref="BS138:ED138" si="317">IF(OR(BT46 = "", BT$8 &lt; BS$8), "", 1)</f>
        <v/>
      </c>
      <c r="BT138" s="9" t="str">
        <f t="shared" si="317"/>
        <v/>
      </c>
      <c r="BU138" s="9" t="str">
        <f t="shared" si="317"/>
        <v/>
      </c>
      <c r="BV138" s="9" t="str">
        <f t="shared" si="317"/>
        <v/>
      </c>
      <c r="BW138" s="9" t="str">
        <f t="shared" si="317"/>
        <v/>
      </c>
      <c r="BX138" s="9" t="str">
        <f t="shared" si="317"/>
        <v/>
      </c>
      <c r="BY138" s="9" t="str">
        <f t="shared" si="317"/>
        <v/>
      </c>
      <c r="BZ138" s="9" t="str">
        <f t="shared" si="317"/>
        <v/>
      </c>
      <c r="CA138" s="9" t="str">
        <f t="shared" si="317"/>
        <v/>
      </c>
      <c r="CB138" s="9" t="str">
        <f t="shared" si="317"/>
        <v/>
      </c>
      <c r="CC138" s="9" t="str">
        <f t="shared" si="317"/>
        <v/>
      </c>
      <c r="CD138" s="9" t="str">
        <f t="shared" si="317"/>
        <v/>
      </c>
      <c r="CE138" s="9" t="str">
        <f t="shared" si="317"/>
        <v/>
      </c>
      <c r="CF138" s="9" t="str">
        <f t="shared" si="317"/>
        <v/>
      </c>
      <c r="CG138" s="9" t="str">
        <f t="shared" si="317"/>
        <v/>
      </c>
      <c r="CH138" s="9" t="str">
        <f t="shared" si="317"/>
        <v/>
      </c>
      <c r="CI138" s="9" t="str">
        <f t="shared" si="317"/>
        <v/>
      </c>
      <c r="CJ138" s="9" t="str">
        <f t="shared" si="317"/>
        <v/>
      </c>
      <c r="CK138" s="9" t="str">
        <f t="shared" si="317"/>
        <v/>
      </c>
      <c r="CL138" s="9" t="str">
        <f t="shared" si="317"/>
        <v/>
      </c>
      <c r="CM138" s="9" t="str">
        <f t="shared" si="317"/>
        <v/>
      </c>
      <c r="CN138" s="9" t="str">
        <f t="shared" si="317"/>
        <v/>
      </c>
      <c r="CO138" s="9" t="str">
        <f t="shared" si="317"/>
        <v/>
      </c>
      <c r="CP138" s="9" t="str">
        <f t="shared" si="317"/>
        <v/>
      </c>
      <c r="CQ138" s="9" t="str">
        <f t="shared" si="317"/>
        <v/>
      </c>
      <c r="CR138" s="9" t="str">
        <f t="shared" si="317"/>
        <v/>
      </c>
      <c r="CS138" s="9" t="str">
        <f t="shared" si="317"/>
        <v/>
      </c>
      <c r="CT138" s="9" t="str">
        <f t="shared" si="317"/>
        <v/>
      </c>
      <c r="CU138" s="9" t="str">
        <f t="shared" si="317"/>
        <v/>
      </c>
      <c r="CV138" s="9" t="str">
        <f t="shared" si="317"/>
        <v/>
      </c>
      <c r="CW138" s="9" t="str">
        <f t="shared" si="317"/>
        <v/>
      </c>
      <c r="CX138" s="9" t="str">
        <f t="shared" si="317"/>
        <v/>
      </c>
      <c r="CY138" s="9" t="str">
        <f t="shared" si="317"/>
        <v/>
      </c>
      <c r="CZ138" s="9" t="str">
        <f t="shared" si="317"/>
        <v/>
      </c>
      <c r="DA138" s="9" t="str">
        <f t="shared" si="317"/>
        <v/>
      </c>
      <c r="DB138" s="9" t="str">
        <f t="shared" si="317"/>
        <v/>
      </c>
      <c r="DC138" s="9" t="str">
        <f t="shared" si="317"/>
        <v/>
      </c>
      <c r="DD138" s="9" t="str">
        <f t="shared" si="317"/>
        <v/>
      </c>
      <c r="DE138" s="9" t="str">
        <f t="shared" si="317"/>
        <v/>
      </c>
      <c r="DF138" s="9" t="str">
        <f t="shared" si="317"/>
        <v/>
      </c>
      <c r="DG138" s="9" t="str">
        <f t="shared" si="317"/>
        <v/>
      </c>
      <c r="DH138" s="9" t="str">
        <f t="shared" si="317"/>
        <v/>
      </c>
      <c r="DI138" s="9" t="str">
        <f t="shared" si="317"/>
        <v/>
      </c>
      <c r="DJ138" s="9" t="str">
        <f t="shared" si="317"/>
        <v/>
      </c>
      <c r="DK138" s="9" t="str">
        <f t="shared" si="317"/>
        <v/>
      </c>
      <c r="DL138" s="9" t="str">
        <f t="shared" si="317"/>
        <v/>
      </c>
      <c r="DM138" s="9" t="str">
        <f t="shared" si="317"/>
        <v/>
      </c>
      <c r="DN138" s="9" t="str">
        <f t="shared" si="317"/>
        <v/>
      </c>
      <c r="DO138" s="9" t="str">
        <f t="shared" si="317"/>
        <v/>
      </c>
      <c r="DP138" s="9" t="str">
        <f t="shared" si="317"/>
        <v/>
      </c>
      <c r="DQ138" s="9" t="str">
        <f t="shared" si="317"/>
        <v/>
      </c>
      <c r="DR138" s="9" t="str">
        <f t="shared" si="317"/>
        <v/>
      </c>
      <c r="DS138" s="9" t="str">
        <f t="shared" si="317"/>
        <v/>
      </c>
      <c r="DT138" s="9" t="str">
        <f t="shared" si="317"/>
        <v/>
      </c>
      <c r="DU138" s="9" t="str">
        <f t="shared" si="317"/>
        <v/>
      </c>
      <c r="DV138" s="9" t="str">
        <f t="shared" si="317"/>
        <v/>
      </c>
      <c r="DW138" s="9" t="str">
        <f t="shared" si="317"/>
        <v/>
      </c>
      <c r="DX138" s="9" t="str">
        <f t="shared" si="317"/>
        <v/>
      </c>
      <c r="DY138" s="9" t="str">
        <f t="shared" si="317"/>
        <v/>
      </c>
      <c r="DZ138" s="9" t="str">
        <f t="shared" si="317"/>
        <v/>
      </c>
      <c r="EA138" s="9" t="str">
        <f t="shared" si="317"/>
        <v/>
      </c>
      <c r="EB138" s="9">
        <f t="shared" si="317"/>
        <v>1</v>
      </c>
      <c r="EC138" s="9">
        <f t="shared" si="317"/>
        <v>1</v>
      </c>
      <c r="ED138" s="9">
        <f t="shared" si="317"/>
        <v>1</v>
      </c>
      <c r="EE138" s="9">
        <f t="shared" ref="EE138:GP138" si="318">IF(OR(EF46 = "", EF$8 &lt; EE$8), "", 1)</f>
        <v>1</v>
      </c>
      <c r="EF138" s="9">
        <f t="shared" si="318"/>
        <v>1</v>
      </c>
      <c r="EG138" s="9">
        <f t="shared" si="318"/>
        <v>1</v>
      </c>
      <c r="EH138" s="9">
        <f t="shared" si="318"/>
        <v>1</v>
      </c>
      <c r="EI138" s="9">
        <f t="shared" si="318"/>
        <v>1</v>
      </c>
      <c r="EJ138" s="9">
        <f t="shared" si="318"/>
        <v>1</v>
      </c>
      <c r="EK138" s="9">
        <f t="shared" si="318"/>
        <v>1</v>
      </c>
      <c r="EL138" s="9">
        <f t="shared" si="318"/>
        <v>1</v>
      </c>
      <c r="EM138" s="9">
        <f t="shared" si="318"/>
        <v>1</v>
      </c>
      <c r="EN138" s="9">
        <f t="shared" si="318"/>
        <v>1</v>
      </c>
      <c r="EO138" s="9" t="str">
        <f t="shared" si="318"/>
        <v/>
      </c>
      <c r="EP138" s="9" t="str">
        <f t="shared" si="318"/>
        <v/>
      </c>
      <c r="EQ138" s="9" t="str">
        <f t="shared" si="318"/>
        <v/>
      </c>
      <c r="ER138" s="9" t="str">
        <f t="shared" si="318"/>
        <v/>
      </c>
      <c r="ES138" s="9" t="str">
        <f t="shared" si="318"/>
        <v/>
      </c>
      <c r="ET138" s="9" t="str">
        <f t="shared" si="318"/>
        <v/>
      </c>
      <c r="EU138" s="9" t="str">
        <f t="shared" si="318"/>
        <v/>
      </c>
      <c r="EV138" s="9" t="str">
        <f t="shared" si="318"/>
        <v/>
      </c>
      <c r="EW138" s="9" t="str">
        <f t="shared" si="318"/>
        <v/>
      </c>
      <c r="EX138" s="9" t="str">
        <f t="shared" si="318"/>
        <v/>
      </c>
      <c r="EY138" s="9" t="str">
        <f t="shared" si="318"/>
        <v/>
      </c>
      <c r="EZ138" s="9" t="str">
        <f t="shared" si="318"/>
        <v/>
      </c>
      <c r="FA138" s="9" t="str">
        <f t="shared" si="318"/>
        <v/>
      </c>
      <c r="FB138" s="9" t="str">
        <f t="shared" si="318"/>
        <v/>
      </c>
      <c r="FC138" s="9" t="str">
        <f t="shared" si="318"/>
        <v/>
      </c>
      <c r="FD138" s="9" t="str">
        <f t="shared" si="318"/>
        <v/>
      </c>
      <c r="FE138" s="9" t="str">
        <f t="shared" si="318"/>
        <v/>
      </c>
      <c r="FF138" s="9" t="str">
        <f t="shared" si="318"/>
        <v/>
      </c>
      <c r="FG138" s="9" t="str">
        <f t="shared" si="318"/>
        <v/>
      </c>
      <c r="FH138" s="9" t="str">
        <f t="shared" si="318"/>
        <v/>
      </c>
      <c r="FI138" s="9" t="str">
        <f t="shared" si="318"/>
        <v/>
      </c>
      <c r="FJ138" s="9" t="str">
        <f t="shared" si="318"/>
        <v/>
      </c>
      <c r="FK138" s="9" t="str">
        <f t="shared" si="318"/>
        <v/>
      </c>
      <c r="FL138" s="9" t="str">
        <f t="shared" si="318"/>
        <v/>
      </c>
      <c r="FM138" s="9" t="str">
        <f t="shared" si="318"/>
        <v/>
      </c>
      <c r="FN138" s="9" t="str">
        <f t="shared" si="318"/>
        <v/>
      </c>
      <c r="FO138" s="9" t="str">
        <f t="shared" si="318"/>
        <v/>
      </c>
      <c r="FP138" s="9" t="str">
        <f t="shared" si="318"/>
        <v/>
      </c>
      <c r="FQ138" s="9" t="str">
        <f t="shared" si="318"/>
        <v/>
      </c>
      <c r="FR138" s="9" t="str">
        <f t="shared" si="318"/>
        <v/>
      </c>
      <c r="FS138" s="9" t="str">
        <f t="shared" si="318"/>
        <v/>
      </c>
      <c r="FT138" s="9" t="str">
        <f t="shared" si="318"/>
        <v/>
      </c>
      <c r="FU138" s="9" t="str">
        <f t="shared" si="318"/>
        <v/>
      </c>
      <c r="FV138" s="9" t="str">
        <f t="shared" si="318"/>
        <v/>
      </c>
      <c r="FW138" s="9" t="str">
        <f t="shared" si="318"/>
        <v/>
      </c>
      <c r="FX138" s="9" t="str">
        <f t="shared" si="318"/>
        <v/>
      </c>
      <c r="FY138" s="9" t="str">
        <f t="shared" si="318"/>
        <v/>
      </c>
      <c r="FZ138" s="9" t="str">
        <f t="shared" si="318"/>
        <v/>
      </c>
      <c r="GA138" s="9" t="str">
        <f t="shared" si="318"/>
        <v/>
      </c>
      <c r="GB138" s="9" t="str">
        <f t="shared" si="318"/>
        <v/>
      </c>
      <c r="GC138" s="9" t="str">
        <f t="shared" si="318"/>
        <v/>
      </c>
      <c r="GD138" s="9" t="str">
        <f t="shared" si="318"/>
        <v/>
      </c>
      <c r="GE138" s="9" t="str">
        <f t="shared" si="318"/>
        <v/>
      </c>
      <c r="GF138" s="9" t="str">
        <f t="shared" si="318"/>
        <v/>
      </c>
      <c r="GG138" s="9" t="str">
        <f t="shared" si="318"/>
        <v/>
      </c>
      <c r="GH138" s="9" t="str">
        <f t="shared" si="318"/>
        <v/>
      </c>
      <c r="GI138" s="9" t="str">
        <f t="shared" si="318"/>
        <v/>
      </c>
      <c r="GJ138" s="9" t="str">
        <f t="shared" si="318"/>
        <v/>
      </c>
      <c r="GK138" s="9" t="str">
        <f t="shared" si="318"/>
        <v/>
      </c>
      <c r="GL138" s="9" t="str">
        <f t="shared" si="318"/>
        <v/>
      </c>
      <c r="GM138" s="9" t="str">
        <f t="shared" si="318"/>
        <v/>
      </c>
      <c r="GN138" s="9" t="str">
        <f t="shared" si="318"/>
        <v/>
      </c>
      <c r="GO138" s="9" t="str">
        <f t="shared" si="318"/>
        <v/>
      </c>
      <c r="GP138" s="9" t="str">
        <f t="shared" si="318"/>
        <v/>
      </c>
      <c r="GQ138" s="9" t="str">
        <f t="shared" ref="GQ138:IV138" si="319">IF(OR(GR46 = "", GR$8 &lt; GQ$8), "", 1)</f>
        <v/>
      </c>
      <c r="GR138" s="9" t="str">
        <f t="shared" si="319"/>
        <v/>
      </c>
      <c r="GS138" s="9" t="str">
        <f t="shared" si="319"/>
        <v/>
      </c>
      <c r="GT138" s="9" t="str">
        <f t="shared" si="319"/>
        <v/>
      </c>
      <c r="GU138" s="9" t="str">
        <f t="shared" si="319"/>
        <v/>
      </c>
      <c r="GV138" s="9" t="str">
        <f t="shared" si="319"/>
        <v/>
      </c>
      <c r="GW138" s="9" t="str">
        <f t="shared" si="319"/>
        <v/>
      </c>
      <c r="GX138" s="9" t="str">
        <f t="shared" si="319"/>
        <v/>
      </c>
      <c r="GY138" s="9" t="str">
        <f t="shared" si="319"/>
        <v/>
      </c>
      <c r="GZ138" s="9" t="str">
        <f t="shared" si="319"/>
        <v/>
      </c>
      <c r="HA138" s="9" t="str">
        <f t="shared" si="319"/>
        <v/>
      </c>
      <c r="HB138" s="9" t="str">
        <f t="shared" si="319"/>
        <v/>
      </c>
      <c r="HC138" s="9" t="str">
        <f t="shared" si="319"/>
        <v/>
      </c>
      <c r="HD138" s="9" t="str">
        <f t="shared" si="319"/>
        <v/>
      </c>
      <c r="HE138" s="9" t="str">
        <f t="shared" si="319"/>
        <v/>
      </c>
      <c r="HF138" s="9" t="str">
        <f t="shared" si="319"/>
        <v/>
      </c>
      <c r="HG138" s="9" t="str">
        <f t="shared" si="319"/>
        <v/>
      </c>
      <c r="HH138" s="9" t="str">
        <f t="shared" si="319"/>
        <v/>
      </c>
      <c r="HI138" s="9" t="str">
        <f t="shared" si="319"/>
        <v/>
      </c>
      <c r="HJ138" s="9" t="str">
        <f t="shared" si="319"/>
        <v/>
      </c>
      <c r="HK138" s="9" t="str">
        <f t="shared" si="319"/>
        <v/>
      </c>
      <c r="HL138" s="9" t="str">
        <f t="shared" si="319"/>
        <v/>
      </c>
      <c r="HM138" s="9" t="str">
        <f t="shared" si="319"/>
        <v/>
      </c>
      <c r="HN138" s="9" t="str">
        <f t="shared" si="319"/>
        <v/>
      </c>
      <c r="HO138" s="9" t="str">
        <f t="shared" si="319"/>
        <v/>
      </c>
      <c r="HP138" s="9" t="str">
        <f t="shared" si="319"/>
        <v/>
      </c>
      <c r="HQ138" s="9" t="str">
        <f t="shared" si="319"/>
        <v/>
      </c>
      <c r="HR138" s="9" t="str">
        <f t="shared" si="319"/>
        <v/>
      </c>
      <c r="HS138" s="9" t="str">
        <f t="shared" si="319"/>
        <v/>
      </c>
      <c r="HT138" s="9" t="str">
        <f t="shared" si="319"/>
        <v/>
      </c>
      <c r="HU138" s="9" t="str">
        <f t="shared" si="319"/>
        <v/>
      </c>
      <c r="HV138" s="9" t="str">
        <f t="shared" si="319"/>
        <v/>
      </c>
      <c r="HW138" s="9" t="str">
        <f t="shared" si="319"/>
        <v/>
      </c>
      <c r="HX138" s="9" t="str">
        <f t="shared" si="319"/>
        <v/>
      </c>
      <c r="HY138" s="9" t="str">
        <f t="shared" si="319"/>
        <v/>
      </c>
      <c r="HZ138" s="9" t="str">
        <f t="shared" si="319"/>
        <v/>
      </c>
      <c r="IA138" s="9" t="str">
        <f t="shared" si="319"/>
        <v/>
      </c>
      <c r="IB138" s="9" t="str">
        <f t="shared" si="319"/>
        <v/>
      </c>
      <c r="IC138" s="9" t="str">
        <f t="shared" si="319"/>
        <v/>
      </c>
      <c r="ID138" s="9" t="str">
        <f t="shared" si="319"/>
        <v/>
      </c>
      <c r="IE138" s="9" t="str">
        <f t="shared" si="319"/>
        <v/>
      </c>
      <c r="IF138" s="9" t="str">
        <f t="shared" si="319"/>
        <v/>
      </c>
      <c r="IG138" s="9" t="str">
        <f t="shared" si="319"/>
        <v/>
      </c>
      <c r="IH138" s="9" t="str">
        <f t="shared" si="319"/>
        <v/>
      </c>
      <c r="II138" s="9" t="str">
        <f t="shared" si="319"/>
        <v/>
      </c>
      <c r="IJ138" s="9" t="str">
        <f t="shared" si="319"/>
        <v/>
      </c>
      <c r="IK138" s="9" t="str">
        <f t="shared" si="319"/>
        <v/>
      </c>
      <c r="IL138" s="9" t="str">
        <f t="shared" si="319"/>
        <v/>
      </c>
      <c r="IM138" s="9" t="str">
        <f t="shared" si="319"/>
        <v/>
      </c>
      <c r="IN138" s="9" t="str">
        <f t="shared" si="319"/>
        <v/>
      </c>
      <c r="IO138" s="9" t="str">
        <f t="shared" si="319"/>
        <v/>
      </c>
      <c r="IP138" s="9" t="str">
        <f t="shared" si="319"/>
        <v/>
      </c>
      <c r="IQ138" s="9" t="str">
        <f t="shared" si="319"/>
        <v/>
      </c>
      <c r="IR138" s="9" t="str">
        <f t="shared" si="319"/>
        <v/>
      </c>
      <c r="IS138" s="9" t="str">
        <f t="shared" si="319"/>
        <v/>
      </c>
      <c r="IT138" s="9" t="str">
        <f t="shared" si="319"/>
        <v/>
      </c>
      <c r="IU138" s="9" t="str">
        <f t="shared" si="319"/>
        <v/>
      </c>
      <c r="IV138" s="9" t="str">
        <f t="shared" si="319"/>
        <v/>
      </c>
    </row>
    <row r="139" spans="6:256" x14ac:dyDescent="0.2">
      <c r="F139">
        <v>202309</v>
      </c>
      <c r="G139" s="9">
        <f t="shared" ref="G139:BR139" si="320">IF(OR(H47 = "", H$8 &lt; G$8), "", 1)</f>
        <v>1</v>
      </c>
      <c r="H139" s="9">
        <f t="shared" si="320"/>
        <v>1</v>
      </c>
      <c r="I139" s="9">
        <f t="shared" si="320"/>
        <v>1</v>
      </c>
      <c r="J139" s="9">
        <f t="shared" si="320"/>
        <v>1</v>
      </c>
      <c r="K139" s="9">
        <f t="shared" si="320"/>
        <v>1</v>
      </c>
      <c r="L139" s="9">
        <f t="shared" si="320"/>
        <v>1</v>
      </c>
      <c r="M139" s="9">
        <f t="shared" si="320"/>
        <v>1</v>
      </c>
      <c r="N139" s="9">
        <f t="shared" si="320"/>
        <v>1</v>
      </c>
      <c r="O139" s="9">
        <f t="shared" si="320"/>
        <v>1</v>
      </c>
      <c r="P139" s="9">
        <f t="shared" si="320"/>
        <v>1</v>
      </c>
      <c r="Q139" s="9" t="str">
        <f t="shared" si="320"/>
        <v/>
      </c>
      <c r="R139" s="9" t="str">
        <f t="shared" si="320"/>
        <v/>
      </c>
      <c r="S139" s="9" t="str">
        <f t="shared" si="320"/>
        <v/>
      </c>
      <c r="T139" s="9" t="str">
        <f t="shared" si="320"/>
        <v/>
      </c>
      <c r="U139" s="9" t="str">
        <f t="shared" si="320"/>
        <v/>
      </c>
      <c r="V139" s="9" t="str">
        <f t="shared" si="320"/>
        <v/>
      </c>
      <c r="W139" s="9" t="str">
        <f t="shared" si="320"/>
        <v/>
      </c>
      <c r="X139" s="9" t="str">
        <f t="shared" si="320"/>
        <v/>
      </c>
      <c r="Y139" s="9" t="str">
        <f t="shared" si="320"/>
        <v/>
      </c>
      <c r="Z139" s="9" t="str">
        <f t="shared" si="320"/>
        <v/>
      </c>
      <c r="AA139" s="9" t="str">
        <f t="shared" si="320"/>
        <v/>
      </c>
      <c r="AB139" s="9" t="str">
        <f t="shared" si="320"/>
        <v/>
      </c>
      <c r="AC139" s="9" t="str">
        <f t="shared" si="320"/>
        <v/>
      </c>
      <c r="AD139" s="9" t="str">
        <f t="shared" si="320"/>
        <v/>
      </c>
      <c r="AE139" s="9" t="str">
        <f t="shared" si="320"/>
        <v/>
      </c>
      <c r="AF139" s="9" t="str">
        <f t="shared" si="320"/>
        <v/>
      </c>
      <c r="AG139" s="9" t="str">
        <f t="shared" si="320"/>
        <v/>
      </c>
      <c r="AH139" s="9" t="str">
        <f t="shared" si="320"/>
        <v/>
      </c>
      <c r="AI139" s="9" t="str">
        <f t="shared" si="320"/>
        <v/>
      </c>
      <c r="AJ139" s="9" t="str">
        <f t="shared" si="320"/>
        <v/>
      </c>
      <c r="AK139" s="9" t="str">
        <f t="shared" si="320"/>
        <v/>
      </c>
      <c r="AL139" s="9" t="str">
        <f t="shared" si="320"/>
        <v/>
      </c>
      <c r="AM139" s="9" t="str">
        <f t="shared" si="320"/>
        <v/>
      </c>
      <c r="AN139" s="9" t="str">
        <f t="shared" si="320"/>
        <v/>
      </c>
      <c r="AO139" s="9" t="str">
        <f t="shared" si="320"/>
        <v/>
      </c>
      <c r="AP139" s="9" t="str">
        <f t="shared" si="320"/>
        <v/>
      </c>
      <c r="AQ139" s="9" t="str">
        <f t="shared" si="320"/>
        <v/>
      </c>
      <c r="AR139" s="9" t="str">
        <f t="shared" si="320"/>
        <v/>
      </c>
      <c r="AS139" s="9" t="str">
        <f t="shared" si="320"/>
        <v/>
      </c>
      <c r="AT139" s="9" t="str">
        <f t="shared" si="320"/>
        <v/>
      </c>
      <c r="AU139" s="9" t="str">
        <f t="shared" si="320"/>
        <v/>
      </c>
      <c r="AV139" s="9" t="str">
        <f t="shared" si="320"/>
        <v/>
      </c>
      <c r="AW139" s="9" t="str">
        <f t="shared" si="320"/>
        <v/>
      </c>
      <c r="AX139" s="9" t="str">
        <f t="shared" si="320"/>
        <v/>
      </c>
      <c r="AY139" s="9" t="str">
        <f t="shared" si="320"/>
        <v/>
      </c>
      <c r="AZ139" s="9" t="str">
        <f t="shared" si="320"/>
        <v/>
      </c>
      <c r="BA139" s="9" t="str">
        <f t="shared" si="320"/>
        <v/>
      </c>
      <c r="BB139" s="9" t="str">
        <f t="shared" si="320"/>
        <v/>
      </c>
      <c r="BC139" s="9" t="str">
        <f t="shared" si="320"/>
        <v/>
      </c>
      <c r="BD139" s="9" t="str">
        <f t="shared" si="320"/>
        <v/>
      </c>
      <c r="BE139" s="9" t="str">
        <f t="shared" si="320"/>
        <v/>
      </c>
      <c r="BF139" s="9" t="str">
        <f t="shared" si="320"/>
        <v/>
      </c>
      <c r="BG139" s="9" t="str">
        <f t="shared" si="320"/>
        <v/>
      </c>
      <c r="BH139" s="9" t="str">
        <f t="shared" si="320"/>
        <v/>
      </c>
      <c r="BI139" s="9" t="str">
        <f t="shared" si="320"/>
        <v/>
      </c>
      <c r="BJ139" s="9" t="str">
        <f t="shared" si="320"/>
        <v/>
      </c>
      <c r="BK139" s="9" t="str">
        <f t="shared" si="320"/>
        <v/>
      </c>
      <c r="BL139" s="9" t="str">
        <f t="shared" si="320"/>
        <v/>
      </c>
      <c r="BM139" s="9" t="str">
        <f t="shared" si="320"/>
        <v/>
      </c>
      <c r="BN139" s="9" t="str">
        <f t="shared" si="320"/>
        <v/>
      </c>
      <c r="BO139" s="9" t="str">
        <f t="shared" si="320"/>
        <v/>
      </c>
      <c r="BP139" s="9" t="str">
        <f t="shared" si="320"/>
        <v/>
      </c>
      <c r="BQ139" s="9" t="str">
        <f t="shared" si="320"/>
        <v/>
      </c>
      <c r="BR139" s="9" t="str">
        <f t="shared" si="320"/>
        <v/>
      </c>
      <c r="BS139" s="9" t="str">
        <f t="shared" ref="BS139:ED139" si="321">IF(OR(BT47 = "", BT$8 &lt; BS$8), "", 1)</f>
        <v/>
      </c>
      <c r="BT139" s="9" t="str">
        <f t="shared" si="321"/>
        <v/>
      </c>
      <c r="BU139" s="9" t="str">
        <f t="shared" si="321"/>
        <v/>
      </c>
      <c r="BV139" s="9" t="str">
        <f t="shared" si="321"/>
        <v/>
      </c>
      <c r="BW139" s="9" t="str">
        <f t="shared" si="321"/>
        <v/>
      </c>
      <c r="BX139" s="9" t="str">
        <f t="shared" si="321"/>
        <v/>
      </c>
      <c r="BY139" s="9" t="str">
        <f t="shared" si="321"/>
        <v/>
      </c>
      <c r="BZ139" s="9" t="str">
        <f t="shared" si="321"/>
        <v/>
      </c>
      <c r="CA139" s="9" t="str">
        <f t="shared" si="321"/>
        <v/>
      </c>
      <c r="CB139" s="9" t="str">
        <f t="shared" si="321"/>
        <v/>
      </c>
      <c r="CC139" s="9" t="str">
        <f t="shared" si="321"/>
        <v/>
      </c>
      <c r="CD139" s="9" t="str">
        <f t="shared" si="321"/>
        <v/>
      </c>
      <c r="CE139" s="9" t="str">
        <f t="shared" si="321"/>
        <v/>
      </c>
      <c r="CF139" s="9" t="str">
        <f t="shared" si="321"/>
        <v/>
      </c>
      <c r="CG139" s="9" t="str">
        <f t="shared" si="321"/>
        <v/>
      </c>
      <c r="CH139" s="9" t="str">
        <f t="shared" si="321"/>
        <v/>
      </c>
      <c r="CI139" s="9" t="str">
        <f t="shared" si="321"/>
        <v/>
      </c>
      <c r="CJ139" s="9" t="str">
        <f t="shared" si="321"/>
        <v/>
      </c>
      <c r="CK139" s="9" t="str">
        <f t="shared" si="321"/>
        <v/>
      </c>
      <c r="CL139" s="9" t="str">
        <f t="shared" si="321"/>
        <v/>
      </c>
      <c r="CM139" s="9" t="str">
        <f t="shared" si="321"/>
        <v/>
      </c>
      <c r="CN139" s="9" t="str">
        <f t="shared" si="321"/>
        <v/>
      </c>
      <c r="CO139" s="9" t="str">
        <f t="shared" si="321"/>
        <v/>
      </c>
      <c r="CP139" s="9" t="str">
        <f t="shared" si="321"/>
        <v/>
      </c>
      <c r="CQ139" s="9" t="str">
        <f t="shared" si="321"/>
        <v/>
      </c>
      <c r="CR139" s="9" t="str">
        <f t="shared" si="321"/>
        <v/>
      </c>
      <c r="CS139" s="9" t="str">
        <f t="shared" si="321"/>
        <v/>
      </c>
      <c r="CT139" s="9" t="str">
        <f t="shared" si="321"/>
        <v/>
      </c>
      <c r="CU139" s="9" t="str">
        <f t="shared" si="321"/>
        <v/>
      </c>
      <c r="CV139" s="9" t="str">
        <f t="shared" si="321"/>
        <v/>
      </c>
      <c r="CW139" s="9" t="str">
        <f t="shared" si="321"/>
        <v/>
      </c>
      <c r="CX139" s="9" t="str">
        <f t="shared" si="321"/>
        <v/>
      </c>
      <c r="CY139" s="9" t="str">
        <f t="shared" si="321"/>
        <v/>
      </c>
      <c r="CZ139" s="9" t="str">
        <f t="shared" si="321"/>
        <v/>
      </c>
      <c r="DA139" s="9" t="str">
        <f t="shared" si="321"/>
        <v/>
      </c>
      <c r="DB139" s="9" t="str">
        <f t="shared" si="321"/>
        <v/>
      </c>
      <c r="DC139" s="9" t="str">
        <f t="shared" si="321"/>
        <v/>
      </c>
      <c r="DD139" s="9" t="str">
        <f t="shared" si="321"/>
        <v/>
      </c>
      <c r="DE139" s="9" t="str">
        <f t="shared" si="321"/>
        <v/>
      </c>
      <c r="DF139" s="9" t="str">
        <f t="shared" si="321"/>
        <v/>
      </c>
      <c r="DG139" s="9" t="str">
        <f t="shared" si="321"/>
        <v/>
      </c>
      <c r="DH139" s="9" t="str">
        <f t="shared" si="321"/>
        <v/>
      </c>
      <c r="DI139" s="9" t="str">
        <f t="shared" si="321"/>
        <v/>
      </c>
      <c r="DJ139" s="9" t="str">
        <f t="shared" si="321"/>
        <v/>
      </c>
      <c r="DK139" s="9" t="str">
        <f t="shared" si="321"/>
        <v/>
      </c>
      <c r="DL139" s="9" t="str">
        <f t="shared" si="321"/>
        <v/>
      </c>
      <c r="DM139" s="9" t="str">
        <f t="shared" si="321"/>
        <v/>
      </c>
      <c r="DN139" s="9" t="str">
        <f t="shared" si="321"/>
        <v/>
      </c>
      <c r="DO139" s="9" t="str">
        <f t="shared" si="321"/>
        <v/>
      </c>
      <c r="DP139" s="9" t="str">
        <f t="shared" si="321"/>
        <v/>
      </c>
      <c r="DQ139" s="9" t="str">
        <f t="shared" si="321"/>
        <v/>
      </c>
      <c r="DR139" s="9" t="str">
        <f t="shared" si="321"/>
        <v/>
      </c>
      <c r="DS139" s="9" t="str">
        <f t="shared" si="321"/>
        <v/>
      </c>
      <c r="DT139" s="9" t="str">
        <f t="shared" si="321"/>
        <v/>
      </c>
      <c r="DU139" s="9" t="str">
        <f t="shared" si="321"/>
        <v/>
      </c>
      <c r="DV139" s="9" t="str">
        <f t="shared" si="321"/>
        <v/>
      </c>
      <c r="DW139" s="9" t="str">
        <f t="shared" si="321"/>
        <v/>
      </c>
      <c r="DX139" s="9" t="str">
        <f t="shared" si="321"/>
        <v/>
      </c>
      <c r="DY139" s="9" t="str">
        <f t="shared" si="321"/>
        <v/>
      </c>
      <c r="DZ139" s="9" t="str">
        <f t="shared" si="321"/>
        <v/>
      </c>
      <c r="EA139" s="9" t="str">
        <f t="shared" si="321"/>
        <v/>
      </c>
      <c r="EB139" s="9">
        <f t="shared" si="321"/>
        <v>1</v>
      </c>
      <c r="EC139" s="9">
        <f t="shared" si="321"/>
        <v>1</v>
      </c>
      <c r="ED139" s="9">
        <f t="shared" si="321"/>
        <v>1</v>
      </c>
      <c r="EE139" s="9">
        <f t="shared" ref="EE139:GP139" si="322">IF(OR(EF47 = "", EF$8 &lt; EE$8), "", 1)</f>
        <v>1</v>
      </c>
      <c r="EF139" s="9">
        <f t="shared" si="322"/>
        <v>1</v>
      </c>
      <c r="EG139" s="9">
        <f t="shared" si="322"/>
        <v>1</v>
      </c>
      <c r="EH139" s="9">
        <f t="shared" si="322"/>
        <v>1</v>
      </c>
      <c r="EI139" s="9">
        <f t="shared" si="322"/>
        <v>1</v>
      </c>
      <c r="EJ139" s="9">
        <f t="shared" si="322"/>
        <v>1</v>
      </c>
      <c r="EK139" s="9">
        <f t="shared" si="322"/>
        <v>1</v>
      </c>
      <c r="EL139" s="9" t="str">
        <f t="shared" si="322"/>
        <v/>
      </c>
      <c r="EM139" s="9" t="str">
        <f t="shared" si="322"/>
        <v/>
      </c>
      <c r="EN139" s="9" t="str">
        <f t="shared" si="322"/>
        <v/>
      </c>
      <c r="EO139" s="9" t="str">
        <f t="shared" si="322"/>
        <v/>
      </c>
      <c r="EP139" s="9" t="str">
        <f t="shared" si="322"/>
        <v/>
      </c>
      <c r="EQ139" s="9" t="str">
        <f t="shared" si="322"/>
        <v/>
      </c>
      <c r="ER139" s="9" t="str">
        <f t="shared" si="322"/>
        <v/>
      </c>
      <c r="ES139" s="9" t="str">
        <f t="shared" si="322"/>
        <v/>
      </c>
      <c r="ET139" s="9" t="str">
        <f t="shared" si="322"/>
        <v/>
      </c>
      <c r="EU139" s="9" t="str">
        <f t="shared" si="322"/>
        <v/>
      </c>
      <c r="EV139" s="9" t="str">
        <f t="shared" si="322"/>
        <v/>
      </c>
      <c r="EW139" s="9" t="str">
        <f t="shared" si="322"/>
        <v/>
      </c>
      <c r="EX139" s="9" t="str">
        <f t="shared" si="322"/>
        <v/>
      </c>
      <c r="EY139" s="9" t="str">
        <f t="shared" si="322"/>
        <v/>
      </c>
      <c r="EZ139" s="9" t="str">
        <f t="shared" si="322"/>
        <v/>
      </c>
      <c r="FA139" s="9" t="str">
        <f t="shared" si="322"/>
        <v/>
      </c>
      <c r="FB139" s="9" t="str">
        <f t="shared" si="322"/>
        <v/>
      </c>
      <c r="FC139" s="9" t="str">
        <f t="shared" si="322"/>
        <v/>
      </c>
      <c r="FD139" s="9" t="str">
        <f t="shared" si="322"/>
        <v/>
      </c>
      <c r="FE139" s="9" t="str">
        <f t="shared" si="322"/>
        <v/>
      </c>
      <c r="FF139" s="9" t="str">
        <f t="shared" si="322"/>
        <v/>
      </c>
      <c r="FG139" s="9" t="str">
        <f t="shared" si="322"/>
        <v/>
      </c>
      <c r="FH139" s="9" t="str">
        <f t="shared" si="322"/>
        <v/>
      </c>
      <c r="FI139" s="9" t="str">
        <f t="shared" si="322"/>
        <v/>
      </c>
      <c r="FJ139" s="9" t="str">
        <f t="shared" si="322"/>
        <v/>
      </c>
      <c r="FK139" s="9" t="str">
        <f t="shared" si="322"/>
        <v/>
      </c>
      <c r="FL139" s="9" t="str">
        <f t="shared" si="322"/>
        <v/>
      </c>
      <c r="FM139" s="9" t="str">
        <f t="shared" si="322"/>
        <v/>
      </c>
      <c r="FN139" s="9" t="str">
        <f t="shared" si="322"/>
        <v/>
      </c>
      <c r="FO139" s="9" t="str">
        <f t="shared" si="322"/>
        <v/>
      </c>
      <c r="FP139" s="9" t="str">
        <f t="shared" si="322"/>
        <v/>
      </c>
      <c r="FQ139" s="9" t="str">
        <f t="shared" si="322"/>
        <v/>
      </c>
      <c r="FR139" s="9" t="str">
        <f t="shared" si="322"/>
        <v/>
      </c>
      <c r="FS139" s="9" t="str">
        <f t="shared" si="322"/>
        <v/>
      </c>
      <c r="FT139" s="9" t="str">
        <f t="shared" si="322"/>
        <v/>
      </c>
      <c r="FU139" s="9" t="str">
        <f t="shared" si="322"/>
        <v/>
      </c>
      <c r="FV139" s="9" t="str">
        <f t="shared" si="322"/>
        <v/>
      </c>
      <c r="FW139" s="9" t="str">
        <f t="shared" si="322"/>
        <v/>
      </c>
      <c r="FX139" s="9" t="str">
        <f t="shared" si="322"/>
        <v/>
      </c>
      <c r="FY139" s="9" t="str">
        <f t="shared" si="322"/>
        <v/>
      </c>
      <c r="FZ139" s="9" t="str">
        <f t="shared" si="322"/>
        <v/>
      </c>
      <c r="GA139" s="9" t="str">
        <f t="shared" si="322"/>
        <v/>
      </c>
      <c r="GB139" s="9" t="str">
        <f t="shared" si="322"/>
        <v/>
      </c>
      <c r="GC139" s="9" t="str">
        <f t="shared" si="322"/>
        <v/>
      </c>
      <c r="GD139" s="9" t="str">
        <f t="shared" si="322"/>
        <v/>
      </c>
      <c r="GE139" s="9" t="str">
        <f t="shared" si="322"/>
        <v/>
      </c>
      <c r="GF139" s="9" t="str">
        <f t="shared" si="322"/>
        <v/>
      </c>
      <c r="GG139" s="9" t="str">
        <f t="shared" si="322"/>
        <v/>
      </c>
      <c r="GH139" s="9" t="str">
        <f t="shared" si="322"/>
        <v/>
      </c>
      <c r="GI139" s="9" t="str">
        <f t="shared" si="322"/>
        <v/>
      </c>
      <c r="GJ139" s="9" t="str">
        <f t="shared" si="322"/>
        <v/>
      </c>
      <c r="GK139" s="9" t="str">
        <f t="shared" si="322"/>
        <v/>
      </c>
      <c r="GL139" s="9" t="str">
        <f t="shared" si="322"/>
        <v/>
      </c>
      <c r="GM139" s="9" t="str">
        <f t="shared" si="322"/>
        <v/>
      </c>
      <c r="GN139" s="9" t="str">
        <f t="shared" si="322"/>
        <v/>
      </c>
      <c r="GO139" s="9" t="str">
        <f t="shared" si="322"/>
        <v/>
      </c>
      <c r="GP139" s="9" t="str">
        <f t="shared" si="322"/>
        <v/>
      </c>
      <c r="GQ139" s="9" t="str">
        <f t="shared" ref="GQ139:IV139" si="323">IF(OR(GR47 = "", GR$8 &lt; GQ$8), "", 1)</f>
        <v/>
      </c>
      <c r="GR139" s="9" t="str">
        <f t="shared" si="323"/>
        <v/>
      </c>
      <c r="GS139" s="9" t="str">
        <f t="shared" si="323"/>
        <v/>
      </c>
      <c r="GT139" s="9" t="str">
        <f t="shared" si="323"/>
        <v/>
      </c>
      <c r="GU139" s="9" t="str">
        <f t="shared" si="323"/>
        <v/>
      </c>
      <c r="GV139" s="9" t="str">
        <f t="shared" si="323"/>
        <v/>
      </c>
      <c r="GW139" s="9" t="str">
        <f t="shared" si="323"/>
        <v/>
      </c>
      <c r="GX139" s="9" t="str">
        <f t="shared" si="323"/>
        <v/>
      </c>
      <c r="GY139" s="9" t="str">
        <f t="shared" si="323"/>
        <v/>
      </c>
      <c r="GZ139" s="9" t="str">
        <f t="shared" si="323"/>
        <v/>
      </c>
      <c r="HA139" s="9" t="str">
        <f t="shared" si="323"/>
        <v/>
      </c>
      <c r="HB139" s="9" t="str">
        <f t="shared" si="323"/>
        <v/>
      </c>
      <c r="HC139" s="9" t="str">
        <f t="shared" si="323"/>
        <v/>
      </c>
      <c r="HD139" s="9" t="str">
        <f t="shared" si="323"/>
        <v/>
      </c>
      <c r="HE139" s="9" t="str">
        <f t="shared" si="323"/>
        <v/>
      </c>
      <c r="HF139" s="9" t="str">
        <f t="shared" si="323"/>
        <v/>
      </c>
      <c r="HG139" s="9" t="str">
        <f t="shared" si="323"/>
        <v/>
      </c>
      <c r="HH139" s="9" t="str">
        <f t="shared" si="323"/>
        <v/>
      </c>
      <c r="HI139" s="9" t="str">
        <f t="shared" si="323"/>
        <v/>
      </c>
      <c r="HJ139" s="9" t="str">
        <f t="shared" si="323"/>
        <v/>
      </c>
      <c r="HK139" s="9" t="str">
        <f t="shared" si="323"/>
        <v/>
      </c>
      <c r="HL139" s="9" t="str">
        <f t="shared" si="323"/>
        <v/>
      </c>
      <c r="HM139" s="9" t="str">
        <f t="shared" si="323"/>
        <v/>
      </c>
      <c r="HN139" s="9" t="str">
        <f t="shared" si="323"/>
        <v/>
      </c>
      <c r="HO139" s="9" t="str">
        <f t="shared" si="323"/>
        <v/>
      </c>
      <c r="HP139" s="9" t="str">
        <f t="shared" si="323"/>
        <v/>
      </c>
      <c r="HQ139" s="9" t="str">
        <f t="shared" si="323"/>
        <v/>
      </c>
      <c r="HR139" s="9" t="str">
        <f t="shared" si="323"/>
        <v/>
      </c>
      <c r="HS139" s="9" t="str">
        <f t="shared" si="323"/>
        <v/>
      </c>
      <c r="HT139" s="9" t="str">
        <f t="shared" si="323"/>
        <v/>
      </c>
      <c r="HU139" s="9" t="str">
        <f t="shared" si="323"/>
        <v/>
      </c>
      <c r="HV139" s="9" t="str">
        <f t="shared" si="323"/>
        <v/>
      </c>
      <c r="HW139" s="9" t="str">
        <f t="shared" si="323"/>
        <v/>
      </c>
      <c r="HX139" s="9" t="str">
        <f t="shared" si="323"/>
        <v/>
      </c>
      <c r="HY139" s="9" t="str">
        <f t="shared" si="323"/>
        <v/>
      </c>
      <c r="HZ139" s="9" t="str">
        <f t="shared" si="323"/>
        <v/>
      </c>
      <c r="IA139" s="9" t="str">
        <f t="shared" si="323"/>
        <v/>
      </c>
      <c r="IB139" s="9" t="str">
        <f t="shared" si="323"/>
        <v/>
      </c>
      <c r="IC139" s="9" t="str">
        <f t="shared" si="323"/>
        <v/>
      </c>
      <c r="ID139" s="9" t="str">
        <f t="shared" si="323"/>
        <v/>
      </c>
      <c r="IE139" s="9" t="str">
        <f t="shared" si="323"/>
        <v/>
      </c>
      <c r="IF139" s="9" t="str">
        <f t="shared" si="323"/>
        <v/>
      </c>
      <c r="IG139" s="9" t="str">
        <f t="shared" si="323"/>
        <v/>
      </c>
      <c r="IH139" s="9" t="str">
        <f t="shared" si="323"/>
        <v/>
      </c>
      <c r="II139" s="9" t="str">
        <f t="shared" si="323"/>
        <v/>
      </c>
      <c r="IJ139" s="9" t="str">
        <f t="shared" si="323"/>
        <v/>
      </c>
      <c r="IK139" s="9" t="str">
        <f t="shared" si="323"/>
        <v/>
      </c>
      <c r="IL139" s="9" t="str">
        <f t="shared" si="323"/>
        <v/>
      </c>
      <c r="IM139" s="9" t="str">
        <f t="shared" si="323"/>
        <v/>
      </c>
      <c r="IN139" s="9" t="str">
        <f t="shared" si="323"/>
        <v/>
      </c>
      <c r="IO139" s="9" t="str">
        <f t="shared" si="323"/>
        <v/>
      </c>
      <c r="IP139" s="9" t="str">
        <f t="shared" si="323"/>
        <v/>
      </c>
      <c r="IQ139" s="9" t="str">
        <f t="shared" si="323"/>
        <v/>
      </c>
      <c r="IR139" s="9" t="str">
        <f t="shared" si="323"/>
        <v/>
      </c>
      <c r="IS139" s="9" t="str">
        <f t="shared" si="323"/>
        <v/>
      </c>
      <c r="IT139" s="9" t="str">
        <f t="shared" si="323"/>
        <v/>
      </c>
      <c r="IU139" s="9" t="str">
        <f t="shared" si="323"/>
        <v/>
      </c>
      <c r="IV139" s="9" t="str">
        <f t="shared" si="323"/>
        <v/>
      </c>
    </row>
    <row r="140" spans="6:256" x14ac:dyDescent="0.2">
      <c r="F140">
        <v>202312</v>
      </c>
      <c r="G140" s="9">
        <f t="shared" ref="G140:BR140" si="324">IF(OR(H48 = "", H$8 &lt; G$8), "", 1)</f>
        <v>1</v>
      </c>
      <c r="H140" s="9">
        <f t="shared" si="324"/>
        <v>1</v>
      </c>
      <c r="I140" s="9">
        <f t="shared" si="324"/>
        <v>1</v>
      </c>
      <c r="J140" s="9">
        <f t="shared" si="324"/>
        <v>1</v>
      </c>
      <c r="K140" s="9">
        <f t="shared" si="324"/>
        <v>1</v>
      </c>
      <c r="L140" s="9">
        <f t="shared" si="324"/>
        <v>1</v>
      </c>
      <c r="M140" s="9">
        <f t="shared" si="324"/>
        <v>1</v>
      </c>
      <c r="N140" s="9" t="str">
        <f t="shared" si="324"/>
        <v/>
      </c>
      <c r="O140" s="9" t="str">
        <f t="shared" si="324"/>
        <v/>
      </c>
      <c r="P140" s="9" t="str">
        <f t="shared" si="324"/>
        <v/>
      </c>
      <c r="Q140" s="9" t="str">
        <f t="shared" si="324"/>
        <v/>
      </c>
      <c r="R140" s="9" t="str">
        <f t="shared" si="324"/>
        <v/>
      </c>
      <c r="S140" s="9" t="str">
        <f t="shared" si="324"/>
        <v/>
      </c>
      <c r="T140" s="9" t="str">
        <f t="shared" si="324"/>
        <v/>
      </c>
      <c r="U140" s="9" t="str">
        <f t="shared" si="324"/>
        <v/>
      </c>
      <c r="V140" s="9" t="str">
        <f t="shared" si="324"/>
        <v/>
      </c>
      <c r="W140" s="9" t="str">
        <f t="shared" si="324"/>
        <v/>
      </c>
      <c r="X140" s="9" t="str">
        <f t="shared" si="324"/>
        <v/>
      </c>
      <c r="Y140" s="9" t="str">
        <f t="shared" si="324"/>
        <v/>
      </c>
      <c r="Z140" s="9" t="str">
        <f t="shared" si="324"/>
        <v/>
      </c>
      <c r="AA140" s="9" t="str">
        <f t="shared" si="324"/>
        <v/>
      </c>
      <c r="AB140" s="9" t="str">
        <f t="shared" si="324"/>
        <v/>
      </c>
      <c r="AC140" s="9" t="str">
        <f t="shared" si="324"/>
        <v/>
      </c>
      <c r="AD140" s="9" t="str">
        <f t="shared" si="324"/>
        <v/>
      </c>
      <c r="AE140" s="9" t="str">
        <f t="shared" si="324"/>
        <v/>
      </c>
      <c r="AF140" s="9" t="str">
        <f t="shared" si="324"/>
        <v/>
      </c>
      <c r="AG140" s="9" t="str">
        <f t="shared" si="324"/>
        <v/>
      </c>
      <c r="AH140" s="9" t="str">
        <f t="shared" si="324"/>
        <v/>
      </c>
      <c r="AI140" s="9" t="str">
        <f t="shared" si="324"/>
        <v/>
      </c>
      <c r="AJ140" s="9" t="str">
        <f t="shared" si="324"/>
        <v/>
      </c>
      <c r="AK140" s="9" t="str">
        <f t="shared" si="324"/>
        <v/>
      </c>
      <c r="AL140" s="9" t="str">
        <f t="shared" si="324"/>
        <v/>
      </c>
      <c r="AM140" s="9" t="str">
        <f t="shared" si="324"/>
        <v/>
      </c>
      <c r="AN140" s="9" t="str">
        <f t="shared" si="324"/>
        <v/>
      </c>
      <c r="AO140" s="9" t="str">
        <f t="shared" si="324"/>
        <v/>
      </c>
      <c r="AP140" s="9" t="str">
        <f t="shared" si="324"/>
        <v/>
      </c>
      <c r="AQ140" s="9" t="str">
        <f t="shared" si="324"/>
        <v/>
      </c>
      <c r="AR140" s="9" t="str">
        <f t="shared" si="324"/>
        <v/>
      </c>
      <c r="AS140" s="9" t="str">
        <f t="shared" si="324"/>
        <v/>
      </c>
      <c r="AT140" s="9" t="str">
        <f t="shared" si="324"/>
        <v/>
      </c>
      <c r="AU140" s="9" t="str">
        <f t="shared" si="324"/>
        <v/>
      </c>
      <c r="AV140" s="9" t="str">
        <f t="shared" si="324"/>
        <v/>
      </c>
      <c r="AW140" s="9" t="str">
        <f t="shared" si="324"/>
        <v/>
      </c>
      <c r="AX140" s="9" t="str">
        <f t="shared" si="324"/>
        <v/>
      </c>
      <c r="AY140" s="9" t="str">
        <f t="shared" si="324"/>
        <v/>
      </c>
      <c r="AZ140" s="9" t="str">
        <f t="shared" si="324"/>
        <v/>
      </c>
      <c r="BA140" s="9" t="str">
        <f t="shared" si="324"/>
        <v/>
      </c>
      <c r="BB140" s="9" t="str">
        <f t="shared" si="324"/>
        <v/>
      </c>
      <c r="BC140" s="9" t="str">
        <f t="shared" si="324"/>
        <v/>
      </c>
      <c r="BD140" s="9" t="str">
        <f t="shared" si="324"/>
        <v/>
      </c>
      <c r="BE140" s="9" t="str">
        <f t="shared" si="324"/>
        <v/>
      </c>
      <c r="BF140" s="9" t="str">
        <f t="shared" si="324"/>
        <v/>
      </c>
      <c r="BG140" s="9" t="str">
        <f t="shared" si="324"/>
        <v/>
      </c>
      <c r="BH140" s="9" t="str">
        <f t="shared" si="324"/>
        <v/>
      </c>
      <c r="BI140" s="9" t="str">
        <f t="shared" si="324"/>
        <v/>
      </c>
      <c r="BJ140" s="9" t="str">
        <f t="shared" si="324"/>
        <v/>
      </c>
      <c r="BK140" s="9" t="str">
        <f t="shared" si="324"/>
        <v/>
      </c>
      <c r="BL140" s="9" t="str">
        <f t="shared" si="324"/>
        <v/>
      </c>
      <c r="BM140" s="9" t="str">
        <f t="shared" si="324"/>
        <v/>
      </c>
      <c r="BN140" s="9" t="str">
        <f t="shared" si="324"/>
        <v/>
      </c>
      <c r="BO140" s="9" t="str">
        <f t="shared" si="324"/>
        <v/>
      </c>
      <c r="BP140" s="9" t="str">
        <f t="shared" si="324"/>
        <v/>
      </c>
      <c r="BQ140" s="9" t="str">
        <f t="shared" si="324"/>
        <v/>
      </c>
      <c r="BR140" s="9" t="str">
        <f t="shared" si="324"/>
        <v/>
      </c>
      <c r="BS140" s="9" t="str">
        <f t="shared" ref="BS140:ED140" si="325">IF(OR(BT48 = "", BT$8 &lt; BS$8), "", 1)</f>
        <v/>
      </c>
      <c r="BT140" s="9" t="str">
        <f t="shared" si="325"/>
        <v/>
      </c>
      <c r="BU140" s="9" t="str">
        <f t="shared" si="325"/>
        <v/>
      </c>
      <c r="BV140" s="9" t="str">
        <f t="shared" si="325"/>
        <v/>
      </c>
      <c r="BW140" s="9" t="str">
        <f t="shared" si="325"/>
        <v/>
      </c>
      <c r="BX140" s="9" t="str">
        <f t="shared" si="325"/>
        <v/>
      </c>
      <c r="BY140" s="9" t="str">
        <f t="shared" si="325"/>
        <v/>
      </c>
      <c r="BZ140" s="9" t="str">
        <f t="shared" si="325"/>
        <v/>
      </c>
      <c r="CA140" s="9" t="str">
        <f t="shared" si="325"/>
        <v/>
      </c>
      <c r="CB140" s="9" t="str">
        <f t="shared" si="325"/>
        <v/>
      </c>
      <c r="CC140" s="9" t="str">
        <f t="shared" si="325"/>
        <v/>
      </c>
      <c r="CD140" s="9" t="str">
        <f t="shared" si="325"/>
        <v/>
      </c>
      <c r="CE140" s="9" t="str">
        <f t="shared" si="325"/>
        <v/>
      </c>
      <c r="CF140" s="9" t="str">
        <f t="shared" si="325"/>
        <v/>
      </c>
      <c r="CG140" s="9" t="str">
        <f t="shared" si="325"/>
        <v/>
      </c>
      <c r="CH140" s="9" t="str">
        <f t="shared" si="325"/>
        <v/>
      </c>
      <c r="CI140" s="9" t="str">
        <f t="shared" si="325"/>
        <v/>
      </c>
      <c r="CJ140" s="9" t="str">
        <f t="shared" si="325"/>
        <v/>
      </c>
      <c r="CK140" s="9" t="str">
        <f t="shared" si="325"/>
        <v/>
      </c>
      <c r="CL140" s="9" t="str">
        <f t="shared" si="325"/>
        <v/>
      </c>
      <c r="CM140" s="9" t="str">
        <f t="shared" si="325"/>
        <v/>
      </c>
      <c r="CN140" s="9" t="str">
        <f t="shared" si="325"/>
        <v/>
      </c>
      <c r="CO140" s="9" t="str">
        <f t="shared" si="325"/>
        <v/>
      </c>
      <c r="CP140" s="9" t="str">
        <f t="shared" si="325"/>
        <v/>
      </c>
      <c r="CQ140" s="9" t="str">
        <f t="shared" si="325"/>
        <v/>
      </c>
      <c r="CR140" s="9" t="str">
        <f t="shared" si="325"/>
        <v/>
      </c>
      <c r="CS140" s="9" t="str">
        <f t="shared" si="325"/>
        <v/>
      </c>
      <c r="CT140" s="9" t="str">
        <f t="shared" si="325"/>
        <v/>
      </c>
      <c r="CU140" s="9" t="str">
        <f t="shared" si="325"/>
        <v/>
      </c>
      <c r="CV140" s="9" t="str">
        <f t="shared" si="325"/>
        <v/>
      </c>
      <c r="CW140" s="9" t="str">
        <f t="shared" si="325"/>
        <v/>
      </c>
      <c r="CX140" s="9" t="str">
        <f t="shared" si="325"/>
        <v/>
      </c>
      <c r="CY140" s="9" t="str">
        <f t="shared" si="325"/>
        <v/>
      </c>
      <c r="CZ140" s="9" t="str">
        <f t="shared" si="325"/>
        <v/>
      </c>
      <c r="DA140" s="9" t="str">
        <f t="shared" si="325"/>
        <v/>
      </c>
      <c r="DB140" s="9" t="str">
        <f t="shared" si="325"/>
        <v/>
      </c>
      <c r="DC140" s="9" t="str">
        <f t="shared" si="325"/>
        <v/>
      </c>
      <c r="DD140" s="9" t="str">
        <f t="shared" si="325"/>
        <v/>
      </c>
      <c r="DE140" s="9" t="str">
        <f t="shared" si="325"/>
        <v/>
      </c>
      <c r="DF140" s="9" t="str">
        <f t="shared" si="325"/>
        <v/>
      </c>
      <c r="DG140" s="9" t="str">
        <f t="shared" si="325"/>
        <v/>
      </c>
      <c r="DH140" s="9" t="str">
        <f t="shared" si="325"/>
        <v/>
      </c>
      <c r="DI140" s="9" t="str">
        <f t="shared" si="325"/>
        <v/>
      </c>
      <c r="DJ140" s="9" t="str">
        <f t="shared" si="325"/>
        <v/>
      </c>
      <c r="DK140" s="9" t="str">
        <f t="shared" si="325"/>
        <v/>
      </c>
      <c r="DL140" s="9" t="str">
        <f t="shared" si="325"/>
        <v/>
      </c>
      <c r="DM140" s="9" t="str">
        <f t="shared" si="325"/>
        <v/>
      </c>
      <c r="DN140" s="9" t="str">
        <f t="shared" si="325"/>
        <v/>
      </c>
      <c r="DO140" s="9" t="str">
        <f t="shared" si="325"/>
        <v/>
      </c>
      <c r="DP140" s="9" t="str">
        <f t="shared" si="325"/>
        <v/>
      </c>
      <c r="DQ140" s="9" t="str">
        <f t="shared" si="325"/>
        <v/>
      </c>
      <c r="DR140" s="9" t="str">
        <f t="shared" si="325"/>
        <v/>
      </c>
      <c r="DS140" s="9" t="str">
        <f t="shared" si="325"/>
        <v/>
      </c>
      <c r="DT140" s="9" t="str">
        <f t="shared" si="325"/>
        <v/>
      </c>
      <c r="DU140" s="9" t="str">
        <f t="shared" si="325"/>
        <v/>
      </c>
      <c r="DV140" s="9" t="str">
        <f t="shared" si="325"/>
        <v/>
      </c>
      <c r="DW140" s="9" t="str">
        <f t="shared" si="325"/>
        <v/>
      </c>
      <c r="DX140" s="9" t="str">
        <f t="shared" si="325"/>
        <v/>
      </c>
      <c r="DY140" s="9" t="str">
        <f t="shared" si="325"/>
        <v/>
      </c>
      <c r="DZ140" s="9" t="str">
        <f t="shared" si="325"/>
        <v/>
      </c>
      <c r="EA140" s="9" t="str">
        <f t="shared" si="325"/>
        <v/>
      </c>
      <c r="EB140" s="9">
        <f t="shared" si="325"/>
        <v>1</v>
      </c>
      <c r="EC140" s="9">
        <f t="shared" si="325"/>
        <v>1</v>
      </c>
      <c r="ED140" s="9">
        <f t="shared" si="325"/>
        <v>1</v>
      </c>
      <c r="EE140" s="9">
        <f t="shared" ref="EE140:GP140" si="326">IF(OR(EF48 = "", EF$8 &lt; EE$8), "", 1)</f>
        <v>1</v>
      </c>
      <c r="EF140" s="9">
        <f t="shared" si="326"/>
        <v>1</v>
      </c>
      <c r="EG140" s="9">
        <f t="shared" si="326"/>
        <v>1</v>
      </c>
      <c r="EH140" s="9">
        <f t="shared" si="326"/>
        <v>1</v>
      </c>
      <c r="EI140" s="9" t="str">
        <f t="shared" si="326"/>
        <v/>
      </c>
      <c r="EJ140" s="9" t="str">
        <f t="shared" si="326"/>
        <v/>
      </c>
      <c r="EK140" s="9" t="str">
        <f t="shared" si="326"/>
        <v/>
      </c>
      <c r="EL140" s="9" t="str">
        <f t="shared" si="326"/>
        <v/>
      </c>
      <c r="EM140" s="9" t="str">
        <f t="shared" si="326"/>
        <v/>
      </c>
      <c r="EN140" s="9" t="str">
        <f t="shared" si="326"/>
        <v/>
      </c>
      <c r="EO140" s="9" t="str">
        <f t="shared" si="326"/>
        <v/>
      </c>
      <c r="EP140" s="9" t="str">
        <f t="shared" si="326"/>
        <v/>
      </c>
      <c r="EQ140" s="9" t="str">
        <f t="shared" si="326"/>
        <v/>
      </c>
      <c r="ER140" s="9" t="str">
        <f t="shared" si="326"/>
        <v/>
      </c>
      <c r="ES140" s="9" t="str">
        <f t="shared" si="326"/>
        <v/>
      </c>
      <c r="ET140" s="9" t="str">
        <f t="shared" si="326"/>
        <v/>
      </c>
      <c r="EU140" s="9" t="str">
        <f t="shared" si="326"/>
        <v/>
      </c>
      <c r="EV140" s="9" t="str">
        <f t="shared" si="326"/>
        <v/>
      </c>
      <c r="EW140" s="9" t="str">
        <f t="shared" si="326"/>
        <v/>
      </c>
      <c r="EX140" s="9" t="str">
        <f t="shared" si="326"/>
        <v/>
      </c>
      <c r="EY140" s="9" t="str">
        <f t="shared" si="326"/>
        <v/>
      </c>
      <c r="EZ140" s="9" t="str">
        <f t="shared" si="326"/>
        <v/>
      </c>
      <c r="FA140" s="9" t="str">
        <f t="shared" si="326"/>
        <v/>
      </c>
      <c r="FB140" s="9" t="str">
        <f t="shared" si="326"/>
        <v/>
      </c>
      <c r="FC140" s="9" t="str">
        <f t="shared" si="326"/>
        <v/>
      </c>
      <c r="FD140" s="9" t="str">
        <f t="shared" si="326"/>
        <v/>
      </c>
      <c r="FE140" s="9" t="str">
        <f t="shared" si="326"/>
        <v/>
      </c>
      <c r="FF140" s="9" t="str">
        <f t="shared" si="326"/>
        <v/>
      </c>
      <c r="FG140" s="9" t="str">
        <f t="shared" si="326"/>
        <v/>
      </c>
      <c r="FH140" s="9" t="str">
        <f t="shared" si="326"/>
        <v/>
      </c>
      <c r="FI140" s="9" t="str">
        <f t="shared" si="326"/>
        <v/>
      </c>
      <c r="FJ140" s="9" t="str">
        <f t="shared" si="326"/>
        <v/>
      </c>
      <c r="FK140" s="9" t="str">
        <f t="shared" si="326"/>
        <v/>
      </c>
      <c r="FL140" s="9" t="str">
        <f t="shared" si="326"/>
        <v/>
      </c>
      <c r="FM140" s="9" t="str">
        <f t="shared" si="326"/>
        <v/>
      </c>
      <c r="FN140" s="9" t="str">
        <f t="shared" si="326"/>
        <v/>
      </c>
      <c r="FO140" s="9" t="str">
        <f t="shared" si="326"/>
        <v/>
      </c>
      <c r="FP140" s="9" t="str">
        <f t="shared" si="326"/>
        <v/>
      </c>
      <c r="FQ140" s="9" t="str">
        <f t="shared" si="326"/>
        <v/>
      </c>
      <c r="FR140" s="9" t="str">
        <f t="shared" si="326"/>
        <v/>
      </c>
      <c r="FS140" s="9" t="str">
        <f t="shared" si="326"/>
        <v/>
      </c>
      <c r="FT140" s="9" t="str">
        <f t="shared" si="326"/>
        <v/>
      </c>
      <c r="FU140" s="9" t="str">
        <f t="shared" si="326"/>
        <v/>
      </c>
      <c r="FV140" s="9" t="str">
        <f t="shared" si="326"/>
        <v/>
      </c>
      <c r="FW140" s="9" t="str">
        <f t="shared" si="326"/>
        <v/>
      </c>
      <c r="FX140" s="9" t="str">
        <f t="shared" si="326"/>
        <v/>
      </c>
      <c r="FY140" s="9" t="str">
        <f t="shared" si="326"/>
        <v/>
      </c>
      <c r="FZ140" s="9" t="str">
        <f t="shared" si="326"/>
        <v/>
      </c>
      <c r="GA140" s="9" t="str">
        <f t="shared" si="326"/>
        <v/>
      </c>
      <c r="GB140" s="9" t="str">
        <f t="shared" si="326"/>
        <v/>
      </c>
      <c r="GC140" s="9" t="str">
        <f t="shared" si="326"/>
        <v/>
      </c>
      <c r="GD140" s="9" t="str">
        <f t="shared" si="326"/>
        <v/>
      </c>
      <c r="GE140" s="9" t="str">
        <f t="shared" si="326"/>
        <v/>
      </c>
      <c r="GF140" s="9" t="str">
        <f t="shared" si="326"/>
        <v/>
      </c>
      <c r="GG140" s="9" t="str">
        <f t="shared" si="326"/>
        <v/>
      </c>
      <c r="GH140" s="9" t="str">
        <f t="shared" si="326"/>
        <v/>
      </c>
      <c r="GI140" s="9" t="str">
        <f t="shared" si="326"/>
        <v/>
      </c>
      <c r="GJ140" s="9" t="str">
        <f t="shared" si="326"/>
        <v/>
      </c>
      <c r="GK140" s="9" t="str">
        <f t="shared" si="326"/>
        <v/>
      </c>
      <c r="GL140" s="9" t="str">
        <f t="shared" si="326"/>
        <v/>
      </c>
      <c r="GM140" s="9" t="str">
        <f t="shared" si="326"/>
        <v/>
      </c>
      <c r="GN140" s="9" t="str">
        <f t="shared" si="326"/>
        <v/>
      </c>
      <c r="GO140" s="9" t="str">
        <f t="shared" si="326"/>
        <v/>
      </c>
      <c r="GP140" s="9" t="str">
        <f t="shared" si="326"/>
        <v/>
      </c>
      <c r="GQ140" s="9" t="str">
        <f t="shared" ref="GQ140:IV140" si="327">IF(OR(GR48 = "", GR$8 &lt; GQ$8), "", 1)</f>
        <v/>
      </c>
      <c r="GR140" s="9" t="str">
        <f t="shared" si="327"/>
        <v/>
      </c>
      <c r="GS140" s="9" t="str">
        <f t="shared" si="327"/>
        <v/>
      </c>
      <c r="GT140" s="9" t="str">
        <f t="shared" si="327"/>
        <v/>
      </c>
      <c r="GU140" s="9" t="str">
        <f t="shared" si="327"/>
        <v/>
      </c>
      <c r="GV140" s="9" t="str">
        <f t="shared" si="327"/>
        <v/>
      </c>
      <c r="GW140" s="9" t="str">
        <f t="shared" si="327"/>
        <v/>
      </c>
      <c r="GX140" s="9" t="str">
        <f t="shared" si="327"/>
        <v/>
      </c>
      <c r="GY140" s="9" t="str">
        <f t="shared" si="327"/>
        <v/>
      </c>
      <c r="GZ140" s="9" t="str">
        <f t="shared" si="327"/>
        <v/>
      </c>
      <c r="HA140" s="9" t="str">
        <f t="shared" si="327"/>
        <v/>
      </c>
      <c r="HB140" s="9" t="str">
        <f t="shared" si="327"/>
        <v/>
      </c>
      <c r="HC140" s="9" t="str">
        <f t="shared" si="327"/>
        <v/>
      </c>
      <c r="HD140" s="9" t="str">
        <f t="shared" si="327"/>
        <v/>
      </c>
      <c r="HE140" s="9" t="str">
        <f t="shared" si="327"/>
        <v/>
      </c>
      <c r="HF140" s="9" t="str">
        <f t="shared" si="327"/>
        <v/>
      </c>
      <c r="HG140" s="9" t="str">
        <f t="shared" si="327"/>
        <v/>
      </c>
      <c r="HH140" s="9" t="str">
        <f t="shared" si="327"/>
        <v/>
      </c>
      <c r="HI140" s="9" t="str">
        <f t="shared" si="327"/>
        <v/>
      </c>
      <c r="HJ140" s="9" t="str">
        <f t="shared" si="327"/>
        <v/>
      </c>
      <c r="HK140" s="9" t="str">
        <f t="shared" si="327"/>
        <v/>
      </c>
      <c r="HL140" s="9" t="str">
        <f t="shared" si="327"/>
        <v/>
      </c>
      <c r="HM140" s="9" t="str">
        <f t="shared" si="327"/>
        <v/>
      </c>
      <c r="HN140" s="9" t="str">
        <f t="shared" si="327"/>
        <v/>
      </c>
      <c r="HO140" s="9" t="str">
        <f t="shared" si="327"/>
        <v/>
      </c>
      <c r="HP140" s="9" t="str">
        <f t="shared" si="327"/>
        <v/>
      </c>
      <c r="HQ140" s="9" t="str">
        <f t="shared" si="327"/>
        <v/>
      </c>
      <c r="HR140" s="9" t="str">
        <f t="shared" si="327"/>
        <v/>
      </c>
      <c r="HS140" s="9" t="str">
        <f t="shared" si="327"/>
        <v/>
      </c>
      <c r="HT140" s="9" t="str">
        <f t="shared" si="327"/>
        <v/>
      </c>
      <c r="HU140" s="9" t="str">
        <f t="shared" si="327"/>
        <v/>
      </c>
      <c r="HV140" s="9" t="str">
        <f t="shared" si="327"/>
        <v/>
      </c>
      <c r="HW140" s="9" t="str">
        <f t="shared" si="327"/>
        <v/>
      </c>
      <c r="HX140" s="9" t="str">
        <f t="shared" si="327"/>
        <v/>
      </c>
      <c r="HY140" s="9" t="str">
        <f t="shared" si="327"/>
        <v/>
      </c>
      <c r="HZ140" s="9" t="str">
        <f t="shared" si="327"/>
        <v/>
      </c>
      <c r="IA140" s="9" t="str">
        <f t="shared" si="327"/>
        <v/>
      </c>
      <c r="IB140" s="9" t="str">
        <f t="shared" si="327"/>
        <v/>
      </c>
      <c r="IC140" s="9" t="str">
        <f t="shared" si="327"/>
        <v/>
      </c>
      <c r="ID140" s="9" t="str">
        <f t="shared" si="327"/>
        <v/>
      </c>
      <c r="IE140" s="9" t="str">
        <f t="shared" si="327"/>
        <v/>
      </c>
      <c r="IF140" s="9" t="str">
        <f t="shared" si="327"/>
        <v/>
      </c>
      <c r="IG140" s="9" t="str">
        <f t="shared" si="327"/>
        <v/>
      </c>
      <c r="IH140" s="9" t="str">
        <f t="shared" si="327"/>
        <v/>
      </c>
      <c r="II140" s="9" t="str">
        <f t="shared" si="327"/>
        <v/>
      </c>
      <c r="IJ140" s="9" t="str">
        <f t="shared" si="327"/>
        <v/>
      </c>
      <c r="IK140" s="9" t="str">
        <f t="shared" si="327"/>
        <v/>
      </c>
      <c r="IL140" s="9" t="str">
        <f t="shared" si="327"/>
        <v/>
      </c>
      <c r="IM140" s="9" t="str">
        <f t="shared" si="327"/>
        <v/>
      </c>
      <c r="IN140" s="9" t="str">
        <f t="shared" si="327"/>
        <v/>
      </c>
      <c r="IO140" s="9" t="str">
        <f t="shared" si="327"/>
        <v/>
      </c>
      <c r="IP140" s="9" t="str">
        <f t="shared" si="327"/>
        <v/>
      </c>
      <c r="IQ140" s="9" t="str">
        <f t="shared" si="327"/>
        <v/>
      </c>
      <c r="IR140" s="9" t="str">
        <f t="shared" si="327"/>
        <v/>
      </c>
      <c r="IS140" s="9" t="str">
        <f t="shared" si="327"/>
        <v/>
      </c>
      <c r="IT140" s="9" t="str">
        <f t="shared" si="327"/>
        <v/>
      </c>
      <c r="IU140" s="9" t="str">
        <f t="shared" si="327"/>
        <v/>
      </c>
      <c r="IV140" s="9" t="str">
        <f t="shared" si="327"/>
        <v/>
      </c>
    </row>
    <row r="141" spans="6:256" x14ac:dyDescent="0.2">
      <c r="F141">
        <v>202403</v>
      </c>
      <c r="G141" s="9">
        <f t="shared" ref="G141:BR141" si="328">IF(OR(H49 = "", H$8 &lt; G$8), "", 1)</f>
        <v>1</v>
      </c>
      <c r="H141" s="9">
        <f t="shared" si="328"/>
        <v>1</v>
      </c>
      <c r="I141" s="9">
        <f t="shared" si="328"/>
        <v>1</v>
      </c>
      <c r="J141" s="9">
        <f t="shared" si="328"/>
        <v>1</v>
      </c>
      <c r="K141" s="9" t="str">
        <f t="shared" si="328"/>
        <v/>
      </c>
      <c r="L141" s="9" t="str">
        <f t="shared" si="328"/>
        <v/>
      </c>
      <c r="M141" s="9" t="str">
        <f t="shared" si="328"/>
        <v/>
      </c>
      <c r="N141" s="9" t="str">
        <f t="shared" si="328"/>
        <v/>
      </c>
      <c r="O141" s="9" t="str">
        <f t="shared" si="328"/>
        <v/>
      </c>
      <c r="P141" s="9" t="str">
        <f t="shared" si="328"/>
        <v/>
      </c>
      <c r="Q141" s="9" t="str">
        <f t="shared" si="328"/>
        <v/>
      </c>
      <c r="R141" s="9" t="str">
        <f t="shared" si="328"/>
        <v/>
      </c>
      <c r="S141" s="9" t="str">
        <f t="shared" si="328"/>
        <v/>
      </c>
      <c r="T141" s="9" t="str">
        <f t="shared" si="328"/>
        <v/>
      </c>
      <c r="U141" s="9" t="str">
        <f t="shared" si="328"/>
        <v/>
      </c>
      <c r="V141" s="9" t="str">
        <f t="shared" si="328"/>
        <v/>
      </c>
      <c r="W141" s="9" t="str">
        <f t="shared" si="328"/>
        <v/>
      </c>
      <c r="X141" s="9" t="str">
        <f t="shared" si="328"/>
        <v/>
      </c>
      <c r="Y141" s="9" t="str">
        <f t="shared" si="328"/>
        <v/>
      </c>
      <c r="Z141" s="9" t="str">
        <f t="shared" si="328"/>
        <v/>
      </c>
      <c r="AA141" s="9" t="str">
        <f t="shared" si="328"/>
        <v/>
      </c>
      <c r="AB141" s="9" t="str">
        <f t="shared" si="328"/>
        <v/>
      </c>
      <c r="AC141" s="9" t="str">
        <f t="shared" si="328"/>
        <v/>
      </c>
      <c r="AD141" s="9" t="str">
        <f t="shared" si="328"/>
        <v/>
      </c>
      <c r="AE141" s="9" t="str">
        <f t="shared" si="328"/>
        <v/>
      </c>
      <c r="AF141" s="9" t="str">
        <f t="shared" si="328"/>
        <v/>
      </c>
      <c r="AG141" s="9" t="str">
        <f t="shared" si="328"/>
        <v/>
      </c>
      <c r="AH141" s="9" t="str">
        <f t="shared" si="328"/>
        <v/>
      </c>
      <c r="AI141" s="9" t="str">
        <f t="shared" si="328"/>
        <v/>
      </c>
      <c r="AJ141" s="9" t="str">
        <f t="shared" si="328"/>
        <v/>
      </c>
      <c r="AK141" s="9" t="str">
        <f t="shared" si="328"/>
        <v/>
      </c>
      <c r="AL141" s="9" t="str">
        <f t="shared" si="328"/>
        <v/>
      </c>
      <c r="AM141" s="9" t="str">
        <f t="shared" si="328"/>
        <v/>
      </c>
      <c r="AN141" s="9" t="str">
        <f t="shared" si="328"/>
        <v/>
      </c>
      <c r="AO141" s="9" t="str">
        <f t="shared" si="328"/>
        <v/>
      </c>
      <c r="AP141" s="9" t="str">
        <f t="shared" si="328"/>
        <v/>
      </c>
      <c r="AQ141" s="9" t="str">
        <f t="shared" si="328"/>
        <v/>
      </c>
      <c r="AR141" s="9" t="str">
        <f t="shared" si="328"/>
        <v/>
      </c>
      <c r="AS141" s="9" t="str">
        <f t="shared" si="328"/>
        <v/>
      </c>
      <c r="AT141" s="9" t="str">
        <f t="shared" si="328"/>
        <v/>
      </c>
      <c r="AU141" s="9" t="str">
        <f t="shared" si="328"/>
        <v/>
      </c>
      <c r="AV141" s="9" t="str">
        <f t="shared" si="328"/>
        <v/>
      </c>
      <c r="AW141" s="9" t="str">
        <f t="shared" si="328"/>
        <v/>
      </c>
      <c r="AX141" s="9" t="str">
        <f t="shared" si="328"/>
        <v/>
      </c>
      <c r="AY141" s="9" t="str">
        <f t="shared" si="328"/>
        <v/>
      </c>
      <c r="AZ141" s="9" t="str">
        <f t="shared" si="328"/>
        <v/>
      </c>
      <c r="BA141" s="9" t="str">
        <f t="shared" si="328"/>
        <v/>
      </c>
      <c r="BB141" s="9" t="str">
        <f t="shared" si="328"/>
        <v/>
      </c>
      <c r="BC141" s="9" t="str">
        <f t="shared" si="328"/>
        <v/>
      </c>
      <c r="BD141" s="9" t="str">
        <f t="shared" si="328"/>
        <v/>
      </c>
      <c r="BE141" s="9" t="str">
        <f t="shared" si="328"/>
        <v/>
      </c>
      <c r="BF141" s="9" t="str">
        <f t="shared" si="328"/>
        <v/>
      </c>
      <c r="BG141" s="9" t="str">
        <f t="shared" si="328"/>
        <v/>
      </c>
      <c r="BH141" s="9" t="str">
        <f t="shared" si="328"/>
        <v/>
      </c>
      <c r="BI141" s="9" t="str">
        <f t="shared" si="328"/>
        <v/>
      </c>
      <c r="BJ141" s="9" t="str">
        <f t="shared" si="328"/>
        <v/>
      </c>
      <c r="BK141" s="9" t="str">
        <f t="shared" si="328"/>
        <v/>
      </c>
      <c r="BL141" s="9" t="str">
        <f t="shared" si="328"/>
        <v/>
      </c>
      <c r="BM141" s="9" t="str">
        <f t="shared" si="328"/>
        <v/>
      </c>
      <c r="BN141" s="9" t="str">
        <f t="shared" si="328"/>
        <v/>
      </c>
      <c r="BO141" s="9" t="str">
        <f t="shared" si="328"/>
        <v/>
      </c>
      <c r="BP141" s="9" t="str">
        <f t="shared" si="328"/>
        <v/>
      </c>
      <c r="BQ141" s="9" t="str">
        <f t="shared" si="328"/>
        <v/>
      </c>
      <c r="BR141" s="9" t="str">
        <f t="shared" si="328"/>
        <v/>
      </c>
      <c r="BS141" s="9" t="str">
        <f t="shared" ref="BS141:ED141" si="329">IF(OR(BT49 = "", BT$8 &lt; BS$8), "", 1)</f>
        <v/>
      </c>
      <c r="BT141" s="9" t="str">
        <f t="shared" si="329"/>
        <v/>
      </c>
      <c r="BU141" s="9" t="str">
        <f t="shared" si="329"/>
        <v/>
      </c>
      <c r="BV141" s="9" t="str">
        <f t="shared" si="329"/>
        <v/>
      </c>
      <c r="BW141" s="9" t="str">
        <f t="shared" si="329"/>
        <v/>
      </c>
      <c r="BX141" s="9" t="str">
        <f t="shared" si="329"/>
        <v/>
      </c>
      <c r="BY141" s="9" t="str">
        <f t="shared" si="329"/>
        <v/>
      </c>
      <c r="BZ141" s="9" t="str">
        <f t="shared" si="329"/>
        <v/>
      </c>
      <c r="CA141" s="9" t="str">
        <f t="shared" si="329"/>
        <v/>
      </c>
      <c r="CB141" s="9" t="str">
        <f t="shared" si="329"/>
        <v/>
      </c>
      <c r="CC141" s="9" t="str">
        <f t="shared" si="329"/>
        <v/>
      </c>
      <c r="CD141" s="9" t="str">
        <f t="shared" si="329"/>
        <v/>
      </c>
      <c r="CE141" s="9" t="str">
        <f t="shared" si="329"/>
        <v/>
      </c>
      <c r="CF141" s="9" t="str">
        <f t="shared" si="329"/>
        <v/>
      </c>
      <c r="CG141" s="9" t="str">
        <f t="shared" si="329"/>
        <v/>
      </c>
      <c r="CH141" s="9" t="str">
        <f t="shared" si="329"/>
        <v/>
      </c>
      <c r="CI141" s="9" t="str">
        <f t="shared" si="329"/>
        <v/>
      </c>
      <c r="CJ141" s="9" t="str">
        <f t="shared" si="329"/>
        <v/>
      </c>
      <c r="CK141" s="9" t="str">
        <f t="shared" si="329"/>
        <v/>
      </c>
      <c r="CL141" s="9" t="str">
        <f t="shared" si="329"/>
        <v/>
      </c>
      <c r="CM141" s="9" t="str">
        <f t="shared" si="329"/>
        <v/>
      </c>
      <c r="CN141" s="9" t="str">
        <f t="shared" si="329"/>
        <v/>
      </c>
      <c r="CO141" s="9" t="str">
        <f t="shared" si="329"/>
        <v/>
      </c>
      <c r="CP141" s="9" t="str">
        <f t="shared" si="329"/>
        <v/>
      </c>
      <c r="CQ141" s="9" t="str">
        <f t="shared" si="329"/>
        <v/>
      </c>
      <c r="CR141" s="9" t="str">
        <f t="shared" si="329"/>
        <v/>
      </c>
      <c r="CS141" s="9" t="str">
        <f t="shared" si="329"/>
        <v/>
      </c>
      <c r="CT141" s="9" t="str">
        <f t="shared" si="329"/>
        <v/>
      </c>
      <c r="CU141" s="9" t="str">
        <f t="shared" si="329"/>
        <v/>
      </c>
      <c r="CV141" s="9" t="str">
        <f t="shared" si="329"/>
        <v/>
      </c>
      <c r="CW141" s="9" t="str">
        <f t="shared" si="329"/>
        <v/>
      </c>
      <c r="CX141" s="9" t="str">
        <f t="shared" si="329"/>
        <v/>
      </c>
      <c r="CY141" s="9" t="str">
        <f t="shared" si="329"/>
        <v/>
      </c>
      <c r="CZ141" s="9" t="str">
        <f t="shared" si="329"/>
        <v/>
      </c>
      <c r="DA141" s="9" t="str">
        <f t="shared" si="329"/>
        <v/>
      </c>
      <c r="DB141" s="9" t="str">
        <f t="shared" si="329"/>
        <v/>
      </c>
      <c r="DC141" s="9" t="str">
        <f t="shared" si="329"/>
        <v/>
      </c>
      <c r="DD141" s="9" t="str">
        <f t="shared" si="329"/>
        <v/>
      </c>
      <c r="DE141" s="9" t="str">
        <f t="shared" si="329"/>
        <v/>
      </c>
      <c r="DF141" s="9" t="str">
        <f t="shared" si="329"/>
        <v/>
      </c>
      <c r="DG141" s="9" t="str">
        <f t="shared" si="329"/>
        <v/>
      </c>
      <c r="DH141" s="9" t="str">
        <f t="shared" si="329"/>
        <v/>
      </c>
      <c r="DI141" s="9" t="str">
        <f t="shared" si="329"/>
        <v/>
      </c>
      <c r="DJ141" s="9" t="str">
        <f t="shared" si="329"/>
        <v/>
      </c>
      <c r="DK141" s="9" t="str">
        <f t="shared" si="329"/>
        <v/>
      </c>
      <c r="DL141" s="9" t="str">
        <f t="shared" si="329"/>
        <v/>
      </c>
      <c r="DM141" s="9" t="str">
        <f t="shared" si="329"/>
        <v/>
      </c>
      <c r="DN141" s="9" t="str">
        <f t="shared" si="329"/>
        <v/>
      </c>
      <c r="DO141" s="9" t="str">
        <f t="shared" si="329"/>
        <v/>
      </c>
      <c r="DP141" s="9" t="str">
        <f t="shared" si="329"/>
        <v/>
      </c>
      <c r="DQ141" s="9" t="str">
        <f t="shared" si="329"/>
        <v/>
      </c>
      <c r="DR141" s="9" t="str">
        <f t="shared" si="329"/>
        <v/>
      </c>
      <c r="DS141" s="9" t="str">
        <f t="shared" si="329"/>
        <v/>
      </c>
      <c r="DT141" s="9" t="str">
        <f t="shared" si="329"/>
        <v/>
      </c>
      <c r="DU141" s="9" t="str">
        <f t="shared" si="329"/>
        <v/>
      </c>
      <c r="DV141" s="9" t="str">
        <f t="shared" si="329"/>
        <v/>
      </c>
      <c r="DW141" s="9" t="str">
        <f t="shared" si="329"/>
        <v/>
      </c>
      <c r="DX141" s="9" t="str">
        <f t="shared" si="329"/>
        <v/>
      </c>
      <c r="DY141" s="9" t="str">
        <f t="shared" si="329"/>
        <v/>
      </c>
      <c r="DZ141" s="9" t="str">
        <f t="shared" si="329"/>
        <v/>
      </c>
      <c r="EA141" s="9" t="str">
        <f t="shared" si="329"/>
        <v/>
      </c>
      <c r="EB141" s="9">
        <f t="shared" si="329"/>
        <v>1</v>
      </c>
      <c r="EC141" s="9">
        <f t="shared" si="329"/>
        <v>1</v>
      </c>
      <c r="ED141" s="9">
        <f t="shared" si="329"/>
        <v>1</v>
      </c>
      <c r="EE141" s="9">
        <f t="shared" ref="EE141:GP141" si="330">IF(OR(EF49 = "", EF$8 &lt; EE$8), "", 1)</f>
        <v>1</v>
      </c>
      <c r="EF141" s="9" t="str">
        <f t="shared" si="330"/>
        <v/>
      </c>
      <c r="EG141" s="9" t="str">
        <f t="shared" si="330"/>
        <v/>
      </c>
      <c r="EH141" s="9" t="str">
        <f t="shared" si="330"/>
        <v/>
      </c>
      <c r="EI141" s="9" t="str">
        <f t="shared" si="330"/>
        <v/>
      </c>
      <c r="EJ141" s="9" t="str">
        <f t="shared" si="330"/>
        <v/>
      </c>
      <c r="EK141" s="9" t="str">
        <f t="shared" si="330"/>
        <v/>
      </c>
      <c r="EL141" s="9" t="str">
        <f t="shared" si="330"/>
        <v/>
      </c>
      <c r="EM141" s="9" t="str">
        <f t="shared" si="330"/>
        <v/>
      </c>
      <c r="EN141" s="9" t="str">
        <f t="shared" si="330"/>
        <v/>
      </c>
      <c r="EO141" s="9" t="str">
        <f t="shared" si="330"/>
        <v/>
      </c>
      <c r="EP141" s="9" t="str">
        <f t="shared" si="330"/>
        <v/>
      </c>
      <c r="EQ141" s="9" t="str">
        <f t="shared" si="330"/>
        <v/>
      </c>
      <c r="ER141" s="9" t="str">
        <f t="shared" si="330"/>
        <v/>
      </c>
      <c r="ES141" s="9" t="str">
        <f t="shared" si="330"/>
        <v/>
      </c>
      <c r="ET141" s="9" t="str">
        <f t="shared" si="330"/>
        <v/>
      </c>
      <c r="EU141" s="9" t="str">
        <f t="shared" si="330"/>
        <v/>
      </c>
      <c r="EV141" s="9" t="str">
        <f t="shared" si="330"/>
        <v/>
      </c>
      <c r="EW141" s="9" t="str">
        <f t="shared" si="330"/>
        <v/>
      </c>
      <c r="EX141" s="9" t="str">
        <f t="shared" si="330"/>
        <v/>
      </c>
      <c r="EY141" s="9" t="str">
        <f t="shared" si="330"/>
        <v/>
      </c>
      <c r="EZ141" s="9" t="str">
        <f t="shared" si="330"/>
        <v/>
      </c>
      <c r="FA141" s="9" t="str">
        <f t="shared" si="330"/>
        <v/>
      </c>
      <c r="FB141" s="9" t="str">
        <f t="shared" si="330"/>
        <v/>
      </c>
      <c r="FC141" s="9" t="str">
        <f t="shared" si="330"/>
        <v/>
      </c>
      <c r="FD141" s="9" t="str">
        <f t="shared" si="330"/>
        <v/>
      </c>
      <c r="FE141" s="9" t="str">
        <f t="shared" si="330"/>
        <v/>
      </c>
      <c r="FF141" s="9" t="str">
        <f t="shared" si="330"/>
        <v/>
      </c>
      <c r="FG141" s="9" t="str">
        <f t="shared" si="330"/>
        <v/>
      </c>
      <c r="FH141" s="9" t="str">
        <f t="shared" si="330"/>
        <v/>
      </c>
      <c r="FI141" s="9" t="str">
        <f t="shared" si="330"/>
        <v/>
      </c>
      <c r="FJ141" s="9" t="str">
        <f t="shared" si="330"/>
        <v/>
      </c>
      <c r="FK141" s="9" t="str">
        <f t="shared" si="330"/>
        <v/>
      </c>
      <c r="FL141" s="9" t="str">
        <f t="shared" si="330"/>
        <v/>
      </c>
      <c r="FM141" s="9" t="str">
        <f t="shared" si="330"/>
        <v/>
      </c>
      <c r="FN141" s="9" t="str">
        <f t="shared" si="330"/>
        <v/>
      </c>
      <c r="FO141" s="9" t="str">
        <f t="shared" si="330"/>
        <v/>
      </c>
      <c r="FP141" s="9" t="str">
        <f t="shared" si="330"/>
        <v/>
      </c>
      <c r="FQ141" s="9" t="str">
        <f t="shared" si="330"/>
        <v/>
      </c>
      <c r="FR141" s="9" t="str">
        <f t="shared" si="330"/>
        <v/>
      </c>
      <c r="FS141" s="9" t="str">
        <f t="shared" si="330"/>
        <v/>
      </c>
      <c r="FT141" s="9" t="str">
        <f t="shared" si="330"/>
        <v/>
      </c>
      <c r="FU141" s="9" t="str">
        <f t="shared" si="330"/>
        <v/>
      </c>
      <c r="FV141" s="9" t="str">
        <f t="shared" si="330"/>
        <v/>
      </c>
      <c r="FW141" s="9" t="str">
        <f t="shared" si="330"/>
        <v/>
      </c>
      <c r="FX141" s="9" t="str">
        <f t="shared" si="330"/>
        <v/>
      </c>
      <c r="FY141" s="9" t="str">
        <f t="shared" si="330"/>
        <v/>
      </c>
      <c r="FZ141" s="9" t="str">
        <f t="shared" si="330"/>
        <v/>
      </c>
      <c r="GA141" s="9" t="str">
        <f t="shared" si="330"/>
        <v/>
      </c>
      <c r="GB141" s="9" t="str">
        <f t="shared" si="330"/>
        <v/>
      </c>
      <c r="GC141" s="9" t="str">
        <f t="shared" si="330"/>
        <v/>
      </c>
      <c r="GD141" s="9" t="str">
        <f t="shared" si="330"/>
        <v/>
      </c>
      <c r="GE141" s="9" t="str">
        <f t="shared" si="330"/>
        <v/>
      </c>
      <c r="GF141" s="9" t="str">
        <f t="shared" si="330"/>
        <v/>
      </c>
      <c r="GG141" s="9" t="str">
        <f t="shared" si="330"/>
        <v/>
      </c>
      <c r="GH141" s="9" t="str">
        <f t="shared" si="330"/>
        <v/>
      </c>
      <c r="GI141" s="9" t="str">
        <f t="shared" si="330"/>
        <v/>
      </c>
      <c r="GJ141" s="9" t="str">
        <f t="shared" si="330"/>
        <v/>
      </c>
      <c r="GK141" s="9" t="str">
        <f t="shared" si="330"/>
        <v/>
      </c>
      <c r="GL141" s="9" t="str">
        <f t="shared" si="330"/>
        <v/>
      </c>
      <c r="GM141" s="9" t="str">
        <f t="shared" si="330"/>
        <v/>
      </c>
      <c r="GN141" s="9" t="str">
        <f t="shared" si="330"/>
        <v/>
      </c>
      <c r="GO141" s="9" t="str">
        <f t="shared" si="330"/>
        <v/>
      </c>
      <c r="GP141" s="9" t="str">
        <f t="shared" si="330"/>
        <v/>
      </c>
      <c r="GQ141" s="9" t="str">
        <f t="shared" ref="GQ141:IV141" si="331">IF(OR(GR49 = "", GR$8 &lt; GQ$8), "", 1)</f>
        <v/>
      </c>
      <c r="GR141" s="9" t="str">
        <f t="shared" si="331"/>
        <v/>
      </c>
      <c r="GS141" s="9" t="str">
        <f t="shared" si="331"/>
        <v/>
      </c>
      <c r="GT141" s="9" t="str">
        <f t="shared" si="331"/>
        <v/>
      </c>
      <c r="GU141" s="9" t="str">
        <f t="shared" si="331"/>
        <v/>
      </c>
      <c r="GV141" s="9" t="str">
        <f t="shared" si="331"/>
        <v/>
      </c>
      <c r="GW141" s="9" t="str">
        <f t="shared" si="331"/>
        <v/>
      </c>
      <c r="GX141" s="9" t="str">
        <f t="shared" si="331"/>
        <v/>
      </c>
      <c r="GY141" s="9" t="str">
        <f t="shared" si="331"/>
        <v/>
      </c>
      <c r="GZ141" s="9" t="str">
        <f t="shared" si="331"/>
        <v/>
      </c>
      <c r="HA141" s="9" t="str">
        <f t="shared" si="331"/>
        <v/>
      </c>
      <c r="HB141" s="9" t="str">
        <f t="shared" si="331"/>
        <v/>
      </c>
      <c r="HC141" s="9" t="str">
        <f t="shared" si="331"/>
        <v/>
      </c>
      <c r="HD141" s="9" t="str">
        <f t="shared" si="331"/>
        <v/>
      </c>
      <c r="HE141" s="9" t="str">
        <f t="shared" si="331"/>
        <v/>
      </c>
      <c r="HF141" s="9" t="str">
        <f t="shared" si="331"/>
        <v/>
      </c>
      <c r="HG141" s="9" t="str">
        <f t="shared" si="331"/>
        <v/>
      </c>
      <c r="HH141" s="9" t="str">
        <f t="shared" si="331"/>
        <v/>
      </c>
      <c r="HI141" s="9" t="str">
        <f t="shared" si="331"/>
        <v/>
      </c>
      <c r="HJ141" s="9" t="str">
        <f t="shared" si="331"/>
        <v/>
      </c>
      <c r="HK141" s="9" t="str">
        <f t="shared" si="331"/>
        <v/>
      </c>
      <c r="HL141" s="9" t="str">
        <f t="shared" si="331"/>
        <v/>
      </c>
      <c r="HM141" s="9" t="str">
        <f t="shared" si="331"/>
        <v/>
      </c>
      <c r="HN141" s="9" t="str">
        <f t="shared" si="331"/>
        <v/>
      </c>
      <c r="HO141" s="9" t="str">
        <f t="shared" si="331"/>
        <v/>
      </c>
      <c r="HP141" s="9" t="str">
        <f t="shared" si="331"/>
        <v/>
      </c>
      <c r="HQ141" s="9" t="str">
        <f t="shared" si="331"/>
        <v/>
      </c>
      <c r="HR141" s="9" t="str">
        <f t="shared" si="331"/>
        <v/>
      </c>
      <c r="HS141" s="9" t="str">
        <f t="shared" si="331"/>
        <v/>
      </c>
      <c r="HT141" s="9" t="str">
        <f t="shared" si="331"/>
        <v/>
      </c>
      <c r="HU141" s="9" t="str">
        <f t="shared" si="331"/>
        <v/>
      </c>
      <c r="HV141" s="9" t="str">
        <f t="shared" si="331"/>
        <v/>
      </c>
      <c r="HW141" s="9" t="str">
        <f t="shared" si="331"/>
        <v/>
      </c>
      <c r="HX141" s="9" t="str">
        <f t="shared" si="331"/>
        <v/>
      </c>
      <c r="HY141" s="9" t="str">
        <f t="shared" si="331"/>
        <v/>
      </c>
      <c r="HZ141" s="9" t="str">
        <f t="shared" si="331"/>
        <v/>
      </c>
      <c r="IA141" s="9" t="str">
        <f t="shared" si="331"/>
        <v/>
      </c>
      <c r="IB141" s="9" t="str">
        <f t="shared" si="331"/>
        <v/>
      </c>
      <c r="IC141" s="9" t="str">
        <f t="shared" si="331"/>
        <v/>
      </c>
      <c r="ID141" s="9" t="str">
        <f t="shared" si="331"/>
        <v/>
      </c>
      <c r="IE141" s="9" t="str">
        <f t="shared" si="331"/>
        <v/>
      </c>
      <c r="IF141" s="9" t="str">
        <f t="shared" si="331"/>
        <v/>
      </c>
      <c r="IG141" s="9" t="str">
        <f t="shared" si="331"/>
        <v/>
      </c>
      <c r="IH141" s="9" t="str">
        <f t="shared" si="331"/>
        <v/>
      </c>
      <c r="II141" s="9" t="str">
        <f t="shared" si="331"/>
        <v/>
      </c>
      <c r="IJ141" s="9" t="str">
        <f t="shared" si="331"/>
        <v/>
      </c>
      <c r="IK141" s="9" t="str">
        <f t="shared" si="331"/>
        <v/>
      </c>
      <c r="IL141" s="9" t="str">
        <f t="shared" si="331"/>
        <v/>
      </c>
      <c r="IM141" s="9" t="str">
        <f t="shared" si="331"/>
        <v/>
      </c>
      <c r="IN141" s="9" t="str">
        <f t="shared" si="331"/>
        <v/>
      </c>
      <c r="IO141" s="9" t="str">
        <f t="shared" si="331"/>
        <v/>
      </c>
      <c r="IP141" s="9" t="str">
        <f t="shared" si="331"/>
        <v/>
      </c>
      <c r="IQ141" s="9" t="str">
        <f t="shared" si="331"/>
        <v/>
      </c>
      <c r="IR141" s="9" t="str">
        <f t="shared" si="331"/>
        <v/>
      </c>
      <c r="IS141" s="9" t="str">
        <f t="shared" si="331"/>
        <v/>
      </c>
      <c r="IT141" s="9" t="str">
        <f t="shared" si="331"/>
        <v/>
      </c>
      <c r="IU141" s="9" t="str">
        <f t="shared" si="331"/>
        <v/>
      </c>
      <c r="IV141" s="9" t="str">
        <f t="shared" si="331"/>
        <v/>
      </c>
    </row>
    <row r="142" spans="6:256" x14ac:dyDescent="0.2">
      <c r="F142">
        <v>202406</v>
      </c>
      <c r="G142" s="9">
        <f t="shared" ref="G142:BR142" si="332">IF(OR(H50 = "", H$8 &lt; G$8), "", 1)</f>
        <v>1</v>
      </c>
      <c r="H142" s="9" t="str">
        <f t="shared" si="332"/>
        <v/>
      </c>
      <c r="I142" s="9" t="str">
        <f t="shared" si="332"/>
        <v/>
      </c>
      <c r="J142" s="9" t="str">
        <f t="shared" si="332"/>
        <v/>
      </c>
      <c r="K142" s="9" t="str">
        <f t="shared" si="332"/>
        <v/>
      </c>
      <c r="L142" s="9" t="str">
        <f t="shared" si="332"/>
        <v/>
      </c>
      <c r="M142" s="9" t="str">
        <f t="shared" si="332"/>
        <v/>
      </c>
      <c r="N142" s="9" t="str">
        <f t="shared" si="332"/>
        <v/>
      </c>
      <c r="O142" s="9" t="str">
        <f t="shared" si="332"/>
        <v/>
      </c>
      <c r="P142" s="9" t="str">
        <f t="shared" si="332"/>
        <v/>
      </c>
      <c r="Q142" s="9" t="str">
        <f t="shared" si="332"/>
        <v/>
      </c>
      <c r="R142" s="9" t="str">
        <f t="shared" si="332"/>
        <v/>
      </c>
      <c r="S142" s="9" t="str">
        <f t="shared" si="332"/>
        <v/>
      </c>
      <c r="T142" s="9" t="str">
        <f t="shared" si="332"/>
        <v/>
      </c>
      <c r="U142" s="9" t="str">
        <f t="shared" si="332"/>
        <v/>
      </c>
      <c r="V142" s="9" t="str">
        <f t="shared" si="332"/>
        <v/>
      </c>
      <c r="W142" s="9" t="str">
        <f t="shared" si="332"/>
        <v/>
      </c>
      <c r="X142" s="9" t="str">
        <f t="shared" si="332"/>
        <v/>
      </c>
      <c r="Y142" s="9" t="str">
        <f t="shared" si="332"/>
        <v/>
      </c>
      <c r="Z142" s="9" t="str">
        <f t="shared" si="332"/>
        <v/>
      </c>
      <c r="AA142" s="9" t="str">
        <f t="shared" si="332"/>
        <v/>
      </c>
      <c r="AB142" s="9" t="str">
        <f t="shared" si="332"/>
        <v/>
      </c>
      <c r="AC142" s="9" t="str">
        <f t="shared" si="332"/>
        <v/>
      </c>
      <c r="AD142" s="9" t="str">
        <f t="shared" si="332"/>
        <v/>
      </c>
      <c r="AE142" s="9" t="str">
        <f t="shared" si="332"/>
        <v/>
      </c>
      <c r="AF142" s="9" t="str">
        <f t="shared" si="332"/>
        <v/>
      </c>
      <c r="AG142" s="9" t="str">
        <f t="shared" si="332"/>
        <v/>
      </c>
      <c r="AH142" s="9" t="str">
        <f t="shared" si="332"/>
        <v/>
      </c>
      <c r="AI142" s="9" t="str">
        <f t="shared" si="332"/>
        <v/>
      </c>
      <c r="AJ142" s="9" t="str">
        <f t="shared" si="332"/>
        <v/>
      </c>
      <c r="AK142" s="9" t="str">
        <f t="shared" si="332"/>
        <v/>
      </c>
      <c r="AL142" s="9" t="str">
        <f t="shared" si="332"/>
        <v/>
      </c>
      <c r="AM142" s="9" t="str">
        <f t="shared" si="332"/>
        <v/>
      </c>
      <c r="AN142" s="9" t="str">
        <f t="shared" si="332"/>
        <v/>
      </c>
      <c r="AO142" s="9" t="str">
        <f t="shared" si="332"/>
        <v/>
      </c>
      <c r="AP142" s="9" t="str">
        <f t="shared" si="332"/>
        <v/>
      </c>
      <c r="AQ142" s="9" t="str">
        <f t="shared" si="332"/>
        <v/>
      </c>
      <c r="AR142" s="9" t="str">
        <f t="shared" si="332"/>
        <v/>
      </c>
      <c r="AS142" s="9" t="str">
        <f t="shared" si="332"/>
        <v/>
      </c>
      <c r="AT142" s="9" t="str">
        <f t="shared" si="332"/>
        <v/>
      </c>
      <c r="AU142" s="9" t="str">
        <f t="shared" si="332"/>
        <v/>
      </c>
      <c r="AV142" s="9" t="str">
        <f t="shared" si="332"/>
        <v/>
      </c>
      <c r="AW142" s="9" t="str">
        <f t="shared" si="332"/>
        <v/>
      </c>
      <c r="AX142" s="9" t="str">
        <f t="shared" si="332"/>
        <v/>
      </c>
      <c r="AY142" s="9" t="str">
        <f t="shared" si="332"/>
        <v/>
      </c>
      <c r="AZ142" s="9" t="str">
        <f t="shared" si="332"/>
        <v/>
      </c>
      <c r="BA142" s="9" t="str">
        <f t="shared" si="332"/>
        <v/>
      </c>
      <c r="BB142" s="9" t="str">
        <f t="shared" si="332"/>
        <v/>
      </c>
      <c r="BC142" s="9" t="str">
        <f t="shared" si="332"/>
        <v/>
      </c>
      <c r="BD142" s="9" t="str">
        <f t="shared" si="332"/>
        <v/>
      </c>
      <c r="BE142" s="9" t="str">
        <f t="shared" si="332"/>
        <v/>
      </c>
      <c r="BF142" s="9" t="str">
        <f t="shared" si="332"/>
        <v/>
      </c>
      <c r="BG142" s="9" t="str">
        <f t="shared" si="332"/>
        <v/>
      </c>
      <c r="BH142" s="9" t="str">
        <f t="shared" si="332"/>
        <v/>
      </c>
      <c r="BI142" s="9" t="str">
        <f t="shared" si="332"/>
        <v/>
      </c>
      <c r="BJ142" s="9" t="str">
        <f t="shared" si="332"/>
        <v/>
      </c>
      <c r="BK142" s="9" t="str">
        <f t="shared" si="332"/>
        <v/>
      </c>
      <c r="BL142" s="9" t="str">
        <f t="shared" si="332"/>
        <v/>
      </c>
      <c r="BM142" s="9" t="str">
        <f t="shared" si="332"/>
        <v/>
      </c>
      <c r="BN142" s="9" t="str">
        <f t="shared" si="332"/>
        <v/>
      </c>
      <c r="BO142" s="9" t="str">
        <f t="shared" si="332"/>
        <v/>
      </c>
      <c r="BP142" s="9" t="str">
        <f t="shared" si="332"/>
        <v/>
      </c>
      <c r="BQ142" s="9" t="str">
        <f t="shared" si="332"/>
        <v/>
      </c>
      <c r="BR142" s="9" t="str">
        <f t="shared" si="332"/>
        <v/>
      </c>
      <c r="BS142" s="9" t="str">
        <f t="shared" ref="BS142:ED142" si="333">IF(OR(BT50 = "", BT$8 &lt; BS$8), "", 1)</f>
        <v/>
      </c>
      <c r="BT142" s="9" t="str">
        <f t="shared" si="333"/>
        <v/>
      </c>
      <c r="BU142" s="9" t="str">
        <f t="shared" si="333"/>
        <v/>
      </c>
      <c r="BV142" s="9" t="str">
        <f t="shared" si="333"/>
        <v/>
      </c>
      <c r="BW142" s="9" t="str">
        <f t="shared" si="333"/>
        <v/>
      </c>
      <c r="BX142" s="9" t="str">
        <f t="shared" si="333"/>
        <v/>
      </c>
      <c r="BY142" s="9" t="str">
        <f t="shared" si="333"/>
        <v/>
      </c>
      <c r="BZ142" s="9" t="str">
        <f t="shared" si="333"/>
        <v/>
      </c>
      <c r="CA142" s="9" t="str">
        <f t="shared" si="333"/>
        <v/>
      </c>
      <c r="CB142" s="9" t="str">
        <f t="shared" si="333"/>
        <v/>
      </c>
      <c r="CC142" s="9" t="str">
        <f t="shared" si="333"/>
        <v/>
      </c>
      <c r="CD142" s="9" t="str">
        <f t="shared" si="333"/>
        <v/>
      </c>
      <c r="CE142" s="9" t="str">
        <f t="shared" si="333"/>
        <v/>
      </c>
      <c r="CF142" s="9" t="str">
        <f t="shared" si="333"/>
        <v/>
      </c>
      <c r="CG142" s="9" t="str">
        <f t="shared" si="333"/>
        <v/>
      </c>
      <c r="CH142" s="9" t="str">
        <f t="shared" si="333"/>
        <v/>
      </c>
      <c r="CI142" s="9" t="str">
        <f t="shared" si="333"/>
        <v/>
      </c>
      <c r="CJ142" s="9" t="str">
        <f t="shared" si="333"/>
        <v/>
      </c>
      <c r="CK142" s="9" t="str">
        <f t="shared" si="333"/>
        <v/>
      </c>
      <c r="CL142" s="9" t="str">
        <f t="shared" si="333"/>
        <v/>
      </c>
      <c r="CM142" s="9" t="str">
        <f t="shared" si="333"/>
        <v/>
      </c>
      <c r="CN142" s="9" t="str">
        <f t="shared" si="333"/>
        <v/>
      </c>
      <c r="CO142" s="9" t="str">
        <f t="shared" si="333"/>
        <v/>
      </c>
      <c r="CP142" s="9" t="str">
        <f t="shared" si="333"/>
        <v/>
      </c>
      <c r="CQ142" s="9" t="str">
        <f t="shared" si="333"/>
        <v/>
      </c>
      <c r="CR142" s="9" t="str">
        <f t="shared" si="333"/>
        <v/>
      </c>
      <c r="CS142" s="9" t="str">
        <f t="shared" si="333"/>
        <v/>
      </c>
      <c r="CT142" s="9" t="str">
        <f t="shared" si="333"/>
        <v/>
      </c>
      <c r="CU142" s="9" t="str">
        <f t="shared" si="333"/>
        <v/>
      </c>
      <c r="CV142" s="9" t="str">
        <f t="shared" si="333"/>
        <v/>
      </c>
      <c r="CW142" s="9" t="str">
        <f t="shared" si="333"/>
        <v/>
      </c>
      <c r="CX142" s="9" t="str">
        <f t="shared" si="333"/>
        <v/>
      </c>
      <c r="CY142" s="9" t="str">
        <f t="shared" si="333"/>
        <v/>
      </c>
      <c r="CZ142" s="9" t="str">
        <f t="shared" si="333"/>
        <v/>
      </c>
      <c r="DA142" s="9" t="str">
        <f t="shared" si="333"/>
        <v/>
      </c>
      <c r="DB142" s="9" t="str">
        <f t="shared" si="333"/>
        <v/>
      </c>
      <c r="DC142" s="9" t="str">
        <f t="shared" si="333"/>
        <v/>
      </c>
      <c r="DD142" s="9" t="str">
        <f t="shared" si="333"/>
        <v/>
      </c>
      <c r="DE142" s="9" t="str">
        <f t="shared" si="333"/>
        <v/>
      </c>
      <c r="DF142" s="9" t="str">
        <f t="shared" si="333"/>
        <v/>
      </c>
      <c r="DG142" s="9" t="str">
        <f t="shared" si="333"/>
        <v/>
      </c>
      <c r="DH142" s="9" t="str">
        <f t="shared" si="333"/>
        <v/>
      </c>
      <c r="DI142" s="9" t="str">
        <f t="shared" si="333"/>
        <v/>
      </c>
      <c r="DJ142" s="9" t="str">
        <f t="shared" si="333"/>
        <v/>
      </c>
      <c r="DK142" s="9" t="str">
        <f t="shared" si="333"/>
        <v/>
      </c>
      <c r="DL142" s="9" t="str">
        <f t="shared" si="333"/>
        <v/>
      </c>
      <c r="DM142" s="9" t="str">
        <f t="shared" si="333"/>
        <v/>
      </c>
      <c r="DN142" s="9" t="str">
        <f t="shared" si="333"/>
        <v/>
      </c>
      <c r="DO142" s="9" t="str">
        <f t="shared" si="333"/>
        <v/>
      </c>
      <c r="DP142" s="9" t="str">
        <f t="shared" si="333"/>
        <v/>
      </c>
      <c r="DQ142" s="9" t="str">
        <f t="shared" si="333"/>
        <v/>
      </c>
      <c r="DR142" s="9" t="str">
        <f t="shared" si="333"/>
        <v/>
      </c>
      <c r="DS142" s="9" t="str">
        <f t="shared" si="333"/>
        <v/>
      </c>
      <c r="DT142" s="9" t="str">
        <f t="shared" si="333"/>
        <v/>
      </c>
      <c r="DU142" s="9" t="str">
        <f t="shared" si="333"/>
        <v/>
      </c>
      <c r="DV142" s="9" t="str">
        <f t="shared" si="333"/>
        <v/>
      </c>
      <c r="DW142" s="9" t="str">
        <f t="shared" si="333"/>
        <v/>
      </c>
      <c r="DX142" s="9" t="str">
        <f t="shared" si="333"/>
        <v/>
      </c>
      <c r="DY142" s="9" t="str">
        <f t="shared" si="333"/>
        <v/>
      </c>
      <c r="DZ142" s="9" t="str">
        <f t="shared" si="333"/>
        <v/>
      </c>
      <c r="EA142" s="9" t="str">
        <f t="shared" si="333"/>
        <v/>
      </c>
      <c r="EB142" s="9">
        <f t="shared" si="333"/>
        <v>1</v>
      </c>
      <c r="EC142" s="9" t="str">
        <f t="shared" si="333"/>
        <v/>
      </c>
      <c r="ED142" s="9" t="str">
        <f t="shared" si="333"/>
        <v/>
      </c>
      <c r="EE142" s="9" t="str">
        <f t="shared" ref="EE142:GP142" si="334">IF(OR(EF50 = "", EF$8 &lt; EE$8), "", 1)</f>
        <v/>
      </c>
      <c r="EF142" s="9" t="str">
        <f t="shared" si="334"/>
        <v/>
      </c>
      <c r="EG142" s="9" t="str">
        <f t="shared" si="334"/>
        <v/>
      </c>
      <c r="EH142" s="9" t="str">
        <f t="shared" si="334"/>
        <v/>
      </c>
      <c r="EI142" s="9" t="str">
        <f t="shared" si="334"/>
        <v/>
      </c>
      <c r="EJ142" s="9" t="str">
        <f t="shared" si="334"/>
        <v/>
      </c>
      <c r="EK142" s="9" t="str">
        <f t="shared" si="334"/>
        <v/>
      </c>
      <c r="EL142" s="9" t="str">
        <f t="shared" si="334"/>
        <v/>
      </c>
      <c r="EM142" s="9" t="str">
        <f t="shared" si="334"/>
        <v/>
      </c>
      <c r="EN142" s="9" t="str">
        <f t="shared" si="334"/>
        <v/>
      </c>
      <c r="EO142" s="9" t="str">
        <f t="shared" si="334"/>
        <v/>
      </c>
      <c r="EP142" s="9" t="str">
        <f t="shared" si="334"/>
        <v/>
      </c>
      <c r="EQ142" s="9" t="str">
        <f t="shared" si="334"/>
        <v/>
      </c>
      <c r="ER142" s="9" t="str">
        <f t="shared" si="334"/>
        <v/>
      </c>
      <c r="ES142" s="9" t="str">
        <f t="shared" si="334"/>
        <v/>
      </c>
      <c r="ET142" s="9" t="str">
        <f t="shared" si="334"/>
        <v/>
      </c>
      <c r="EU142" s="9" t="str">
        <f t="shared" si="334"/>
        <v/>
      </c>
      <c r="EV142" s="9" t="str">
        <f t="shared" si="334"/>
        <v/>
      </c>
      <c r="EW142" s="9" t="str">
        <f t="shared" si="334"/>
        <v/>
      </c>
      <c r="EX142" s="9" t="str">
        <f t="shared" si="334"/>
        <v/>
      </c>
      <c r="EY142" s="9" t="str">
        <f t="shared" si="334"/>
        <v/>
      </c>
      <c r="EZ142" s="9" t="str">
        <f t="shared" si="334"/>
        <v/>
      </c>
      <c r="FA142" s="9" t="str">
        <f t="shared" si="334"/>
        <v/>
      </c>
      <c r="FB142" s="9" t="str">
        <f t="shared" si="334"/>
        <v/>
      </c>
      <c r="FC142" s="9" t="str">
        <f t="shared" si="334"/>
        <v/>
      </c>
      <c r="FD142" s="9" t="str">
        <f t="shared" si="334"/>
        <v/>
      </c>
      <c r="FE142" s="9" t="str">
        <f t="shared" si="334"/>
        <v/>
      </c>
      <c r="FF142" s="9" t="str">
        <f t="shared" si="334"/>
        <v/>
      </c>
      <c r="FG142" s="9" t="str">
        <f t="shared" si="334"/>
        <v/>
      </c>
      <c r="FH142" s="9" t="str">
        <f t="shared" si="334"/>
        <v/>
      </c>
      <c r="FI142" s="9" t="str">
        <f t="shared" si="334"/>
        <v/>
      </c>
      <c r="FJ142" s="9" t="str">
        <f t="shared" si="334"/>
        <v/>
      </c>
      <c r="FK142" s="9" t="str">
        <f t="shared" si="334"/>
        <v/>
      </c>
      <c r="FL142" s="9" t="str">
        <f t="shared" si="334"/>
        <v/>
      </c>
      <c r="FM142" s="9" t="str">
        <f t="shared" si="334"/>
        <v/>
      </c>
      <c r="FN142" s="9" t="str">
        <f t="shared" si="334"/>
        <v/>
      </c>
      <c r="FO142" s="9" t="str">
        <f t="shared" si="334"/>
        <v/>
      </c>
      <c r="FP142" s="9" t="str">
        <f t="shared" si="334"/>
        <v/>
      </c>
      <c r="FQ142" s="9" t="str">
        <f t="shared" si="334"/>
        <v/>
      </c>
      <c r="FR142" s="9" t="str">
        <f t="shared" si="334"/>
        <v/>
      </c>
      <c r="FS142" s="9" t="str">
        <f t="shared" si="334"/>
        <v/>
      </c>
      <c r="FT142" s="9" t="str">
        <f t="shared" si="334"/>
        <v/>
      </c>
      <c r="FU142" s="9" t="str">
        <f t="shared" si="334"/>
        <v/>
      </c>
      <c r="FV142" s="9" t="str">
        <f t="shared" si="334"/>
        <v/>
      </c>
      <c r="FW142" s="9" t="str">
        <f t="shared" si="334"/>
        <v/>
      </c>
      <c r="FX142" s="9" t="str">
        <f t="shared" si="334"/>
        <v/>
      </c>
      <c r="FY142" s="9" t="str">
        <f t="shared" si="334"/>
        <v/>
      </c>
      <c r="FZ142" s="9" t="str">
        <f t="shared" si="334"/>
        <v/>
      </c>
      <c r="GA142" s="9" t="str">
        <f t="shared" si="334"/>
        <v/>
      </c>
      <c r="GB142" s="9" t="str">
        <f t="shared" si="334"/>
        <v/>
      </c>
      <c r="GC142" s="9" t="str">
        <f t="shared" si="334"/>
        <v/>
      </c>
      <c r="GD142" s="9" t="str">
        <f t="shared" si="334"/>
        <v/>
      </c>
      <c r="GE142" s="9" t="str">
        <f t="shared" si="334"/>
        <v/>
      </c>
      <c r="GF142" s="9" t="str">
        <f t="shared" si="334"/>
        <v/>
      </c>
      <c r="GG142" s="9" t="str">
        <f t="shared" si="334"/>
        <v/>
      </c>
      <c r="GH142" s="9" t="str">
        <f t="shared" si="334"/>
        <v/>
      </c>
      <c r="GI142" s="9" t="str">
        <f t="shared" si="334"/>
        <v/>
      </c>
      <c r="GJ142" s="9" t="str">
        <f t="shared" si="334"/>
        <v/>
      </c>
      <c r="GK142" s="9" t="str">
        <f t="shared" si="334"/>
        <v/>
      </c>
      <c r="GL142" s="9" t="str">
        <f t="shared" si="334"/>
        <v/>
      </c>
      <c r="GM142" s="9" t="str">
        <f t="shared" si="334"/>
        <v/>
      </c>
      <c r="GN142" s="9" t="str">
        <f t="shared" si="334"/>
        <v/>
      </c>
      <c r="GO142" s="9" t="str">
        <f t="shared" si="334"/>
        <v/>
      </c>
      <c r="GP142" s="9" t="str">
        <f t="shared" si="334"/>
        <v/>
      </c>
      <c r="GQ142" s="9" t="str">
        <f t="shared" ref="GQ142:IV142" si="335">IF(OR(GR50 = "", GR$8 &lt; GQ$8), "", 1)</f>
        <v/>
      </c>
      <c r="GR142" s="9" t="str">
        <f t="shared" si="335"/>
        <v/>
      </c>
      <c r="GS142" s="9" t="str">
        <f t="shared" si="335"/>
        <v/>
      </c>
      <c r="GT142" s="9" t="str">
        <f t="shared" si="335"/>
        <v/>
      </c>
      <c r="GU142" s="9" t="str">
        <f t="shared" si="335"/>
        <v/>
      </c>
      <c r="GV142" s="9" t="str">
        <f t="shared" si="335"/>
        <v/>
      </c>
      <c r="GW142" s="9" t="str">
        <f t="shared" si="335"/>
        <v/>
      </c>
      <c r="GX142" s="9" t="str">
        <f t="shared" si="335"/>
        <v/>
      </c>
      <c r="GY142" s="9" t="str">
        <f t="shared" si="335"/>
        <v/>
      </c>
      <c r="GZ142" s="9" t="str">
        <f t="shared" si="335"/>
        <v/>
      </c>
      <c r="HA142" s="9" t="str">
        <f t="shared" si="335"/>
        <v/>
      </c>
      <c r="HB142" s="9" t="str">
        <f t="shared" si="335"/>
        <v/>
      </c>
      <c r="HC142" s="9" t="str">
        <f t="shared" si="335"/>
        <v/>
      </c>
      <c r="HD142" s="9" t="str">
        <f t="shared" si="335"/>
        <v/>
      </c>
      <c r="HE142" s="9" t="str">
        <f t="shared" si="335"/>
        <v/>
      </c>
      <c r="HF142" s="9" t="str">
        <f t="shared" si="335"/>
        <v/>
      </c>
      <c r="HG142" s="9" t="str">
        <f t="shared" si="335"/>
        <v/>
      </c>
      <c r="HH142" s="9" t="str">
        <f t="shared" si="335"/>
        <v/>
      </c>
      <c r="HI142" s="9" t="str">
        <f t="shared" si="335"/>
        <v/>
      </c>
      <c r="HJ142" s="9" t="str">
        <f t="shared" si="335"/>
        <v/>
      </c>
      <c r="HK142" s="9" t="str">
        <f t="shared" si="335"/>
        <v/>
      </c>
      <c r="HL142" s="9" t="str">
        <f t="shared" si="335"/>
        <v/>
      </c>
      <c r="HM142" s="9" t="str">
        <f t="shared" si="335"/>
        <v/>
      </c>
      <c r="HN142" s="9" t="str">
        <f t="shared" si="335"/>
        <v/>
      </c>
      <c r="HO142" s="9" t="str">
        <f t="shared" si="335"/>
        <v/>
      </c>
      <c r="HP142" s="9" t="str">
        <f t="shared" si="335"/>
        <v/>
      </c>
      <c r="HQ142" s="9" t="str">
        <f t="shared" si="335"/>
        <v/>
      </c>
      <c r="HR142" s="9" t="str">
        <f t="shared" si="335"/>
        <v/>
      </c>
      <c r="HS142" s="9" t="str">
        <f t="shared" si="335"/>
        <v/>
      </c>
      <c r="HT142" s="9" t="str">
        <f t="shared" si="335"/>
        <v/>
      </c>
      <c r="HU142" s="9" t="str">
        <f t="shared" si="335"/>
        <v/>
      </c>
      <c r="HV142" s="9" t="str">
        <f t="shared" si="335"/>
        <v/>
      </c>
      <c r="HW142" s="9" t="str">
        <f t="shared" si="335"/>
        <v/>
      </c>
      <c r="HX142" s="9" t="str">
        <f t="shared" si="335"/>
        <v/>
      </c>
      <c r="HY142" s="9" t="str">
        <f t="shared" si="335"/>
        <v/>
      </c>
      <c r="HZ142" s="9" t="str">
        <f t="shared" si="335"/>
        <v/>
      </c>
      <c r="IA142" s="9" t="str">
        <f t="shared" si="335"/>
        <v/>
      </c>
      <c r="IB142" s="9" t="str">
        <f t="shared" si="335"/>
        <v/>
      </c>
      <c r="IC142" s="9" t="str">
        <f t="shared" si="335"/>
        <v/>
      </c>
      <c r="ID142" s="9" t="str">
        <f t="shared" si="335"/>
        <v/>
      </c>
      <c r="IE142" s="9" t="str">
        <f t="shared" si="335"/>
        <v/>
      </c>
      <c r="IF142" s="9" t="str">
        <f t="shared" si="335"/>
        <v/>
      </c>
      <c r="IG142" s="9" t="str">
        <f t="shared" si="335"/>
        <v/>
      </c>
      <c r="IH142" s="9" t="str">
        <f t="shared" si="335"/>
        <v/>
      </c>
      <c r="II142" s="9" t="str">
        <f t="shared" si="335"/>
        <v/>
      </c>
      <c r="IJ142" s="9" t="str">
        <f t="shared" si="335"/>
        <v/>
      </c>
      <c r="IK142" s="9" t="str">
        <f t="shared" si="335"/>
        <v/>
      </c>
      <c r="IL142" s="9" t="str">
        <f t="shared" si="335"/>
        <v/>
      </c>
      <c r="IM142" s="9" t="str">
        <f t="shared" si="335"/>
        <v/>
      </c>
      <c r="IN142" s="9" t="str">
        <f t="shared" si="335"/>
        <v/>
      </c>
      <c r="IO142" s="9" t="str">
        <f t="shared" si="335"/>
        <v/>
      </c>
      <c r="IP142" s="9" t="str">
        <f t="shared" si="335"/>
        <v/>
      </c>
      <c r="IQ142" s="9" t="str">
        <f t="shared" si="335"/>
        <v/>
      </c>
      <c r="IR142" s="9" t="str">
        <f t="shared" si="335"/>
        <v/>
      </c>
      <c r="IS142" s="9" t="str">
        <f t="shared" si="335"/>
        <v/>
      </c>
      <c r="IT142" s="9" t="str">
        <f t="shared" si="335"/>
        <v/>
      </c>
      <c r="IU142" s="9" t="str">
        <f t="shared" si="335"/>
        <v/>
      </c>
      <c r="IV142" s="9" t="str">
        <f t="shared" si="335"/>
        <v/>
      </c>
    </row>
    <row r="145" spans="2:256" x14ac:dyDescent="0.2">
      <c r="B145" s="10" t="s">
        <v>2</v>
      </c>
      <c r="C145" s="10" t="s">
        <v>3</v>
      </c>
      <c r="D145" s="10" t="s">
        <v>4</v>
      </c>
      <c r="G145" s="11" t="s">
        <v>0</v>
      </c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12" t="s">
        <v>5</v>
      </c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  <c r="IU145" s="4"/>
      <c r="IV145" s="4"/>
    </row>
    <row r="146" spans="2:256" x14ac:dyDescent="0.2">
      <c r="F146" s="15" t="s">
        <v>6</v>
      </c>
      <c r="G146" s="8">
        <f>+IF(G$8 = 125, 1, AVERAGE(_xlfn._xlws.FILTER( G$55:G$96,  G$101:G$142  &gt; 0)))</f>
        <v>236.0971356695558</v>
      </c>
      <c r="H146" s="8">
        <f t="shared" ref="H146:BS146" si="336">+IF(H$8 = 125, 1, AVERAGE(_xlfn._xlws.FILTER( H$55:H$96,  H$101:H$142  &gt; 0)))</f>
        <v>3.1201577896532111</v>
      </c>
      <c r="I146" s="8">
        <f t="shared" si="336"/>
        <v>1.7038748788789266</v>
      </c>
      <c r="J146" s="8">
        <f t="shared" si="336"/>
        <v>1.2694442676057833</v>
      </c>
      <c r="K146" s="8">
        <f t="shared" si="336"/>
        <v>1.0717851120822881</v>
      </c>
      <c r="L146" s="8">
        <f t="shared" si="336"/>
        <v>1.0477762736668859</v>
      </c>
      <c r="M146" s="8">
        <f t="shared" si="336"/>
        <v>1.0169209053316031</v>
      </c>
      <c r="N146" s="8">
        <f t="shared" si="336"/>
        <v>1.0153826111447048</v>
      </c>
      <c r="O146" s="8">
        <f t="shared" si="336"/>
        <v>1.0085340288983748</v>
      </c>
      <c r="P146" s="8">
        <f t="shared" si="336"/>
        <v>1.0060026637264465</v>
      </c>
      <c r="Q146" s="8">
        <f t="shared" si="336"/>
        <v>1.002421941658167</v>
      </c>
      <c r="R146" s="8">
        <f t="shared" si="336"/>
        <v>1.0027132584083569</v>
      </c>
      <c r="S146" s="8">
        <f t="shared" si="336"/>
        <v>1.0042736976680848</v>
      </c>
      <c r="T146" s="8">
        <f t="shared" si="336"/>
        <v>1.0028401666372353</v>
      </c>
      <c r="U146" s="8">
        <f t="shared" si="336"/>
        <v>1.001507224313511</v>
      </c>
      <c r="V146" s="8">
        <f t="shared" si="336"/>
        <v>1.0015489817911691</v>
      </c>
      <c r="W146" s="8">
        <f t="shared" si="336"/>
        <v>1.001025625462532</v>
      </c>
      <c r="X146" s="8">
        <f t="shared" si="336"/>
        <v>1.0023889589738435</v>
      </c>
      <c r="Y146" s="8">
        <f t="shared" si="336"/>
        <v>1.000684186297053</v>
      </c>
      <c r="Z146" s="8">
        <f t="shared" si="336"/>
        <v>1.0023898219540568</v>
      </c>
      <c r="AA146" s="8">
        <f t="shared" si="336"/>
        <v>1.0006144222164071</v>
      </c>
      <c r="AB146" s="8">
        <f t="shared" si="336"/>
        <v>1.0003122761307175</v>
      </c>
      <c r="AC146" s="8">
        <f t="shared" si="336"/>
        <v>1.0011098320342615</v>
      </c>
      <c r="AD146" s="8">
        <f t="shared" si="336"/>
        <v>1.0036541079008801</v>
      </c>
      <c r="AE146" s="8">
        <f t="shared" si="336"/>
        <v>1.0015815117475182</v>
      </c>
      <c r="AF146" s="8">
        <f t="shared" si="336"/>
        <v>1.0008739976620418</v>
      </c>
      <c r="AG146" s="8">
        <f t="shared" si="336"/>
        <v>1.0006833370765154</v>
      </c>
      <c r="AH146" s="8">
        <f t="shared" si="336"/>
        <v>1.0004255398293362</v>
      </c>
      <c r="AI146" s="8">
        <f t="shared" si="336"/>
        <v>1.0011380997938808</v>
      </c>
      <c r="AJ146" s="8">
        <f t="shared" si="336"/>
        <v>1.0008659865097034</v>
      </c>
      <c r="AK146" s="8">
        <f t="shared" si="336"/>
        <v>1.0010205265991854</v>
      </c>
      <c r="AL146" s="8">
        <f t="shared" si="336"/>
        <v>1.0012716309908722</v>
      </c>
      <c r="AM146" s="8">
        <f t="shared" si="336"/>
        <v>1.0003389889209566</v>
      </c>
      <c r="AN146" s="8">
        <f t="shared" si="336"/>
        <v>1.0003399238826853</v>
      </c>
      <c r="AO146" s="8">
        <f t="shared" si="336"/>
        <v>1.0017206990697038</v>
      </c>
      <c r="AP146" s="8">
        <f t="shared" si="336"/>
        <v>1.0011936161922115</v>
      </c>
      <c r="AQ146" s="8">
        <f t="shared" si="336"/>
        <v>1.000451778025391</v>
      </c>
      <c r="AR146" s="8">
        <f t="shared" si="336"/>
        <v>1.0012046765919866</v>
      </c>
      <c r="AS146" s="8">
        <f t="shared" si="336"/>
        <v>1.0011591290362218</v>
      </c>
      <c r="AT146" s="8">
        <f t="shared" si="336"/>
        <v>1.0004915235453136</v>
      </c>
      <c r="AU146" s="8">
        <f t="shared" si="336"/>
        <v>1.0005160055888707</v>
      </c>
      <c r="AV146" s="8">
        <f t="shared" si="336"/>
        <v>1.0004223781240891</v>
      </c>
      <c r="AW146" s="8">
        <f t="shared" si="336"/>
        <v>1.0036569839520606</v>
      </c>
      <c r="AX146" s="8">
        <f t="shared" si="336"/>
        <v>1.0011343703053865</v>
      </c>
      <c r="AY146" s="8">
        <f t="shared" si="336"/>
        <v>1.0004317516035082</v>
      </c>
      <c r="AZ146" s="8">
        <f t="shared" si="336"/>
        <v>1.0002393358883086</v>
      </c>
      <c r="BA146" s="8">
        <f t="shared" si="336"/>
        <v>1.0006972421006992</v>
      </c>
      <c r="BB146" s="8">
        <f t="shared" si="336"/>
        <v>1.0006647949453378</v>
      </c>
      <c r="BC146" s="8">
        <f t="shared" si="336"/>
        <v>1.0004177202592033</v>
      </c>
      <c r="BD146" s="8">
        <f t="shared" si="336"/>
        <v>1.0008741588983128</v>
      </c>
      <c r="BE146" s="8">
        <f t="shared" si="336"/>
        <v>1.0005677691494121</v>
      </c>
      <c r="BF146" s="8">
        <f t="shared" si="336"/>
        <v>1.0010041644042234</v>
      </c>
      <c r="BG146" s="8">
        <f t="shared" si="336"/>
        <v>1.000342867894388</v>
      </c>
      <c r="BH146" s="8">
        <f t="shared" si="336"/>
        <v>1.0009837246376081</v>
      </c>
      <c r="BI146" s="8">
        <f t="shared" si="336"/>
        <v>1.0006365631999492</v>
      </c>
      <c r="BJ146" s="8">
        <f t="shared" si="336"/>
        <v>1.0003232909344144</v>
      </c>
      <c r="BK146" s="8">
        <f t="shared" si="336"/>
        <v>1.0006000611111412</v>
      </c>
      <c r="BL146" s="8">
        <f t="shared" si="336"/>
        <v>1.0035443828996278</v>
      </c>
      <c r="BM146" s="8">
        <f t="shared" si="336"/>
        <v>1.0011836592510235</v>
      </c>
      <c r="BN146" s="8">
        <f t="shared" si="336"/>
        <v>1.0011433382225516</v>
      </c>
      <c r="BO146" s="8">
        <f t="shared" si="336"/>
        <v>1.0013378730470945</v>
      </c>
      <c r="BP146" s="8">
        <f t="shared" si="336"/>
        <v>1.0008280367041498</v>
      </c>
      <c r="BQ146" s="8">
        <f t="shared" si="336"/>
        <v>1.0004733170688755</v>
      </c>
      <c r="BR146" s="8">
        <f t="shared" si="336"/>
        <v>1.0003527806837273</v>
      </c>
      <c r="BS146" s="8">
        <f t="shared" si="336"/>
        <v>1.0004982863971315</v>
      </c>
      <c r="BT146" s="8">
        <f t="shared" ref="BT146:EE146" si="337">+IF(BT$8 = 125, 1, AVERAGE(_xlfn._xlws.FILTER( BT$55:BT$96,  BT$101:BT$142  &gt; 0)))</f>
        <v>1.0005444995436199</v>
      </c>
      <c r="BU146" s="8">
        <f t="shared" si="337"/>
        <v>1.0002471752036666</v>
      </c>
      <c r="BV146" s="8">
        <f t="shared" si="337"/>
        <v>1.0004541847470934</v>
      </c>
      <c r="BW146" s="8">
        <f t="shared" si="337"/>
        <v>1.0003635849733143</v>
      </c>
      <c r="BX146" s="8">
        <f t="shared" si="337"/>
        <v>1.0005778420043208</v>
      </c>
      <c r="BY146" s="8">
        <f t="shared" si="337"/>
        <v>1.0005425944371746</v>
      </c>
      <c r="BZ146" s="8">
        <f t="shared" si="337"/>
        <v>1.0004870455952011</v>
      </c>
      <c r="CA146" s="8">
        <f t="shared" si="337"/>
        <v>1.0009961145081305</v>
      </c>
      <c r="CB146" s="8">
        <f t="shared" si="337"/>
        <v>1.0009394883845784</v>
      </c>
      <c r="CC146" s="8">
        <f t="shared" si="337"/>
        <v>1.0006729639040171</v>
      </c>
      <c r="CD146" s="8">
        <f t="shared" si="337"/>
        <v>1.0003617235657898</v>
      </c>
      <c r="CE146" s="8">
        <f t="shared" si="337"/>
        <v>1.0004601231222008</v>
      </c>
      <c r="CF146" s="8">
        <f t="shared" si="337"/>
        <v>1.001510179666951</v>
      </c>
      <c r="CG146" s="8">
        <f t="shared" si="337"/>
        <v>1.0006855223998088</v>
      </c>
      <c r="CH146" s="8">
        <f t="shared" si="337"/>
        <v>1.0002422588644888</v>
      </c>
      <c r="CI146" s="8">
        <f t="shared" si="337"/>
        <v>1.0008688730878352</v>
      </c>
      <c r="CJ146" s="8">
        <f t="shared" si="337"/>
        <v>1.0003837096548371</v>
      </c>
      <c r="CK146" s="8">
        <f t="shared" si="337"/>
        <v>1.0009367599019583</v>
      </c>
      <c r="CL146" s="8">
        <f t="shared" si="337"/>
        <v>1.0009723483421078</v>
      </c>
      <c r="CM146" s="8">
        <f t="shared" si="337"/>
        <v>1.0009697076723494</v>
      </c>
      <c r="CN146" s="8">
        <f t="shared" si="337"/>
        <v>1.0004862868497493</v>
      </c>
      <c r="CO146" s="8">
        <f t="shared" si="337"/>
        <v>1.0124683191523016</v>
      </c>
      <c r="CP146" s="8">
        <f t="shared" si="337"/>
        <v>1.0005094740541092</v>
      </c>
      <c r="CQ146" s="8">
        <f t="shared" si="337"/>
        <v>1.0005366178066373</v>
      </c>
      <c r="CR146" s="8">
        <f t="shared" si="337"/>
        <v>1.0007649539276091</v>
      </c>
      <c r="CS146" s="8">
        <f t="shared" si="337"/>
        <v>1.0008089729676322</v>
      </c>
      <c r="CT146" s="8">
        <f t="shared" si="337"/>
        <v>1.0011235630403093</v>
      </c>
      <c r="CU146" s="8">
        <f t="shared" si="337"/>
        <v>1.0006080032171567</v>
      </c>
      <c r="CV146" s="8">
        <f t="shared" si="337"/>
        <v>1.0007320196569238</v>
      </c>
      <c r="CW146" s="8">
        <f t="shared" si="337"/>
        <v>1.0007542379019265</v>
      </c>
      <c r="CX146" s="8">
        <f t="shared" si="337"/>
        <v>1.0010349120606816</v>
      </c>
      <c r="CY146" s="8">
        <f t="shared" si="337"/>
        <v>1.0008466608061162</v>
      </c>
      <c r="CZ146" s="8">
        <f t="shared" si="337"/>
        <v>1.0009463777622734</v>
      </c>
      <c r="DA146" s="8">
        <f t="shared" si="337"/>
        <v>1.0004831539270915</v>
      </c>
      <c r="DB146" s="8">
        <f t="shared" si="337"/>
        <v>1.0008464795654233</v>
      </c>
      <c r="DC146" s="8">
        <f t="shared" si="337"/>
        <v>1.0006823535060085</v>
      </c>
      <c r="DD146" s="8">
        <f t="shared" si="337"/>
        <v>1.000466592249891</v>
      </c>
      <c r="DE146" s="8">
        <f t="shared" si="337"/>
        <v>1.0007662292690971</v>
      </c>
      <c r="DF146" s="8">
        <f t="shared" si="337"/>
        <v>1.0008434216650506</v>
      </c>
      <c r="DG146" s="8">
        <f t="shared" si="337"/>
        <v>1.0011372613278426</v>
      </c>
      <c r="DH146" s="8">
        <f t="shared" si="337"/>
        <v>1.0013749677423864</v>
      </c>
      <c r="DI146" s="8">
        <f t="shared" si="337"/>
        <v>1.0004030268671984</v>
      </c>
      <c r="DJ146" s="8">
        <f t="shared" si="337"/>
        <v>1.0011547657774542</v>
      </c>
      <c r="DK146" s="8">
        <f t="shared" si="337"/>
        <v>1.0025447985137868</v>
      </c>
      <c r="DL146" s="8">
        <f t="shared" si="337"/>
        <v>1.0008905782805511</v>
      </c>
      <c r="DM146" s="8">
        <f t="shared" si="337"/>
        <v>1.0009098963123633</v>
      </c>
      <c r="DN146" s="8">
        <f t="shared" si="337"/>
        <v>1.0012908943425054</v>
      </c>
      <c r="DO146" s="8">
        <f t="shared" si="337"/>
        <v>1.0015543894261347</v>
      </c>
      <c r="DP146" s="8">
        <f t="shared" si="337"/>
        <v>1.0009182816450997</v>
      </c>
      <c r="DQ146" s="8">
        <f t="shared" si="337"/>
        <v>1.0004935362848839</v>
      </c>
      <c r="DR146" s="8">
        <f t="shared" si="337"/>
        <v>1.0011520456209959</v>
      </c>
      <c r="DS146" s="8">
        <f t="shared" si="337"/>
        <v>1.0023495132691391</v>
      </c>
      <c r="DT146" s="8">
        <f t="shared" si="337"/>
        <v>1.0022348158128072</v>
      </c>
      <c r="DU146" s="8">
        <f t="shared" si="337"/>
        <v>1.0009066405512623</v>
      </c>
      <c r="DV146" s="8">
        <f t="shared" si="337"/>
        <v>1.0034017444366707</v>
      </c>
      <c r="DW146" s="8">
        <f t="shared" si="337"/>
        <v>1.0021577041171688</v>
      </c>
      <c r="DX146" s="8">
        <f t="shared" si="337"/>
        <v>1.0038513805404945</v>
      </c>
      <c r="DY146" s="8">
        <f t="shared" si="337"/>
        <v>1.0045542200871611</v>
      </c>
      <c r="DZ146" s="8">
        <f t="shared" si="337"/>
        <v>1.0041088153957449</v>
      </c>
      <c r="EA146" s="8">
        <f t="shared" si="337"/>
        <v>1</v>
      </c>
      <c r="EB146" s="8">
        <f t="shared" si="337"/>
        <v>4.0761971885257093</v>
      </c>
      <c r="EC146" s="8">
        <f t="shared" si="337"/>
        <v>1.7560329668318897</v>
      </c>
      <c r="ED146" s="8">
        <f t="shared" si="337"/>
        <v>1.2577612006848145</v>
      </c>
      <c r="EE146" s="8">
        <f t="shared" si="337"/>
        <v>1.030369017558439</v>
      </c>
      <c r="EF146" s="8">
        <f t="shared" ref="EF146:GQ146" si="338">+IF(EF$8 = 125, 1, AVERAGE(_xlfn._xlws.FILTER( EF$55:EF$96,  EF$101:EF$142  &gt; 0)))</f>
        <v>1.0168019336170464</v>
      </c>
      <c r="EG146" s="8">
        <f t="shared" si="338"/>
        <v>1.0103259687924078</v>
      </c>
      <c r="EH146" s="8">
        <f t="shared" si="338"/>
        <v>1.003723975542125</v>
      </c>
      <c r="EI146" s="8">
        <f t="shared" si="338"/>
        <v>1.0001203390867008</v>
      </c>
      <c r="EJ146" s="8">
        <f t="shared" si="338"/>
        <v>1.000102586577351</v>
      </c>
      <c r="EK146" s="8">
        <f t="shared" si="338"/>
        <v>1.0026659962012812</v>
      </c>
      <c r="EL146" s="8">
        <f t="shared" si="338"/>
        <v>1.0009999544455999</v>
      </c>
      <c r="EM146" s="8">
        <f t="shared" si="338"/>
        <v>1.0057368269931672</v>
      </c>
      <c r="EN146" s="8">
        <f t="shared" si="338"/>
        <v>0.99825486360648719</v>
      </c>
      <c r="EO146" s="8">
        <f t="shared" si="338"/>
        <v>1.0013540987693972</v>
      </c>
      <c r="EP146" s="8">
        <f t="shared" si="338"/>
        <v>1.0004426901299077</v>
      </c>
      <c r="EQ146" s="8">
        <f t="shared" si="338"/>
        <v>0.9988513201307988</v>
      </c>
      <c r="ER146" s="8">
        <f t="shared" si="338"/>
        <v>1.0029828145226733</v>
      </c>
      <c r="ES146" s="8">
        <f t="shared" si="338"/>
        <v>1.0011829828066781</v>
      </c>
      <c r="ET146" s="8">
        <f t="shared" si="338"/>
        <v>1.000301894313625</v>
      </c>
      <c r="EU146" s="8">
        <f t="shared" si="338"/>
        <v>1.0004997671594333</v>
      </c>
      <c r="EV146" s="8">
        <f t="shared" si="338"/>
        <v>1.0027495356962188</v>
      </c>
      <c r="EW146" s="8">
        <f t="shared" si="338"/>
        <v>1.0001189893617894</v>
      </c>
      <c r="EX146" s="8">
        <f t="shared" si="338"/>
        <v>1.0000881570948261</v>
      </c>
      <c r="EY146" s="8">
        <f t="shared" si="338"/>
        <v>1.0014532668458531</v>
      </c>
      <c r="EZ146" s="8">
        <f t="shared" si="338"/>
        <v>1.0006920272682605</v>
      </c>
      <c r="FA146" s="8">
        <f t="shared" si="338"/>
        <v>1.0022000834450824</v>
      </c>
      <c r="FB146" s="8">
        <f t="shared" si="338"/>
        <v>0.99979480702052415</v>
      </c>
      <c r="FC146" s="8">
        <f t="shared" si="338"/>
        <v>0.99966786646192851</v>
      </c>
      <c r="FD146" s="8">
        <f t="shared" si="338"/>
        <v>1.0026937416096888</v>
      </c>
      <c r="FE146" s="8">
        <f t="shared" si="338"/>
        <v>1.0035156299500663</v>
      </c>
      <c r="FF146" s="8">
        <f t="shared" si="338"/>
        <v>0.99900765317051043</v>
      </c>
      <c r="FG146" s="8">
        <f t="shared" si="338"/>
        <v>1.0004928631921421</v>
      </c>
      <c r="FH146" s="8">
        <f t="shared" si="338"/>
        <v>1.0006330070072784</v>
      </c>
      <c r="FI146" s="8">
        <f t="shared" si="338"/>
        <v>1.0010419826845673</v>
      </c>
      <c r="FJ146" s="8">
        <f t="shared" si="338"/>
        <v>1.0009578934842631</v>
      </c>
      <c r="FK146" s="8">
        <f t="shared" si="338"/>
        <v>0.99820418372203656</v>
      </c>
      <c r="FL146" s="8">
        <f t="shared" si="338"/>
        <v>1.0016556046908578</v>
      </c>
      <c r="FM146" s="8">
        <f t="shared" si="338"/>
        <v>1.000565690410786</v>
      </c>
      <c r="FN146" s="8">
        <f t="shared" si="338"/>
        <v>1.0011752869992081</v>
      </c>
      <c r="FO146" s="8">
        <f t="shared" si="338"/>
        <v>1.0028833035164046</v>
      </c>
      <c r="FP146" s="8">
        <f t="shared" si="338"/>
        <v>1.0008503684267118</v>
      </c>
      <c r="FQ146" s="8">
        <f t="shared" si="338"/>
        <v>0.99990126543867019</v>
      </c>
      <c r="FR146" s="8">
        <f t="shared" si="338"/>
        <v>1.0003031359227061</v>
      </c>
      <c r="FS146" s="8">
        <f t="shared" si="338"/>
        <v>1.0007125913880901</v>
      </c>
      <c r="FT146" s="8">
        <f t="shared" si="338"/>
        <v>1.000306879250116</v>
      </c>
      <c r="FU146" s="8">
        <f t="shared" si="338"/>
        <v>0.99958783675592378</v>
      </c>
      <c r="FV146" s="8">
        <f t="shared" si="338"/>
        <v>1.0007683782000154</v>
      </c>
      <c r="FW146" s="8">
        <f t="shared" si="338"/>
        <v>1.0007040541003265</v>
      </c>
      <c r="FX146" s="8">
        <f t="shared" si="338"/>
        <v>1.000424477273524</v>
      </c>
      <c r="FY146" s="8">
        <f t="shared" si="338"/>
        <v>0.99957482677802612</v>
      </c>
      <c r="FZ146" s="8">
        <f t="shared" si="338"/>
        <v>1.0036538539639233</v>
      </c>
      <c r="GA146" s="8">
        <f t="shared" si="338"/>
        <v>1.0004575315154807</v>
      </c>
      <c r="GB146" s="8">
        <f t="shared" si="338"/>
        <v>1.0000099032532532</v>
      </c>
      <c r="GC146" s="8">
        <f t="shared" si="338"/>
        <v>1.0012694827852182</v>
      </c>
      <c r="GD146" s="8">
        <f t="shared" si="338"/>
        <v>1.0006812540894481</v>
      </c>
      <c r="GE146" s="8">
        <f t="shared" si="338"/>
        <v>1.00034594689356</v>
      </c>
      <c r="GF146" s="8">
        <f t="shared" si="338"/>
        <v>1.0025454474692277</v>
      </c>
      <c r="GG146" s="8">
        <f t="shared" si="338"/>
        <v>1.0020288874102719</v>
      </c>
      <c r="GH146" s="8">
        <f t="shared" si="338"/>
        <v>0.99865505033931079</v>
      </c>
      <c r="GI146" s="8">
        <f t="shared" si="338"/>
        <v>1.0009726232127096</v>
      </c>
      <c r="GJ146" s="8">
        <f t="shared" si="338"/>
        <v>1.0011757819213969</v>
      </c>
      <c r="GK146" s="8">
        <f t="shared" si="338"/>
        <v>1.0008122566412181</v>
      </c>
      <c r="GL146" s="8">
        <f t="shared" si="338"/>
        <v>1.0005154098471556</v>
      </c>
      <c r="GM146" s="8">
        <f t="shared" si="338"/>
        <v>1.0003279261840352</v>
      </c>
      <c r="GN146" s="8">
        <f t="shared" si="338"/>
        <v>1.0011508875272057</v>
      </c>
      <c r="GO146" s="8">
        <f t="shared" si="338"/>
        <v>1.0005924266319322</v>
      </c>
      <c r="GP146" s="8">
        <f t="shared" si="338"/>
        <v>0.99946265890764319</v>
      </c>
      <c r="GQ146" s="8">
        <f t="shared" si="338"/>
        <v>1.000491871458991</v>
      </c>
      <c r="GR146" s="8">
        <f t="shared" ref="GR146:IV146" si="339">+IF(GR$8 = 125, 1, AVERAGE(_xlfn._xlws.FILTER( GR$55:GR$96,  GR$101:GR$142  &gt; 0)))</f>
        <v>1.0003858295851533</v>
      </c>
      <c r="GS146" s="8">
        <f t="shared" si="339"/>
        <v>1.0004960292284364</v>
      </c>
      <c r="GT146" s="8">
        <f t="shared" si="339"/>
        <v>1.0008706483804515</v>
      </c>
      <c r="GU146" s="8">
        <f t="shared" si="339"/>
        <v>1.0001735785060015</v>
      </c>
      <c r="GV146" s="8">
        <f t="shared" si="339"/>
        <v>1.0013113121085913</v>
      </c>
      <c r="GW146" s="8">
        <f t="shared" si="339"/>
        <v>1.0006862405178305</v>
      </c>
      <c r="GX146" s="8">
        <f t="shared" si="339"/>
        <v>1.0007559969451543</v>
      </c>
      <c r="GY146" s="8">
        <f t="shared" si="339"/>
        <v>1.0003232722599731</v>
      </c>
      <c r="GZ146" s="8">
        <f t="shared" si="339"/>
        <v>1.0005022804308332</v>
      </c>
      <c r="HA146" s="8">
        <f t="shared" si="339"/>
        <v>1.0017511025920429</v>
      </c>
      <c r="HB146" s="8">
        <f t="shared" si="339"/>
        <v>0.99996765666535936</v>
      </c>
      <c r="HC146" s="8">
        <f t="shared" si="339"/>
        <v>1.0002594675047862</v>
      </c>
      <c r="HD146" s="8">
        <f t="shared" si="339"/>
        <v>1.0009576439998558</v>
      </c>
      <c r="HE146" s="8">
        <f t="shared" si="339"/>
        <v>1.0005676389009635</v>
      </c>
      <c r="HF146" s="8">
        <f t="shared" si="339"/>
        <v>1.0026930758983206</v>
      </c>
      <c r="HG146" s="8">
        <f t="shared" si="339"/>
        <v>1.0010341556387345</v>
      </c>
      <c r="HH146" s="8">
        <f t="shared" si="339"/>
        <v>1.0012996857953744</v>
      </c>
      <c r="HI146" s="8">
        <f t="shared" si="339"/>
        <v>1.0041456111081182</v>
      </c>
      <c r="HJ146" s="8">
        <f t="shared" si="339"/>
        <v>1.0009341501765634</v>
      </c>
      <c r="HK146" s="8">
        <f t="shared" si="339"/>
        <v>1.000574458792284</v>
      </c>
      <c r="HL146" s="8">
        <f t="shared" si="339"/>
        <v>1.0006100721169358</v>
      </c>
      <c r="HM146" s="8">
        <f t="shared" si="339"/>
        <v>1.0008211681206995</v>
      </c>
      <c r="HN146" s="8">
        <f t="shared" si="339"/>
        <v>1.0020649093253475</v>
      </c>
      <c r="HO146" s="8">
        <f t="shared" si="339"/>
        <v>1.0004346411792964</v>
      </c>
      <c r="HP146" s="8">
        <f t="shared" si="339"/>
        <v>1.0007114836947602</v>
      </c>
      <c r="HQ146" s="8">
        <f t="shared" si="339"/>
        <v>1.0007668565883505</v>
      </c>
      <c r="HR146" s="8">
        <f t="shared" si="339"/>
        <v>1.0004919845993738</v>
      </c>
      <c r="HS146" s="8">
        <f t="shared" si="339"/>
        <v>1.0010962885678354</v>
      </c>
      <c r="HT146" s="8">
        <f t="shared" si="339"/>
        <v>1.0008914557426301</v>
      </c>
      <c r="HU146" s="8">
        <f t="shared" si="339"/>
        <v>1.0010555325080719</v>
      </c>
      <c r="HV146" s="8">
        <f t="shared" si="339"/>
        <v>1.0005644958158735</v>
      </c>
      <c r="HW146" s="8">
        <f t="shared" si="339"/>
        <v>1.0015643659280689</v>
      </c>
      <c r="HX146" s="8">
        <f t="shared" si="339"/>
        <v>1.0007725101277452</v>
      </c>
      <c r="HY146" s="8">
        <f t="shared" si="339"/>
        <v>1.0005551449694012</v>
      </c>
      <c r="HZ146" s="8">
        <f t="shared" si="339"/>
        <v>1.0009035720943098</v>
      </c>
      <c r="IA146" s="8">
        <f t="shared" si="339"/>
        <v>1.0009423834277469</v>
      </c>
      <c r="IB146" s="8">
        <f t="shared" si="339"/>
        <v>1.0012827235363422</v>
      </c>
      <c r="IC146" s="8">
        <f t="shared" si="339"/>
        <v>1.0015068044751323</v>
      </c>
      <c r="ID146" s="8">
        <f t="shared" si="339"/>
        <v>1.0008134509363862</v>
      </c>
      <c r="IE146" s="8">
        <f t="shared" si="339"/>
        <v>1.0012500491947682</v>
      </c>
      <c r="IF146" s="8">
        <f t="shared" si="339"/>
        <v>1.0024911822195373</v>
      </c>
      <c r="IG146" s="8">
        <f t="shared" si="339"/>
        <v>1.0009396843363321</v>
      </c>
      <c r="IH146" s="8">
        <f t="shared" si="339"/>
        <v>1.0010261626150154</v>
      </c>
      <c r="II146" s="8">
        <f t="shared" si="339"/>
        <v>1.0014082771777444</v>
      </c>
      <c r="IJ146" s="8">
        <f t="shared" si="339"/>
        <v>1.0016879176110733</v>
      </c>
      <c r="IK146" s="8">
        <f t="shared" si="339"/>
        <v>1.0010039471736454</v>
      </c>
      <c r="IL146" s="8">
        <f t="shared" si="339"/>
        <v>1.0010951162430566</v>
      </c>
      <c r="IM146" s="8">
        <f t="shared" si="339"/>
        <v>1.0012550173828316</v>
      </c>
      <c r="IN146" s="8">
        <f t="shared" si="339"/>
        <v>1.0026733062335238</v>
      </c>
      <c r="IO146" s="8">
        <f t="shared" si="339"/>
        <v>1.0023132715266874</v>
      </c>
      <c r="IP146" s="8">
        <f t="shared" si="339"/>
        <v>1.0008651169757654</v>
      </c>
      <c r="IQ146" s="8">
        <f t="shared" si="339"/>
        <v>1.0035079427040097</v>
      </c>
      <c r="IR146" s="8">
        <f t="shared" si="339"/>
        <v>1.0023335443520889</v>
      </c>
      <c r="IS146" s="8">
        <f t="shared" si="339"/>
        <v>1.0055498790859507</v>
      </c>
      <c r="IT146" s="8">
        <f t="shared" si="339"/>
        <v>1.0050872730680325</v>
      </c>
      <c r="IU146" s="8">
        <f t="shared" si="339"/>
        <v>1.0045545119089383</v>
      </c>
      <c r="IV146" s="8">
        <f t="shared" si="339"/>
        <v>1</v>
      </c>
    </row>
    <row r="147" spans="2:256" x14ac:dyDescent="0.2">
      <c r="F147" s="15" t="s">
        <v>7</v>
      </c>
      <c r="G147" s="8">
        <f>+IF(G$8 = 125, 1, MEDIAN(_xlfn._xlws.FILTER( G$55:G$96,  G$101:G$142  &gt; 0)))</f>
        <v>17.469863244585497</v>
      </c>
      <c r="H147" s="8">
        <f t="shared" ref="H147:BS147" si="340">+IF(H$8 = 125, 1, MEDIAN(_xlfn._xlws.FILTER( H$55:H$96,  H$101:H$142  &gt; 0)))</f>
        <v>2.609732093970309</v>
      </c>
      <c r="I147" s="8">
        <f t="shared" si="340"/>
        <v>1.6135440466457387</v>
      </c>
      <c r="J147" s="8">
        <f t="shared" si="340"/>
        <v>1.2181421424445078</v>
      </c>
      <c r="K147" s="8">
        <f t="shared" si="340"/>
        <v>1.0638902660302074</v>
      </c>
      <c r="L147" s="8">
        <f t="shared" si="340"/>
        <v>1.0282510813179715</v>
      </c>
      <c r="M147" s="8">
        <f t="shared" si="340"/>
        <v>1.0096527191643605</v>
      </c>
      <c r="N147" s="8">
        <f t="shared" si="340"/>
        <v>1.0063831060938264</v>
      </c>
      <c r="O147" s="8">
        <f t="shared" si="340"/>
        <v>1.0010633939395992</v>
      </c>
      <c r="P147" s="8">
        <f t="shared" si="340"/>
        <v>1.0006591655767634</v>
      </c>
      <c r="Q147" s="8">
        <f t="shared" si="340"/>
        <v>1.00066199503381</v>
      </c>
      <c r="R147" s="8">
        <f t="shared" si="340"/>
        <v>1.0002722550859455</v>
      </c>
      <c r="S147" s="8">
        <f t="shared" si="340"/>
        <v>1.0003736896922071</v>
      </c>
      <c r="T147" s="8">
        <f t="shared" si="340"/>
        <v>1.0012318084125855</v>
      </c>
      <c r="U147" s="8">
        <f t="shared" si="340"/>
        <v>1.0001002679682098</v>
      </c>
      <c r="V147" s="8">
        <f t="shared" si="340"/>
        <v>1.0000666495192923</v>
      </c>
      <c r="W147" s="8">
        <f t="shared" si="340"/>
        <v>1.000199538542426</v>
      </c>
      <c r="X147" s="8">
        <f t="shared" si="340"/>
        <v>1</v>
      </c>
      <c r="Y147" s="8">
        <f t="shared" si="340"/>
        <v>1.0001554049509689</v>
      </c>
      <c r="Z147" s="8">
        <f t="shared" si="340"/>
        <v>1.0001794011961358</v>
      </c>
      <c r="AA147" s="8">
        <f t="shared" si="340"/>
        <v>1</v>
      </c>
      <c r="AB147" s="8">
        <f t="shared" si="340"/>
        <v>1</v>
      </c>
      <c r="AC147" s="8">
        <f t="shared" si="340"/>
        <v>1.0000370344289995</v>
      </c>
      <c r="AD147" s="8">
        <f t="shared" si="340"/>
        <v>1.0001084063503072</v>
      </c>
      <c r="AE147" s="8">
        <f t="shared" si="340"/>
        <v>1.0003245282916895</v>
      </c>
      <c r="AF147" s="8">
        <f t="shared" si="340"/>
        <v>1.0001056740097203</v>
      </c>
      <c r="AG147" s="8">
        <f t="shared" si="340"/>
        <v>1.0000209302621168</v>
      </c>
      <c r="AH147" s="8">
        <f t="shared" si="340"/>
        <v>1</v>
      </c>
      <c r="AI147" s="8">
        <f t="shared" si="340"/>
        <v>1.0000712877214748</v>
      </c>
      <c r="AJ147" s="8">
        <f t="shared" si="340"/>
        <v>1.00009027833871</v>
      </c>
      <c r="AK147" s="8">
        <f t="shared" si="340"/>
        <v>1.000036158903538</v>
      </c>
      <c r="AL147" s="8">
        <f t="shared" si="340"/>
        <v>1.0000044367378862</v>
      </c>
      <c r="AM147" s="8">
        <f t="shared" si="340"/>
        <v>1</v>
      </c>
      <c r="AN147" s="8">
        <f t="shared" si="340"/>
        <v>1</v>
      </c>
      <c r="AO147" s="8">
        <f t="shared" si="340"/>
        <v>1</v>
      </c>
      <c r="AP147" s="8">
        <f t="shared" si="340"/>
        <v>1.000050630662181</v>
      </c>
      <c r="AQ147" s="8">
        <f t="shared" si="340"/>
        <v>1.0000930626342801</v>
      </c>
      <c r="AR147" s="8">
        <f t="shared" si="340"/>
        <v>1.0001444078930315</v>
      </c>
      <c r="AS147" s="8">
        <f t="shared" si="340"/>
        <v>1</v>
      </c>
      <c r="AT147" s="8">
        <f t="shared" si="340"/>
        <v>1</v>
      </c>
      <c r="AU147" s="8">
        <f t="shared" si="340"/>
        <v>1.0000199073555254</v>
      </c>
      <c r="AV147" s="8">
        <f t="shared" si="340"/>
        <v>1</v>
      </c>
      <c r="AW147" s="8">
        <f t="shared" si="340"/>
        <v>1</v>
      </c>
      <c r="AX147" s="8">
        <f t="shared" si="340"/>
        <v>1.0000147114599871</v>
      </c>
      <c r="AY147" s="8">
        <f t="shared" si="340"/>
        <v>1</v>
      </c>
      <c r="AZ147" s="8">
        <f t="shared" si="340"/>
        <v>1</v>
      </c>
      <c r="BA147" s="8">
        <f t="shared" si="340"/>
        <v>1.0001204164464736</v>
      </c>
      <c r="BB147" s="8">
        <f t="shared" si="340"/>
        <v>1.0000984937860973</v>
      </c>
      <c r="BC147" s="8">
        <f t="shared" si="340"/>
        <v>1.0001364138826312</v>
      </c>
      <c r="BD147" s="8">
        <f t="shared" si="340"/>
        <v>1.0000278863950776</v>
      </c>
      <c r="BE147" s="8">
        <f t="shared" si="340"/>
        <v>1.0000859161174738</v>
      </c>
      <c r="BF147" s="8">
        <f t="shared" si="340"/>
        <v>1</v>
      </c>
      <c r="BG147" s="8">
        <f t="shared" si="340"/>
        <v>1</v>
      </c>
      <c r="BH147" s="8">
        <f t="shared" si="340"/>
        <v>1</v>
      </c>
      <c r="BI147" s="8">
        <f t="shared" si="340"/>
        <v>1</v>
      </c>
      <c r="BJ147" s="8">
        <f t="shared" si="340"/>
        <v>1</v>
      </c>
      <c r="BK147" s="8">
        <f t="shared" si="340"/>
        <v>1</v>
      </c>
      <c r="BL147" s="8">
        <f t="shared" si="340"/>
        <v>1</v>
      </c>
      <c r="BM147" s="8">
        <f t="shared" si="340"/>
        <v>1</v>
      </c>
      <c r="BN147" s="8">
        <f t="shared" si="340"/>
        <v>1.0003141445924322</v>
      </c>
      <c r="BO147" s="8">
        <f t="shared" si="340"/>
        <v>1.0001379438053859</v>
      </c>
      <c r="BP147" s="8">
        <f t="shared" si="340"/>
        <v>1.0002215990594614</v>
      </c>
      <c r="BQ147" s="8">
        <f t="shared" si="340"/>
        <v>1</v>
      </c>
      <c r="BR147" s="8">
        <f t="shared" si="340"/>
        <v>1</v>
      </c>
      <c r="BS147" s="8">
        <f t="shared" si="340"/>
        <v>1.0000319427775137</v>
      </c>
      <c r="BT147" s="8">
        <f t="shared" ref="BT147:EE147" si="341">+IF(BT$8 = 125, 1, MEDIAN(_xlfn._xlws.FILTER( BT$55:BT$96,  BT$101:BT$142  &gt; 0)))</f>
        <v>1</v>
      </c>
      <c r="BU147" s="8">
        <f t="shared" si="341"/>
        <v>1.0000722595031886</v>
      </c>
      <c r="BV147" s="8">
        <f t="shared" si="341"/>
        <v>1</v>
      </c>
      <c r="BW147" s="8">
        <f t="shared" si="341"/>
        <v>1</v>
      </c>
      <c r="BX147" s="8">
        <f t="shared" si="341"/>
        <v>1.0000398309330418</v>
      </c>
      <c r="BY147" s="8">
        <f t="shared" si="341"/>
        <v>1</v>
      </c>
      <c r="BZ147" s="8">
        <f t="shared" si="341"/>
        <v>1.0001251272365561</v>
      </c>
      <c r="CA147" s="8">
        <f t="shared" si="341"/>
        <v>1.0002781064651223</v>
      </c>
      <c r="CB147" s="8">
        <f t="shared" si="341"/>
        <v>1.0002171677535789</v>
      </c>
      <c r="CC147" s="8">
        <f t="shared" si="341"/>
        <v>1.0000579304398651</v>
      </c>
      <c r="CD147" s="8">
        <f t="shared" si="341"/>
        <v>1</v>
      </c>
      <c r="CE147" s="8">
        <f t="shared" si="341"/>
        <v>1</v>
      </c>
      <c r="CF147" s="8">
        <f t="shared" si="341"/>
        <v>1</v>
      </c>
      <c r="CG147" s="8">
        <f t="shared" si="341"/>
        <v>1.0001716033688206</v>
      </c>
      <c r="CH147" s="8">
        <f t="shared" si="341"/>
        <v>1</v>
      </c>
      <c r="CI147" s="8">
        <f t="shared" si="341"/>
        <v>1</v>
      </c>
      <c r="CJ147" s="8">
        <f t="shared" si="341"/>
        <v>1</v>
      </c>
      <c r="CK147" s="8">
        <f t="shared" si="341"/>
        <v>1.0000631119647134</v>
      </c>
      <c r="CL147" s="8">
        <f t="shared" si="341"/>
        <v>1.0002922489753601</v>
      </c>
      <c r="CM147" s="8">
        <f t="shared" si="341"/>
        <v>1.0006148739086034</v>
      </c>
      <c r="CN147" s="8">
        <f t="shared" si="341"/>
        <v>1.0002366779676293</v>
      </c>
      <c r="CO147" s="8">
        <f t="shared" si="341"/>
        <v>1</v>
      </c>
      <c r="CP147" s="8">
        <f t="shared" si="341"/>
        <v>1</v>
      </c>
      <c r="CQ147" s="8">
        <f t="shared" si="341"/>
        <v>1</v>
      </c>
      <c r="CR147" s="8">
        <f t="shared" si="341"/>
        <v>1.0001302416513247</v>
      </c>
      <c r="CS147" s="8">
        <f t="shared" si="341"/>
        <v>1.0001074457541421</v>
      </c>
      <c r="CT147" s="8">
        <f t="shared" si="341"/>
        <v>1</v>
      </c>
      <c r="CU147" s="8">
        <f t="shared" si="341"/>
        <v>1</v>
      </c>
      <c r="CV147" s="8">
        <f t="shared" si="341"/>
        <v>1</v>
      </c>
      <c r="CW147" s="8">
        <f t="shared" si="341"/>
        <v>1</v>
      </c>
      <c r="CX147" s="8">
        <f t="shared" si="341"/>
        <v>1.0003807997006509</v>
      </c>
      <c r="CY147" s="8">
        <f t="shared" si="341"/>
        <v>1.0007407655987326</v>
      </c>
      <c r="CZ147" s="8">
        <f t="shared" si="341"/>
        <v>1.0004459390562968</v>
      </c>
      <c r="DA147" s="8">
        <f t="shared" si="341"/>
        <v>1</v>
      </c>
      <c r="DB147" s="8">
        <f t="shared" si="341"/>
        <v>1</v>
      </c>
      <c r="DC147" s="8">
        <f t="shared" si="341"/>
        <v>1.0003505589321136</v>
      </c>
      <c r="DD147" s="8">
        <f t="shared" si="341"/>
        <v>1.0000259419626922</v>
      </c>
      <c r="DE147" s="8">
        <f t="shared" si="341"/>
        <v>1.000028267717584</v>
      </c>
      <c r="DF147" s="8">
        <f t="shared" si="341"/>
        <v>1</v>
      </c>
      <c r="DG147" s="8">
        <f t="shared" si="341"/>
        <v>1</v>
      </c>
      <c r="DH147" s="8">
        <f t="shared" si="341"/>
        <v>1.0004922912876504</v>
      </c>
      <c r="DI147" s="8">
        <f t="shared" si="341"/>
        <v>1.0000534790220885</v>
      </c>
      <c r="DJ147" s="8">
        <f t="shared" si="341"/>
        <v>1.00070400981713</v>
      </c>
      <c r="DK147" s="8">
        <f t="shared" si="341"/>
        <v>1.0008740125741997</v>
      </c>
      <c r="DL147" s="8">
        <f t="shared" si="341"/>
        <v>1.0004361031395443</v>
      </c>
      <c r="DM147" s="8">
        <f t="shared" si="341"/>
        <v>1</v>
      </c>
      <c r="DN147" s="8">
        <f t="shared" si="341"/>
        <v>1</v>
      </c>
      <c r="DO147" s="8">
        <f t="shared" si="341"/>
        <v>1.0009048243600012</v>
      </c>
      <c r="DP147" s="8">
        <f t="shared" si="341"/>
        <v>1.0001392497412152</v>
      </c>
      <c r="DQ147" s="8">
        <f t="shared" si="341"/>
        <v>1.0000280994166131</v>
      </c>
      <c r="DR147" s="8">
        <f t="shared" si="341"/>
        <v>1</v>
      </c>
      <c r="DS147" s="8">
        <f t="shared" si="341"/>
        <v>1.0003621155643634</v>
      </c>
      <c r="DT147" s="8">
        <f t="shared" si="341"/>
        <v>1.0023551268783379</v>
      </c>
      <c r="DU147" s="8">
        <f t="shared" si="341"/>
        <v>1.0009066405512623</v>
      </c>
      <c r="DV147" s="8">
        <f t="shared" si="341"/>
        <v>1.0034017444366707</v>
      </c>
      <c r="DW147" s="8">
        <f t="shared" si="341"/>
        <v>1.0021577041171688</v>
      </c>
      <c r="DX147" s="8">
        <f t="shared" si="341"/>
        <v>1.0038513805404945</v>
      </c>
      <c r="DY147" s="8">
        <f t="shared" si="341"/>
        <v>1.0045542200871611</v>
      </c>
      <c r="DZ147" s="8">
        <f t="shared" si="341"/>
        <v>1.0041088153957449</v>
      </c>
      <c r="EA147" s="8">
        <f t="shared" si="341"/>
        <v>1</v>
      </c>
      <c r="EB147" s="8">
        <f t="shared" si="341"/>
        <v>2.995740074496958</v>
      </c>
      <c r="EC147" s="8">
        <f t="shared" si="341"/>
        <v>1.6237299809107917</v>
      </c>
      <c r="ED147" s="8">
        <f t="shared" si="341"/>
        <v>1.1885633136692997</v>
      </c>
      <c r="EE147" s="8">
        <f t="shared" si="341"/>
        <v>1.0236760588034381</v>
      </c>
      <c r="EF147" s="8">
        <f t="shared" ref="EF147:GQ147" si="342">+IF(EF$8 = 125, 1, MEDIAN(_xlfn._xlws.FILTER( EF$55:EF$96,  EF$101:EF$142  &gt; 0)))</f>
        <v>1.0097321210250674</v>
      </c>
      <c r="EG147" s="8">
        <f t="shared" si="342"/>
        <v>1.0009351460174158</v>
      </c>
      <c r="EH147" s="8">
        <f t="shared" si="342"/>
        <v>1.0007746627926384</v>
      </c>
      <c r="EI147" s="8">
        <f t="shared" si="342"/>
        <v>1.0004683727767816</v>
      </c>
      <c r="EJ147" s="8">
        <f t="shared" si="342"/>
        <v>1.0001228743905335</v>
      </c>
      <c r="EK147" s="8">
        <f t="shared" si="342"/>
        <v>1.000205041400984</v>
      </c>
      <c r="EL147" s="8">
        <f t="shared" si="342"/>
        <v>1.0000884119847229</v>
      </c>
      <c r="EM147" s="8">
        <f t="shared" si="342"/>
        <v>1.0000475889204163</v>
      </c>
      <c r="EN147" s="8">
        <f t="shared" si="342"/>
        <v>1.0002501688603884</v>
      </c>
      <c r="EO147" s="8">
        <f t="shared" si="342"/>
        <v>1.0003135901362947</v>
      </c>
      <c r="EP147" s="8">
        <f t="shared" si="342"/>
        <v>1.0000616972091432</v>
      </c>
      <c r="EQ147" s="8">
        <f t="shared" si="342"/>
        <v>1</v>
      </c>
      <c r="ER147" s="8">
        <f t="shared" si="342"/>
        <v>1.0001361274353768</v>
      </c>
      <c r="ES147" s="8">
        <f t="shared" si="342"/>
        <v>1</v>
      </c>
      <c r="ET147" s="8">
        <f t="shared" si="342"/>
        <v>1.000101957284345</v>
      </c>
      <c r="EU147" s="8">
        <f t="shared" si="342"/>
        <v>1</v>
      </c>
      <c r="EV147" s="8">
        <f t="shared" si="342"/>
        <v>1</v>
      </c>
      <c r="EW147" s="8">
        <f t="shared" si="342"/>
        <v>1</v>
      </c>
      <c r="EX147" s="8">
        <f t="shared" si="342"/>
        <v>1.0000171257468193</v>
      </c>
      <c r="EY147" s="8">
        <f t="shared" si="342"/>
        <v>1.0000804883863925</v>
      </c>
      <c r="EZ147" s="8">
        <f t="shared" si="342"/>
        <v>1.0002188082160766</v>
      </c>
      <c r="FA147" s="8">
        <f t="shared" si="342"/>
        <v>1.0000995792411032</v>
      </c>
      <c r="FB147" s="8">
        <f t="shared" si="342"/>
        <v>1.0000201169474274</v>
      </c>
      <c r="FC147" s="8">
        <f t="shared" si="342"/>
        <v>1</v>
      </c>
      <c r="FD147" s="8">
        <f t="shared" si="342"/>
        <v>1.0000562209170569</v>
      </c>
      <c r="FE147" s="8">
        <f t="shared" si="342"/>
        <v>1.000028460905567</v>
      </c>
      <c r="FF147" s="8">
        <f t="shared" si="342"/>
        <v>1.0000084829773925</v>
      </c>
      <c r="FG147" s="8">
        <f t="shared" si="342"/>
        <v>1</v>
      </c>
      <c r="FH147" s="8">
        <f t="shared" si="342"/>
        <v>1</v>
      </c>
      <c r="FI147" s="8">
        <f t="shared" si="342"/>
        <v>1.0000000762526633</v>
      </c>
      <c r="FJ147" s="8">
        <f t="shared" si="342"/>
        <v>1</v>
      </c>
      <c r="FK147" s="8">
        <f t="shared" si="342"/>
        <v>1</v>
      </c>
      <c r="FL147" s="8">
        <f t="shared" si="342"/>
        <v>1.0000958644728493</v>
      </c>
      <c r="FM147" s="8">
        <f t="shared" si="342"/>
        <v>1.0001177933425363</v>
      </c>
      <c r="FN147" s="8">
        <f t="shared" si="342"/>
        <v>1</v>
      </c>
      <c r="FO147" s="8">
        <f t="shared" si="342"/>
        <v>1</v>
      </c>
      <c r="FP147" s="8">
        <f t="shared" si="342"/>
        <v>1.0000405252550206</v>
      </c>
      <c r="FQ147" s="8">
        <f t="shared" si="342"/>
        <v>1</v>
      </c>
      <c r="FR147" s="8">
        <f t="shared" si="342"/>
        <v>1</v>
      </c>
      <c r="FS147" s="8">
        <f t="shared" si="342"/>
        <v>1.0000561048440073</v>
      </c>
      <c r="FT147" s="8">
        <f t="shared" si="342"/>
        <v>1</v>
      </c>
      <c r="FU147" s="8">
        <f t="shared" si="342"/>
        <v>1</v>
      </c>
      <c r="FV147" s="8">
        <f t="shared" si="342"/>
        <v>1.0001372286257959</v>
      </c>
      <c r="FW147" s="8">
        <f t="shared" si="342"/>
        <v>1.0000350256212645</v>
      </c>
      <c r="FX147" s="8">
        <f t="shared" si="342"/>
        <v>1.0000776803632756</v>
      </c>
      <c r="FY147" s="8">
        <f t="shared" si="342"/>
        <v>1.0000149470813746</v>
      </c>
      <c r="FZ147" s="8">
        <f t="shared" si="342"/>
        <v>1.0001241023669567</v>
      </c>
      <c r="GA147" s="8">
        <f t="shared" si="342"/>
        <v>1</v>
      </c>
      <c r="GB147" s="8">
        <f t="shared" si="342"/>
        <v>1</v>
      </c>
      <c r="GC147" s="8">
        <f t="shared" si="342"/>
        <v>1</v>
      </c>
      <c r="GD147" s="8">
        <f t="shared" si="342"/>
        <v>1.0000002100604726</v>
      </c>
      <c r="GE147" s="8">
        <f t="shared" si="342"/>
        <v>1</v>
      </c>
      <c r="GF147" s="8">
        <f t="shared" si="342"/>
        <v>1</v>
      </c>
      <c r="GG147" s="8">
        <f t="shared" si="342"/>
        <v>1.0000103260786708</v>
      </c>
      <c r="GH147" s="8">
        <f t="shared" si="342"/>
        <v>1</v>
      </c>
      <c r="GI147" s="8">
        <f t="shared" si="342"/>
        <v>1.0003139660472782</v>
      </c>
      <c r="GJ147" s="8">
        <f t="shared" si="342"/>
        <v>1.0001008318642337</v>
      </c>
      <c r="GK147" s="8">
        <f t="shared" si="342"/>
        <v>1.0002215990594614</v>
      </c>
      <c r="GL147" s="8">
        <f t="shared" si="342"/>
        <v>1</v>
      </c>
      <c r="GM147" s="8">
        <f t="shared" si="342"/>
        <v>1</v>
      </c>
      <c r="GN147" s="8">
        <f t="shared" si="342"/>
        <v>1.0002453688055601</v>
      </c>
      <c r="GO147" s="8">
        <f t="shared" si="342"/>
        <v>1</v>
      </c>
      <c r="GP147" s="8">
        <f t="shared" si="342"/>
        <v>1.0000326238372894</v>
      </c>
      <c r="GQ147" s="8">
        <f t="shared" si="342"/>
        <v>1</v>
      </c>
      <c r="GR147" s="8">
        <f t="shared" ref="GR147:IV147" si="343">+IF(GR$8 = 125, 1, MEDIAN(_xlfn._xlws.FILTER( GR$55:GR$96,  GR$101:GR$142  &gt; 0)))</f>
        <v>1</v>
      </c>
      <c r="GS147" s="8">
        <f t="shared" si="343"/>
        <v>1</v>
      </c>
      <c r="GT147" s="8">
        <f t="shared" si="343"/>
        <v>1</v>
      </c>
      <c r="GU147" s="8">
        <f t="shared" si="343"/>
        <v>1.0000119689931446</v>
      </c>
      <c r="GV147" s="8">
        <f t="shared" si="343"/>
        <v>1.000277696497978</v>
      </c>
      <c r="GW147" s="8">
        <f t="shared" si="343"/>
        <v>1.0002171677535789</v>
      </c>
      <c r="GX147" s="8">
        <f t="shared" si="343"/>
        <v>1.0000579304398651</v>
      </c>
      <c r="GY147" s="8">
        <f t="shared" si="343"/>
        <v>1</v>
      </c>
      <c r="GZ147" s="8">
        <f t="shared" si="343"/>
        <v>1</v>
      </c>
      <c r="HA147" s="8">
        <f t="shared" si="343"/>
        <v>1</v>
      </c>
      <c r="HB147" s="8">
        <f t="shared" si="343"/>
        <v>1</v>
      </c>
      <c r="HC147" s="8">
        <f t="shared" si="343"/>
        <v>1</v>
      </c>
      <c r="HD147" s="8">
        <f t="shared" si="343"/>
        <v>1</v>
      </c>
      <c r="HE147" s="8">
        <f t="shared" si="343"/>
        <v>1</v>
      </c>
      <c r="HF147" s="8">
        <f t="shared" si="343"/>
        <v>1.0001631650170832</v>
      </c>
      <c r="HG147" s="8">
        <f t="shared" si="343"/>
        <v>1.0002920139683913</v>
      </c>
      <c r="HH147" s="8">
        <f t="shared" si="343"/>
        <v>1.0006148739086034</v>
      </c>
      <c r="HI147" s="8">
        <f t="shared" si="343"/>
        <v>1.0000696943015184</v>
      </c>
      <c r="HJ147" s="8">
        <f t="shared" si="343"/>
        <v>1</v>
      </c>
      <c r="HK147" s="8">
        <f t="shared" si="343"/>
        <v>1</v>
      </c>
      <c r="HL147" s="8">
        <f t="shared" si="343"/>
        <v>1</v>
      </c>
      <c r="HM147" s="8">
        <f t="shared" si="343"/>
        <v>1.0001302416513247</v>
      </c>
      <c r="HN147" s="8">
        <f t="shared" si="343"/>
        <v>1.0001074457541421</v>
      </c>
      <c r="HO147" s="8">
        <f t="shared" si="343"/>
        <v>1</v>
      </c>
      <c r="HP147" s="8">
        <f t="shared" si="343"/>
        <v>1</v>
      </c>
      <c r="HQ147" s="8">
        <f t="shared" si="343"/>
        <v>1.0000005894233235</v>
      </c>
      <c r="HR147" s="8">
        <f t="shared" si="343"/>
        <v>1</v>
      </c>
      <c r="HS147" s="8">
        <f t="shared" si="343"/>
        <v>1.0003804665360101</v>
      </c>
      <c r="HT147" s="8">
        <f t="shared" si="343"/>
        <v>1.0007402539052472</v>
      </c>
      <c r="HU147" s="8">
        <f t="shared" si="343"/>
        <v>1.0004459390562968</v>
      </c>
      <c r="HV147" s="8">
        <f t="shared" si="343"/>
        <v>1</v>
      </c>
      <c r="HW147" s="8">
        <f t="shared" si="343"/>
        <v>1</v>
      </c>
      <c r="HX147" s="8">
        <f t="shared" si="343"/>
        <v>1.0003505589321136</v>
      </c>
      <c r="HY147" s="8">
        <f t="shared" si="343"/>
        <v>1.0000259419626922</v>
      </c>
      <c r="HZ147" s="8">
        <f t="shared" si="343"/>
        <v>1.000028267717584</v>
      </c>
      <c r="IA147" s="8">
        <f t="shared" si="343"/>
        <v>1</v>
      </c>
      <c r="IB147" s="8">
        <f t="shared" si="343"/>
        <v>1</v>
      </c>
      <c r="IC147" s="8">
        <f t="shared" si="343"/>
        <v>1.0004922912876504</v>
      </c>
      <c r="ID147" s="8">
        <f t="shared" si="343"/>
        <v>1.0000534790220885</v>
      </c>
      <c r="IE147" s="8">
        <f t="shared" si="343"/>
        <v>1.0007034949394946</v>
      </c>
      <c r="IF147" s="8">
        <f t="shared" si="343"/>
        <v>1.0008326599542778</v>
      </c>
      <c r="IG147" s="8">
        <f t="shared" si="343"/>
        <v>1.0004361031395443</v>
      </c>
      <c r="IH147" s="8">
        <f t="shared" si="343"/>
        <v>1</v>
      </c>
      <c r="II147" s="8">
        <f t="shared" si="343"/>
        <v>1</v>
      </c>
      <c r="IJ147" s="8">
        <f t="shared" si="343"/>
        <v>1.0009048243600012</v>
      </c>
      <c r="IK147" s="8">
        <f t="shared" si="343"/>
        <v>1.0001392497412152</v>
      </c>
      <c r="IL147" s="8">
        <f t="shared" si="343"/>
        <v>1.0010333286591275</v>
      </c>
      <c r="IM147" s="8">
        <f t="shared" si="343"/>
        <v>1</v>
      </c>
      <c r="IN147" s="8">
        <f t="shared" si="343"/>
        <v>1.0003621155643634</v>
      </c>
      <c r="IO147" s="8">
        <f t="shared" si="343"/>
        <v>1.0025904940199786</v>
      </c>
      <c r="IP147" s="8">
        <f t="shared" si="343"/>
        <v>1.0008651169757654</v>
      </c>
      <c r="IQ147" s="8">
        <f t="shared" si="343"/>
        <v>1.0035079427040097</v>
      </c>
      <c r="IR147" s="8">
        <f t="shared" si="343"/>
        <v>1.0023335443520889</v>
      </c>
      <c r="IS147" s="8">
        <f t="shared" si="343"/>
        <v>1.0055498790859507</v>
      </c>
      <c r="IT147" s="8">
        <f t="shared" si="343"/>
        <v>1.0050872730680325</v>
      </c>
      <c r="IU147" s="8">
        <f t="shared" si="343"/>
        <v>1.0045545119089383</v>
      </c>
      <c r="IV147" s="8">
        <f t="shared" si="343"/>
        <v>1</v>
      </c>
    </row>
    <row r="148" spans="2:256" x14ac:dyDescent="0.2">
      <c r="F148" s="15" t="s">
        <v>8</v>
      </c>
      <c r="G148" s="8">
        <f>+IF(G$8 = 125, 1, SUM(_xlfn._xlws.FILTER(INDEX( H$9:H$50, MAX(  COUNT( H$9:H$50 ), 1)) : H$9, INDEX( G$101:G$142, MAX(  COUNT( H$9:H$50 ), 1)) : G$101 &gt; 0)) / SUM(_xlfn._xlws.FILTER(INDEX( G$9:G$50, MAX(  COUNT( H$9:H$50 ), 1)) : G$9, INDEX( G$101:G$142, MAX(  COUNT( H$9:H$50 ), 1)) : G$101 &gt; 0)) )</f>
        <v>9.456471120749514</v>
      </c>
      <c r="H148" s="8">
        <f>+IF(H$8 = 125, 1, SUM(_xlfn._xlws.FILTER(INDEX( I$9:I$50, MAX(  COUNT( I$9:I$50 ), 1)) : I$9, INDEX( H$101:H$142, MAX(  COUNT( I$9:I$50 ), 1)) : H$101 &gt; 0)) / SUM(_xlfn._xlws.FILTER(INDEX( H$9:H$50, MAX(  COUNT( I$9:I$50 ), 1)) : H$9, INDEX( H$101:H$142, MAX(  COUNT( I$9:I$50 ), 1)) : H$101 &gt; 0)) )</f>
        <v>2.5393162552369857</v>
      </c>
      <c r="I148" s="8">
        <f>+IF(I$8 = 125, 1, SUM(_xlfn._xlws.FILTER(INDEX( J$9:J$50, MAX(  COUNT( J$9:J$50 ), 1)) : J$9, INDEX( I$101:I$142, MAX(  COUNT( J$9:J$50 ), 1)) : I$101 &gt; 0)) / SUM(_xlfn._xlws.FILTER(INDEX( I$9:I$50, MAX(  COUNT( J$9:J$50 ), 1)) : I$9, INDEX( I$101:I$142, MAX(  COUNT( J$9:J$50 ), 1)) : I$101 &gt; 0)) )</f>
        <v>1.670253068221258</v>
      </c>
      <c r="J148" s="8">
        <f>+IF(J$8 = 125, 1, SUM(_xlfn._xlws.FILTER(INDEX( K$9:K$50, MAX(  COUNT( K$9:K$50 ), 1)) : K$9, INDEX( J$101:J$142, MAX(  COUNT( K$9:K$50 ), 1)) : J$101 &gt; 0)) / SUM(_xlfn._xlws.FILTER(INDEX( J$9:J$50, MAX(  COUNT( K$9:K$50 ), 1)) : J$9, INDEX( J$101:J$142, MAX(  COUNT( K$9:K$50 ), 1)) : J$101 &gt; 0)) )</f>
        <v>1.262228351052419</v>
      </c>
      <c r="K148" s="8">
        <f>+IF(K$8 = 125, 1, SUM(_xlfn._xlws.FILTER(INDEX( L$9:L$50, MAX(  COUNT( L$9:L$50 ), 1)) : L$9, INDEX( K$101:K$142, MAX(  COUNT( L$9:L$50 ), 1)) : K$101 &gt; 0)) / SUM(_xlfn._xlws.FILTER(INDEX( K$9:K$50, MAX(  COUNT( L$9:L$50 ), 1)) : K$9, INDEX( K$101:K$142, MAX(  COUNT( L$9:L$50 ), 1)) : K$101 &gt; 0)) )</f>
        <v>1.0769911447788185</v>
      </c>
      <c r="L148" s="8">
        <f>+IF(L$8 = 125, 1, SUM(_xlfn._xlws.FILTER(INDEX( M$9:M$50, MAX(  COUNT( M$9:M$50 ), 1)) : M$9, INDEX( L$101:L$142, MAX(  COUNT( M$9:M$50 ), 1)) : L$101 &gt; 0)) / SUM(_xlfn._xlws.FILTER(INDEX( L$9:L$50, MAX(  COUNT( M$9:M$50 ), 1)) : L$9, INDEX( L$101:L$142, MAX(  COUNT( M$9:M$50 ), 1)) : L$101 &gt; 0)) )</f>
        <v>1.0474988034522077</v>
      </c>
      <c r="M148" s="8">
        <f>+IF(M$8 = 125, 1, SUM(_xlfn._xlws.FILTER(INDEX( N$9:N$50, MAX(  COUNT( N$9:N$50 ), 1)) : N$9, INDEX( M$101:M$142, MAX(  COUNT( N$9:N$50 ), 1)) : M$101 &gt; 0)) / SUM(_xlfn._xlws.FILTER(INDEX( M$9:M$50, MAX(  COUNT( N$9:N$50 ), 1)) : M$9, INDEX( M$101:M$142, MAX(  COUNT( N$9:N$50 ), 1)) : M$101 &gt; 0)) )</f>
        <v>1.0175973796321978</v>
      </c>
      <c r="N148" s="8">
        <f>+IF(N$8 = 125, 1, SUM(_xlfn._xlws.FILTER(INDEX( O$9:O$50, MAX(  COUNT( O$9:O$50 ), 1)) : O$9, INDEX( N$101:N$142, MAX(  COUNT( O$9:O$50 ), 1)) : N$101 &gt; 0)) / SUM(_xlfn._xlws.FILTER(INDEX( N$9:N$50, MAX(  COUNT( O$9:O$50 ), 1)) : N$9, INDEX( N$101:N$142, MAX(  COUNT( O$9:O$50 ), 1)) : N$101 &gt; 0)) )</f>
        <v>1.016019459846397</v>
      </c>
      <c r="O148" s="8">
        <f>+IF(O$8 = 125, 1, SUM(_xlfn._xlws.FILTER(INDEX( P$9:P$50, MAX(  COUNT( P$9:P$50 ), 1)) : P$9, INDEX( O$101:O$142, MAX(  COUNT( P$9:P$50 ), 1)) : O$101 &gt; 0)) / SUM(_xlfn._xlws.FILTER(INDEX( O$9:O$50, MAX(  COUNT( P$9:P$50 ), 1)) : O$9, INDEX( O$101:O$142, MAX(  COUNT( P$9:P$50 ), 1)) : O$101 &gt; 0)) )</f>
        <v>1.008531548056818</v>
      </c>
      <c r="P148" s="8">
        <f>+IF(P$8 = 125, 1, SUM(_xlfn._xlws.FILTER(INDEX( Q$9:Q$50, MAX(  COUNT( Q$9:Q$50 ), 1)) : Q$9, INDEX( P$101:P$142, MAX(  COUNT( Q$9:Q$50 ), 1)) : P$101 &gt; 0)) / SUM(_xlfn._xlws.FILTER(INDEX( P$9:P$50, MAX(  COUNT( Q$9:Q$50 ), 1)) : P$9, INDEX( P$101:P$142, MAX(  COUNT( Q$9:Q$50 ), 1)) : P$101 &gt; 0)) )</f>
        <v>1.0055882121282764</v>
      </c>
      <c r="Q148" s="8">
        <f>+IF(Q$8 = 125, 1, SUM(_xlfn._xlws.FILTER(INDEX( R$9:R$50, MAX(  COUNT( R$9:R$50 ), 1)) : R$9, INDEX( Q$101:Q$142, MAX(  COUNT( R$9:R$50 ), 1)) : Q$101 &gt; 0)) / SUM(_xlfn._xlws.FILTER(INDEX( Q$9:Q$50, MAX(  COUNT( R$9:R$50 ), 1)) : Q$9, INDEX( Q$101:Q$142, MAX(  COUNT( R$9:R$50 ), 1)) : Q$101 &gt; 0)) )</f>
        <v>1.0026894154514274</v>
      </c>
      <c r="R148" s="8">
        <f>+IF(R$8 = 125, 1, SUM(_xlfn._xlws.FILTER(INDEX( S$9:S$50, MAX(  COUNT( S$9:S$50 ), 1)) : S$9, INDEX( R$101:R$142, MAX(  COUNT( S$9:S$50 ), 1)) : R$101 &gt; 0)) / SUM(_xlfn._xlws.FILTER(INDEX( R$9:R$50, MAX(  COUNT( S$9:S$50 ), 1)) : R$9, INDEX( R$101:R$142, MAX(  COUNT( S$9:S$50 ), 1)) : R$101 &gt; 0)) )</f>
        <v>1.0029424156514875</v>
      </c>
      <c r="S148" s="8">
        <f>+IF(S$8 = 125, 1, SUM(_xlfn._xlws.FILTER(INDEX( T$9:T$50, MAX(  COUNT( T$9:T$50 ), 1)) : T$9, INDEX( S$101:S$142, MAX(  COUNT( T$9:T$50 ), 1)) : S$101 &gt; 0)) / SUM(_xlfn._xlws.FILTER(INDEX( S$9:S$50, MAX(  COUNT( T$9:T$50 ), 1)) : S$9, INDEX( S$101:S$142, MAX(  COUNT( T$9:T$50 ), 1)) : S$101 &gt; 0)) )</f>
        <v>1.0039936987485902</v>
      </c>
      <c r="T148" s="8">
        <f>+IF(T$8 = 125, 1, SUM(_xlfn._xlws.FILTER(INDEX( U$9:U$50, MAX(  COUNT( U$9:U$50 ), 1)) : U$9, INDEX( T$101:T$142, MAX(  COUNT( U$9:U$50 ), 1)) : T$101 &gt; 0)) / SUM(_xlfn._xlws.FILTER(INDEX( T$9:T$50, MAX(  COUNT( U$9:U$50 ), 1)) : T$9, INDEX( T$101:T$142, MAX(  COUNT( U$9:U$50 ), 1)) : T$101 &gt; 0)) )</f>
        <v>1.0027443160705589</v>
      </c>
      <c r="U148" s="8">
        <f>+IF(U$8 = 125, 1, SUM(_xlfn._xlws.FILTER(INDEX( V$9:V$50, MAX(  COUNT( V$9:V$50 ), 1)) : V$9, INDEX( U$101:U$142, MAX(  COUNT( V$9:V$50 ), 1)) : U$101 &gt; 0)) / SUM(_xlfn._xlws.FILTER(INDEX( U$9:U$50, MAX(  COUNT( V$9:V$50 ), 1)) : U$9, INDEX( U$101:U$142, MAX(  COUNT( V$9:V$50 ), 1)) : U$101 &gt; 0)) )</f>
        <v>1.0015631787200228</v>
      </c>
      <c r="V148" s="8">
        <f>+IF(V$8 = 125, 1, SUM(_xlfn._xlws.FILTER(INDEX( W$9:W$50, MAX(  COUNT( W$9:W$50 ), 1)) : W$9, INDEX( V$101:V$142, MAX(  COUNT( W$9:W$50 ), 1)) : V$101 &gt; 0)) / SUM(_xlfn._xlws.FILTER(INDEX( V$9:V$50, MAX(  COUNT( W$9:W$50 ), 1)) : V$9, INDEX( V$101:V$142, MAX(  COUNT( W$9:W$50 ), 1)) : V$101 &gt; 0)) )</f>
        <v>1.0012628534983603</v>
      </c>
      <c r="W148" s="8">
        <f>+IF(W$8 = 125, 1, SUM(_xlfn._xlws.FILTER(INDEX( X$9:X$50, MAX(  COUNT( X$9:X$50 ), 1)) : X$9, INDEX( W$101:W$142, MAX(  COUNT( X$9:X$50 ), 1)) : W$101 &gt; 0)) / SUM(_xlfn._xlws.FILTER(INDEX( W$9:W$50, MAX(  COUNT( X$9:X$50 ), 1)) : W$9, INDEX( W$101:W$142, MAX(  COUNT( X$9:X$50 ), 1)) : W$101 &gt; 0)) )</f>
        <v>1.0012082785705163</v>
      </c>
      <c r="X148" s="8">
        <f>+IF(X$8 = 125, 1, SUM(_xlfn._xlws.FILTER(INDEX( Y$9:Y$50, MAX(  COUNT( Y$9:Y$50 ), 1)) : Y$9, INDEX( X$101:X$142, MAX(  COUNT( Y$9:Y$50 ), 1)) : X$101 &gt; 0)) / SUM(_xlfn._xlws.FILTER(INDEX( X$9:X$50, MAX(  COUNT( Y$9:Y$50 ), 1)) : X$9, INDEX( X$101:X$142, MAX(  COUNT( Y$9:Y$50 ), 1)) : X$101 &gt; 0)) )</f>
        <v>1.0019603362787883</v>
      </c>
      <c r="Y148" s="8">
        <f>+IF(Y$8 = 125, 1, SUM(_xlfn._xlws.FILTER(INDEX( Z$9:Z$50, MAX(  COUNT( Z$9:Z$50 ), 1)) : Z$9, INDEX( Y$101:Y$142, MAX(  COUNT( Z$9:Z$50 ), 1)) : Y$101 &gt; 0)) / SUM(_xlfn._xlws.FILTER(INDEX( Y$9:Y$50, MAX(  COUNT( Z$9:Z$50 ), 1)) : Y$9, INDEX( Y$101:Y$142, MAX(  COUNT( Z$9:Z$50 ), 1)) : Y$101 &gt; 0)) )</f>
        <v>1.0006439468174377</v>
      </c>
      <c r="Z148" s="8">
        <f>+IF(Z$8 = 125, 1, SUM(_xlfn._xlws.FILTER(INDEX( AA$9:AA$50, MAX(  COUNT( AA$9:AA$50 ), 1)) : AA$9, INDEX( Z$101:Z$142, MAX(  COUNT( AA$9:AA$50 ), 1)) : Z$101 &gt; 0)) / SUM(_xlfn._xlws.FILTER(INDEX( Z$9:Z$50, MAX(  COUNT( AA$9:AA$50 ), 1)) : Z$9, INDEX( Z$101:Z$142, MAX(  COUNT( AA$9:AA$50 ), 1)) : Z$101 &gt; 0)) )</f>
        <v>1.0017992593635605</v>
      </c>
      <c r="AA148" s="8">
        <f>+IF(AA$8 = 125, 1, SUM(_xlfn._xlws.FILTER(INDEX( AB$9:AB$50, MAX(  COUNT( AB$9:AB$50 ), 1)) : AB$9, INDEX( AA$101:AA$142, MAX(  COUNT( AB$9:AB$50 ), 1)) : AA$101 &gt; 0)) / SUM(_xlfn._xlws.FILTER(INDEX( AA$9:AA$50, MAX(  COUNT( AB$9:AB$50 ), 1)) : AA$9, INDEX( AA$101:AA$142, MAX(  COUNT( AB$9:AB$50 ), 1)) : AA$101 &gt; 0)) )</f>
        <v>1.0006206438259353</v>
      </c>
      <c r="AB148" s="8">
        <f>+IF(AB$8 = 125, 1, SUM(_xlfn._xlws.FILTER(INDEX( AC$9:AC$50, MAX(  COUNT( AC$9:AC$50 ), 1)) : AC$9, INDEX( AB$101:AB$142, MAX(  COUNT( AC$9:AC$50 ), 1)) : AB$101 &gt; 0)) / SUM(_xlfn._xlws.FILTER(INDEX( AB$9:AB$50, MAX(  COUNT( AC$9:AC$50 ), 1)) : AB$9, INDEX( AB$101:AB$142, MAX(  COUNT( AC$9:AC$50 ), 1)) : AB$101 &gt; 0)) )</f>
        <v>1.0003691822147873</v>
      </c>
      <c r="AC148" s="8">
        <f>+IF(AC$8 = 125, 1, SUM(_xlfn._xlws.FILTER(INDEX( AD$9:AD$50, MAX(  COUNT( AD$9:AD$50 ), 1)) : AD$9, INDEX( AC$101:AC$142, MAX(  COUNT( AD$9:AD$50 ), 1)) : AC$101 &gt; 0)) / SUM(_xlfn._xlws.FILTER(INDEX( AC$9:AC$50, MAX(  COUNT( AD$9:AD$50 ), 1)) : AC$9, INDEX( AC$101:AC$142, MAX(  COUNT( AD$9:AD$50 ), 1)) : AC$101 &gt; 0)) )</f>
        <v>1.001189893698194</v>
      </c>
      <c r="AD148" s="8">
        <f>+IF(AD$8 = 125, 1, SUM(_xlfn._xlws.FILTER(INDEX( AE$9:AE$50, MAX(  COUNT( AE$9:AE$50 ), 1)) : AE$9, INDEX( AD$101:AD$142, MAX(  COUNT( AE$9:AE$50 ), 1)) : AD$101 &gt; 0)) / SUM(_xlfn._xlws.FILTER(INDEX( AD$9:AD$50, MAX(  COUNT( AE$9:AE$50 ), 1)) : AD$9, INDEX( AD$101:AD$142, MAX(  COUNT( AE$9:AE$50 ), 1)) : AD$101 &gt; 0)) )</f>
        <v>1.0021588420849321</v>
      </c>
      <c r="AE148" s="8">
        <f>+IF(AE$8 = 125, 1, SUM(_xlfn._xlws.FILTER(INDEX( AF$9:AF$50, MAX(  COUNT( AF$9:AF$50 ), 1)) : AF$9, INDEX( AE$101:AE$142, MAX(  COUNT( AF$9:AF$50 ), 1)) : AE$101 &gt; 0)) / SUM(_xlfn._xlws.FILTER(INDEX( AE$9:AE$50, MAX(  COUNT( AF$9:AF$50 ), 1)) : AE$9, INDEX( AE$101:AE$142, MAX(  COUNT( AF$9:AF$50 ), 1)) : AE$101 &gt; 0)) )</f>
        <v>1.0013467328201864</v>
      </c>
      <c r="AF148" s="8">
        <f>+IF(AF$8 = 125, 1, SUM(_xlfn._xlws.FILTER(INDEX( AG$9:AG$50, MAX(  COUNT( AG$9:AG$50 ), 1)) : AG$9, INDEX( AF$101:AF$142, MAX(  COUNT( AG$9:AG$50 ), 1)) : AF$101 &gt; 0)) / SUM(_xlfn._xlws.FILTER(INDEX( AF$9:AF$50, MAX(  COUNT( AG$9:AG$50 ), 1)) : AF$9, INDEX( AF$101:AF$142, MAX(  COUNT( AG$9:AG$50 ), 1)) : AF$101 &gt; 0)) )</f>
        <v>1.0008050496374039</v>
      </c>
      <c r="AG148" s="8">
        <f>+IF(AG$8 = 125, 1, SUM(_xlfn._xlws.FILTER(INDEX( AH$9:AH$50, MAX(  COUNT( AH$9:AH$50 ), 1)) : AH$9, INDEX( AG$101:AG$142, MAX(  COUNT( AH$9:AH$50 ), 1)) : AG$101 &gt; 0)) / SUM(_xlfn._xlws.FILTER(INDEX( AG$9:AG$50, MAX(  COUNT( AH$9:AH$50 ), 1)) : AG$9, INDEX( AG$101:AG$142, MAX(  COUNT( AH$9:AH$50 ), 1)) : AG$101 &gt; 0)) )</f>
        <v>1.0006760784484026</v>
      </c>
      <c r="AH148" s="8">
        <f>+IF(AH$8 = 125, 1, SUM(_xlfn._xlws.FILTER(INDEX( AI$9:AI$50, MAX(  COUNT( AI$9:AI$50 ), 1)) : AI$9, INDEX( AH$101:AH$142, MAX(  COUNT( AI$9:AI$50 ), 1)) : AH$101 &gt; 0)) / SUM(_xlfn._xlws.FILTER(INDEX( AH$9:AH$50, MAX(  COUNT( AI$9:AI$50 ), 1)) : AH$9, INDEX( AH$101:AH$142, MAX(  COUNT( AI$9:AI$50 ), 1)) : AH$101 &gt; 0)) )</f>
        <v>1.000620102657787</v>
      </c>
      <c r="AI148" s="8">
        <f>+IF(AI$8 = 125, 1, SUM(_xlfn._xlws.FILTER(INDEX( AJ$9:AJ$50, MAX(  COUNT( AJ$9:AJ$50 ), 1)) : AJ$9, INDEX( AI$101:AI$142, MAX(  COUNT( AJ$9:AJ$50 ), 1)) : AI$101 &gt; 0)) / SUM(_xlfn._xlws.FILTER(INDEX( AI$9:AI$50, MAX(  COUNT( AJ$9:AJ$50 ), 1)) : AI$9, INDEX( AI$101:AI$142, MAX(  COUNT( AJ$9:AJ$50 ), 1)) : AI$101 &gt; 0)) )</f>
        <v>1.0013044145237122</v>
      </c>
      <c r="AJ148" s="8">
        <f>+IF(AJ$8 = 125, 1, SUM(_xlfn._xlws.FILTER(INDEX( AK$9:AK$50, MAX(  COUNT( AK$9:AK$50 ), 1)) : AK$9, INDEX( AJ$101:AJ$142, MAX(  COUNT( AK$9:AK$50 ), 1)) : AJ$101 &gt; 0)) / SUM(_xlfn._xlws.FILTER(INDEX( AJ$9:AJ$50, MAX(  COUNT( AK$9:AK$50 ), 1)) : AJ$9, INDEX( AJ$101:AJ$142, MAX(  COUNT( AK$9:AK$50 ), 1)) : AJ$101 &gt; 0)) )</f>
        <v>1.0011184332086125</v>
      </c>
      <c r="AK148" s="8">
        <f>+IF(AK$8 = 125, 1, SUM(_xlfn._xlws.FILTER(INDEX( AL$9:AL$50, MAX(  COUNT( AL$9:AL$50 ), 1)) : AL$9, INDEX( AK$101:AK$142, MAX(  COUNT( AL$9:AL$50 ), 1)) : AK$101 &gt; 0)) / SUM(_xlfn._xlws.FILTER(INDEX( AK$9:AK$50, MAX(  COUNT( AL$9:AL$50 ), 1)) : AK$9, INDEX( AK$101:AK$142, MAX(  COUNT( AL$9:AL$50 ), 1)) : AK$101 &gt; 0)) )</f>
        <v>1.0008281724697146</v>
      </c>
      <c r="AL148" s="8">
        <f>+IF(AL$8 = 125, 1, SUM(_xlfn._xlws.FILTER(INDEX( AM$9:AM$50, MAX(  COUNT( AM$9:AM$50 ), 1)) : AM$9, INDEX( AL$101:AL$142, MAX(  COUNT( AM$9:AM$50 ), 1)) : AL$101 &gt; 0)) / SUM(_xlfn._xlws.FILTER(INDEX( AL$9:AL$50, MAX(  COUNT( AM$9:AM$50 ), 1)) : AL$9, INDEX( AL$101:AL$142, MAX(  COUNT( AM$9:AM$50 ), 1)) : AL$101 &gt; 0)) )</f>
        <v>1.0014985762269879</v>
      </c>
      <c r="AM148" s="8">
        <f>+IF(AM$8 = 125, 1, SUM(_xlfn._xlws.FILTER(INDEX( AN$9:AN$50, MAX(  COUNT( AN$9:AN$50 ), 1)) : AN$9, INDEX( AM$101:AM$142, MAX(  COUNT( AN$9:AN$50 ), 1)) : AM$101 &gt; 0)) / SUM(_xlfn._xlws.FILTER(INDEX( AM$9:AM$50, MAX(  COUNT( AN$9:AN$50 ), 1)) : AM$9, INDEX( AM$101:AM$142, MAX(  COUNT( AN$9:AN$50 ), 1)) : AM$101 &gt; 0)) )</f>
        <v>1.0004352823321598</v>
      </c>
      <c r="AN148" s="8">
        <f>+IF(AN$8 = 125, 1, SUM(_xlfn._xlws.FILTER(INDEX( AO$9:AO$50, MAX(  COUNT( AO$9:AO$50 ), 1)) : AO$9, INDEX( AN$101:AN$142, MAX(  COUNT( AO$9:AO$50 ), 1)) : AN$101 &gt; 0)) / SUM(_xlfn._xlws.FILTER(INDEX( AN$9:AN$50, MAX(  COUNT( AO$9:AO$50 ), 1)) : AN$9, INDEX( AN$101:AN$142, MAX(  COUNT( AO$9:AO$50 ), 1)) : AN$101 &gt; 0)) )</f>
        <v>1.0004006526537041</v>
      </c>
      <c r="AO148" s="8">
        <f>+IF(AO$8 = 125, 1, SUM(_xlfn._xlws.FILTER(INDEX( AP$9:AP$50, MAX(  COUNT( AP$9:AP$50 ), 1)) : AP$9, INDEX( AO$101:AO$142, MAX(  COUNT( AP$9:AP$50 ), 1)) : AO$101 &gt; 0)) / SUM(_xlfn._xlws.FILTER(INDEX( AO$9:AO$50, MAX(  COUNT( AP$9:AP$50 ), 1)) : AO$9, INDEX( AO$101:AO$142, MAX(  COUNT( AP$9:AP$50 ), 1)) : AO$101 &gt; 0)) )</f>
        <v>1.000371224902153</v>
      </c>
      <c r="AP148" s="8">
        <f>+IF(AP$8 = 125, 1, SUM(_xlfn._xlws.FILTER(INDEX( AQ$9:AQ$50, MAX(  COUNT( AQ$9:AQ$50 ), 1)) : AQ$9, INDEX( AP$101:AP$142, MAX(  COUNT( AQ$9:AQ$50 ), 1)) : AP$101 &gt; 0)) / SUM(_xlfn._xlws.FILTER(INDEX( AP$9:AP$50, MAX(  COUNT( AQ$9:AQ$50 ), 1)) : AP$9, INDEX( AP$101:AP$142, MAX(  COUNT( AQ$9:AQ$50 ), 1)) : AP$101 &gt; 0)) )</f>
        <v>1.0021482595791757</v>
      </c>
      <c r="AQ148" s="8">
        <f>+IF(AQ$8 = 125, 1, SUM(_xlfn._xlws.FILTER(INDEX( AR$9:AR$50, MAX(  COUNT( AR$9:AR$50 ), 1)) : AR$9, INDEX( AQ$101:AQ$142, MAX(  COUNT( AR$9:AR$50 ), 1)) : AQ$101 &gt; 0)) / SUM(_xlfn._xlws.FILTER(INDEX( AQ$9:AQ$50, MAX(  COUNT( AR$9:AR$50 ), 1)) : AQ$9, INDEX( AQ$101:AQ$142, MAX(  COUNT( AR$9:AR$50 ), 1)) : AQ$101 &gt; 0)) )</f>
        <v>1.0004746203457149</v>
      </c>
      <c r="AR148" s="8">
        <f>+IF(AR$8 = 125, 1, SUM(_xlfn._xlws.FILTER(INDEX( AS$9:AS$50, MAX(  COUNT( AS$9:AS$50 ), 1)) : AS$9, INDEX( AR$101:AR$142, MAX(  COUNT( AS$9:AS$50 ), 1)) : AR$101 &gt; 0)) / SUM(_xlfn._xlws.FILTER(INDEX( AR$9:AR$50, MAX(  COUNT( AS$9:AS$50 ), 1)) : AR$9, INDEX( AR$101:AR$142, MAX(  COUNT( AS$9:AS$50 ), 1)) : AR$101 &gt; 0)) )</f>
        <v>1.0019300072244957</v>
      </c>
      <c r="AS148" s="8">
        <f>+IF(AS$8 = 125, 1, SUM(_xlfn._xlws.FILTER(INDEX( AT$9:AT$50, MAX(  COUNT( AT$9:AT$50 ), 1)) : AT$9, INDEX( AS$101:AS$142, MAX(  COUNT( AT$9:AT$50 ), 1)) : AS$101 &gt; 0)) / SUM(_xlfn._xlws.FILTER(INDEX( AS$9:AS$50, MAX(  COUNT( AT$9:AT$50 ), 1)) : AS$9, INDEX( AS$101:AS$142, MAX(  COUNT( AT$9:AT$50 ), 1)) : AS$101 &gt; 0)) )</f>
        <v>1.0017831053904278</v>
      </c>
      <c r="AT148" s="8">
        <f>+IF(AT$8 = 125, 1, SUM(_xlfn._xlws.FILTER(INDEX( AU$9:AU$50, MAX(  COUNT( AU$9:AU$50 ), 1)) : AU$9, INDEX( AT$101:AT$142, MAX(  COUNT( AU$9:AU$50 ), 1)) : AT$101 &gt; 0)) / SUM(_xlfn._xlws.FILTER(INDEX( AT$9:AT$50, MAX(  COUNT( AU$9:AU$50 ), 1)) : AT$9, INDEX( AT$101:AT$142, MAX(  COUNT( AU$9:AU$50 ), 1)) : AT$101 &gt; 0)) )</f>
        <v>1.0007510194253777</v>
      </c>
      <c r="AU148" s="8">
        <f>+IF(AU$8 = 125, 1, SUM(_xlfn._xlws.FILTER(INDEX( AV$9:AV$50, MAX(  COUNT( AV$9:AV$50 ), 1)) : AV$9, INDEX( AU$101:AU$142, MAX(  COUNT( AV$9:AV$50 ), 1)) : AU$101 &gt; 0)) / SUM(_xlfn._xlws.FILTER(INDEX( AU$9:AU$50, MAX(  COUNT( AV$9:AV$50 ), 1)) : AU$9, INDEX( AU$101:AU$142, MAX(  COUNT( AV$9:AV$50 ), 1)) : AU$101 &gt; 0)) )</f>
        <v>1.0006658412602525</v>
      </c>
      <c r="AV148" s="8">
        <f>+IF(AV$8 = 125, 1, SUM(_xlfn._xlws.FILTER(INDEX( AW$9:AW$50, MAX(  COUNT( AW$9:AW$50 ), 1)) : AW$9, INDEX( AV$101:AV$142, MAX(  COUNT( AW$9:AW$50 ), 1)) : AV$101 &gt; 0)) / SUM(_xlfn._xlws.FILTER(INDEX( AV$9:AV$50, MAX(  COUNT( AW$9:AW$50 ), 1)) : AV$9, INDEX( AV$101:AV$142, MAX(  COUNT( AW$9:AW$50 ), 1)) : AV$101 &gt; 0)) )</f>
        <v>1.0006087833093342</v>
      </c>
      <c r="AW148" s="8">
        <f>+IF(AW$8 = 125, 1, SUM(_xlfn._xlws.FILTER(INDEX( AX$9:AX$50, MAX(  COUNT( AX$9:AX$50 ), 1)) : AX$9, INDEX( AW$101:AW$142, MAX(  COUNT( AX$9:AX$50 ), 1)) : AW$101 &gt; 0)) / SUM(_xlfn._xlws.FILTER(INDEX( AW$9:AW$50, MAX(  COUNT( AX$9:AX$50 ), 1)) : AW$9, INDEX( AW$101:AW$142, MAX(  COUNT( AX$9:AX$50 ), 1)) : AW$101 &gt; 0)) )</f>
        <v>1.0037608708967898</v>
      </c>
      <c r="AX148" s="8">
        <f>+IF(AX$8 = 125, 1, SUM(_xlfn._xlws.FILTER(INDEX( AY$9:AY$50, MAX(  COUNT( AY$9:AY$50 ), 1)) : AY$9, INDEX( AX$101:AX$142, MAX(  COUNT( AY$9:AY$50 ), 1)) : AX$101 &gt; 0)) / SUM(_xlfn._xlws.FILTER(INDEX( AX$9:AX$50, MAX(  COUNT( AY$9:AY$50 ), 1)) : AX$9, INDEX( AX$101:AX$142, MAX(  COUNT( AY$9:AY$50 ), 1)) : AX$101 &gt; 0)) )</f>
        <v>1.0012834998030082</v>
      </c>
      <c r="AY148" s="8">
        <f>+IF(AY$8 = 125, 1, SUM(_xlfn._xlws.FILTER(INDEX( AZ$9:AZ$50, MAX(  COUNT( AZ$9:AZ$50 ), 1)) : AZ$9, INDEX( AY$101:AY$142, MAX(  COUNT( AZ$9:AZ$50 ), 1)) : AY$101 &gt; 0)) / SUM(_xlfn._xlws.FILTER(INDEX( AY$9:AY$50, MAX(  COUNT( AZ$9:AZ$50 ), 1)) : AY$9, INDEX( AY$101:AY$142, MAX(  COUNT( AZ$9:AZ$50 ), 1)) : AY$101 &gt; 0)) )</f>
        <v>1.0006334252921167</v>
      </c>
      <c r="AZ148" s="8">
        <f>+IF(AZ$8 = 125, 1, SUM(_xlfn._xlws.FILTER(INDEX( BA$9:BA$50, MAX(  COUNT( BA$9:BA$50 ), 1)) : BA$9, INDEX( AZ$101:AZ$142, MAX(  COUNT( BA$9:BA$50 ), 1)) : AZ$101 &gt; 0)) / SUM(_xlfn._xlws.FILTER(INDEX( AZ$9:AZ$50, MAX(  COUNT( BA$9:BA$50 ), 1)) : AZ$9, INDEX( AZ$101:AZ$142, MAX(  COUNT( BA$9:BA$50 ), 1)) : AZ$101 &gt; 0)) )</f>
        <v>1.0003601834420921</v>
      </c>
      <c r="BA148" s="8">
        <f>+IF(BA$8 = 125, 1, SUM(_xlfn._xlws.FILTER(INDEX( BB$9:BB$50, MAX(  COUNT( BB$9:BB$50 ), 1)) : BB$9, INDEX( BA$101:BA$142, MAX(  COUNT( BB$9:BB$50 ), 1)) : BA$101 &gt; 0)) / SUM(_xlfn._xlws.FILTER(INDEX( BA$9:BA$50, MAX(  COUNT( BB$9:BB$50 ), 1)) : BA$9, INDEX( BA$101:BA$142, MAX(  COUNT( BB$9:BB$50 ), 1)) : BA$101 &gt; 0)) )</f>
        <v>1.0011208633049695</v>
      </c>
      <c r="BB148" s="8">
        <f>+IF(BB$8 = 125, 1, SUM(_xlfn._xlws.FILTER(INDEX( BC$9:BC$50, MAX(  COUNT( BC$9:BC$50 ), 1)) : BC$9, INDEX( BB$101:BB$142, MAX(  COUNT( BC$9:BC$50 ), 1)) : BB$101 &gt; 0)) / SUM(_xlfn._xlws.FILTER(INDEX( BB$9:BB$50, MAX(  COUNT( BC$9:BC$50 ), 1)) : BB$9, INDEX( BB$101:BB$142, MAX(  COUNT( BC$9:BC$50 ), 1)) : BB$101 &gt; 0)) )</f>
        <v>1.0007856382089648</v>
      </c>
      <c r="BC148" s="8">
        <f>+IF(BC$8 = 125, 1, SUM(_xlfn._xlws.FILTER(INDEX( BD$9:BD$50, MAX(  COUNT( BD$9:BD$50 ), 1)) : BD$9, INDEX( BC$101:BC$142, MAX(  COUNT( BD$9:BD$50 ), 1)) : BC$101 &gt; 0)) / SUM(_xlfn._xlws.FILTER(INDEX( BC$9:BC$50, MAX(  COUNT( BD$9:BD$50 ), 1)) : BC$9, INDEX( BC$101:BC$142, MAX(  COUNT( BD$9:BD$50 ), 1)) : BC$101 &gt; 0)) )</f>
        <v>1.0004366065534049</v>
      </c>
      <c r="BD148" s="8">
        <f>+IF(BD$8 = 125, 1, SUM(_xlfn._xlws.FILTER(INDEX( BE$9:BE$50, MAX(  COUNT( BE$9:BE$50 ), 1)) : BE$9, INDEX( BD$101:BD$142, MAX(  COUNT( BE$9:BE$50 ), 1)) : BD$101 &gt; 0)) / SUM(_xlfn._xlws.FILTER(INDEX( BD$9:BD$50, MAX(  COUNT( BE$9:BE$50 ), 1)) : BD$9, INDEX( BD$101:BD$142, MAX(  COUNT( BE$9:BE$50 ), 1)) : BD$101 &gt; 0)) )</f>
        <v>1.0009830792326324</v>
      </c>
      <c r="BE148" s="8">
        <f>+IF(BE$8 = 125, 1, SUM(_xlfn._xlws.FILTER(INDEX( BF$9:BF$50, MAX(  COUNT( BF$9:BF$50 ), 1)) : BF$9, INDEX( BE$101:BE$142, MAX(  COUNT( BF$9:BF$50 ), 1)) : BE$101 &gt; 0)) / SUM(_xlfn._xlws.FILTER(INDEX( BE$9:BE$50, MAX(  COUNT( BF$9:BF$50 ), 1)) : BE$9, INDEX( BE$101:BE$142, MAX(  COUNT( BF$9:BF$50 ), 1)) : BE$101 &gt; 0)) )</f>
        <v>1.0007172280323051</v>
      </c>
      <c r="BF148" s="8">
        <f>+IF(BF$8 = 125, 1, SUM(_xlfn._xlws.FILTER(INDEX( BG$9:BG$50, MAX(  COUNT( BG$9:BG$50 ), 1)) : BG$9, INDEX( BF$101:BF$142, MAX(  COUNT( BG$9:BG$50 ), 1)) : BF$101 &gt; 0)) / SUM(_xlfn._xlws.FILTER(INDEX( BF$9:BF$50, MAX(  COUNT( BG$9:BG$50 ), 1)) : BF$9, INDEX( BF$101:BF$142, MAX(  COUNT( BG$9:BG$50 ), 1)) : BF$101 &gt; 0)) )</f>
        <v>1.000970208596017</v>
      </c>
      <c r="BG148" s="8">
        <f>+IF(BG$8 = 125, 1, SUM(_xlfn._xlws.FILTER(INDEX( BH$9:BH$50, MAX(  COUNT( BH$9:BH$50 ), 1)) : BH$9, INDEX( BG$101:BG$142, MAX(  COUNT( BH$9:BH$50 ), 1)) : BG$101 &gt; 0)) / SUM(_xlfn._xlws.FILTER(INDEX( BG$9:BG$50, MAX(  COUNT( BH$9:BH$50 ), 1)) : BG$9, INDEX( BG$101:BG$142, MAX(  COUNT( BH$9:BH$50 ), 1)) : BG$101 &gt; 0)) )</f>
        <v>1.0005640593586529</v>
      </c>
      <c r="BH148" s="8">
        <f>+IF(BH$8 = 125, 1, SUM(_xlfn._xlws.FILTER(INDEX( BI$9:BI$50, MAX(  COUNT( BI$9:BI$50 ), 1)) : BI$9, INDEX( BH$101:BH$142, MAX(  COUNT( BI$9:BI$50 ), 1)) : BH$101 &gt; 0)) / SUM(_xlfn._xlws.FILTER(INDEX( BH$9:BH$50, MAX(  COUNT( BI$9:BI$50 ), 1)) : BH$9, INDEX( BH$101:BH$142, MAX(  COUNT( BI$9:BI$50 ), 1)) : BH$101 &gt; 0)) )</f>
        <v>1.0017168344813836</v>
      </c>
      <c r="BI148" s="8">
        <f>+IF(BI$8 = 125, 1, SUM(_xlfn._xlws.FILTER(INDEX( BJ$9:BJ$50, MAX(  COUNT( BJ$9:BJ$50 ), 1)) : BJ$9, INDEX( BI$101:BI$142, MAX(  COUNT( BJ$9:BJ$50 ), 1)) : BI$101 &gt; 0)) / SUM(_xlfn._xlws.FILTER(INDEX( BI$9:BI$50, MAX(  COUNT( BJ$9:BJ$50 ), 1)) : BI$9, INDEX( BI$101:BI$142, MAX(  COUNT( BJ$9:BJ$50 ), 1)) : BI$101 &gt; 0)) )</f>
        <v>1.000977549369974</v>
      </c>
      <c r="BJ148" s="8">
        <f>+IF(BJ$8 = 125, 1, SUM(_xlfn._xlws.FILTER(INDEX( BK$9:BK$50, MAX(  COUNT( BK$9:BK$50 ), 1)) : BK$9, INDEX( BJ$101:BJ$142, MAX(  COUNT( BK$9:BK$50 ), 1)) : BJ$101 &gt; 0)) / SUM(_xlfn._xlws.FILTER(INDEX( BJ$9:BJ$50, MAX(  COUNT( BK$9:BK$50 ), 1)) : BJ$9, INDEX( BJ$101:BJ$142, MAX(  COUNT( BK$9:BK$50 ), 1)) : BJ$101 &gt; 0)) )</f>
        <v>1.0005119485598692</v>
      </c>
      <c r="BK148" s="8">
        <f>+IF(BK$8 = 125, 1, SUM(_xlfn._xlws.FILTER(INDEX( BL$9:BL$50, MAX(  COUNT( BL$9:BL$50 ), 1)) : BL$9, INDEX( BK$101:BK$142, MAX(  COUNT( BL$9:BL$50 ), 1)) : BK$101 &gt; 0)) / SUM(_xlfn._xlws.FILTER(INDEX( BK$9:BK$50, MAX(  COUNT( BL$9:BL$50 ), 1)) : BK$9, INDEX( BK$101:BK$142, MAX(  COUNT( BL$9:BL$50 ), 1)) : BK$101 &gt; 0)) )</f>
        <v>1.0009244714098333</v>
      </c>
      <c r="BL148" s="8">
        <f>+IF(BL$8 = 125, 1, SUM(_xlfn._xlws.FILTER(INDEX( BM$9:BM$50, MAX(  COUNT( BM$9:BM$50 ), 1)) : BM$9, INDEX( BL$101:BL$142, MAX(  COUNT( BM$9:BM$50 ), 1)) : BL$101 &gt; 0)) / SUM(_xlfn._xlws.FILTER(INDEX( BL$9:BL$50, MAX(  COUNT( BM$9:BM$50 ), 1)) : BL$9, INDEX( BL$101:BL$142, MAX(  COUNT( BM$9:BM$50 ), 1)) : BL$101 &gt; 0)) )</f>
        <v>1.0031955918547082</v>
      </c>
      <c r="BM148" s="8">
        <f>+IF(BM$8 = 125, 1, SUM(_xlfn._xlws.FILTER(INDEX( BN$9:BN$50, MAX(  COUNT( BN$9:BN$50 ), 1)) : BN$9, INDEX( BM$101:BM$142, MAX(  COUNT( BN$9:BN$50 ), 1)) : BM$101 &gt; 0)) / SUM(_xlfn._xlws.FILTER(INDEX( BM$9:BM$50, MAX(  COUNT( BN$9:BN$50 ), 1)) : BM$9, INDEX( BM$101:BM$142, MAX(  COUNT( BN$9:BN$50 ), 1)) : BM$101 &gt; 0)) )</f>
        <v>1.0013402431056024</v>
      </c>
      <c r="BN148" s="8">
        <f>+IF(BN$8 = 125, 1, SUM(_xlfn._xlws.FILTER(INDEX( BO$9:BO$50, MAX(  COUNT( BO$9:BO$50 ), 1)) : BO$9, INDEX( BN$101:BN$142, MAX(  COUNT( BO$9:BO$50 ), 1)) : BN$101 &gt; 0)) / SUM(_xlfn._xlws.FILTER(INDEX( BN$9:BN$50, MAX(  COUNT( BO$9:BO$50 ), 1)) : BN$9, INDEX( BN$101:BN$142, MAX(  COUNT( BO$9:BO$50 ), 1)) : BN$101 &gt; 0)) )</f>
        <v>1.0015036184473509</v>
      </c>
      <c r="BO148" s="8">
        <f>+IF(BO$8 = 125, 1, SUM(_xlfn._xlws.FILTER(INDEX( BP$9:BP$50, MAX(  COUNT( BP$9:BP$50 ), 1)) : BP$9, INDEX( BO$101:BO$142, MAX(  COUNT( BP$9:BP$50 ), 1)) : BO$101 &gt; 0)) / SUM(_xlfn._xlws.FILTER(INDEX( BO$9:BO$50, MAX(  COUNT( BP$9:BP$50 ), 1)) : BO$9, INDEX( BO$101:BO$142, MAX(  COUNT( BP$9:BP$50 ), 1)) : BO$101 &gt; 0)) )</f>
        <v>1.0014630976958598</v>
      </c>
      <c r="BP148" s="8">
        <f>+IF(BP$8 = 125, 1, SUM(_xlfn._xlws.FILTER(INDEX( BQ$9:BQ$50, MAX(  COUNT( BQ$9:BQ$50 ), 1)) : BQ$9, INDEX( BP$101:BP$142, MAX(  COUNT( BQ$9:BQ$50 ), 1)) : BP$101 &gt; 0)) / SUM(_xlfn._xlws.FILTER(INDEX( BP$9:BP$50, MAX(  COUNT( BQ$9:BQ$50 ), 1)) : BP$9, INDEX( BP$101:BP$142, MAX(  COUNT( BQ$9:BQ$50 ), 1)) : BP$101 &gt; 0)) )</f>
        <v>1.0008165920758725</v>
      </c>
      <c r="BQ148" s="8">
        <f>+IF(BQ$8 = 125, 1, SUM(_xlfn._xlws.FILTER(INDEX( BR$9:BR$50, MAX(  COUNT( BR$9:BR$50 ), 1)) : BR$9, INDEX( BQ$101:BQ$142, MAX(  COUNT( BR$9:BR$50 ), 1)) : BQ$101 &gt; 0)) / SUM(_xlfn._xlws.FILTER(INDEX( BQ$9:BQ$50, MAX(  COUNT( BR$9:BR$50 ), 1)) : BQ$9, INDEX( BQ$101:BQ$142, MAX(  COUNT( BR$9:BR$50 ), 1)) : BQ$101 &gt; 0)) )</f>
        <v>1.0006505704141524</v>
      </c>
      <c r="BR148" s="8">
        <f>+IF(BR$8 = 125, 1, SUM(_xlfn._xlws.FILTER(INDEX( BS$9:BS$50, MAX(  COUNT( BS$9:BS$50 ), 1)) : BS$9, INDEX( BR$101:BR$142, MAX(  COUNT( BS$9:BS$50 ), 1)) : BR$101 &gt; 0)) / SUM(_xlfn._xlws.FILTER(INDEX( BR$9:BR$50, MAX(  COUNT( BS$9:BS$50 ), 1)) : BR$9, INDEX( BR$101:BR$142, MAX(  COUNT( BS$9:BS$50 ), 1)) : BR$101 &gt; 0)) )</f>
        <v>1.00062433290356</v>
      </c>
      <c r="BS148" s="8">
        <f>+IF(BS$8 = 125, 1, SUM(_xlfn._xlws.FILTER(INDEX( BT$9:BT$50, MAX(  COUNT( BT$9:BT$50 ), 1)) : BT$9, INDEX( BS$101:BS$142, MAX(  COUNT( BT$9:BT$50 ), 1)) : BS$101 &gt; 0)) / SUM(_xlfn._xlws.FILTER(INDEX( BS$9:BS$50, MAX(  COUNT( BT$9:BT$50 ), 1)) : BS$9, INDEX( BS$101:BS$142, MAX(  COUNT( BT$9:BT$50 ), 1)) : BS$101 &gt; 0)) )</f>
        <v>1.0007873766892408</v>
      </c>
      <c r="BT148" s="8">
        <f>+IF(BT$8 = 125, 1, SUM(_xlfn._xlws.FILTER(INDEX( BU$9:BU$50, MAX(  COUNT( BU$9:BU$50 ), 1)) : BU$9, INDEX( BT$101:BT$142, MAX(  COUNT( BU$9:BU$50 ), 1)) : BT$101 &gt; 0)) / SUM(_xlfn._xlws.FILTER(INDEX( BT$9:BT$50, MAX(  COUNT( BU$9:BU$50 ), 1)) : BT$9, INDEX( BT$101:BT$142, MAX(  COUNT( BU$9:BU$50 ), 1)) : BT$101 &gt; 0)) )</f>
        <v>1.000792509585547</v>
      </c>
      <c r="BU148" s="8">
        <f>+IF(BU$8 = 125, 1, SUM(_xlfn._xlws.FILTER(INDEX( BV$9:BV$50, MAX(  COUNT( BV$9:BV$50 ), 1)) : BV$9, INDEX( BU$101:BU$142, MAX(  COUNT( BV$9:BV$50 ), 1)) : BU$101 &gt; 0)) / SUM(_xlfn._xlws.FILTER(INDEX( BU$9:BU$50, MAX(  COUNT( BV$9:BV$50 ), 1)) : BU$9, INDEX( BU$101:BU$142, MAX(  COUNT( BV$9:BV$50 ), 1)) : BU$101 &gt; 0)) )</f>
        <v>1.000257894226948</v>
      </c>
      <c r="BV148" s="8">
        <f>+IF(BV$8 = 125, 1, SUM(_xlfn._xlws.FILTER(INDEX( BW$9:BW$50, MAX(  COUNT( BW$9:BW$50 ), 1)) : BW$9, INDEX( BV$101:BV$142, MAX(  COUNT( BW$9:BW$50 ), 1)) : BV$101 &gt; 0)) / SUM(_xlfn._xlws.FILTER(INDEX( BV$9:BV$50, MAX(  COUNT( BW$9:BW$50 ), 1)) : BV$9, INDEX( BV$101:BV$142, MAX(  COUNT( BW$9:BW$50 ), 1)) : BV$101 &gt; 0)) )</f>
        <v>1.0007173182027844</v>
      </c>
      <c r="BW148" s="8">
        <f>+IF(BW$8 = 125, 1, SUM(_xlfn._xlws.FILTER(INDEX( BX$9:BX$50, MAX(  COUNT( BX$9:BX$50 ), 1)) : BX$9, INDEX( BW$101:BW$142, MAX(  COUNT( BX$9:BX$50 ), 1)) : BW$101 &gt; 0)) / SUM(_xlfn._xlws.FILTER(INDEX( BW$9:BW$50, MAX(  COUNT( BX$9:BX$50 ), 1)) : BW$9, INDEX( BW$101:BW$142, MAX(  COUNT( BX$9:BX$50 ), 1)) : BW$101 &gt; 0)) )</f>
        <v>1.0006656975290338</v>
      </c>
      <c r="BX148" s="8">
        <f>+IF(BX$8 = 125, 1, SUM(_xlfn._xlws.FILTER(INDEX( BY$9:BY$50, MAX(  COUNT( BY$9:BY$50 ), 1)) : BY$9, INDEX( BX$101:BX$142, MAX(  COUNT( BY$9:BY$50 ), 1)) : BX$101 &gt; 0)) / SUM(_xlfn._xlws.FILTER(INDEX( BX$9:BX$50, MAX(  COUNT( BY$9:BY$50 ), 1)) : BX$9, INDEX( BX$101:BX$142, MAX(  COUNT( BY$9:BY$50 ), 1)) : BX$101 &gt; 0)) )</f>
        <v>1.0009351847931918</v>
      </c>
      <c r="BY148" s="8">
        <f>+IF(BY$8 = 125, 1, SUM(_xlfn._xlws.FILTER(INDEX( BZ$9:BZ$50, MAX(  COUNT( BZ$9:BZ$50 ), 1)) : BZ$9, INDEX( BY$101:BY$142, MAX(  COUNT( BZ$9:BZ$50 ), 1)) : BY$101 &gt; 0)) / SUM(_xlfn._xlws.FILTER(INDEX( BY$9:BY$50, MAX(  COUNT( BZ$9:BZ$50 ), 1)) : BY$9, INDEX( BY$101:BY$142, MAX(  COUNT( BZ$9:BZ$50 ), 1)) : BY$101 &gt; 0)) )</f>
        <v>1.000817232591305</v>
      </c>
      <c r="BZ148" s="8">
        <f>+IF(BZ$8 = 125, 1, SUM(_xlfn._xlws.FILTER(INDEX( CA$9:CA$50, MAX(  COUNT( CA$9:CA$50 ), 1)) : CA$9, INDEX( BZ$101:BZ$142, MAX(  COUNT( CA$9:CA$50 ), 1)) : BZ$101 &gt; 0)) / SUM(_xlfn._xlws.FILTER(INDEX( BZ$9:BZ$50, MAX(  COUNT( CA$9:CA$50 ), 1)) : BZ$9, INDEX( BZ$101:BZ$142, MAX(  COUNT( CA$9:CA$50 ), 1)) : BZ$101 &gt; 0)) )</f>
        <v>1.0007704351224473</v>
      </c>
      <c r="CA148" s="8">
        <f>+IF(CA$8 = 125, 1, SUM(_xlfn._xlws.FILTER(INDEX( CB$9:CB$50, MAX(  COUNT( CB$9:CB$50 ), 1)) : CB$9, INDEX( CA$101:CA$142, MAX(  COUNT( CB$9:CB$50 ), 1)) : CA$101 &gt; 0)) / SUM(_xlfn._xlws.FILTER(INDEX( CA$9:CA$50, MAX(  COUNT( CB$9:CB$50 ), 1)) : CA$9, INDEX( CA$101:CA$142, MAX(  COUNT( CB$9:CB$50 ), 1)) : CA$101 &gt; 0)) )</f>
        <v>1.0009968262372824</v>
      </c>
      <c r="CB148" s="8">
        <f>+IF(CB$8 = 125, 1, SUM(_xlfn._xlws.FILTER(INDEX( CC$9:CC$50, MAX(  COUNT( CC$9:CC$50 ), 1)) : CC$9, INDEX( CB$101:CB$142, MAX(  COUNT( CC$9:CC$50 ), 1)) : CB$101 &gt; 0)) / SUM(_xlfn._xlws.FILTER(INDEX( CB$9:CB$50, MAX(  COUNT( CC$9:CC$50 ), 1)) : CB$9, INDEX( CB$101:CB$142, MAX(  COUNT( CC$9:CC$50 ), 1)) : CB$101 &gt; 0)) )</f>
        <v>1.0013500410726539</v>
      </c>
      <c r="CC148" s="8">
        <f>+IF(CC$8 = 125, 1, SUM(_xlfn._xlws.FILTER(INDEX( CD$9:CD$50, MAX(  COUNT( CD$9:CD$50 ), 1)) : CD$9, INDEX( CC$101:CC$142, MAX(  COUNT( CD$9:CD$50 ), 1)) : CC$101 &gt; 0)) / SUM(_xlfn._xlws.FILTER(INDEX( CC$9:CC$50, MAX(  COUNT( CD$9:CD$50 ), 1)) : CC$9, INDEX( CC$101:CC$142, MAX(  COUNT( CD$9:CD$50 ), 1)) : CC$101 &gt; 0)) )</f>
        <v>1.0011264698572377</v>
      </c>
      <c r="CD148" s="8">
        <f>+IF(CD$8 = 125, 1, SUM(_xlfn._xlws.FILTER(INDEX( CE$9:CE$50, MAX(  COUNT( CE$9:CE$50 ), 1)) : CE$9, INDEX( CD$101:CD$142, MAX(  COUNT( CE$9:CE$50 ), 1)) : CD$101 &gt; 0)) / SUM(_xlfn._xlws.FILTER(INDEX( CD$9:CD$50, MAX(  COUNT( CE$9:CE$50 ), 1)) : CD$9, INDEX( CD$101:CD$142, MAX(  COUNT( CE$9:CE$50 ), 1)) : CD$101 &gt; 0)) )</f>
        <v>1.0006370570617134</v>
      </c>
      <c r="CE148" s="8">
        <f>+IF(CE$8 = 125, 1, SUM(_xlfn._xlws.FILTER(INDEX( CF$9:CF$50, MAX(  COUNT( CF$9:CF$50 ), 1)) : CF$9, INDEX( CE$101:CE$142, MAX(  COUNT( CF$9:CF$50 ), 1)) : CE$101 &gt; 0)) / SUM(_xlfn._xlws.FILTER(INDEX( CE$9:CE$50, MAX(  COUNT( CF$9:CF$50 ), 1)) : CE$9, INDEX( CE$101:CE$142, MAX(  COUNT( CF$9:CF$50 ), 1)) : CE$101 &gt; 0)) )</f>
        <v>1.0007351945297542</v>
      </c>
      <c r="CF148" s="8">
        <f>+IF(CF$8 = 125, 1, SUM(_xlfn._xlws.FILTER(INDEX( CG$9:CG$50, MAX(  COUNT( CG$9:CG$50 ), 1)) : CG$9, INDEX( CF$101:CF$142, MAX(  COUNT( CG$9:CG$50 ), 1)) : CF$101 &gt; 0)) / SUM(_xlfn._xlws.FILTER(INDEX( CF$9:CF$50, MAX(  COUNT( CG$9:CG$50 ), 1)) : CF$9, INDEX( CF$101:CF$142, MAX(  COUNT( CG$9:CG$50 ), 1)) : CF$101 &gt; 0)) )</f>
        <v>1.0029459485341687</v>
      </c>
      <c r="CG148" s="8">
        <f>+IF(CG$8 = 125, 1, SUM(_xlfn._xlws.FILTER(INDEX( CH$9:CH$50, MAX(  COUNT( CH$9:CH$50 ), 1)) : CH$9, INDEX( CG$101:CG$142, MAX(  COUNT( CH$9:CH$50 ), 1)) : CG$101 &gt; 0)) / SUM(_xlfn._xlws.FILTER(INDEX( CG$9:CG$50, MAX(  COUNT( CH$9:CH$50 ), 1)) : CG$9, INDEX( CG$101:CG$142, MAX(  COUNT( CH$9:CH$50 ), 1)) : CG$101 &gt; 0)) )</f>
        <v>1.0010287848695154</v>
      </c>
      <c r="CH148" s="8">
        <f>+IF(CH$8 = 125, 1, SUM(_xlfn._xlws.FILTER(INDEX( CI$9:CI$50, MAX(  COUNT( CI$9:CI$50 ), 1)) : CI$9, INDEX( CH$101:CH$142, MAX(  COUNT( CI$9:CI$50 ), 1)) : CH$101 &gt; 0)) / SUM(_xlfn._xlws.FILTER(INDEX( CH$9:CH$50, MAX(  COUNT( CI$9:CI$50 ), 1)) : CH$9, INDEX( CH$101:CH$142, MAX(  COUNT( CI$9:CI$50 ), 1)) : CH$101 &gt; 0)) )</f>
        <v>1.0003978517469678</v>
      </c>
      <c r="CI148" s="8">
        <f>+IF(CI$8 = 125, 1, SUM(_xlfn._xlws.FILTER(INDEX( CJ$9:CJ$50, MAX(  COUNT( CJ$9:CJ$50 ), 1)) : CJ$9, INDEX( CI$101:CI$142, MAX(  COUNT( CJ$9:CJ$50 ), 1)) : CI$101 &gt; 0)) / SUM(_xlfn._xlws.FILTER(INDEX( CI$9:CI$50, MAX(  COUNT( CJ$9:CJ$50 ), 1)) : CI$9, INDEX( CI$101:CI$142, MAX(  COUNT( CJ$9:CJ$50 ), 1)) : CI$101 &gt; 0)) )</f>
        <v>1.0014126985879654</v>
      </c>
      <c r="CJ148" s="8">
        <f>+IF(CJ$8 = 125, 1, SUM(_xlfn._xlws.FILTER(INDEX( CK$9:CK$50, MAX(  COUNT( CK$9:CK$50 ), 1)) : CK$9, INDEX( CJ$101:CJ$142, MAX(  COUNT( CK$9:CK$50 ), 1)) : CJ$101 &gt; 0)) / SUM(_xlfn._xlws.FILTER(INDEX( CJ$9:CJ$50, MAX(  COUNT( CK$9:CK$50 ), 1)) : CJ$9, INDEX( CJ$101:CJ$142, MAX(  COUNT( CK$9:CK$50 ), 1)) : CJ$101 &gt; 0)) )</f>
        <v>1.0006470898399693</v>
      </c>
      <c r="CK148" s="8">
        <f>+IF(CK$8 = 125, 1, SUM(_xlfn._xlws.FILTER(INDEX( CL$9:CL$50, MAX(  COUNT( CL$9:CL$50 ), 1)) : CL$9, INDEX( CK$101:CK$142, MAX(  COUNT( CL$9:CL$50 ), 1)) : CK$101 &gt; 0)) / SUM(_xlfn._xlws.FILTER(INDEX( CK$9:CK$50, MAX(  COUNT( CL$9:CL$50 ), 1)) : CK$9, INDEX( CK$101:CK$142, MAX(  COUNT( CL$9:CL$50 ), 1)) : CK$101 &gt; 0)) )</f>
        <v>1.0016255747888727</v>
      </c>
      <c r="CL148" s="8">
        <f>+IF(CL$8 = 125, 1, SUM(_xlfn._xlws.FILTER(INDEX( CM$9:CM$50, MAX(  COUNT( CM$9:CM$50 ), 1)) : CM$9, INDEX( CL$101:CL$142, MAX(  COUNT( CM$9:CM$50 ), 1)) : CL$101 &gt; 0)) / SUM(_xlfn._xlws.FILTER(INDEX( CL$9:CL$50, MAX(  COUNT( CM$9:CM$50 ), 1)) : CL$9, INDEX( CL$101:CL$142, MAX(  COUNT( CM$9:CM$50 ), 1)) : CL$101 &gt; 0)) )</f>
        <v>1.001373479837971</v>
      </c>
      <c r="CM148" s="8">
        <f>+IF(CM$8 = 125, 1, SUM(_xlfn._xlws.FILTER(INDEX( CN$9:CN$50, MAX(  COUNT( CN$9:CN$50 ), 1)) : CN$9, INDEX( CM$101:CM$142, MAX(  COUNT( CN$9:CN$50 ), 1)) : CM$101 &gt; 0)) / SUM(_xlfn._xlws.FILTER(INDEX( CM$9:CM$50, MAX(  COUNT( CN$9:CN$50 ), 1)) : CM$9, INDEX( CM$101:CM$142, MAX(  COUNT( CN$9:CN$50 ), 1)) : CM$101 &gt; 0)) )</f>
        <v>1.001282074118252</v>
      </c>
      <c r="CN148" s="8">
        <f>+IF(CN$8 = 125, 1, SUM(_xlfn._xlws.FILTER(INDEX( CO$9:CO$50, MAX(  COUNT( CO$9:CO$50 ), 1)) : CO$9, INDEX( CN$101:CN$142, MAX(  COUNT( CO$9:CO$50 ), 1)) : CN$101 &gt; 0)) / SUM(_xlfn._xlws.FILTER(INDEX( CN$9:CN$50, MAX(  COUNT( CO$9:CO$50 ), 1)) : CN$9, INDEX( CN$101:CN$142, MAX(  COUNT( CO$9:CO$50 ), 1)) : CN$101 &gt; 0)) )</f>
        <v>1.0007020722136255</v>
      </c>
      <c r="CO148" s="8">
        <f>+IF(CO$8 = 125, 1, SUM(_xlfn._xlws.FILTER(INDEX( CP$9:CP$50, MAX(  COUNT( CP$9:CP$50 ), 1)) : CP$9, INDEX( CO$101:CO$142, MAX(  COUNT( CP$9:CP$50 ), 1)) : CO$101 &gt; 0)) / SUM(_xlfn._xlws.FILTER(INDEX( CO$9:CO$50, MAX(  COUNT( CP$9:CP$50 ), 1)) : CO$9, INDEX( CO$101:CO$142, MAX(  COUNT( CP$9:CP$50 ), 1)) : CO$101 &gt; 0)) )</f>
        <v>1.0120916843011774</v>
      </c>
      <c r="CP148" s="8">
        <f>+IF(CP$8 = 125, 1, SUM(_xlfn._xlws.FILTER(INDEX( CQ$9:CQ$50, MAX(  COUNT( CQ$9:CQ$50 ), 1)) : CQ$9, INDEX( CP$101:CP$142, MAX(  COUNT( CQ$9:CQ$50 ), 1)) : CP$101 &gt; 0)) / SUM(_xlfn._xlws.FILTER(INDEX( CP$9:CP$50, MAX(  COUNT( CQ$9:CQ$50 ), 1)) : CP$9, INDEX( CP$101:CP$142, MAX(  COUNT( CQ$9:CQ$50 ), 1)) : CP$101 &gt; 0)) )</f>
        <v>1.0009328698072251</v>
      </c>
      <c r="CQ148" s="8">
        <f>+IF(CQ$8 = 125, 1, SUM(_xlfn._xlws.FILTER(INDEX( CR$9:CR$50, MAX(  COUNT( CR$9:CR$50 ), 1)) : CR$9, INDEX( CQ$101:CQ$142, MAX(  COUNT( CR$9:CR$50 ), 1)) : CQ$101 &gt; 0)) / SUM(_xlfn._xlws.FILTER(INDEX( CQ$9:CQ$50, MAX(  COUNT( CR$9:CR$50 ), 1)) : CQ$9, INDEX( CQ$101:CQ$142, MAX(  COUNT( CR$9:CR$50 ), 1)) : CQ$101 &gt; 0)) )</f>
        <v>1.0010904641076801</v>
      </c>
      <c r="CR148" s="8">
        <f>+IF(CR$8 = 125, 1, SUM(_xlfn._xlws.FILTER(INDEX( CS$9:CS$50, MAX(  COUNT( CS$9:CS$50 ), 1)) : CS$9, INDEX( CR$101:CR$142, MAX(  COUNT( CS$9:CS$50 ), 1)) : CR$101 &gt; 0)) / SUM(_xlfn._xlws.FILTER(INDEX( CR$9:CR$50, MAX(  COUNT( CS$9:CS$50 ), 1)) : CR$9, INDEX( CR$101:CR$142, MAX(  COUNT( CS$9:CS$50 ), 1)) : CR$101 &gt; 0)) )</f>
        <v>1.0010974539138704</v>
      </c>
      <c r="CS148" s="8">
        <f>+IF(CS$8 = 125, 1, SUM(_xlfn._xlws.FILTER(INDEX( CT$9:CT$50, MAX(  COUNT( CT$9:CT$50 ), 1)) : CT$9, INDEX( CS$101:CS$142, MAX(  COUNT( CT$9:CT$50 ), 1)) : CS$101 &gt; 0)) / SUM(_xlfn._xlws.FILTER(INDEX( CS$9:CS$50, MAX(  COUNT( CT$9:CT$50 ), 1)) : CS$9, INDEX( CS$101:CS$142, MAX(  COUNT( CT$9:CT$50 ), 1)) : CS$101 &gt; 0)) )</f>
        <v>1.0013707137375596</v>
      </c>
      <c r="CT148" s="8">
        <f>+IF(CT$8 = 125, 1, SUM(_xlfn._xlws.FILTER(INDEX( CU$9:CU$50, MAX(  COUNT( CU$9:CU$50 ), 1)) : CU$9, INDEX( CT$101:CT$142, MAX(  COUNT( CU$9:CU$50 ), 1)) : CT$101 &gt; 0)) / SUM(_xlfn._xlws.FILTER(INDEX( CT$9:CT$50, MAX(  COUNT( CU$9:CU$50 ), 1)) : CT$9, INDEX( CT$101:CT$142, MAX(  COUNT( CU$9:CU$50 ), 1)) : CT$101 &gt; 0)) )</f>
        <v>1.0027858012784763</v>
      </c>
      <c r="CU148" s="8">
        <f>+IF(CU$8 = 125, 1, SUM(_xlfn._xlws.FILTER(INDEX( CV$9:CV$50, MAX(  COUNT( CV$9:CV$50 ), 1)) : CV$9, INDEX( CU$101:CU$142, MAX(  COUNT( CV$9:CV$50 ), 1)) : CU$101 &gt; 0)) / SUM(_xlfn._xlws.FILTER(INDEX( CU$9:CU$50, MAX(  COUNT( CV$9:CV$50 ), 1)) : CU$9, INDEX( CU$101:CU$142, MAX(  COUNT( CV$9:CV$50 ), 1)) : CU$101 &gt; 0)) )</f>
        <v>1.0013638363507291</v>
      </c>
      <c r="CV148" s="8">
        <f>+IF(CV$8 = 125, 1, SUM(_xlfn._xlws.FILTER(INDEX( CW$9:CW$50, MAX(  COUNT( CW$9:CW$50 ), 1)) : CW$9, INDEX( CV$101:CV$142, MAX(  COUNT( CW$9:CW$50 ), 1)) : CV$101 &gt; 0)) / SUM(_xlfn._xlws.FILTER(INDEX( CV$9:CV$50, MAX(  COUNT( CW$9:CW$50 ), 1)) : CV$9, INDEX( CV$101:CV$142, MAX(  COUNT( CW$9:CW$50 ), 1)) : CV$101 &gt; 0)) )</f>
        <v>1.0009357474493619</v>
      </c>
      <c r="CW148" s="8">
        <f>+IF(CW$8 = 125, 1, SUM(_xlfn._xlws.FILTER(INDEX( CX$9:CX$50, MAX(  COUNT( CX$9:CX$50 ), 1)) : CX$9, INDEX( CW$101:CW$142, MAX(  COUNT( CX$9:CX$50 ), 1)) : CW$101 &gt; 0)) / SUM(_xlfn._xlws.FILTER(INDEX( CW$9:CW$50, MAX(  COUNT( CX$9:CX$50 ), 1)) : CW$9, INDEX( CW$101:CW$142, MAX(  COUNT( CX$9:CX$50 ), 1)) : CW$101 &gt; 0)) )</f>
        <v>1.0015741027912444</v>
      </c>
      <c r="CX148" s="8">
        <f>+IF(CX$8 = 125, 1, SUM(_xlfn._xlws.FILTER(INDEX( CY$9:CY$50, MAX(  COUNT( CY$9:CY$50 ), 1)) : CY$9, INDEX( CX$101:CX$142, MAX(  COUNT( CY$9:CY$50 ), 1)) : CX$101 &gt; 0)) / SUM(_xlfn._xlws.FILTER(INDEX( CX$9:CX$50, MAX(  COUNT( CY$9:CY$50 ), 1)) : CX$9, INDEX( CX$101:CX$142, MAX(  COUNT( CY$9:CY$50 ), 1)) : CX$101 &gt; 0)) )</f>
        <v>1.0014040461419469</v>
      </c>
      <c r="CY148" s="8">
        <f>+IF(CY$8 = 125, 1, SUM(_xlfn._xlws.FILTER(INDEX( CZ$9:CZ$50, MAX(  COUNT( CZ$9:CZ$50 ), 1)) : CZ$9, INDEX( CY$101:CY$142, MAX(  COUNT( CZ$9:CZ$50 ), 1)) : CY$101 &gt; 0)) / SUM(_xlfn._xlws.FILTER(INDEX( CY$9:CY$50, MAX(  COUNT( CZ$9:CZ$50 ), 1)) : CY$9, INDEX( CY$101:CY$142, MAX(  COUNT( CZ$9:CZ$50 ), 1)) : CY$101 &gt; 0)) )</f>
        <v>1.0011066055881199</v>
      </c>
      <c r="CZ148" s="8">
        <f>+IF(CZ$8 = 125, 1, SUM(_xlfn._xlws.FILTER(INDEX( DA$9:DA$50, MAX(  COUNT( DA$9:DA$50 ), 1)) : DA$9, INDEX( CZ$101:CZ$142, MAX(  COUNT( DA$9:DA$50 ), 1)) : CZ$101 &gt; 0)) / SUM(_xlfn._xlws.FILTER(INDEX( CZ$9:CZ$50, MAX(  COUNT( DA$9:DA$50 ), 1)) : CZ$9, INDEX( CZ$101:CZ$142, MAX(  COUNT( DA$9:DA$50 ), 1)) : CZ$101 &gt; 0)) )</f>
        <v>1.0016104974923168</v>
      </c>
      <c r="DA148" s="8">
        <f>+IF(DA$8 = 125, 1, SUM(_xlfn._xlws.FILTER(INDEX( DB$9:DB$50, MAX(  COUNT( DB$9:DB$50 ), 1)) : DB$9, INDEX( DA$101:DA$142, MAX(  COUNT( DB$9:DB$50 ), 1)) : DA$101 &gt; 0)) / SUM(_xlfn._xlws.FILTER(INDEX( DA$9:DA$50, MAX(  COUNT( DB$9:DB$50 ), 1)) : DA$9, INDEX( DA$101:DA$142, MAX(  COUNT( DB$9:DB$50 ), 1)) : DA$101 &gt; 0)) )</f>
        <v>1.0010373300203488</v>
      </c>
      <c r="DB148" s="8">
        <f>+IF(DB$8 = 125, 1, SUM(_xlfn._xlws.FILTER(INDEX( DC$9:DC$50, MAX(  COUNT( DC$9:DC$50 ), 1)) : DC$9, INDEX( DB$101:DB$142, MAX(  COUNT( DC$9:DC$50 ), 1)) : DB$101 &gt; 0)) / SUM(_xlfn._xlws.FILTER(INDEX( DB$9:DB$50, MAX(  COUNT( DC$9:DC$50 ), 1)) : DB$9, INDEX( DB$101:DB$142, MAX(  COUNT( DC$9:DC$50 ), 1)) : DB$101 &gt; 0)) )</f>
        <v>1.0017014126822523</v>
      </c>
      <c r="DC148" s="8">
        <f>+IF(DC$8 = 125, 1, SUM(_xlfn._xlws.FILTER(INDEX( DD$9:DD$50, MAX(  COUNT( DD$9:DD$50 ), 1)) : DD$9, INDEX( DC$101:DC$142, MAX(  COUNT( DD$9:DD$50 ), 1)) : DC$101 &gt; 0)) / SUM(_xlfn._xlws.FILTER(INDEX( DC$9:DC$50, MAX(  COUNT( DD$9:DD$50 ), 1)) : DC$9, INDEX( DC$101:DC$142, MAX(  COUNT( DD$9:DD$50 ), 1)) : DC$101 &gt; 0)) )</f>
        <v>1.0012464056865782</v>
      </c>
      <c r="DD148" s="8">
        <f>+IF(DD$8 = 125, 1, SUM(_xlfn._xlws.FILTER(INDEX( DE$9:DE$50, MAX(  COUNT( DE$9:DE$50 ), 1)) : DE$9, INDEX( DD$101:DD$142, MAX(  COUNT( DE$9:DE$50 ), 1)) : DD$101 &gt; 0)) / SUM(_xlfn._xlws.FILTER(INDEX( DD$9:DD$50, MAX(  COUNT( DE$9:DE$50 ), 1)) : DD$9, INDEX( DD$101:DD$142, MAX(  COUNT( DE$9:DE$50 ), 1)) : DD$101 &gt; 0)) )</f>
        <v>1.0010752545383543</v>
      </c>
      <c r="DE148" s="8">
        <f>+IF(DE$8 = 125, 1, SUM(_xlfn._xlws.FILTER(INDEX( DF$9:DF$50, MAX(  COUNT( DF$9:DF$50 ), 1)) : DF$9, INDEX( DE$101:DE$142, MAX(  COUNT( DF$9:DF$50 ), 1)) : DE$101 &gt; 0)) / SUM(_xlfn._xlws.FILTER(INDEX( DE$9:DE$50, MAX(  COUNT( DF$9:DF$50 ), 1)) : DE$9, INDEX( DE$101:DE$142, MAX(  COUNT( DF$9:DF$50 ), 1)) : DE$101 &gt; 0)) )</f>
        <v>1.0016975031167434</v>
      </c>
      <c r="DF148" s="8">
        <f>+IF(DF$8 = 125, 1, SUM(_xlfn._xlws.FILTER(INDEX( DG$9:DG$50, MAX(  COUNT( DG$9:DG$50 ), 1)) : DG$9, INDEX( DF$101:DF$142, MAX(  COUNT( DG$9:DG$50 ), 1)) : DF$101 &gt; 0)) / SUM(_xlfn._xlws.FILTER(INDEX( DF$9:DF$50, MAX(  COUNT( DG$9:DG$50 ), 1)) : DF$9, INDEX( DF$101:DF$142, MAX(  COUNT( DG$9:DG$50 ), 1)) : DF$101 &gt; 0)) )</f>
        <v>1.0013308948215807</v>
      </c>
      <c r="DG148" s="8">
        <f>+IF(DG$8 = 125, 1, SUM(_xlfn._xlws.FILTER(INDEX( DH$9:DH$50, MAX(  COUNT( DH$9:DH$50 ), 1)) : DH$9, INDEX( DG$101:DG$142, MAX(  COUNT( DH$9:DH$50 ), 1)) : DG$101 &gt; 0)) / SUM(_xlfn._xlws.FILTER(INDEX( DG$9:DG$50, MAX(  COUNT( DH$9:DH$50 ), 1)) : DG$9, INDEX( DG$101:DG$142, MAX(  COUNT( DH$9:DH$50 ), 1)) : DG$101 &gt; 0)) )</f>
        <v>1.0019172293306928</v>
      </c>
      <c r="DH148" s="8">
        <f>+IF(DH$8 = 125, 1, SUM(_xlfn._xlws.FILTER(INDEX( DI$9:DI$50, MAX(  COUNT( DI$9:DI$50 ), 1)) : DI$9, INDEX( DH$101:DH$142, MAX(  COUNT( DI$9:DI$50 ), 1)) : DH$101 &gt; 0)) / SUM(_xlfn._xlws.FILTER(INDEX( DH$9:DH$50, MAX(  COUNT( DI$9:DI$50 ), 1)) : DH$9, INDEX( DH$101:DH$142, MAX(  COUNT( DI$9:DI$50 ), 1)) : DH$101 &gt; 0)) )</f>
        <v>1.0020498054063822</v>
      </c>
      <c r="DI148" s="8">
        <f>+IF(DI$8 = 125, 1, SUM(_xlfn._xlws.FILTER(INDEX( DJ$9:DJ$50, MAX(  COUNT( DJ$9:DJ$50 ), 1)) : DJ$9, INDEX( DI$101:DI$142, MAX(  COUNT( DJ$9:DJ$50 ), 1)) : DI$101 &gt; 0)) / SUM(_xlfn._xlws.FILTER(INDEX( DI$9:DI$50, MAX(  COUNT( DJ$9:DJ$50 ), 1)) : DI$9, INDEX( DI$101:DI$142, MAX(  COUNT( DJ$9:DJ$50 ), 1)) : DI$101 &gt; 0)) )</f>
        <v>1.0007709818311359</v>
      </c>
      <c r="DJ148" s="8">
        <f>+IF(DJ$8 = 125, 1, SUM(_xlfn._xlws.FILTER(INDEX( DK$9:DK$50, MAX(  COUNT( DK$9:DK$50 ), 1)) : DK$9, INDEX( DJ$101:DJ$142, MAX(  COUNT( DK$9:DK$50 ), 1)) : DJ$101 &gt; 0)) / SUM(_xlfn._xlws.FILTER(INDEX( DJ$9:DJ$50, MAX(  COUNT( DK$9:DK$50 ), 1)) : DJ$9, INDEX( DJ$101:DJ$142, MAX(  COUNT( DK$9:DK$50 ), 1)) : DJ$101 &gt; 0)) )</f>
        <v>1.0014730544306467</v>
      </c>
      <c r="DK148" s="8">
        <f>+IF(DK$8 = 125, 1, SUM(_xlfn._xlws.FILTER(INDEX( DL$9:DL$50, MAX(  COUNT( DL$9:DL$50 ), 1)) : DL$9, INDEX( DK$101:DK$142, MAX(  COUNT( DL$9:DL$50 ), 1)) : DK$101 &gt; 0)) / SUM(_xlfn._xlws.FILTER(INDEX( DK$9:DK$50, MAX(  COUNT( DL$9:DL$50 ), 1)) : DK$9, INDEX( DK$101:DK$142, MAX(  COUNT( DL$9:DL$50 ), 1)) : DK$101 &gt; 0)) )</f>
        <v>1.0045098708451485</v>
      </c>
      <c r="DL148" s="8">
        <f>+IF(DL$8 = 125, 1, SUM(_xlfn._xlws.FILTER(INDEX( DM$9:DM$50, MAX(  COUNT( DM$9:DM$50 ), 1)) : DM$9, INDEX( DL$101:DL$142, MAX(  COUNT( DM$9:DM$50 ), 1)) : DL$101 &gt; 0)) / SUM(_xlfn._xlws.FILTER(INDEX( DL$9:DL$50, MAX(  COUNT( DM$9:DM$50 ), 1)) : DL$9, INDEX( DL$101:DL$142, MAX(  COUNT( DM$9:DM$50 ), 1)) : DL$101 &gt; 0)) )</f>
        <v>1.0014938785731513</v>
      </c>
      <c r="DM148" s="8">
        <f>+IF(DM$8 = 125, 1, SUM(_xlfn._xlws.FILTER(INDEX( DN$9:DN$50, MAX(  COUNT( DN$9:DN$50 ), 1)) : DN$9, INDEX( DM$101:DM$142, MAX(  COUNT( DN$9:DN$50 ), 1)) : DM$101 &gt; 0)) / SUM(_xlfn._xlws.FILTER(INDEX( DM$9:DM$50, MAX(  COUNT( DN$9:DN$50 ), 1)) : DM$9, INDEX( DM$101:DM$142, MAX(  COUNT( DN$9:DN$50 ), 1)) : DM$101 &gt; 0)) )</f>
        <v>1.0020471883250464</v>
      </c>
      <c r="DN148" s="8">
        <f>+IF(DN$8 = 125, 1, SUM(_xlfn._xlws.FILTER(INDEX( DO$9:DO$50, MAX(  COUNT( DO$9:DO$50 ), 1)) : DO$9, INDEX( DN$101:DN$142, MAX(  COUNT( DO$9:DO$50 ), 1)) : DN$101 &gt; 0)) / SUM(_xlfn._xlws.FILTER(INDEX( DN$9:DN$50, MAX(  COUNT( DO$9:DO$50 ), 1)) : DN$9, INDEX( DN$101:DN$142, MAX(  COUNT( DO$9:DO$50 ), 1)) : DN$101 &gt; 0)) )</f>
        <v>1.0022796688365807</v>
      </c>
      <c r="DO148" s="8">
        <f>+IF(DO$8 = 125, 1, SUM(_xlfn._xlws.FILTER(INDEX( DP$9:DP$50, MAX(  COUNT( DP$9:DP$50 ), 1)) : DP$9, INDEX( DO$101:DO$142, MAX(  COUNT( DP$9:DP$50 ), 1)) : DO$101 &gt; 0)) / SUM(_xlfn._xlws.FILTER(INDEX( DO$9:DO$50, MAX(  COUNT( DP$9:DP$50 ), 1)) : DO$9, INDEX( DO$101:DO$142, MAX(  COUNT( DP$9:DP$50 ), 1)) : DO$101 &gt; 0)) )</f>
        <v>1.0025309995166212</v>
      </c>
      <c r="DP148" s="8">
        <f>+IF(DP$8 = 125, 1, SUM(_xlfn._xlws.FILTER(INDEX( DQ$9:DQ$50, MAX(  COUNT( DQ$9:DQ$50 ), 1)) : DQ$9, INDEX( DP$101:DP$142, MAX(  COUNT( DQ$9:DQ$50 ), 1)) : DP$101 &gt; 0)) / SUM(_xlfn._xlws.FILTER(INDEX( DP$9:DP$50, MAX(  COUNT( DQ$9:DQ$50 ), 1)) : DP$9, INDEX( DP$101:DP$142, MAX(  COUNT( DQ$9:DQ$50 ), 1)) : DP$101 &gt; 0)) )</f>
        <v>1.0017738164245442</v>
      </c>
      <c r="DQ148" s="8">
        <f>+IF(DQ$8 = 125, 1, SUM(_xlfn._xlws.FILTER(INDEX( DR$9:DR$50, MAX(  COUNT( DR$9:DR$50 ), 1)) : DR$9, INDEX( DQ$101:DQ$142, MAX(  COUNT( DR$9:DR$50 ), 1)) : DQ$101 &gt; 0)) / SUM(_xlfn._xlws.FILTER(INDEX( DQ$9:DQ$50, MAX(  COUNT( DR$9:DR$50 ), 1)) : DQ$9, INDEX( DQ$101:DQ$142, MAX(  COUNT( DR$9:DR$50 ), 1)) : DQ$101 &gt; 0)) )</f>
        <v>1.0009868809331604</v>
      </c>
      <c r="DR148" s="8">
        <f>+IF(DR$8 = 125, 1, SUM(_xlfn._xlws.FILTER(INDEX( DS$9:DS$50, MAX(  COUNT( DS$9:DS$50 ), 1)) : DS$9, INDEX( DR$101:DR$142, MAX(  COUNT( DS$9:DS$50 ), 1)) : DR$101 &gt; 0)) / SUM(_xlfn._xlws.FILTER(INDEX( DR$9:DR$50, MAX(  COUNT( DS$9:DS$50 ), 1)) : DR$9, INDEX( DR$101:DR$142, MAX(  COUNT( DS$9:DS$50 ), 1)) : DR$101 &gt; 0)) )</f>
        <v>1.0021350333481833</v>
      </c>
      <c r="DS148" s="8">
        <f>+IF(DS$8 = 125, 1, SUM(_xlfn._xlws.FILTER(INDEX( DT$9:DT$50, MAX(  COUNT( DT$9:DT$50 ), 1)) : DT$9, INDEX( DS$101:DS$142, MAX(  COUNT( DT$9:DT$50 ), 1)) : DS$101 &gt; 0)) / SUM(_xlfn._xlws.FILTER(INDEX( DS$9:DS$50, MAX(  COUNT( DT$9:DT$50 ), 1)) : DS$9, INDEX( DS$101:DS$142, MAX(  COUNT( DT$9:DT$50 ), 1)) : DS$101 &gt; 0)) )</f>
        <v>1.0042088404295531</v>
      </c>
      <c r="DT148" s="8">
        <f>+IF(DT$8 = 125, 1, SUM(_xlfn._xlws.FILTER(INDEX( DU$9:DU$50, MAX(  COUNT( DU$9:DU$50 ), 1)) : DU$9, INDEX( DT$101:DT$142, MAX(  COUNT( DU$9:DU$50 ), 1)) : DT$101 &gt; 0)) / SUM(_xlfn._xlws.FILTER(INDEX( DT$9:DT$50, MAX(  COUNT( DU$9:DU$50 ), 1)) : DT$9, INDEX( DT$101:DT$142, MAX(  COUNT( DU$9:DU$50 ), 1)) : DT$101 &gt; 0)) )</f>
        <v>1.0022411297730938</v>
      </c>
      <c r="DU148" s="8">
        <f>+IF(DU$8 = 125, 1, SUM(_xlfn._xlws.FILTER(INDEX( DV$9:DV$50, MAX(  COUNT( DV$9:DV$50 ), 1)) : DV$9, INDEX( DU$101:DU$142, MAX(  COUNT( DV$9:DV$50 ), 1)) : DU$101 &gt; 0)) / SUM(_xlfn._xlws.FILTER(INDEX( DU$9:DU$50, MAX(  COUNT( DV$9:DV$50 ), 1)) : DU$9, INDEX( DU$101:DU$142, MAX(  COUNT( DV$9:DV$50 ), 1)) : DU$101 &gt; 0)) )</f>
        <v>1.001405577912083</v>
      </c>
      <c r="DV148" s="8">
        <f>+IF(DV$8 = 125, 1, SUM(_xlfn._xlws.FILTER(INDEX( DW$9:DW$50, MAX(  COUNT( DW$9:DW$50 ), 1)) : DW$9, INDEX( DV$101:DV$142, MAX(  COUNT( DW$9:DW$50 ), 1)) : DV$101 &gt; 0)) / SUM(_xlfn._xlws.FILTER(INDEX( DV$9:DV$50, MAX(  COUNT( DW$9:DW$50 ), 1)) : DV$9, INDEX( DV$101:DV$142, MAX(  COUNT( DW$9:DW$50 ), 1)) : DV$101 &gt; 0)) )</f>
        <v>1.0030753771113994</v>
      </c>
      <c r="DW148" s="8">
        <f>+IF(DW$8 = 125, 1, SUM(_xlfn._xlws.FILTER(INDEX( DX$9:DX$50, MAX(  COUNT( DX$9:DX$50 ), 1)) : DX$9, INDEX( DW$101:DW$142, MAX(  COUNT( DX$9:DX$50 ), 1)) : DW$101 &gt; 0)) / SUM(_xlfn._xlws.FILTER(INDEX( DW$9:DW$50, MAX(  COUNT( DX$9:DX$50 ), 1)) : DW$9, INDEX( DW$101:DW$142, MAX(  COUNT( DX$9:DX$50 ), 1)) : DW$101 &gt; 0)) )</f>
        <v>1.0028858809348911</v>
      </c>
      <c r="DX148" s="8">
        <f>+IF(DX$8 = 125, 1, SUM(_xlfn._xlws.FILTER(INDEX( DY$9:DY$50, MAX(  COUNT( DY$9:DY$50 ), 1)) : DY$9, INDEX( DX$101:DX$142, MAX(  COUNT( DY$9:DY$50 ), 1)) : DX$101 &gt; 0)) / SUM(_xlfn._xlws.FILTER(INDEX( DX$9:DX$50, MAX(  COUNT( DY$9:DY$50 ), 1)) : DX$9, INDEX( DX$101:DX$142, MAX(  COUNT( DY$9:DY$50 ), 1)) : DX$101 &gt; 0)) )</f>
        <v>1.0038513805404945</v>
      </c>
      <c r="DY148" s="8">
        <f>+IF(DY$8 = 125, 1, SUM(_xlfn._xlws.FILTER(INDEX( DZ$9:DZ$50, MAX(  COUNT( DZ$9:DZ$50 ), 1)) : DZ$9, INDEX( DY$101:DY$142, MAX(  COUNT( DZ$9:DZ$50 ), 1)) : DY$101 &gt; 0)) / SUM(_xlfn._xlws.FILTER(INDEX( DY$9:DY$50, MAX(  COUNT( DZ$9:DZ$50 ), 1)) : DY$9, INDEX( DY$101:DY$142, MAX(  COUNT( DZ$9:DZ$50 ), 1)) : DY$101 &gt; 0)) )</f>
        <v>1.0045542200871611</v>
      </c>
      <c r="DZ148" s="8">
        <f>+IF(DZ$8 = 125, 1, SUM(_xlfn._xlws.FILTER(INDEX( EA$9:EA$50, MAX(  COUNT( EA$9:EA$50 ), 1)) : EA$9, INDEX( DZ$101:DZ$142, MAX(  COUNT( EA$9:EA$50 ), 1)) : DZ$101 &gt; 0)) / SUM(_xlfn._xlws.FILTER(INDEX( DZ$9:DZ$50, MAX(  COUNT( EA$9:EA$50 ), 1)) : DZ$9, INDEX( DZ$101:DZ$142, MAX(  COUNT( EA$9:EA$50 ), 1)) : DZ$101 &gt; 0)) )</f>
        <v>1.0041088153957449</v>
      </c>
      <c r="EA148" s="8">
        <f>+IF(EA$8 = 125, 1, SUM(_xlfn._xlws.FILTER(INDEX( EB$9:EB$50, MAX(  COUNT( EB$9:EB$50 ), 1)) : EB$9, INDEX( EA$101:EA$142, MAX(  COUNT( EB$9:EB$50 ), 1)) : EA$101 &gt; 0)) / SUM(_xlfn._xlws.FILTER(INDEX( EA$9:EA$50, MAX(  COUNT( EB$9:EB$50 ), 1)) : EA$9, INDEX( EA$101:EA$142, MAX(  COUNT( EB$9:EB$50 ), 1)) : EA$101 &gt; 0)) )</f>
        <v>1</v>
      </c>
      <c r="EB148" s="8">
        <f>+IF(EB$8 = 125, 1, SUM(_xlfn._xlws.FILTER(INDEX( EC$9:EC$50, MAX(  COUNT( EC$9:EC$50 ), 1)) : EC$9, INDEX( EB$101:EB$142, MAX(  COUNT( EC$9:EC$50 ), 1)) : EB$101 &gt; 0)) / SUM(_xlfn._xlws.FILTER(INDEX( EB$9:EB$50, MAX(  COUNT( EC$9:EC$50 ), 1)) : EB$9, INDEX( EB$101:EB$142, MAX(  COUNT( EC$9:EC$50 ), 1)) : EB$101 &gt; 0)) )</f>
        <v>2.8245487797066633</v>
      </c>
      <c r="EC148" s="8">
        <f>+IF(EC$8 = 125, 1, SUM(_xlfn._xlws.FILTER(INDEX( ED$9:ED$50, MAX(  COUNT( ED$9:ED$50 ), 1)) : ED$9, INDEX( EC$101:EC$142, MAX(  COUNT( ED$9:ED$50 ), 1)) : EC$101 &gt; 0)) / SUM(_xlfn._xlws.FILTER(INDEX( EC$9:EC$50, MAX(  COUNT( ED$9:ED$50 ), 1)) : EC$9, INDEX( EC$101:EC$142, MAX(  COUNT( ED$9:ED$50 ), 1)) : EC$101 &gt; 0)) )</f>
        <v>1.6442158998973377</v>
      </c>
      <c r="ED148" s="8">
        <f>+IF(ED$8 = 125, 1, SUM(_xlfn._xlws.FILTER(INDEX( EE$9:EE$50, MAX(  COUNT( EE$9:EE$50 ), 1)) : EE$9, INDEX( ED$101:ED$142, MAX(  COUNT( EE$9:EE$50 ), 1)) : ED$101 &gt; 0)) / SUM(_xlfn._xlws.FILTER(INDEX( ED$9:ED$50, MAX(  COUNT( EE$9:EE$50 ), 1)) : ED$9, INDEX( ED$101:ED$142, MAX(  COUNT( EE$9:EE$50 ), 1)) : ED$101 &gt; 0)) )</f>
        <v>1.2366336720067366</v>
      </c>
      <c r="EE148" s="8">
        <f>+IF(EE$8 = 125, 1, SUM(_xlfn._xlws.FILTER(INDEX( EF$9:EF$50, MAX(  COUNT( EF$9:EF$50 ), 1)) : EF$9, INDEX( EE$101:EE$142, MAX(  COUNT( EF$9:EF$50 ), 1)) : EE$101 &gt; 0)) / SUM(_xlfn._xlws.FILTER(INDEX( EE$9:EE$50, MAX(  COUNT( EF$9:EF$50 ), 1)) : EE$9, INDEX( EE$101:EE$142, MAX(  COUNT( EF$9:EF$50 ), 1)) : EE$101 &gt; 0)) )</f>
        <v>1.0289773772395576</v>
      </c>
      <c r="EF148" s="8">
        <f>+IF(EF$8 = 125, 1, SUM(_xlfn._xlws.FILTER(INDEX( EG$9:EG$50, MAX(  COUNT( EG$9:EG$50 ), 1)) : EG$9, INDEX( EF$101:EF$142, MAX(  COUNT( EG$9:EG$50 ), 1)) : EF$101 &gt; 0)) / SUM(_xlfn._xlws.FILTER(INDEX( EF$9:EF$50, MAX(  COUNT( EG$9:EG$50 ), 1)) : EF$9, INDEX( EF$101:EF$142, MAX(  COUNT( EG$9:EG$50 ), 1)) : EF$101 &gt; 0)) )</f>
        <v>1.0126486013592975</v>
      </c>
      <c r="EG148" s="8">
        <f>+IF(EG$8 = 125, 1, SUM(_xlfn._xlws.FILTER(INDEX( EH$9:EH$50, MAX(  COUNT( EH$9:EH$50 ), 1)) : EH$9, INDEX( EG$101:EG$142, MAX(  COUNT( EH$9:EH$50 ), 1)) : EG$101 &gt; 0)) / SUM(_xlfn._xlws.FILTER(INDEX( EG$9:EG$50, MAX(  COUNT( EH$9:EH$50 ), 1)) : EG$9, INDEX( EG$101:EG$142, MAX(  COUNT( EH$9:EH$50 ), 1)) : EG$101 &gt; 0)) )</f>
        <v>1.0073175712717348</v>
      </c>
      <c r="EH148" s="8">
        <f>+IF(EH$8 = 125, 1, SUM(_xlfn._xlws.FILTER(INDEX( EI$9:EI$50, MAX(  COUNT( EI$9:EI$50 ), 1)) : EI$9, INDEX( EH$101:EH$142, MAX(  COUNT( EI$9:EI$50 ), 1)) : EH$101 &gt; 0)) / SUM(_xlfn._xlws.FILTER(INDEX( EH$9:EH$50, MAX(  COUNT( EI$9:EI$50 ), 1)) : EH$9, INDEX( EH$101:EH$142, MAX(  COUNT( EI$9:EI$50 ), 1)) : EH$101 &gt; 0)) )</f>
        <v>1.0025802582488319</v>
      </c>
      <c r="EI148" s="8">
        <f>+IF(EI$8 = 125, 1, SUM(_xlfn._xlws.FILTER(INDEX( EJ$9:EJ$50, MAX(  COUNT( EJ$9:EJ$50 ), 1)) : EJ$9, INDEX( EI$101:EI$142, MAX(  COUNT( EJ$9:EJ$50 ), 1)) : EI$101 &gt; 0)) / SUM(_xlfn._xlws.FILTER(INDEX( EI$9:EI$50, MAX(  COUNT( EJ$9:EJ$50 ), 1)) : EI$9, INDEX( EI$101:EI$142, MAX(  COUNT( EJ$9:EJ$50 ), 1)) : EI$101 &gt; 0)) )</f>
        <v>0.99947407146239009</v>
      </c>
      <c r="EJ148" s="8">
        <f>+IF(EJ$8 = 125, 1, SUM(_xlfn._xlws.FILTER(INDEX( EK$9:EK$50, MAX(  COUNT( EK$9:EK$50 ), 1)) : EK$9, INDEX( EJ$101:EJ$142, MAX(  COUNT( EK$9:EK$50 ), 1)) : EJ$101 &gt; 0)) / SUM(_xlfn._xlws.FILTER(INDEX( EJ$9:EJ$50, MAX(  COUNT( EK$9:EK$50 ), 1)) : EJ$9, INDEX( EJ$101:EJ$142, MAX(  COUNT( EK$9:EK$50 ), 1)) : EJ$101 &gt; 0)) )</f>
        <v>1.001176235497828</v>
      </c>
      <c r="EK148" s="8">
        <f>+IF(EK$8 = 125, 1, SUM(_xlfn._xlws.FILTER(INDEX( EL$9:EL$50, MAX(  COUNT( EL$9:EL$50 ), 1)) : EL$9, INDEX( EK$101:EK$142, MAX(  COUNT( EL$9:EL$50 ), 1)) : EK$101 &gt; 0)) / SUM(_xlfn._xlws.FILTER(INDEX( EK$9:EK$50, MAX(  COUNT( EL$9:EL$50 ), 1)) : EK$9, INDEX( EK$101:EK$142, MAX(  COUNT( EL$9:EL$50 ), 1)) : EK$101 &gt; 0)) )</f>
        <v>1.0022676693081158</v>
      </c>
      <c r="EL148" s="8">
        <f>+IF(EL$8 = 125, 1, SUM(_xlfn._xlws.FILTER(INDEX( EM$9:EM$50, MAX(  COUNT( EM$9:EM$50 ), 1)) : EM$9, INDEX( EL$101:EL$142, MAX(  COUNT( EM$9:EM$50 ), 1)) : EL$101 &gt; 0)) / SUM(_xlfn._xlws.FILTER(INDEX( EL$9:EL$50, MAX(  COUNT( EM$9:EM$50 ), 1)) : EL$9, INDEX( EL$101:EL$142, MAX(  COUNT( EM$9:EM$50 ), 1)) : EL$101 &gt; 0)) )</f>
        <v>1.0009257184862121</v>
      </c>
      <c r="EM148" s="8">
        <f>+IF(EM$8 = 125, 1, SUM(_xlfn._xlws.FILTER(INDEX( EN$9:EN$50, MAX(  COUNT( EN$9:EN$50 ), 1)) : EN$9, INDEX( EM$101:EM$142, MAX(  COUNT( EN$9:EN$50 ), 1)) : EM$101 &gt; 0)) / SUM(_xlfn._xlws.FILTER(INDEX( EM$9:EM$50, MAX(  COUNT( EN$9:EN$50 ), 1)) : EM$9, INDEX( EM$101:EM$142, MAX(  COUNT( EN$9:EN$50 ), 1)) : EM$101 &gt; 0)) )</f>
        <v>1.0046120208844256</v>
      </c>
      <c r="EN148" s="8">
        <f>+IF(EN$8 = 125, 1, SUM(_xlfn._xlws.FILTER(INDEX( EO$9:EO$50, MAX(  COUNT( EO$9:EO$50 ), 1)) : EO$9, INDEX( EN$101:EN$142, MAX(  COUNT( EO$9:EO$50 ), 1)) : EN$101 &gt; 0)) / SUM(_xlfn._xlws.FILTER(INDEX( EN$9:EN$50, MAX(  COUNT( EO$9:EO$50 ), 1)) : EN$9, INDEX( EN$101:EN$142, MAX(  COUNT( EO$9:EO$50 ), 1)) : EN$101 &gt; 0)) )</f>
        <v>0.99801619367610628</v>
      </c>
      <c r="EO148" s="8">
        <f>+IF(EO$8 = 125, 1, SUM(_xlfn._xlws.FILTER(INDEX( EP$9:EP$50, MAX(  COUNT( EP$9:EP$50 ), 1)) : EP$9, INDEX( EO$101:EO$142, MAX(  COUNT( EP$9:EP$50 ), 1)) : EO$101 &gt; 0)) / SUM(_xlfn._xlws.FILTER(INDEX( EO$9:EO$50, MAX(  COUNT( EP$9:EP$50 ), 1)) : EO$9, INDEX( EO$101:EO$142, MAX(  COUNT( EP$9:EP$50 ), 1)) : EO$101 &gt; 0)) )</f>
        <v>1.0014137507998702</v>
      </c>
      <c r="EP148" s="8">
        <f>+IF(EP$8 = 125, 1, SUM(_xlfn._xlws.FILTER(INDEX( EQ$9:EQ$50, MAX(  COUNT( EQ$9:EQ$50 ), 1)) : EQ$9, INDEX( EP$101:EP$142, MAX(  COUNT( EQ$9:EQ$50 ), 1)) : EP$101 &gt; 0)) / SUM(_xlfn._xlws.FILTER(INDEX( EP$9:EP$50, MAX(  COUNT( EQ$9:EQ$50 ), 1)) : EP$9, INDEX( EP$101:EP$142, MAX(  COUNT( EQ$9:EQ$50 ), 1)) : EP$101 &gt; 0)) )</f>
        <v>1.0003896218258652</v>
      </c>
      <c r="EQ148" s="8">
        <f>+IF(EQ$8 = 125, 1, SUM(_xlfn._xlws.FILTER(INDEX( ER$9:ER$50, MAX(  COUNT( ER$9:ER$50 ), 1)) : ER$9, INDEX( EQ$101:EQ$142, MAX(  COUNT( ER$9:ER$50 ), 1)) : EQ$101 &gt; 0)) / SUM(_xlfn._xlws.FILTER(INDEX( EQ$9:EQ$50, MAX(  COUNT( ER$9:ER$50 ), 1)) : EQ$9, INDEX( EQ$101:EQ$142, MAX(  COUNT( ER$9:ER$50 ), 1)) : EQ$101 &gt; 0)) )</f>
        <v>0.99888010723690823</v>
      </c>
      <c r="ER148" s="8">
        <f>+IF(ER$8 = 125, 1, SUM(_xlfn._xlws.FILTER(INDEX( ES$9:ES$50, MAX(  COUNT( ES$9:ES$50 ), 1)) : ES$9, INDEX( ER$101:ER$142, MAX(  COUNT( ES$9:ES$50 ), 1)) : ER$101 &gt; 0)) / SUM(_xlfn._xlws.FILTER(INDEX( ER$9:ER$50, MAX(  COUNT( ES$9:ES$50 ), 1)) : ER$9, INDEX( ER$101:ER$142, MAX(  COUNT( ES$9:ES$50 ), 1)) : ER$101 &gt; 0)) )</f>
        <v>1.0017700645856593</v>
      </c>
      <c r="ES148" s="8">
        <f>+IF(ES$8 = 125, 1, SUM(_xlfn._xlws.FILTER(INDEX( ET$9:ET$50, MAX(  COUNT( ET$9:ET$50 ), 1)) : ET$9, INDEX( ES$101:ES$142, MAX(  COUNT( ET$9:ET$50 ), 1)) : ES$101 &gt; 0)) / SUM(_xlfn._xlws.FILTER(INDEX( ES$9:ES$50, MAX(  COUNT( ET$9:ET$50 ), 1)) : ES$9, INDEX( ES$101:ES$142, MAX(  COUNT( ET$9:ET$50 ), 1)) : ES$101 &gt; 0)) )</f>
        <v>1.000892298602152</v>
      </c>
      <c r="ET148" s="8">
        <f>+IF(ET$8 = 125, 1, SUM(_xlfn._xlws.FILTER(INDEX( EU$9:EU$50, MAX(  COUNT( EU$9:EU$50 ), 1)) : EU$9, INDEX( ET$101:ET$142, MAX(  COUNT( EU$9:EU$50 ), 1)) : ET$101 &gt; 0)) / SUM(_xlfn._xlws.FILTER(INDEX( ET$9:ET$50, MAX(  COUNT( EU$9:EU$50 ), 1)) : ET$9, INDEX( ET$101:ET$142, MAX(  COUNT( EU$9:EU$50 ), 1)) : ET$101 &gt; 0)) )</f>
        <v>1.0002626433076747</v>
      </c>
      <c r="EU148" s="8">
        <f>+IF(EU$8 = 125, 1, SUM(_xlfn._xlws.FILTER(INDEX( EV$9:EV$50, MAX(  COUNT( EV$9:EV$50 ), 1)) : EV$9, INDEX( EU$101:EU$142, MAX(  COUNT( EV$9:EV$50 ), 1)) : EU$101 &gt; 0)) / SUM(_xlfn._xlws.FILTER(INDEX( EU$9:EU$50, MAX(  COUNT( EV$9:EV$50 ), 1)) : EU$9, INDEX( EU$101:EU$142, MAX(  COUNT( EV$9:EV$50 ), 1)) : EU$101 &gt; 0)) )</f>
        <v>1.0005026284366898</v>
      </c>
      <c r="EV148" s="8">
        <f>+IF(EV$8 = 125, 1, SUM(_xlfn._xlws.FILTER(INDEX( EW$9:EW$50, MAX(  COUNT( EW$9:EW$50 ), 1)) : EW$9, INDEX( EV$101:EV$142, MAX(  COUNT( EW$9:EW$50 ), 1)) : EV$101 &gt; 0)) / SUM(_xlfn._xlws.FILTER(INDEX( EV$9:EV$50, MAX(  COUNT( EW$9:EW$50 ), 1)) : EV$9, INDEX( EV$101:EV$142, MAX(  COUNT( EW$9:EW$50 ), 1)) : EV$101 &gt; 0)) )</f>
        <v>1.0021733376381863</v>
      </c>
      <c r="EW148" s="8">
        <f>+IF(EW$8 = 125, 1, SUM(_xlfn._xlws.FILTER(INDEX( EX$9:EX$50, MAX(  COUNT( EX$9:EX$50 ), 1)) : EX$9, INDEX( EW$101:EW$142, MAX(  COUNT( EX$9:EX$50 ), 1)) : EW$101 &gt; 0)) / SUM(_xlfn._xlws.FILTER(INDEX( EW$9:EW$50, MAX(  COUNT( EX$9:EX$50 ), 1)) : EW$9, INDEX( EW$101:EW$142, MAX(  COUNT( EX$9:EX$50 ), 1)) : EW$101 &gt; 0)) )</f>
        <v>1.0005626530292324</v>
      </c>
      <c r="EX148" s="8">
        <f>+IF(EX$8 = 125, 1, SUM(_xlfn._xlws.FILTER(INDEX( EY$9:EY$50, MAX(  COUNT( EY$9:EY$50 ), 1)) : EY$9, INDEX( EX$101:EX$142, MAX(  COUNT( EY$9:EY$50 ), 1)) : EX$101 &gt; 0)) / SUM(_xlfn._xlws.FILTER(INDEX( EX$9:EX$50, MAX(  COUNT( EY$9:EY$50 ), 1)) : EX$9, INDEX( EX$101:EX$142, MAX(  COUNT( EY$9:EY$50 ), 1)) : EX$101 &gt; 0)) )</f>
        <v>0.99997271628722417</v>
      </c>
      <c r="EY148" s="8">
        <f>+IF(EY$8 = 125, 1, SUM(_xlfn._xlws.FILTER(INDEX( EZ$9:EZ$50, MAX(  COUNT( EZ$9:EZ$50 ), 1)) : EZ$9, INDEX( EY$101:EY$142, MAX(  COUNT( EZ$9:EZ$50 ), 1)) : EY$101 &gt; 0)) / SUM(_xlfn._xlws.FILTER(INDEX( EY$9:EY$50, MAX(  COUNT( EZ$9:EZ$50 ), 1)) : EY$9, INDEX( EY$101:EY$142, MAX(  COUNT( EZ$9:EZ$50 ), 1)) : EY$101 &gt; 0)) )</f>
        <v>1.0004959082672504</v>
      </c>
      <c r="EZ148" s="8">
        <f>+IF(EZ$8 = 125, 1, SUM(_xlfn._xlws.FILTER(INDEX( FA$9:FA$50, MAX(  COUNT( FA$9:FA$50 ), 1)) : FA$9, INDEX( EZ$101:EZ$142, MAX(  COUNT( FA$9:FA$50 ), 1)) : EZ$101 &gt; 0)) / SUM(_xlfn._xlws.FILTER(INDEX( EZ$9:EZ$50, MAX(  COUNT( FA$9:FA$50 ), 1)) : EZ$9, INDEX( EZ$101:EZ$142, MAX(  COUNT( FA$9:FA$50 ), 1)) : EZ$101 &gt; 0)) )</f>
        <v>1.0005505825978249</v>
      </c>
      <c r="FA148" s="8">
        <f>+IF(FA$8 = 125, 1, SUM(_xlfn._xlws.FILTER(INDEX( FB$9:FB$50, MAX(  COUNT( FB$9:FB$50 ), 1)) : FB$9, INDEX( FA$101:FA$142, MAX(  COUNT( FB$9:FB$50 ), 1)) : FA$101 &gt; 0)) / SUM(_xlfn._xlws.FILTER(INDEX( FA$9:FA$50, MAX(  COUNT( FB$9:FB$50 ), 1)) : FA$9, INDEX( FA$101:FA$142, MAX(  COUNT( FB$9:FB$50 ), 1)) : FA$101 &gt; 0)) )</f>
        <v>1.0019080532447906</v>
      </c>
      <c r="FB148" s="8">
        <f>+IF(FB$8 = 125, 1, SUM(_xlfn._xlws.FILTER(INDEX( FC$9:FC$50, MAX(  COUNT( FC$9:FC$50 ), 1)) : FC$9, INDEX( FB$101:FB$142, MAX(  COUNT( FC$9:FC$50 ), 1)) : FB$101 &gt; 0)) / SUM(_xlfn._xlws.FILTER(INDEX( FB$9:FB$50, MAX(  COUNT( FC$9:FC$50 ), 1)) : FB$9, INDEX( FB$101:FB$142, MAX(  COUNT( FC$9:FC$50 ), 1)) : FB$101 &gt; 0)) )</f>
        <v>0.99868684616529968</v>
      </c>
      <c r="FC148" s="8">
        <f>+IF(FC$8 = 125, 1, SUM(_xlfn._xlws.FILTER(INDEX( FD$9:FD$50, MAX(  COUNT( FD$9:FD$50 ), 1)) : FD$9, INDEX( FC$101:FC$142, MAX(  COUNT( FD$9:FD$50 ), 1)) : FC$101 &gt; 0)) / SUM(_xlfn._xlws.FILTER(INDEX( FC$9:FC$50, MAX(  COUNT( FD$9:FD$50 ), 1)) : FC$9, INDEX( FC$101:FC$142, MAX(  COUNT( FD$9:FD$50 ), 1)) : FC$101 &gt; 0)) )</f>
        <v>1.0002761661761046</v>
      </c>
      <c r="FD148" s="8">
        <f>+IF(FD$8 = 125, 1, SUM(_xlfn._xlws.FILTER(INDEX( FE$9:FE$50, MAX(  COUNT( FE$9:FE$50 ), 1)) : FE$9, INDEX( FD$101:FD$142, MAX(  COUNT( FE$9:FE$50 ), 1)) : FD$101 &gt; 0)) / SUM(_xlfn._xlws.FILTER(INDEX( FD$9:FD$50, MAX(  COUNT( FE$9:FE$50 ), 1)) : FD$9, INDEX( FD$101:FD$142, MAX(  COUNT( FE$9:FE$50 ), 1)) : FD$101 &gt; 0)) )</f>
        <v>1.0025848349007926</v>
      </c>
      <c r="FE148" s="8">
        <f>+IF(FE$8 = 125, 1, SUM(_xlfn._xlws.FILTER(INDEX( FF$9:FF$50, MAX(  COUNT( FF$9:FF$50 ), 1)) : FF$9, INDEX( FE$101:FE$142, MAX(  COUNT( FF$9:FF$50 ), 1)) : FE$101 &gt; 0)) / SUM(_xlfn._xlws.FILTER(INDEX( FE$9:FE$50, MAX(  COUNT( FF$9:FF$50 ), 1)) : FE$9, INDEX( FE$101:FE$142, MAX(  COUNT( FF$9:FF$50 ), 1)) : FE$101 &gt; 0)) )</f>
        <v>1.0034834032012823</v>
      </c>
      <c r="FF148" s="8">
        <f>+IF(FF$8 = 125, 1, SUM(_xlfn._xlws.FILTER(INDEX( FG$9:FG$50, MAX(  COUNT( FG$9:FG$50 ), 1)) : FG$9, INDEX( FF$101:FF$142, MAX(  COUNT( FG$9:FG$50 ), 1)) : FF$101 &gt; 0)) / SUM(_xlfn._xlws.FILTER(INDEX( FF$9:FF$50, MAX(  COUNT( FG$9:FG$50 ), 1)) : FF$9, INDEX( FF$101:FF$142, MAX(  COUNT( FG$9:FG$50 ), 1)) : FF$101 &gt; 0)) )</f>
        <v>0.99932590582755687</v>
      </c>
      <c r="FG148" s="8">
        <f>+IF(FG$8 = 125, 1, SUM(_xlfn._xlws.FILTER(INDEX( FH$9:FH$50, MAX(  COUNT( FH$9:FH$50 ), 1)) : FH$9, INDEX( FG$101:FG$142, MAX(  COUNT( FH$9:FH$50 ), 1)) : FG$101 &gt; 0)) / SUM(_xlfn._xlws.FILTER(INDEX( FG$9:FG$50, MAX(  COUNT( FH$9:FH$50 ), 1)) : FG$9, INDEX( FG$101:FG$142, MAX(  COUNT( FH$9:FH$50 ), 1)) : FG$101 &gt; 0)) )</f>
        <v>1.0011894804690482</v>
      </c>
      <c r="FH148" s="8">
        <f>+IF(FH$8 = 125, 1, SUM(_xlfn._xlws.FILTER(INDEX( FI$9:FI$50, MAX(  COUNT( FI$9:FI$50 ), 1)) : FI$9, INDEX( FH$101:FH$142, MAX(  COUNT( FI$9:FI$50 ), 1)) : FH$101 &gt; 0)) / SUM(_xlfn._xlws.FILTER(INDEX( FH$9:FH$50, MAX(  COUNT( FI$9:FI$50 ), 1)) : FH$9, INDEX( FH$101:FH$142, MAX(  COUNT( FI$9:FI$50 ), 1)) : FH$101 &gt; 0)) )</f>
        <v>1.0006077039033199</v>
      </c>
      <c r="FI148" s="8">
        <f>+IF(FI$8 = 125, 1, SUM(_xlfn._xlws.FILTER(INDEX( FJ$9:FJ$50, MAX(  COUNT( FJ$9:FJ$50 ), 1)) : FJ$9, INDEX( FI$101:FI$142, MAX(  COUNT( FJ$9:FJ$50 ), 1)) : FI$101 &gt; 0)) / SUM(_xlfn._xlws.FILTER(INDEX( FI$9:FI$50, MAX(  COUNT( FJ$9:FJ$50 ), 1)) : FI$9, INDEX( FI$101:FI$142, MAX(  COUNT( FJ$9:FJ$50 ), 1)) : FI$101 &gt; 0)) )</f>
        <v>1.0017939688639568</v>
      </c>
      <c r="FJ148" s="8">
        <f>+IF(FJ$8 = 125, 1, SUM(_xlfn._xlws.FILTER(INDEX( FK$9:FK$50, MAX(  COUNT( FK$9:FK$50 ), 1)) : FK$9, INDEX( FJ$101:FJ$142, MAX(  COUNT( FK$9:FK$50 ), 1)) : FJ$101 &gt; 0)) / SUM(_xlfn._xlws.FILTER(INDEX( FJ$9:FJ$50, MAX(  COUNT( FK$9:FK$50 ), 1)) : FJ$9, INDEX( FJ$101:FJ$142, MAX(  COUNT( FK$9:FK$50 ), 1)) : FJ$101 &gt; 0)) )</f>
        <v>1.0007828229686015</v>
      </c>
      <c r="FK148" s="8">
        <f>+IF(FK$8 = 125, 1, SUM(_xlfn._xlws.FILTER(INDEX( FL$9:FL$50, MAX(  COUNT( FL$9:FL$50 ), 1)) : FL$9, INDEX( FK$101:FK$142, MAX(  COUNT( FL$9:FL$50 ), 1)) : FK$101 &gt; 0)) / SUM(_xlfn._xlws.FILTER(INDEX( FK$9:FK$50, MAX(  COUNT( FL$9:FL$50 ), 1)) : FK$9, INDEX( FK$101:FK$142, MAX(  COUNT( FL$9:FL$50 ), 1)) : FK$101 &gt; 0)) )</f>
        <v>0.9981002445882009</v>
      </c>
      <c r="FL148" s="8">
        <f>+IF(FL$8 = 125, 1, SUM(_xlfn._xlws.FILTER(INDEX( FM$9:FM$50, MAX(  COUNT( FM$9:FM$50 ), 1)) : FM$9, INDEX( FL$101:FL$142, MAX(  COUNT( FM$9:FM$50 ), 1)) : FL$101 &gt; 0)) / SUM(_xlfn._xlws.FILTER(INDEX( FL$9:FL$50, MAX(  COUNT( FM$9:FM$50 ), 1)) : FL$9, INDEX( FL$101:FL$142, MAX(  COUNT( FM$9:FM$50 ), 1)) : FL$101 &gt; 0)) )</f>
        <v>1.0015467319360574</v>
      </c>
      <c r="FM148" s="8">
        <f>+IF(FM$8 = 125, 1, SUM(_xlfn._xlws.FILTER(INDEX( FN$9:FN$50, MAX(  COUNT( FN$9:FN$50 ), 1)) : FN$9, INDEX( FM$101:FM$142, MAX(  COUNT( FN$9:FN$50 ), 1)) : FM$101 &gt; 0)) / SUM(_xlfn._xlws.FILTER(INDEX( FM$9:FM$50, MAX(  COUNT( FN$9:FN$50 ), 1)) : FM$9, INDEX( FM$101:FM$142, MAX(  COUNT( FN$9:FN$50 ), 1)) : FM$101 &gt; 0)) )</f>
        <v>1.0003463295366235</v>
      </c>
      <c r="FN148" s="8">
        <f>+IF(FN$8 = 125, 1, SUM(_xlfn._xlws.FILTER(INDEX( FO$9:FO$50, MAX(  COUNT( FO$9:FO$50 ), 1)) : FO$9, INDEX( FN$101:FN$142, MAX(  COUNT( FO$9:FO$50 ), 1)) : FN$101 &gt; 0)) / SUM(_xlfn._xlws.FILTER(INDEX( FN$9:FN$50, MAX(  COUNT( FO$9:FO$50 ), 1)) : FN$9, INDEX( FN$101:FN$142, MAX(  COUNT( FO$9:FO$50 ), 1)) : FN$101 &gt; 0)) )</f>
        <v>1.0015664284539847</v>
      </c>
      <c r="FO148" s="8">
        <f>+IF(FO$8 = 125, 1, SUM(_xlfn._xlws.FILTER(INDEX( FP$9:FP$50, MAX(  COUNT( FP$9:FP$50 ), 1)) : FP$9, INDEX( FO$101:FO$142, MAX(  COUNT( FP$9:FP$50 ), 1)) : FO$101 &gt; 0)) / SUM(_xlfn._xlws.FILTER(INDEX( FO$9:FO$50, MAX(  COUNT( FP$9:FP$50 ), 1)) : FO$9, INDEX( FO$101:FO$142, MAX(  COUNT( FP$9:FP$50 ), 1)) : FO$101 &gt; 0)) )</f>
        <v>1.0028789712311126</v>
      </c>
      <c r="FP148" s="8">
        <f>+IF(FP$8 = 125, 1, SUM(_xlfn._xlws.FILTER(INDEX( FQ$9:FQ$50, MAX(  COUNT( FQ$9:FQ$50 ), 1)) : FQ$9, INDEX( FP$101:FP$142, MAX(  COUNT( FQ$9:FQ$50 ), 1)) : FP$101 &gt; 0)) / SUM(_xlfn._xlws.FILTER(INDEX( FP$9:FP$50, MAX(  COUNT( FQ$9:FQ$50 ), 1)) : FP$9, INDEX( FP$101:FP$142, MAX(  COUNT( FQ$9:FQ$50 ), 1)) : FP$101 &gt; 0)) )</f>
        <v>1.0008109250795238</v>
      </c>
      <c r="FQ148" s="8">
        <f>+IF(FQ$8 = 125, 1, SUM(_xlfn._xlws.FILTER(INDEX( FR$9:FR$50, MAX(  COUNT( FR$9:FR$50 ), 1)) : FR$9, INDEX( FQ$101:FQ$142, MAX(  COUNT( FR$9:FR$50 ), 1)) : FQ$101 &gt; 0)) / SUM(_xlfn._xlws.FILTER(INDEX( FQ$9:FQ$50, MAX(  COUNT( FR$9:FR$50 ), 1)) : FQ$9, INDEX( FQ$101:FQ$142, MAX(  COUNT( FR$9:FR$50 ), 1)) : FQ$101 &gt; 0)) )</f>
        <v>0.99976145341801359</v>
      </c>
      <c r="FR148" s="8">
        <f>+IF(FR$8 = 125, 1, SUM(_xlfn._xlws.FILTER(INDEX( FS$9:FS$50, MAX(  COUNT( FS$9:FS$50 ), 1)) : FS$9, INDEX( FR$101:FR$142, MAX(  COUNT( FS$9:FS$50 ), 1)) : FR$101 &gt; 0)) / SUM(_xlfn._xlws.FILTER(INDEX( FR$9:FR$50, MAX(  COUNT( FS$9:FS$50 ), 1)) : FR$9, INDEX( FR$101:FR$142, MAX(  COUNT( FS$9:FS$50 ), 1)) : FR$101 &gt; 0)) )</f>
        <v>1.0000991077085313</v>
      </c>
      <c r="FS148" s="8">
        <f>+IF(FS$8 = 125, 1, SUM(_xlfn._xlws.FILTER(INDEX( FT$9:FT$50, MAX(  COUNT( FT$9:FT$50 ), 1)) : FT$9, INDEX( FS$101:FS$142, MAX(  COUNT( FT$9:FT$50 ), 1)) : FS$101 &gt; 0)) / SUM(_xlfn._xlws.FILTER(INDEX( FS$9:FS$50, MAX(  COUNT( FT$9:FT$50 ), 1)) : FS$9, INDEX( FS$101:FS$142, MAX(  COUNT( FT$9:FT$50 ), 1)) : FS$101 &gt; 0)) )</f>
        <v>1.0009573537058007</v>
      </c>
      <c r="FT148" s="8">
        <f>+IF(FT$8 = 125, 1, SUM(_xlfn._xlws.FILTER(INDEX( FU$9:FU$50, MAX(  COUNT( FU$9:FU$50 ), 1)) : FU$9, INDEX( FT$101:FT$142, MAX(  COUNT( FU$9:FU$50 ), 1)) : FT$101 &gt; 0)) / SUM(_xlfn._xlws.FILTER(INDEX( FT$9:FT$50, MAX(  COUNT( FU$9:FU$50 ), 1)) : FT$9, INDEX( FT$101:FT$142, MAX(  COUNT( FU$9:FU$50 ), 1)) : FT$101 &gt; 0)) )</f>
        <v>1.0003661565715207</v>
      </c>
      <c r="FU148" s="8">
        <f>+IF(FU$8 = 125, 1, SUM(_xlfn._xlws.FILTER(INDEX( FV$9:FV$50, MAX(  COUNT( FV$9:FV$50 ), 1)) : FV$9, INDEX( FU$101:FU$142, MAX(  COUNT( FV$9:FV$50 ), 1)) : FU$101 &gt; 0)) / SUM(_xlfn._xlws.FILTER(INDEX( FU$9:FU$50, MAX(  COUNT( FV$9:FV$50 ), 1)) : FU$9, INDEX( FU$101:FU$142, MAX(  COUNT( FV$9:FV$50 ), 1)) : FU$101 &gt; 0)) )</f>
        <v>0.99933155892111503</v>
      </c>
      <c r="FV148" s="8">
        <f>+IF(FV$8 = 125, 1, SUM(_xlfn._xlws.FILTER(INDEX( FW$9:FW$50, MAX(  COUNT( FW$9:FW$50 ), 1)) : FW$9, INDEX( FV$101:FV$142, MAX(  COUNT( FW$9:FW$50 ), 1)) : FV$101 &gt; 0)) / SUM(_xlfn._xlws.FILTER(INDEX( FV$9:FV$50, MAX(  COUNT( FW$9:FW$50 ), 1)) : FV$9, INDEX( FV$101:FV$142, MAX(  COUNT( FW$9:FW$50 ), 1)) : FV$101 &gt; 0)) )</f>
        <v>1.0011052592608021</v>
      </c>
      <c r="FW148" s="8">
        <f>+IF(FW$8 = 125, 1, SUM(_xlfn._xlws.FILTER(INDEX( FX$9:FX$50, MAX(  COUNT( FX$9:FX$50 ), 1)) : FX$9, INDEX( FW$101:FW$142, MAX(  COUNT( FX$9:FX$50 ), 1)) : FW$101 &gt; 0)) / SUM(_xlfn._xlws.FILTER(INDEX( FW$9:FW$50, MAX(  COUNT( FX$9:FX$50 ), 1)) : FW$9, INDEX( FW$101:FW$142, MAX(  COUNT( FX$9:FX$50 ), 1)) : FW$101 &gt; 0)) )</f>
        <v>1.0007907547621302</v>
      </c>
      <c r="FX148" s="8">
        <f>+IF(FX$8 = 125, 1, SUM(_xlfn._xlws.FILTER(INDEX( FY$9:FY$50, MAX(  COUNT( FY$9:FY$50 ), 1)) : FY$9, INDEX( FX$101:FX$142, MAX(  COUNT( FY$9:FY$50 ), 1)) : FX$101 &gt; 0)) / SUM(_xlfn._xlws.FILTER(INDEX( FX$9:FX$50, MAX(  COUNT( FY$9:FY$50 ), 1)) : FX$9, INDEX( FX$101:FX$142, MAX(  COUNT( FY$9:FY$50 ), 1)) : FX$101 &gt; 0)) )</f>
        <v>1.0003182033117255</v>
      </c>
      <c r="FY148" s="8">
        <f>+IF(FY$8 = 125, 1, SUM(_xlfn._xlws.FILTER(INDEX( FZ$9:FZ$50, MAX(  COUNT( FZ$9:FZ$50 ), 1)) : FZ$9, INDEX( FY$101:FY$142, MAX(  COUNT( FZ$9:FZ$50 ), 1)) : FY$101 &gt; 0)) / SUM(_xlfn._xlws.FILTER(INDEX( FY$9:FY$50, MAX(  COUNT( FZ$9:FZ$50 ), 1)) : FY$9, INDEX( FY$101:FY$142, MAX(  COUNT( FZ$9:FZ$50 ), 1)) : FY$101 &gt; 0)) )</f>
        <v>0.99973369533130352</v>
      </c>
      <c r="FZ148" s="8">
        <f>+IF(FZ$8 = 125, 1, SUM(_xlfn._xlws.FILTER(INDEX( GA$9:GA$50, MAX(  COUNT( GA$9:GA$50 ), 1)) : GA$9, INDEX( FZ$101:FZ$142, MAX(  COUNT( GA$9:GA$50 ), 1)) : FZ$101 &gt; 0)) / SUM(_xlfn._xlws.FILTER(INDEX( FZ$9:FZ$50, MAX(  COUNT( GA$9:GA$50 ), 1)) : FZ$9, INDEX( FZ$101:FZ$142, MAX(  COUNT( GA$9:GA$50 ), 1)) : FZ$101 &gt; 0)) )</f>
        <v>1.0033835998333296</v>
      </c>
      <c r="GA148" s="8">
        <f>+IF(GA$8 = 125, 1, SUM(_xlfn._xlws.FILTER(INDEX( GB$9:GB$50, MAX(  COUNT( GB$9:GB$50 ), 1)) : GB$9, INDEX( GA$101:GA$142, MAX(  COUNT( GB$9:GB$50 ), 1)) : GA$101 &gt; 0)) / SUM(_xlfn._xlws.FILTER(INDEX( GA$9:GA$50, MAX(  COUNT( GB$9:GB$50 ), 1)) : GA$9, INDEX( GA$101:GA$142, MAX(  COUNT( GB$9:GB$50 ), 1)) : GA$101 &gt; 0)) )</f>
        <v>1.0008011260471752</v>
      </c>
      <c r="GB148" s="8">
        <f>+IF(GB$8 = 125, 1, SUM(_xlfn._xlws.FILTER(INDEX( GC$9:GC$50, MAX(  COUNT( GC$9:GC$50 ), 1)) : GC$9, INDEX( GB$101:GB$142, MAX(  COUNT( GC$9:GC$50 ), 1)) : GB$101 &gt; 0)) / SUM(_xlfn._xlws.FILTER(INDEX( GB$9:GB$50, MAX(  COUNT( GC$9:GC$50 ), 1)) : GB$9, INDEX( GB$101:GB$142, MAX(  COUNT( GC$9:GC$50 ), 1)) : GB$101 &gt; 0)) )</f>
        <v>0.9999139802661422</v>
      </c>
      <c r="GC148" s="8">
        <f>+IF(GC$8 = 125, 1, SUM(_xlfn._xlws.FILTER(INDEX( GD$9:GD$50, MAX(  COUNT( GD$9:GD$50 ), 1)) : GD$9, INDEX( GC$101:GC$142, MAX(  COUNT( GD$9:GD$50 ), 1)) : GC$101 &gt; 0)) / SUM(_xlfn._xlws.FILTER(INDEX( GC$9:GC$50, MAX(  COUNT( GD$9:GD$50 ), 1)) : GC$9, INDEX( GC$101:GC$142, MAX(  COUNT( GD$9:GD$50 ), 1)) : GC$101 &gt; 0)) )</f>
        <v>1.0019661950456626</v>
      </c>
      <c r="GD148" s="8">
        <f>+IF(GD$8 = 125, 1, SUM(_xlfn._xlws.FILTER(INDEX( GE$9:GE$50, MAX(  COUNT( GE$9:GE$50 ), 1)) : GE$9, INDEX( GD$101:GD$142, MAX(  COUNT( GE$9:GE$50 ), 1)) : GD$101 &gt; 0)) / SUM(_xlfn._xlws.FILTER(INDEX( GD$9:GD$50, MAX(  COUNT( GE$9:GE$50 ), 1)) : GD$9, INDEX( GD$101:GD$142, MAX(  COUNT( GE$9:GE$50 ), 1)) : GD$101 &gt; 0)) )</f>
        <v>1.0009846771495732</v>
      </c>
      <c r="GE148" s="8">
        <f>+IF(GE$8 = 125, 1, SUM(_xlfn._xlws.FILTER(INDEX( GF$9:GF$50, MAX(  COUNT( GF$9:GF$50 ), 1)) : GF$9, INDEX( GE$101:GE$142, MAX(  COUNT( GF$9:GF$50 ), 1)) : GE$101 &gt; 0)) / SUM(_xlfn._xlws.FILTER(INDEX( GE$9:GE$50, MAX(  COUNT( GF$9:GF$50 ), 1)) : GE$9, INDEX( GE$101:GE$142, MAX(  COUNT( GF$9:GF$50 ), 1)) : GE$101 &gt; 0)) )</f>
        <v>1.0004964652662052</v>
      </c>
      <c r="GF148" s="8">
        <f>+IF(GF$8 = 125, 1, SUM(_xlfn._xlws.FILTER(INDEX( GG$9:GG$50, MAX(  COUNT( GG$9:GG$50 ), 1)) : GG$9, INDEX( GF$101:GF$142, MAX(  COUNT( GG$9:GG$50 ), 1)) : GF$101 &gt; 0)) / SUM(_xlfn._xlws.FILTER(INDEX( GF$9:GF$50, MAX(  COUNT( GG$9:GG$50 ), 1)) : GF$9, INDEX( GF$101:GF$142, MAX(  COUNT( GG$9:GG$50 ), 1)) : GF$101 &gt; 0)) )</f>
        <v>1.0023245312231708</v>
      </c>
      <c r="GG148" s="8">
        <f>+IF(GG$8 = 125, 1, SUM(_xlfn._xlws.FILTER(INDEX( GH$9:GH$50, MAX(  COUNT( GH$9:GH$50 ), 1)) : GH$9, INDEX( GG$101:GG$142, MAX(  COUNT( GH$9:GH$50 ), 1)) : GG$101 &gt; 0)) / SUM(_xlfn._xlws.FILTER(INDEX( GG$9:GG$50, MAX(  COUNT( GH$9:GH$50 ), 1)) : GG$9, INDEX( GG$101:GG$142, MAX(  COUNT( GH$9:GH$50 ), 1)) : GG$101 &gt; 0)) )</f>
        <v>1.0018887623984314</v>
      </c>
      <c r="GH148" s="8">
        <f>+IF(GH$8 = 125, 1, SUM(_xlfn._xlws.FILTER(INDEX( GI$9:GI$50, MAX(  COUNT( GI$9:GI$50 ), 1)) : GI$9, INDEX( GH$101:GH$142, MAX(  COUNT( GI$9:GI$50 ), 1)) : GH$101 &gt; 0)) / SUM(_xlfn._xlws.FILTER(INDEX( GH$9:GH$50, MAX(  COUNT( GI$9:GI$50 ), 1)) : GH$9, INDEX( GH$101:GH$142, MAX(  COUNT( GI$9:GI$50 ), 1)) : GH$101 &gt; 0)) )</f>
        <v>0.99736526230142142</v>
      </c>
      <c r="GI148" s="8">
        <f>+IF(GI$8 = 125, 1, SUM(_xlfn._xlws.FILTER(INDEX( GJ$9:GJ$50, MAX(  COUNT( GJ$9:GJ$50 ), 1)) : GJ$9, INDEX( GI$101:GI$142, MAX(  COUNT( GJ$9:GJ$50 ), 1)) : GI$101 &gt; 0)) / SUM(_xlfn._xlws.FILTER(INDEX( GI$9:GI$50, MAX(  COUNT( GJ$9:GJ$50 ), 1)) : GI$9, INDEX( GI$101:GI$142, MAX(  COUNT( GJ$9:GJ$50 ), 1)) : GI$101 &gt; 0)) )</f>
        <v>1.0011558329977455</v>
      </c>
      <c r="GJ148" s="8">
        <f>+IF(GJ$8 = 125, 1, SUM(_xlfn._xlws.FILTER(INDEX( GK$9:GK$50, MAX(  COUNT( GK$9:GK$50 ), 1)) : GK$9, INDEX( GJ$101:GJ$142, MAX(  COUNT( GK$9:GK$50 ), 1)) : GJ$101 &gt; 0)) / SUM(_xlfn._xlws.FILTER(INDEX( GJ$9:GJ$50, MAX(  COUNT( GK$9:GK$50 ), 1)) : GJ$9, INDEX( GJ$101:GJ$142, MAX(  COUNT( GK$9:GK$50 ), 1)) : GJ$101 &gt; 0)) )</f>
        <v>1.0012956747107784</v>
      </c>
      <c r="GK148" s="8">
        <f>+IF(GK$8 = 125, 1, SUM(_xlfn._xlws.FILTER(INDEX( GL$9:GL$50, MAX(  COUNT( GL$9:GL$50 ), 1)) : GL$9, INDEX( GK$101:GK$142, MAX(  COUNT( GL$9:GL$50 ), 1)) : GK$101 &gt; 0)) / SUM(_xlfn._xlws.FILTER(INDEX( GK$9:GK$50, MAX(  COUNT( GL$9:GL$50 ), 1)) : GK$9, INDEX( GK$101:GK$142, MAX(  COUNT( GL$9:GL$50 ), 1)) : GK$101 &gt; 0)) )</f>
        <v>1.0008277404760433</v>
      </c>
      <c r="GL148" s="8">
        <f>+IF(GL$8 = 125, 1, SUM(_xlfn._xlws.FILTER(INDEX( GM$9:GM$50, MAX(  COUNT( GM$9:GM$50 ), 1)) : GM$9, INDEX( GL$101:GL$142, MAX(  COUNT( GM$9:GM$50 ), 1)) : GL$101 &gt; 0)) / SUM(_xlfn._xlws.FILTER(INDEX( GL$9:GL$50, MAX(  COUNT( GM$9:GM$50 ), 1)) : GL$9, INDEX( GL$101:GL$142, MAX(  COUNT( GM$9:GM$50 ), 1)) : GL$101 &gt; 0)) )</f>
        <v>1.0006618070125135</v>
      </c>
      <c r="GM148" s="8">
        <f>+IF(GM$8 = 125, 1, SUM(_xlfn._xlws.FILTER(INDEX( GN$9:GN$50, MAX(  COUNT( GN$9:GN$50 ), 1)) : GN$9, INDEX( GM$101:GM$142, MAX(  COUNT( GN$9:GN$50 ), 1)) : GM$101 &gt; 0)) / SUM(_xlfn._xlws.FILTER(INDEX( GM$9:GM$50, MAX(  COUNT( GN$9:GN$50 ), 1)) : GM$9, INDEX( GM$101:GM$142, MAX(  COUNT( GN$9:GN$50 ), 1)) : GM$101 &gt; 0)) )</f>
        <v>1.0005418331962976</v>
      </c>
      <c r="GN148" s="8">
        <f>+IF(GN$8 = 125, 1, SUM(_xlfn._xlws.FILTER(INDEX( GO$9:GO$50, MAX(  COUNT( GO$9:GO$50 ), 1)) : GO$9, INDEX( GN$101:GN$142, MAX(  COUNT( GO$9:GO$50 ), 1)) : GN$101 &gt; 0)) / SUM(_xlfn._xlws.FILTER(INDEX( GN$9:GN$50, MAX(  COUNT( GO$9:GO$50 ), 1)) : GN$9, INDEX( GN$101:GN$142, MAX(  COUNT( GO$9:GO$50 ), 1)) : GN$101 &gt; 0)) )</f>
        <v>1.0013816859821796</v>
      </c>
      <c r="GO148" s="8">
        <f>+IF(GO$8 = 125, 1, SUM(_xlfn._xlws.FILTER(INDEX( GP$9:GP$50, MAX(  COUNT( GP$9:GP$50 ), 1)) : GP$9, INDEX( GO$101:GO$142, MAX(  COUNT( GP$9:GP$50 ), 1)) : GO$101 &gt; 0)) / SUM(_xlfn._xlws.FILTER(INDEX( GO$9:GO$50, MAX(  COUNT( GP$9:GP$50 ), 1)) : GO$9, INDEX( GO$101:GO$142, MAX(  COUNT( GP$9:GP$50 ), 1)) : GO$101 &gt; 0)) )</f>
        <v>1.0007881520801425</v>
      </c>
      <c r="GP148" s="8">
        <f>+IF(GP$8 = 125, 1, SUM(_xlfn._xlws.FILTER(INDEX( GQ$9:GQ$50, MAX(  COUNT( GQ$9:GQ$50 ), 1)) : GQ$9, INDEX( GP$101:GP$142, MAX(  COUNT( GQ$9:GQ$50 ), 1)) : GP$101 &gt; 0)) / SUM(_xlfn._xlws.FILTER(INDEX( GP$9:GP$50, MAX(  COUNT( GQ$9:GQ$50 ), 1)) : GP$9, INDEX( GP$101:GP$142, MAX(  COUNT( GQ$9:GQ$50 ), 1)) : GP$101 &gt; 0)) )</f>
        <v>0.99928081654423484</v>
      </c>
      <c r="GQ148" s="8">
        <f>+IF(GQ$8 = 125, 1, SUM(_xlfn._xlws.FILTER(INDEX( GR$9:GR$50, MAX(  COUNT( GR$9:GR$50 ), 1)) : GR$9, INDEX( GQ$101:GQ$142, MAX(  COUNT( GR$9:GR$50 ), 1)) : GQ$101 &gt; 0)) / SUM(_xlfn._xlws.FILTER(INDEX( GQ$9:GQ$50, MAX(  COUNT( GR$9:GR$50 ), 1)) : GQ$9, INDEX( GQ$101:GQ$142, MAX(  COUNT( GR$9:GR$50 ), 1)) : GQ$101 &gt; 0)) )</f>
        <v>1.00068297908037</v>
      </c>
      <c r="GR148" s="8">
        <f>+IF(GR$8 = 125, 1, SUM(_xlfn._xlws.FILTER(INDEX( GS$9:GS$50, MAX(  COUNT( GS$9:GS$50 ), 1)) : GS$9, INDEX( GR$101:GR$142, MAX(  COUNT( GS$9:GS$50 ), 1)) : GR$101 &gt; 0)) / SUM(_xlfn._xlws.FILTER(INDEX( GR$9:GR$50, MAX(  COUNT( GS$9:GS$50 ), 1)) : GR$9, INDEX( GR$101:GR$142, MAX(  COUNT( GS$9:GS$50 ), 1)) : GR$101 &gt; 0)) )</f>
        <v>1.0006386424737121</v>
      </c>
      <c r="GS148" s="8">
        <f>+IF(GS$8 = 125, 1, SUM(_xlfn._xlws.FILTER(INDEX( GT$9:GT$50, MAX(  COUNT( GT$9:GT$50 ), 1)) : GT$9, INDEX( GS$101:GS$142, MAX(  COUNT( GT$9:GT$50 ), 1)) : GS$101 &gt; 0)) / SUM(_xlfn._xlws.FILTER(INDEX( GS$9:GS$50, MAX(  COUNT( GT$9:GT$50 ), 1)) : GS$9, INDEX( GS$101:GS$142, MAX(  COUNT( GT$9:GT$50 ), 1)) : GS$101 &gt; 0)) )</f>
        <v>1.0007772226462559</v>
      </c>
      <c r="GT148" s="8">
        <f>+IF(GT$8 = 125, 1, SUM(_xlfn._xlws.FILTER(INDEX( GU$9:GU$50, MAX(  COUNT( GU$9:GU$50 ), 1)) : GU$9, INDEX( GT$101:GT$142, MAX(  COUNT( GU$9:GU$50 ), 1)) : GT$101 &gt; 0)) / SUM(_xlfn._xlws.FILTER(INDEX( GT$9:GT$50, MAX(  COUNT( GU$9:GU$50 ), 1)) : GT$9, INDEX( GT$101:GT$142, MAX(  COUNT( GU$9:GU$50 ), 1)) : GT$101 &gt; 0)) )</f>
        <v>1.0013801338301807</v>
      </c>
      <c r="GU148" s="8">
        <f>+IF(GU$8 = 125, 1, SUM(_xlfn._xlws.FILTER(INDEX( GV$9:GV$50, MAX(  COUNT( GV$9:GV$50 ), 1)) : GV$9, INDEX( GU$101:GU$142, MAX(  COUNT( GV$9:GV$50 ), 1)) : GU$101 &gt; 0)) / SUM(_xlfn._xlws.FILTER(INDEX( GU$9:GU$50, MAX(  COUNT( GV$9:GV$50 ), 1)) : GU$9, INDEX( GU$101:GU$142, MAX(  COUNT( GV$9:GV$50 ), 1)) : GU$101 &gt; 0)) )</f>
        <v>1.0000984460176001</v>
      </c>
      <c r="GV148" s="8">
        <f>+IF(GV$8 = 125, 1, SUM(_xlfn._xlws.FILTER(INDEX( GW$9:GW$50, MAX(  COUNT( GW$9:GW$50 ), 1)) : GW$9, INDEX( GV$101:GV$142, MAX(  COUNT( GW$9:GW$50 ), 1)) : GV$101 &gt; 0)) / SUM(_xlfn._xlws.FILTER(INDEX( GV$9:GV$50, MAX(  COUNT( GW$9:GW$50 ), 1)) : GV$9, INDEX( GV$101:GV$142, MAX(  COUNT( GW$9:GW$50 ), 1)) : GV$101 &gt; 0)) )</f>
        <v>1.0015852375956089</v>
      </c>
      <c r="GW148" s="8">
        <f>+IF(GW$8 = 125, 1, SUM(_xlfn._xlws.FILTER(INDEX( GX$9:GX$50, MAX(  COUNT( GX$9:GX$50 ), 1)) : GX$9, INDEX( GW$101:GW$142, MAX(  COUNT( GX$9:GX$50 ), 1)) : GW$101 &gt; 0)) / SUM(_xlfn._xlws.FILTER(INDEX( GW$9:GW$50, MAX(  COUNT( GX$9:GX$50 ), 1)) : GW$9, INDEX( GW$101:GW$142, MAX(  COUNT( GX$9:GX$50 ), 1)) : GW$101 &gt; 0)) )</f>
        <v>1.0007271132805076</v>
      </c>
      <c r="GX148" s="8">
        <f>+IF(GX$8 = 125, 1, SUM(_xlfn._xlws.FILTER(INDEX( GY$9:GY$50, MAX(  COUNT( GY$9:GY$50 ), 1)) : GY$9, INDEX( GX$101:GX$142, MAX(  COUNT( GY$9:GY$50 ), 1)) : GX$101 &gt; 0)) / SUM(_xlfn._xlws.FILTER(INDEX( GX$9:GX$50, MAX(  COUNT( GY$9:GY$50 ), 1)) : GX$9, INDEX( GX$101:GX$142, MAX(  COUNT( GY$9:GY$50 ), 1)) : GX$101 &gt; 0)) )</f>
        <v>1.0011446384248375</v>
      </c>
      <c r="GY148" s="8">
        <f>+IF(GY$8 = 125, 1, SUM(_xlfn._xlws.FILTER(INDEX( GZ$9:GZ$50, MAX(  COUNT( GZ$9:GZ$50 ), 1)) : GZ$9, INDEX( GY$101:GY$142, MAX(  COUNT( GZ$9:GZ$50 ), 1)) : GY$101 &gt; 0)) / SUM(_xlfn._xlws.FILTER(INDEX( GY$9:GY$50, MAX(  COUNT( GZ$9:GZ$50 ), 1)) : GY$9, INDEX( GY$101:GY$142, MAX(  COUNT( GZ$9:GZ$50 ), 1)) : GY$101 &gt; 0)) )</f>
        <v>1.0005592256750042</v>
      </c>
      <c r="GZ148" s="8">
        <f>+IF(GZ$8 = 125, 1, SUM(_xlfn._xlws.FILTER(INDEX( HA$9:HA$50, MAX(  COUNT( HA$9:HA$50 ), 1)) : HA$9, INDEX( GZ$101:GZ$142, MAX(  COUNT( HA$9:HA$50 ), 1)) : GZ$101 &gt; 0)) / SUM(_xlfn._xlws.FILTER(INDEX( GZ$9:GZ$50, MAX(  COUNT( HA$9:HA$50 ), 1)) : GZ$9, INDEX( GZ$101:GZ$142, MAX(  COUNT( HA$9:HA$50 ), 1)) : GZ$101 &gt; 0)) )</f>
        <v>1.000744618099245</v>
      </c>
      <c r="HA148" s="8">
        <f>+IF(HA$8 = 125, 1, SUM(_xlfn._xlws.FILTER(INDEX( HB$9:HB$50, MAX(  COUNT( HB$9:HB$50 ), 1)) : HB$9, INDEX( HA$101:HA$142, MAX(  COUNT( HB$9:HB$50 ), 1)) : HA$101 &gt; 0)) / SUM(_xlfn._xlws.FILTER(INDEX( HA$9:HA$50, MAX(  COUNT( HB$9:HB$50 ), 1)) : HA$9, INDEX( HA$101:HA$142, MAX(  COUNT( HB$9:HB$50 ), 1)) : HA$101 &gt; 0)) )</f>
        <v>1.0030080561333301</v>
      </c>
      <c r="HB148" s="8">
        <f>+IF(HB$8 = 125, 1, SUM(_xlfn._xlws.FILTER(INDEX( HC$9:HC$50, MAX(  COUNT( HC$9:HC$50 ), 1)) : HC$9, INDEX( HB$101:HB$142, MAX(  COUNT( HC$9:HC$50 ), 1)) : HB$101 &gt; 0)) / SUM(_xlfn._xlws.FILTER(INDEX( HB$9:HB$50, MAX(  COUNT( HC$9:HC$50 ), 1)) : HB$9, INDEX( HB$101:HB$142, MAX(  COUNT( HC$9:HC$50 ), 1)) : HB$101 &gt; 0)) )</f>
        <v>1.0002908724222677</v>
      </c>
      <c r="HC148" s="8">
        <f>+IF(HC$8 = 125, 1, SUM(_xlfn._xlws.FILTER(INDEX( HD$9:HD$50, MAX(  COUNT( HD$9:HD$50 ), 1)) : HD$9, INDEX( HC$101:HC$142, MAX(  COUNT( HD$9:HD$50 ), 1)) : HC$101 &gt; 0)) / SUM(_xlfn._xlws.FILTER(INDEX( HC$9:HC$50, MAX(  COUNT( HD$9:HD$50 ), 1)) : HC$9, INDEX( HC$101:HC$142, MAX(  COUNT( HD$9:HD$50 ), 1)) : HC$101 &gt; 0)) )</f>
        <v>1.0003934377285246</v>
      </c>
      <c r="HD148" s="8">
        <f>+IF(HD$8 = 125, 1, SUM(_xlfn._xlws.FILTER(INDEX( HE$9:HE$50, MAX(  COUNT( HE$9:HE$50 ), 1)) : HE$9, INDEX( HD$101:HD$142, MAX(  COUNT( HE$9:HE$50 ), 1)) : HD$101 &gt; 0)) / SUM(_xlfn._xlws.FILTER(INDEX( HD$9:HD$50, MAX(  COUNT( HE$9:HE$50 ), 1)) : HD$9, INDEX( HD$101:HD$142, MAX(  COUNT( HE$9:HE$50 ), 1)) : HD$101 &gt; 0)) )</f>
        <v>1.0014357290842608</v>
      </c>
      <c r="HE148" s="8">
        <f>+IF(HE$8 = 125, 1, SUM(_xlfn._xlws.FILTER(INDEX( HF$9:HF$50, MAX(  COUNT( HF$9:HF$50 ), 1)) : HF$9, INDEX( HE$101:HE$142, MAX(  COUNT( HF$9:HF$50 ), 1)) : HE$101 &gt; 0)) / SUM(_xlfn._xlws.FILTER(INDEX( HE$9:HE$50, MAX(  COUNT( HF$9:HF$50 ), 1)) : HE$9, INDEX( HE$101:HE$142, MAX(  COUNT( HF$9:HF$50 ), 1)) : HE$101 &gt; 0)) )</f>
        <v>1.0009668764728386</v>
      </c>
      <c r="HF148" s="8">
        <f>+IF(HF$8 = 125, 1, SUM(_xlfn._xlws.FILTER(INDEX( HG$9:HG$50, MAX(  COUNT( HG$9:HG$50 ), 1)) : HG$9, INDEX( HF$101:HF$142, MAX(  COUNT( HG$9:HG$50 ), 1)) : HF$101 &gt; 0)) / SUM(_xlfn._xlws.FILTER(INDEX( HF$9:HF$50, MAX(  COUNT( HG$9:HG$50 ), 1)) : HF$9, INDEX( HF$101:HF$142, MAX(  COUNT( HG$9:HG$50 ), 1)) : HF$101 &gt; 0)) )</f>
        <v>1.0030364676659023</v>
      </c>
      <c r="HG148" s="8">
        <f>+IF(HG$8 = 125, 1, SUM(_xlfn._xlws.FILTER(INDEX( HH$9:HH$50, MAX(  COUNT( HH$9:HH$50 ), 1)) : HH$9, INDEX( HG$101:HG$142, MAX(  COUNT( HH$9:HH$50 ), 1)) : HG$101 &gt; 0)) / SUM(_xlfn._xlws.FILTER(INDEX( HG$9:HG$50, MAX(  COUNT( HH$9:HH$50 ), 1)) : HG$9, INDEX( HG$101:HG$142, MAX(  COUNT( HH$9:HH$50 ), 1)) : HG$101 &gt; 0)) )</f>
        <v>1.0013930453801243</v>
      </c>
      <c r="HH148" s="8">
        <f>+IF(HH$8 = 125, 1, SUM(_xlfn._xlws.FILTER(INDEX( HI$9:HI$50, MAX(  COUNT( HI$9:HI$50 ), 1)) : HI$9, INDEX( HH$101:HH$142, MAX(  COUNT( HI$9:HI$50 ), 1)) : HH$101 &gt; 0)) / SUM(_xlfn._xlws.FILTER(INDEX( HH$9:HH$50, MAX(  COUNT( HI$9:HI$50 ), 1)) : HH$9, INDEX( HH$101:HH$142, MAX(  COUNT( HI$9:HI$50 ), 1)) : HH$101 &gt; 0)) )</f>
        <v>1.0019040145879534</v>
      </c>
      <c r="HI148" s="8">
        <f>+IF(HI$8 = 125, 1, SUM(_xlfn._xlws.FILTER(INDEX( HJ$9:HJ$50, MAX(  COUNT( HJ$9:HJ$50 ), 1)) : HJ$9, INDEX( HI$101:HI$142, MAX(  COUNT( HJ$9:HJ$50 ), 1)) : HI$101 &gt; 0)) / SUM(_xlfn._xlws.FILTER(INDEX( HI$9:HI$50, MAX(  COUNT( HJ$9:HJ$50 ), 1)) : HI$9, INDEX( HI$101:HI$142, MAX(  COUNT( HJ$9:HJ$50 ), 1)) : HI$101 &gt; 0)) )</f>
        <v>1.0041256542345445</v>
      </c>
      <c r="HJ148" s="8">
        <f>+IF(HJ$8 = 125, 1, SUM(_xlfn._xlws.FILTER(INDEX( HK$9:HK$50, MAX(  COUNT( HK$9:HK$50 ), 1)) : HK$9, INDEX( HJ$101:HJ$142, MAX(  COUNT( HK$9:HK$50 ), 1)) : HJ$101 &gt; 0)) / SUM(_xlfn._xlws.FILTER(INDEX( HJ$9:HJ$50, MAX(  COUNT( HK$9:HK$50 ), 1)) : HJ$9, INDEX( HJ$101:HJ$142, MAX(  COUNT( HK$9:HK$50 ), 1)) : HJ$101 &gt; 0)) )</f>
        <v>1.0014877288751145</v>
      </c>
      <c r="HK148" s="8">
        <f>+IF(HK$8 = 125, 1, SUM(_xlfn._xlws.FILTER(INDEX( HL$9:HL$50, MAX(  COUNT( HL$9:HL$50 ), 1)) : HL$9, INDEX( HK$101:HK$142, MAX(  COUNT( HL$9:HL$50 ), 1)) : HK$101 &gt; 0)) / SUM(_xlfn._xlws.FILTER(INDEX( HK$9:HK$50, MAX(  COUNT( HL$9:HL$50 ), 1)) : HK$9, INDEX( HK$101:HK$142, MAX(  COUNT( HL$9:HL$50 ), 1)) : HK$101 &gt; 0)) )</f>
        <v>1.0009540216393078</v>
      </c>
      <c r="HL148" s="8">
        <f>+IF(HL$8 = 125, 1, SUM(_xlfn._xlws.FILTER(INDEX( HM$9:HM$50, MAX(  COUNT( HM$9:HM$50 ), 1)) : HM$9, INDEX( HL$101:HL$142, MAX(  COUNT( HM$9:HM$50 ), 1)) : HL$101 &gt; 0)) / SUM(_xlfn._xlws.FILTER(INDEX( HL$9:HL$50, MAX(  COUNT( HM$9:HM$50 ), 1)) : HL$9, INDEX( HL$101:HL$142, MAX(  COUNT( HM$9:HM$50 ), 1)) : HL$101 &gt; 0)) )</f>
        <v>1.001106026573803</v>
      </c>
      <c r="HM148" s="8">
        <f>+IF(HM$8 = 125, 1, SUM(_xlfn._xlws.FILTER(INDEX( HN$9:HN$50, MAX(  COUNT( HN$9:HN$50 ), 1)) : HN$9, INDEX( HM$101:HM$142, MAX(  COUNT( HN$9:HN$50 ), 1)) : HM$101 &gt; 0)) / SUM(_xlfn._xlws.FILTER(INDEX( HM$9:HM$50, MAX(  COUNT( HN$9:HN$50 ), 1)) : HM$9, INDEX( HM$101:HM$142, MAX(  COUNT( HN$9:HN$50 ), 1)) : HM$101 &gt; 0)) )</f>
        <v>1.001124125885348</v>
      </c>
      <c r="HN148" s="8">
        <f>+IF(HN$8 = 125, 1, SUM(_xlfn._xlws.FILTER(INDEX( HO$9:HO$50, MAX(  COUNT( HO$9:HO$50 ), 1)) : HO$9, INDEX( HN$101:HN$142, MAX(  COUNT( HO$9:HO$50 ), 1)) : HN$101 &gt; 0)) / SUM(_xlfn._xlws.FILTER(INDEX( HN$9:HN$50, MAX(  COUNT( HO$9:HO$50 ), 1)) : HN$9, INDEX( HN$101:HN$142, MAX(  COUNT( HO$9:HO$50 ), 1)) : HN$101 &gt; 0)) )</f>
        <v>1.0039181692805532</v>
      </c>
      <c r="HO148" s="8">
        <f>+IF(HO$8 = 125, 1, SUM(_xlfn._xlws.FILTER(INDEX( HP$9:HP$50, MAX(  COUNT( HP$9:HP$50 ), 1)) : HP$9, INDEX( HO$101:HO$142, MAX(  COUNT( HP$9:HP$50 ), 1)) : HO$101 &gt; 0)) / SUM(_xlfn._xlws.FILTER(INDEX( HO$9:HO$50, MAX(  COUNT( HP$9:HP$50 ), 1)) : HO$9, INDEX( HO$101:HO$142, MAX(  COUNT( HP$9:HP$50 ), 1)) : HO$101 &gt; 0)) )</f>
        <v>1.0008963396349899</v>
      </c>
      <c r="HP148" s="8">
        <f>+IF(HP$8 = 125, 1, SUM(_xlfn._xlws.FILTER(INDEX( HQ$9:HQ$50, MAX(  COUNT( HQ$9:HQ$50 ), 1)) : HQ$9, INDEX( HP$101:HP$142, MAX(  COUNT( HQ$9:HQ$50 ), 1)) : HP$101 &gt; 0)) / SUM(_xlfn._xlws.FILTER(INDEX( HP$9:HP$50, MAX(  COUNT( HQ$9:HQ$50 ), 1)) : HP$9, INDEX( HP$101:HP$142, MAX(  COUNT( HQ$9:HQ$50 ), 1)) : HP$101 &gt; 0)) )</f>
        <v>1.001409522293129</v>
      </c>
      <c r="HQ148" s="8">
        <f>+IF(HQ$8 = 125, 1, SUM(_xlfn._xlws.FILTER(INDEX( HR$9:HR$50, MAX(  COUNT( HR$9:HR$50 ), 1)) : HR$9, INDEX( HQ$101:HQ$142, MAX(  COUNT( HR$9:HR$50 ), 1)) : HQ$101 &gt; 0)) / SUM(_xlfn._xlws.FILTER(INDEX( HQ$9:HQ$50, MAX(  COUNT( HR$9:HR$50 ), 1)) : HQ$9, INDEX( HQ$101:HQ$142, MAX(  COUNT( HR$9:HR$50 ), 1)) : HQ$101 &gt; 0)) )</f>
        <v>1.0009633695486719</v>
      </c>
      <c r="HR148" s="8">
        <f>+IF(HR$8 = 125, 1, SUM(_xlfn._xlws.FILTER(INDEX( HS$9:HS$50, MAX(  COUNT( HS$9:HS$50 ), 1)) : HS$9, INDEX( HR$101:HR$142, MAX(  COUNT( HS$9:HS$50 ), 1)) : HR$101 &gt; 0)) / SUM(_xlfn._xlws.FILTER(INDEX( HR$9:HR$50, MAX(  COUNT( HS$9:HS$50 ), 1)) : HR$9, INDEX( HR$101:HR$142, MAX(  COUNT( HS$9:HS$50 ), 1)) : HR$101 &gt; 0)) )</f>
        <v>1.0008143876622644</v>
      </c>
      <c r="HS148" s="8">
        <f>+IF(HS$8 = 125, 1, SUM(_xlfn._xlws.FILTER(INDEX( HT$9:HT$50, MAX(  COUNT( HT$9:HT$50 ), 1)) : HT$9, INDEX( HS$101:HS$142, MAX(  COUNT( HT$9:HT$50 ), 1)) : HS$101 &gt; 0)) / SUM(_xlfn._xlws.FILTER(INDEX( HS$9:HS$50, MAX(  COUNT( HT$9:HT$50 ), 1)) : HS$9, INDEX( HS$101:HS$142, MAX(  COUNT( HT$9:HT$50 ), 1)) : HS$101 &gt; 0)) )</f>
        <v>1.0014578551729416</v>
      </c>
      <c r="HT148" s="8">
        <f>+IF(HT$8 = 125, 1, SUM(_xlfn._xlws.FILTER(INDEX( HU$9:HU$50, MAX(  COUNT( HU$9:HU$50 ), 1)) : HU$9, INDEX( HT$101:HT$142, MAX(  COUNT( HU$9:HU$50 ), 1)) : HT$101 &gt; 0)) / SUM(_xlfn._xlws.FILTER(INDEX( HT$9:HT$50, MAX(  COUNT( HU$9:HU$50 ), 1)) : HT$9, INDEX( HT$101:HT$142, MAX(  COUNT( HU$9:HU$50 ), 1)) : HT$101 &gt; 0)) )</f>
        <v>1.0011550559120275</v>
      </c>
      <c r="HU148" s="8">
        <f>+IF(HU$8 = 125, 1, SUM(_xlfn._xlws.FILTER(INDEX( HV$9:HV$50, MAX(  COUNT( HV$9:HV$50 ), 1)) : HV$9, INDEX( HU$101:HU$142, MAX(  COUNT( HV$9:HV$50 ), 1)) : HU$101 &gt; 0)) / SUM(_xlfn._xlws.FILTER(INDEX( HU$9:HU$50, MAX(  COUNT( HV$9:HV$50 ), 1)) : HU$9, INDEX( HU$101:HU$142, MAX(  COUNT( HV$9:HV$50 ), 1)) : HU$101 &gt; 0)) )</f>
        <v>1.001691030253119</v>
      </c>
      <c r="HV148" s="8">
        <f>+IF(HV$8 = 125, 1, SUM(_xlfn._xlws.FILTER(INDEX( HW$9:HW$50, MAX(  COUNT( HW$9:HW$50 ), 1)) : HW$9, INDEX( HV$101:HV$142, MAX(  COUNT( HW$9:HW$50 ), 1)) : HV$101 &gt; 0)) / SUM(_xlfn._xlws.FILTER(INDEX( HV$9:HV$50, MAX(  COUNT( HW$9:HW$50 ), 1)) : HV$9, INDEX( HV$101:HV$142, MAX(  COUNT( HW$9:HW$50 ), 1)) : HV$101 &gt; 0)) )</f>
        <v>1.001092947069782</v>
      </c>
      <c r="HW148" s="8">
        <f>+IF(HW$8 = 125, 1, SUM(_xlfn._xlws.FILTER(INDEX( HX$9:HX$50, MAX(  COUNT( HX$9:HX$50 ), 1)) : HX$9, INDEX( HW$101:HW$142, MAX(  COUNT( HX$9:HX$50 ), 1)) : HW$101 &gt; 0)) / SUM(_xlfn._xlws.FILTER(INDEX( HW$9:HW$50, MAX(  COUNT( HX$9:HX$50 ), 1)) : HW$9, INDEX( HW$101:HW$142, MAX(  COUNT( HX$9:HX$50 ), 1)) : HW$101 &gt; 0)) )</f>
        <v>1.0030686963960913</v>
      </c>
      <c r="HX148" s="8">
        <f>+IF(HX$8 = 125, 1, SUM(_xlfn._xlws.FILTER(INDEX( HY$9:HY$50, MAX(  COUNT( HY$9:HY$50 ), 1)) : HY$9, INDEX( HX$101:HX$142, MAX(  COUNT( HY$9:HY$50 ), 1)) : HX$101 &gt; 0)) / SUM(_xlfn._xlws.FILTER(INDEX( HX$9:HX$50, MAX(  COUNT( HY$9:HY$50 ), 1)) : HX$9, INDEX( HX$101:HX$142, MAX(  COUNT( HY$9:HY$50 ), 1)) : HX$101 &gt; 0)) )</f>
        <v>1.0013262711021431</v>
      </c>
      <c r="HY148" s="8">
        <f>+IF(HY$8 = 125, 1, SUM(_xlfn._xlws.FILTER(INDEX( HZ$9:HZ$50, MAX(  COUNT( HZ$9:HZ$50 ), 1)) : HZ$9, INDEX( HY$101:HY$142, MAX(  COUNT( HZ$9:HZ$50 ), 1)) : HY$101 &gt; 0)) / SUM(_xlfn._xlws.FILTER(INDEX( HY$9:HY$50, MAX(  COUNT( HZ$9:HZ$50 ), 1)) : HY$9, INDEX( HY$101:HY$142, MAX(  COUNT( HZ$9:HZ$50 ), 1)) : HY$101 &gt; 0)) )</f>
        <v>1.0011425425288183</v>
      </c>
      <c r="HZ148" s="8">
        <f>+IF(HZ$8 = 125, 1, SUM(_xlfn._xlws.FILTER(INDEX( IA$9:IA$50, MAX(  COUNT( IA$9:IA$50 ), 1)) : IA$9, INDEX( HZ$101:HZ$142, MAX(  COUNT( IA$9:IA$50 ), 1)) : HZ$101 &gt; 0)) / SUM(_xlfn._xlws.FILTER(INDEX( HZ$9:HZ$50, MAX(  COUNT( IA$9:IA$50 ), 1)) : HZ$9, INDEX( HZ$101:HZ$142, MAX(  COUNT( IA$9:IA$50 ), 1)) : HZ$101 &gt; 0)) )</f>
        <v>1.0018035368198133</v>
      </c>
      <c r="IA148" s="8">
        <f>+IF(IA$8 = 125, 1, SUM(_xlfn._xlws.FILTER(INDEX( IB$9:IB$50, MAX(  COUNT( IB$9:IB$50 ), 1)) : IB$9, INDEX( IA$101:IA$142, MAX(  COUNT( IB$9:IB$50 ), 1)) : IA$101 &gt; 0)) / SUM(_xlfn._xlws.FILTER(INDEX( IA$9:IA$50, MAX(  COUNT( IB$9:IB$50 ), 1)) : IA$9, INDEX( IA$101:IA$142, MAX(  COUNT( IB$9:IB$50 ), 1)) : IA$101 &gt; 0)) )</f>
        <v>1.0014293594197561</v>
      </c>
      <c r="IB148" s="8">
        <f>+IF(IB$8 = 125, 1, SUM(_xlfn._xlws.FILTER(INDEX( IC$9:IC$50, MAX(  COUNT( IC$9:IC$50 ), 1)) : IC$9, INDEX( IB$101:IB$142, MAX(  COUNT( IC$9:IC$50 ), 1)) : IB$101 &gt; 0)) / SUM(_xlfn._xlws.FILTER(INDEX( IB$9:IB$50, MAX(  COUNT( IC$9:IC$50 ), 1)) : IB$9, INDEX( IB$101:IB$142, MAX(  COUNT( IC$9:IC$50 ), 1)) : IB$101 &gt; 0)) )</f>
        <v>1.0020558625700904</v>
      </c>
      <c r="IC148" s="8">
        <f>+IF(IC$8 = 125, 1, SUM(_xlfn._xlws.FILTER(INDEX( ID$9:ID$50, MAX(  COUNT( ID$9:ID$50 ), 1)) : ID$9, INDEX( IC$101:IC$142, MAX(  COUNT( ID$9:ID$50 ), 1)) : IC$101 &gt; 0)) / SUM(_xlfn._xlws.FILTER(INDEX( IC$9:IC$50, MAX(  COUNT( ID$9:ID$50 ), 1)) : IC$9, INDEX( IC$101:IC$142, MAX(  COUNT( ID$9:ID$50 ), 1)) : IC$101 &gt; 0)) )</f>
        <v>1.0022000361956243</v>
      </c>
      <c r="ID148" s="8">
        <f>+IF(ID$8 = 125, 1, SUM(_xlfn._xlws.FILTER(INDEX( IE$9:IE$50, MAX(  COUNT( IE$9:IE$50 ), 1)) : IE$9, INDEX( ID$101:ID$142, MAX(  COUNT( IE$9:IE$50 ), 1)) : ID$101 &gt; 0)) / SUM(_xlfn._xlws.FILTER(INDEX( ID$9:ID$50, MAX(  COUNT( IE$9:IE$50 ), 1)) : ID$9, INDEX( ID$101:ID$142, MAX(  COUNT( IE$9:IE$50 ), 1)) : ID$101 &gt; 0)) )</f>
        <v>1.001133863355526</v>
      </c>
      <c r="IE148" s="8">
        <f>+IF(IE$8 = 125, 1, SUM(_xlfn._xlws.FILTER(INDEX( IF$9:IF$50, MAX(  COUNT( IF$9:IF$50 ), 1)) : IF$9, INDEX( IE$101:IE$142, MAX(  COUNT( IF$9:IF$50 ), 1)) : IE$101 &gt; 0)) / SUM(_xlfn._xlws.FILTER(INDEX( IE$9:IE$50, MAX(  COUNT( IF$9:IF$50 ), 1)) : IE$9, INDEX( IE$101:IE$142, MAX(  COUNT( IF$9:IF$50 ), 1)) : IE$101 &gt; 0)) )</f>
        <v>1.0016067396067998</v>
      </c>
      <c r="IF148" s="8">
        <f>+IF(IF$8 = 125, 1, SUM(_xlfn._xlws.FILTER(INDEX( IG$9:IG$50, MAX(  COUNT( IG$9:IG$50 ), 1)) : IG$9, INDEX( IF$101:IF$142, MAX(  COUNT( IG$9:IG$50 ), 1)) : IF$101 &gt; 0)) / SUM(_xlfn._xlws.FILTER(INDEX( IF$9:IF$50, MAX(  COUNT( IG$9:IG$50 ), 1)) : IF$9, INDEX( IF$101:IF$142, MAX(  COUNT( IG$9:IG$50 ), 1)) : IF$101 &gt; 0)) )</f>
        <v>1.0044395182701824</v>
      </c>
      <c r="IG148" s="8">
        <f>+IF(IG$8 = 125, 1, SUM(_xlfn._xlws.FILTER(INDEX( IH$9:IH$50, MAX(  COUNT( IH$9:IH$50 ), 1)) : IH$9, INDEX( IG$101:IG$142, MAX(  COUNT( IH$9:IH$50 ), 1)) : IG$101 &gt; 0)) / SUM(_xlfn._xlws.FILTER(INDEX( IG$9:IG$50, MAX(  COUNT( IH$9:IH$50 ), 1)) : IG$9, INDEX( IG$101:IG$142, MAX(  COUNT( IH$9:IH$50 ), 1)) : IG$101 &gt; 0)) )</f>
        <v>1.0014871084532195</v>
      </c>
      <c r="IH148" s="8">
        <f>+IF(IH$8 = 125, 1, SUM(_xlfn._xlws.FILTER(INDEX( II$9:II$50, MAX(  COUNT( II$9:II$50 ), 1)) : II$9, INDEX( IH$101:IH$142, MAX(  COUNT( II$9:II$50 ), 1)) : IH$101 &gt; 0)) / SUM(_xlfn._xlws.FILTER(INDEX( IH$9:IH$50, MAX(  COUNT( II$9:II$50 ), 1)) : IH$9, INDEX( IH$101:IH$142, MAX(  COUNT( II$9:II$50 ), 1)) : IH$101 &gt; 0)) )</f>
        <v>1.0020834761366224</v>
      </c>
      <c r="II148" s="8">
        <f>+IF(II$8 = 125, 1, SUM(_xlfn._xlws.FILTER(INDEX( IJ$9:IJ$50, MAX(  COUNT( IJ$9:IJ$50 ), 1)) : IJ$9, INDEX( II$101:II$142, MAX(  COUNT( IJ$9:IJ$50 ), 1)) : II$101 &gt; 0)) / SUM(_xlfn._xlws.FILTER(INDEX( II$9:II$50, MAX(  COUNT( IJ$9:IJ$50 ), 1)) : II$9, INDEX( II$101:II$142, MAX(  COUNT( IJ$9:IJ$50 ), 1)) : II$101 &gt; 0)) )</f>
        <v>1.0023333612561527</v>
      </c>
      <c r="IJ148" s="8">
        <f>+IF(IJ$8 = 125, 1, SUM(_xlfn._xlws.FILTER(INDEX( IK$9:IK$50, MAX(  COUNT( IK$9:IK$50 ), 1)) : IK$9, INDEX( IJ$101:IJ$142, MAX(  COUNT( IK$9:IK$50 ), 1)) : IJ$101 &gt; 0)) / SUM(_xlfn._xlws.FILTER(INDEX( IJ$9:IJ$50, MAX(  COUNT( IK$9:IK$50 ), 1)) : IJ$9, INDEX( IJ$101:IJ$142, MAX(  COUNT( IK$9:IK$50 ), 1)) : IJ$101 &gt; 0)) )</f>
        <v>1.0026133727292312</v>
      </c>
      <c r="IK148" s="8">
        <f>+IF(IK$8 = 125, 1, SUM(_xlfn._xlws.FILTER(INDEX( IL$9:IL$50, MAX(  COUNT( IL$9:IL$50 ), 1)) : IL$9, INDEX( IK$101:IK$142, MAX(  COUNT( IL$9:IL$50 ), 1)) : IK$101 &gt; 0)) / SUM(_xlfn._xlws.FILTER(INDEX( IK$9:IK$50, MAX(  COUNT( IL$9:IL$50 ), 1)) : IK$9, INDEX( IK$101:IK$142, MAX(  COUNT( IL$9:IL$50 ), 1)) : IK$101 &gt; 0)) )</f>
        <v>1.0017864879876321</v>
      </c>
      <c r="IL148" s="8">
        <f>+IF(IL$8 = 125, 1, SUM(_xlfn._xlws.FILTER(INDEX( IM$9:IM$50, MAX(  COUNT( IM$9:IM$50 ), 1)) : IM$9, INDEX( IL$101:IL$142, MAX(  COUNT( IM$9:IM$50 ), 1)) : IL$101 &gt; 0)) / SUM(_xlfn._xlws.FILTER(INDEX( IL$9:IL$50, MAX(  COUNT( IM$9:IM$50 ), 1)) : IL$9, INDEX( IL$101:IL$142, MAX(  COUNT( IM$9:IM$50 ), 1)) : IL$101 &gt; 0)) )</f>
        <v>1.0013857083984385</v>
      </c>
      <c r="IM148" s="8">
        <f>+IF(IM$8 = 125, 1, SUM(_xlfn._xlws.FILTER(INDEX( IN$9:IN$50, MAX(  COUNT( IN$9:IN$50 ), 1)) : IN$9, INDEX( IM$101:IM$142, MAX(  COUNT( IN$9:IN$50 ), 1)) : IM$101 &gt; 0)) / SUM(_xlfn._xlws.FILTER(INDEX( IM$9:IM$50, MAX(  COUNT( IN$9:IN$50 ), 1)) : IM$9, INDEX( IM$101:IM$142, MAX(  COUNT( IN$9:IN$50 ), 1)) : IM$101 &gt; 0)) )</f>
        <v>1.002165247223606</v>
      </c>
      <c r="IN148" s="8">
        <f>+IF(IN$8 = 125, 1, SUM(_xlfn._xlws.FILTER(INDEX( IO$9:IO$50, MAX(  COUNT( IO$9:IO$50 ), 1)) : IO$9, INDEX( IN$101:IN$142, MAX(  COUNT( IO$9:IO$50 ), 1)) : IN$101 &gt; 0)) / SUM(_xlfn._xlws.FILTER(INDEX( IN$9:IN$50, MAX(  COUNT( IO$9:IO$50 ), 1)) : IN$9, INDEX( IN$101:IN$142, MAX(  COUNT( IO$9:IO$50 ), 1)) : IN$101 &gt; 0)) )</f>
        <v>1.0044919380212143</v>
      </c>
      <c r="IO148" s="8">
        <f>+IF(IO$8 = 125, 1, SUM(_xlfn._xlws.FILTER(INDEX( IP$9:IP$50, MAX(  COUNT( IP$9:IP$50 ), 1)) : IP$9, INDEX( IO$101:IO$142, MAX(  COUNT( IP$9:IP$50 ), 1)) : IO$101 &gt; 0)) / SUM(_xlfn._xlws.FILTER(INDEX( IO$9:IO$50, MAX(  COUNT( IP$9:IP$50 ), 1)) : IO$9, INDEX( IO$101:IO$142, MAX(  COUNT( IP$9:IP$50 ), 1)) : IO$101 &gt; 0)) )</f>
        <v>1.0023644476352298</v>
      </c>
      <c r="IP148" s="8">
        <f>+IF(IP$8 = 125, 1, SUM(_xlfn._xlws.FILTER(INDEX( IQ$9:IQ$50, MAX(  COUNT( IQ$9:IQ$50 ), 1)) : IQ$9, INDEX( IP$101:IP$142, MAX(  COUNT( IQ$9:IQ$50 ), 1)) : IP$101 &gt; 0)) / SUM(_xlfn._xlws.FILTER(INDEX( IP$9:IP$50, MAX(  COUNT( IQ$9:IQ$50 ), 1)) : IP$9, INDEX( IP$101:IP$142, MAX(  COUNT( IQ$9:IQ$50 ), 1)) : IP$101 &gt; 0)) )</f>
        <v>1.00128562641312</v>
      </c>
      <c r="IQ148" s="8">
        <f>+IF(IQ$8 = 125, 1, SUM(_xlfn._xlws.FILTER(INDEX( IR$9:IR$50, MAX(  COUNT( IR$9:IR$50 ), 1)) : IR$9, INDEX( IQ$101:IQ$142, MAX(  COUNT( IR$9:IR$50 ), 1)) : IQ$101 &gt; 0)) / SUM(_xlfn._xlws.FILTER(INDEX( IQ$9:IQ$50, MAX(  COUNT( IR$9:IR$50 ), 1)) : IQ$9, INDEX( IQ$101:IQ$142, MAX(  COUNT( IR$9:IR$50 ), 1)) : IQ$101 &gt; 0)) )</f>
        <v>1.0032713040037065</v>
      </c>
      <c r="IR148" s="8">
        <f>+IF(IR$8 = 125, 1, SUM(_xlfn._xlws.FILTER(INDEX( IS$9:IS$50, MAX(  COUNT( IS$9:IS$50 ), 1)) : IS$9, INDEX( IR$101:IR$142, MAX(  COUNT( IS$9:IS$50 ), 1)) : IR$101 &gt; 0)) / SUM(_xlfn._xlws.FILTER(INDEX( IR$9:IR$50, MAX(  COUNT( IS$9:IS$50 ), 1)) : IR$9, INDEX( IR$101:IR$142, MAX(  COUNT( IS$9:IS$50 ), 1)) : IR$101 &gt; 0)) )</f>
        <v>1.0030623648643942</v>
      </c>
      <c r="IS148" s="8">
        <f>+IF(IS$8 = 125, 1, SUM(_xlfn._xlws.FILTER(INDEX( IT$9:IT$50, MAX(  COUNT( IT$9:IT$50 ), 1)) : IT$9, INDEX( IS$101:IS$142, MAX(  COUNT( IT$9:IT$50 ), 1)) : IS$101 &gt; 0)) / SUM(_xlfn._xlws.FILTER(INDEX( IS$9:IS$50, MAX(  COUNT( IT$9:IT$50 ), 1)) : IS$9, INDEX( IS$101:IS$142, MAX(  COUNT( IT$9:IT$50 ), 1)) : IS$101 &gt; 0)) )</f>
        <v>1.0055498790859507</v>
      </c>
      <c r="IT148" s="8">
        <f>+IF(IT$8 = 125, 1, SUM(_xlfn._xlws.FILTER(INDEX( IU$9:IU$50, MAX(  COUNT( IU$9:IU$50 ), 1)) : IU$9, INDEX( IT$101:IT$142, MAX(  COUNT( IU$9:IU$50 ), 1)) : IT$101 &gt; 0)) / SUM(_xlfn._xlws.FILTER(INDEX( IT$9:IT$50, MAX(  COUNT( IU$9:IU$50 ), 1)) : IT$9, INDEX( IT$101:IT$142, MAX(  COUNT( IU$9:IU$50 ), 1)) : IT$101 &gt; 0)) )</f>
        <v>1.0050872730680325</v>
      </c>
      <c r="IU148" s="8">
        <f>+IF(IU$8 = 125, 1, SUM(_xlfn._xlws.FILTER(INDEX( IV$9:IV$50, MAX(  COUNT( IV$9:IV$50 ), 1)) : IV$9, INDEX( IU$101:IU$142, MAX(  COUNT( IV$9:IV$50 ), 1)) : IU$101 &gt; 0)) / SUM(_xlfn._xlws.FILTER(INDEX( IU$9:IU$50, MAX(  COUNT( IV$9:IV$50 ), 1)) : IU$9, INDEX( IU$101:IU$142, MAX(  COUNT( IV$9:IV$50 ), 1)) : IU$101 &gt; 0)) )</f>
        <v>1.0045545119089383</v>
      </c>
      <c r="IV148" s="8">
        <f>+IF(IV$8 = 125, 1, SUM(_xlfn._xlws.FILTER(INDEX( IW$9:IW$50, MAX(  COUNT( IW$9:IW$50 ), 1)) : IW$9, INDEX( IV$101:IV$142, MAX(  COUNT( IW$9:IW$50 ), 1)) : IV$101 &gt; 0)) / SUM(_xlfn._xlws.FILTER(INDEX( IV$9:IV$50, MAX(  COUNT( IW$9:IW$50 ), 1)) : IV$9, INDEX( IV$101:IV$142, MAX(  COUNT( IW$9:IW$50 ), 1)) : IV$101 &gt; 0)) )</f>
        <v>1</v>
      </c>
    </row>
    <row r="149" spans="2:256" x14ac:dyDescent="0.2">
      <c r="F149" s="15" t="s">
        <v>9</v>
      </c>
      <c r="G149" s="8">
        <f>+IF(G$8 = 125, 1, MIN(_xlfn._xlws.FILTER( G$55:G$96,  G$101:G$142  &gt; 0)))</f>
        <v>1.6738151150016898</v>
      </c>
      <c r="H149" s="8">
        <f t="shared" ref="H149:BS149" si="344">+IF(H$8 = 125, 1, MIN(_xlfn._xlws.FILTER( H$55:H$96,  H$101:H$142  &gt; 0)))</f>
        <v>1.3564836400472031</v>
      </c>
      <c r="I149" s="8">
        <f t="shared" si="344"/>
        <v>1.2105331530221406</v>
      </c>
      <c r="J149" s="8">
        <f t="shared" si="344"/>
        <v>1.055143427673539</v>
      </c>
      <c r="K149" s="8">
        <f t="shared" si="344"/>
        <v>1.0072815168824401</v>
      </c>
      <c r="L149" s="8">
        <f t="shared" si="344"/>
        <v>1.0002106568938807</v>
      </c>
      <c r="M149" s="8">
        <f t="shared" si="344"/>
        <v>0.99549363208073771</v>
      </c>
      <c r="N149" s="8">
        <f t="shared" si="344"/>
        <v>1</v>
      </c>
      <c r="O149" s="8">
        <f t="shared" si="344"/>
        <v>1</v>
      </c>
      <c r="P149" s="8">
        <f t="shared" si="344"/>
        <v>0.99995956270069319</v>
      </c>
      <c r="Q149" s="8">
        <f t="shared" si="344"/>
        <v>0.99027376723608118</v>
      </c>
      <c r="R149" s="8">
        <f t="shared" si="344"/>
        <v>0.99649174090615733</v>
      </c>
      <c r="S149" s="8">
        <f t="shared" si="344"/>
        <v>0.97980465721879995</v>
      </c>
      <c r="T149" s="8">
        <f t="shared" si="344"/>
        <v>1</v>
      </c>
      <c r="U149" s="8">
        <f t="shared" si="344"/>
        <v>0.99998294143068278</v>
      </c>
      <c r="V149" s="8">
        <f t="shared" si="344"/>
        <v>1</v>
      </c>
      <c r="W149" s="8">
        <f t="shared" si="344"/>
        <v>0.99996986277912536</v>
      </c>
      <c r="X149" s="8">
        <f t="shared" si="344"/>
        <v>1</v>
      </c>
      <c r="Y149" s="8">
        <f t="shared" si="344"/>
        <v>1</v>
      </c>
      <c r="Z149" s="8">
        <f t="shared" si="344"/>
        <v>0.9998355869033797</v>
      </c>
      <c r="AA149" s="8">
        <f t="shared" si="344"/>
        <v>1</v>
      </c>
      <c r="AB149" s="8">
        <f t="shared" si="344"/>
        <v>0.99989530432174956</v>
      </c>
      <c r="AC149" s="8">
        <f t="shared" si="344"/>
        <v>1</v>
      </c>
      <c r="AD149" s="8">
        <f t="shared" si="344"/>
        <v>1</v>
      </c>
      <c r="AE149" s="8">
        <f t="shared" si="344"/>
        <v>1</v>
      </c>
      <c r="AF149" s="8">
        <f t="shared" si="344"/>
        <v>0.99996015188019938</v>
      </c>
      <c r="AG149" s="8">
        <f t="shared" si="344"/>
        <v>1</v>
      </c>
      <c r="AH149" s="8">
        <f t="shared" si="344"/>
        <v>1</v>
      </c>
      <c r="AI149" s="8">
        <f t="shared" si="344"/>
        <v>1</v>
      </c>
      <c r="AJ149" s="8">
        <f t="shared" si="344"/>
        <v>1</v>
      </c>
      <c r="AK149" s="8">
        <f t="shared" si="344"/>
        <v>0.99998873835653268</v>
      </c>
      <c r="AL149" s="8">
        <f t="shared" si="344"/>
        <v>0.9898676187931803</v>
      </c>
      <c r="AM149" s="8">
        <f t="shared" si="344"/>
        <v>0.99973352015425587</v>
      </c>
      <c r="AN149" s="8">
        <f t="shared" si="344"/>
        <v>0.9999878179123729</v>
      </c>
      <c r="AO149" s="8">
        <f t="shared" si="344"/>
        <v>0.98734233386680992</v>
      </c>
      <c r="AP149" s="8">
        <f t="shared" si="344"/>
        <v>1</v>
      </c>
      <c r="AQ149" s="8">
        <f t="shared" si="344"/>
        <v>0.99823082242343597</v>
      </c>
      <c r="AR149" s="8">
        <f t="shared" si="344"/>
        <v>0.99989422271738571</v>
      </c>
      <c r="AS149" s="8">
        <f t="shared" si="344"/>
        <v>1</v>
      </c>
      <c r="AT149" s="8">
        <f t="shared" si="344"/>
        <v>1</v>
      </c>
      <c r="AU149" s="8">
        <f t="shared" si="344"/>
        <v>1</v>
      </c>
      <c r="AV149" s="8">
        <f t="shared" si="344"/>
        <v>0.99996018687409738</v>
      </c>
      <c r="AW149" s="8">
        <f t="shared" si="344"/>
        <v>0.99978870590455282</v>
      </c>
      <c r="AX149" s="8">
        <f t="shared" si="344"/>
        <v>1</v>
      </c>
      <c r="AY149" s="8">
        <f t="shared" si="344"/>
        <v>1</v>
      </c>
      <c r="AZ149" s="8">
        <f t="shared" si="344"/>
        <v>1</v>
      </c>
      <c r="BA149" s="8">
        <f t="shared" si="344"/>
        <v>1</v>
      </c>
      <c r="BB149" s="8">
        <f t="shared" si="344"/>
        <v>1</v>
      </c>
      <c r="BC149" s="8">
        <f t="shared" si="344"/>
        <v>1</v>
      </c>
      <c r="BD149" s="8">
        <f t="shared" si="344"/>
        <v>1</v>
      </c>
      <c r="BE149" s="8">
        <f t="shared" si="344"/>
        <v>1</v>
      </c>
      <c r="BF149" s="8">
        <f t="shared" si="344"/>
        <v>1</v>
      </c>
      <c r="BG149" s="8">
        <f t="shared" si="344"/>
        <v>1</v>
      </c>
      <c r="BH149" s="8">
        <f t="shared" si="344"/>
        <v>1</v>
      </c>
      <c r="BI149" s="8">
        <f t="shared" si="344"/>
        <v>1</v>
      </c>
      <c r="BJ149" s="8">
        <f t="shared" si="344"/>
        <v>1</v>
      </c>
      <c r="BK149" s="8">
        <f t="shared" si="344"/>
        <v>1</v>
      </c>
      <c r="BL149" s="8">
        <f t="shared" si="344"/>
        <v>1</v>
      </c>
      <c r="BM149" s="8">
        <f t="shared" si="344"/>
        <v>0.9974914753137939</v>
      </c>
      <c r="BN149" s="8">
        <f t="shared" si="344"/>
        <v>1</v>
      </c>
      <c r="BO149" s="8">
        <f t="shared" si="344"/>
        <v>1</v>
      </c>
      <c r="BP149" s="8">
        <f t="shared" si="344"/>
        <v>1</v>
      </c>
      <c r="BQ149" s="8">
        <f t="shared" si="344"/>
        <v>1</v>
      </c>
      <c r="BR149" s="8">
        <f t="shared" si="344"/>
        <v>1</v>
      </c>
      <c r="BS149" s="8">
        <f t="shared" si="344"/>
        <v>1</v>
      </c>
      <c r="BT149" s="8">
        <f t="shared" ref="BT149:EE149" si="345">+IF(BT$8 = 125, 1, MIN(_xlfn._xlws.FILTER( BT$55:BT$96,  BT$101:BT$142  &gt; 0)))</f>
        <v>1</v>
      </c>
      <c r="BU149" s="8">
        <f t="shared" si="345"/>
        <v>1</v>
      </c>
      <c r="BV149" s="8">
        <f t="shared" si="345"/>
        <v>1</v>
      </c>
      <c r="BW149" s="8">
        <f t="shared" si="345"/>
        <v>1</v>
      </c>
      <c r="BX149" s="8">
        <f t="shared" si="345"/>
        <v>1</v>
      </c>
      <c r="BY149" s="8">
        <f t="shared" si="345"/>
        <v>1</v>
      </c>
      <c r="BZ149" s="8">
        <f t="shared" si="345"/>
        <v>1</v>
      </c>
      <c r="CA149" s="8">
        <f t="shared" si="345"/>
        <v>1</v>
      </c>
      <c r="CB149" s="8">
        <f t="shared" si="345"/>
        <v>1</v>
      </c>
      <c r="CC149" s="8">
        <f t="shared" si="345"/>
        <v>1</v>
      </c>
      <c r="CD149" s="8">
        <f t="shared" si="345"/>
        <v>1</v>
      </c>
      <c r="CE149" s="8">
        <f t="shared" si="345"/>
        <v>1</v>
      </c>
      <c r="CF149" s="8">
        <f t="shared" si="345"/>
        <v>1</v>
      </c>
      <c r="CG149" s="8">
        <f t="shared" si="345"/>
        <v>1</v>
      </c>
      <c r="CH149" s="8">
        <f t="shared" si="345"/>
        <v>1</v>
      </c>
      <c r="CI149" s="8">
        <f t="shared" si="345"/>
        <v>1</v>
      </c>
      <c r="CJ149" s="8">
        <f t="shared" si="345"/>
        <v>1</v>
      </c>
      <c r="CK149" s="8">
        <f t="shared" si="345"/>
        <v>1</v>
      </c>
      <c r="CL149" s="8">
        <f t="shared" si="345"/>
        <v>1</v>
      </c>
      <c r="CM149" s="8">
        <f t="shared" si="345"/>
        <v>1</v>
      </c>
      <c r="CN149" s="8">
        <f t="shared" si="345"/>
        <v>1</v>
      </c>
      <c r="CO149" s="8">
        <f t="shared" si="345"/>
        <v>1</v>
      </c>
      <c r="CP149" s="8">
        <f t="shared" si="345"/>
        <v>1</v>
      </c>
      <c r="CQ149" s="8">
        <f t="shared" si="345"/>
        <v>1</v>
      </c>
      <c r="CR149" s="8">
        <f t="shared" si="345"/>
        <v>1</v>
      </c>
      <c r="CS149" s="8">
        <f t="shared" si="345"/>
        <v>1</v>
      </c>
      <c r="CT149" s="8">
        <f t="shared" si="345"/>
        <v>1</v>
      </c>
      <c r="CU149" s="8">
        <f t="shared" si="345"/>
        <v>1</v>
      </c>
      <c r="CV149" s="8">
        <f t="shared" si="345"/>
        <v>1</v>
      </c>
      <c r="CW149" s="8">
        <f t="shared" si="345"/>
        <v>1</v>
      </c>
      <c r="CX149" s="8">
        <f t="shared" si="345"/>
        <v>1</v>
      </c>
      <c r="CY149" s="8">
        <f t="shared" si="345"/>
        <v>1</v>
      </c>
      <c r="CZ149" s="8">
        <f t="shared" si="345"/>
        <v>1</v>
      </c>
      <c r="DA149" s="8">
        <f t="shared" si="345"/>
        <v>1</v>
      </c>
      <c r="DB149" s="8">
        <f t="shared" si="345"/>
        <v>1</v>
      </c>
      <c r="DC149" s="8">
        <f t="shared" si="345"/>
        <v>1</v>
      </c>
      <c r="DD149" s="8">
        <f t="shared" si="345"/>
        <v>1</v>
      </c>
      <c r="DE149" s="8">
        <f t="shared" si="345"/>
        <v>1</v>
      </c>
      <c r="DF149" s="8">
        <f t="shared" si="345"/>
        <v>1</v>
      </c>
      <c r="DG149" s="8">
        <f t="shared" si="345"/>
        <v>1</v>
      </c>
      <c r="DH149" s="8">
        <f t="shared" si="345"/>
        <v>1</v>
      </c>
      <c r="DI149" s="8">
        <f t="shared" si="345"/>
        <v>1</v>
      </c>
      <c r="DJ149" s="8">
        <f t="shared" si="345"/>
        <v>1</v>
      </c>
      <c r="DK149" s="8">
        <f t="shared" si="345"/>
        <v>1.0001209282381311</v>
      </c>
      <c r="DL149" s="8">
        <f t="shared" si="345"/>
        <v>1.000321303135874</v>
      </c>
      <c r="DM149" s="8">
        <f t="shared" si="345"/>
        <v>1</v>
      </c>
      <c r="DN149" s="8">
        <f t="shared" si="345"/>
        <v>1</v>
      </c>
      <c r="DO149" s="8">
        <f t="shared" si="345"/>
        <v>1.0000514705482166</v>
      </c>
      <c r="DP149" s="8">
        <f t="shared" si="345"/>
        <v>1</v>
      </c>
      <c r="DQ149" s="8">
        <f t="shared" si="345"/>
        <v>1</v>
      </c>
      <c r="DR149" s="8">
        <f t="shared" si="345"/>
        <v>1</v>
      </c>
      <c r="DS149" s="8">
        <f t="shared" si="345"/>
        <v>1</v>
      </c>
      <c r="DT149" s="8">
        <f t="shared" si="345"/>
        <v>1</v>
      </c>
      <c r="DU149" s="8">
        <f t="shared" si="345"/>
        <v>1</v>
      </c>
      <c r="DV149" s="8">
        <f t="shared" si="345"/>
        <v>1.0028093677480745</v>
      </c>
      <c r="DW149" s="8">
        <f t="shared" si="345"/>
        <v>1.0008350311609679</v>
      </c>
      <c r="DX149" s="8">
        <f t="shared" si="345"/>
        <v>1.0038513805404945</v>
      </c>
      <c r="DY149" s="8">
        <f t="shared" si="345"/>
        <v>1.0045542200871611</v>
      </c>
      <c r="DZ149" s="8">
        <f t="shared" si="345"/>
        <v>1.0041088153957449</v>
      </c>
      <c r="EA149" s="8">
        <f t="shared" si="345"/>
        <v>1</v>
      </c>
      <c r="EB149" s="8">
        <f t="shared" si="345"/>
        <v>1.3675475560509522</v>
      </c>
      <c r="EC149" s="8">
        <f t="shared" si="345"/>
        <v>1.2738147109073288</v>
      </c>
      <c r="ED149" s="8">
        <f t="shared" si="345"/>
        <v>1.0145020377408029</v>
      </c>
      <c r="EE149" s="8">
        <f t="shared" si="345"/>
        <v>0.81929431592655433</v>
      </c>
      <c r="EF149" s="8">
        <f t="shared" ref="EF149:GQ149" si="346">+IF(EF$8 = 125, 1, MIN(_xlfn._xlws.FILTER( EF$55:EF$96,  EF$101:EF$142  &gt; 0)))</f>
        <v>0.96956276866445912</v>
      </c>
      <c r="EG149" s="8">
        <f t="shared" si="346"/>
        <v>0.9449726518190612</v>
      </c>
      <c r="EH149" s="8">
        <f t="shared" si="346"/>
        <v>0.95743236847972324</v>
      </c>
      <c r="EI149" s="8">
        <f t="shared" si="346"/>
        <v>0.94482422506786878</v>
      </c>
      <c r="EJ149" s="8">
        <f t="shared" si="346"/>
        <v>0.97073092901553282</v>
      </c>
      <c r="EK149" s="8">
        <f t="shared" si="346"/>
        <v>0.9954760456352123</v>
      </c>
      <c r="EL149" s="8">
        <f t="shared" si="346"/>
        <v>0.97485808084962644</v>
      </c>
      <c r="EM149" s="8">
        <f t="shared" si="346"/>
        <v>0.99157273903679055</v>
      </c>
      <c r="EN149" s="8">
        <f t="shared" si="346"/>
        <v>0.9179401477250787</v>
      </c>
      <c r="EO149" s="8">
        <f t="shared" si="346"/>
        <v>0.98746219469783636</v>
      </c>
      <c r="EP149" s="8">
        <f t="shared" si="346"/>
        <v>0.98133406214069552</v>
      </c>
      <c r="EQ149" s="8">
        <f t="shared" si="346"/>
        <v>0.97275285512061604</v>
      </c>
      <c r="ER149" s="8">
        <f t="shared" si="346"/>
        <v>0.94845055853808191</v>
      </c>
      <c r="ES149" s="8">
        <f t="shared" si="346"/>
        <v>0.98009710934706618</v>
      </c>
      <c r="ET149" s="8">
        <f t="shared" si="346"/>
        <v>0.99256385290832194</v>
      </c>
      <c r="EU149" s="8">
        <f t="shared" si="346"/>
        <v>0.99089254709697272</v>
      </c>
      <c r="EV149" s="8">
        <f t="shared" si="346"/>
        <v>0.99894608447042366</v>
      </c>
      <c r="EW149" s="8">
        <f t="shared" si="346"/>
        <v>0.94678211549530678</v>
      </c>
      <c r="EX149" s="8">
        <f t="shared" si="346"/>
        <v>0.97120604616036366</v>
      </c>
      <c r="EY149" s="8">
        <f t="shared" si="346"/>
        <v>0.99294172688117543</v>
      </c>
      <c r="EZ149" s="8">
        <f t="shared" si="346"/>
        <v>0.99992757501184226</v>
      </c>
      <c r="FA149" s="8">
        <f t="shared" si="346"/>
        <v>0.99975988279274863</v>
      </c>
      <c r="FB149" s="8">
        <f t="shared" si="346"/>
        <v>0.96928655068883685</v>
      </c>
      <c r="FC149" s="8">
        <f t="shared" si="346"/>
        <v>0.96114246814547677</v>
      </c>
      <c r="FD149" s="8">
        <f t="shared" si="346"/>
        <v>0.99516511968779264</v>
      </c>
      <c r="FE149" s="8">
        <f t="shared" si="346"/>
        <v>0.9963025440865565</v>
      </c>
      <c r="FF149" s="8">
        <f t="shared" si="346"/>
        <v>0.96846866665859355</v>
      </c>
      <c r="FG149" s="8">
        <f t="shared" si="346"/>
        <v>0.97113044889434086</v>
      </c>
      <c r="FH149" s="8">
        <f t="shared" si="346"/>
        <v>0.99975440686658634</v>
      </c>
      <c r="FI149" s="8">
        <f t="shared" si="346"/>
        <v>0.9999878213684481</v>
      </c>
      <c r="FJ149" s="8">
        <f t="shared" si="346"/>
        <v>0.99450299278922505</v>
      </c>
      <c r="FK149" s="8">
        <f t="shared" si="346"/>
        <v>0.94991321611072133</v>
      </c>
      <c r="FL149" s="8">
        <f t="shared" si="346"/>
        <v>0.99823082242343597</v>
      </c>
      <c r="FM149" s="8">
        <f t="shared" si="346"/>
        <v>0.99395932180965862</v>
      </c>
      <c r="FN149" s="8">
        <f t="shared" si="346"/>
        <v>0.99967530316875486</v>
      </c>
      <c r="FO149" s="8">
        <f t="shared" si="346"/>
        <v>0.99109444473380126</v>
      </c>
      <c r="FP149" s="8">
        <f t="shared" si="346"/>
        <v>1</v>
      </c>
      <c r="FQ149" s="8">
        <f t="shared" si="346"/>
        <v>0.99228355008949332</v>
      </c>
      <c r="FR149" s="8">
        <f t="shared" si="346"/>
        <v>0.99337794800927437</v>
      </c>
      <c r="FS149" s="8">
        <f t="shared" si="346"/>
        <v>1</v>
      </c>
      <c r="FT149" s="8">
        <f t="shared" si="346"/>
        <v>1</v>
      </c>
      <c r="FU149" s="8">
        <f t="shared" si="346"/>
        <v>0.98570544905664814</v>
      </c>
      <c r="FV149" s="8">
        <f t="shared" si="346"/>
        <v>0.99979177694550037</v>
      </c>
      <c r="FW149" s="8">
        <f t="shared" si="346"/>
        <v>0.99999932221647203</v>
      </c>
      <c r="FX149" s="8">
        <f t="shared" si="346"/>
        <v>0.99777377906770004</v>
      </c>
      <c r="FY149" s="8">
        <f t="shared" si="346"/>
        <v>0.98388445036458871</v>
      </c>
      <c r="FZ149" s="8">
        <f t="shared" si="346"/>
        <v>0.99291588453777835</v>
      </c>
      <c r="GA149" s="8">
        <f t="shared" si="346"/>
        <v>0.99542841836838403</v>
      </c>
      <c r="GB149" s="8">
        <f t="shared" si="346"/>
        <v>0.99714999585147246</v>
      </c>
      <c r="GC149" s="8">
        <f t="shared" si="346"/>
        <v>1</v>
      </c>
      <c r="GD149" s="8">
        <f t="shared" si="346"/>
        <v>0.99915276474752091</v>
      </c>
      <c r="GE149" s="8">
        <f t="shared" si="346"/>
        <v>1</v>
      </c>
      <c r="GF149" s="8">
        <f t="shared" si="346"/>
        <v>1</v>
      </c>
      <c r="GG149" s="8">
        <f t="shared" si="346"/>
        <v>0.99489201109736602</v>
      </c>
      <c r="GH149" s="8">
        <f t="shared" si="346"/>
        <v>0.96745159873143549</v>
      </c>
      <c r="GI149" s="8">
        <f t="shared" si="346"/>
        <v>1</v>
      </c>
      <c r="GJ149" s="8">
        <f t="shared" si="346"/>
        <v>0.99662203767919222</v>
      </c>
      <c r="GK149" s="8">
        <f t="shared" si="346"/>
        <v>1</v>
      </c>
      <c r="GL149" s="8">
        <f t="shared" si="346"/>
        <v>1</v>
      </c>
      <c r="GM149" s="8">
        <f t="shared" si="346"/>
        <v>0.99834700629841311</v>
      </c>
      <c r="GN149" s="8">
        <f t="shared" si="346"/>
        <v>1</v>
      </c>
      <c r="GO149" s="8">
        <f t="shared" si="346"/>
        <v>1</v>
      </c>
      <c r="GP149" s="8">
        <f t="shared" si="346"/>
        <v>0.99001651470556029</v>
      </c>
      <c r="GQ149" s="8">
        <f t="shared" si="346"/>
        <v>0.99992074644196016</v>
      </c>
      <c r="GR149" s="8">
        <f t="shared" ref="GR149:IV149" si="347">+IF(GR$8 = 125, 1, MIN(_xlfn._xlws.FILTER( GR$55:GR$96,  GR$101:GR$142  &gt; 0)))</f>
        <v>0.99999773605803799</v>
      </c>
      <c r="GS149" s="8">
        <f t="shared" si="347"/>
        <v>0.99797181488162823</v>
      </c>
      <c r="GT149" s="8">
        <f t="shared" si="347"/>
        <v>1</v>
      </c>
      <c r="GU149" s="8">
        <f t="shared" si="347"/>
        <v>0.99923838595047276</v>
      </c>
      <c r="GV149" s="8">
        <f t="shared" si="347"/>
        <v>0.99977102240834215</v>
      </c>
      <c r="GW149" s="8">
        <f t="shared" si="347"/>
        <v>1</v>
      </c>
      <c r="GX149" s="8">
        <f t="shared" si="347"/>
        <v>1</v>
      </c>
      <c r="GY149" s="8">
        <f t="shared" si="347"/>
        <v>0.99844117915148867</v>
      </c>
      <c r="GZ149" s="8">
        <f t="shared" si="347"/>
        <v>1</v>
      </c>
      <c r="HA149" s="8">
        <f t="shared" si="347"/>
        <v>1</v>
      </c>
      <c r="HB149" s="8">
        <f t="shared" si="347"/>
        <v>0.99373348785414362</v>
      </c>
      <c r="HC149" s="8">
        <f t="shared" si="347"/>
        <v>1</v>
      </c>
      <c r="HD149" s="8">
        <f t="shared" si="347"/>
        <v>1</v>
      </c>
      <c r="HE149" s="8">
        <f t="shared" si="347"/>
        <v>1</v>
      </c>
      <c r="HF149" s="8">
        <f t="shared" si="347"/>
        <v>1</v>
      </c>
      <c r="HG149" s="8">
        <f t="shared" si="347"/>
        <v>1</v>
      </c>
      <c r="HH149" s="8">
        <f t="shared" si="347"/>
        <v>1</v>
      </c>
      <c r="HI149" s="8">
        <f t="shared" si="347"/>
        <v>0.99856893901124744</v>
      </c>
      <c r="HJ149" s="8">
        <f t="shared" si="347"/>
        <v>1</v>
      </c>
      <c r="HK149" s="8">
        <f t="shared" si="347"/>
        <v>1</v>
      </c>
      <c r="HL149" s="8">
        <f t="shared" si="347"/>
        <v>1</v>
      </c>
      <c r="HM149" s="8">
        <f t="shared" si="347"/>
        <v>1</v>
      </c>
      <c r="HN149" s="8">
        <f t="shared" si="347"/>
        <v>1</v>
      </c>
      <c r="HO149" s="8">
        <f t="shared" si="347"/>
        <v>1</v>
      </c>
      <c r="HP149" s="8">
        <f t="shared" si="347"/>
        <v>1</v>
      </c>
      <c r="HQ149" s="8">
        <f t="shared" si="347"/>
        <v>1</v>
      </c>
      <c r="HR149" s="8">
        <f t="shared" si="347"/>
        <v>1</v>
      </c>
      <c r="HS149" s="8">
        <f t="shared" si="347"/>
        <v>1</v>
      </c>
      <c r="HT149" s="8">
        <f t="shared" si="347"/>
        <v>1</v>
      </c>
      <c r="HU149" s="8">
        <f t="shared" si="347"/>
        <v>1</v>
      </c>
      <c r="HV149" s="8">
        <f t="shared" si="347"/>
        <v>1</v>
      </c>
      <c r="HW149" s="8">
        <f t="shared" si="347"/>
        <v>1</v>
      </c>
      <c r="HX149" s="8">
        <f t="shared" si="347"/>
        <v>1</v>
      </c>
      <c r="HY149" s="8">
        <f t="shared" si="347"/>
        <v>1</v>
      </c>
      <c r="HZ149" s="8">
        <f t="shared" si="347"/>
        <v>1</v>
      </c>
      <c r="IA149" s="8">
        <f t="shared" si="347"/>
        <v>1</v>
      </c>
      <c r="IB149" s="8">
        <f t="shared" si="347"/>
        <v>1</v>
      </c>
      <c r="IC149" s="8">
        <f t="shared" si="347"/>
        <v>1</v>
      </c>
      <c r="ID149" s="8">
        <f t="shared" si="347"/>
        <v>1</v>
      </c>
      <c r="IE149" s="8">
        <f t="shared" si="347"/>
        <v>1</v>
      </c>
      <c r="IF149" s="8">
        <f t="shared" si="347"/>
        <v>1.0001209282381311</v>
      </c>
      <c r="IG149" s="8">
        <f t="shared" si="347"/>
        <v>1.000321303135874</v>
      </c>
      <c r="IH149" s="8">
        <f t="shared" si="347"/>
        <v>1</v>
      </c>
      <c r="II149" s="8">
        <f t="shared" si="347"/>
        <v>1</v>
      </c>
      <c r="IJ149" s="8">
        <f t="shared" si="347"/>
        <v>1.0000514705482166</v>
      </c>
      <c r="IK149" s="8">
        <f t="shared" si="347"/>
        <v>1</v>
      </c>
      <c r="IL149" s="8">
        <f t="shared" si="347"/>
        <v>1</v>
      </c>
      <c r="IM149" s="8">
        <f t="shared" si="347"/>
        <v>1</v>
      </c>
      <c r="IN149" s="8">
        <f t="shared" si="347"/>
        <v>1</v>
      </c>
      <c r="IO149" s="8">
        <f t="shared" si="347"/>
        <v>1</v>
      </c>
      <c r="IP149" s="8">
        <f t="shared" si="347"/>
        <v>1</v>
      </c>
      <c r="IQ149" s="8">
        <f t="shared" si="347"/>
        <v>1.0030217642827521</v>
      </c>
      <c r="IR149" s="8">
        <f t="shared" si="347"/>
        <v>1.0008350311609679</v>
      </c>
      <c r="IS149" s="8">
        <f t="shared" si="347"/>
        <v>1.0055498790859507</v>
      </c>
      <c r="IT149" s="8">
        <f t="shared" si="347"/>
        <v>1.0050872730680325</v>
      </c>
      <c r="IU149" s="8">
        <f t="shared" si="347"/>
        <v>1.0045545119089383</v>
      </c>
      <c r="IV149" s="8">
        <f t="shared" si="347"/>
        <v>1</v>
      </c>
    </row>
    <row r="150" spans="2:256" x14ac:dyDescent="0.2">
      <c r="F150" s="15" t="s">
        <v>10</v>
      </c>
      <c r="G150" s="8">
        <f>+IF(G$8 = 125, 1, MAX(_xlfn._xlws.FILTER( G$55:G$96,  G$101:G$142  &gt; 0)))</f>
        <v>3625.8458969224207</v>
      </c>
      <c r="H150" s="8">
        <f t="shared" ref="H150:BS150" si="348">+IF(H$8 = 125, 1, MAX(_xlfn._xlws.FILTER( H$55:H$96,  H$101:H$142  &gt; 0)))</f>
        <v>10.859343356463468</v>
      </c>
      <c r="I150" s="8">
        <f t="shared" si="348"/>
        <v>2.5896982209983563</v>
      </c>
      <c r="J150" s="8">
        <f t="shared" si="348"/>
        <v>2.0806987908591554</v>
      </c>
      <c r="K150" s="8">
        <f t="shared" si="348"/>
        <v>1.2378382378886919</v>
      </c>
      <c r="L150" s="8">
        <f t="shared" si="348"/>
        <v>1.3528845163625209</v>
      </c>
      <c r="M150" s="8">
        <f t="shared" si="348"/>
        <v>1.0710433386207234</v>
      </c>
      <c r="N150" s="8">
        <f t="shared" si="348"/>
        <v>1.1291718071096848</v>
      </c>
      <c r="O150" s="8">
        <f t="shared" si="348"/>
        <v>1.1108791718455686</v>
      </c>
      <c r="P150" s="8">
        <f t="shared" si="348"/>
        <v>1.0531640686441193</v>
      </c>
      <c r="Q150" s="8">
        <f t="shared" si="348"/>
        <v>1.0299733784242413</v>
      </c>
      <c r="R150" s="8">
        <f t="shared" si="348"/>
        <v>1.0166305322459575</v>
      </c>
      <c r="S150" s="8">
        <f t="shared" si="348"/>
        <v>1.1170744108588266</v>
      </c>
      <c r="T150" s="8">
        <f t="shared" si="348"/>
        <v>1.0209822102922319</v>
      </c>
      <c r="U150" s="8">
        <f t="shared" si="348"/>
        <v>1.0081133039105583</v>
      </c>
      <c r="V150" s="8">
        <f t="shared" si="348"/>
        <v>1.0334757267552797</v>
      </c>
      <c r="W150" s="8">
        <f t="shared" si="348"/>
        <v>1.0142122616813387</v>
      </c>
      <c r="X150" s="8">
        <f t="shared" si="348"/>
        <v>1.0647041485318844</v>
      </c>
      <c r="Y150" s="8">
        <f t="shared" si="348"/>
        <v>1.0052274247779907</v>
      </c>
      <c r="Z150" s="8">
        <f t="shared" si="348"/>
        <v>1.0375619902239752</v>
      </c>
      <c r="AA150" s="8">
        <f t="shared" si="348"/>
        <v>1.0113305650112336</v>
      </c>
      <c r="AB150" s="8">
        <f t="shared" si="348"/>
        <v>1.0050677043417202</v>
      </c>
      <c r="AC150" s="8">
        <f t="shared" si="348"/>
        <v>1.0108572921214782</v>
      </c>
      <c r="AD150" s="8">
        <f t="shared" si="348"/>
        <v>1.1042002010255219</v>
      </c>
      <c r="AE150" s="8">
        <f t="shared" si="348"/>
        <v>1.0249027418289169</v>
      </c>
      <c r="AF150" s="8">
        <f t="shared" si="348"/>
        <v>1.0081129952207819</v>
      </c>
      <c r="AG150" s="8">
        <f t="shared" si="348"/>
        <v>1.0074039206312708</v>
      </c>
      <c r="AH150" s="8">
        <f t="shared" si="348"/>
        <v>1.0109344452803706</v>
      </c>
      <c r="AI150" s="8">
        <f t="shared" si="348"/>
        <v>1.021183382252421</v>
      </c>
      <c r="AJ150" s="8">
        <f t="shared" si="348"/>
        <v>1.0057032134014454</v>
      </c>
      <c r="AK150" s="8">
        <f t="shared" si="348"/>
        <v>1.0187325366167419</v>
      </c>
      <c r="AL150" s="8">
        <f t="shared" si="348"/>
        <v>1.0293537255963126</v>
      </c>
      <c r="AM150" s="8">
        <f t="shared" si="348"/>
        <v>1.0042391631171281</v>
      </c>
      <c r="AN150" s="8">
        <f t="shared" si="348"/>
        <v>1.0042087389284411</v>
      </c>
      <c r="AO150" s="8">
        <f t="shared" si="348"/>
        <v>1.0307197522978446</v>
      </c>
      <c r="AP150" s="8">
        <f t="shared" si="348"/>
        <v>1.0148694400911664</v>
      </c>
      <c r="AQ150" s="8">
        <f t="shared" si="348"/>
        <v>1.0046979794218989</v>
      </c>
      <c r="AR150" s="8">
        <f t="shared" si="348"/>
        <v>1.0120055890916979</v>
      </c>
      <c r="AS150" s="8">
        <f t="shared" si="348"/>
        <v>1.0272659903613817</v>
      </c>
      <c r="AT150" s="8">
        <f t="shared" si="348"/>
        <v>1.0105284425932031</v>
      </c>
      <c r="AU150" s="8">
        <f t="shared" si="348"/>
        <v>1.0057598852284155</v>
      </c>
      <c r="AV150" s="8">
        <f t="shared" si="348"/>
        <v>1.0061810980779777</v>
      </c>
      <c r="AW150" s="8">
        <f t="shared" si="348"/>
        <v>1.0863283438790383</v>
      </c>
      <c r="AX150" s="8">
        <f t="shared" si="348"/>
        <v>1.0149363055083842</v>
      </c>
      <c r="AY150" s="8">
        <f t="shared" si="348"/>
        <v>1.0051759315121638</v>
      </c>
      <c r="AZ150" s="8">
        <f t="shared" si="348"/>
        <v>1.0026955902059109</v>
      </c>
      <c r="BA150" s="8">
        <f t="shared" si="348"/>
        <v>1.011308671816842</v>
      </c>
      <c r="BB150" s="8">
        <f t="shared" si="348"/>
        <v>1.0057468375530607</v>
      </c>
      <c r="BC150" s="8">
        <f t="shared" si="348"/>
        <v>1.0034118364034621</v>
      </c>
      <c r="BD150" s="8">
        <f t="shared" si="348"/>
        <v>1.0095268845157801</v>
      </c>
      <c r="BE150" s="8">
        <f t="shared" si="348"/>
        <v>1.0044641245229826</v>
      </c>
      <c r="BF150" s="8">
        <f t="shared" si="348"/>
        <v>1.0178300356473484</v>
      </c>
      <c r="BG150" s="8">
        <f t="shared" si="348"/>
        <v>1.0051293336108398</v>
      </c>
      <c r="BH150" s="8">
        <f t="shared" si="348"/>
        <v>1.0174221311344702</v>
      </c>
      <c r="BI150" s="8">
        <f t="shared" si="348"/>
        <v>1.0083020206623672</v>
      </c>
      <c r="BJ150" s="8">
        <f t="shared" si="348"/>
        <v>1.0041364132528963</v>
      </c>
      <c r="BK150" s="8">
        <f t="shared" si="348"/>
        <v>1.0063762516037158</v>
      </c>
      <c r="BL150" s="8">
        <f t="shared" si="348"/>
        <v>1.0744196910728119</v>
      </c>
      <c r="BM150" s="8">
        <f t="shared" si="348"/>
        <v>1.023388342671373</v>
      </c>
      <c r="BN150" s="8">
        <f t="shared" si="348"/>
        <v>1.0078542746458126</v>
      </c>
      <c r="BO150" s="8">
        <f t="shared" si="348"/>
        <v>1.0185496674774066</v>
      </c>
      <c r="BP150" s="8">
        <f t="shared" si="348"/>
        <v>1.0086672242400248</v>
      </c>
      <c r="BQ150" s="8">
        <f t="shared" si="348"/>
        <v>1.0036393670123287</v>
      </c>
      <c r="BR150" s="8">
        <f t="shared" si="348"/>
        <v>1.0050533071243481</v>
      </c>
      <c r="BS150" s="8">
        <f t="shared" si="348"/>
        <v>1.0046967465545662</v>
      </c>
      <c r="BT150" s="8">
        <f t="shared" ref="BT150:EE150" si="349">+IF(BT$8 = 125, 1, MAX(_xlfn._xlws.FILTER( BT$55:BT$96,  BT$101:BT$142  &gt; 0)))</f>
        <v>1.0047957195559054</v>
      </c>
      <c r="BU150" s="8">
        <f t="shared" si="349"/>
        <v>1.0015939900622048</v>
      </c>
      <c r="BV150" s="8">
        <f t="shared" si="349"/>
        <v>1.0042312567117699</v>
      </c>
      <c r="BW150" s="8">
        <f t="shared" si="349"/>
        <v>1.0045702766111617</v>
      </c>
      <c r="BX150" s="8">
        <f t="shared" si="349"/>
        <v>1.0046322703570276</v>
      </c>
      <c r="BY150" s="8">
        <f t="shared" si="349"/>
        <v>1.0038794576873695</v>
      </c>
      <c r="BZ150" s="8">
        <f t="shared" si="349"/>
        <v>1.0041768597562546</v>
      </c>
      <c r="CA150" s="8">
        <f t="shared" si="349"/>
        <v>1.0071763757623968</v>
      </c>
      <c r="CB150" s="8">
        <f t="shared" si="349"/>
        <v>1.0060294413347768</v>
      </c>
      <c r="CC150" s="8">
        <f t="shared" si="349"/>
        <v>1.0061410945865727</v>
      </c>
      <c r="CD150" s="8">
        <f t="shared" si="349"/>
        <v>1.0039107872568227</v>
      </c>
      <c r="CE150" s="8">
        <f t="shared" si="349"/>
        <v>1.0031192220748513</v>
      </c>
      <c r="CF150" s="8">
        <f t="shared" si="349"/>
        <v>1.0165065744535053</v>
      </c>
      <c r="CG150" s="8">
        <f t="shared" si="349"/>
        <v>1.0044707620656681</v>
      </c>
      <c r="CH150" s="8">
        <f t="shared" si="349"/>
        <v>1.0015753024432361</v>
      </c>
      <c r="CI150" s="8">
        <f t="shared" si="349"/>
        <v>1.0065618169205441</v>
      </c>
      <c r="CJ150" s="8">
        <f t="shared" si="349"/>
        <v>1.0027594406945468</v>
      </c>
      <c r="CK150" s="8">
        <f t="shared" si="349"/>
        <v>1.0069219778738117</v>
      </c>
      <c r="CL150" s="8">
        <f t="shared" si="349"/>
        <v>1.0043528700143787</v>
      </c>
      <c r="CM150" s="8">
        <f t="shared" si="349"/>
        <v>1.0034119152510699</v>
      </c>
      <c r="CN150" s="8">
        <f t="shared" si="349"/>
        <v>1.0022651832739244</v>
      </c>
      <c r="CO150" s="8">
        <f t="shared" si="349"/>
        <v>1.1543980244008196</v>
      </c>
      <c r="CP150" s="8">
        <f t="shared" si="349"/>
        <v>1.0040481908675769</v>
      </c>
      <c r="CQ150" s="8">
        <f t="shared" si="349"/>
        <v>1.0045625776688316</v>
      </c>
      <c r="CR150" s="8">
        <f t="shared" si="349"/>
        <v>1.0034054126654881</v>
      </c>
      <c r="CS150" s="8">
        <f t="shared" si="349"/>
        <v>1.0050069059799684</v>
      </c>
      <c r="CT150" s="8">
        <f t="shared" si="349"/>
        <v>1.0119170024391528</v>
      </c>
      <c r="CU150" s="8">
        <f t="shared" si="349"/>
        <v>1.0055466417708687</v>
      </c>
      <c r="CV150" s="8">
        <f t="shared" si="349"/>
        <v>1.0044208951646267</v>
      </c>
      <c r="CW150" s="8">
        <f t="shared" si="349"/>
        <v>1.0054921366127729</v>
      </c>
      <c r="CX150" s="8">
        <f t="shared" si="349"/>
        <v>1.00316153007394</v>
      </c>
      <c r="CY150" s="8">
        <f t="shared" si="349"/>
        <v>1.0021643497880319</v>
      </c>
      <c r="CZ150" s="8">
        <f t="shared" si="349"/>
        <v>1.0046080774271231</v>
      </c>
      <c r="DA150" s="8">
        <f t="shared" si="349"/>
        <v>1.0033724429050102</v>
      </c>
      <c r="DB150" s="8">
        <f t="shared" si="349"/>
        <v>1.0055295644287214</v>
      </c>
      <c r="DC150" s="8">
        <f t="shared" si="349"/>
        <v>1.0033173039953065</v>
      </c>
      <c r="DD150" s="8">
        <f t="shared" si="349"/>
        <v>1.003321058450126</v>
      </c>
      <c r="DE150" s="8">
        <f t="shared" si="349"/>
        <v>1.0051706331931496</v>
      </c>
      <c r="DF150" s="8">
        <f t="shared" si="349"/>
        <v>1.0031546525967954</v>
      </c>
      <c r="DG150" s="8">
        <f t="shared" si="349"/>
        <v>1.0047128364424303</v>
      </c>
      <c r="DH150" s="8">
        <f t="shared" si="349"/>
        <v>1.0043842495942799</v>
      </c>
      <c r="DI150" s="8">
        <f t="shared" si="349"/>
        <v>1.0017888846488359</v>
      </c>
      <c r="DJ150" s="8">
        <f t="shared" si="349"/>
        <v>1.003135437994459</v>
      </c>
      <c r="DK150" s="8">
        <f t="shared" si="349"/>
        <v>1.0099576926724358</v>
      </c>
      <c r="DL150" s="8">
        <f t="shared" si="349"/>
        <v>1.002825665896524</v>
      </c>
      <c r="DM150" s="8">
        <f t="shared" si="349"/>
        <v>1.0045494815618163</v>
      </c>
      <c r="DN150" s="8">
        <f t="shared" si="349"/>
        <v>1.004602569664363</v>
      </c>
      <c r="DO150" s="8">
        <f t="shared" si="349"/>
        <v>1.0043564384363206</v>
      </c>
      <c r="DP150" s="8">
        <f t="shared" si="349"/>
        <v>1.0033946270979679</v>
      </c>
      <c r="DQ150" s="8">
        <f t="shared" si="349"/>
        <v>1.0019179463063093</v>
      </c>
      <c r="DR150" s="8">
        <f t="shared" si="349"/>
        <v>1.003456136862988</v>
      </c>
      <c r="DS150" s="8">
        <f t="shared" si="349"/>
        <v>1.0066864242430542</v>
      </c>
      <c r="DT150" s="8">
        <f t="shared" si="349"/>
        <v>1.0043493205600837</v>
      </c>
      <c r="DU150" s="8">
        <f t="shared" si="349"/>
        <v>1.0018132811025249</v>
      </c>
      <c r="DV150" s="8">
        <f t="shared" si="349"/>
        <v>1.0039941211252672</v>
      </c>
      <c r="DW150" s="8">
        <f t="shared" si="349"/>
        <v>1.0034803770733696</v>
      </c>
      <c r="DX150" s="8">
        <f t="shared" si="349"/>
        <v>1.0038513805404945</v>
      </c>
      <c r="DY150" s="8">
        <f t="shared" si="349"/>
        <v>1.0045542200871611</v>
      </c>
      <c r="DZ150" s="8">
        <f t="shared" si="349"/>
        <v>1.0041088153957449</v>
      </c>
      <c r="EA150" s="8">
        <f t="shared" si="349"/>
        <v>1</v>
      </c>
      <c r="EB150" s="8">
        <f t="shared" si="349"/>
        <v>32.060392192521171</v>
      </c>
      <c r="EC150" s="8">
        <f t="shared" si="349"/>
        <v>3.0322220716282864</v>
      </c>
      <c r="ED150" s="8">
        <f t="shared" si="349"/>
        <v>1.731385194908533</v>
      </c>
      <c r="EE150" s="8">
        <f t="shared" si="349"/>
        <v>1.3099223650897285</v>
      </c>
      <c r="EF150" s="8">
        <f t="shared" ref="EF150:GQ150" si="350">+IF(EF$8 = 125, 1, MAX(_xlfn._xlws.FILTER( EF$55:EF$96,  EF$101:EF$142  &gt; 0)))</f>
        <v>1.1655663575832742</v>
      </c>
      <c r="EG150" s="8">
        <f t="shared" si="350"/>
        <v>1.1598945863637664</v>
      </c>
      <c r="EH150" s="8">
        <f t="shared" si="350"/>
        <v>1.0684516689433219</v>
      </c>
      <c r="EI150" s="8">
        <f t="shared" si="350"/>
        <v>1.0407185618752355</v>
      </c>
      <c r="EJ150" s="8">
        <f t="shared" si="350"/>
        <v>1.0200149312254436</v>
      </c>
      <c r="EK150" s="8">
        <f t="shared" si="350"/>
        <v>1.0263831504330465</v>
      </c>
      <c r="EL150" s="8">
        <f t="shared" si="350"/>
        <v>1.0253564162835183</v>
      </c>
      <c r="EM150" s="8">
        <f t="shared" si="350"/>
        <v>1.125656630079624</v>
      </c>
      <c r="EN150" s="8">
        <f t="shared" si="350"/>
        <v>1.0168914595901759</v>
      </c>
      <c r="EO150" s="8">
        <f t="shared" si="350"/>
        <v>1.015434965213303</v>
      </c>
      <c r="EP150" s="8">
        <f t="shared" si="350"/>
        <v>1.0293503856284723</v>
      </c>
      <c r="EQ150" s="8">
        <f t="shared" si="350"/>
        <v>1.018619870682095</v>
      </c>
      <c r="ER150" s="8">
        <f t="shared" si="350"/>
        <v>1.0659891195100379</v>
      </c>
      <c r="ES150" s="8">
        <f t="shared" si="350"/>
        <v>1.0538124346573647</v>
      </c>
      <c r="ET150" s="8">
        <f t="shared" si="350"/>
        <v>1.0072385851940211</v>
      </c>
      <c r="EU150" s="8">
        <f t="shared" si="350"/>
        <v>1.0135632036146267</v>
      </c>
      <c r="EV150" s="8">
        <f t="shared" si="350"/>
        <v>1.0562766604439533</v>
      </c>
      <c r="EW150" s="8">
        <f t="shared" si="350"/>
        <v>1.029617214557891</v>
      </c>
      <c r="EX150" s="8">
        <f t="shared" si="350"/>
        <v>1.0245921805439273</v>
      </c>
      <c r="EY150" s="8">
        <f t="shared" si="350"/>
        <v>1.0385928412335295</v>
      </c>
      <c r="EZ150" s="8">
        <f t="shared" si="350"/>
        <v>1.0058795632511557</v>
      </c>
      <c r="FA150" s="8">
        <f t="shared" si="350"/>
        <v>1.0406109475430263</v>
      </c>
      <c r="FB150" s="8">
        <f t="shared" si="350"/>
        <v>1.0095996535895755</v>
      </c>
      <c r="FC150" s="8">
        <f t="shared" si="350"/>
        <v>1.0162801563019563</v>
      </c>
      <c r="FD150" s="8">
        <f t="shared" si="350"/>
        <v>1.0319051382183388</v>
      </c>
      <c r="FE150" s="8">
        <f t="shared" si="350"/>
        <v>1.0672175065759208</v>
      </c>
      <c r="FF150" s="8">
        <f t="shared" si="350"/>
        <v>1.0022587075813867</v>
      </c>
      <c r="FG150" s="8">
        <f t="shared" si="350"/>
        <v>1.0215423878976135</v>
      </c>
      <c r="FH150" s="8">
        <f t="shared" si="350"/>
        <v>1.0103974544899448</v>
      </c>
      <c r="FI150" s="8">
        <f t="shared" si="350"/>
        <v>1.0180100188032848</v>
      </c>
      <c r="FJ150" s="8">
        <f t="shared" si="350"/>
        <v>1.0194813877689222</v>
      </c>
      <c r="FK150" s="8">
        <f t="shared" si="350"/>
        <v>1.0043933640782456</v>
      </c>
      <c r="FL150" s="8">
        <f t="shared" si="350"/>
        <v>1.020746532973908</v>
      </c>
      <c r="FM150" s="8">
        <f t="shared" si="350"/>
        <v>1.0097192057074227</v>
      </c>
      <c r="FN150" s="8">
        <f t="shared" si="350"/>
        <v>1.0264027712200317</v>
      </c>
      <c r="FO150" s="8">
        <f t="shared" si="350"/>
        <v>1.0872238816716968</v>
      </c>
      <c r="FP150" s="8">
        <f t="shared" si="350"/>
        <v>1.0085425236308729</v>
      </c>
      <c r="FQ150" s="8">
        <f t="shared" si="350"/>
        <v>1.0074060918924554</v>
      </c>
      <c r="FR150" s="8">
        <f t="shared" si="350"/>
        <v>1.0088560670887263</v>
      </c>
      <c r="FS150" s="8">
        <f t="shared" si="350"/>
        <v>1.0071007795916491</v>
      </c>
      <c r="FT150" s="8">
        <f t="shared" si="350"/>
        <v>1.0014908387518786</v>
      </c>
      <c r="FU150" s="8">
        <f t="shared" si="350"/>
        <v>1.0032419309003959</v>
      </c>
      <c r="FV150" s="8">
        <f t="shared" si="350"/>
        <v>1.0136851712820003</v>
      </c>
      <c r="FW150" s="8">
        <f t="shared" si="350"/>
        <v>1.0063208203399061</v>
      </c>
      <c r="FX150" s="8">
        <f t="shared" si="350"/>
        <v>1.00477800825553</v>
      </c>
      <c r="FY150" s="8">
        <f t="shared" si="350"/>
        <v>1.0094695956585742</v>
      </c>
      <c r="FZ150" s="8">
        <f t="shared" si="350"/>
        <v>1.0665595892855835</v>
      </c>
      <c r="GA150" s="8">
        <f t="shared" si="350"/>
        <v>1.0126804922689199</v>
      </c>
      <c r="GB150" s="8">
        <f t="shared" si="350"/>
        <v>1.0014201709764816</v>
      </c>
      <c r="GC150" s="8">
        <f t="shared" si="350"/>
        <v>1.0242226128310643</v>
      </c>
      <c r="GD150" s="8">
        <f t="shared" si="350"/>
        <v>1.0107350344045432</v>
      </c>
      <c r="GE150" s="8">
        <f t="shared" si="350"/>
        <v>1.004692570791371</v>
      </c>
      <c r="GF150" s="8">
        <f t="shared" si="350"/>
        <v>1.0495308043066365</v>
      </c>
      <c r="GG150" s="8">
        <f t="shared" si="350"/>
        <v>1.0260572125254159</v>
      </c>
      <c r="GH150" s="8">
        <f t="shared" si="350"/>
        <v>1.0015702216895364</v>
      </c>
      <c r="GI150" s="8">
        <f t="shared" si="350"/>
        <v>1.0066781689264819</v>
      </c>
      <c r="GJ150" s="8">
        <f t="shared" si="350"/>
        <v>1.0185184299728236</v>
      </c>
      <c r="GK150" s="8">
        <f t="shared" si="350"/>
        <v>1.0081052248107882</v>
      </c>
      <c r="GL150" s="8">
        <f t="shared" si="350"/>
        <v>1.0045456856394284</v>
      </c>
      <c r="GM150" s="8">
        <f t="shared" si="350"/>
        <v>1.0061714160827604</v>
      </c>
      <c r="GN150" s="8">
        <f t="shared" si="350"/>
        <v>1.0100841603611117</v>
      </c>
      <c r="GO150" s="8">
        <f t="shared" si="350"/>
        <v>1.0057740628125356</v>
      </c>
      <c r="GP150" s="8">
        <f t="shared" si="350"/>
        <v>1.0015933517356423</v>
      </c>
      <c r="GQ150" s="8">
        <f t="shared" si="350"/>
        <v>1.0045762842497012</v>
      </c>
      <c r="GR150" s="8">
        <f t="shared" ref="GR150:IV150" si="351">+IF(GR$8 = 125, 1, MAX(_xlfn._xlws.FILTER( GR$55:GR$96,  GR$101:GR$142  &gt; 0)))</f>
        <v>1.0056565757453428</v>
      </c>
      <c r="GS150" s="8">
        <f t="shared" si="351"/>
        <v>1.0053212234356028</v>
      </c>
      <c r="GT150" s="8">
        <f t="shared" si="351"/>
        <v>1.0105611834350863</v>
      </c>
      <c r="GU150" s="8">
        <f t="shared" si="351"/>
        <v>1.0018417778753383</v>
      </c>
      <c r="GV150" s="8">
        <f t="shared" si="351"/>
        <v>1.0079860846992752</v>
      </c>
      <c r="GW150" s="8">
        <f t="shared" si="351"/>
        <v>1.00538956876787</v>
      </c>
      <c r="GX150" s="8">
        <f t="shared" si="351"/>
        <v>1.0075745444874153</v>
      </c>
      <c r="GY150" s="8">
        <f t="shared" si="351"/>
        <v>1.0047767329024706</v>
      </c>
      <c r="GZ150" s="8">
        <f t="shared" si="351"/>
        <v>1.0038001295544376</v>
      </c>
      <c r="HA150" s="8">
        <f t="shared" si="351"/>
        <v>1.0203806341621071</v>
      </c>
      <c r="HB150" s="8">
        <f t="shared" si="351"/>
        <v>1.0054182840225505</v>
      </c>
      <c r="HC150" s="8">
        <f t="shared" si="351"/>
        <v>1.0018335076666254</v>
      </c>
      <c r="HD150" s="8">
        <f t="shared" si="351"/>
        <v>1.0075502329018418</v>
      </c>
      <c r="HE150" s="8">
        <f t="shared" si="351"/>
        <v>1.0055647166981858</v>
      </c>
      <c r="HF150" s="8">
        <f t="shared" si="351"/>
        <v>1.0269937377727834</v>
      </c>
      <c r="HG150" s="8">
        <f t="shared" si="351"/>
        <v>1.0052389010109264</v>
      </c>
      <c r="HH150" s="8">
        <f t="shared" si="351"/>
        <v>1.0080586991069007</v>
      </c>
      <c r="HI150" s="8">
        <f t="shared" si="351"/>
        <v>1.0515044774382152</v>
      </c>
      <c r="HJ150" s="8">
        <f t="shared" si="351"/>
        <v>1.0063863557075488</v>
      </c>
      <c r="HK150" s="8">
        <f t="shared" si="351"/>
        <v>1.0048929924638477</v>
      </c>
      <c r="HL150" s="8">
        <f t="shared" si="351"/>
        <v>1.0054448349763612</v>
      </c>
      <c r="HM150" s="8">
        <f t="shared" si="351"/>
        <v>1.0040829293737576</v>
      </c>
      <c r="HN150" s="8">
        <f t="shared" si="351"/>
        <v>1.0200986696373655</v>
      </c>
      <c r="HO150" s="8">
        <f t="shared" si="351"/>
        <v>1.0043389360294586</v>
      </c>
      <c r="HP150" s="8">
        <f t="shared" si="351"/>
        <v>1.0066849734243488</v>
      </c>
      <c r="HQ150" s="8">
        <f t="shared" si="351"/>
        <v>1.0044208951646267</v>
      </c>
      <c r="HR150" s="8">
        <f t="shared" si="351"/>
        <v>1.0028697426183311</v>
      </c>
      <c r="HS150" s="8">
        <f t="shared" si="351"/>
        <v>1.0037200594268403</v>
      </c>
      <c r="HT150" s="8">
        <f t="shared" si="351"/>
        <v>1.0026141090722718</v>
      </c>
      <c r="HU150" s="8">
        <f t="shared" si="351"/>
        <v>1.0055907914891049</v>
      </c>
      <c r="HV150" s="8">
        <f t="shared" si="351"/>
        <v>1.0041046980472996</v>
      </c>
      <c r="HW150" s="8">
        <f t="shared" si="351"/>
        <v>1.0119905617859846</v>
      </c>
      <c r="HX150" s="8">
        <f t="shared" si="351"/>
        <v>1.0040385569692003</v>
      </c>
      <c r="HY150" s="8">
        <f t="shared" si="351"/>
        <v>1.0040294802062089</v>
      </c>
      <c r="HZ150" s="8">
        <f t="shared" si="351"/>
        <v>1.0062693757948518</v>
      </c>
      <c r="IA150" s="8">
        <f t="shared" si="351"/>
        <v>1.0038473849356684</v>
      </c>
      <c r="IB150" s="8">
        <f t="shared" si="351"/>
        <v>1.0057310719019268</v>
      </c>
      <c r="IC150" s="8">
        <f t="shared" si="351"/>
        <v>1.0051320856489716</v>
      </c>
      <c r="ID150" s="8">
        <f t="shared" si="351"/>
        <v>1.0025352972800652</v>
      </c>
      <c r="IE150" s="8">
        <f t="shared" si="351"/>
        <v>1.003135437994459</v>
      </c>
      <c r="IF150" s="8">
        <f t="shared" si="351"/>
        <v>1.0116486012308612</v>
      </c>
      <c r="IG150" s="8">
        <f t="shared" si="351"/>
        <v>1.0030711961754293</v>
      </c>
      <c r="IH150" s="8">
        <f t="shared" si="351"/>
        <v>1.0051308130750765</v>
      </c>
      <c r="II150" s="8">
        <f t="shared" si="351"/>
        <v>1.0051894838405588</v>
      </c>
      <c r="IJ150" s="8">
        <f t="shared" si="351"/>
        <v>1.0048905511760744</v>
      </c>
      <c r="IK150" s="8">
        <f t="shared" si="351"/>
        <v>1.0037372892121514</v>
      </c>
      <c r="IL150" s="8">
        <f t="shared" si="351"/>
        <v>1.0023138076539715</v>
      </c>
      <c r="IM150" s="8">
        <f t="shared" si="351"/>
        <v>1.0037650521484949</v>
      </c>
      <c r="IN150" s="8">
        <f t="shared" si="351"/>
        <v>1.0076578031362082</v>
      </c>
      <c r="IO150" s="8">
        <f t="shared" si="351"/>
        <v>1.0043493205600837</v>
      </c>
      <c r="IP150" s="8">
        <f t="shared" si="351"/>
        <v>1.0017302339515308</v>
      </c>
      <c r="IQ150" s="8">
        <f t="shared" si="351"/>
        <v>1.0039941211252672</v>
      </c>
      <c r="IR150" s="8">
        <f t="shared" si="351"/>
        <v>1.0038320575432098</v>
      </c>
      <c r="IS150" s="8">
        <f t="shared" si="351"/>
        <v>1.0055498790859507</v>
      </c>
      <c r="IT150" s="8">
        <f t="shared" si="351"/>
        <v>1.0050872730680325</v>
      </c>
      <c r="IU150" s="8">
        <f t="shared" si="351"/>
        <v>1.0045545119089383</v>
      </c>
      <c r="IV150" s="8">
        <f t="shared" si="351"/>
        <v>1</v>
      </c>
    </row>
    <row r="151" spans="2:256" x14ac:dyDescent="0.2">
      <c r="D151">
        <v>0.3</v>
      </c>
      <c r="F151" s="15" t="s">
        <v>11</v>
      </c>
      <c r="G151" s="8">
        <f>+IF(G$8 = 125, 1, _xlfn.PERCENTILE.INC(_xlfn._xlws.FILTER( G$55:G$96,  G$101:G$142  &gt; 0), $D151))</f>
        <v>8.887458847382236</v>
      </c>
      <c r="H151" s="8">
        <f t="shared" ref="H151:BS152" si="352">+IF(H$8 = 125, 1, _xlfn.PERCENTILE.INC(_xlfn._xlws.FILTER( H$55:H$96,  H$101:H$142  &gt; 0), $D151))</f>
        <v>2.0760163396564901</v>
      </c>
      <c r="I151" s="8">
        <f t="shared" si="352"/>
        <v>1.4738307938100808</v>
      </c>
      <c r="J151" s="8">
        <f t="shared" si="352"/>
        <v>1.1825576740645989</v>
      </c>
      <c r="K151" s="8">
        <f t="shared" si="352"/>
        <v>1.0351281662278131</v>
      </c>
      <c r="L151" s="8">
        <f t="shared" si="352"/>
        <v>1.0095224148103485</v>
      </c>
      <c r="M151" s="8">
        <f t="shared" si="352"/>
        <v>1.0044947201947942</v>
      </c>
      <c r="N151" s="8">
        <f t="shared" si="352"/>
        <v>1.0033427471154597</v>
      </c>
      <c r="O151" s="8">
        <f t="shared" si="352"/>
        <v>1.0003317944171564</v>
      </c>
      <c r="P151" s="8">
        <f t="shared" si="352"/>
        <v>1.0001409536603147</v>
      </c>
      <c r="Q151" s="8">
        <f t="shared" si="352"/>
        <v>1.0000476373554621</v>
      </c>
      <c r="R151" s="8">
        <f t="shared" si="352"/>
        <v>1.0000819287967306</v>
      </c>
      <c r="S151" s="8">
        <f t="shared" si="352"/>
        <v>1.0000654846313328</v>
      </c>
      <c r="T151" s="8">
        <f t="shared" si="352"/>
        <v>1.0002604872356138</v>
      </c>
      <c r="U151" s="8">
        <f t="shared" si="352"/>
        <v>1</v>
      </c>
      <c r="V151" s="8">
        <f t="shared" si="352"/>
        <v>1</v>
      </c>
      <c r="W151" s="8">
        <f t="shared" si="352"/>
        <v>1.0000384208894315</v>
      </c>
      <c r="X151" s="8">
        <f t="shared" si="352"/>
        <v>1</v>
      </c>
      <c r="Y151" s="8">
        <f t="shared" si="352"/>
        <v>1</v>
      </c>
      <c r="Z151" s="8">
        <f t="shared" si="352"/>
        <v>1</v>
      </c>
      <c r="AA151" s="8">
        <f t="shared" si="352"/>
        <v>1</v>
      </c>
      <c r="AB151" s="8">
        <f t="shared" si="352"/>
        <v>1</v>
      </c>
      <c r="AC151" s="8">
        <f t="shared" si="352"/>
        <v>1</v>
      </c>
      <c r="AD151" s="8">
        <f t="shared" si="352"/>
        <v>1.0000053607115891</v>
      </c>
      <c r="AE151" s="8">
        <f t="shared" si="352"/>
        <v>1</v>
      </c>
      <c r="AF151" s="8">
        <f t="shared" si="352"/>
        <v>1</v>
      </c>
      <c r="AG151" s="8">
        <f t="shared" si="352"/>
        <v>1</v>
      </c>
      <c r="AH151" s="8">
        <f t="shared" si="352"/>
        <v>1</v>
      </c>
      <c r="AI151" s="8">
        <f t="shared" si="352"/>
        <v>1</v>
      </c>
      <c r="AJ151" s="8">
        <f t="shared" si="352"/>
        <v>1.0000042803819758</v>
      </c>
      <c r="AK151" s="8">
        <f t="shared" si="352"/>
        <v>1</v>
      </c>
      <c r="AL151" s="8">
        <f t="shared" si="352"/>
        <v>1</v>
      </c>
      <c r="AM151" s="8">
        <f t="shared" si="352"/>
        <v>1</v>
      </c>
      <c r="AN151" s="8">
        <f t="shared" si="352"/>
        <v>1</v>
      </c>
      <c r="AO151" s="8">
        <f t="shared" si="352"/>
        <v>1</v>
      </c>
      <c r="AP151" s="8">
        <f t="shared" si="352"/>
        <v>1</v>
      </c>
      <c r="AQ151" s="8">
        <f t="shared" si="352"/>
        <v>1.0000059532859238</v>
      </c>
      <c r="AR151" s="8">
        <f t="shared" si="352"/>
        <v>1.0000028712174531</v>
      </c>
      <c r="AS151" s="8">
        <f t="shared" si="352"/>
        <v>1</v>
      </c>
      <c r="AT151" s="8">
        <f t="shared" si="352"/>
        <v>1</v>
      </c>
      <c r="AU151" s="8">
        <f t="shared" si="352"/>
        <v>1</v>
      </c>
      <c r="AV151" s="8">
        <f t="shared" si="352"/>
        <v>1</v>
      </c>
      <c r="AW151" s="8">
        <f t="shared" si="352"/>
        <v>1</v>
      </c>
      <c r="AX151" s="8">
        <f t="shared" si="352"/>
        <v>1</v>
      </c>
      <c r="AY151" s="8">
        <f t="shared" si="352"/>
        <v>1</v>
      </c>
      <c r="AZ151" s="8">
        <f t="shared" si="352"/>
        <v>1</v>
      </c>
      <c r="BA151" s="8">
        <f t="shared" si="352"/>
        <v>1</v>
      </c>
      <c r="BB151" s="8">
        <f t="shared" si="352"/>
        <v>1</v>
      </c>
      <c r="BC151" s="8">
        <f t="shared" si="352"/>
        <v>1.0000035785110604</v>
      </c>
      <c r="BD151" s="8">
        <f t="shared" si="352"/>
        <v>1</v>
      </c>
      <c r="BE151" s="8">
        <f t="shared" si="352"/>
        <v>1</v>
      </c>
      <c r="BF151" s="8">
        <f t="shared" si="352"/>
        <v>1</v>
      </c>
      <c r="BG151" s="8">
        <f t="shared" si="352"/>
        <v>1</v>
      </c>
      <c r="BH151" s="8">
        <f t="shared" si="352"/>
        <v>1</v>
      </c>
      <c r="BI151" s="8">
        <f t="shared" si="352"/>
        <v>1</v>
      </c>
      <c r="BJ151" s="8">
        <f t="shared" si="352"/>
        <v>1</v>
      </c>
      <c r="BK151" s="8">
        <f t="shared" si="352"/>
        <v>1</v>
      </c>
      <c r="BL151" s="8">
        <f t="shared" si="352"/>
        <v>1</v>
      </c>
      <c r="BM151" s="8">
        <f t="shared" si="352"/>
        <v>1</v>
      </c>
      <c r="BN151" s="8">
        <f t="shared" si="352"/>
        <v>1.0000239738557162</v>
      </c>
      <c r="BO151" s="8">
        <f t="shared" si="352"/>
        <v>1.0000317337825562</v>
      </c>
      <c r="BP151" s="8">
        <f t="shared" si="352"/>
        <v>1.000131765479549</v>
      </c>
      <c r="BQ151" s="8">
        <f t="shared" si="352"/>
        <v>1</v>
      </c>
      <c r="BR151" s="8">
        <f t="shared" si="352"/>
        <v>1</v>
      </c>
      <c r="BS151" s="8">
        <f t="shared" si="352"/>
        <v>1</v>
      </c>
      <c r="BT151" s="8">
        <f t="shared" ref="BT151:EE152" si="353">+IF(BT$8 = 125, 1, _xlfn.PERCENTILE.INC(_xlfn._xlws.FILTER( BT$55:BT$96,  BT$101:BT$142  &gt; 0), $D151))</f>
        <v>1</v>
      </c>
      <c r="BU151" s="8">
        <f t="shared" si="353"/>
        <v>1</v>
      </c>
      <c r="BV151" s="8">
        <f t="shared" si="353"/>
        <v>1</v>
      </c>
      <c r="BW151" s="8">
        <f t="shared" si="353"/>
        <v>1</v>
      </c>
      <c r="BX151" s="8">
        <f t="shared" si="353"/>
        <v>1</v>
      </c>
      <c r="BY151" s="8">
        <f t="shared" si="353"/>
        <v>1</v>
      </c>
      <c r="BZ151" s="8">
        <f t="shared" si="353"/>
        <v>1</v>
      </c>
      <c r="CA151" s="8">
        <f t="shared" si="353"/>
        <v>1.000065428958304</v>
      </c>
      <c r="CB151" s="8">
        <f t="shared" si="353"/>
        <v>1.0001341771720751</v>
      </c>
      <c r="CC151" s="8">
        <f t="shared" si="353"/>
        <v>1</v>
      </c>
      <c r="CD151" s="8">
        <f t="shared" si="353"/>
        <v>1</v>
      </c>
      <c r="CE151" s="8">
        <f t="shared" si="353"/>
        <v>1</v>
      </c>
      <c r="CF151" s="8">
        <f t="shared" si="353"/>
        <v>1</v>
      </c>
      <c r="CG151" s="8">
        <f t="shared" si="353"/>
        <v>1</v>
      </c>
      <c r="CH151" s="8">
        <f t="shared" si="353"/>
        <v>1</v>
      </c>
      <c r="CI151" s="8">
        <f t="shared" si="353"/>
        <v>1</v>
      </c>
      <c r="CJ151" s="8">
        <f t="shared" si="353"/>
        <v>1</v>
      </c>
      <c r="CK151" s="8">
        <f t="shared" si="353"/>
        <v>1</v>
      </c>
      <c r="CL151" s="8">
        <f t="shared" si="353"/>
        <v>1</v>
      </c>
      <c r="CM151" s="8">
        <f t="shared" si="353"/>
        <v>1.0003717089292352</v>
      </c>
      <c r="CN151" s="8">
        <f t="shared" si="353"/>
        <v>1.000061532176507</v>
      </c>
      <c r="CO151" s="8">
        <f t="shared" si="353"/>
        <v>1</v>
      </c>
      <c r="CP151" s="8">
        <f t="shared" si="353"/>
        <v>1</v>
      </c>
      <c r="CQ151" s="8">
        <f t="shared" si="353"/>
        <v>1</v>
      </c>
      <c r="CR151" s="8">
        <f t="shared" si="353"/>
        <v>1</v>
      </c>
      <c r="CS151" s="8">
        <f t="shared" si="353"/>
        <v>1</v>
      </c>
      <c r="CT151" s="8">
        <f t="shared" si="353"/>
        <v>1</v>
      </c>
      <c r="CU151" s="8">
        <f t="shared" si="353"/>
        <v>1</v>
      </c>
      <c r="CV151" s="8">
        <f t="shared" si="353"/>
        <v>1</v>
      </c>
      <c r="CW151" s="8">
        <f t="shared" si="353"/>
        <v>1</v>
      </c>
      <c r="CX151" s="8">
        <f t="shared" si="353"/>
        <v>1</v>
      </c>
      <c r="CY151" s="8">
        <f t="shared" si="353"/>
        <v>1.0002912920805165</v>
      </c>
      <c r="CZ151" s="8">
        <f t="shared" si="353"/>
        <v>1.0002738083592884</v>
      </c>
      <c r="DA151" s="8">
        <f t="shared" si="353"/>
        <v>1</v>
      </c>
      <c r="DB151" s="8">
        <f t="shared" si="353"/>
        <v>1</v>
      </c>
      <c r="DC151" s="8">
        <f t="shared" si="353"/>
        <v>1.0001005270913557</v>
      </c>
      <c r="DD151" s="8">
        <f t="shared" si="353"/>
        <v>1</v>
      </c>
      <c r="DE151" s="8">
        <f t="shared" si="353"/>
        <v>1</v>
      </c>
      <c r="DF151" s="8">
        <f t="shared" si="353"/>
        <v>1</v>
      </c>
      <c r="DG151" s="8">
        <f t="shared" si="353"/>
        <v>1</v>
      </c>
      <c r="DH151" s="8">
        <f t="shared" si="353"/>
        <v>1</v>
      </c>
      <c r="DI151" s="8">
        <f t="shared" si="353"/>
        <v>1</v>
      </c>
      <c r="DJ151" s="8">
        <f t="shared" si="353"/>
        <v>1.0002564274453061</v>
      </c>
      <c r="DK151" s="8">
        <f t="shared" si="353"/>
        <v>1.0006972019118177</v>
      </c>
      <c r="DL151" s="8">
        <f t="shared" si="353"/>
        <v>1.0004025658832825</v>
      </c>
      <c r="DM151" s="8">
        <f t="shared" si="353"/>
        <v>1</v>
      </c>
      <c r="DN151" s="8">
        <f t="shared" si="353"/>
        <v>1</v>
      </c>
      <c r="DO151" s="8">
        <f t="shared" si="353"/>
        <v>1.0007031683645964</v>
      </c>
      <c r="DP151" s="8">
        <f t="shared" si="353"/>
        <v>1</v>
      </c>
      <c r="DQ151" s="8">
        <f t="shared" si="353"/>
        <v>1</v>
      </c>
      <c r="DR151" s="8">
        <f t="shared" si="353"/>
        <v>1</v>
      </c>
      <c r="DS151" s="8">
        <f t="shared" si="353"/>
        <v>1.000217269338618</v>
      </c>
      <c r="DT151" s="8">
        <f t="shared" si="353"/>
        <v>1.0014130761270028</v>
      </c>
      <c r="DU151" s="8">
        <f t="shared" si="353"/>
        <v>1.0005439843307575</v>
      </c>
      <c r="DV151" s="8">
        <f t="shared" si="353"/>
        <v>1.0031647937612322</v>
      </c>
      <c r="DW151" s="8">
        <f t="shared" si="353"/>
        <v>1.0016286349346883</v>
      </c>
      <c r="DX151" s="8">
        <f t="shared" si="353"/>
        <v>1.0038513805404945</v>
      </c>
      <c r="DY151" s="8">
        <f t="shared" si="353"/>
        <v>1.0045542200871611</v>
      </c>
      <c r="DZ151" s="8">
        <f t="shared" si="353"/>
        <v>1.0041088153957449</v>
      </c>
      <c r="EA151" s="8">
        <f t="shared" si="353"/>
        <v>1</v>
      </c>
      <c r="EB151" s="8">
        <f t="shared" si="353"/>
        <v>2.35774854747465</v>
      </c>
      <c r="EC151" s="8">
        <f t="shared" si="353"/>
        <v>1.4593129544194026</v>
      </c>
      <c r="ED151" s="8">
        <f t="shared" si="353"/>
        <v>1.1618050596979654</v>
      </c>
      <c r="EE151" s="8">
        <f t="shared" si="353"/>
        <v>1.0135577943971259</v>
      </c>
      <c r="EF151" s="8">
        <f t="shared" ref="EF151:GQ152" si="354">+IF(EF$8 = 125, 1, _xlfn.PERCENTILE.INC(_xlfn._xlws.FILTER( EF$55:EF$96,  EF$101:EF$142  &gt; 0), $D151))</f>
        <v>1.000437247293708</v>
      </c>
      <c r="EG151" s="8">
        <f t="shared" si="354"/>
        <v>0.99972900203904191</v>
      </c>
      <c r="EH151" s="8">
        <f t="shared" si="354"/>
        <v>0.99999053577279784</v>
      </c>
      <c r="EI151" s="8">
        <f t="shared" si="354"/>
        <v>0.9999648160971677</v>
      </c>
      <c r="EJ151" s="8">
        <f t="shared" si="354"/>
        <v>0.99976816097283849</v>
      </c>
      <c r="EK151" s="8">
        <f t="shared" si="354"/>
        <v>1.0000362334927835</v>
      </c>
      <c r="EL151" s="8">
        <f t="shared" si="354"/>
        <v>1.000000030006331</v>
      </c>
      <c r="EM151" s="8">
        <f t="shared" si="354"/>
        <v>0.99999885752618034</v>
      </c>
      <c r="EN151" s="8">
        <f t="shared" si="354"/>
        <v>1.0000329415814624</v>
      </c>
      <c r="EO151" s="8">
        <f t="shared" si="354"/>
        <v>1.0000006300695421</v>
      </c>
      <c r="EP151" s="8">
        <f t="shared" si="354"/>
        <v>1</v>
      </c>
      <c r="EQ151" s="8">
        <f t="shared" si="354"/>
        <v>0.99999894187734084</v>
      </c>
      <c r="ER151" s="8">
        <f t="shared" si="354"/>
        <v>1</v>
      </c>
      <c r="ES151" s="8">
        <f t="shared" si="354"/>
        <v>1</v>
      </c>
      <c r="ET151" s="8">
        <f t="shared" si="354"/>
        <v>1</v>
      </c>
      <c r="EU151" s="8">
        <f t="shared" si="354"/>
        <v>1</v>
      </c>
      <c r="EV151" s="8">
        <f t="shared" si="354"/>
        <v>1</v>
      </c>
      <c r="EW151" s="8">
        <f t="shared" si="354"/>
        <v>1</v>
      </c>
      <c r="EX151" s="8">
        <f t="shared" si="354"/>
        <v>1</v>
      </c>
      <c r="EY151" s="8">
        <f t="shared" si="354"/>
        <v>1</v>
      </c>
      <c r="EZ151" s="8">
        <f t="shared" si="354"/>
        <v>1</v>
      </c>
      <c r="FA151" s="8">
        <f t="shared" si="354"/>
        <v>1</v>
      </c>
      <c r="FB151" s="8">
        <f t="shared" si="354"/>
        <v>1</v>
      </c>
      <c r="FC151" s="8">
        <f t="shared" si="354"/>
        <v>1</v>
      </c>
      <c r="FD151" s="8">
        <f t="shared" si="354"/>
        <v>1</v>
      </c>
      <c r="FE151" s="8">
        <f t="shared" si="354"/>
        <v>1</v>
      </c>
      <c r="FF151" s="8">
        <f t="shared" si="354"/>
        <v>1</v>
      </c>
      <c r="FG151" s="8">
        <f t="shared" si="354"/>
        <v>1</v>
      </c>
      <c r="FH151" s="8">
        <f t="shared" si="354"/>
        <v>1</v>
      </c>
      <c r="FI151" s="8">
        <f t="shared" si="354"/>
        <v>1</v>
      </c>
      <c r="FJ151" s="8">
        <f t="shared" si="354"/>
        <v>1</v>
      </c>
      <c r="FK151" s="8">
        <f t="shared" si="354"/>
        <v>1</v>
      </c>
      <c r="FL151" s="8">
        <f t="shared" si="354"/>
        <v>1</v>
      </c>
      <c r="FM151" s="8">
        <f t="shared" si="354"/>
        <v>1</v>
      </c>
      <c r="FN151" s="8">
        <f t="shared" si="354"/>
        <v>1</v>
      </c>
      <c r="FO151" s="8">
        <f t="shared" si="354"/>
        <v>1</v>
      </c>
      <c r="FP151" s="8">
        <f t="shared" si="354"/>
        <v>1</v>
      </c>
      <c r="FQ151" s="8">
        <f t="shared" si="354"/>
        <v>1</v>
      </c>
      <c r="FR151" s="8">
        <f t="shared" si="354"/>
        <v>1</v>
      </c>
      <c r="FS151" s="8">
        <f t="shared" si="354"/>
        <v>1</v>
      </c>
      <c r="FT151" s="8">
        <f t="shared" si="354"/>
        <v>1</v>
      </c>
      <c r="FU151" s="8">
        <f t="shared" si="354"/>
        <v>1</v>
      </c>
      <c r="FV151" s="8">
        <f t="shared" si="354"/>
        <v>1</v>
      </c>
      <c r="FW151" s="8">
        <f t="shared" si="354"/>
        <v>1</v>
      </c>
      <c r="FX151" s="8">
        <f t="shared" si="354"/>
        <v>1.0000011170611856</v>
      </c>
      <c r="FY151" s="8">
        <f t="shared" si="354"/>
        <v>1</v>
      </c>
      <c r="FZ151" s="8">
        <f t="shared" si="354"/>
        <v>1</v>
      </c>
      <c r="GA151" s="8">
        <f t="shared" si="354"/>
        <v>1</v>
      </c>
      <c r="GB151" s="8">
        <f t="shared" si="354"/>
        <v>1</v>
      </c>
      <c r="GC151" s="8">
        <f t="shared" si="354"/>
        <v>1</v>
      </c>
      <c r="GD151" s="8">
        <f t="shared" si="354"/>
        <v>1</v>
      </c>
      <c r="GE151" s="8">
        <f t="shared" si="354"/>
        <v>1</v>
      </c>
      <c r="GF151" s="8">
        <f t="shared" si="354"/>
        <v>1</v>
      </c>
      <c r="GG151" s="8">
        <f t="shared" si="354"/>
        <v>1</v>
      </c>
      <c r="GH151" s="8">
        <f t="shared" si="354"/>
        <v>1</v>
      </c>
      <c r="GI151" s="8">
        <f t="shared" si="354"/>
        <v>1.0000239738557153</v>
      </c>
      <c r="GJ151" s="8">
        <f t="shared" si="354"/>
        <v>1.0000071500962495</v>
      </c>
      <c r="GK151" s="8">
        <f t="shared" si="354"/>
        <v>1.000131765479549</v>
      </c>
      <c r="GL151" s="8">
        <f t="shared" si="354"/>
        <v>1</v>
      </c>
      <c r="GM151" s="8">
        <f t="shared" si="354"/>
        <v>1</v>
      </c>
      <c r="GN151" s="8">
        <f t="shared" si="354"/>
        <v>1</v>
      </c>
      <c r="GO151" s="8">
        <f t="shared" si="354"/>
        <v>1</v>
      </c>
      <c r="GP151" s="8">
        <f t="shared" si="354"/>
        <v>1</v>
      </c>
      <c r="GQ151" s="8">
        <f t="shared" si="354"/>
        <v>1</v>
      </c>
      <c r="GR151" s="8">
        <f t="shared" ref="GR151:IV152" si="355">+IF(GR$8 = 125, 1, _xlfn.PERCENTILE.INC(_xlfn._xlws.FILTER( GR$55:GR$96,  GR$101:GR$142  &gt; 0), $D151))</f>
        <v>1</v>
      </c>
      <c r="GS151" s="8">
        <f t="shared" si="355"/>
        <v>1</v>
      </c>
      <c r="GT151" s="8">
        <f t="shared" si="355"/>
        <v>1</v>
      </c>
      <c r="GU151" s="8">
        <f t="shared" si="355"/>
        <v>1</v>
      </c>
      <c r="GV151" s="8">
        <f t="shared" si="355"/>
        <v>1.0000065792197661</v>
      </c>
      <c r="GW151" s="8">
        <f t="shared" si="355"/>
        <v>1.0001341771720751</v>
      </c>
      <c r="GX151" s="8">
        <f t="shared" si="355"/>
        <v>1</v>
      </c>
      <c r="GY151" s="8">
        <f t="shared" si="355"/>
        <v>1</v>
      </c>
      <c r="GZ151" s="8">
        <f t="shared" si="355"/>
        <v>1</v>
      </c>
      <c r="HA151" s="8">
        <f t="shared" si="355"/>
        <v>1</v>
      </c>
      <c r="HB151" s="8">
        <f t="shared" si="355"/>
        <v>1</v>
      </c>
      <c r="HC151" s="8">
        <f t="shared" si="355"/>
        <v>1</v>
      </c>
      <c r="HD151" s="8">
        <f t="shared" si="355"/>
        <v>1</v>
      </c>
      <c r="HE151" s="8">
        <f t="shared" si="355"/>
        <v>1</v>
      </c>
      <c r="HF151" s="8">
        <f t="shared" si="355"/>
        <v>1</v>
      </c>
      <c r="HG151" s="8">
        <f t="shared" si="355"/>
        <v>1</v>
      </c>
      <c r="HH151" s="8">
        <f t="shared" si="355"/>
        <v>1.0003717089292352</v>
      </c>
      <c r="HI151" s="8">
        <f t="shared" si="355"/>
        <v>1.0000346802873177</v>
      </c>
      <c r="HJ151" s="8">
        <f t="shared" si="355"/>
        <v>1</v>
      </c>
      <c r="HK151" s="8">
        <f t="shared" si="355"/>
        <v>1</v>
      </c>
      <c r="HL151" s="8">
        <f t="shared" si="355"/>
        <v>1</v>
      </c>
      <c r="HM151" s="8">
        <f t="shared" si="355"/>
        <v>1</v>
      </c>
      <c r="HN151" s="8">
        <f t="shared" si="355"/>
        <v>1</v>
      </c>
      <c r="HO151" s="8">
        <f t="shared" si="355"/>
        <v>1</v>
      </c>
      <c r="HP151" s="8">
        <f t="shared" si="355"/>
        <v>1</v>
      </c>
      <c r="HQ151" s="8">
        <f t="shared" si="355"/>
        <v>1</v>
      </c>
      <c r="HR151" s="8">
        <f t="shared" si="355"/>
        <v>1</v>
      </c>
      <c r="HS151" s="8">
        <f t="shared" si="355"/>
        <v>1</v>
      </c>
      <c r="HT151" s="8">
        <f t="shared" si="355"/>
        <v>1.0002912920805165</v>
      </c>
      <c r="HU151" s="8">
        <f t="shared" si="355"/>
        <v>1.0002738083592884</v>
      </c>
      <c r="HV151" s="8">
        <f t="shared" si="355"/>
        <v>1</v>
      </c>
      <c r="HW151" s="8">
        <f t="shared" si="355"/>
        <v>1</v>
      </c>
      <c r="HX151" s="8">
        <f t="shared" si="355"/>
        <v>1.0001005270913557</v>
      </c>
      <c r="HY151" s="8">
        <f t="shared" si="355"/>
        <v>1</v>
      </c>
      <c r="HZ151" s="8">
        <f t="shared" si="355"/>
        <v>1</v>
      </c>
      <c r="IA151" s="8">
        <f t="shared" si="355"/>
        <v>1</v>
      </c>
      <c r="IB151" s="8">
        <f t="shared" si="355"/>
        <v>1</v>
      </c>
      <c r="IC151" s="8">
        <f t="shared" si="355"/>
        <v>1</v>
      </c>
      <c r="ID151" s="8">
        <f t="shared" si="355"/>
        <v>1</v>
      </c>
      <c r="IE151" s="8">
        <f t="shared" si="355"/>
        <v>1.0002559125676707</v>
      </c>
      <c r="IF151" s="8">
        <f t="shared" si="355"/>
        <v>1.0006972019118177</v>
      </c>
      <c r="IG151" s="8">
        <f t="shared" si="355"/>
        <v>1.0004025658832825</v>
      </c>
      <c r="IH151" s="8">
        <f t="shared" si="355"/>
        <v>1</v>
      </c>
      <c r="II151" s="8">
        <f t="shared" si="355"/>
        <v>1</v>
      </c>
      <c r="IJ151" s="8">
        <f t="shared" si="355"/>
        <v>1.0007031683645964</v>
      </c>
      <c r="IK151" s="8">
        <f t="shared" si="355"/>
        <v>1</v>
      </c>
      <c r="IL151" s="8">
        <f t="shared" si="355"/>
        <v>1.0000505789499032</v>
      </c>
      <c r="IM151" s="8">
        <f t="shared" si="355"/>
        <v>1</v>
      </c>
      <c r="IN151" s="8">
        <f t="shared" si="355"/>
        <v>1.000217269338618</v>
      </c>
      <c r="IO151" s="8">
        <f t="shared" si="355"/>
        <v>1.0015542964119872</v>
      </c>
      <c r="IP151" s="8">
        <f t="shared" si="355"/>
        <v>1.0005190701854592</v>
      </c>
      <c r="IQ151" s="8">
        <f t="shared" si="355"/>
        <v>1.0033134713355067</v>
      </c>
      <c r="IR151" s="8">
        <f t="shared" si="355"/>
        <v>1.0017341390756405</v>
      </c>
      <c r="IS151" s="8">
        <f t="shared" si="355"/>
        <v>1.0055498790859507</v>
      </c>
      <c r="IT151" s="8">
        <f t="shared" si="355"/>
        <v>1.0050872730680325</v>
      </c>
      <c r="IU151" s="8">
        <f t="shared" si="355"/>
        <v>1.0045545119089383</v>
      </c>
      <c r="IV151" s="8">
        <f t="shared" si="355"/>
        <v>1</v>
      </c>
    </row>
    <row r="152" spans="2:256" x14ac:dyDescent="0.2">
      <c r="D152">
        <v>0.7</v>
      </c>
      <c r="F152" s="15" t="s">
        <v>12</v>
      </c>
      <c r="G152" s="8">
        <f>+IF(G$8 = 125, 1, _xlfn.PERCENTILE.INC(_xlfn._xlws.FILTER( G$55:G$96,  G$101:G$142  &gt; 0), $D152))</f>
        <v>37.614871907515116</v>
      </c>
      <c r="H152" s="8">
        <f t="shared" si="352"/>
        <v>3.389049322433169</v>
      </c>
      <c r="I152" s="8">
        <f t="shared" si="352"/>
        <v>1.7729261439240658</v>
      </c>
      <c r="J152" s="8">
        <f t="shared" si="352"/>
        <v>1.2933979786682475</v>
      </c>
      <c r="K152" s="8">
        <f t="shared" si="352"/>
        <v>1.0881692910929186</v>
      </c>
      <c r="L152" s="8">
        <f t="shared" si="352"/>
        <v>1.0473745478669496</v>
      </c>
      <c r="M152" s="8">
        <f t="shared" si="352"/>
        <v>1.0250035260498547</v>
      </c>
      <c r="N152" s="8">
        <f t="shared" si="352"/>
        <v>1.0151662759345057</v>
      </c>
      <c r="O152" s="8">
        <f t="shared" si="352"/>
        <v>1.0056949740105927</v>
      </c>
      <c r="P152" s="8">
        <f t="shared" si="352"/>
        <v>1.0035248476903156</v>
      </c>
      <c r="Q152" s="8">
        <f t="shared" si="352"/>
        <v>1.0024447950165718</v>
      </c>
      <c r="R152" s="8">
        <f t="shared" si="352"/>
        <v>1.0028283585570903</v>
      </c>
      <c r="S152" s="8">
        <f t="shared" si="352"/>
        <v>1.0013459770342112</v>
      </c>
      <c r="T152" s="8">
        <f t="shared" si="352"/>
        <v>1.0031704590668653</v>
      </c>
      <c r="U152" s="8">
        <f t="shared" si="352"/>
        <v>1.0015229670428571</v>
      </c>
      <c r="V152" s="8">
        <f t="shared" si="352"/>
        <v>1.0002003221316198</v>
      </c>
      <c r="W152" s="8">
        <f t="shared" si="352"/>
        <v>1.0005709479177374</v>
      </c>
      <c r="X152" s="8">
        <f t="shared" si="352"/>
        <v>1.0001954472060168</v>
      </c>
      <c r="Y152" s="8">
        <f t="shared" si="352"/>
        <v>1.0006901118895133</v>
      </c>
      <c r="Z152" s="8">
        <f t="shared" si="352"/>
        <v>1.0009584704544385</v>
      </c>
      <c r="AA152" s="8">
        <f t="shared" si="352"/>
        <v>1.000060151669335</v>
      </c>
      <c r="AB152" s="8">
        <f t="shared" si="352"/>
        <v>1.0000929252842998</v>
      </c>
      <c r="AC152" s="8">
        <f t="shared" si="352"/>
        <v>1.0009751299454712</v>
      </c>
      <c r="AD152" s="8">
        <f t="shared" si="352"/>
        <v>1.0003650651674683</v>
      </c>
      <c r="AE152" s="8">
        <f t="shared" si="352"/>
        <v>1.0005782354731625</v>
      </c>
      <c r="AF152" s="8">
        <f t="shared" si="352"/>
        <v>1.0003278394055057</v>
      </c>
      <c r="AG152" s="8">
        <f t="shared" si="352"/>
        <v>1.0002286254699564</v>
      </c>
      <c r="AH152" s="8">
        <f t="shared" si="352"/>
        <v>1.0000772361029953</v>
      </c>
      <c r="AI152" s="8">
        <f t="shared" si="352"/>
        <v>1.0002829491387564</v>
      </c>
      <c r="AJ152" s="8">
        <f t="shared" si="352"/>
        <v>1.0002414896421059</v>
      </c>
      <c r="AK152" s="8">
        <f t="shared" si="352"/>
        <v>1.0002855288942034</v>
      </c>
      <c r="AL152" s="8">
        <f t="shared" si="352"/>
        <v>1.000513623514339</v>
      </c>
      <c r="AM152" s="8">
        <f t="shared" si="352"/>
        <v>1.0001871507548052</v>
      </c>
      <c r="AN152" s="8">
        <f t="shared" si="352"/>
        <v>1.0000636771593592</v>
      </c>
      <c r="AO152" s="8">
        <f t="shared" si="352"/>
        <v>1.0004990685281236</v>
      </c>
      <c r="AP152" s="8">
        <f t="shared" si="352"/>
        <v>1.0005019348664121</v>
      </c>
      <c r="AQ152" s="8">
        <f t="shared" si="352"/>
        <v>1.0005623992971926</v>
      </c>
      <c r="AR152" s="8">
        <f t="shared" si="352"/>
        <v>1.0005138803250406</v>
      </c>
      <c r="AS152" s="8">
        <f t="shared" si="352"/>
        <v>1.0001901731842664</v>
      </c>
      <c r="AT152" s="8">
        <f t="shared" si="352"/>
        <v>1.0000047042497999</v>
      </c>
      <c r="AU152" s="8">
        <f t="shared" si="352"/>
        <v>1.0001497130444839</v>
      </c>
      <c r="AV152" s="8">
        <f t="shared" si="352"/>
        <v>1.0002104039646551</v>
      </c>
      <c r="AW152" s="8">
        <f t="shared" si="352"/>
        <v>1.0000920819145471</v>
      </c>
      <c r="AX152" s="8">
        <f t="shared" si="352"/>
        <v>1.0002048459051562</v>
      </c>
      <c r="AY152" s="8">
        <f t="shared" si="352"/>
        <v>1.000248324419122</v>
      </c>
      <c r="AZ152" s="8">
        <f t="shared" si="352"/>
        <v>1.0000131601807136</v>
      </c>
      <c r="BA152" s="8">
        <f t="shared" si="352"/>
        <v>1.0003386654300961</v>
      </c>
      <c r="BB152" s="8">
        <f t="shared" si="352"/>
        <v>1.0005111653238856</v>
      </c>
      <c r="BC152" s="8">
        <f t="shared" si="352"/>
        <v>1.0004389091319217</v>
      </c>
      <c r="BD152" s="8">
        <f t="shared" si="352"/>
        <v>1.0002691564524446</v>
      </c>
      <c r="BE152" s="8">
        <f t="shared" si="352"/>
        <v>1.0002329160072692</v>
      </c>
      <c r="BF152" s="8">
        <f t="shared" si="352"/>
        <v>1.0001397380334485</v>
      </c>
      <c r="BG152" s="8">
        <f t="shared" si="352"/>
        <v>1.0000072445815118</v>
      </c>
      <c r="BH152" s="8">
        <f t="shared" si="352"/>
        <v>1.0000213543131478</v>
      </c>
      <c r="BI152" s="8">
        <f t="shared" si="352"/>
        <v>1.0003556094131631</v>
      </c>
      <c r="BJ152" s="8">
        <f t="shared" si="352"/>
        <v>1.0001024117653774</v>
      </c>
      <c r="BK152" s="8">
        <f t="shared" si="352"/>
        <v>1.0001218020607661</v>
      </c>
      <c r="BL152" s="8">
        <f t="shared" si="352"/>
        <v>1.0003024963736091</v>
      </c>
      <c r="BM152" s="8">
        <f t="shared" si="352"/>
        <v>1.0000696888243898</v>
      </c>
      <c r="BN152" s="8">
        <f t="shared" si="352"/>
        <v>1.000774204356909</v>
      </c>
      <c r="BO152" s="8">
        <f t="shared" si="352"/>
        <v>1.0006496976865606</v>
      </c>
      <c r="BP152" s="8">
        <f t="shared" si="352"/>
        <v>1.0003670894693022</v>
      </c>
      <c r="BQ152" s="8">
        <f t="shared" si="352"/>
        <v>1.0001260454218233</v>
      </c>
      <c r="BR152" s="8">
        <f t="shared" si="352"/>
        <v>1</v>
      </c>
      <c r="BS152" s="8">
        <f t="shared" si="352"/>
        <v>1.0002741406905558</v>
      </c>
      <c r="BT152" s="8">
        <f t="shared" si="353"/>
        <v>1.0000739401400431</v>
      </c>
      <c r="BU152" s="8">
        <f t="shared" si="353"/>
        <v>1.0002366895194852</v>
      </c>
      <c r="BV152" s="8">
        <f t="shared" si="353"/>
        <v>1.000125478767949</v>
      </c>
      <c r="BW152" s="8">
        <f t="shared" si="353"/>
        <v>1</v>
      </c>
      <c r="BX152" s="8">
        <f t="shared" si="353"/>
        <v>1.0004094785990962</v>
      </c>
      <c r="BY152" s="8">
        <f t="shared" si="353"/>
        <v>1.0007451758921662</v>
      </c>
      <c r="BZ152" s="8">
        <f t="shared" si="353"/>
        <v>1.0003351966840717</v>
      </c>
      <c r="CA152" s="8">
        <f t="shared" si="353"/>
        <v>1.0009611791471416</v>
      </c>
      <c r="CB152" s="8">
        <f t="shared" si="353"/>
        <v>1.0004985617364601</v>
      </c>
      <c r="CC152" s="8">
        <f t="shared" si="353"/>
        <v>1.0003665177669618</v>
      </c>
      <c r="CD152" s="8">
        <f t="shared" si="353"/>
        <v>1.0000041032649589</v>
      </c>
      <c r="CE152" s="8">
        <f t="shared" si="353"/>
        <v>1.0003413156197531</v>
      </c>
      <c r="CF152" s="8">
        <f t="shared" si="353"/>
        <v>1.0002593174614083</v>
      </c>
      <c r="CG152" s="8">
        <f t="shared" si="353"/>
        <v>1.0003585986997701</v>
      </c>
      <c r="CH152" s="8">
        <f t="shared" si="353"/>
        <v>1.0000546002606947</v>
      </c>
      <c r="CI152" s="8">
        <f t="shared" si="353"/>
        <v>1</v>
      </c>
      <c r="CJ152" s="8">
        <f t="shared" si="353"/>
        <v>1.0005209156729529</v>
      </c>
      <c r="CK152" s="8">
        <f t="shared" si="353"/>
        <v>1.0002966586989652</v>
      </c>
      <c r="CL152" s="8">
        <f t="shared" si="353"/>
        <v>1.0008362233037869</v>
      </c>
      <c r="CM152" s="8">
        <f t="shared" si="353"/>
        <v>1.001420762495588</v>
      </c>
      <c r="CN152" s="8">
        <f t="shared" si="353"/>
        <v>1.0004976845583415</v>
      </c>
      <c r="CO152" s="8">
        <f t="shared" si="353"/>
        <v>1.0002606437038246</v>
      </c>
      <c r="CP152" s="8">
        <f t="shared" si="353"/>
        <v>1.0000982041970981</v>
      </c>
      <c r="CQ152" s="8">
        <f t="shared" si="353"/>
        <v>1.000195601500667</v>
      </c>
      <c r="CR152" s="8">
        <f t="shared" si="353"/>
        <v>1.0011840925803606</v>
      </c>
      <c r="CS152" s="8">
        <f t="shared" si="353"/>
        <v>1.0003242358354245</v>
      </c>
      <c r="CT152" s="8">
        <f t="shared" si="353"/>
        <v>1.0000625873854838</v>
      </c>
      <c r="CU152" s="8">
        <f t="shared" si="353"/>
        <v>1</v>
      </c>
      <c r="CV152" s="8">
        <f t="shared" si="353"/>
        <v>1.0005580570170121</v>
      </c>
      <c r="CW152" s="8">
        <f t="shared" si="353"/>
        <v>1.0004960370450702</v>
      </c>
      <c r="CX152" s="8">
        <f t="shared" si="353"/>
        <v>1.0013552812072275</v>
      </c>
      <c r="CY152" s="8">
        <f t="shared" si="353"/>
        <v>1.0010952457129341</v>
      </c>
      <c r="CZ152" s="8">
        <f t="shared" si="353"/>
        <v>1.0006966508374171</v>
      </c>
      <c r="DA152" s="8">
        <f t="shared" si="353"/>
        <v>1.0002974022122488</v>
      </c>
      <c r="DB152" s="8">
        <f t="shared" si="353"/>
        <v>1.0001204284878775</v>
      </c>
      <c r="DC152" s="8">
        <f t="shared" si="353"/>
        <v>1.0004824780712105</v>
      </c>
      <c r="DD152" s="8">
        <f t="shared" si="353"/>
        <v>1.0000768532379407</v>
      </c>
      <c r="DE152" s="8">
        <f t="shared" si="353"/>
        <v>1.0002491173281096</v>
      </c>
      <c r="DF152" s="8">
        <f t="shared" si="353"/>
        <v>1.0005498598117117</v>
      </c>
      <c r="DG152" s="8">
        <f t="shared" si="353"/>
        <v>1.0006495985704935</v>
      </c>
      <c r="DH152" s="8">
        <f t="shared" si="353"/>
        <v>1.0012730495399698</v>
      </c>
      <c r="DI152" s="8">
        <f t="shared" si="353"/>
        <v>1.0003146382771773</v>
      </c>
      <c r="DJ152" s="8">
        <f t="shared" si="353"/>
        <v>1.0016401508898274</v>
      </c>
      <c r="DK152" s="8">
        <f t="shared" si="353"/>
        <v>1.0018978831742593</v>
      </c>
      <c r="DL152" s="8">
        <f t="shared" si="353"/>
        <v>1.0004677307571856</v>
      </c>
      <c r="DM152" s="8">
        <f t="shared" si="353"/>
        <v>1</v>
      </c>
      <c r="DN152" s="8">
        <f t="shared" si="353"/>
        <v>1.0014815216385309</v>
      </c>
      <c r="DO152" s="8">
        <f t="shared" si="353"/>
        <v>1.0013663063818594</v>
      </c>
      <c r="DP152" s="8">
        <f t="shared" si="353"/>
        <v>1.0005901122439842</v>
      </c>
      <c r="DQ152" s="8">
        <f t="shared" si="353"/>
        <v>1.0002423735805344</v>
      </c>
      <c r="DR152" s="8">
        <f t="shared" si="353"/>
        <v>1.0013824547451953</v>
      </c>
      <c r="DS152" s="8">
        <f t="shared" si="353"/>
        <v>1.0028918390358397</v>
      </c>
      <c r="DT152" s="8">
        <f t="shared" si="353"/>
        <v>1.0031528043510363</v>
      </c>
      <c r="DU152" s="8">
        <f t="shared" si="353"/>
        <v>1.0012692967717673</v>
      </c>
      <c r="DV152" s="8">
        <f t="shared" si="353"/>
        <v>1.0036386951121095</v>
      </c>
      <c r="DW152" s="8">
        <f t="shared" si="353"/>
        <v>1.0026867732996492</v>
      </c>
      <c r="DX152" s="8">
        <f t="shared" si="353"/>
        <v>1.0038513805404945</v>
      </c>
      <c r="DY152" s="8">
        <f t="shared" si="353"/>
        <v>1.0045542200871611</v>
      </c>
      <c r="DZ152" s="8">
        <f t="shared" si="353"/>
        <v>1.0041088153957449</v>
      </c>
      <c r="EA152" s="8">
        <f t="shared" si="353"/>
        <v>1</v>
      </c>
      <c r="EB152" s="8">
        <f t="shared" si="353"/>
        <v>3.9120043674299501</v>
      </c>
      <c r="EC152" s="8">
        <f t="shared" si="353"/>
        <v>1.8881315511548833</v>
      </c>
      <c r="ED152" s="8">
        <f t="shared" si="353"/>
        <v>1.3274462644750276</v>
      </c>
      <c r="EE152" s="8">
        <f t="shared" si="353"/>
        <v>1.0410126147181962</v>
      </c>
      <c r="EF152" s="8">
        <f t="shared" si="354"/>
        <v>1.023048624497771</v>
      </c>
      <c r="EG152" s="8">
        <f t="shared" si="354"/>
        <v>1.0071353477772791</v>
      </c>
      <c r="EH152" s="8">
        <f t="shared" si="354"/>
        <v>1.0065653470433493</v>
      </c>
      <c r="EI152" s="8">
        <f t="shared" si="354"/>
        <v>1.0016192373325044</v>
      </c>
      <c r="EJ152" s="8">
        <f t="shared" si="354"/>
        <v>1.0010479137072441</v>
      </c>
      <c r="EK152" s="8">
        <f t="shared" si="354"/>
        <v>1.0017753660862485</v>
      </c>
      <c r="EL152" s="8">
        <f t="shared" si="354"/>
        <v>1.0004685718796009</v>
      </c>
      <c r="EM152" s="8">
        <f t="shared" si="354"/>
        <v>1.0002347448358133</v>
      </c>
      <c r="EN152" s="8">
        <f t="shared" si="354"/>
        <v>1.001613724525467</v>
      </c>
      <c r="EO152" s="8">
        <f t="shared" si="354"/>
        <v>1.0010226421475756</v>
      </c>
      <c r="EP152" s="8">
        <f t="shared" si="354"/>
        <v>1.0001247322542062</v>
      </c>
      <c r="EQ152" s="8">
        <f t="shared" si="354"/>
        <v>1.0000617368088793</v>
      </c>
      <c r="ER152" s="8">
        <f t="shared" si="354"/>
        <v>1.0003858101778422</v>
      </c>
      <c r="ES152" s="8">
        <f t="shared" si="354"/>
        <v>1.0001603594285629</v>
      </c>
      <c r="ET152" s="8">
        <f t="shared" si="354"/>
        <v>1.0004700631479528</v>
      </c>
      <c r="EU152" s="8">
        <f t="shared" si="354"/>
        <v>1.000158432584326</v>
      </c>
      <c r="EV152" s="8">
        <f t="shared" si="354"/>
        <v>1.0001013147279509</v>
      </c>
      <c r="EW152" s="8">
        <f t="shared" si="354"/>
        <v>1.0001626144155289</v>
      </c>
      <c r="EX152" s="8">
        <f t="shared" si="354"/>
        <v>1.0003958809922324</v>
      </c>
      <c r="EY152" s="8">
        <f t="shared" si="354"/>
        <v>1.0002599096914975</v>
      </c>
      <c r="EZ152" s="8">
        <f t="shared" si="354"/>
        <v>1.0004715129989608</v>
      </c>
      <c r="FA152" s="8">
        <f t="shared" si="354"/>
        <v>1.0003906777244147</v>
      </c>
      <c r="FB152" s="8">
        <f t="shared" si="354"/>
        <v>1.0002677450539674</v>
      </c>
      <c r="FC152" s="8">
        <f t="shared" si="354"/>
        <v>1.0000442432229595</v>
      </c>
      <c r="FD152" s="8">
        <f t="shared" si="354"/>
        <v>1.0003410943014222</v>
      </c>
      <c r="FE152" s="8">
        <f t="shared" si="354"/>
        <v>1.0001412943004044</v>
      </c>
      <c r="FF152" s="8">
        <f t="shared" si="354"/>
        <v>1.0002591267017553</v>
      </c>
      <c r="FG152" s="8">
        <f t="shared" si="354"/>
        <v>1.0003583654607981</v>
      </c>
      <c r="FH152" s="8">
        <f t="shared" si="354"/>
        <v>1.0001040381433137</v>
      </c>
      <c r="FI152" s="8">
        <f t="shared" si="354"/>
        <v>1.0001717544318969</v>
      </c>
      <c r="FJ152" s="8">
        <f t="shared" si="354"/>
        <v>1.0004146608598514</v>
      </c>
      <c r="FK152" s="8">
        <f t="shared" si="354"/>
        <v>1.0003737776444872</v>
      </c>
      <c r="FL152" s="8">
        <f t="shared" si="354"/>
        <v>1.0008797530593512</v>
      </c>
      <c r="FM152" s="8">
        <f t="shared" si="354"/>
        <v>1.000521715399723</v>
      </c>
      <c r="FN152" s="8">
        <f t="shared" si="354"/>
        <v>1.0001918055976167</v>
      </c>
      <c r="FO152" s="8">
        <f t="shared" si="354"/>
        <v>1.0000001187135448</v>
      </c>
      <c r="FP152" s="8">
        <f t="shared" si="354"/>
        <v>1.0002124345512504</v>
      </c>
      <c r="FQ152" s="8">
        <f t="shared" si="354"/>
        <v>1.000210114855449</v>
      </c>
      <c r="FR152" s="8">
        <f t="shared" si="354"/>
        <v>1.0000031518439589</v>
      </c>
      <c r="FS152" s="8">
        <f t="shared" si="354"/>
        <v>1.0002474251602413</v>
      </c>
      <c r="FT152" s="8">
        <f t="shared" si="354"/>
        <v>1.0003261933156586</v>
      </c>
      <c r="FU152" s="8">
        <f t="shared" si="354"/>
        <v>1</v>
      </c>
      <c r="FV152" s="8">
        <f t="shared" si="354"/>
        <v>1.0003309090490078</v>
      </c>
      <c r="FW152" s="8">
        <f t="shared" si="354"/>
        <v>1.0005099125052204</v>
      </c>
      <c r="FX152" s="8">
        <f t="shared" si="354"/>
        <v>1.0003590884618128</v>
      </c>
      <c r="FY152" s="8">
        <f t="shared" si="354"/>
        <v>1.000218550611385</v>
      </c>
      <c r="FZ152" s="8">
        <f t="shared" si="354"/>
        <v>1.0002814471204202</v>
      </c>
      <c r="GA152" s="8">
        <f t="shared" si="354"/>
        <v>1.0000278376856491</v>
      </c>
      <c r="GB152" s="8">
        <f t="shared" si="354"/>
        <v>1</v>
      </c>
      <c r="GC152" s="8">
        <f t="shared" si="354"/>
        <v>1.0000213543131478</v>
      </c>
      <c r="GD152" s="8">
        <f t="shared" si="354"/>
        <v>1.0003556094131614</v>
      </c>
      <c r="GE152" s="8">
        <f t="shared" si="354"/>
        <v>1.0001022792873928</v>
      </c>
      <c r="GF152" s="8">
        <f t="shared" si="354"/>
        <v>1.0001216258441812</v>
      </c>
      <c r="GG152" s="8">
        <f t="shared" si="354"/>
        <v>1.000447186278467</v>
      </c>
      <c r="GH152" s="8">
        <f t="shared" si="354"/>
        <v>1.000042003578246</v>
      </c>
      <c r="GI152" s="8">
        <f t="shared" si="354"/>
        <v>1.0007738532550305</v>
      </c>
      <c r="GJ152" s="8">
        <f t="shared" si="354"/>
        <v>1.0006489845530533</v>
      </c>
      <c r="GK152" s="8">
        <f t="shared" si="354"/>
        <v>1.0003670894693022</v>
      </c>
      <c r="GL152" s="8">
        <f t="shared" si="354"/>
        <v>1.0001258370433166</v>
      </c>
      <c r="GM152" s="8">
        <f t="shared" si="354"/>
        <v>1</v>
      </c>
      <c r="GN152" s="8">
        <f t="shared" si="354"/>
        <v>1.000658375459917</v>
      </c>
      <c r="GO152" s="8">
        <f t="shared" si="354"/>
        <v>1.0000737938276325</v>
      </c>
      <c r="GP152" s="8">
        <f t="shared" si="354"/>
        <v>1.0001997679908086</v>
      </c>
      <c r="GQ152" s="8">
        <f t="shared" si="354"/>
        <v>1.0000895676558021</v>
      </c>
      <c r="GR152" s="8">
        <f t="shared" si="355"/>
        <v>1</v>
      </c>
      <c r="GS152" s="8">
        <f t="shared" si="355"/>
        <v>1.0003778274451924</v>
      </c>
      <c r="GT152" s="8">
        <f t="shared" si="355"/>
        <v>1.0005025021980776</v>
      </c>
      <c r="GU152" s="8">
        <f t="shared" si="355"/>
        <v>1.0002443288024205</v>
      </c>
      <c r="GV152" s="8">
        <f t="shared" si="355"/>
        <v>1.0009591062617407</v>
      </c>
      <c r="GW152" s="8">
        <f t="shared" si="355"/>
        <v>1.0004979607729838</v>
      </c>
      <c r="GX152" s="8">
        <f t="shared" si="355"/>
        <v>1.0003658181803525</v>
      </c>
      <c r="GY152" s="8">
        <f t="shared" si="355"/>
        <v>1.0000064338907588</v>
      </c>
      <c r="GZ152" s="8">
        <f t="shared" si="355"/>
        <v>1.0003406229877918</v>
      </c>
      <c r="HA152" s="8">
        <f t="shared" si="355"/>
        <v>1.0002593174614083</v>
      </c>
      <c r="HB152" s="8">
        <f t="shared" si="355"/>
        <v>1.0002996687719894</v>
      </c>
      <c r="HC152" s="8">
        <f t="shared" si="355"/>
        <v>1.0000545397655645</v>
      </c>
      <c r="HD152" s="8">
        <f t="shared" si="355"/>
        <v>1</v>
      </c>
      <c r="HE152" s="8">
        <f t="shared" si="355"/>
        <v>1.0005209156729529</v>
      </c>
      <c r="HF152" s="8">
        <f t="shared" si="355"/>
        <v>1.0003972091050795</v>
      </c>
      <c r="HG152" s="8">
        <f t="shared" si="355"/>
        <v>1.000836123073396</v>
      </c>
      <c r="HH152" s="8">
        <f t="shared" si="355"/>
        <v>1.0014192709847407</v>
      </c>
      <c r="HI152" s="8">
        <f t="shared" si="355"/>
        <v>1.0004976845583415</v>
      </c>
      <c r="HJ152" s="8">
        <f t="shared" si="355"/>
        <v>1.0002606437038246</v>
      </c>
      <c r="HK152" s="8">
        <f t="shared" si="355"/>
        <v>1.0000982041970981</v>
      </c>
      <c r="HL152" s="8">
        <f t="shared" si="355"/>
        <v>1.000195601500667</v>
      </c>
      <c r="HM152" s="8">
        <f t="shared" si="355"/>
        <v>1.0011836585082885</v>
      </c>
      <c r="HN152" s="8">
        <f t="shared" si="355"/>
        <v>1.000323674254854</v>
      </c>
      <c r="HO152" s="8">
        <f t="shared" si="355"/>
        <v>1.0000625133240348</v>
      </c>
      <c r="HP152" s="8">
        <f t="shared" si="355"/>
        <v>1</v>
      </c>
      <c r="HQ152" s="8">
        <f t="shared" si="355"/>
        <v>1.0005580570170121</v>
      </c>
      <c r="HR152" s="8">
        <f t="shared" si="355"/>
        <v>1.0004959397233124</v>
      </c>
      <c r="HS152" s="8">
        <f t="shared" si="355"/>
        <v>1.0013549947189866</v>
      </c>
      <c r="HT152" s="8">
        <f t="shared" si="355"/>
        <v>1.0010952457129341</v>
      </c>
      <c r="HU152" s="8">
        <f t="shared" si="355"/>
        <v>1.0006964580275399</v>
      </c>
      <c r="HV152" s="8">
        <f t="shared" si="355"/>
        <v>1.0002972953262976</v>
      </c>
      <c r="HW152" s="8">
        <f t="shared" si="355"/>
        <v>1.0001204204504968</v>
      </c>
      <c r="HX152" s="8">
        <f t="shared" si="355"/>
        <v>1.0004824780712105</v>
      </c>
      <c r="HY152" s="8">
        <f t="shared" si="355"/>
        <v>1.0000768532379407</v>
      </c>
      <c r="HZ152" s="8">
        <f t="shared" si="355"/>
        <v>1.0002491173281096</v>
      </c>
      <c r="IA152" s="8">
        <f t="shared" si="355"/>
        <v>1.0005498598117117</v>
      </c>
      <c r="IB152" s="8">
        <f t="shared" si="355"/>
        <v>1.0006495985704935</v>
      </c>
      <c r="IC152" s="8">
        <f t="shared" si="355"/>
        <v>1.001308053754876</v>
      </c>
      <c r="ID152" s="8">
        <f t="shared" si="355"/>
        <v>1.0011727041691256</v>
      </c>
      <c r="IE152" s="8">
        <f t="shared" si="355"/>
        <v>1.0019265160194051</v>
      </c>
      <c r="IF152" s="8">
        <f t="shared" si="355"/>
        <v>1.0008915800122984</v>
      </c>
      <c r="IG152" s="8">
        <f t="shared" si="355"/>
        <v>1.0004677307571856</v>
      </c>
      <c r="IH152" s="8">
        <f t="shared" si="355"/>
        <v>1</v>
      </c>
      <c r="II152" s="8">
        <f t="shared" si="355"/>
        <v>1.0014815216385309</v>
      </c>
      <c r="IJ152" s="8">
        <f t="shared" si="355"/>
        <v>1.0014197176558348</v>
      </c>
      <c r="IK152" s="8">
        <f t="shared" si="355"/>
        <v>1.0006243784554025</v>
      </c>
      <c r="IL152" s="8">
        <f t="shared" si="355"/>
        <v>1.0020407934019233</v>
      </c>
      <c r="IM152" s="8">
        <f t="shared" si="355"/>
        <v>1.001506020859398</v>
      </c>
      <c r="IN152" s="8">
        <f t="shared" si="355"/>
        <v>1.0032803905931014</v>
      </c>
      <c r="IO152" s="8">
        <f t="shared" si="355"/>
        <v>1.0032940246360207</v>
      </c>
      <c r="IP152" s="8">
        <f t="shared" si="355"/>
        <v>1.0012111637660717</v>
      </c>
      <c r="IQ152" s="8">
        <f t="shared" si="355"/>
        <v>1.0037024140725126</v>
      </c>
      <c r="IR152" s="8">
        <f t="shared" si="355"/>
        <v>1.0029329496285373</v>
      </c>
      <c r="IS152" s="8">
        <f t="shared" si="355"/>
        <v>1.0055498790859507</v>
      </c>
      <c r="IT152" s="8">
        <f t="shared" si="355"/>
        <v>1.0050872730680325</v>
      </c>
      <c r="IU152" s="8">
        <f t="shared" si="355"/>
        <v>1.0045545119089383</v>
      </c>
      <c r="IV152" s="8">
        <f t="shared" si="355"/>
        <v>1</v>
      </c>
    </row>
    <row r="153" spans="2:256" x14ac:dyDescent="0.2">
      <c r="B153">
        <v>1</v>
      </c>
      <c r="C153">
        <v>4</v>
      </c>
      <c r="F153" s="15" t="s">
        <v>13</v>
      </c>
      <c r="G153" s="8">
        <f>+IF(G$8 = 125, 1, AVERAGE(_xlfn._xlws.FILTER(INDEX( G$55:G$96, MAX( COUNT( H$9:H$50 )  - $B153 + 1, 1)) : INDEX( G$55:G$96, MAX( COUNT( H$9:H$50 )  - $C153 + 1, 1)), INDEX( G$101:G$142, MAX( COUNT( H$9:H$50 )  - $B153 + 1, 1)) : INDEX( G$101:G$142, MAX( COUNT( H$9:H$50 )  - $C153 + 1, 1)) &gt; 0)))</f>
        <v>21.501487511113631</v>
      </c>
      <c r="H153" s="8">
        <f>+IF(H$8 = 125, 1, AVERAGE(_xlfn._xlws.FILTER(INDEX( H$55:H$96, MAX( COUNT( I$9:I$50 )  - $B153 + 1, 1)) : INDEX( H$55:H$96, MAX( COUNT( I$9:I$50 )  - $C153 + 1, 1)), INDEX( H$101:H$142, MAX( COUNT( I$9:I$50 )  - $B153 + 1, 1)) : INDEX( H$101:H$142, MAX( COUNT( I$9:I$50 )  - $C153 + 1, 1)) &gt; 0)))</f>
        <v>2.2442028649913972</v>
      </c>
      <c r="I153" s="8">
        <f>+IF(I$8 = 125, 1, AVERAGE(_xlfn._xlws.FILTER(INDEX( I$55:I$96, MAX( COUNT( J$9:J$50 )  - $B153 + 1, 1)) : INDEX( I$55:I$96, MAX( COUNT( J$9:J$50 )  - $C153 + 1, 1)), INDEX( I$101:I$142, MAX( COUNT( J$9:J$50 )  - $B153 + 1, 1)) : INDEX( I$101:I$142, MAX( COUNT( J$9:J$50 )  - $C153 + 1, 1)) &gt; 0)))</f>
        <v>1.864368361298784</v>
      </c>
      <c r="J153" s="8">
        <f>+IF(J$8 = 125, 1, AVERAGE(_xlfn._xlws.FILTER(INDEX( J$55:J$96, MAX( COUNT( K$9:K$50 )  - $B153 + 1, 1)) : INDEX( J$55:J$96, MAX( COUNT( K$9:K$50 )  - $C153 + 1, 1)), INDEX( J$101:J$142, MAX( COUNT( K$9:K$50 )  - $B153 + 1, 1)) : INDEX( J$101:J$142, MAX( COUNT( K$9:K$50 )  - $C153 + 1, 1)) &gt; 0)))</f>
        <v>1.4973980892408982</v>
      </c>
      <c r="K153" s="8">
        <f>+IF(K$8 = 125, 1, AVERAGE(_xlfn._xlws.FILTER(INDEX( K$55:K$96, MAX( COUNT( L$9:L$50 )  - $B153 + 1, 1)) : INDEX( K$55:K$96, MAX( COUNT( L$9:L$50 )  - $C153 + 1, 1)), INDEX( K$101:K$142, MAX( COUNT( L$9:L$50 )  - $B153 + 1, 1)) : INDEX( K$101:K$142, MAX( COUNT( L$9:L$50 )  - $C153 + 1, 1)) &gt; 0)))</f>
        <v>1.0666050797520295</v>
      </c>
      <c r="L153" s="8">
        <f>+IF(L$8 = 125, 1, AVERAGE(_xlfn._xlws.FILTER(INDEX( L$55:L$96, MAX( COUNT( M$9:M$50 )  - $B153 + 1, 1)) : INDEX( L$55:L$96, MAX( COUNT( M$9:M$50 )  - $C153 + 1, 1)), INDEX( L$101:L$142, MAX( COUNT( M$9:M$50 )  - $B153 + 1, 1)) : INDEX( L$101:L$142, MAX( COUNT( M$9:M$50 )  - $C153 + 1, 1)) &gt; 0)))</f>
        <v>1.127388965719532</v>
      </c>
      <c r="M153" s="8">
        <f>+IF(M$8 = 125, 1, AVERAGE(_xlfn._xlws.FILTER(INDEX( M$55:M$96, MAX( COUNT( N$9:N$50 )  - $B153 + 1, 1)) : INDEX( M$55:M$96, MAX( COUNT( N$9:N$50 )  - $C153 + 1, 1)), INDEX( M$101:M$142, MAX( COUNT( N$9:N$50 )  - $B153 + 1, 1)) : INDEX( M$101:M$142, MAX( COUNT( N$9:N$50 )  - $C153 + 1, 1)) &gt; 0)))</f>
        <v>1.0231092251822138</v>
      </c>
      <c r="N153" s="8">
        <f>+IF(N$8 = 125, 1, AVERAGE(_xlfn._xlws.FILTER(INDEX( N$55:N$96, MAX( COUNT( O$9:O$50 )  - $B153 + 1, 1)) : INDEX( N$55:N$96, MAX( COUNT( O$9:O$50 )  - $C153 + 1, 1)), INDEX( N$101:N$142, MAX( COUNT( O$9:O$50 )  - $B153 + 1, 1)) : INDEX( N$101:N$142, MAX( COUNT( O$9:O$50 )  - $C153 + 1, 1)) &gt; 0)))</f>
        <v>1.0098531140000317</v>
      </c>
      <c r="O153" s="8">
        <f>+IF(O$8 = 125, 1, AVERAGE(_xlfn._xlws.FILTER(INDEX( O$55:O$96, MAX( COUNT( P$9:P$50 )  - $B153 + 1, 1)) : INDEX( O$55:O$96, MAX( COUNT( P$9:P$50 )  - $C153 + 1, 1)), INDEX( O$101:O$142, MAX( COUNT( P$9:P$50 )  - $B153 + 1, 1)) : INDEX( O$101:O$142, MAX( COUNT( P$9:P$50 )  - $C153 + 1, 1)) &gt; 0)))</f>
        <v>1.0036710587435924</v>
      </c>
      <c r="P153" s="8">
        <f>+IF(P$8 = 125, 1, AVERAGE(_xlfn._xlws.FILTER(INDEX( P$55:P$96, MAX( COUNT( Q$9:Q$50 )  - $B153 + 1, 1)) : INDEX( P$55:P$96, MAX( COUNT( Q$9:Q$50 )  - $C153 + 1, 1)), INDEX( P$101:P$142, MAX( COUNT( Q$9:Q$50 )  - $B153 + 1, 1)) : INDEX( P$101:P$142, MAX( COUNT( Q$9:Q$50 )  - $C153 + 1, 1)) &gt; 0)))</f>
        <v>1.009763590909373</v>
      </c>
      <c r="Q153" s="8">
        <f>+IF(Q$8 = 125, 1, AVERAGE(_xlfn._xlws.FILTER(INDEX( Q$55:Q$96, MAX( COUNT( R$9:R$50 )  - $B153 + 1, 1)) : INDEX( Q$55:Q$96, MAX( COUNT( R$9:R$50 )  - $C153 + 1, 1)), INDEX( Q$101:Q$142, MAX( COUNT( R$9:R$50 )  - $B153 + 1, 1)) : INDEX( Q$101:Q$142, MAX( COUNT( R$9:R$50 )  - $C153 + 1, 1)) &gt; 0)))</f>
        <v>0.99967642021106107</v>
      </c>
      <c r="R153" s="8">
        <f>+IF(R$8 = 125, 1, AVERAGE(_xlfn._xlws.FILTER(INDEX( R$55:R$96, MAX( COUNT( S$9:S$50 )  - $B153 + 1, 1)) : INDEX( R$55:R$96, MAX( COUNT( S$9:S$50 )  - $C153 + 1, 1)), INDEX( R$101:R$142, MAX( COUNT( S$9:S$50 )  - $B153 + 1, 1)) : INDEX( R$101:R$142, MAX( COUNT( S$9:S$50 )  - $C153 + 1, 1)) &gt; 0)))</f>
        <v>1.003519406765115</v>
      </c>
      <c r="S153" s="8">
        <f>+IF(S$8 = 125, 1, AVERAGE(_xlfn._xlws.FILTER(INDEX( S$55:S$96, MAX( COUNT( T$9:T$50 )  - $B153 + 1, 1)) : INDEX( S$55:S$96, MAX( COUNT( T$9:T$50 )  - $C153 + 1, 1)), INDEX( S$101:S$142, MAX( COUNT( T$9:T$50 )  - $B153 + 1, 1)) : INDEX( S$101:S$142, MAX( COUNT( T$9:T$50 )  - $C153 + 1, 1)) &gt; 0)))</f>
        <v>1.0005195096505075</v>
      </c>
      <c r="T153" s="8">
        <f>+IF(T$8 = 125, 1, AVERAGE(_xlfn._xlws.FILTER(INDEX( T$55:T$96, MAX( COUNT( U$9:U$50 )  - $B153 + 1, 1)) : INDEX( T$55:T$96, MAX( COUNT( U$9:U$50 )  - $C153 + 1, 1)), INDEX( T$101:T$142, MAX( COUNT( U$9:U$50 )  - $B153 + 1, 1)) : INDEX( T$101:T$142, MAX( COUNT( U$9:U$50 )  - $C153 + 1, 1)) &gt; 0)))</f>
        <v>1.0006471609893679</v>
      </c>
      <c r="U153" s="8">
        <f>+IF(U$8 = 125, 1, AVERAGE(_xlfn._xlws.FILTER(INDEX( U$55:U$96, MAX( COUNT( V$9:V$50 )  - $B153 + 1, 1)) : INDEX( U$55:U$96, MAX( COUNT( V$9:V$50 )  - $C153 + 1, 1)), INDEX( U$101:U$142, MAX( COUNT( V$9:V$50 )  - $B153 + 1, 1)) : INDEX( U$101:U$142, MAX( COUNT( V$9:V$50 )  - $C153 + 1, 1)) &gt; 0)))</f>
        <v>1.0002227178524825</v>
      </c>
      <c r="V153" s="8">
        <f>+IF(V$8 = 125, 1, AVERAGE(_xlfn._xlws.FILTER(INDEX( V$55:V$96, MAX( COUNT( W$9:W$50 )  - $B153 + 1, 1)) : INDEX( V$55:V$96, MAX( COUNT( W$9:W$50 )  - $C153 + 1, 1)), INDEX( V$101:V$142, MAX( COUNT( W$9:W$50 )  - $B153 + 1, 1)) : INDEX( V$101:V$142, MAX( COUNT( W$9:W$50 )  - $C153 + 1, 1)) &gt; 0)))</f>
        <v>1.0010232244738964</v>
      </c>
      <c r="W153" s="8">
        <f>+IF(W$8 = 125, 1, AVERAGE(_xlfn._xlws.FILTER(INDEX( W$55:W$96, MAX( COUNT( X$9:X$50 )  - $B153 + 1, 1)) : INDEX( W$55:W$96, MAX( COUNT( X$9:X$50 )  - $C153 + 1, 1)), INDEX( W$101:W$142, MAX( COUNT( X$9:X$50 )  - $B153 + 1, 1)) : INDEX( W$101:W$142, MAX( COUNT( X$9:X$50 )  - $C153 + 1, 1)) &gt; 0)))</f>
        <v>1.0007712263865263</v>
      </c>
      <c r="X153" s="8">
        <f>+IF(X$8 = 125, 1, AVERAGE(_xlfn._xlws.FILTER(INDEX( X$55:X$96, MAX( COUNT( Y$9:Y$50 )  - $B153 + 1, 1)) : INDEX( X$55:X$96, MAX( COUNT( Y$9:Y$50 )  - $C153 + 1, 1)), INDEX( X$101:X$142, MAX( COUNT( Y$9:Y$50 )  - $B153 + 1, 1)) : INDEX( X$101:X$142, MAX( COUNT( Y$9:Y$50 )  - $C153 + 1, 1)) &gt; 0)))</f>
        <v>1.0003545034222356</v>
      </c>
      <c r="Y153" s="8">
        <f>+IF(Y$8 = 125, 1, AVERAGE(_xlfn._xlws.FILTER(INDEX( Y$55:Y$96, MAX( COUNT( Z$9:Z$50 )  - $B153 + 1, 1)) : INDEX( Y$55:Y$96, MAX( COUNT( Z$9:Z$50 )  - $C153 + 1, 1)), INDEX( Y$101:Y$142, MAX( COUNT( Z$9:Z$50 )  - $B153 + 1, 1)) : INDEX( Y$101:Y$142, MAX( COUNT( Z$9:Z$50 )  - $C153 + 1, 1)) &gt; 0)))</f>
        <v>1.0009277443983748</v>
      </c>
      <c r="Z153" s="8">
        <f>+IF(Z$8 = 125, 1, AVERAGE(_xlfn._xlws.FILTER(INDEX( Z$55:Z$96, MAX( COUNT( AA$9:AA$50 )  - $B153 + 1, 1)) : INDEX( Z$55:Z$96, MAX( COUNT( AA$9:AA$50 )  - $C153 + 1, 1)), INDEX( Z$101:Z$142, MAX( COUNT( AA$9:AA$50 )  - $B153 + 1, 1)) : INDEX( Z$101:Z$142, MAX( COUNT( AA$9:AA$50 )  - $C153 + 1, 1)) &gt; 0)))</f>
        <v>1.000271481685576</v>
      </c>
      <c r="AA153" s="8">
        <f>+IF(AA$8 = 125, 1, AVERAGE(_xlfn._xlws.FILTER(INDEX( AA$55:AA$96, MAX( COUNT( AB$9:AB$50 )  - $B153 + 1, 1)) : INDEX( AA$55:AA$96, MAX( COUNT( AB$9:AB$50 )  - $C153 + 1, 1)), INDEX( AA$101:AA$142, MAX( COUNT( AB$9:AB$50 )  - $B153 + 1, 1)) : INDEX( AA$101:AA$142, MAX( COUNT( AB$9:AB$50 )  - $C153 + 1, 1)) &gt; 0)))</f>
        <v>1.0000834887909387</v>
      </c>
      <c r="AB153" s="8">
        <f>+IF(AB$8 = 125, 1, AVERAGE(_xlfn._xlws.FILTER(INDEX( AB$55:AB$96, MAX( COUNT( AC$9:AC$50 )  - $B153 + 1, 1)) : INDEX( AB$55:AB$96, MAX( COUNT( AC$9:AC$50 )  - $C153 + 1, 1)), INDEX( AB$101:AB$142, MAX( COUNT( AC$9:AC$50 )  - $B153 + 1, 1)) : INDEX( AB$101:AB$142, MAX( COUNT( AC$9:AC$50 )  - $C153 + 1, 1)) &gt; 0)))</f>
        <v>1.0000056294635842</v>
      </c>
      <c r="AC153" s="8">
        <f>+IF(AC$8 = 125, 1, AVERAGE(_xlfn._xlws.FILTER(INDEX( AC$55:AC$96, MAX( COUNT( AD$9:AD$50 )  - $B153 + 1, 1)) : INDEX( AC$55:AC$96, MAX( COUNT( AD$9:AD$50 )  - $C153 + 1, 1)), INDEX( AC$101:AC$142, MAX( COUNT( AD$9:AD$50 )  - $B153 + 1, 1)) : INDEX( AC$101:AC$142, MAX( COUNT( AD$9:AD$50 )  - $C153 + 1, 1)) &gt; 0)))</f>
        <v>1.0011333047112985</v>
      </c>
      <c r="AD153" s="8">
        <f>+IF(AD$8 = 125, 1, AVERAGE(_xlfn._xlws.FILTER(INDEX( AD$55:AD$96, MAX( COUNT( AE$9:AE$50 )  - $B153 + 1, 1)) : INDEX( AD$55:AD$96, MAX( COUNT( AE$9:AE$50 )  - $C153 + 1, 1)), INDEX( AD$101:AD$142, MAX( COUNT( AE$9:AE$50 )  - $B153 + 1, 1)) : INDEX( AD$101:AD$142, MAX( COUNT( AE$9:AE$50 )  - $C153 + 1, 1)) &gt; 0)))</f>
        <v>1.0261413785015414</v>
      </c>
      <c r="AE153" s="8">
        <f>+IF(AE$8 = 125, 1, AVERAGE(_xlfn._xlws.FILTER(INDEX( AE$55:AE$96, MAX( COUNT( AF$9:AF$50 )  - $B153 + 1, 1)) : INDEX( AE$55:AE$96, MAX( COUNT( AF$9:AF$50 )  - $C153 + 1, 1)), INDEX( AE$101:AE$142, MAX( COUNT( AF$9:AF$50 )  - $B153 + 1, 1)) : INDEX( AE$101:AE$142, MAX( COUNT( AF$9:AF$50 )  - $C153 + 1, 1)) &gt; 0)))</f>
        <v>1.0002307596430919</v>
      </c>
      <c r="AF153" s="8">
        <f>+IF(AF$8 = 125, 1, AVERAGE(_xlfn._xlws.FILTER(INDEX( AF$55:AF$96, MAX( COUNT( AG$9:AG$50 )  - $B153 + 1, 1)) : INDEX( AF$55:AF$96, MAX( COUNT( AG$9:AG$50 )  - $C153 + 1, 1)), INDEX( AF$101:AF$142, MAX( COUNT( AG$9:AG$50 )  - $B153 + 1, 1)) : INDEX( AF$101:AF$142, MAX( COUNT( AG$9:AG$50 )  - $C153 + 1, 1)) &gt; 0)))</f>
        <v>1</v>
      </c>
      <c r="AG153" s="8">
        <f>+IF(AG$8 = 125, 1, AVERAGE(_xlfn._xlws.FILTER(INDEX( AG$55:AG$96, MAX( COUNT( AH$9:AH$50 )  - $B153 + 1, 1)) : INDEX( AG$55:AG$96, MAX( COUNT( AH$9:AH$50 )  - $C153 + 1, 1)), INDEX( AG$101:AG$142, MAX( COUNT( AH$9:AH$50 )  - $B153 + 1, 1)) : INDEX( AG$101:AG$142, MAX( COUNT( AH$9:AH$50 )  - $C153 + 1, 1)) &gt; 0)))</f>
        <v>1.0000807289623381</v>
      </c>
      <c r="AH153" s="8">
        <f>+IF(AH$8 = 125, 1, AVERAGE(_xlfn._xlws.FILTER(INDEX( AH$55:AH$96, MAX( COUNT( AI$9:AI$50 )  - $B153 + 1, 1)) : INDEX( AH$55:AH$96, MAX( COUNT( AI$9:AI$50 )  - $C153 + 1, 1)), INDEX( AH$101:AH$142, MAX( COUNT( AI$9:AI$50 )  - $B153 + 1, 1)) : INDEX( AH$101:AH$142, MAX( COUNT( AI$9:AI$50 )  - $C153 + 1, 1)) &gt; 0)))</f>
        <v>1.0002095671890179</v>
      </c>
      <c r="AI153" s="8">
        <f>+IF(AI$8 = 125, 1, AVERAGE(_xlfn._xlws.FILTER(INDEX( AI$55:AI$96, MAX( COUNT( AJ$9:AJ$50 )  - $B153 + 1, 1)) : INDEX( AI$55:AI$96, MAX( COUNT( AJ$9:AJ$50 )  - $C153 + 1, 1)), INDEX( AI$101:AI$142, MAX( COUNT( AJ$9:AJ$50 )  - $B153 + 1, 1)) : INDEX( AI$101:AI$142, MAX( COUNT( AJ$9:AJ$50 )  - $C153 + 1, 1)) &gt; 0)))</f>
        <v>1.0000550351022399</v>
      </c>
      <c r="AJ153" s="8">
        <f>+IF(AJ$8 = 125, 1, AVERAGE(_xlfn._xlws.FILTER(INDEX( AJ$55:AJ$96, MAX( COUNT( AK$9:AK$50 )  - $B153 + 1, 1)) : INDEX( AJ$55:AJ$96, MAX( COUNT( AK$9:AK$50 )  - $C153 + 1, 1)), INDEX( AJ$101:AJ$142, MAX( COUNT( AK$9:AK$50 )  - $B153 + 1, 1)) : INDEX( AJ$101:AJ$142, MAX( COUNT( AK$9:AK$50 )  - $C153 + 1, 1)) &gt; 0)))</f>
        <v>1.0014296897340322</v>
      </c>
      <c r="AK153" s="8">
        <f>+IF(AK$8 = 125, 1, AVERAGE(_xlfn._xlws.FILTER(INDEX( AK$55:AK$96, MAX( COUNT( AL$9:AL$50 )  - $B153 + 1, 1)) : INDEX( AK$55:AK$96, MAX( COUNT( AL$9:AL$50 )  - $C153 + 1, 1)), INDEX( AK$101:AK$142, MAX( COUNT( AL$9:AL$50 )  - $B153 + 1, 1)) : INDEX( AK$101:AK$142, MAX( COUNT( AL$9:AL$50 )  - $C153 + 1, 1)) &gt; 0)))</f>
        <v>1.0003161985495006</v>
      </c>
      <c r="AL153" s="8">
        <f>+IF(AL$8 = 125, 1, AVERAGE(_xlfn._xlws.FILTER(INDEX( AL$55:AL$96, MAX( COUNT( AM$9:AM$50 )  - $B153 + 1, 1)) : INDEX( AL$55:AL$96, MAX( COUNT( AM$9:AM$50 )  - $C153 + 1, 1)), INDEX( AL$101:AL$142, MAX( COUNT( AM$9:AM$50 )  - $B153 + 1, 1)) : INDEX( AL$101:AL$142, MAX( COUNT( AM$9:AM$50 )  - $C153 + 1, 1)) &gt; 0)))</f>
        <v>1.0011002583607094</v>
      </c>
      <c r="AM153" s="8">
        <f>+IF(AM$8 = 125, 1, AVERAGE(_xlfn._xlws.FILTER(INDEX( AM$55:AM$96, MAX( COUNT( AN$9:AN$50 )  - $B153 + 1, 1)) : INDEX( AM$55:AM$96, MAX( COUNT( AN$9:AN$50 )  - $C153 + 1, 1)), INDEX( AM$101:AM$142, MAX( COUNT( AN$9:AN$50 )  - $B153 + 1, 1)) : INDEX( AM$101:AM$142, MAX( COUNT( AN$9:AN$50 )  - $C153 + 1, 1)) &gt; 0)))</f>
        <v>1.0003040742464577</v>
      </c>
      <c r="AN153" s="8">
        <f>+IF(AN$8 = 125, 1, AVERAGE(_xlfn._xlws.FILTER(INDEX( AN$55:AN$96, MAX( COUNT( AO$9:AO$50 )  - $B153 + 1, 1)) : INDEX( AN$55:AN$96, MAX( COUNT( AO$9:AO$50 )  - $C153 + 1, 1)), INDEX( AN$101:AN$142, MAX( COUNT( AO$9:AO$50 )  - $B153 + 1, 1)) : INDEX( AN$101:AN$142, MAX( COUNT( AO$9:AO$50 )  - $C153 + 1, 1)) &gt; 0)))</f>
        <v>1.000007773965657</v>
      </c>
      <c r="AO153" s="8">
        <f>+IF(AO$8 = 125, 1, AVERAGE(_xlfn._xlws.FILTER(INDEX( AO$55:AO$96, MAX( COUNT( AP$9:AP$50 )  - $B153 + 1, 1)) : INDEX( AO$55:AO$96, MAX( COUNT( AP$9:AP$50 )  - $C153 + 1, 1)), INDEX( AO$101:AO$142, MAX( COUNT( AP$9:AP$50 )  - $B153 + 1, 1)) : INDEX( AO$101:AO$142, MAX( COUNT( AP$9:AP$50 )  - $C153 + 1, 1)) &gt; 0)))</f>
        <v>0.99683558346670242</v>
      </c>
      <c r="AP153" s="8">
        <f>+IF(AP$8 = 125, 1, AVERAGE(_xlfn._xlws.FILTER(INDEX( AP$55:AP$96, MAX( COUNT( AQ$9:AQ$50 )  - $B153 + 1, 1)) : INDEX( AP$55:AP$96, MAX( COUNT( AQ$9:AQ$50 )  - $C153 + 1, 1)), INDEX( AP$101:AP$142, MAX( COUNT( AQ$9:AQ$50 )  - $B153 + 1, 1)) : INDEX( AP$101:AP$142, MAX( COUNT( AQ$9:AQ$50 )  - $C153 + 1, 1)) &gt; 0)))</f>
        <v>1.0037173600227915</v>
      </c>
      <c r="AQ153" s="8">
        <f>+IF(AQ$8 = 125, 1, AVERAGE(_xlfn._xlws.FILTER(INDEX( AQ$55:AQ$96, MAX( COUNT( AR$9:AR$50 )  - $B153 + 1, 1)) : INDEX( AQ$55:AQ$96, MAX( COUNT( AR$9:AR$50 )  - $C153 + 1, 1)), INDEX( AQ$101:AQ$142, MAX( COUNT( AR$9:AR$50 )  - $B153 + 1, 1)) : INDEX( AQ$101:AQ$142, MAX( COUNT( AR$9:AR$50 )  - $C153 + 1, 1)) &gt; 0)))</f>
        <v>1.000040180368571</v>
      </c>
      <c r="AR153" s="8">
        <f>+IF(AR$8 = 125, 1, AVERAGE(_xlfn._xlws.FILTER(INDEX( AR$55:AR$96, MAX( COUNT( AS$9:AS$50 )  - $B153 + 1, 1)) : INDEX( AR$55:AR$96, MAX( COUNT( AS$9:AS$50 )  - $C153 + 1, 1)), INDEX( AR$101:AR$142, MAX( COUNT( AS$9:AS$50 )  - $B153 + 1, 1)) : INDEX( AR$101:AR$142, MAX( COUNT( AS$9:AS$50 )  - $C153 + 1, 1)) &gt; 0)))</f>
        <v>1.0032710734411199</v>
      </c>
      <c r="AS153" s="8">
        <f>+IF(AS$8 = 125, 1, AVERAGE(_xlfn._xlws.FILTER(INDEX( AS$55:AS$96, MAX( COUNT( AT$9:AT$50 )  - $B153 + 1, 1)) : INDEX( AS$55:AS$96, MAX( COUNT( AT$9:AT$50 )  - $C153 + 1, 1)), INDEX( AS$101:AS$142, MAX( COUNT( AT$9:AT$50 )  - $B153 + 1, 1)) : INDEX( AS$101:AS$142, MAX( COUNT( AT$9:AT$50 )  - $C153 + 1, 1)) &gt; 0)))</f>
        <v>1.0000400487538232</v>
      </c>
      <c r="AT153" s="8">
        <f>+IF(AT$8 = 125, 1, AVERAGE(_xlfn._xlws.FILTER(INDEX( AT$55:AT$96, MAX( COUNT( AU$9:AU$50 )  - $B153 + 1, 1)) : INDEX( AT$55:AT$96, MAX( COUNT( AU$9:AU$50 )  - $C153 + 1, 1)), INDEX( AT$101:AT$142, MAX( COUNT( AU$9:AU$50 )  - $B153 + 1, 1)) : INDEX( AT$101:AT$142, MAX( COUNT( AU$9:AU$50 )  - $C153 + 1, 1)) &gt; 0)))</f>
        <v>1.0002968528320699</v>
      </c>
      <c r="AU153" s="8">
        <f>+IF(AU$8 = 125, 1, AVERAGE(_xlfn._xlws.FILTER(INDEX( AU$55:AU$96, MAX( COUNT( AV$9:AV$50 )  - $B153 + 1, 1)) : INDEX( AU$55:AU$96, MAX( COUNT( AV$9:AV$50 )  - $C153 + 1, 1)), INDEX( AU$101:AU$142, MAX( COUNT( AV$9:AV$50 )  - $B153 + 1, 1)) : INDEX( AU$101:AU$142, MAX( COUNT( AV$9:AV$50 )  - $C153 + 1, 1)) &gt; 0)))</f>
        <v>1.0001730008886638</v>
      </c>
      <c r="AV153" s="8">
        <f>+IF(AV$8 = 125, 1, AVERAGE(_xlfn._xlws.FILTER(INDEX( AV$55:AV$96, MAX( COUNT( AW$9:AW$50 )  - $B153 + 1, 1)) : INDEX( AV$55:AV$96, MAX( COUNT( AW$9:AW$50 )  - $C153 + 1, 1)), INDEX( AV$101:AV$142, MAX( COUNT( AW$9:AW$50 )  - $B153 + 1, 1)) : INDEX( AV$101:AV$142, MAX( COUNT( AW$9:AW$50 )  - $C153 + 1, 1)) &gt; 0)))</f>
        <v>1.0003091204155035</v>
      </c>
      <c r="AW153" s="8">
        <f>+IF(AW$8 = 125, 1, AVERAGE(_xlfn._xlws.FILTER(INDEX( AW$55:AW$96, MAX( COUNT( AX$9:AX$50 )  - $B153 + 1, 1)) : INDEX( AW$55:AW$96, MAX( COUNT( AX$9:AX$50 )  - $C153 + 1, 1)), INDEX( AW$101:AW$142, MAX( COUNT( AX$9:AX$50 )  - $B153 + 1, 1)) : INDEX( AW$101:AW$142, MAX( COUNT( AX$9:AX$50 )  - $C153 + 1, 1)) &gt; 0)))</f>
        <v>1.0000215887719937</v>
      </c>
      <c r="AX153" s="8">
        <f>+IF(AX$8 = 125, 1, AVERAGE(_xlfn._xlws.FILTER(INDEX( AX$55:AX$96, MAX( COUNT( AY$9:AY$50 )  - $B153 + 1, 1)) : INDEX( AX$55:AX$96, MAX( COUNT( AY$9:AY$50 )  - $C153 + 1, 1)), INDEX( AX$101:AX$142, MAX( COUNT( AY$9:AY$50 )  - $B153 + 1, 1)) : INDEX( AX$101:AX$142, MAX( COUNT( AY$9:AY$50 )  - $C153 + 1, 1)) &gt; 0)))</f>
        <v>1.0000834813060073</v>
      </c>
      <c r="AY153" s="8">
        <f>+IF(AY$8 = 125, 1, AVERAGE(_xlfn._xlws.FILTER(INDEX( AY$55:AY$96, MAX( COUNT( AZ$9:AZ$50 )  - $B153 + 1, 1)) : INDEX( AY$55:AY$96, MAX( COUNT( AZ$9:AZ$50 )  - $C153 + 1, 1)), INDEX( AY$101:AY$142, MAX( COUNT( AZ$9:AZ$50 )  - $B153 + 1, 1)) : INDEX( AY$101:AY$142, MAX( COUNT( AZ$9:AZ$50 )  - $C153 + 1, 1)) &gt; 0)))</f>
        <v>1.000561970335053</v>
      </c>
      <c r="AZ153" s="8">
        <f>+IF(AZ$8 = 125, 1, AVERAGE(_xlfn._xlws.FILTER(INDEX( AZ$55:AZ$96, MAX( COUNT( BA$9:BA$50 )  - $B153 + 1, 1)) : INDEX( AZ$55:AZ$96, MAX( COUNT( BA$9:BA$50 )  - $C153 + 1, 1)), INDEX( AZ$101:AZ$142, MAX( COUNT( BA$9:BA$50 )  - $B153 + 1, 1)) : INDEX( AZ$101:AZ$142, MAX( COUNT( BA$9:BA$50 )  - $C153 + 1, 1)) &gt; 0)))</f>
        <v>1.0000292041873728</v>
      </c>
      <c r="BA153" s="8">
        <f>+IF(BA$8 = 125, 1, AVERAGE(_xlfn._xlws.FILTER(INDEX( BA$55:BA$96, MAX( COUNT( BB$9:BB$50 )  - $B153 + 1, 1)) : INDEX( BA$55:BA$96, MAX( COUNT( BB$9:BB$50 )  - $C153 + 1, 1)), INDEX( BA$101:BA$142, MAX( COUNT( BB$9:BB$50 )  - $B153 + 1, 1)) : INDEX( BA$101:BA$142, MAX( COUNT( BB$9:BB$50 )  - $C153 + 1, 1)) &gt; 0)))</f>
        <v>1.0001083607059649</v>
      </c>
      <c r="BB153" s="8">
        <f>+IF(BB$8 = 125, 1, AVERAGE(_xlfn._xlws.FILTER(INDEX( BB$55:BB$96, MAX( COUNT( BC$9:BC$50 )  - $B153 + 1, 1)) : INDEX( BB$55:BB$96, MAX( COUNT( BC$9:BC$50 )  - $C153 + 1, 1)), INDEX( BB$101:BB$142, MAX( COUNT( BC$9:BC$50 )  - $B153 + 1, 1)) : INDEX( BB$101:BB$142, MAX( COUNT( BC$9:BC$50 )  - $C153 + 1, 1)) &gt; 0)))</f>
        <v>1.0001168004479952</v>
      </c>
      <c r="BC153" s="8">
        <f>+IF(BC$8 = 125, 1, AVERAGE(_xlfn._xlws.FILTER(INDEX( BC$55:BC$96, MAX( COUNT( BD$9:BD$50 )  - $B153 + 1, 1)) : INDEX( BC$55:BC$96, MAX( COUNT( BD$9:BD$50 )  - $C153 + 1, 1)), INDEX( BC$101:BC$142, MAX( COUNT( BD$9:BD$50 )  - $B153 + 1, 1)) : INDEX( BC$101:BC$142, MAX( COUNT( BD$9:BD$50 )  - $C153 + 1, 1)) &gt; 0)))</f>
        <v>1.0001214202611417</v>
      </c>
      <c r="BD153" s="8">
        <f>+IF(BD$8 = 125, 1, AVERAGE(_xlfn._xlws.FILTER(INDEX( BD$55:BD$96, MAX( COUNT( BE$9:BE$50 )  - $B153 + 1, 1)) : INDEX( BD$55:BD$96, MAX( COUNT( BE$9:BE$50 )  - $C153 + 1, 1)), INDEX( BD$101:BD$142, MAX( COUNT( BE$9:BE$50 )  - $B153 + 1, 1)) : INDEX( BD$101:BD$142, MAX( COUNT( BE$9:BE$50 )  - $C153 + 1, 1)) &gt; 0)))</f>
        <v>1.0000058078621077</v>
      </c>
      <c r="BE153" s="8">
        <f>+IF(BE$8 = 125, 1, AVERAGE(_xlfn._xlws.FILTER(INDEX( BE$55:BE$96, MAX( COUNT( BF$9:BF$50 )  - $B153 + 1, 1)) : INDEX( BE$55:BE$96, MAX( COUNT( BF$9:BF$50 )  - $C153 + 1, 1)), INDEX( BE$101:BE$142, MAX( COUNT( BF$9:BF$50 )  - $B153 + 1, 1)) : INDEX( BE$101:BE$142, MAX( COUNT( BF$9:BF$50 )  - $C153 + 1, 1)) &gt; 0)))</f>
        <v>1.0002655845195512</v>
      </c>
      <c r="BF153" s="8">
        <f>+IF(BF$8 = 125, 1, AVERAGE(_xlfn._xlws.FILTER(INDEX( BF$55:BF$96, MAX( COUNT( BG$9:BG$50 )  - $B153 + 1, 1)) : INDEX( BF$55:BF$96, MAX( COUNT( BG$9:BG$50 )  - $C153 + 1, 1)), INDEX( BF$101:BF$142, MAX( COUNT( BG$9:BG$50 )  - $B153 + 1, 1)) : INDEX( BF$101:BF$142, MAX( COUNT( BG$9:BG$50 )  - $C153 + 1, 1)) &gt; 0)))</f>
        <v>1.0002201916981783</v>
      </c>
      <c r="BG153" s="8">
        <f>+IF(BG$8 = 125, 1, AVERAGE(_xlfn._xlws.FILTER(INDEX( BG$55:BG$96, MAX( COUNT( BH$9:BH$50 )  - $B153 + 1, 1)) : INDEX( BG$55:BG$96, MAX( COUNT( BH$9:BH$50 )  - $C153 + 1, 1)), INDEX( BG$101:BG$142, MAX( COUNT( BH$9:BH$50 )  - $B153 + 1, 1)) : INDEX( BG$101:BG$142, MAX( COUNT( BH$9:BH$50 )  - $C153 + 1, 1)) &gt; 0)))</f>
        <v>1</v>
      </c>
      <c r="BH153" s="8">
        <f>+IF(BH$8 = 125, 1, AVERAGE(_xlfn._xlws.FILTER(INDEX( BH$55:BH$96, MAX( COUNT( BI$9:BI$50 )  - $B153 + 1, 1)) : INDEX( BH$55:BH$96, MAX( COUNT( BI$9:BI$50 )  - $C153 + 1, 1)), INDEX( BH$101:BH$142, MAX( COUNT( BI$9:BI$50 )  - $B153 + 1, 1)) : INDEX( BH$101:BH$142, MAX( COUNT( BI$9:BI$50 )  - $C153 + 1, 1)) &gt; 0)))</f>
        <v>1</v>
      </c>
      <c r="BI153" s="8">
        <f>+IF(BI$8 = 125, 1, AVERAGE(_xlfn._xlws.FILTER(INDEX( BI$55:BI$96, MAX( COUNT( BJ$9:BJ$50 )  - $B153 + 1, 1)) : INDEX( BI$55:BI$96, MAX( COUNT( BJ$9:BJ$50 )  - $C153 + 1, 1)), INDEX( BI$101:BI$142, MAX( COUNT( BJ$9:BJ$50 )  - $B153 + 1, 1)) : INDEX( BI$101:BI$142, MAX( COUNT( BJ$9:BJ$50 )  - $C153 + 1, 1)) &gt; 0)))</f>
        <v>1.0000804637778742</v>
      </c>
      <c r="BJ153" s="8">
        <f>+IF(BJ$8 = 125, 1, AVERAGE(_xlfn._xlws.FILTER(INDEX( BJ$55:BJ$96, MAX( COUNT( BK$9:BK$50 )  - $B153 + 1, 1)) : INDEX( BJ$55:BJ$96, MAX( COUNT( BK$9:BK$50 )  - $C153 + 1, 1)), INDEX( BJ$101:BJ$142, MAX( COUNT( BK$9:BK$50 )  - $B153 + 1, 1)) : INDEX( BJ$101:BJ$142, MAX( COUNT( BK$9:BK$50 )  - $C153 + 1, 1)) &gt; 0)))</f>
        <v>1.0001192191747206</v>
      </c>
      <c r="BK153" s="8">
        <f>+IF(BK$8 = 125, 1, AVERAGE(_xlfn._xlws.FILTER(INDEX( BK$55:BK$96, MAX( COUNT( BL$9:BL$50 )  - $B153 + 1, 1)) : INDEX( BK$55:BK$96, MAX( COUNT( BL$9:BL$50 )  - $C153 + 1, 1)), INDEX( BK$101:BK$142, MAX( COUNT( BL$9:BL$50 )  - $B153 + 1, 1)) : INDEX( BK$101:BK$142, MAX( COUNT( BL$9:BL$50 )  - $C153 + 1, 1)) &gt; 0)))</f>
        <v>1.0000451609466343</v>
      </c>
      <c r="BL153" s="8">
        <f>+IF(BL$8 = 125, 1, AVERAGE(_xlfn._xlws.FILTER(INDEX( BL$55:BL$96, MAX( COUNT( BM$9:BM$50 )  - $B153 + 1, 1)) : INDEX( BL$55:BL$96, MAX( COUNT( BM$9:BM$50 )  - $C153 + 1, 1)), INDEX( BL$101:BL$142, MAX( COUNT( BM$9:BM$50 )  - $B153 + 1, 1)) : INDEX( BL$101:BL$142, MAX( COUNT( BM$9:BM$50 )  - $C153 + 1, 1)) &gt; 0)))</f>
        <v>1.0003658552316992</v>
      </c>
      <c r="BM153" s="8">
        <f>+IF(BM$8 = 125, 1, AVERAGE(_xlfn._xlws.FILTER(INDEX( BM$55:BM$96, MAX( COUNT( BN$9:BN$50 )  - $B153 + 1, 1)) : INDEX( BM$55:BM$96, MAX( COUNT( BN$9:BN$50 )  - $C153 + 1, 1)), INDEX( BM$101:BM$142, MAX( COUNT( BN$9:BN$50 )  - $B153 + 1, 1)) : INDEX( BM$101:BM$142, MAX( COUNT( BN$9:BN$50 )  - $C153 + 1, 1)) &gt; 0)))</f>
        <v>1.0001680166107323</v>
      </c>
      <c r="BN153" s="8">
        <f>+IF(BN$8 = 125, 1, AVERAGE(_xlfn._xlws.FILTER(INDEX( BN$55:BN$96, MAX( COUNT( BO$9:BO$50 )  - $B153 + 1, 1)) : INDEX( BN$55:BN$96, MAX( COUNT( BO$9:BO$50 )  - $C153 + 1, 1)), INDEX( BN$101:BN$142, MAX( COUNT( BO$9:BO$50 )  - $B153 + 1, 1)) : INDEX( BN$101:BN$142, MAX( COUNT( BO$9:BO$50 )  - $C153 + 1, 1)) &gt; 0)))</f>
        <v>1.0004943812330176</v>
      </c>
      <c r="BO153" s="8">
        <f>+IF(BO$8 = 125, 1, AVERAGE(_xlfn._xlws.FILTER(INDEX( BO$55:BO$96, MAX( COUNT( BP$9:BP$50 )  - $B153 + 1, 1)) : INDEX( BO$55:BO$96, MAX( COUNT( BP$9:BP$50 )  - $C153 + 1, 1)), INDEX( BO$101:BO$142, MAX( COUNT( BP$9:BP$50 )  - $B153 + 1, 1)) : INDEX( BO$101:BO$142, MAX( COUNT( BP$9:BP$50 )  - $C153 + 1, 1)) &gt; 0)))</f>
        <v>1.0004856066978201</v>
      </c>
      <c r="BP153" s="8">
        <f>+IF(BP$8 = 125, 1, AVERAGE(_xlfn._xlws.FILTER(INDEX( BP$55:BP$96, MAX( COUNT( BQ$9:BQ$50 )  - $B153 + 1, 1)) : INDEX( BP$55:BP$96, MAX( COUNT( BQ$9:BQ$50 )  - $C153 + 1, 1)), INDEX( BP$101:BP$142, MAX( COUNT( BQ$9:BQ$50 )  - $B153 + 1, 1)) : INDEX( BP$101:BP$142, MAX( COUNT( BQ$9:BQ$50 )  - $C153 + 1, 1)) &gt; 0)))</f>
        <v>1.0003217807686082</v>
      </c>
      <c r="BQ153" s="8">
        <f>+IF(BQ$8 = 125, 1, AVERAGE(_xlfn._xlws.FILTER(INDEX( BQ$55:BQ$96, MAX( COUNT( BR$9:BR$50 )  - $B153 + 1, 1)) : INDEX( BQ$55:BQ$96, MAX( COUNT( BR$9:BR$50 )  - $C153 + 1, 1)), INDEX( BQ$101:BQ$142, MAX( COUNT( BR$9:BR$50 )  - $B153 + 1, 1)) : INDEX( BQ$101:BQ$142, MAX( COUNT( BR$9:BR$50 )  - $C153 + 1, 1)) &gt; 0)))</f>
        <v>1</v>
      </c>
      <c r="BR153" s="8">
        <f>+IF(BR$8 = 125, 1, AVERAGE(_xlfn._xlws.FILTER(INDEX( BR$55:BR$96, MAX( COUNT( BS$9:BS$50 )  - $B153 + 1, 1)) : INDEX( BR$55:BR$96, MAX( COUNT( BS$9:BS$50 )  - $C153 + 1, 1)), INDEX( BR$101:BR$142, MAX( COUNT( BS$9:BS$50 )  - $B153 + 1, 1)) : INDEX( BR$101:BR$142, MAX( COUNT( BS$9:BS$50 )  - $C153 + 1, 1)) &gt; 0)))</f>
        <v>1.0000860755260332</v>
      </c>
      <c r="BS153" s="8">
        <f>+IF(BS$8 = 125, 1, AVERAGE(_xlfn._xlws.FILTER(INDEX( BS$55:BS$96, MAX( COUNT( BT$9:BT$50 )  - $B153 + 1, 1)) : INDEX( BS$55:BS$96, MAX( COUNT( BT$9:BT$50 )  - $C153 + 1, 1)), INDEX( BS$101:BS$142, MAX( COUNT( BT$9:BT$50 )  - $B153 + 1, 1)) : INDEX( BS$101:BS$142, MAX( COUNT( BT$9:BT$50 )  - $C153 + 1, 1)) &gt; 0)))</f>
        <v>1.0000797050646262</v>
      </c>
      <c r="BT153" s="8">
        <f>+IF(BT$8 = 125, 1, AVERAGE(_xlfn._xlws.FILTER(INDEX( BT$55:BT$96, MAX( COUNT( BU$9:BU$50 )  - $B153 + 1, 1)) : INDEX( BT$55:BT$96, MAX( COUNT( BU$9:BU$50 )  - $C153 + 1, 1)), INDEX( BT$101:BT$142, MAX( COUNT( BU$9:BU$50 )  - $B153 + 1, 1)) : INDEX( BT$101:BT$142, MAX( COUNT( BU$9:BU$50 )  - $C153 + 1, 1)) &gt; 0)))</f>
        <v>1.000009388271264</v>
      </c>
      <c r="BU153" s="8">
        <f>+IF(BU$8 = 125, 1, AVERAGE(_xlfn._xlws.FILTER(INDEX( BU$55:BU$96, MAX( COUNT( BV$9:BV$50 )  - $B153 + 1, 1)) : INDEX( BU$55:BU$96, MAX( COUNT( BV$9:BV$50 )  - $C153 + 1, 1)), INDEX( BU$101:BU$142, MAX( COUNT( BV$9:BV$50 )  - $B153 + 1, 1)) : INDEX( BU$101:BU$142, MAX( COUNT( BV$9:BV$50 )  - $C153 + 1, 1)) &gt; 0)))</f>
        <v>1.0001421996588573</v>
      </c>
      <c r="BV153" s="8">
        <f>+IF(BV$8 = 125, 1, AVERAGE(_xlfn._xlws.FILTER(INDEX( BV$55:BV$96, MAX( COUNT( BW$9:BW$50 )  - $B153 + 1, 1)) : INDEX( BV$55:BV$96, MAX( COUNT( BW$9:BW$50 )  - $C153 + 1, 1)), INDEX( BV$101:BV$142, MAX( COUNT( BW$9:BW$50 )  - $B153 + 1, 1)) : INDEX( BV$101:BV$142, MAX( COUNT( BW$9:BW$50 )  - $C153 + 1, 1)) &gt; 0)))</f>
        <v>1.0000736144879125</v>
      </c>
      <c r="BW153" s="8">
        <f>+IF(BW$8 = 125, 1, AVERAGE(_xlfn._xlws.FILTER(INDEX( BW$55:BW$96, MAX( COUNT( BX$9:BX$50 )  - $B153 + 1, 1)) : INDEX( BW$55:BW$96, MAX( COUNT( BX$9:BX$50 )  - $C153 + 1, 1)), INDEX( BW$101:BW$142, MAX( COUNT( BX$9:BX$50 )  - $B153 + 1, 1)) : INDEX( BW$101:BW$142, MAX( COUNT( BX$9:BX$50 )  - $C153 + 1, 1)) &gt; 0)))</f>
        <v>1.000153964708701</v>
      </c>
      <c r="BX153" s="8">
        <f>+IF(BX$8 = 125, 1, AVERAGE(_xlfn._xlws.FILTER(INDEX( BX$55:BX$96, MAX( COUNT( BY$9:BY$50 )  - $B153 + 1, 1)) : INDEX( BX$55:BX$96, MAX( COUNT( BY$9:BY$50 )  - $C153 + 1, 1)), INDEX( BX$101:BX$142, MAX( COUNT( BY$9:BY$50 )  - $B153 + 1, 1)) : INDEX( BX$101:BX$142, MAX( COUNT( BY$9:BY$50 )  - $C153 + 1, 1)) &gt; 0)))</f>
        <v>1.0009094152092071</v>
      </c>
      <c r="BY153" s="8">
        <f>+IF(BY$8 = 125, 1, AVERAGE(_xlfn._xlws.FILTER(INDEX( BY$55:BY$96, MAX( COUNT( BZ$9:BZ$50 )  - $B153 + 1, 1)) : INDEX( BY$55:BY$96, MAX( COUNT( BZ$9:BZ$50 )  - $C153 + 1, 1)), INDEX( BY$101:BY$142, MAX( COUNT( BZ$9:BZ$50 )  - $B153 + 1, 1)) : INDEX( BY$101:BY$142, MAX( COUNT( BZ$9:BZ$50 )  - $C153 + 1, 1)) &gt; 0)))</f>
        <v>1.0002379223802187</v>
      </c>
      <c r="BZ153" s="8">
        <f>+IF(BZ$8 = 125, 1, AVERAGE(_xlfn._xlws.FILTER(INDEX( BZ$55:BZ$96, MAX( COUNT( CA$9:CA$50 )  - $B153 + 1, 1)) : INDEX( BZ$55:BZ$96, MAX( COUNT( CA$9:CA$50 )  - $C153 + 1, 1)), INDEX( BZ$101:BZ$142, MAX( COUNT( CA$9:CA$50 )  - $B153 + 1, 1)) : INDEX( BZ$101:BZ$142, MAX( COUNT( CA$9:CA$50 )  - $C153 + 1, 1)) &gt; 0)))</f>
        <v>1.0000921913299041</v>
      </c>
      <c r="CA153" s="8">
        <f>+IF(CA$8 = 125, 1, AVERAGE(_xlfn._xlws.FILTER(INDEX( CA$55:CA$96, MAX( COUNT( CB$9:CB$50 )  - $B153 + 1, 1)) : INDEX( CA$55:CA$96, MAX( COUNT( CB$9:CB$50 )  - $C153 + 1, 1)), INDEX( CA$101:CA$142, MAX( COUNT( CB$9:CB$50 )  - $B153 + 1, 1)) : INDEX( CA$101:CA$142, MAX( COUNT( CB$9:CB$50 )  - $C153 + 1, 1)) &gt; 0)))</f>
        <v>1.0000678206718554</v>
      </c>
      <c r="CB153" s="8">
        <f>+IF(CB$8 = 125, 1, AVERAGE(_xlfn._xlws.FILTER(INDEX( CB$55:CB$96, MAX( COUNT( CC$9:CC$50 )  - $B153 + 1, 1)) : INDEX( CB$55:CB$96, MAX( COUNT( CC$9:CC$50 )  - $C153 + 1, 1)), INDEX( CB$101:CB$142, MAX( COUNT( CC$9:CC$50 )  - $B153 + 1, 1)) : INDEX( CB$101:CB$142, MAX( COUNT( CC$9:CC$50 )  - $C153 + 1, 1)) &gt; 0)))</f>
        <v>1.0013993749834236</v>
      </c>
      <c r="CC153" s="8">
        <f>+IF(CC$8 = 125, 1, AVERAGE(_xlfn._xlws.FILTER(INDEX( CC$55:CC$96, MAX( COUNT( CD$9:CD$50 )  - $B153 + 1, 1)) : INDEX( CC$55:CC$96, MAX( COUNT( CD$9:CD$50 )  - $C153 + 1, 1)), INDEX( CC$101:CC$142, MAX( COUNT( CD$9:CD$50 )  - $B153 + 1, 1)) : INDEX( CC$101:CC$142, MAX( COUNT( CD$9:CD$50 )  - $C153 + 1, 1)) &gt; 0)))</f>
        <v>1.0001808628465716</v>
      </c>
      <c r="CD153" s="8">
        <f>+IF(CD$8 = 125, 1, AVERAGE(_xlfn._xlws.FILTER(INDEX( CD$55:CD$96, MAX( COUNT( CE$9:CE$50 )  - $B153 + 1, 1)) : INDEX( CD$55:CD$96, MAX( COUNT( CE$9:CE$50 )  - $C153 + 1, 1)), INDEX( CD$101:CD$142, MAX( COUNT( CE$9:CE$50 )  - $B153 + 1, 1)) : INDEX( CD$101:CD$142, MAX( COUNT( CE$9:CE$50 )  - $C153 + 1, 1)) &gt; 0)))</f>
        <v>1.0000222706525799</v>
      </c>
      <c r="CE153" s="8">
        <f>+IF(CE$8 = 125, 1, AVERAGE(_xlfn._xlws.FILTER(INDEX( CE$55:CE$96, MAX( COUNT( CF$9:CF$50 )  - $B153 + 1, 1)) : INDEX( CE$55:CE$96, MAX( COUNT( CF$9:CF$50 )  - $C153 + 1, 1)), INDEX( CE$101:CE$142, MAX( COUNT( CF$9:CF$50 )  - $B153 + 1, 1)) : INDEX( CE$101:CE$142, MAX( COUNT( CF$9:CF$50 )  - $C153 + 1, 1)) &gt; 0)))</f>
        <v>1.0004874877905361</v>
      </c>
      <c r="CF153" s="8">
        <f>+IF(CF$8 = 125, 1, AVERAGE(_xlfn._xlws.FILTER(INDEX( CF$55:CF$96, MAX( COUNT( CG$9:CG$50 )  - $B153 + 1, 1)) : INDEX( CF$55:CF$96, MAX( COUNT( CG$9:CG$50 )  - $C153 + 1, 1)), INDEX( CF$101:CF$142, MAX( COUNT( CG$9:CG$50 )  - $B153 + 1, 1)) : INDEX( CF$101:CF$142, MAX( COUNT( CG$9:CG$50 )  - $C153 + 1, 1)) &gt; 0)))</f>
        <v>1.0008017094056239</v>
      </c>
      <c r="CG153" s="8">
        <f>+IF(CG$8 = 125, 1, AVERAGE(_xlfn._xlws.FILTER(INDEX( CG$55:CG$96, MAX( COUNT( CH$9:CH$50 )  - $B153 + 1, 1)) : INDEX( CG$55:CG$96, MAX( COUNT( CH$9:CH$50 )  - $C153 + 1, 1)), INDEX( CG$101:CG$142, MAX( COUNT( CH$9:CH$50 )  - $B153 + 1, 1)) : INDEX( CG$101:CG$142, MAX( COUNT( CH$9:CH$50 )  - $C153 + 1, 1)) &gt; 0)))</f>
        <v>1.0002327123696138</v>
      </c>
      <c r="CH153" s="8">
        <f>+IF(CH$8 = 125, 1, AVERAGE(_xlfn._xlws.FILTER(INDEX( CH$55:CH$96, MAX( COUNT( CI$9:CI$50 )  - $B153 + 1, 1)) : INDEX( CH$55:CH$96, MAX( COUNT( CI$9:CI$50 )  - $C153 + 1, 1)), INDEX( CH$101:CH$142, MAX( COUNT( CI$9:CI$50 )  - $B153 + 1, 1)) : INDEX( CH$101:CH$142, MAX( COUNT( CI$9:CI$50 )  - $C153 + 1, 1)) &gt; 0)))</f>
        <v>1.0004236947258773</v>
      </c>
      <c r="CI153" s="8">
        <f>+IF(CI$8 = 125, 1, AVERAGE(_xlfn._xlws.FILTER(INDEX( CI$55:CI$96, MAX( COUNT( CJ$9:CJ$50 )  - $B153 + 1, 1)) : INDEX( CI$55:CI$96, MAX( COUNT( CJ$9:CJ$50 )  - $C153 + 1, 1)), INDEX( CI$101:CI$142, MAX( COUNT( CJ$9:CJ$50 )  - $B153 + 1, 1)) : INDEX( CI$101:CI$142, MAX( COUNT( CJ$9:CJ$50 )  - $C153 + 1, 1)) &gt; 0)))</f>
        <v>1.0000563442601822</v>
      </c>
      <c r="CJ153" s="8">
        <f>+IF(CJ$8 = 125, 1, AVERAGE(_xlfn._xlws.FILTER(INDEX( CJ$55:CJ$96, MAX( COUNT( CK$9:CK$50 )  - $B153 + 1, 1)) : INDEX( CJ$55:CJ$96, MAX( COUNT( CK$9:CK$50 )  - $C153 + 1, 1)), INDEX( CJ$101:CJ$142, MAX( COUNT( CK$9:CK$50 )  - $B153 + 1, 1)) : INDEX( CJ$101:CJ$142, MAX( COUNT( CK$9:CK$50 )  - $C153 + 1, 1)) &gt; 0)))</f>
        <v>1.0003471151838443</v>
      </c>
      <c r="CK153" s="8">
        <f>+IF(CK$8 = 125, 1, AVERAGE(_xlfn._xlws.FILTER(INDEX( CK$55:CK$96, MAX( COUNT( CL$9:CL$50 )  - $B153 + 1, 1)) : INDEX( CK$55:CK$96, MAX( COUNT( CL$9:CL$50 )  - $C153 + 1, 1)), INDEX( CK$101:CK$142, MAX( COUNT( CL$9:CL$50 )  - $B153 + 1, 1)) : INDEX( CK$101:CK$142, MAX( COUNT( CL$9:CL$50 )  - $C153 + 1, 1)) &gt; 0)))</f>
        <v>1.000021711095803</v>
      </c>
      <c r="CL153" s="8">
        <f>+IF(CL$8 = 125, 1, AVERAGE(_xlfn._xlws.FILTER(INDEX( CL$55:CL$96, MAX( COUNT( CM$9:CM$50 )  - $B153 + 1, 1)) : INDEX( CL$55:CL$96, MAX( COUNT( CM$9:CM$50 )  - $C153 + 1, 1)), INDEX( CL$101:CL$142, MAX( COUNT( CM$9:CM$50 )  - $B153 + 1, 1)) : INDEX( CL$101:CL$142, MAX( COUNT( CM$9:CM$50 )  - $C153 + 1, 1)) &gt; 0)))</f>
        <v>1.0005501671813453</v>
      </c>
      <c r="CM153" s="8">
        <f>+IF(CM$8 = 125, 1, AVERAGE(_xlfn._xlws.FILTER(INDEX( CM$55:CM$96, MAX( COUNT( CN$9:CN$50 )  - $B153 + 1, 1)) : INDEX( CM$55:CM$96, MAX( COUNT( CN$9:CN$50 )  - $C153 + 1, 1)), INDEX( CM$101:CM$142, MAX( COUNT( CN$9:CN$50 )  - $B153 + 1, 1)) : INDEX( CM$101:CM$142, MAX( COUNT( CN$9:CN$50 )  - $C153 + 1, 1)) &gt; 0)))</f>
        <v>1.0009080585587984</v>
      </c>
      <c r="CN153" s="8">
        <f>+IF(CN$8 = 125, 1, AVERAGE(_xlfn._xlws.FILTER(INDEX( CN$55:CN$96, MAX( COUNT( CO$9:CO$50 )  - $B153 + 1, 1)) : INDEX( CN$55:CN$96, MAX( COUNT( CO$9:CO$50 )  - $C153 + 1, 1)), INDEX( CN$101:CN$142, MAX( COUNT( CO$9:CO$50 )  - $B153 + 1, 1)) : INDEX( CN$101:CN$142, MAX( COUNT( CO$9:CO$50 )  - $C153 + 1, 1)) &gt; 0)))</f>
        <v>1.0000751744856413</v>
      </c>
      <c r="CO153" s="8">
        <f>+IF(CO$8 = 125, 1, AVERAGE(_xlfn._xlws.FILTER(INDEX( CO$55:CO$96, MAX( COUNT( CP$9:CP$50 )  - $B153 + 1, 1)) : INDEX( CO$55:CO$96, MAX( COUNT( CP$9:CP$50 )  - $C153 + 1, 1)), INDEX( CO$101:CO$142, MAX( COUNT( CP$9:CP$50 )  - $B153 + 1, 1)) : INDEX( CO$101:CO$142, MAX( COUNT( CP$9:CP$50 )  - $C153 + 1, 1)) &gt; 0)))</f>
        <v>1.0390899363362847</v>
      </c>
      <c r="CP153" s="8">
        <f>+IF(CP$8 = 125, 1, AVERAGE(_xlfn._xlws.FILTER(INDEX( CP$55:CP$96, MAX( COUNT( CQ$9:CQ$50 )  - $B153 + 1, 1)) : INDEX( CP$55:CP$96, MAX( COUNT( CQ$9:CQ$50 )  - $C153 + 1, 1)), INDEX( CP$101:CP$142, MAX( COUNT( CQ$9:CQ$50 )  - $B153 + 1, 1)) : INDEX( CP$101:CP$142, MAX( COUNT( CQ$9:CQ$50 )  - $C153 + 1, 1)) &gt; 0)))</f>
        <v>1</v>
      </c>
      <c r="CQ153" s="8">
        <f>+IF(CQ$8 = 125, 1, AVERAGE(_xlfn._xlws.FILTER(INDEX( CQ$55:CQ$96, MAX( COUNT( CR$9:CR$50 )  - $B153 + 1, 1)) : INDEX( CQ$55:CQ$96, MAX( COUNT( CR$9:CR$50 )  - $C153 + 1, 1)), INDEX( CQ$101:CQ$142, MAX( COUNT( CR$9:CR$50 )  - $B153 + 1, 1)) : INDEX( CQ$101:CQ$142, MAX( COUNT( CR$9:CR$50 )  - $C153 + 1, 1)) &gt; 0)))</f>
        <v>1.000169746459729</v>
      </c>
      <c r="CR153" s="8">
        <f>+IF(CR$8 = 125, 1, AVERAGE(_xlfn._xlws.FILTER(INDEX( CR$55:CR$96, MAX( COUNT( CS$9:CS$50 )  - $B153 + 1, 1)) : INDEX( CR$55:CR$96, MAX( COUNT( CS$9:CS$50 )  - $C153 + 1, 1)), INDEX( CR$101:CR$142, MAX( COUNT( CS$9:CS$50 )  - $B153 + 1, 1)) : INDEX( CR$101:CR$142, MAX( COUNT( CS$9:CS$50 )  - $C153 + 1, 1)) &gt; 0)))</f>
        <v>1.0008832768479725</v>
      </c>
      <c r="CS153" s="8">
        <f>+IF(CS$8 = 125, 1, AVERAGE(_xlfn._xlws.FILTER(INDEX( CS$55:CS$96, MAX( COUNT( CT$9:CT$50 )  - $B153 + 1, 1)) : INDEX( CS$55:CS$96, MAX( COUNT( CT$9:CT$50 )  - $C153 + 1, 1)), INDEX( CS$101:CS$142, MAX( COUNT( CT$9:CT$50 )  - $B153 + 1, 1)) : INDEX( CS$101:CS$142, MAX( COUNT( CT$9:CT$50 )  - $C153 + 1, 1)) &gt; 0)))</f>
        <v>1.000622087620453</v>
      </c>
      <c r="CT153" s="8">
        <f>+IF(CT$8 = 125, 1, AVERAGE(_xlfn._xlws.FILTER(INDEX( CT$55:CT$96, MAX( COUNT( CU$9:CU$50 )  - $B153 + 1, 1)) : INDEX( CT$55:CT$96, MAX( COUNT( CU$9:CU$50 )  - $C153 + 1, 1)), INDEX( CT$101:CT$142, MAX( COUNT( CU$9:CU$50 )  - $B153 + 1, 1)) : INDEX( CT$101:CT$142, MAX( COUNT( CU$9:CU$50 )  - $C153 + 1, 1)) &gt; 0)))</f>
        <v>1.0000510513275227</v>
      </c>
      <c r="CU153" s="8">
        <f>+IF(CU$8 = 125, 1, AVERAGE(_xlfn._xlws.FILTER(INDEX( CU$55:CU$96, MAX( COUNT( CV$9:CV$50 )  - $B153 + 1, 1)) : INDEX( CU$55:CU$96, MAX( COUNT( CV$9:CV$50 )  - $C153 + 1, 1)), INDEX( CU$101:CU$142, MAX( COUNT( CV$9:CV$50 )  - $B153 + 1, 1)) : INDEX( CU$101:CU$142, MAX( COUNT( CV$9:CV$50 )  - $C153 + 1, 1)) &gt; 0)))</f>
        <v>1.0000098034345961</v>
      </c>
      <c r="CV153" s="8">
        <f>+IF(CV$8 = 125, 1, AVERAGE(_xlfn._xlws.FILTER(INDEX( CV$55:CV$96, MAX( COUNT( CW$9:CW$50 )  - $B153 + 1, 1)) : INDEX( CV$55:CV$96, MAX( COUNT( CW$9:CW$50 )  - $C153 + 1, 1)), INDEX( CV$101:CV$142, MAX( COUNT( CW$9:CW$50 )  - $B153 + 1, 1)) : INDEX( CV$101:CV$142, MAX( COUNT( CW$9:CW$50 )  - $C153 + 1, 1)) &gt; 0)))</f>
        <v>1.0001395142542531</v>
      </c>
      <c r="CW153" s="8">
        <f>+IF(CW$8 = 125, 1, AVERAGE(_xlfn._xlws.FILTER(INDEX( CW$55:CW$96, MAX( COUNT( CX$9:CX$50 )  - $B153 + 1, 1)) : INDEX( CW$55:CW$96, MAX( COUNT( CX$9:CX$50 )  - $C153 + 1, 1)), INDEX( CW$101:CW$142, MAX( COUNT( CX$9:CX$50 )  - $B153 + 1, 1)) : INDEX( CW$101:CW$142, MAX( COUNT( CX$9:CX$50 )  - $C153 + 1, 1)) &gt; 0)))</f>
        <v>1.0002957653340143</v>
      </c>
      <c r="CX153" s="8">
        <f>+IF(CX$8 = 125, 1, AVERAGE(_xlfn._xlws.FILTER(INDEX( CX$55:CX$96, MAX( COUNT( CY$9:CY$50 )  - $B153 + 1, 1)) : INDEX( CX$55:CX$96, MAX( COUNT( CY$9:CY$50 )  - $C153 + 1, 1)), INDEX( CX$101:CX$142, MAX( COUNT( CY$9:CY$50 )  - $B153 + 1, 1)) : INDEX( CX$101:CX$142, MAX( COUNT( CY$9:CY$50 )  - $C153 + 1, 1)) &gt; 0)))</f>
        <v>1.0007964257498385</v>
      </c>
      <c r="CY153" s="8">
        <f>+IF(CY$8 = 125, 1, AVERAGE(_xlfn._xlws.FILTER(INDEX( CY$55:CY$96, MAX( COUNT( CZ$9:CZ$50 )  - $B153 + 1, 1)) : INDEX( CY$55:CY$96, MAX( COUNT( CZ$9:CZ$50 )  - $C153 + 1, 1)), INDEX( CY$101:CY$142, MAX( COUNT( CZ$9:CZ$50 )  - $B153 + 1, 1)) : INDEX( CY$101:CY$142, MAX( COUNT( CZ$9:CZ$50 )  - $C153 + 1, 1)) &gt; 0)))</f>
        <v>1.0008707319822407</v>
      </c>
      <c r="CZ153" s="8">
        <f>+IF(CZ$8 = 125, 1, AVERAGE(_xlfn._xlws.FILTER(INDEX( CZ$55:CZ$96, MAX( COUNT( DA$9:DA$50 )  - $B153 + 1, 1)) : INDEX( CZ$55:CZ$96, MAX( COUNT( DA$9:DA$50 )  - $C153 + 1, 1)), INDEX( CZ$101:CZ$142, MAX( COUNT( DA$9:DA$50 )  - $B153 + 1, 1)) : INDEX( CZ$101:CZ$142, MAX( COUNT( DA$9:DA$50 )  - $C153 + 1, 1)) &gt; 0)))</f>
        <v>1.0004273035652507</v>
      </c>
      <c r="DA153" s="8">
        <f>+IF(DA$8 = 125, 1, AVERAGE(_xlfn._xlws.FILTER(INDEX( DA$55:DA$96, MAX( COUNT( DB$9:DB$50 )  - $B153 + 1, 1)) : INDEX( DA$55:DA$96, MAX( COUNT( DB$9:DB$50 )  - $C153 + 1, 1)), INDEX( DA$101:DA$142, MAX( COUNT( DB$9:DB$50 )  - $B153 + 1, 1)) : INDEX( DA$101:DA$142, MAX( COUNT( DB$9:DB$50 )  - $C153 + 1, 1)) &gt; 0)))</f>
        <v>1.0002439856097034</v>
      </c>
      <c r="DB153" s="8">
        <f>+IF(DB$8 = 125, 1, AVERAGE(_xlfn._xlws.FILTER(INDEX( DB$55:DB$96, MAX( COUNT( DC$9:DC$50 )  - $B153 + 1, 1)) : INDEX( DB$55:DB$96, MAX( COUNT( DC$9:DC$50 )  - $C153 + 1, 1)), INDEX( DB$101:DB$142, MAX( COUNT( DC$9:DC$50 )  - $B153 + 1, 1)) : INDEX( DB$101:DB$142, MAX( COUNT( DC$9:DC$50 )  - $C153 + 1, 1)) &gt; 0)))</f>
        <v>1.0000128242538622</v>
      </c>
      <c r="DC153" s="8">
        <f>+IF(DC$8 = 125, 1, AVERAGE(_xlfn._xlws.FILTER(INDEX( DC$55:DC$96, MAX( COUNT( DD$9:DD$50 )  - $B153 + 1, 1)) : INDEX( DC$55:DC$96, MAX( COUNT( DD$9:DD$50 )  - $C153 + 1, 1)), INDEX( DC$101:DC$142, MAX( COUNT( DD$9:DD$50 )  - $B153 + 1, 1)) : INDEX( DC$101:DC$142, MAX( COUNT( DD$9:DD$50 )  - $C153 + 1, 1)) &gt; 0)))</f>
        <v>1.0001424703822621</v>
      </c>
      <c r="DD153" s="8">
        <f>+IF(DD$8 = 125, 1, AVERAGE(_xlfn._xlws.FILTER(INDEX( DD$55:DD$96, MAX( COUNT( DE$9:DE$50 )  - $B153 + 1, 1)) : INDEX( DD$55:DD$96, MAX( COUNT( DE$9:DE$50 )  - $C153 + 1, 1)), INDEX( DD$101:DD$142, MAX( COUNT( DE$9:DE$50 )  - $B153 + 1, 1)) : INDEX( DD$101:DD$142, MAX( COUNT( DE$9:DE$50 )  - $C153 + 1, 1)) &gt; 0)))</f>
        <v>1.0000199069015006</v>
      </c>
      <c r="DE153" s="8">
        <f>+IF(DE$8 = 125, 1, AVERAGE(_xlfn._xlws.FILTER(INDEX( DE$55:DE$96, MAX( COUNT( DF$9:DF$50 )  - $B153 + 1, 1)) : INDEX( DE$55:DE$96, MAX( COUNT( DF$9:DF$50 )  - $C153 + 1, 1)), INDEX( DE$101:DE$142, MAX( COUNT( DF$9:DF$50 )  - $B153 + 1, 1)) : INDEX( DE$101:DE$142, MAX( COUNT( DF$9:DF$50 )  - $C153 + 1, 1)) &gt; 0)))</f>
        <v>1.0002256663811147</v>
      </c>
      <c r="DF153" s="8">
        <f>+IF(DF$8 = 125, 1, AVERAGE(_xlfn._xlws.FILTER(INDEX( DF$55:DF$96, MAX( COUNT( DG$9:DG$50 )  - $B153 + 1, 1)) : INDEX( DF$55:DF$96, MAX( COUNT( DG$9:DG$50 )  - $C153 + 1, 1)), INDEX( DF$101:DF$142, MAX( COUNT( DG$9:DG$50 )  - $B153 + 1, 1)) : INDEX( DF$101:DF$142, MAX( COUNT( DG$9:DG$50 )  - $C153 + 1, 1)) &gt; 0)))</f>
        <v>1.0006873247646397</v>
      </c>
      <c r="DG153" s="8">
        <f>+IF(DG$8 = 125, 1, AVERAGE(_xlfn._xlws.FILTER(INDEX( DG$55:DG$96, MAX( COUNT( DH$9:DH$50 )  - $B153 + 1, 1)) : INDEX( DG$55:DG$96, MAX( COUNT( DH$9:DH$50 )  - $C153 + 1, 1)), INDEX( DG$101:DG$142, MAX( COUNT( DH$9:DH$50 )  - $B153 + 1, 1)) : INDEX( DG$101:DG$142, MAX( COUNT( DH$9:DH$50 )  - $C153 + 1, 1)) &gt; 0)))</f>
        <v>1.0008119982131169</v>
      </c>
      <c r="DH153" s="8">
        <f>+IF(DH$8 = 125, 1, AVERAGE(_xlfn._xlws.FILTER(INDEX( DH$55:DH$96, MAX( COUNT( DI$9:DI$50 )  - $B153 + 1, 1)) : INDEX( DH$55:DH$96, MAX( COUNT( DI$9:DI$50 )  - $C153 + 1, 1)), INDEX( DH$101:DH$142, MAX( COUNT( DI$9:DI$50 )  - $B153 + 1, 1)) : INDEX( DH$101:DH$142, MAX( COUNT( DI$9:DI$50 )  - $C153 + 1, 1)) &gt; 0)))</f>
        <v>1.0001347511987562</v>
      </c>
      <c r="DI153" s="8">
        <f>+IF(DI$8 = 125, 1, AVERAGE(_xlfn._xlws.FILTER(INDEX( DI$55:DI$96, MAX( COUNT( DJ$9:DJ$50 )  - $B153 + 1, 1)) : INDEX( DI$55:DI$96, MAX( COUNT( DJ$9:DJ$50 )  - $C153 + 1, 1)), INDEX( DI$101:DI$142, MAX( COUNT( DJ$9:DJ$50 )  - $B153 + 1, 1)) : INDEX( DI$101:DI$142, MAX( COUNT( DJ$9:DJ$50 )  - $C153 + 1, 1)) &gt; 0)))</f>
        <v>1.0001573191385886</v>
      </c>
      <c r="DJ153" s="8">
        <f>+IF(DJ$8 = 125, 1, AVERAGE(_xlfn._xlws.FILTER(INDEX( DJ$55:DJ$96, MAX( COUNT( DK$9:DK$50 )  - $B153 + 1, 1)) : INDEX( DJ$55:DJ$96, MAX( COUNT( DK$9:DK$50 )  - $C153 + 1, 1)), INDEX( DJ$101:DJ$142, MAX( COUNT( DK$9:DK$50 )  - $B153 + 1, 1)) : INDEX( DJ$101:DJ$142, MAX( COUNT( DK$9:DK$50 )  - $C153 + 1, 1)) &gt; 0)))</f>
        <v>1.000352004908565</v>
      </c>
      <c r="DK153" s="8">
        <f>+IF(DK$8 = 125, 1, AVERAGE(_xlfn._xlws.FILTER(INDEX( DK$55:DK$96, MAX( COUNT( DL$9:DL$50 )  - $B153 + 1, 1)) : INDEX( DK$55:DK$96, MAX( COUNT( DL$9:DL$50 )  - $C153 + 1, 1)), INDEX( DK$101:DK$142, MAX( COUNT( DL$9:DL$50 )  - $B153 + 1, 1)) : INDEX( DK$101:DK$142, MAX( COUNT( DL$9:DL$50 )  - $C153 + 1, 1)) &gt; 0)))</f>
        <v>1.0012975425430386</v>
      </c>
      <c r="DL153" s="8">
        <f>+IF(DL$8 = 125, 1, AVERAGE(_xlfn._xlws.FILTER(INDEX( DL$55:DL$96, MAX( COUNT( DM$9:DM$50 )  - $B153 + 1, 1)) : INDEX( DL$55:DL$96, MAX( COUNT( DM$9:DM$50 )  - $C153 + 1, 1)), INDEX( DL$101:DL$142, MAX( COUNT( DM$9:DM$50 )  - $B153 + 1, 1)) : INDEX( DL$101:DL$142, MAX( COUNT( DM$9:DM$50 )  - $C153 + 1, 1)) &gt; 0)))</f>
        <v>1.0004068063765579</v>
      </c>
      <c r="DM153" s="8">
        <f>+IF(DM$8 = 125, 1, AVERAGE(_xlfn._xlws.FILTER(INDEX( DM$55:DM$96, MAX( COUNT( DN$9:DN$50 )  - $B153 + 1, 1)) : INDEX( DM$55:DM$96, MAX( COUNT( DN$9:DN$50 )  - $C153 + 1, 1)), INDEX( DM$101:DM$142, MAX( COUNT( DN$9:DN$50 )  - $B153 + 1, 1)) : INDEX( DM$101:DM$142, MAX( COUNT( DN$9:DN$50 )  - $C153 + 1, 1)) &gt; 0)))</f>
        <v>1</v>
      </c>
      <c r="DN153" s="8">
        <f>+IF(DN$8 = 125, 1, AVERAGE(_xlfn._xlws.FILTER(INDEX( DN$55:DN$96, MAX( COUNT( DO$9:DO$50 )  - $B153 + 1, 1)) : INDEX( DN$55:DN$96, MAX( COUNT( DO$9:DO$50 )  - $C153 + 1, 1)), INDEX( DN$101:DN$142, MAX( COUNT( DO$9:DO$50 )  - $B153 + 1, 1)) : INDEX( DN$101:DN$142, MAX( COUNT( DO$9:DO$50 )  - $C153 + 1, 1)) &gt; 0)))</f>
        <v>1.0004629755120409</v>
      </c>
      <c r="DO153" s="8">
        <f>+IF(DO$8 = 125, 1, AVERAGE(_xlfn._xlws.FILTER(INDEX( DO$55:DO$96, MAX( COUNT( DP$9:DP$50 )  - $B153 + 1, 1)) : INDEX( DO$55:DO$96, MAX( COUNT( DP$9:DP$50 )  - $C153 + 1, 1)), INDEX( DO$101:DO$142, MAX( COUNT( DP$9:DP$50 )  - $B153 + 1, 1)) : INDEX( DO$101:DO$142, MAX( COUNT( DP$9:DP$50 )  - $C153 + 1, 1)) &gt; 0)))</f>
        <v>1.0015543894261347</v>
      </c>
      <c r="DP153" s="8">
        <f>+IF(DP$8 = 125, 1, AVERAGE(_xlfn._xlws.FILTER(INDEX( DP$55:DP$96, MAX( COUNT( DQ$9:DQ$50 )  - $B153 + 1, 1)) : INDEX( DP$55:DP$96, MAX( COUNT( DQ$9:DQ$50 )  - $C153 + 1, 1)), INDEX( DP$101:DP$142, MAX( COUNT( DQ$9:DQ$50 )  - $B153 + 1, 1)) : INDEX( DP$101:DP$142, MAX( COUNT( DQ$9:DQ$50 )  - $C153 + 1, 1)) &gt; 0)))</f>
        <v>1.0009182816450997</v>
      </c>
      <c r="DQ153" s="8">
        <f>+IF(DQ$8 = 125, 1, AVERAGE(_xlfn._xlws.FILTER(INDEX( DQ$55:DQ$96, MAX( COUNT( DR$9:DR$50 )  - $B153 + 1, 1)) : INDEX( DQ$55:DQ$96, MAX( COUNT( DR$9:DR$50 )  - $C153 + 1, 1)), INDEX( DQ$101:DQ$142, MAX( COUNT( DR$9:DR$50 )  - $B153 + 1, 1)) : INDEX( DQ$101:DQ$142, MAX( COUNT( DR$9:DR$50 )  - $C153 + 1, 1)) &gt; 0)))</f>
        <v>1.0004935362848839</v>
      </c>
      <c r="DR153" s="8">
        <f>+IF(DR$8 = 125, 1, AVERAGE(_xlfn._xlws.FILTER(INDEX( DR$55:DR$96, MAX( COUNT( DS$9:DS$50 )  - $B153 + 1, 1)) : INDEX( DR$55:DR$96, MAX( COUNT( DS$9:DS$50 )  - $C153 + 1, 1)), INDEX( DR$101:DR$142, MAX( COUNT( DS$9:DS$50 )  - $B153 + 1, 1)) : INDEX( DR$101:DR$142, MAX( COUNT( DS$9:DS$50 )  - $C153 + 1, 1)) &gt; 0)))</f>
        <v>1.0011520456209959</v>
      </c>
      <c r="DS153" s="8">
        <f>+IF(DS$8 = 125, 1, AVERAGE(_xlfn._xlws.FILTER(INDEX( DS$55:DS$96, MAX( COUNT( DT$9:DT$50 )  - $B153 + 1, 1)) : INDEX( DS$55:DS$96, MAX( COUNT( DT$9:DT$50 )  - $C153 + 1, 1)), INDEX( DS$101:DS$142, MAX( COUNT( DT$9:DT$50 )  - $B153 + 1, 1)) : INDEX( DS$101:DS$142, MAX( COUNT( DT$9:DT$50 )  - $C153 + 1, 1)) &gt; 0)))</f>
        <v>1.0023495132691391</v>
      </c>
      <c r="DT153" s="8">
        <f>+IF(DT$8 = 125, 1, AVERAGE(_xlfn._xlws.FILTER(INDEX( DT$55:DT$96, MAX( COUNT( DU$9:DU$50 )  - $B153 + 1, 1)) : INDEX( DT$55:DT$96, MAX( COUNT( DU$9:DU$50 )  - $C153 + 1, 1)), INDEX( DT$101:DT$142, MAX( COUNT( DU$9:DU$50 )  - $B153 + 1, 1)) : INDEX( DT$101:DT$142, MAX( COUNT( DU$9:DU$50 )  - $C153 + 1, 1)) &gt; 0)))</f>
        <v>1.0022348158128072</v>
      </c>
      <c r="DU153" s="8">
        <f>+IF(DU$8 = 125, 1, AVERAGE(_xlfn._xlws.FILTER(INDEX( DU$55:DU$96, MAX( COUNT( DV$9:DV$50 )  - $B153 + 1, 1)) : INDEX( DU$55:DU$96, MAX( COUNT( DV$9:DV$50 )  - $C153 + 1, 1)), INDEX( DU$101:DU$142, MAX( COUNT( DV$9:DV$50 )  - $B153 + 1, 1)) : INDEX( DU$101:DU$142, MAX( COUNT( DV$9:DV$50 )  - $C153 + 1, 1)) &gt; 0)))</f>
        <v>1.0009066405512623</v>
      </c>
      <c r="DV153" s="8">
        <f>+IF(DV$8 = 125, 1, AVERAGE(_xlfn._xlws.FILTER(INDEX( DV$55:DV$96, MAX( COUNT( DW$9:DW$50 )  - $B153 + 1, 1)) : INDEX( DV$55:DV$96, MAX( COUNT( DW$9:DW$50 )  - $C153 + 1, 1)), INDEX( DV$101:DV$142, MAX( COUNT( DW$9:DW$50 )  - $B153 + 1, 1)) : INDEX( DV$101:DV$142, MAX( COUNT( DW$9:DW$50 )  - $C153 + 1, 1)) &gt; 0)))</f>
        <v>1.0034017444366707</v>
      </c>
      <c r="DW153" s="8">
        <f>+IF(DW$8 = 125, 1, AVERAGE(_xlfn._xlws.FILTER(INDEX( DW$55:DW$96, MAX( COUNT( DX$9:DX$50 )  - $B153 + 1, 1)) : INDEX( DW$55:DW$96, MAX( COUNT( DX$9:DX$50 )  - $C153 + 1, 1)), INDEX( DW$101:DW$142, MAX( COUNT( DX$9:DX$50 )  - $B153 + 1, 1)) : INDEX( DW$101:DW$142, MAX( COUNT( DX$9:DX$50 )  - $C153 + 1, 1)) &gt; 0)))</f>
        <v>1.0021577041171688</v>
      </c>
      <c r="DX153" s="8">
        <f>+IF(DX$8 = 125, 1, AVERAGE(_xlfn._xlws.FILTER(INDEX( DX$55:DX$96, MAX( COUNT( DY$9:DY$50 )  - $B153 + 1, 1)) : INDEX( DX$55:DX$96, MAX( COUNT( DY$9:DY$50 )  - $C153 + 1, 1)), INDEX( DX$101:DX$142, MAX( COUNT( DY$9:DY$50 )  - $B153 + 1, 1)) : INDEX( DX$101:DX$142, MAX( COUNT( DY$9:DY$50 )  - $C153 + 1, 1)) &gt; 0)))</f>
        <v>1.0038513805404945</v>
      </c>
      <c r="DY153" s="8">
        <f>+IF(DY$8 = 125, 1, AVERAGE(_xlfn._xlws.FILTER(INDEX( DY$55:DY$96, MAX( COUNT( DZ$9:DZ$50 )  - $B153 + 1, 1)) : INDEX( DY$55:DY$96, MAX( COUNT( DZ$9:DZ$50 )  - $C153 + 1, 1)), INDEX( DY$101:DY$142, MAX( COUNT( DZ$9:DZ$50 )  - $B153 + 1, 1)) : INDEX( DY$101:DY$142, MAX( COUNT( DZ$9:DZ$50 )  - $C153 + 1, 1)) &gt; 0)))</f>
        <v>1.0045542200871611</v>
      </c>
      <c r="DZ153" s="8">
        <f>+IF(DZ$8 = 125, 1, AVERAGE(_xlfn._xlws.FILTER(INDEX( DZ$55:DZ$96, MAX( COUNT( EA$9:EA$50 )  - $B153 + 1, 1)) : INDEX( DZ$55:DZ$96, MAX( COUNT( EA$9:EA$50 )  - $C153 + 1, 1)), INDEX( DZ$101:DZ$142, MAX( COUNT( EA$9:EA$50 )  - $B153 + 1, 1)) : INDEX( DZ$101:DZ$142, MAX( COUNT( EA$9:EA$50 )  - $C153 + 1, 1)) &gt; 0)))</f>
        <v>1.0041088153957449</v>
      </c>
      <c r="EA153" s="8">
        <f>+IF(EA$8 = 125, 1, AVERAGE(_xlfn._xlws.FILTER(INDEX( EA$55:EA$96, MAX( COUNT( EB$9:EB$50 )  - $B153 + 1, 1)) : INDEX( EA$55:EA$96, MAX( COUNT( EB$9:EB$50 )  - $C153 + 1, 1)), INDEX( EA$101:EA$142, MAX( COUNT( EB$9:EB$50 )  - $B153 + 1, 1)) : INDEX( EA$101:EA$142, MAX( COUNT( EB$9:EB$50 )  - $C153 + 1, 1)) &gt; 0)))</f>
        <v>1</v>
      </c>
      <c r="EB153" s="8">
        <f>+IF(EB$8 = 125, 1, AVERAGE(_xlfn._xlws.FILTER(INDEX( EB$55:EB$96, MAX( COUNT( EC$9:EC$50 )  - $B153 + 1, 1)) : INDEX( EB$55:EB$96, MAX( COUNT( EC$9:EC$50 )  - $C153 + 1, 1)), INDEX( EB$101:EB$142, MAX( COUNT( EC$9:EC$50 )  - $B153 + 1, 1)) : INDEX( EB$101:EB$142, MAX( COUNT( EC$9:EC$50 )  - $C153 + 1, 1)) &gt; 0)))</f>
        <v>2.6530823030537349</v>
      </c>
      <c r="EC153" s="8">
        <f>+IF(EC$8 = 125, 1, AVERAGE(_xlfn._xlws.FILTER(INDEX( EC$55:EC$96, MAX( COUNT( ED$9:ED$50 )  - $B153 + 1, 1)) : INDEX( EC$55:EC$96, MAX( COUNT( ED$9:ED$50 )  - $C153 + 1, 1)), INDEX( EC$101:EC$142, MAX( COUNT( ED$9:ED$50 )  - $B153 + 1, 1)) : INDEX( EC$101:EC$142, MAX( COUNT( ED$9:ED$50 )  - $C153 + 1, 1)) &gt; 0)))</f>
        <v>2.2563528200407843</v>
      </c>
      <c r="ED153" s="8">
        <f>+IF(ED$8 = 125, 1, AVERAGE(_xlfn._xlws.FILTER(INDEX( ED$55:ED$96, MAX( COUNT( EE$9:EE$50 )  - $B153 + 1, 1)) : INDEX( ED$55:ED$96, MAX( COUNT( EE$9:EE$50 )  - $C153 + 1, 1)), INDEX( ED$101:ED$142, MAX( COUNT( EE$9:EE$50 )  - $B153 + 1, 1)) : INDEX( ED$101:ED$142, MAX( COUNT( EE$9:EE$50 )  - $C153 + 1, 1)) &gt; 0)))</f>
        <v>1.2481864042646365</v>
      </c>
      <c r="EE153" s="8">
        <f>+IF(EE$8 = 125, 1, AVERAGE(_xlfn._xlws.FILTER(INDEX( EE$55:EE$96, MAX( COUNT( EF$9:EF$50 )  - $B153 + 1, 1)) : INDEX( EE$55:EE$96, MAX( COUNT( EF$9:EF$50 )  - $C153 + 1, 1)), INDEX( EE$101:EE$142, MAX( COUNT( EF$9:EF$50 )  - $B153 + 1, 1)) : INDEX( EE$101:EE$142, MAX( COUNT( EF$9:EF$50 )  - $C153 + 1, 1)) &gt; 0)))</f>
        <v>0.99111855166484475</v>
      </c>
      <c r="EF153" s="8">
        <f>+IF(EF$8 = 125, 1, AVERAGE(_xlfn._xlws.FILTER(INDEX( EF$55:EF$96, MAX( COUNT( EG$9:EG$50 )  - $B153 + 1, 1)) : INDEX( EF$55:EF$96, MAX( COUNT( EG$9:EG$50 )  - $C153 + 1, 1)), INDEX( EF$101:EF$142, MAX( COUNT( EG$9:EG$50 )  - $B153 + 1, 1)) : INDEX( EF$101:EF$142, MAX( COUNT( EG$9:EG$50 )  - $C153 + 1, 1)) &gt; 0)))</f>
        <v>1.0075867169782575</v>
      </c>
      <c r="EG153" s="8">
        <f>+IF(EG$8 = 125, 1, AVERAGE(_xlfn._xlws.FILTER(INDEX( EG$55:EG$96, MAX( COUNT( EH$9:EH$50 )  - $B153 + 1, 1)) : INDEX( EG$55:EG$96, MAX( COUNT( EH$9:EH$50 )  - $C153 + 1, 1)), INDEX( EG$101:EG$142, MAX( COUNT( EH$9:EH$50 )  - $B153 + 1, 1)) : INDEX( EG$101:EG$142, MAX( COUNT( EH$9:EH$50 )  - $C153 + 1, 1)) &gt; 0)))</f>
        <v>1.0308311853914252</v>
      </c>
      <c r="EH153" s="8">
        <f>+IF(EH$8 = 125, 1, AVERAGE(_xlfn._xlws.FILTER(INDEX( EH$55:EH$96, MAX( COUNT( EI$9:EI$50 )  - $B153 + 1, 1)) : INDEX( EH$55:EH$96, MAX( COUNT( EI$9:EI$50 )  - $C153 + 1, 1)), INDEX( EH$101:EH$142, MAX( COUNT( EI$9:EI$50 )  - $B153 + 1, 1)) : INDEX( EH$101:EH$142, MAX( COUNT( EI$9:EI$50 )  - $C153 + 1, 1)) &gt; 0)))</f>
        <v>0.99869747752398064</v>
      </c>
      <c r="EI153" s="8">
        <f>+IF(EI$8 = 125, 1, AVERAGE(_xlfn._xlws.FILTER(INDEX( EI$55:EI$96, MAX( COUNT( EJ$9:EJ$50 )  - $B153 + 1, 1)) : INDEX( EI$55:EI$96, MAX( COUNT( EJ$9:EJ$50 )  - $C153 + 1, 1)), INDEX( EI$101:EI$142, MAX( COUNT( EJ$9:EJ$50 )  - $B153 + 1, 1)) : INDEX( EI$101:EI$142, MAX( COUNT( EJ$9:EJ$50 )  - $C153 + 1, 1)) &gt; 0)))</f>
        <v>1.0102132506631616</v>
      </c>
      <c r="EJ153" s="8">
        <f>+IF(EJ$8 = 125, 1, AVERAGE(_xlfn._xlws.FILTER(INDEX( EJ$55:EJ$96, MAX( COUNT( EK$9:EK$50 )  - $B153 + 1, 1)) : INDEX( EJ$55:EJ$96, MAX( COUNT( EK$9:EK$50 )  - $C153 + 1, 1)), INDEX( EJ$101:EJ$142, MAX( COUNT( EK$9:EK$50 )  - $B153 + 1, 1)) : INDEX( EJ$101:EJ$142, MAX( COUNT( EK$9:EK$50 )  - $C153 + 1, 1)) &gt; 0)))</f>
        <v>0.99991706390087209</v>
      </c>
      <c r="EK153" s="8">
        <f>+IF(EK$8 = 125, 1, AVERAGE(_xlfn._xlws.FILTER(INDEX( EK$55:EK$96, MAX( COUNT( EL$9:EL$50 )  - $B153 + 1, 1)) : INDEX( EK$55:EK$96, MAX( COUNT( EL$9:EL$50 )  - $C153 + 1, 1)), INDEX( EK$101:EK$142, MAX( COUNT( EL$9:EL$50 )  - $B153 + 1, 1)) : INDEX( EK$101:EK$142, MAX( COUNT( EL$9:EL$50 )  - $C153 + 1, 1)) &gt; 0)))</f>
        <v>1.0046606195262306</v>
      </c>
      <c r="EL153" s="8">
        <f>+IF(EL$8 = 125, 1, AVERAGE(_xlfn._xlws.FILTER(INDEX( EL$55:EL$96, MAX( COUNT( EM$9:EM$50 )  - $B153 + 1, 1)) : INDEX( EL$55:EL$96, MAX( COUNT( EM$9:EM$50 )  - $C153 + 1, 1)), INDEX( EL$101:EL$142, MAX( COUNT( EM$9:EM$50 )  - $B153 + 1, 1)) : INDEX( EL$101:EL$142, MAX( COUNT( EM$9:EM$50 )  - $C153 + 1, 1)) &gt; 0)))</f>
        <v>0.99385907924352423</v>
      </c>
      <c r="EM153" s="8">
        <f>+IF(EM$8 = 125, 1, AVERAGE(_xlfn._xlws.FILTER(INDEX( EM$55:EM$96, MAX( COUNT( EN$9:EN$50 )  - $B153 + 1, 1)) : INDEX( EM$55:EM$96, MAX( COUNT( EN$9:EN$50 )  - $C153 + 1, 1)), INDEX( EM$101:EM$142, MAX( COUNT( EN$9:EN$50 )  - $B153 + 1, 1)) : INDEX( EM$101:EM$142, MAX( COUNT( EN$9:EN$50 )  - $C153 + 1, 1)) &gt; 0)))</f>
        <v>0.99994648907858319</v>
      </c>
      <c r="EN153" s="8">
        <f>+IF(EN$8 = 125, 1, AVERAGE(_xlfn._xlws.FILTER(INDEX( EN$55:EN$96, MAX( COUNT( EO$9:EO$50 )  - $B153 + 1, 1)) : INDEX( EN$55:EN$96, MAX( COUNT( EO$9:EO$50 )  - $C153 + 1, 1)), INDEX( EN$101:EN$142, MAX( COUNT( EO$9:EO$50 )  - $B153 + 1, 1)) : INDEX( EN$101:EN$142, MAX( COUNT( EO$9:EO$50 )  - $C153 + 1, 1)) &gt; 0)))</f>
        <v>0.9936494319228496</v>
      </c>
      <c r="EO153" s="8">
        <f>+IF(EO$8 = 125, 1, AVERAGE(_xlfn._xlws.FILTER(INDEX( EO$55:EO$96, MAX( COUNT( EP$9:EP$50 )  - $B153 + 1, 1)) : INDEX( EO$55:EO$96, MAX( COUNT( EP$9:EP$50 )  - $C153 + 1, 1)), INDEX( EO$101:EO$142, MAX( COUNT( EP$9:EP$50 )  - $B153 + 1, 1)) : INDEX( EO$101:EO$142, MAX( COUNT( EP$9:EP$50 )  - $C153 + 1, 1)) &gt; 0)))</f>
        <v>0.99697066392738087</v>
      </c>
      <c r="EP153" s="8">
        <f>+IF(EP$8 = 125, 1, AVERAGE(_xlfn._xlws.FILTER(INDEX( EP$55:EP$96, MAX( COUNT( EQ$9:EQ$50 )  - $B153 + 1, 1)) : INDEX( EP$55:EP$96, MAX( COUNT( EQ$9:EQ$50 )  - $C153 + 1, 1)), INDEX( EP$101:EP$142, MAX( COUNT( EQ$9:EQ$50 )  - $B153 + 1, 1)) : INDEX( EP$101:EP$142, MAX( COUNT( EQ$9:EQ$50 )  - $C153 + 1, 1)) &gt; 0)))</f>
        <v>1.0002146905639671</v>
      </c>
      <c r="EQ153" s="8">
        <f>+IF(EQ$8 = 125, 1, AVERAGE(_xlfn._xlws.FILTER(INDEX( EQ$55:EQ$96, MAX( COUNT( ER$9:ER$50 )  - $B153 + 1, 1)) : INDEX( EQ$55:EQ$96, MAX( COUNT( ER$9:ER$50 )  - $C153 + 1, 1)), INDEX( EQ$101:EQ$142, MAX( COUNT( ER$9:ER$50 )  - $B153 + 1, 1)) : INDEX( EQ$101:EQ$142, MAX( COUNT( ER$9:ER$50 )  - $C153 + 1, 1)) &gt; 0)))</f>
        <v>0.99330915161458377</v>
      </c>
      <c r="ER153" s="8">
        <f>+IF(ER$8 = 125, 1, AVERAGE(_xlfn._xlws.FILTER(INDEX( ER$55:ER$96, MAX( COUNT( ES$9:ES$50 )  - $B153 + 1, 1)) : INDEX( ER$55:ER$96, MAX( COUNT( ES$9:ES$50 )  - $C153 + 1, 1)), INDEX( ER$101:ER$142, MAX( COUNT( ES$9:ES$50 )  - $B153 + 1, 1)) : INDEX( ER$101:ER$142, MAX( COUNT( ES$9:ES$50 )  - $C153 + 1, 1)) &gt; 0)))</f>
        <v>1.0166414849364414</v>
      </c>
      <c r="ES153" s="8">
        <f>+IF(ES$8 = 125, 1, AVERAGE(_xlfn._xlws.FILTER(INDEX( ES$55:ES$96, MAX( COUNT( ET$9:ET$50 )  - $B153 + 1, 1)) : INDEX( ES$55:ES$96, MAX( COUNT( ET$9:ET$50 )  - $C153 + 1, 1)), INDEX( ES$101:ES$142, MAX( COUNT( ET$9:ET$50 )  - $B153 + 1, 1)) : INDEX( ES$101:ES$142, MAX( COUNT( ET$9:ET$50 )  - $C153 + 1, 1)) &gt; 0)))</f>
        <v>1.0004803699582443</v>
      </c>
      <c r="ET153" s="8">
        <f>+IF(ET$8 = 125, 1, AVERAGE(_xlfn._xlws.FILTER(INDEX( ET$55:ET$96, MAX( COUNT( EU$9:EU$50 )  - $B153 + 1, 1)) : INDEX( ET$55:ET$96, MAX( COUNT( EU$9:EU$50 )  - $C153 + 1, 1)), INDEX( ET$101:ET$142, MAX( COUNT( EU$9:EU$50 )  - $B153 + 1, 1)) : INDEX( ET$101:ET$142, MAX( COUNT( EU$9:EU$50 )  - $C153 + 1, 1)) &gt; 0)))</f>
        <v>1.000886450023339</v>
      </c>
      <c r="EU153" s="8">
        <f>+IF(EU$8 = 125, 1, AVERAGE(_xlfn._xlws.FILTER(INDEX( EU$55:EU$96, MAX( COUNT( EV$9:EV$50 )  - $B153 + 1, 1)) : INDEX( EU$55:EU$96, MAX( COUNT( EV$9:EV$50 )  - $C153 + 1, 1)), INDEX( EU$101:EU$142, MAX( COUNT( EV$9:EV$50 )  - $B153 + 1, 1)) : INDEX( EU$101:EU$142, MAX( COUNT( EV$9:EV$50 )  - $C153 + 1, 1)) &gt; 0)))</f>
        <v>1.0000098630674525</v>
      </c>
      <c r="EV153" s="8">
        <f>+IF(EV$8 = 125, 1, AVERAGE(_xlfn._xlws.FILTER(INDEX( EV$55:EV$96, MAX( COUNT( EW$9:EW$50 )  - $B153 + 1, 1)) : INDEX( EV$55:EV$96, MAX( COUNT( EW$9:EW$50 )  - $C153 + 1, 1)), INDEX( EV$101:EV$142, MAX( COUNT( EW$9:EW$50 )  - $B153 + 1, 1)) : INDEX( EV$101:EV$142, MAX( COUNT( EW$9:EW$50 )  - $C153 + 1, 1)) &gt; 0)))</f>
        <v>1.00088516756627</v>
      </c>
      <c r="EW153" s="8">
        <f>+IF(EW$8 = 125, 1, AVERAGE(_xlfn._xlws.FILTER(INDEX( EW$55:EW$96, MAX( COUNT( EX$9:EX$50 )  - $B153 + 1, 1)) : INDEX( EW$55:EW$96, MAX( COUNT( EX$9:EX$50 )  - $C153 + 1, 1)), INDEX( EW$101:EW$142, MAX( COUNT( EX$9:EX$50 )  - $B153 + 1, 1)) : INDEX( EW$101:EW$142, MAX( COUNT( EX$9:EX$50 )  - $C153 + 1, 1)) &gt; 0)))</f>
        <v>1.0000130224662047</v>
      </c>
      <c r="EX153" s="8">
        <f>+IF(EX$8 = 125, 1, AVERAGE(_xlfn._xlws.FILTER(INDEX( EX$55:EX$96, MAX( COUNT( EY$9:EY$50 )  - $B153 + 1, 1)) : INDEX( EX$55:EX$96, MAX( COUNT( EY$9:EY$50 )  - $C153 + 1, 1)), INDEX( EX$101:EX$142, MAX( COUNT( EY$9:EY$50 )  - $B153 + 1, 1)) : INDEX( EX$101:EX$142, MAX( COUNT( EY$9:EY$50 )  - $C153 + 1, 1)) &gt; 0)))</f>
        <v>1.0002536326817726</v>
      </c>
      <c r="EY153" s="8">
        <f>+IF(EY$8 = 125, 1, AVERAGE(_xlfn._xlws.FILTER(INDEX( EY$55:EY$96, MAX( COUNT( EZ$9:EZ$50 )  - $B153 + 1, 1)) : INDEX( EY$55:EY$96, MAX( COUNT( EZ$9:EZ$50 )  - $C153 + 1, 1)), INDEX( EY$101:EY$142, MAX( COUNT( EZ$9:EZ$50 )  - $B153 + 1, 1)) : INDEX( EY$101:EY$142, MAX( COUNT( EZ$9:EZ$50 )  - $C153 + 1, 1)) &gt; 0)))</f>
        <v>1.0097355599895197</v>
      </c>
      <c r="EZ153" s="8">
        <f>+IF(EZ$8 = 125, 1, AVERAGE(_xlfn._xlws.FILTER(INDEX( EZ$55:EZ$96, MAX( COUNT( FA$9:FA$50 )  - $B153 + 1, 1)) : INDEX( EZ$55:EZ$96, MAX( COUNT( FA$9:FA$50 )  - $C153 + 1, 1)), INDEX( EZ$101:EZ$142, MAX( COUNT( FA$9:FA$50 )  - $B153 + 1, 1)) : INDEX( EZ$101:EZ$142, MAX( COUNT( FA$9:FA$50 )  - $C153 + 1, 1)) &gt; 0)))</f>
        <v>1.0002108483241641</v>
      </c>
      <c r="FA153" s="8">
        <f>+IF(FA$8 = 125, 1, AVERAGE(_xlfn._xlws.FILTER(INDEX( FA$55:FA$96, MAX( COUNT( FB$9:FB$50 )  - $B153 + 1, 1)) : INDEX( FA$55:FA$96, MAX( COUNT( FB$9:FB$50 )  - $C153 + 1, 1)), INDEX( FA$101:FA$142, MAX( COUNT( FB$9:FB$50 )  - $B153 + 1, 1)) : INDEX( FA$101:FA$142, MAX( COUNT( FB$9:FB$50 )  - $C153 + 1, 1)) &gt; 0)))</f>
        <v>1</v>
      </c>
      <c r="FB153" s="8">
        <f>+IF(FB$8 = 125, 1, AVERAGE(_xlfn._xlws.FILTER(INDEX( FB$55:FB$96, MAX( COUNT( FC$9:FC$50 )  - $B153 + 1, 1)) : INDEX( FB$55:FB$96, MAX( COUNT( FC$9:FC$50 )  - $C153 + 1, 1)), INDEX( FB$101:FB$142, MAX( COUNT( FC$9:FC$50 )  - $B153 + 1, 1)) : INDEX( FB$101:FB$142, MAX( COUNT( FC$9:FC$50 )  - $C153 + 1, 1)) &gt; 0)))</f>
        <v>1.0000806979574122</v>
      </c>
      <c r="FC153" s="8">
        <f>+IF(FC$8 = 125, 1, AVERAGE(_xlfn._xlws.FILTER(INDEX( FC$55:FC$96, MAX( COUNT( FD$9:FD$50 )  - $B153 + 1, 1)) : INDEX( FC$55:FC$96, MAX( COUNT( FD$9:FD$50 )  - $C153 + 1, 1)), INDEX( FC$101:FC$142, MAX( COUNT( FD$9:FD$50 )  - $B153 + 1, 1)) : INDEX( FC$101:FC$142, MAX( COUNT( FD$9:FD$50 )  - $C153 + 1, 1)) &gt; 0)))</f>
        <v>1.0001137067690522</v>
      </c>
      <c r="FD153" s="8">
        <f>+IF(FD$8 = 125, 1, AVERAGE(_xlfn._xlws.FILTER(INDEX( FD$55:FD$96, MAX( COUNT( FE$9:FE$50 )  - $B153 + 1, 1)) : INDEX( FD$55:FD$96, MAX( COUNT( FE$9:FE$50 )  - $C153 + 1, 1)), INDEX( FD$101:FD$142, MAX( COUNT( FE$9:FE$50 )  - $B153 + 1, 1)) : INDEX( FD$101:FD$142, MAX( COUNT( FE$9:FE$50 )  - $C153 + 1, 1)) &gt; 0)))</f>
        <v>1.0056544808882113</v>
      </c>
      <c r="FE153" s="8">
        <f>+IF(FE$8 = 125, 1, AVERAGE(_xlfn._xlws.FILTER(INDEX( FE$55:FE$96, MAX( COUNT( FF$9:FF$50 )  - $B153 + 1, 1)) : INDEX( FE$55:FE$96, MAX( COUNT( FF$9:FF$50 )  - $C153 + 1, 1)), INDEX( FE$101:FE$142, MAX( COUNT( FF$9:FF$50 )  - $B153 + 1, 1)) : INDEX( FE$101:FE$142, MAX( COUNT( FF$9:FF$50 )  - $C153 + 1, 1)) &gt; 0)))</f>
        <v>1.0014116659136922</v>
      </c>
      <c r="FF153" s="8">
        <f>+IF(FF$8 = 125, 1, AVERAGE(_xlfn._xlws.FILTER(INDEX( FF$55:FF$96, MAX( COUNT( FG$9:FG$50 )  - $B153 + 1, 1)) : INDEX( FF$55:FF$96, MAX( COUNT( FG$9:FG$50 )  - $C153 + 1, 1)), INDEX( FF$101:FF$142, MAX( COUNT( FG$9:FG$50 )  - $B153 + 1, 1)) : INDEX( FF$101:FF$142, MAX( COUNT( FG$9:FG$50 )  - $C153 + 1, 1)) &gt; 0)))</f>
        <v>1.0006713017638154</v>
      </c>
      <c r="FG153" s="8">
        <f>+IF(FG$8 = 125, 1, AVERAGE(_xlfn._xlws.FILTER(INDEX( FG$55:FG$96, MAX( COUNT( FH$9:FH$50 )  - $B153 + 1, 1)) : INDEX( FG$55:FG$96, MAX( COUNT( FH$9:FH$50 )  - $C153 + 1, 1)), INDEX( FG$101:FG$142, MAX( COUNT( FH$9:FH$50 )  - $B153 + 1, 1)) : INDEX( FG$101:FG$142, MAX( COUNT( FH$9:FH$50 )  - $C153 + 1, 1)) &gt; 0)))</f>
        <v>1.0060244472348281</v>
      </c>
      <c r="FH153" s="8">
        <f>+IF(FH$8 = 125, 1, AVERAGE(_xlfn._xlws.FILTER(INDEX( FH$55:FH$96, MAX( COUNT( FI$9:FI$50 )  - $B153 + 1, 1)) : INDEX( FH$55:FH$96, MAX( COUNT( FI$9:FI$50 )  - $C153 + 1, 1)), INDEX( FH$101:FH$142, MAX( COUNT( FI$9:FI$50 )  - $B153 + 1, 1)) : INDEX( FH$101:FH$142, MAX( COUNT( FI$9:FI$50 )  - $C153 + 1, 1)) &gt; 0)))</f>
        <v>1.0001873628053493</v>
      </c>
      <c r="FI153" s="8">
        <f>+IF(FI$8 = 125, 1, AVERAGE(_xlfn._xlws.FILTER(INDEX( FI$55:FI$96, MAX( COUNT( FJ$9:FJ$50 )  - $B153 + 1, 1)) : INDEX( FI$55:FI$96, MAX( COUNT( FJ$9:FJ$50 )  - $C153 + 1, 1)), INDEX( FI$101:FI$142, MAX( COUNT( FJ$9:FJ$50 )  - $B153 + 1, 1)) : INDEX( FI$101:FI$142, MAX( COUNT( FJ$9:FJ$50 )  - $C153 + 1, 1)) &gt; 0)))</f>
        <v>1.0045101338428417</v>
      </c>
      <c r="FJ153" s="8">
        <f>+IF(FJ$8 = 125, 1, AVERAGE(_xlfn._xlws.FILTER(INDEX( FJ$55:FJ$96, MAX( COUNT( FK$9:FK$50 )  - $B153 + 1, 1)) : INDEX( FJ$55:FJ$96, MAX( COUNT( FK$9:FK$50 )  - $C153 + 1, 1)), INDEX( FJ$101:FJ$142, MAX( COUNT( FK$9:FK$50 )  - $B153 + 1, 1)) : INDEX( FJ$101:FJ$142, MAX( COUNT( FK$9:FK$50 )  - $C153 + 1, 1)) &gt; 0)))</f>
        <v>1.0005212258405538</v>
      </c>
      <c r="FK153" s="8">
        <f>+IF(FK$8 = 125, 1, AVERAGE(_xlfn._xlws.FILTER(INDEX( FK$55:FK$96, MAX( COUNT( FL$9:FL$50 )  - $B153 + 1, 1)) : INDEX( FK$55:FK$96, MAX( COUNT( FL$9:FL$50 )  - $C153 + 1, 1)), INDEX( FK$101:FK$142, MAX( COUNT( FL$9:FL$50 )  - $B153 + 1, 1)) : INDEX( FK$101:FK$142, MAX( COUNT( FL$9:FL$50 )  - $C153 + 1, 1)) &gt; 0)))</f>
        <v>0.9962017267885187</v>
      </c>
      <c r="FL153" s="8">
        <f>+IF(FL$8 = 125, 1, AVERAGE(_xlfn._xlws.FILTER(INDEX( FL$55:FL$96, MAX( COUNT( FM$9:FM$50 )  - $B153 + 1, 1)) : INDEX( FL$55:FL$96, MAX( COUNT( FM$9:FM$50 )  - $C153 + 1, 1)), INDEX( FL$101:FL$142, MAX( COUNT( FM$9:FM$50 )  - $B153 + 1, 1)) : INDEX( FL$101:FL$142, MAX( COUNT( FM$9:FM$50 )  - $C153 + 1, 1)) &gt; 0)))</f>
        <v>1.0000110849331345</v>
      </c>
      <c r="FM153" s="8">
        <f>+IF(FM$8 = 125, 1, AVERAGE(_xlfn._xlws.FILTER(INDEX( FM$55:FM$96, MAX( COUNT( FN$9:FN$50 )  - $B153 + 1, 1)) : INDEX( FM$55:FM$96, MAX( COUNT( FN$9:FN$50 )  - $C153 + 1, 1)), INDEX( FM$101:FM$142, MAX( COUNT( FN$9:FN$50 )  - $B153 + 1, 1)) : INDEX( FM$101:FM$142, MAX( COUNT( FN$9:FN$50 )  - $C153 + 1, 1)) &gt; 0)))</f>
        <v>0.99874227359361833</v>
      </c>
      <c r="FN153" s="8">
        <f>+IF(FN$8 = 125, 1, AVERAGE(_xlfn._xlws.FILTER(INDEX( FN$55:FN$96, MAX( COUNT( FO$9:FO$50 )  - $B153 + 1, 1)) : INDEX( FN$55:FN$96, MAX( COUNT( FO$9:FO$50 )  - $C153 + 1, 1)), INDEX( FN$101:FN$142, MAX( COUNT( FO$9:FO$50 )  - $B153 + 1, 1)) : INDEX( FN$101:FN$142, MAX( COUNT( FO$9:FO$50 )  - $C153 + 1, 1)) &gt; 0)))</f>
        <v>1.0000337188312192</v>
      </c>
      <c r="FO153" s="8">
        <f>+IF(FO$8 = 125, 1, AVERAGE(_xlfn._xlws.FILTER(INDEX( FO$55:FO$96, MAX( COUNT( FP$9:FP$50 )  - $B153 + 1, 1)) : INDEX( FO$55:FO$96, MAX( COUNT( FP$9:FP$50 )  - $C153 + 1, 1)), INDEX( FO$101:FO$142, MAX( COUNT( FP$9:FP$50 )  - $B153 + 1, 1)) : INDEX( FO$101:FO$142, MAX( COUNT( FP$9:FP$50 )  - $C153 + 1, 1)) &gt; 0)))</f>
        <v>1.0002649042383869</v>
      </c>
      <c r="FP153" s="8">
        <f>+IF(FP$8 = 125, 1, AVERAGE(_xlfn._xlws.FILTER(INDEX( FP$55:FP$96, MAX( COUNT( FQ$9:FQ$50 )  - $B153 + 1, 1)) : INDEX( FP$55:FP$96, MAX( COUNT( FQ$9:FQ$50 )  - $C153 + 1, 1)), INDEX( FP$101:FP$142, MAX( COUNT( FQ$9:FQ$50 )  - $B153 + 1, 1)) : INDEX( FP$101:FP$142, MAX( COUNT( FQ$9:FQ$50 )  - $C153 + 1, 1)) &gt; 0)))</f>
        <v>1.0001719486484526</v>
      </c>
      <c r="FQ153" s="8">
        <f>+IF(FQ$8 = 125, 1, AVERAGE(_xlfn._xlws.FILTER(INDEX( FQ$55:FQ$96, MAX( COUNT( FR$9:FR$50 )  - $B153 + 1, 1)) : INDEX( FQ$55:FQ$96, MAX( COUNT( FR$9:FR$50 )  - $C153 + 1, 1)), INDEX( FQ$101:FQ$142, MAX( COUNT( FR$9:FR$50 )  - $B153 + 1, 1)) : INDEX( FQ$101:FQ$142, MAX( COUNT( FR$9:FR$50 )  - $C153 + 1, 1)) &gt; 0)))</f>
        <v>1.0001542915040069</v>
      </c>
      <c r="FR153" s="8">
        <f>+IF(FR$8 = 125, 1, AVERAGE(_xlfn._xlws.FILTER(INDEX( FR$55:FR$96, MAX( COUNT( FS$9:FS$50 )  - $B153 + 1, 1)) : INDEX( FR$55:FR$96, MAX( COUNT( FS$9:FS$50 )  - $C153 + 1, 1)), INDEX( FR$101:FR$142, MAX( COUNT( FS$9:FS$50 )  - $B153 + 1, 1)) : INDEX( FR$101:FR$142, MAX( COUNT( FS$9:FS$50 )  - $C153 + 1, 1)) &gt; 0)))</f>
        <v>0.99834607238837714</v>
      </c>
      <c r="FS153" s="8">
        <f>+IF(FS$8 = 125, 1, AVERAGE(_xlfn._xlws.FILTER(INDEX( FS$55:FS$96, MAX( COUNT( FT$9:FT$50 )  - $B153 + 1, 1)) : INDEX( FS$55:FS$96, MAX( COUNT( FT$9:FT$50 )  - $C153 + 1, 1)), INDEX( FS$101:FS$142, MAX( COUNT( FT$9:FT$50 )  - $B153 + 1, 1)) : INDEX( FS$101:FS$142, MAX( COUNT( FT$9:FT$50 )  - $C153 + 1, 1)) &gt; 0)))</f>
        <v>1.0018586281666066</v>
      </c>
      <c r="FT153" s="8">
        <f>+IF(FT$8 = 125, 1, AVERAGE(_xlfn._xlws.FILTER(INDEX( FT$55:FT$96, MAX( COUNT( FU$9:FU$50 )  - $B153 + 1, 1)) : INDEX( FT$55:FT$96, MAX( COUNT( FU$9:FU$50 )  - $C153 + 1, 1)), INDEX( FT$101:FT$142, MAX( COUNT( FU$9:FU$50 )  - $B153 + 1, 1)) : INDEX( FT$101:FT$142, MAX( COUNT( FU$9:FU$50 )  - $C153 + 1, 1)) &gt; 0)))</f>
        <v>1.0005535554941525</v>
      </c>
      <c r="FU153" s="8">
        <f>+IF(FU$8 = 125, 1, AVERAGE(_xlfn._xlws.FILTER(INDEX( FU$55:FU$96, MAX( COUNT( FV$9:FV$50 )  - $B153 + 1, 1)) : INDEX( FU$55:FU$96, MAX( COUNT( FV$9:FV$50 )  - $C153 + 1, 1)), INDEX( FU$101:FU$142, MAX( COUNT( FV$9:FV$50 )  - $B153 + 1, 1)) : INDEX( FU$101:FU$142, MAX( COUNT( FV$9:FV$50 )  - $C153 + 1, 1)) &gt; 0)))</f>
        <v>0.99631012342879088</v>
      </c>
      <c r="FV153" s="8">
        <f>+IF(FV$8 = 125, 1, AVERAGE(_xlfn._xlws.FILTER(INDEX( FV$55:FV$96, MAX( COUNT( FW$9:FW$50 )  - $B153 + 1, 1)) : INDEX( FV$55:FV$96, MAX( COUNT( FW$9:FW$50 )  - $C153 + 1, 1)), INDEX( FV$101:FV$142, MAX( COUNT( FW$9:FW$50 )  - $B153 + 1, 1)) : INDEX( FV$101:FV$142, MAX( COUNT( FW$9:FW$50 )  - $C153 + 1, 1)) &gt; 0)))</f>
        <v>1.0001081428422534</v>
      </c>
      <c r="FW153" s="8">
        <f>+IF(FW$8 = 125, 1, AVERAGE(_xlfn._xlws.FILTER(INDEX( FW$55:FW$96, MAX( COUNT( FX$9:FX$50 )  - $B153 + 1, 1)) : INDEX( FW$55:FW$96, MAX( COUNT( FX$9:FX$50 )  - $C153 + 1, 1)), INDEX( FW$101:FW$142, MAX( COUNT( FX$9:FX$50 )  - $B153 + 1, 1)) : INDEX( FW$101:FW$142, MAX( COUNT( FX$9:FX$50 )  - $C153 + 1, 1)) &gt; 0)))</f>
        <v>1.000116767330673</v>
      </c>
      <c r="FX153" s="8">
        <f>+IF(FX$8 = 125, 1, AVERAGE(_xlfn._xlws.FILTER(INDEX( FX$55:FX$96, MAX( COUNT( FY$9:FY$50 )  - $B153 + 1, 1)) : INDEX( FX$55:FX$96, MAX( COUNT( FY$9:FY$50 )  - $C153 + 1, 1)), INDEX( FX$101:FX$142, MAX( COUNT( FY$9:FY$50 )  - $B153 + 1, 1)) : INDEX( FX$101:FX$142, MAX( COUNT( FY$9:FY$50 )  - $C153 + 1, 1)) &gt; 0)))</f>
        <v>1.0001200671578352</v>
      </c>
      <c r="FY153" s="8">
        <f>+IF(FY$8 = 125, 1, AVERAGE(_xlfn._xlws.FILTER(INDEX( FY$55:FY$96, MAX( COUNT( FZ$9:FZ$50 )  - $B153 + 1, 1)) : INDEX( FY$55:FY$96, MAX( COUNT( FZ$9:FZ$50 )  - $C153 + 1, 1)), INDEX( FY$101:FY$142, MAX( COUNT( FZ$9:FZ$50 )  - $B153 + 1, 1)) : INDEX( FY$101:FY$142, MAX( COUNT( FZ$9:FZ$50 )  - $C153 + 1, 1)) &gt; 0)))</f>
        <v>0.99928056067825244</v>
      </c>
      <c r="FZ153" s="8">
        <f>+IF(FZ$8 = 125, 1, AVERAGE(_xlfn._xlws.FILTER(INDEX( FZ$55:FZ$96, MAX( COUNT( GA$9:GA$50 )  - $B153 + 1, 1)) : INDEX( FZ$55:FZ$96, MAX( COUNT( GA$9:GA$50 )  - $C153 + 1, 1)), INDEX( FZ$101:FZ$142, MAX( COUNT( GA$9:GA$50 )  - $B153 + 1, 1)) : INDEX( FZ$101:FZ$142, MAX( COUNT( GA$9:GA$50 )  - $C153 + 1, 1)) &gt; 0)))</f>
        <v>1.0002645714874945</v>
      </c>
      <c r="GA153" s="8">
        <f>+IF(GA$8 = 125, 1, AVERAGE(_xlfn._xlws.FILTER(INDEX( GA$55:GA$96, MAX( COUNT( GB$9:GB$50 )  - $B153 + 1, 1)) : INDEX( GA$55:GA$96, MAX( COUNT( GB$9:GB$50 )  - $C153 + 1, 1)), INDEX( GA$101:GA$142, MAX( COUNT( GB$9:GB$50 )  - $B153 + 1, 1)) : INDEX( GA$101:GA$142, MAX( COUNT( GB$9:GB$50 )  - $C153 + 1, 1)) &gt; 0)))</f>
        <v>1.0000314388518656</v>
      </c>
      <c r="GB153" s="8">
        <f>+IF(GB$8 = 125, 1, AVERAGE(_xlfn._xlws.FILTER(INDEX( GB$55:GB$96, MAX( COUNT( GC$9:GC$50 )  - $B153 + 1, 1)) : INDEX( GB$55:GB$96, MAX( COUNT( GC$9:GC$50 )  - $C153 + 1, 1)), INDEX( GB$101:GB$142, MAX( COUNT( GC$9:GC$50 )  - $B153 + 1, 1)) : INDEX( GB$101:GB$142, MAX( COUNT( GC$9:GC$50 )  - $C153 + 1, 1)) &gt; 0)))</f>
        <v>1</v>
      </c>
      <c r="GC153" s="8">
        <f>+IF(GC$8 = 125, 1, AVERAGE(_xlfn._xlws.FILTER(INDEX( GC$55:GC$96, MAX( COUNT( GD$9:GD$50 )  - $B153 + 1, 1)) : INDEX( GC$55:GC$96, MAX( COUNT( GD$9:GD$50 )  - $C153 + 1, 1)), INDEX( GC$101:GC$142, MAX( COUNT( GD$9:GD$50 )  - $B153 + 1, 1)) : INDEX( GC$101:GC$142, MAX( COUNT( GD$9:GD$50 )  - $C153 + 1, 1)) &gt; 0)))</f>
        <v>1</v>
      </c>
      <c r="GD153" s="8">
        <f>+IF(GD$8 = 125, 1, AVERAGE(_xlfn._xlws.FILTER(INDEX( GD$55:GD$96, MAX( COUNT( GE$9:GE$50 )  - $B153 + 1, 1)) : INDEX( GD$55:GD$96, MAX( COUNT( GE$9:GE$50 )  - $C153 + 1, 1)), INDEX( GD$101:GD$142, MAX( COUNT( GE$9:GE$50 )  - $B153 + 1, 1)) : INDEX( GD$101:GD$142, MAX( COUNT( GE$9:GE$50 )  - $C153 + 1, 1)) &gt; 0)))</f>
        <v>1.0000102174899002</v>
      </c>
      <c r="GE153" s="8">
        <f>+IF(GE$8 = 125, 1, AVERAGE(_xlfn._xlws.FILTER(INDEX( GE$55:GE$96, MAX( COUNT( GF$9:GF$50 )  - $B153 + 1, 1)) : INDEX( GE$55:GE$96, MAX( COUNT( GF$9:GF$50 )  - $C153 + 1, 1)), INDEX( GE$101:GE$142, MAX( COUNT( GF$9:GF$50 )  - $B153 + 1, 1)) : INDEX( GE$101:GE$142, MAX( COUNT( GF$9:GF$50 )  - $C153 + 1, 1)) &gt; 0)))</f>
        <v>1.0001192191747206</v>
      </c>
      <c r="GF153" s="8">
        <f>+IF(GF$8 = 125, 1, AVERAGE(_xlfn._xlws.FILTER(INDEX( GF$55:GF$96, MAX( COUNT( GG$9:GG$50 )  - $B153 + 1, 1)) : INDEX( GF$55:GF$96, MAX( COUNT( GG$9:GG$50 )  - $C153 + 1, 1)), INDEX( GF$101:GF$142, MAX( COUNT( GG$9:GG$50 )  - $B153 + 1, 1)) : INDEX( GF$101:GF$142, MAX( COUNT( GG$9:GG$50 )  - $C153 + 1, 1)) &gt; 0)))</f>
        <v>1.0000451609466343</v>
      </c>
      <c r="GG153" s="8">
        <f>+IF(GG$8 = 125, 1, AVERAGE(_xlfn._xlws.FILTER(INDEX( GG$55:GG$96, MAX( COUNT( GH$9:GH$50 )  - $B153 + 1, 1)) : INDEX( GG$55:GG$96, MAX( COUNT( GH$9:GH$50 )  - $C153 + 1, 1)), INDEX( GG$101:GG$142, MAX( COUNT( GH$9:GH$50 )  - $B153 + 1, 1)) : INDEX( GG$101:GG$142, MAX( COUNT( GH$9:GH$50 )  - $C153 + 1, 1)) &gt; 0)))</f>
        <v>0.99908885800604064</v>
      </c>
      <c r="GH153" s="8">
        <f>+IF(GH$8 = 125, 1, AVERAGE(_xlfn._xlws.FILTER(INDEX( GH$55:GH$96, MAX( COUNT( GI$9:GI$50 )  - $B153 + 1, 1)) : INDEX( GH$55:GH$96, MAX( COUNT( GI$9:GI$50 )  - $C153 + 1, 1)), INDEX( GH$101:GH$142, MAX( COUNT( GI$9:GI$50 )  - $B153 + 1, 1)) : INDEX( GH$101:GH$142, MAX( COUNT( GI$9:GI$50 )  - $C153 + 1, 1)) &gt; 0)))</f>
        <v>1.0000144367367902</v>
      </c>
      <c r="GI153" s="8">
        <f>+IF(GI$8 = 125, 1, AVERAGE(_xlfn._xlws.FILTER(INDEX( GI$55:GI$96, MAX( COUNT( GJ$9:GJ$50 )  - $B153 + 1, 1)) : INDEX( GI$55:GI$96, MAX( COUNT( GJ$9:GJ$50 )  - $C153 + 1, 1)), INDEX( GI$101:GI$142, MAX( COUNT( GJ$9:GJ$50 )  - $B153 + 1, 1)) : INDEX( GI$101:GI$142, MAX( COUNT( GJ$9:GJ$50 )  - $C153 + 1, 1)) &gt; 0)))</f>
        <v>1.0004935459942639</v>
      </c>
      <c r="GJ153" s="8">
        <f>+IF(GJ$8 = 125, 1, AVERAGE(_xlfn._xlws.FILTER(INDEX( GJ$55:GJ$96, MAX( COUNT( GK$9:GK$50 )  - $B153 + 1, 1)) : INDEX( GJ$55:GJ$96, MAX( COUNT( GK$9:GK$50 )  - $C153 + 1, 1)), INDEX( GJ$101:GJ$142, MAX( COUNT( GK$9:GK$50 )  - $B153 + 1, 1)) : INDEX( GJ$101:GJ$142, MAX( COUNT( GK$9:GK$50 )  - $C153 + 1, 1)) &gt; 0)))</f>
        <v>1.0004849351477632</v>
      </c>
      <c r="GK153" s="8">
        <f>+IF(GK$8 = 125, 1, AVERAGE(_xlfn._xlws.FILTER(INDEX( GK$55:GK$96, MAX( COUNT( GL$9:GL$50 )  - $B153 + 1, 1)) : INDEX( GK$55:GK$96, MAX( COUNT( GL$9:GL$50 )  - $C153 + 1, 1)), INDEX( GK$101:GK$142, MAX( COUNT( GL$9:GL$50 )  - $B153 + 1, 1)) : INDEX( GK$101:GK$142, MAX( COUNT( GL$9:GL$50 )  - $C153 + 1, 1)) &gt; 0)))</f>
        <v>1.0003217807686082</v>
      </c>
      <c r="GL153" s="8">
        <f>+IF(GL$8 = 125, 1, AVERAGE(_xlfn._xlws.FILTER(INDEX( GL$55:GL$96, MAX( COUNT( GM$9:GM$50 )  - $B153 + 1, 1)) : INDEX( GL$55:GL$96, MAX( COUNT( GM$9:GM$50 )  - $C153 + 1, 1)), INDEX( GL$101:GL$142, MAX( COUNT( GM$9:GM$50 )  - $B153 + 1, 1)) : INDEX( GL$101:GL$142, MAX( COUNT( GM$9:GM$50 )  - $C153 + 1, 1)) &gt; 0)))</f>
        <v>1</v>
      </c>
      <c r="GM153" s="8">
        <f>+IF(GM$8 = 125, 1, AVERAGE(_xlfn._xlws.FILTER(INDEX( GM$55:GM$96, MAX( COUNT( GN$9:GN$50 )  - $B153 + 1, 1)) : INDEX( GM$55:GM$96, MAX( COUNT( GN$9:GN$50 )  - $C153 + 1, 1)), INDEX( GM$101:GM$142, MAX( COUNT( GN$9:GN$50 )  - $B153 + 1, 1)) : INDEX( GM$101:GM$142, MAX( COUNT( GN$9:GN$50 )  - $C153 + 1, 1)) &gt; 0)))</f>
        <v>1.0000860520279593</v>
      </c>
      <c r="GN153" s="8">
        <f>+IF(GN$8 = 125, 1, AVERAGE(_xlfn._xlws.FILTER(INDEX( GN$55:GN$96, MAX( COUNT( GO$9:GO$50 )  - $B153 + 1, 1)) : INDEX( GN$55:GN$96, MAX( COUNT( GO$9:GO$50 )  - $C153 + 1, 1)), INDEX( GN$101:GN$142, MAX( COUNT( GO$9:GO$50 )  - $B153 + 1, 1)) : INDEX( GN$101:GN$142, MAX( COUNT( GO$9:GO$50 )  - $C153 + 1, 1)) &gt; 0)))</f>
        <v>1.0005399880149624</v>
      </c>
      <c r="GO153" s="8">
        <f>+IF(GO$8 = 125, 1, AVERAGE(_xlfn._xlws.FILTER(INDEX( GO$55:GO$96, MAX( COUNT( GP$9:GP$50 )  - $B153 + 1, 1)) : INDEX( GO$55:GO$96, MAX( COUNT( GP$9:GP$50 )  - $C153 + 1, 1)), INDEX( GO$101:GO$142, MAX( COUNT( GP$9:GP$50 )  - $B153 + 1, 1)) : INDEX( GO$101:GO$142, MAX( COUNT( GP$9:GP$50 )  - $C153 + 1, 1)) &gt; 0)))</f>
        <v>1.0000093571269906</v>
      </c>
      <c r="GP153" s="8">
        <f>+IF(GP$8 = 125, 1, AVERAGE(_xlfn._xlws.FILTER(INDEX( GP$55:GP$96, MAX( COUNT( GQ$9:GQ$50 )  - $B153 + 1, 1)) : INDEX( GP$55:GP$96, MAX( COUNT( GQ$9:GQ$50 )  - $C153 + 1, 1)), INDEX( GP$101:GP$142, MAX( COUNT( GQ$9:GQ$50 )  - $B153 + 1, 1)) : INDEX( GP$101:GP$142, MAX( COUNT( GQ$9:GQ$50 )  - $C153 + 1, 1)) &gt; 0)))</f>
        <v>1.0001424420899532</v>
      </c>
      <c r="GQ153" s="8">
        <f>+IF(GQ$8 = 125, 1, AVERAGE(_xlfn._xlws.FILTER(INDEX( GQ$55:GQ$96, MAX( COUNT( GR$9:GR$50 )  - $B153 + 1, 1)) : INDEX( GQ$55:GQ$96, MAX( COUNT( GR$9:GR$50 )  - $C153 + 1, 1)), INDEX( GQ$101:GQ$142, MAX( COUNT( GR$9:GR$50 )  - $B153 + 1, 1)) : INDEX( GQ$101:GQ$142, MAX( COUNT( GR$9:GR$50 )  - $C153 + 1, 1)) &gt; 0)))</f>
        <v>1.0001697722240128</v>
      </c>
      <c r="GR153" s="8">
        <f>+IF(GR$8 = 125, 1, AVERAGE(_xlfn._xlws.FILTER(INDEX( GR$55:GR$96, MAX( COUNT( GS$9:GS$50 )  - $B153 + 1, 1)) : INDEX( GR$55:GR$96, MAX( COUNT( GS$9:GS$50 )  - $C153 + 1, 1)), INDEX( GR$101:GR$142, MAX( COUNT( GS$9:GS$50 )  - $B153 + 1, 1)) : INDEX( GR$101:GR$142, MAX( COUNT( GS$9:GS$50 )  - $C153 + 1, 1)) &gt; 0)))</f>
        <v>0.99999943401450953</v>
      </c>
      <c r="GS153" s="8">
        <f>+IF(GS$8 = 125, 1, AVERAGE(_xlfn._xlws.FILTER(INDEX( GS$55:GS$96, MAX( COUNT( GT$9:GT$50 )  - $B153 + 1, 1)) : INDEX( GS$55:GS$96, MAX( COUNT( GT$9:GT$50 )  - $C153 + 1, 1)), INDEX( GS$101:GS$142, MAX( COUNT( GT$9:GT$50 )  - $B153 + 1, 1)) : INDEX( GS$101:GS$142, MAX( COUNT( GT$9:GT$50 )  - $C153 + 1, 1)) &gt; 0)))</f>
        <v>1.0003482107297228</v>
      </c>
      <c r="GT153" s="8">
        <f>+IF(GT$8 = 125, 1, AVERAGE(_xlfn._xlws.FILTER(INDEX( GT$55:GT$96, MAX( COUNT( GU$9:GU$50 )  - $B153 + 1, 1)) : INDEX( GT$55:GT$96, MAX( COUNT( GU$9:GU$50 )  - $C153 + 1, 1)), INDEX( GT$101:GT$142, MAX( COUNT( GU$9:GU$50 )  - $B153 + 1, 1)) : INDEX( GT$101:GT$142, MAX( COUNT( GU$9:GU$50 )  - $C153 + 1, 1)) &gt; 0)))</f>
        <v>1.0000618068811542</v>
      </c>
      <c r="GU153" s="8">
        <f>+IF(GU$8 = 125, 1, AVERAGE(_xlfn._xlws.FILTER(INDEX( GU$55:GU$96, MAX( COUNT( GV$9:GV$50 )  - $B153 + 1, 1)) : INDEX( GU$55:GU$96, MAX( COUNT( GV$9:GV$50 )  - $C153 + 1, 1)), INDEX( GU$101:GU$142, MAX( COUNT( GV$9:GV$50 )  - $B153 + 1, 1)) : INDEX( GU$101:GU$142, MAX( COUNT( GV$9:GV$50 )  - $C153 + 1, 1)) &gt; 0)))</f>
        <v>0.9999179665857223</v>
      </c>
      <c r="GV153" s="8">
        <f>+IF(GV$8 = 125, 1, AVERAGE(_xlfn._xlws.FILTER(INDEX( GV$55:GV$96, MAX( COUNT( GW$9:GW$50 )  - $B153 + 1, 1)) : INDEX( GV$55:GV$96, MAX( COUNT( GW$9:GW$50 )  - $C153 + 1, 1)), INDEX( GV$101:GV$142, MAX( COUNT( GW$9:GW$50 )  - $B153 + 1, 1)) : INDEX( GV$101:GV$142, MAX( COUNT( GW$9:GW$50 )  - $C153 + 1, 1)) &gt; 0)))</f>
        <v>0.99999108065416997</v>
      </c>
      <c r="GW153" s="8">
        <f>+IF(GW$8 = 125, 1, AVERAGE(_xlfn._xlws.FILTER(INDEX( GW$55:GW$96, MAX( COUNT( GX$9:GX$50 )  - $B153 + 1, 1)) : INDEX( GW$55:GW$96, MAX( COUNT( GX$9:GX$50 )  - $C153 + 1, 1)), INDEX( GW$101:GW$142, MAX( COUNT( GX$9:GX$50 )  - $B153 + 1, 1)) : INDEX( GW$101:GW$142, MAX( COUNT( GX$9:GX$50 )  - $C153 + 1, 1)) &gt; 0)))</f>
        <v>1.0013992796115958</v>
      </c>
      <c r="GX153" s="8">
        <f>+IF(GX$8 = 125, 1, AVERAGE(_xlfn._xlws.FILTER(INDEX( GX$55:GX$96, MAX( COUNT( GY$9:GY$50 )  - $B153 + 1, 1)) : INDEX( GX$55:GX$96, MAX( COUNT( GY$9:GY$50 )  - $C153 + 1, 1)), INDEX( GX$101:GX$142, MAX( COUNT( GY$9:GY$50 )  - $B153 + 1, 1)) : INDEX( GX$101:GX$142, MAX( COUNT( GY$9:GY$50 )  - $C153 + 1, 1)) &gt; 0)))</f>
        <v>1.0001799883633098</v>
      </c>
      <c r="GY153" s="8">
        <f>+IF(GY$8 = 125, 1, AVERAGE(_xlfn._xlws.FILTER(INDEX( GY$55:GY$96, MAX( COUNT( GZ$9:GZ$50 )  - $B153 + 1, 1)) : INDEX( GY$55:GY$96, MAX( COUNT( GZ$9:GZ$50 )  - $C153 + 1, 1)), INDEX( GY$101:GY$142, MAX( COUNT( GZ$9:GZ$50 )  - $B153 + 1, 1)) : INDEX( GY$101:GY$142, MAX( COUNT( GZ$9:GZ$50 )  - $C153 + 1, 1)) &gt; 0)))</f>
        <v>1.0000229581221045</v>
      </c>
      <c r="GZ153" s="8">
        <f>+IF(GZ$8 = 125, 1, AVERAGE(_xlfn._xlws.FILTER(INDEX( GZ$55:GZ$96, MAX( COUNT( HA$9:HA$50 )  - $B153 + 1, 1)) : INDEX( GZ$55:GZ$96, MAX( COUNT( HA$9:HA$50 )  - $C153 + 1, 1)), INDEX( GZ$101:GZ$142, MAX( COUNT( HA$9:HA$50 )  - $B153 + 1, 1)) : INDEX( GZ$101:GZ$142, MAX( COUNT( HA$9:HA$50 )  - $C153 + 1, 1)) &gt; 0)))</f>
        <v>1.0004871414745553</v>
      </c>
      <c r="HA153" s="8">
        <f>+IF(HA$8 = 125, 1, AVERAGE(_xlfn._xlws.FILTER(INDEX( HA$55:HA$96, MAX( COUNT( HB$9:HB$50 )  - $B153 + 1, 1)) : INDEX( HA$55:HA$96, MAX( COUNT( HB$9:HB$50 )  - $C153 + 1, 1)), INDEX( HA$101:HA$142, MAX( COUNT( HB$9:HB$50 )  - $B153 + 1, 1)) : INDEX( HA$101:HA$142, MAX( COUNT( HB$9:HB$50 )  - $C153 + 1, 1)) &gt; 0)))</f>
        <v>1.0008015878654661</v>
      </c>
      <c r="HB153" s="8">
        <f>+IF(HB$8 = 125, 1, AVERAGE(_xlfn._xlws.FILTER(INDEX( HB$55:HB$96, MAX( COUNT( HC$9:HC$50 )  - $B153 + 1, 1)) : INDEX( HB$55:HB$96, MAX( COUNT( HC$9:HC$50 )  - $C153 + 1, 1)), INDEX( HB$101:HB$142, MAX( COUNT( HC$9:HC$50 )  - $B153 + 1, 1)) : INDEX( HB$101:HB$142, MAX( COUNT( HC$9:HC$50 )  - $C153 + 1, 1)) &gt; 0)))</f>
        <v>0.99876952337403679</v>
      </c>
      <c r="HC153" s="8">
        <f>+IF(HC$8 = 125, 1, AVERAGE(_xlfn._xlws.FILTER(INDEX( HC$55:HC$96, MAX( COUNT( HD$9:HD$50 )  - $B153 + 1, 1)) : INDEX( HC$55:HC$96, MAX( COUNT( HD$9:HD$50 )  - $C153 + 1, 1)), INDEX( HC$101:HC$142, MAX( COUNT( HD$9:HD$50 )  - $B153 + 1, 1)) : INDEX( HC$101:HC$142, MAX( COUNT( HD$9:HD$50 )  - $C153 + 1, 1)) &gt; 0)))</f>
        <v>1.0004236947258729</v>
      </c>
      <c r="HD153" s="8">
        <f>+IF(HD$8 = 125, 1, AVERAGE(_xlfn._xlws.FILTER(INDEX( HD$55:HD$96, MAX( COUNT( HE$9:HE$50 )  - $B153 + 1, 1)) : INDEX( HD$55:HD$96, MAX( COUNT( HE$9:HE$50 )  - $C153 + 1, 1)), INDEX( HD$101:HD$142, MAX( COUNT( HE$9:HE$50 )  - $B153 + 1, 1)) : INDEX( HD$101:HD$142, MAX( COUNT( HE$9:HE$50 )  - $C153 + 1, 1)) &gt; 0)))</f>
        <v>1.0000563442601802</v>
      </c>
      <c r="HE153" s="8">
        <f>+IF(HE$8 = 125, 1, AVERAGE(_xlfn._xlws.FILTER(INDEX( HE$55:HE$96, MAX( COUNT( HF$9:HF$50 )  - $B153 + 1, 1)) : INDEX( HE$55:HE$96, MAX( COUNT( HF$9:HF$50 )  - $C153 + 1, 1)), INDEX( HE$101:HE$142, MAX( COUNT( HF$9:HF$50 )  - $B153 + 1, 1)) : INDEX( HE$101:HE$142, MAX( COUNT( HF$9:HF$50 )  - $C153 + 1, 1)) &gt; 0)))</f>
        <v>1.0003354473682669</v>
      </c>
      <c r="HF153" s="8">
        <f>+IF(HF$8 = 125, 1, AVERAGE(_xlfn._xlws.FILTER(INDEX( HF$55:HF$96, MAX( COUNT( HG$9:HG$50 )  - $B153 + 1, 1)) : INDEX( HF$55:HF$96, MAX( COUNT( HG$9:HG$50 )  - $C153 + 1, 1)), INDEX( HF$101:HF$142, MAX( COUNT( HG$9:HG$50 )  - $B153 + 1, 1)) : INDEX( HF$101:HF$142, MAX( COUNT( HG$9:HG$50 )  - $C153 + 1, 1)) &gt; 0)))</f>
        <v>1.0067701455389981</v>
      </c>
      <c r="HG153" s="8">
        <f>+IF(HG$8 = 125, 1, AVERAGE(_xlfn._xlws.FILTER(INDEX( HG$55:HG$96, MAX( COUNT( HH$9:HH$50 )  - $B153 + 1, 1)) : INDEX( HG$55:HG$96, MAX( COUNT( HH$9:HH$50 )  - $C153 + 1, 1)), INDEX( HG$101:HG$142, MAX( COUNT( HH$9:HH$50 )  - $B153 + 1, 1)) : INDEX( HG$101:HG$142, MAX( COUNT( HH$9:HH$50 )  - $C153 + 1, 1)) &gt; 0)))</f>
        <v>1.0005453086881098</v>
      </c>
      <c r="HH153" s="8">
        <f>+IF(HH$8 = 125, 1, AVERAGE(_xlfn._xlws.FILTER(INDEX( HH$55:HH$96, MAX( COUNT( HI$9:HI$50 )  - $B153 + 1, 1)) : INDEX( HH$55:HH$96, MAX( COUNT( HI$9:HI$50 )  - $C153 + 1, 1)), INDEX( HH$101:HH$142, MAX( COUNT( HI$9:HI$50 )  - $B153 + 1, 1)) : INDEX( HH$101:HH$142, MAX( COUNT( HI$9:HI$50 )  - $C153 + 1, 1)) &gt; 0)))</f>
        <v>1.0009018072914131</v>
      </c>
      <c r="HI153" s="8">
        <f>+IF(HI$8 = 125, 1, AVERAGE(_xlfn._xlws.FILTER(INDEX( HI$55:HI$96, MAX( COUNT( HJ$9:HJ$50 )  - $B153 + 1, 1)) : INDEX( HI$55:HI$96, MAX( COUNT( HJ$9:HJ$50 )  - $C153 + 1, 1)), INDEX( HI$101:HI$142, MAX( COUNT( HJ$9:HJ$50 )  - $B153 + 1, 1)) : INDEX( HI$101:HI$142, MAX( COUNT( HJ$9:HJ$50 )  - $C153 + 1, 1)) &gt; 0)))</f>
        <v>1.0128921243532878</v>
      </c>
      <c r="HJ153" s="8">
        <f>+IF(HJ$8 = 125, 1, AVERAGE(_xlfn._xlws.FILTER(INDEX( HJ$55:HJ$96, MAX( COUNT( HK$9:HK$50 )  - $B153 + 1, 1)) : INDEX( HJ$55:HJ$96, MAX( COUNT( HK$9:HK$50 )  - $C153 + 1, 1)), INDEX( HJ$101:HJ$142, MAX( COUNT( HK$9:HK$50 )  - $B153 + 1, 1)) : INDEX( HJ$101:HJ$142, MAX( COUNT( HK$9:HK$50 )  - $C153 + 1, 1)) &gt; 0)))</f>
        <v>1.0013035744562262</v>
      </c>
      <c r="HK153" s="8">
        <f>+IF(HK$8 = 125, 1, AVERAGE(_xlfn._xlws.FILTER(INDEX( HK$55:HK$96, MAX( COUNT( HL$9:HL$50 )  - $B153 + 1, 1)) : INDEX( HK$55:HK$96, MAX( COUNT( HL$9:HL$50 )  - $C153 + 1, 1)), INDEX( HK$101:HK$142, MAX( COUNT( HL$9:HL$50 )  - $B153 + 1, 1)) : INDEX( HK$101:HK$142, MAX( COUNT( HL$9:HL$50 )  - $C153 + 1, 1)) &gt; 0)))</f>
        <v>1</v>
      </c>
      <c r="HL153" s="8">
        <f>+IF(HL$8 = 125, 1, AVERAGE(_xlfn._xlws.FILTER(INDEX( HL$55:HL$96, MAX( COUNT( HM$9:HM$50 )  - $B153 + 1, 1)) : INDEX( HL$55:HL$96, MAX( COUNT( HM$9:HM$50 )  - $C153 + 1, 1)), INDEX( HL$101:HL$142, MAX( COUNT( HM$9:HM$50 )  - $B153 + 1, 1)) : INDEX( HL$101:HL$142, MAX( COUNT( HM$9:HM$50 )  - $C153 + 1, 1)) &gt; 0)))</f>
        <v>1.0001695450637431</v>
      </c>
      <c r="HM153" s="8">
        <f>+IF(HM$8 = 125, 1, AVERAGE(_xlfn._xlws.FILTER(INDEX( HM$55:HM$96, MAX( COUNT( HN$9:HN$50 )  - $B153 + 1, 1)) : INDEX( HM$55:HM$96, MAX( COUNT( HN$9:HN$50 )  - $C153 + 1, 1)), INDEX( HM$101:HM$142, MAX( COUNT( HN$9:HN$50 )  - $B153 + 1, 1)) : INDEX( HM$101:HM$142, MAX( COUNT( HN$9:HN$50 )  - $C153 + 1, 1)) &gt; 0)))</f>
        <v>1.0008825402501771</v>
      </c>
      <c r="HN153" s="8">
        <f>+IF(HN$8 = 125, 1, AVERAGE(_xlfn._xlws.FILTER(INDEX( HN$55:HN$96, MAX( COUNT( HO$9:HO$50 )  - $B153 + 1, 1)) : INDEX( HN$55:HN$96, MAX( COUNT( HO$9:HO$50 )  - $C153 + 1, 1)), INDEX( HN$101:HN$142, MAX( COUNT( HO$9:HO$50 )  - $B153 + 1, 1)) : INDEX( HN$101:HN$142, MAX( COUNT( HO$9:HO$50 )  - $C153 + 1, 1)) &gt; 0)))</f>
        <v>1.0006169557792508</v>
      </c>
      <c r="HO153" s="8">
        <f>+IF(HO$8 = 125, 1, AVERAGE(_xlfn._xlws.FILTER(INDEX( HO$55:HO$96, MAX( COUNT( HP$9:HP$50 )  - $B153 + 1, 1)) : INDEX( HO$55:HO$96, MAX( COUNT( HP$9:HP$50 )  - $C153 + 1, 1)), INDEX( HO$101:HO$142, MAX( COUNT( HP$9:HP$50 )  - $B153 + 1, 1)) : INDEX( HO$101:HO$142, MAX( COUNT( HP$9:HP$50 )  - $C153 + 1, 1)) &gt; 0)))</f>
        <v>1.0000510328121603</v>
      </c>
      <c r="HP153" s="8">
        <f>+IF(HP$8 = 125, 1, AVERAGE(_xlfn._xlws.FILTER(INDEX( HP$55:HP$96, MAX( COUNT( HQ$9:HQ$50 )  - $B153 + 1, 1)) : INDEX( HP$55:HP$96, MAX( COUNT( HQ$9:HQ$50 )  - $C153 + 1, 1)), INDEX( HP$101:HP$142, MAX( COUNT( HQ$9:HQ$50 )  - $B153 + 1, 1)) : INDEX( HP$101:HP$142, MAX( COUNT( HQ$9:HQ$50 )  - $C153 + 1, 1)) &gt; 0)))</f>
        <v>1.0000097918346358</v>
      </c>
      <c r="HQ153" s="8">
        <f>+IF(HQ$8 = 125, 1, AVERAGE(_xlfn._xlws.FILTER(INDEX( HQ$55:HQ$96, MAX( COUNT( HR$9:HR$50 )  - $B153 + 1, 1)) : INDEX( HQ$55:HQ$96, MAX( COUNT( HR$9:HR$50 )  - $C153 + 1, 1)), INDEX( HQ$101:HQ$142, MAX( COUNT( HR$9:HR$50 )  - $B153 + 1, 1)) : INDEX( HQ$101:HQ$142, MAX( COUNT( HR$9:HR$50 )  - $C153 + 1, 1)) &gt; 0)))</f>
        <v>1.0001396616100839</v>
      </c>
      <c r="HR153" s="8">
        <f>+IF(HR$8 = 125, 1, AVERAGE(_xlfn._xlws.FILTER(INDEX( HR$55:HR$96, MAX( COUNT( HS$9:HS$50 )  - $B153 + 1, 1)) : INDEX( HR$55:HR$96, MAX( COUNT( HS$9:HS$50 )  - $C153 + 1, 1)), INDEX( HR$101:HR$142, MAX( COUNT( HS$9:HS$50 )  - $B153 + 1, 1)) : INDEX( HR$101:HR$142, MAX( COUNT( HS$9:HS$50 )  - $C153 + 1, 1)) &gt; 0)))</f>
        <v>1.0002957305762439</v>
      </c>
      <c r="HS153" s="8">
        <f>+IF(HS$8 = 125, 1, AVERAGE(_xlfn._xlws.FILTER(INDEX( HS$55:HS$96, MAX( COUNT( HT$9:HT$50 )  - $B153 + 1, 1)) : INDEX( HS$55:HS$96, MAX( COUNT( HT$9:HT$50 )  - $C153 + 1, 1)), INDEX( HS$101:HS$142, MAX( COUNT( HT$9:HT$50 )  - $B153 + 1, 1)) : INDEX( HS$101:HS$142, MAX( COUNT( HT$9:HT$50 )  - $C153 + 1, 1)) &gt; 0)))</f>
        <v>1.0007960204273174</v>
      </c>
      <c r="HT153" s="8">
        <f>+IF(HT$8 = 125, 1, AVERAGE(_xlfn._xlws.FILTER(INDEX( HT$55:HT$96, MAX( COUNT( HU$9:HU$50 )  - $B153 + 1, 1)) : INDEX( HT$55:HT$96, MAX( COUNT( HU$9:HU$50 )  - $C153 + 1, 1)), INDEX( HT$101:HT$142, MAX( COUNT( HU$9:HU$50 )  - $B153 + 1, 1)) : INDEX( HT$101:HT$142, MAX( COUNT( HU$9:HU$50 )  - $C153 + 1, 1)) &gt; 0)))</f>
        <v>1.0008702795024651</v>
      </c>
      <c r="HU153" s="8">
        <f>+IF(HU$8 = 125, 1, AVERAGE(_xlfn._xlws.FILTER(INDEX( HU$55:HU$96, MAX( COUNT( HV$9:HV$50 )  - $B153 + 1, 1)) : INDEX( HU$55:HU$96, MAX( COUNT( HV$9:HV$50 )  - $C153 + 1, 1)), INDEX( HU$101:HU$142, MAX( COUNT( HV$9:HV$50 )  - $B153 + 1, 1)) : INDEX( HU$101:HU$142, MAX( COUNT( HV$9:HV$50 )  - $C153 + 1, 1)) &gt; 0)))</f>
        <v>1.000427223227802</v>
      </c>
      <c r="HV153" s="8">
        <f>+IF(HV$8 = 125, 1, AVERAGE(_xlfn._xlws.FILTER(INDEX( HV$55:HV$96, MAX( COUNT( HW$9:HW$50 )  - $B153 + 1, 1)) : INDEX( HV$55:HV$96, MAX( COUNT( HW$9:HW$50 )  - $C153 + 1, 1)), INDEX( HV$101:HV$142, MAX( COUNT( HW$9:HW$50 )  - $B153 + 1, 1)) : INDEX( HV$101:HV$142, MAX( COUNT( HW$9:HW$50 )  - $C153 + 1, 1)) &gt; 0)))</f>
        <v>1.0002439410738904</v>
      </c>
      <c r="HW153" s="8">
        <f>+IF(HW$8 = 125, 1, AVERAGE(_xlfn._xlws.FILTER(INDEX( HW$55:HW$96, MAX( COUNT( HX$9:HX$50 )  - $B153 + 1, 1)) : INDEX( HW$55:HW$96, MAX( COUNT( HX$9:HX$50 )  - $C153 + 1, 1)), INDEX( HW$101:HW$142, MAX( COUNT( HX$9:HX$50 )  - $B153 + 1, 1)) : INDEX( HW$101:HW$142, MAX( COUNT( HX$9:HX$50 )  - $C153 + 1, 1)) &gt; 0)))</f>
        <v>1.0000128192304993</v>
      </c>
      <c r="HX153" s="8">
        <f>+IF(HX$8 = 125, 1, AVERAGE(_xlfn._xlws.FILTER(INDEX( HX$55:HX$96, MAX( COUNT( HY$9:HY$50 )  - $B153 + 1, 1)) : INDEX( HX$55:HX$96, MAX( COUNT( HY$9:HY$50 )  - $C153 + 1, 1)), INDEX( HX$101:HX$142, MAX( COUNT( HY$9:HY$50 )  - $B153 + 1, 1)) : INDEX( HX$101:HX$142, MAX( COUNT( HY$9:HY$50 )  - $C153 + 1, 1)) &gt; 0)))</f>
        <v>1.0001424703822621</v>
      </c>
      <c r="HY153" s="8">
        <f>+IF(HY$8 = 125, 1, AVERAGE(_xlfn._xlws.FILTER(INDEX( HY$55:HY$96, MAX( COUNT( HZ$9:HZ$50 )  - $B153 + 1, 1)) : INDEX( HY$55:HY$96, MAX( COUNT( HZ$9:HZ$50 )  - $C153 + 1, 1)), INDEX( HY$101:HY$142, MAX( COUNT( HZ$9:HZ$50 )  - $B153 + 1, 1)) : INDEX( HY$101:HY$142, MAX( COUNT( HZ$9:HZ$50 )  - $C153 + 1, 1)) &gt; 0)))</f>
        <v>1.0000199069015006</v>
      </c>
      <c r="HZ153" s="8">
        <f>+IF(HZ$8 = 125, 1, AVERAGE(_xlfn._xlws.FILTER(INDEX( HZ$55:HZ$96, MAX( COUNT( IA$9:IA$50 )  - $B153 + 1, 1)) : INDEX( HZ$55:HZ$96, MAX( COUNT( IA$9:IA$50 )  - $C153 + 1, 1)), INDEX( HZ$101:HZ$142, MAX( COUNT( IA$9:IA$50 )  - $B153 + 1, 1)) : INDEX( HZ$101:HZ$142, MAX( COUNT( IA$9:IA$50 )  - $C153 + 1, 1)) &gt; 0)))</f>
        <v>1.0002256663811147</v>
      </c>
      <c r="IA153" s="8">
        <f>+IF(IA$8 = 125, 1, AVERAGE(_xlfn._xlws.FILTER(INDEX( IA$55:IA$96, MAX( COUNT( IB$9:IB$50 )  - $B153 + 1, 1)) : INDEX( IA$55:IA$96, MAX( COUNT( IB$9:IB$50 )  - $C153 + 1, 1)), INDEX( IA$101:IA$142, MAX( COUNT( IB$9:IB$50 )  - $B153 + 1, 1)) : INDEX( IA$101:IA$142, MAX( COUNT( IB$9:IB$50 )  - $C153 + 1, 1)) &gt; 0)))</f>
        <v>1.0006873247646397</v>
      </c>
      <c r="IB153" s="8">
        <f>+IF(IB$8 = 125, 1, AVERAGE(_xlfn._xlws.FILTER(INDEX( IB$55:IB$96, MAX( COUNT( IC$9:IC$50 )  - $B153 + 1, 1)) : INDEX( IB$55:IB$96, MAX( COUNT( IC$9:IC$50 )  - $C153 + 1, 1)), INDEX( IB$101:IB$142, MAX( COUNT( IC$9:IC$50 )  - $B153 + 1, 1)) : INDEX( IB$101:IB$142, MAX( COUNT( IC$9:IC$50 )  - $C153 + 1, 1)) &gt; 0)))</f>
        <v>1.0008119982131169</v>
      </c>
      <c r="IC153" s="8">
        <f>+IF(IC$8 = 125, 1, AVERAGE(_xlfn._xlws.FILTER(INDEX( IC$55:IC$96, MAX( COUNT( ID$9:ID$50 )  - $B153 + 1, 1)) : INDEX( IC$55:IC$96, MAX( COUNT( ID$9:ID$50 )  - $C153 + 1, 1)), INDEX( IC$101:IC$142, MAX( COUNT( ID$9:ID$50 )  - $B153 + 1, 1)) : INDEX( IC$101:IC$142, MAX( COUNT( ID$9:ID$50 )  - $C153 + 1, 1)) &gt; 0)))</f>
        <v>1.0001347511987562</v>
      </c>
      <c r="ID153" s="8">
        <f>+IF(ID$8 = 125, 1, AVERAGE(_xlfn._xlws.FILTER(INDEX( ID$55:ID$96, MAX( COUNT( IE$9:IE$50 )  - $B153 + 1, 1)) : INDEX( ID$55:ID$96, MAX( COUNT( IE$9:IE$50 )  - $C153 + 1, 1)), INDEX( ID$101:ID$142, MAX( COUNT( IE$9:IE$50 )  - $B153 + 1, 1)) : INDEX( ID$101:ID$142, MAX( COUNT( IE$9:IE$50 )  - $C153 + 1, 1)) &gt; 0)))</f>
        <v>1.0006605638310606</v>
      </c>
      <c r="IE153" s="8">
        <f>+IF(IE$8 = 125, 1, AVERAGE(_xlfn._xlws.FILTER(INDEX( IE$55:IE$96, MAX( COUNT( IF$9:IF$50 )  - $B153 + 1, 1)) : INDEX( IE$55:IE$96, MAX( COUNT( IF$9:IF$50 )  - $C153 + 1, 1)), INDEX( IE$101:IE$142, MAX( COUNT( IF$9:IF$50 )  - $B153 + 1, 1)) : INDEX( IE$101:IE$142, MAX( COUNT( IF$9:IF$50 )  - $C153 + 1, 1)) &gt; 0)))</f>
        <v>1.0003517474697472</v>
      </c>
      <c r="IF153" s="8">
        <f>+IF(IF$8 = 125, 1, AVERAGE(_xlfn._xlws.FILTER(INDEX( IF$55:IF$96, MAX( COUNT( IG$9:IG$50 )  - $B153 + 1, 1)) : INDEX( IF$55:IF$96, MAX( COUNT( IG$9:IG$50 )  - $C153 + 1, 1)), INDEX( IF$101:IF$142, MAX( COUNT( IG$9:IG$50 )  - $B153 + 1, 1)) : INDEX( IF$101:IF$142, MAX( COUNT( IG$9:IG$50 )  - $C153 + 1, 1)) &gt; 0)))</f>
        <v>1.0007943909620578</v>
      </c>
      <c r="IG153" s="8">
        <f>+IF(IG$8 = 125, 1, AVERAGE(_xlfn._xlws.FILTER(INDEX( IG$55:IG$96, MAX( COUNT( IH$9:IH$50 )  - $B153 + 1, 1)) : INDEX( IG$55:IG$96, MAX( COUNT( IH$9:IH$50 )  - $C153 + 1, 1)), INDEX( IG$101:IG$142, MAX( COUNT( IH$9:IH$50 )  - $B153 + 1, 1)) : INDEX( IG$101:IG$142, MAX( COUNT( IH$9:IH$50 )  - $C153 + 1, 1)) &gt; 0)))</f>
        <v>1.0004068063765579</v>
      </c>
      <c r="IH153" s="8">
        <f>+IF(IH$8 = 125, 1, AVERAGE(_xlfn._xlws.FILTER(INDEX( IH$55:IH$96, MAX( COUNT( II$9:II$50 )  - $B153 + 1, 1)) : INDEX( IH$55:IH$96, MAX( COUNT( II$9:II$50 )  - $C153 + 1, 1)), INDEX( IH$101:IH$142, MAX( COUNT( II$9:II$50 )  - $B153 + 1, 1)) : INDEX( IH$101:IH$142, MAX( COUNT( II$9:II$50 )  - $C153 + 1, 1)) &gt; 0)))</f>
        <v>1</v>
      </c>
      <c r="II153" s="8">
        <f>+IF(II$8 = 125, 1, AVERAGE(_xlfn._xlws.FILTER(INDEX( II$55:II$96, MAX( COUNT( IJ$9:IJ$50 )  - $B153 + 1, 1)) : INDEX( II$55:II$96, MAX( COUNT( IJ$9:IJ$50 )  - $C153 + 1, 1)), INDEX( II$101:II$142, MAX( COUNT( IJ$9:IJ$50 )  - $B153 + 1, 1)) : INDEX( II$101:II$142, MAX( COUNT( IJ$9:IJ$50 )  - $C153 + 1, 1)) &gt; 0)))</f>
        <v>1.0004629755120409</v>
      </c>
      <c r="IJ153" s="8">
        <f>+IF(IJ$8 = 125, 1, AVERAGE(_xlfn._xlws.FILTER(INDEX( IJ$55:IJ$96, MAX( COUNT( IK$9:IK$50 )  - $B153 + 1, 1)) : INDEX( IJ$55:IJ$96, MAX( COUNT( IK$9:IK$50 )  - $C153 + 1, 1)), INDEX( IJ$101:IJ$142, MAX( COUNT( IK$9:IK$50 )  - $B153 + 1, 1)) : INDEX( IJ$101:IJ$142, MAX( COUNT( IK$9:IK$50 )  - $C153 + 1, 1)) &gt; 0)))</f>
        <v>1.0016879176110733</v>
      </c>
      <c r="IK153" s="8">
        <f>+IF(IK$8 = 125, 1, AVERAGE(_xlfn._xlws.FILTER(INDEX( IK$55:IK$96, MAX( COUNT( IL$9:IL$50 )  - $B153 + 1, 1)) : INDEX( IK$55:IK$96, MAX( COUNT( IL$9:IL$50 )  - $C153 + 1, 1)), INDEX( IK$101:IK$142, MAX( COUNT( IL$9:IL$50 )  - $B153 + 1, 1)) : INDEX( IK$101:IK$142, MAX( COUNT( IL$9:IL$50 )  - $C153 + 1, 1)) &gt; 0)))</f>
        <v>1.0010039471736454</v>
      </c>
      <c r="IL153" s="8">
        <f>+IF(IL$8 = 125, 1, AVERAGE(_xlfn._xlws.FILTER(INDEX( IL$55:IL$96, MAX( COUNT( IM$9:IM$50 )  - $B153 + 1, 1)) : INDEX( IL$55:IL$96, MAX( COUNT( IM$9:IM$50 )  - $C153 + 1, 1)), INDEX( IL$101:IL$142, MAX( COUNT( IM$9:IM$50 )  - $B153 + 1, 1)) : INDEX( IL$101:IL$142, MAX( COUNT( IM$9:IM$50 )  - $C153 + 1, 1)) &gt; 0)))</f>
        <v>1.0010951162430566</v>
      </c>
      <c r="IM153" s="8">
        <f>+IF(IM$8 = 125, 1, AVERAGE(_xlfn._xlws.FILTER(INDEX( IM$55:IM$96, MAX( COUNT( IN$9:IN$50 )  - $B153 + 1, 1)) : INDEX( IM$55:IM$96, MAX( COUNT( IN$9:IN$50 )  - $C153 + 1, 1)), INDEX( IM$101:IM$142, MAX( COUNT( IN$9:IN$50 )  - $B153 + 1, 1)) : INDEX( IM$101:IM$142, MAX( COUNT( IN$9:IN$50 )  - $C153 + 1, 1)) &gt; 0)))</f>
        <v>1.0012550173828316</v>
      </c>
      <c r="IN153" s="8">
        <f>+IF(IN$8 = 125, 1, AVERAGE(_xlfn._xlws.FILTER(INDEX( IN$55:IN$96, MAX( COUNT( IO$9:IO$50 )  - $B153 + 1, 1)) : INDEX( IN$55:IN$96, MAX( COUNT( IO$9:IO$50 )  - $C153 + 1, 1)), INDEX( IN$101:IN$142, MAX( COUNT( IO$9:IO$50 )  - $B153 + 1, 1)) : INDEX( IN$101:IN$142, MAX( COUNT( IO$9:IO$50 )  - $C153 + 1, 1)) &gt; 0)))</f>
        <v>1.0026733062335238</v>
      </c>
      <c r="IO153" s="8">
        <f>+IF(IO$8 = 125, 1, AVERAGE(_xlfn._xlws.FILTER(INDEX( IO$55:IO$96, MAX( COUNT( IP$9:IP$50 )  - $B153 + 1, 1)) : INDEX( IO$55:IO$96, MAX( COUNT( IP$9:IP$50 )  - $C153 + 1, 1)), INDEX( IO$101:IO$142, MAX( COUNT( IP$9:IP$50 )  - $B153 + 1, 1)) : INDEX( IO$101:IO$142, MAX( COUNT( IP$9:IP$50 )  - $C153 + 1, 1)) &gt; 0)))</f>
        <v>1.0023132715266874</v>
      </c>
      <c r="IP153" s="8">
        <f>+IF(IP$8 = 125, 1, AVERAGE(_xlfn._xlws.FILTER(INDEX( IP$55:IP$96, MAX( COUNT( IQ$9:IQ$50 )  - $B153 + 1, 1)) : INDEX( IP$55:IP$96, MAX( COUNT( IQ$9:IQ$50 )  - $C153 + 1, 1)), INDEX( IP$101:IP$142, MAX( COUNT( IQ$9:IQ$50 )  - $B153 + 1, 1)) : INDEX( IP$101:IP$142, MAX( COUNT( IQ$9:IQ$50 )  - $C153 + 1, 1)) &gt; 0)))</f>
        <v>1.0008651169757654</v>
      </c>
      <c r="IQ153" s="8">
        <f>+IF(IQ$8 = 125, 1, AVERAGE(_xlfn._xlws.FILTER(INDEX( IQ$55:IQ$96, MAX( COUNT( IR$9:IR$50 )  - $B153 + 1, 1)) : INDEX( IQ$55:IQ$96, MAX( COUNT( IR$9:IR$50 )  - $C153 + 1, 1)), INDEX( IQ$101:IQ$142, MAX( COUNT( IR$9:IR$50 )  - $B153 + 1, 1)) : INDEX( IQ$101:IQ$142, MAX( COUNT( IR$9:IR$50 )  - $C153 + 1, 1)) &gt; 0)))</f>
        <v>1.0035079427040097</v>
      </c>
      <c r="IR153" s="8">
        <f>+IF(IR$8 = 125, 1, AVERAGE(_xlfn._xlws.FILTER(INDEX( IR$55:IR$96, MAX( COUNT( IS$9:IS$50 )  - $B153 + 1, 1)) : INDEX( IR$55:IR$96, MAX( COUNT( IS$9:IS$50 )  - $C153 + 1, 1)), INDEX( IR$101:IR$142, MAX( COUNT( IS$9:IS$50 )  - $B153 + 1, 1)) : INDEX( IR$101:IR$142, MAX( COUNT( IS$9:IS$50 )  - $C153 + 1, 1)) &gt; 0)))</f>
        <v>1.0023335443520889</v>
      </c>
      <c r="IS153" s="8">
        <f>+IF(IS$8 = 125, 1, AVERAGE(_xlfn._xlws.FILTER(INDEX( IS$55:IS$96, MAX( COUNT( IT$9:IT$50 )  - $B153 + 1, 1)) : INDEX( IS$55:IS$96, MAX( COUNT( IT$9:IT$50 )  - $C153 + 1, 1)), INDEX( IS$101:IS$142, MAX( COUNT( IT$9:IT$50 )  - $B153 + 1, 1)) : INDEX( IS$101:IS$142, MAX( COUNT( IT$9:IT$50 )  - $C153 + 1, 1)) &gt; 0)))</f>
        <v>1.0055498790859507</v>
      </c>
      <c r="IT153" s="8">
        <f>+IF(IT$8 = 125, 1, AVERAGE(_xlfn._xlws.FILTER(INDEX( IT$55:IT$96, MAX( COUNT( IU$9:IU$50 )  - $B153 + 1, 1)) : INDEX( IT$55:IT$96, MAX( COUNT( IU$9:IU$50 )  - $C153 + 1, 1)), INDEX( IT$101:IT$142, MAX( COUNT( IU$9:IU$50 )  - $B153 + 1, 1)) : INDEX( IT$101:IT$142, MAX( COUNT( IU$9:IU$50 )  - $C153 + 1, 1)) &gt; 0)))</f>
        <v>1.0050872730680325</v>
      </c>
      <c r="IU153" s="8">
        <f>+IF(IU$8 = 125, 1, AVERAGE(_xlfn._xlws.FILTER(INDEX( IU$55:IU$96, MAX( COUNT( IV$9:IV$50 )  - $B153 + 1, 1)) : INDEX( IU$55:IU$96, MAX( COUNT( IV$9:IV$50 )  - $C153 + 1, 1)), INDEX( IU$101:IU$142, MAX( COUNT( IV$9:IV$50 )  - $B153 + 1, 1)) : INDEX( IU$101:IU$142, MAX( COUNT( IV$9:IV$50 )  - $C153 + 1, 1)) &gt; 0)))</f>
        <v>1.0045545119089383</v>
      </c>
      <c r="IV153" s="8">
        <f>+IF(IV$8 = 125, 1, AVERAGE(_xlfn._xlws.FILTER(INDEX( IV$55:IV$96, MAX( COUNT( IW$9:IW$50 )  - $B153 + 1, 1)) : INDEX( IV$55:IV$96, MAX( COUNT( IW$9:IW$50 )  - $C153 + 1, 1)), INDEX( IV$101:IV$142, MAX( COUNT( IW$9:IW$50 )  - $B153 + 1, 1)) : INDEX( IV$101:IV$142, MAX( COUNT( IW$9:IW$50 )  - $C153 + 1, 1)) &gt; 0)))</f>
        <v>1</v>
      </c>
    </row>
    <row r="154" spans="2:256" x14ac:dyDescent="0.2">
      <c r="B154">
        <v>1</v>
      </c>
      <c r="C154">
        <v>4</v>
      </c>
      <c r="F154" s="15" t="s">
        <v>14</v>
      </c>
      <c r="G154" s="8">
        <f>+IF(G$8 = 125, 1, MEDIAN(_xlfn._xlws.FILTER(INDEX( G$55:G$96, MAX( COUNT( H$9:H$50 )  - $B154 + 1, 1)) : INDEX( G$55:G$96, MAX( COUNT( H$9:H$50 )  - $C154 + 1, 1)), INDEX( G$101:G$142, MAX( COUNT( H$9:H$50 )  - $B154 + 1, 1)) : INDEX( G$101:G$142, MAX( COUNT( H$9:H$50 )  - $C154 + 1, 1)) &gt; 0)))</f>
        <v>14.061701417595728</v>
      </c>
      <c r="H154" s="8">
        <f>+IF(H$8 = 125, 1, MEDIAN(_xlfn._xlws.FILTER(INDEX( H$55:H$96, MAX( COUNT( I$9:I$50 )  - $B154 + 1, 1)) : INDEX( H$55:H$96, MAX( COUNT( I$9:I$50 )  - $C154 + 1, 1)), INDEX( H$101:H$142, MAX( COUNT( I$9:I$50 )  - $B154 + 1, 1)) : INDEX( H$101:H$142, MAX( COUNT( I$9:I$50 )  - $C154 + 1, 1)) &gt; 0)))</f>
        <v>2.2561805952523297</v>
      </c>
      <c r="I154" s="8">
        <f>+IF(I$8 = 125, 1, MEDIAN(_xlfn._xlws.FILTER(INDEX( I$55:I$96, MAX( COUNT( J$9:J$50 )  - $B154 + 1, 1)) : INDEX( I$55:I$96, MAX( COUNT( J$9:J$50 )  - $C154 + 1, 1)), INDEX( I$101:I$142, MAX( COUNT( J$9:J$50 )  - $B154 + 1, 1)) : INDEX( I$101:I$142, MAX( COUNT( J$9:J$50 )  - $C154 + 1, 1)) &gt; 0)))</f>
        <v>1.7105136648769375</v>
      </c>
      <c r="J154" s="8">
        <f>+IF(J$8 = 125, 1, MEDIAN(_xlfn._xlws.FILTER(INDEX( J$55:J$96, MAX( COUNT( K$9:K$50 )  - $B154 + 1, 1)) : INDEX( J$55:J$96, MAX( COUNT( K$9:K$50 )  - $C154 + 1, 1)), INDEX( J$101:J$142, MAX( COUNT( K$9:K$50 )  - $B154 + 1, 1)) : INDEX( J$101:J$142, MAX( COUNT( K$9:K$50 )  - $C154 + 1, 1)) &gt; 0)))</f>
        <v>1.3439396980942409</v>
      </c>
      <c r="K154" s="8">
        <f>+IF(K$8 = 125, 1, MEDIAN(_xlfn._xlws.FILTER(INDEX( K$55:K$96, MAX( COUNT( L$9:L$50 )  - $B154 + 1, 1)) : INDEX( K$55:K$96, MAX( COUNT( L$9:L$50 )  - $C154 + 1, 1)), INDEX( K$101:K$142, MAX( COUNT( L$9:L$50 )  - $B154 + 1, 1)) : INDEX( K$101:K$142, MAX( COUNT( L$9:L$50 )  - $C154 + 1, 1)) &gt; 0)))</f>
        <v>1.0568148901704495</v>
      </c>
      <c r="L154" s="8">
        <f>+IF(L$8 = 125, 1, MEDIAN(_xlfn._xlws.FILTER(INDEX( L$55:L$96, MAX( COUNT( M$9:M$50 )  - $B154 + 1, 1)) : INDEX( L$55:L$96, MAX( COUNT( M$9:M$50 )  - $C154 + 1, 1)), INDEX( L$101:L$142, MAX( COUNT( M$9:M$50 )  - $B154 + 1, 1)) : INDEX( L$101:L$142, MAX( COUNT( M$9:M$50 )  - $C154 + 1, 1)) &gt; 0)))</f>
        <v>1.0698517600091964</v>
      </c>
      <c r="M154" s="8">
        <f>+IF(M$8 = 125, 1, MEDIAN(_xlfn._xlws.FILTER(INDEX( M$55:M$96, MAX( COUNT( N$9:N$50 )  - $B154 + 1, 1)) : INDEX( M$55:M$96, MAX( COUNT( N$9:N$50 )  - $C154 + 1, 1)), INDEX( M$101:M$142, MAX( COUNT( N$9:N$50 )  - $B154 + 1, 1)) : INDEX( M$101:M$142, MAX( COUNT( N$9:N$50 )  - $C154 + 1, 1)) &gt; 0)))</f>
        <v>1.0229784938288673</v>
      </c>
      <c r="N154" s="8">
        <f>+IF(N$8 = 125, 1, MEDIAN(_xlfn._xlws.FILTER(INDEX( N$55:N$96, MAX( COUNT( O$9:O$50 )  - $B154 + 1, 1)) : INDEX( N$55:N$96, MAX( COUNT( O$9:O$50 )  - $C154 + 1, 1)), INDEX( N$101:N$142, MAX( COUNT( O$9:O$50 )  - $B154 + 1, 1)) : INDEX( N$101:N$142, MAX( COUNT( O$9:O$50 )  - $C154 + 1, 1)) &gt; 0)))</f>
        <v>1.003455087267771</v>
      </c>
      <c r="O154" s="8">
        <f>+IF(O$8 = 125, 1, MEDIAN(_xlfn._xlws.FILTER(INDEX( O$55:O$96, MAX( COUNT( P$9:P$50 )  - $B154 + 1, 1)) : INDEX( O$55:O$96, MAX( COUNT( P$9:P$50 )  - $C154 + 1, 1)), INDEX( O$101:O$142, MAX( COUNT( P$9:P$50 )  - $B154 + 1, 1)) : INDEX( O$101:O$142, MAX( COUNT( P$9:P$50 )  - $C154 + 1, 1)) &gt; 0)))</f>
        <v>1.001065657745015</v>
      </c>
      <c r="P154" s="8">
        <f>+IF(P$8 = 125, 1, MEDIAN(_xlfn._xlws.FILTER(INDEX( P$55:P$96, MAX( COUNT( Q$9:Q$50 )  - $B154 + 1, 1)) : INDEX( P$55:P$96, MAX( COUNT( Q$9:Q$50 )  - $C154 + 1, 1)), INDEX( P$101:P$142, MAX( COUNT( Q$9:Q$50 )  - $B154 + 1, 1)) : INDEX( P$101:P$142, MAX( COUNT( Q$9:Q$50 )  - $C154 + 1, 1)) &gt; 0)))</f>
        <v>1.0064798761859461</v>
      </c>
      <c r="Q154" s="8">
        <f>+IF(Q$8 = 125, 1, MEDIAN(_xlfn._xlws.FILTER(INDEX( Q$55:Q$96, MAX( COUNT( R$9:R$50 )  - $B154 + 1, 1)) : INDEX( Q$55:Q$96, MAX( COUNT( R$9:R$50 )  - $C154 + 1, 1)), INDEX( Q$101:Q$142, MAX( COUNT( R$9:R$50 )  - $B154 + 1, 1)) : INDEX( Q$101:Q$142, MAX( COUNT( R$9:R$50 )  - $C154 + 1, 1)) &gt; 0)))</f>
        <v>1.0014563176463873</v>
      </c>
      <c r="R154" s="8">
        <f>+IF(R$8 = 125, 1, MEDIAN(_xlfn._xlws.FILTER(INDEX( R$55:R$96, MAX( COUNT( S$9:S$50 )  - $B154 + 1, 1)) : INDEX( R$55:R$96, MAX( COUNT( S$9:S$50 )  - $C154 + 1, 1)), INDEX( R$101:R$142, MAX( COUNT( S$9:S$50 )  - $B154 + 1, 1)) : INDEX( R$101:R$142, MAX( COUNT( S$9:S$50 )  - $C154 + 1, 1)) &gt; 0)))</f>
        <v>1.0000394216084905</v>
      </c>
      <c r="S154" s="8">
        <f>+IF(S$8 = 125, 1, MEDIAN(_xlfn._xlws.FILTER(INDEX( S$55:S$96, MAX( COUNT( T$9:T$50 )  - $B154 + 1, 1)) : INDEX( S$55:S$96, MAX( COUNT( T$9:T$50 )  - $C154 + 1, 1)), INDEX( S$101:S$142, MAX( COUNT( T$9:T$50 )  - $B154 + 1, 1)) : INDEX( S$101:S$142, MAX( COUNT( T$9:T$50 )  - $C154 + 1, 1)) &gt; 0)))</f>
        <v>1.0004837482478022</v>
      </c>
      <c r="T154" s="8">
        <f>+IF(T$8 = 125, 1, MEDIAN(_xlfn._xlws.FILTER(INDEX( T$55:T$96, MAX( COUNT( U$9:U$50 )  - $B154 + 1, 1)) : INDEX( T$55:T$96, MAX( COUNT( U$9:U$50 )  - $C154 + 1, 1)), INDEX( T$101:T$142, MAX( COUNT( U$9:U$50 )  - $B154 + 1, 1)) : INDEX( T$101:T$142, MAX( COUNT( U$9:U$50 )  - $C154 + 1, 1)) &gt; 0)))</f>
        <v>1.0001958599521328</v>
      </c>
      <c r="U154" s="8">
        <f>+IF(U$8 = 125, 1, MEDIAN(_xlfn._xlws.FILTER(INDEX( U$55:U$96, MAX( COUNT( V$9:V$50 )  - $B154 + 1, 1)) : INDEX( U$55:U$96, MAX( COUNT( V$9:V$50 )  - $C154 + 1, 1)), INDEX( U$101:U$142, MAX( COUNT( V$9:V$50 )  - $B154 + 1, 1)) : INDEX( U$101:U$142, MAX( COUNT( V$9:V$50 )  - $C154 + 1, 1)) &gt; 0)))</f>
        <v>1.0001861470726623</v>
      </c>
      <c r="V154" s="8">
        <f>+IF(V$8 = 125, 1, MEDIAN(_xlfn._xlws.FILTER(INDEX( V$55:V$96, MAX( COUNT( W$9:W$50 )  - $B154 + 1, 1)) : INDEX( V$55:V$96, MAX( COUNT( W$9:W$50 )  - $C154 + 1, 1)), INDEX( V$101:V$142, MAX( COUNT( W$9:W$50 )  - $B154 + 1, 1)) : INDEX( V$101:V$142, MAX( COUNT( W$9:W$50 )  - $C154 + 1, 1)) &gt; 0)))</f>
        <v>1.0003525945188336</v>
      </c>
      <c r="W154" s="8">
        <f>+IF(W$8 = 125, 1, MEDIAN(_xlfn._xlws.FILTER(INDEX( W$55:W$96, MAX( COUNT( X$9:X$50 )  - $B154 + 1, 1)) : INDEX( W$55:W$96, MAX( COUNT( X$9:X$50 )  - $C154 + 1, 1)), INDEX( W$101:W$142, MAX( COUNT( X$9:X$50 )  - $B154 + 1, 1)) : INDEX( W$101:W$142, MAX( COUNT( X$9:X$50 )  - $C154 + 1, 1)) &gt; 0)))</f>
        <v>1.0002769140614538</v>
      </c>
      <c r="X154" s="8">
        <f>+IF(X$8 = 125, 1, MEDIAN(_xlfn._xlws.FILTER(INDEX( X$55:X$96, MAX( COUNT( Y$9:Y$50 )  - $B154 + 1, 1)) : INDEX( X$55:X$96, MAX( COUNT( Y$9:Y$50 )  - $C154 + 1, 1)), INDEX( X$101:X$142, MAX( COUNT( Y$9:Y$50 )  - $B154 + 1, 1)) : INDEX( X$101:X$142, MAX( COUNT( Y$9:Y$50 )  - $C154 + 1, 1)) &gt; 0)))</f>
        <v>1.0003430259771571</v>
      </c>
      <c r="Y154" s="8">
        <f>+IF(Y$8 = 125, 1, MEDIAN(_xlfn._xlws.FILTER(INDEX( Y$55:Y$96, MAX( COUNT( Z$9:Z$50 )  - $B154 + 1, 1)) : INDEX( Y$55:Y$96, MAX( COUNT( Z$9:Z$50 )  - $C154 + 1, 1)), INDEX( Y$101:Y$142, MAX( COUNT( Z$9:Z$50 )  - $B154 + 1, 1)) : INDEX( Y$101:Y$142, MAX( COUNT( Z$9:Z$50 )  - $C154 + 1, 1)) &gt; 0)))</f>
        <v>1.0006901118895133</v>
      </c>
      <c r="Z154" s="8">
        <f>+IF(Z$8 = 125, 1, MEDIAN(_xlfn._xlws.FILTER(INDEX( Z$55:Z$96, MAX( COUNT( AA$9:AA$50 )  - $B154 + 1, 1)) : INDEX( Z$55:Z$96, MAX( COUNT( AA$9:AA$50 )  - $C154 + 1, 1)), INDEX( Z$101:Z$142, MAX( COUNT( AA$9:AA$50 )  - $B154 + 1, 1)) : INDEX( Z$101:Z$142, MAX( COUNT( AA$9:AA$50 )  - $C154 + 1, 1)) &gt; 0)))</f>
        <v>1.0000219069109821</v>
      </c>
      <c r="AA154" s="8">
        <f>+IF(AA$8 = 125, 1, MEDIAN(_xlfn._xlws.FILTER(INDEX( AA$55:AA$96, MAX( COUNT( AB$9:AB$50 )  - $B154 + 1, 1)) : INDEX( AA$55:AA$96, MAX( COUNT( AB$9:AB$50 )  - $C154 + 1, 1)), INDEX( AA$101:AA$142, MAX( COUNT( AB$9:AB$50 )  - $B154 + 1, 1)) : INDEX( AA$101:AA$142, MAX( COUNT( AB$9:AB$50 )  - $C154 + 1, 1)) &gt; 0)))</f>
        <v>1</v>
      </c>
      <c r="AB154" s="8">
        <f>+IF(AB$8 = 125, 1, MEDIAN(_xlfn._xlws.FILTER(INDEX( AB$55:AB$96, MAX( COUNT( AC$9:AC$50 )  - $B154 + 1, 1)) : INDEX( AB$55:AB$96, MAX( COUNT( AC$9:AC$50 )  - $C154 + 1, 1)), INDEX( AB$101:AB$142, MAX( COUNT( AC$9:AC$50 )  - $B154 + 1, 1)) : INDEX( AB$101:AB$142, MAX( COUNT( AC$9:AC$50 )  - $C154 + 1, 1)) &gt; 0)))</f>
        <v>1</v>
      </c>
      <c r="AC154" s="8">
        <f>+IF(AC$8 = 125, 1, MEDIAN(_xlfn._xlws.FILTER(INDEX( AC$55:AC$96, MAX( COUNT( AD$9:AD$50 )  - $B154 + 1, 1)) : INDEX( AC$55:AC$96, MAX( COUNT( AD$9:AD$50 )  - $C154 + 1, 1)), INDEX( AC$101:AC$142, MAX( COUNT( AD$9:AD$50 )  - $B154 + 1, 1)) : INDEX( AC$101:AC$142, MAX( COUNT( AD$9:AD$50 )  - $C154 + 1, 1)) &gt; 0)))</f>
        <v>1.0004877778530186</v>
      </c>
      <c r="AD154" s="8">
        <f>+IF(AD$8 = 125, 1, MEDIAN(_xlfn._xlws.FILTER(INDEX( AD$55:AD$96, MAX( COUNT( AE$9:AE$50 )  - $B154 + 1, 1)) : INDEX( AD$55:AD$96, MAX( COUNT( AE$9:AE$50 )  - $C154 + 1, 1)), INDEX( AD$101:AD$142, MAX( COUNT( AE$9:AE$50 )  - $B154 + 1, 1)) : INDEX( AD$101:AD$142, MAX( COUNT( AE$9:AE$50 )  - $C154 + 1, 1)) &gt; 0)))</f>
        <v>1.0001826564903218</v>
      </c>
      <c r="AE154" s="8">
        <f>+IF(AE$8 = 125, 1, MEDIAN(_xlfn._xlws.FILTER(INDEX( AE$55:AE$96, MAX( COUNT( AF$9:AF$50 )  - $B154 + 1, 1)) : INDEX( AE$55:AE$96, MAX( COUNT( AF$9:AF$50 )  - $C154 + 1, 1)), INDEX( AE$101:AE$142, MAX( COUNT( AF$9:AF$50 )  - $B154 + 1, 1)) : INDEX( AE$101:AE$142, MAX( COUNT( AF$9:AF$50 )  - $C154 + 1, 1)) &gt; 0)))</f>
        <v>1.0002228361536665</v>
      </c>
      <c r="AF154" s="8">
        <f>+IF(AF$8 = 125, 1, MEDIAN(_xlfn._xlws.FILTER(INDEX( AF$55:AF$96, MAX( COUNT( AG$9:AG$50 )  - $B154 + 1, 1)) : INDEX( AF$55:AF$96, MAX( COUNT( AG$9:AG$50 )  - $C154 + 1, 1)), INDEX( AF$101:AF$142, MAX( COUNT( AG$9:AG$50 )  - $B154 + 1, 1)) : INDEX( AF$101:AF$142, MAX( COUNT( AG$9:AG$50 )  - $C154 + 1, 1)) &gt; 0)))</f>
        <v>1</v>
      </c>
      <c r="AG154" s="8">
        <f>+IF(AG$8 = 125, 1, MEDIAN(_xlfn._xlws.FILTER(INDEX( AG$55:AG$96, MAX( COUNT( AH$9:AH$50 )  - $B154 + 1, 1)) : INDEX( AG$55:AG$96, MAX( COUNT( AH$9:AH$50 )  - $C154 + 1, 1)), INDEX( AG$101:AG$142, MAX( COUNT( AH$9:AH$50 )  - $B154 + 1, 1)) : INDEX( AG$101:AG$142, MAX( COUNT( AH$9:AH$50 )  - $C154 + 1, 1)) &gt; 0)))</f>
        <v>1</v>
      </c>
      <c r="AH154" s="8">
        <f>+IF(AH$8 = 125, 1, MEDIAN(_xlfn._xlws.FILTER(INDEX( AH$55:AH$96, MAX( COUNT( AI$9:AI$50 )  - $B154 + 1, 1)) : INDEX( AH$55:AH$96, MAX( COUNT( AI$9:AI$50 )  - $C154 + 1, 1)), INDEX( AH$101:AH$142, MAX( COUNT( AI$9:AI$50 )  - $B154 + 1, 1)) : INDEX( AH$101:AH$142, MAX( COUNT( AI$9:AI$50 )  - $C154 + 1, 1)) &gt; 0)))</f>
        <v>1.0001931556224664</v>
      </c>
      <c r="AI154" s="8">
        <f>+IF(AI$8 = 125, 1, MEDIAN(_xlfn._xlws.FILTER(INDEX( AI$55:AI$96, MAX( COUNT( AJ$9:AJ$50 )  - $B154 + 1, 1)) : INDEX( AI$55:AI$96, MAX( COUNT( AJ$9:AJ$50 )  - $C154 + 1, 1)), INDEX( AI$101:AI$142, MAX( COUNT( AJ$9:AJ$50 )  - $B154 + 1, 1)) : INDEX( AI$101:AI$142, MAX( COUNT( AJ$9:AJ$50 )  - $C154 + 1, 1)) &gt; 0)))</f>
        <v>1.0000507154544862</v>
      </c>
      <c r="AJ154" s="8">
        <f>+IF(AJ$8 = 125, 1, MEDIAN(_xlfn._xlws.FILTER(INDEX( AJ$55:AJ$96, MAX( COUNT( AK$9:AK$50 )  - $B154 + 1, 1)) : INDEX( AJ$55:AJ$96, MAX( COUNT( AK$9:AK$50 )  - $C154 + 1, 1)), INDEX( AJ$101:AJ$142, MAX( COUNT( AK$9:AK$50 )  - $B154 + 1, 1)) : INDEX( AJ$101:AJ$142, MAX( COUNT( AK$9:AK$50 )  - $C154 + 1, 1)) &gt; 0)))</f>
        <v>1.0001705992507874</v>
      </c>
      <c r="AK154" s="8">
        <f>+IF(AK$8 = 125, 1, MEDIAN(_xlfn._xlws.FILTER(INDEX( AK$55:AK$96, MAX( COUNT( AL$9:AL$50 )  - $B154 + 1, 1)) : INDEX( AK$55:AK$96, MAX( COUNT( AL$9:AL$50 )  - $C154 + 1, 1)), INDEX( AK$101:AK$142, MAX( COUNT( AL$9:AL$50 )  - $B154 + 1, 1)) : INDEX( AK$101:AK$142, MAX( COUNT( AL$9:AL$50 )  - $C154 + 1, 1)) &gt; 0)))</f>
        <v>1.000162276886569</v>
      </c>
      <c r="AL154" s="8">
        <f>+IF(AL$8 = 125, 1, MEDIAN(_xlfn._xlws.FILTER(INDEX( AL$55:AL$96, MAX( COUNT( AM$9:AM$50 )  - $B154 + 1, 1)) : INDEX( AL$55:AL$96, MAX( COUNT( AM$9:AM$50 )  - $C154 + 1, 1)), INDEX( AL$101:AL$142, MAX( COUNT( AM$9:AM$50 )  - $B154 + 1, 1)) : INDEX( AL$101:AL$142, MAX( COUNT( AM$9:AM$50 )  - $C154 + 1, 1)) &gt; 0)))</f>
        <v>1.0010740791865749</v>
      </c>
      <c r="AM154" s="8">
        <f>+IF(AM$8 = 125, 1, MEDIAN(_xlfn._xlws.FILTER(INDEX( AM$55:AM$96, MAX( COUNT( AN$9:AN$50 )  - $B154 + 1, 1)) : INDEX( AM$55:AM$96, MAX( COUNT( AN$9:AN$50 )  - $C154 + 1, 1)), INDEX( AM$101:AM$142, MAX( COUNT( AN$9:AN$50 )  - $B154 + 1, 1)) : INDEX( AM$101:AM$142, MAX( COUNT( AN$9:AN$50 )  - $C154 + 1, 1)) &gt; 0)))</f>
        <v>1.0002245174458038</v>
      </c>
      <c r="AN154" s="8">
        <f>+IF(AN$8 = 125, 1, MEDIAN(_xlfn._xlws.FILTER(INDEX( AN$55:AN$96, MAX( COUNT( AO$9:AO$50 )  - $B154 + 1, 1)) : INDEX( AN$55:AN$96, MAX( COUNT( AO$9:AO$50 )  - $C154 + 1, 1)), INDEX( AN$101:AN$142, MAX( COUNT( AO$9:AO$50 )  - $B154 + 1, 1)) : INDEX( AN$101:AN$142, MAX( COUNT( AO$9:AO$50 )  - $C154 + 1, 1)) &gt; 0)))</f>
        <v>1</v>
      </c>
      <c r="AO154" s="8">
        <f>+IF(AO$8 = 125, 1, MEDIAN(_xlfn._xlws.FILTER(INDEX( AO$55:AO$96, MAX( COUNT( AP$9:AP$50 )  - $B154 + 1, 1)) : INDEX( AO$55:AO$96, MAX( COUNT( AP$9:AP$50 )  - $C154 + 1, 1)), INDEX( AO$101:AO$142, MAX( COUNT( AP$9:AP$50 )  - $B154 + 1, 1)) : INDEX( AO$101:AO$142, MAX( COUNT( AP$9:AP$50 )  - $C154 + 1, 1)) &gt; 0)))</f>
        <v>1</v>
      </c>
      <c r="AP154" s="8">
        <f>+IF(AP$8 = 125, 1, MEDIAN(_xlfn._xlws.FILTER(INDEX( AP$55:AP$96, MAX( COUNT( AQ$9:AQ$50 )  - $B154 + 1, 1)) : INDEX( AP$55:AP$96, MAX( COUNT( AQ$9:AQ$50 )  - $C154 + 1, 1)), INDEX( AP$101:AP$142, MAX( COUNT( AQ$9:AQ$50 )  - $B154 + 1, 1)) : INDEX( AP$101:AP$142, MAX( COUNT( AQ$9:AQ$50 )  - $C154 + 1, 1)) &gt; 0)))</f>
        <v>1</v>
      </c>
      <c r="AQ154" s="8">
        <f>+IF(AQ$8 = 125, 1, MEDIAN(_xlfn._xlws.FILTER(INDEX( AQ$55:AQ$96, MAX( COUNT( AR$9:AR$50 )  - $B154 + 1, 1)) : INDEX( AQ$55:AQ$96, MAX( COUNT( AR$9:AR$50 )  - $C154 + 1, 1)), INDEX( AQ$101:AQ$142, MAX( COUNT( AR$9:AR$50 )  - $B154 + 1, 1)) : INDEX( AQ$101:AQ$142, MAX( COUNT( AR$9:AR$50 )  - $C154 + 1, 1)) &gt; 0)))</f>
        <v>1.0000278318537199</v>
      </c>
      <c r="AR154" s="8">
        <f>+IF(AR$8 = 125, 1, MEDIAN(_xlfn._xlws.FILTER(INDEX( AR$55:AR$96, MAX( COUNT( AS$9:AS$50 )  - $B154 + 1, 1)) : INDEX( AR$55:AR$96, MAX( COUNT( AS$9:AS$50 )  - $C154 + 1, 1)), INDEX( AR$101:AR$142, MAX( COUNT( AS$9:AS$50 )  - $B154 + 1, 1)) : INDEX( AR$101:AR$142, MAX( COUNT( AS$9:AS$50 )  - $C154 + 1, 1)) &gt; 0)))</f>
        <v>1.000467148389875</v>
      </c>
      <c r="AS154" s="8">
        <f>+IF(AS$8 = 125, 1, MEDIAN(_xlfn._xlws.FILTER(INDEX( AS$55:AS$96, MAX( COUNT( AT$9:AT$50 )  - $B154 + 1, 1)) : INDEX( AS$55:AS$96, MAX( COUNT( AT$9:AT$50 )  - $C154 + 1, 1)), INDEX( AS$101:AS$142, MAX( COUNT( AT$9:AT$50 )  - $B154 + 1, 1)) : INDEX( AS$101:AS$142, MAX( COUNT( AT$9:AT$50 )  - $C154 + 1, 1)) &gt; 0)))</f>
        <v>1</v>
      </c>
      <c r="AT154" s="8">
        <f>+IF(AT$8 = 125, 1, MEDIAN(_xlfn._xlws.FILTER(INDEX( AT$55:AT$96, MAX( COUNT( AU$9:AU$50 )  - $B154 + 1, 1)) : INDEX( AT$55:AT$96, MAX( COUNT( AU$9:AU$50 )  - $C154 + 1, 1)), INDEX( AT$101:AT$142, MAX( COUNT( AU$9:AU$50 )  - $B154 + 1, 1)) : INDEX( AT$101:AT$142, MAX( COUNT( AU$9:AU$50 )  - $C154 + 1, 1)) &gt; 0)))</f>
        <v>1.0000645686318084</v>
      </c>
      <c r="AU154" s="8">
        <f>+IF(AU$8 = 125, 1, MEDIAN(_xlfn._xlws.FILTER(INDEX( AU$55:AU$96, MAX( COUNT( AV$9:AV$50 )  - $B154 + 1, 1)) : INDEX( AU$55:AU$96, MAX( COUNT( AV$9:AV$50 )  - $C154 + 1, 1)), INDEX( AU$101:AU$142, MAX( COUNT( AV$9:AV$50 )  - $B154 + 1, 1)) : INDEX( AU$101:AU$142, MAX( COUNT( AV$9:AV$50 )  - $C154 + 1, 1)) &gt; 0)))</f>
        <v>1.0000574756087928</v>
      </c>
      <c r="AV154" s="8">
        <f>+IF(AV$8 = 125, 1, MEDIAN(_xlfn._xlws.FILTER(INDEX( AV$55:AV$96, MAX( COUNT( AW$9:AW$50 )  - $B154 + 1, 1)) : INDEX( AV$55:AV$96, MAX( COUNT( AW$9:AW$50 )  - $C154 + 1, 1)), INDEX( AV$101:AV$142, MAX( COUNT( AW$9:AW$50 )  - $B154 + 1, 1)) : INDEX( AV$101:AV$142, MAX( COUNT( AW$9:AW$50 )  - $C154 + 1, 1)) &gt; 0)))</f>
        <v>1.000032172600825</v>
      </c>
      <c r="AW154" s="8">
        <f>+IF(AW$8 = 125, 1, MEDIAN(_xlfn._xlws.FILTER(INDEX( AW$55:AW$96, MAX( COUNT( AX$9:AX$50 )  - $B154 + 1, 1)) : INDEX( AW$55:AW$96, MAX( COUNT( AX$9:AX$50 )  - $C154 + 1, 1)), INDEX( AW$101:AW$142, MAX( COUNT( AX$9:AX$50 )  - $B154 + 1, 1)) : INDEX( AW$101:AW$142, MAX( COUNT( AX$9:AX$50 )  - $C154 + 1, 1)) &gt; 0)))</f>
        <v>1</v>
      </c>
      <c r="AX154" s="8">
        <f>+IF(AX$8 = 125, 1, MEDIAN(_xlfn._xlws.FILTER(INDEX( AX$55:AX$96, MAX( COUNT( AY$9:AY$50 )  - $B154 + 1, 1)) : INDEX( AX$55:AX$96, MAX( COUNT( AY$9:AY$50 )  - $C154 + 1, 1)), INDEX( AX$101:AX$142, MAX( COUNT( AY$9:AY$50 )  - $B154 + 1, 1)) : INDEX( AX$101:AX$142, MAX( COUNT( AY$9:AY$50 )  - $C154 + 1, 1)) &gt; 0)))</f>
        <v>1.0000073557299936</v>
      </c>
      <c r="AY154" s="8">
        <f>+IF(AY$8 = 125, 1, MEDIAN(_xlfn._xlws.FILTER(INDEX( AY$55:AY$96, MAX( COUNT( AZ$9:AZ$50 )  - $B154 + 1, 1)) : INDEX( AY$55:AY$96, MAX( COUNT( AZ$9:AZ$50 )  - $C154 + 1, 1)), INDEX( AY$101:AY$142, MAX( COUNT( AZ$9:AZ$50 )  - $B154 + 1, 1)) : INDEX( AY$101:AY$142, MAX( COUNT( AZ$9:AZ$50 )  - $C154 + 1, 1)) &gt; 0)))</f>
        <v>1.0003630509382466</v>
      </c>
      <c r="AZ154" s="8">
        <f>+IF(AZ$8 = 125, 1, MEDIAN(_xlfn._xlws.FILTER(INDEX( AZ$55:AZ$96, MAX( COUNT( BA$9:BA$50 )  - $B154 + 1, 1)) : INDEX( AZ$55:AZ$96, MAX( COUNT( BA$9:BA$50 )  - $C154 + 1, 1)), INDEX( AZ$101:AZ$142, MAX( COUNT( BA$9:BA$50 )  - $B154 + 1, 1)) : INDEX( AZ$101:AZ$142, MAX( COUNT( BA$9:BA$50 )  - $C154 + 1, 1)) &gt; 0)))</f>
        <v>1</v>
      </c>
      <c r="BA154" s="8">
        <f>+IF(BA$8 = 125, 1, MEDIAN(_xlfn._xlws.FILTER(INDEX( BA$55:BA$96, MAX( COUNT( BB$9:BB$50 )  - $B154 + 1, 1)) : INDEX( BA$55:BA$96, MAX( COUNT( BB$9:BB$50 )  - $C154 + 1, 1)), INDEX( BA$101:BA$142, MAX( COUNT( BB$9:BB$50 )  - $B154 + 1, 1)) : INDEX( BA$101:BA$142, MAX( COUNT( BB$9:BB$50 )  - $C154 + 1, 1)) &gt; 0)))</f>
        <v>1.0001082358785753</v>
      </c>
      <c r="BB154" s="8">
        <f>+IF(BB$8 = 125, 1, MEDIAN(_xlfn._xlws.FILTER(INDEX( BB$55:BB$96, MAX( COUNT( BC$9:BC$50 )  - $B154 + 1, 1)) : INDEX( BB$55:BB$96, MAX( COUNT( BC$9:BC$50 )  - $C154 + 1, 1)), INDEX( BB$101:BB$142, MAX( COUNT( BC$9:BC$50 )  - $B154 + 1, 1)) : INDEX( BB$101:BB$142, MAX( COUNT( BC$9:BC$50 )  - $C154 + 1, 1)) &gt; 0)))</f>
        <v>1</v>
      </c>
      <c r="BC154" s="8">
        <f>+IF(BC$8 = 125, 1, MEDIAN(_xlfn._xlws.FILTER(INDEX( BC$55:BC$96, MAX( COUNT( BD$9:BD$50 )  - $B154 + 1, 1)) : INDEX( BC$55:BC$96, MAX( COUNT( BD$9:BD$50 )  - $C154 + 1, 1)), INDEX( BC$101:BC$142, MAX( COUNT( BD$9:BD$50 )  - $B154 + 1, 1)) : INDEX( BC$101:BC$142, MAX( COUNT( BD$9:BD$50 )  - $C154 + 1, 1)) &gt; 0)))</f>
        <v>1.0000284447451651</v>
      </c>
      <c r="BD154" s="8">
        <f>+IF(BD$8 = 125, 1, MEDIAN(_xlfn._xlws.FILTER(INDEX( BD$55:BD$96, MAX( COUNT( BE$9:BE$50 )  - $B154 + 1, 1)) : INDEX( BD$55:BD$96, MAX( COUNT( BE$9:BE$50 )  - $C154 + 1, 1)), INDEX( BD$101:BD$142, MAX( COUNT( BE$9:BE$50 )  - $B154 + 1, 1)) : INDEX( BD$101:BD$142, MAX( COUNT( BE$9:BE$50 )  - $C154 + 1, 1)) &gt; 0)))</f>
        <v>1</v>
      </c>
      <c r="BE154" s="8">
        <f>+IF(BE$8 = 125, 1, MEDIAN(_xlfn._xlws.FILTER(INDEX( BE$55:BE$96, MAX( COUNT( BF$9:BF$50 )  - $B154 + 1, 1)) : INDEX( BE$55:BE$96, MAX( COUNT( BF$9:BF$50 )  - $C154 + 1, 1)), INDEX( BE$101:BE$142, MAX( COUNT( BF$9:BF$50 )  - $B154 + 1, 1)) : INDEX( BE$101:BE$142, MAX( COUNT( BF$9:BF$50 )  - $C154 + 1, 1)) &gt; 0)))</f>
        <v>1.0001050092422152</v>
      </c>
      <c r="BF154" s="8">
        <f>+IF(BF$8 = 125, 1, MEDIAN(_xlfn._xlws.FILTER(INDEX( BF$55:BF$96, MAX( COUNT( BG$9:BG$50 )  - $B154 + 1, 1)) : INDEX( BF$55:BF$96, MAX( COUNT( BG$9:BG$50 )  - $C154 + 1, 1)), INDEX( BF$101:BF$142, MAX( COUNT( BG$9:BG$50 )  - $B154 + 1, 1)) : INDEX( BF$101:BF$142, MAX( COUNT( BG$9:BG$50 )  - $C154 + 1, 1)) &gt; 0)))</f>
        <v>1.0002198756133893</v>
      </c>
      <c r="BG154" s="8">
        <f>+IF(BG$8 = 125, 1, MEDIAN(_xlfn._xlws.FILTER(INDEX( BG$55:BG$96, MAX( COUNT( BH$9:BH$50 )  - $B154 + 1, 1)) : INDEX( BG$55:BG$96, MAX( COUNT( BH$9:BH$50 )  - $C154 + 1, 1)), INDEX( BG$101:BG$142, MAX( COUNT( BH$9:BH$50 )  - $B154 + 1, 1)) : INDEX( BG$101:BG$142, MAX( COUNT( BH$9:BH$50 )  - $C154 + 1, 1)) &gt; 0)))</f>
        <v>1</v>
      </c>
      <c r="BH154" s="8">
        <f>+IF(BH$8 = 125, 1, MEDIAN(_xlfn._xlws.FILTER(INDEX( BH$55:BH$96, MAX( COUNT( BI$9:BI$50 )  - $B154 + 1, 1)) : INDEX( BH$55:BH$96, MAX( COUNT( BI$9:BI$50 )  - $C154 + 1, 1)), INDEX( BH$101:BH$142, MAX( COUNT( BI$9:BI$50 )  - $B154 + 1, 1)) : INDEX( BH$101:BH$142, MAX( COUNT( BI$9:BI$50 )  - $C154 + 1, 1)) &gt; 0)))</f>
        <v>1</v>
      </c>
      <c r="BI154" s="8">
        <f>+IF(BI$8 = 125, 1, MEDIAN(_xlfn._xlws.FILTER(INDEX( BI$55:BI$96, MAX( COUNT( BJ$9:BJ$50 )  - $B154 + 1, 1)) : INDEX( BI$55:BI$96, MAX( COUNT( BJ$9:BJ$50 )  - $C154 + 1, 1)), INDEX( BI$101:BI$142, MAX( COUNT( BJ$9:BJ$50 )  - $B154 + 1, 1)) : INDEX( BI$101:BI$142, MAX( COUNT( BJ$9:BJ$50 )  - $C154 + 1, 1)) &gt; 0)))</f>
        <v>1</v>
      </c>
      <c r="BJ154" s="8">
        <f>+IF(BJ$8 = 125, 1, MEDIAN(_xlfn._xlws.FILTER(INDEX( BJ$55:BJ$96, MAX( COUNT( BK$9:BK$50 )  - $B154 + 1, 1)) : INDEX( BJ$55:BJ$96, MAX( COUNT( BK$9:BK$50 )  - $C154 + 1, 1)), INDEX( BJ$101:BJ$142, MAX( COUNT( BK$9:BK$50 )  - $B154 + 1, 1)) : INDEX( BJ$101:BJ$142, MAX( COUNT( BK$9:BK$50 )  - $C154 + 1, 1)) &gt; 0)))</f>
        <v>1.0000020349705296</v>
      </c>
      <c r="BK154" s="8">
        <f>+IF(BK$8 = 125, 1, MEDIAN(_xlfn._xlws.FILTER(INDEX( BK$55:BK$96, MAX( COUNT( BL$9:BL$50 )  - $B154 + 1, 1)) : INDEX( BK$55:BK$96, MAX( COUNT( BL$9:BL$50 )  - $C154 + 1, 1)), INDEX( BK$101:BK$142, MAX( COUNT( BL$9:BL$50 )  - $B154 + 1, 1)) : INDEX( BK$101:BK$142, MAX( COUNT( BL$9:BL$50 )  - $C154 + 1, 1)) &gt; 0)))</f>
        <v>1.0000317224832018</v>
      </c>
      <c r="BL154" s="8">
        <f>+IF(BL$8 = 125, 1, MEDIAN(_xlfn._xlws.FILTER(INDEX( BL$55:BL$96, MAX( COUNT( BM$9:BM$50 )  - $B154 + 1, 1)) : INDEX( BL$55:BL$96, MAX( COUNT( BM$9:BM$50 )  - $C154 + 1, 1)), INDEX( BL$101:BL$142, MAX( COUNT( BM$9:BM$50 )  - $B154 + 1, 1)) : INDEX( BL$101:BL$142, MAX( COUNT( BM$9:BM$50 )  - $C154 + 1, 1)) &gt; 0)))</f>
        <v>1.0004001466794161</v>
      </c>
      <c r="BM154" s="8">
        <f>+IF(BM$8 = 125, 1, MEDIAN(_xlfn._xlws.FILTER(INDEX( BM$55:BM$96, MAX( COUNT( BN$9:BN$50 )  - $B154 + 1, 1)) : INDEX( BM$55:BM$96, MAX( COUNT( BN$9:BN$50 )  - $C154 + 1, 1)), INDEX( BM$101:BM$142, MAX( COUNT( BN$9:BN$50 )  - $B154 + 1, 1)) : INDEX( BM$101:BM$142, MAX( COUNT( BN$9:BN$50 )  - $C154 + 1, 1)) &gt; 0)))</f>
        <v>1.0000300025558899</v>
      </c>
      <c r="BN154" s="8">
        <f>+IF(BN$8 = 125, 1, MEDIAN(_xlfn._xlws.FILTER(INDEX( BN$55:BN$96, MAX( COUNT( BO$9:BO$50 )  - $B154 + 1, 1)) : INDEX( BN$55:BN$96, MAX( COUNT( BO$9:BO$50 )  - $C154 + 1, 1)), INDEX( BN$101:BN$142, MAX( COUNT( BO$9:BO$50 )  - $B154 + 1, 1)) : INDEX( BN$101:BN$142, MAX( COUNT( BO$9:BO$50 )  - $C154 + 1, 1)) &gt; 0)))</f>
        <v>1.0002433521288991</v>
      </c>
      <c r="BO154" s="8">
        <f>+IF(BO$8 = 125, 1, MEDIAN(_xlfn._xlws.FILTER(INDEX( BO$55:BO$96, MAX( COUNT( BP$9:BP$50 )  - $B154 + 1, 1)) : INDEX( BO$55:BO$96, MAX( COUNT( BP$9:BP$50 )  - $C154 + 1, 1)), INDEX( BO$101:BO$142, MAX( COUNT( BP$9:BP$50 )  - $B154 + 1, 1)) : INDEX( BO$101:BO$142, MAX( COUNT( BP$9:BP$50 )  - $C154 + 1, 1)) &gt; 0)))</f>
        <v>1.0003709958468072</v>
      </c>
      <c r="BP154" s="8">
        <f>+IF(BP$8 = 125, 1, MEDIAN(_xlfn._xlws.FILTER(INDEX( BP$55:BP$96, MAX( COUNT( BQ$9:BQ$50 )  - $B154 + 1, 1)) : INDEX( BP$55:BP$96, MAX( COUNT( BQ$9:BQ$50 )  - $C154 + 1, 1)), INDEX( BP$101:BP$142, MAX( COUNT( BQ$9:BQ$50 )  - $B154 + 1, 1)) : INDEX( BP$101:BP$142, MAX( COUNT( BQ$9:BQ$50 )  - $C154 + 1, 1)) &gt; 0)))</f>
        <v>1.0001933407283112</v>
      </c>
      <c r="BQ154" s="8">
        <f>+IF(BQ$8 = 125, 1, MEDIAN(_xlfn._xlws.FILTER(INDEX( BQ$55:BQ$96, MAX( COUNT( BR$9:BR$50 )  - $B154 + 1, 1)) : INDEX( BQ$55:BQ$96, MAX( COUNT( BR$9:BR$50 )  - $C154 + 1, 1)), INDEX( BQ$101:BQ$142, MAX( COUNT( BR$9:BR$50 )  - $B154 + 1, 1)) : INDEX( BQ$101:BQ$142, MAX( COUNT( BR$9:BR$50 )  - $C154 + 1, 1)) &gt; 0)))</f>
        <v>1</v>
      </c>
      <c r="BR154" s="8">
        <f>+IF(BR$8 = 125, 1, MEDIAN(_xlfn._xlws.FILTER(INDEX( BR$55:BR$96, MAX( COUNT( BS$9:BS$50 )  - $B154 + 1, 1)) : INDEX( BR$55:BR$96, MAX( COUNT( BS$9:BS$50 )  - $C154 + 1, 1)), INDEX( BR$101:BR$142, MAX( COUNT( BS$9:BS$50 )  - $B154 + 1, 1)) : INDEX( BR$101:BR$142, MAX( COUNT( BS$9:BS$50 )  - $C154 + 1, 1)) &gt; 0)))</f>
        <v>1.0000695870659393</v>
      </c>
      <c r="BS154" s="8">
        <f>+IF(BS$8 = 125, 1, MEDIAN(_xlfn._xlws.FILTER(INDEX( BS$55:BS$96, MAX( COUNT( BT$9:BT$50 )  - $B154 + 1, 1)) : INDEX( BS$55:BS$96, MAX( COUNT( BT$9:BT$50 )  - $C154 + 1, 1)), INDEX( BS$101:BS$142, MAX( COUNT( BT$9:BT$50 )  - $B154 + 1, 1)) : INDEX( BS$101:BS$142, MAX( COUNT( BT$9:BT$50 )  - $C154 + 1, 1)) &gt; 0)))</f>
        <v>1.0000319427775137</v>
      </c>
      <c r="BT154" s="8">
        <f>+IF(BT$8 = 125, 1, MEDIAN(_xlfn._xlws.FILTER(INDEX( BT$55:BT$96, MAX( COUNT( BU$9:BU$50 )  - $B154 + 1, 1)) : INDEX( BT$55:BT$96, MAX( COUNT( BU$9:BU$50 )  - $C154 + 1, 1)), INDEX( BT$101:BT$142, MAX( COUNT( BU$9:BU$50 )  - $B154 + 1, 1)) : INDEX( BT$101:BT$142, MAX( COUNT( BU$9:BU$50 )  - $C154 + 1, 1)) &gt; 0)))</f>
        <v>1</v>
      </c>
      <c r="BU154" s="8">
        <f>+IF(BU$8 = 125, 1, MEDIAN(_xlfn._xlws.FILTER(INDEX( BU$55:BU$96, MAX( COUNT( BV$9:BV$50 )  - $B154 + 1, 1)) : INDEX( BU$55:BU$96, MAX( COUNT( BV$9:BV$50 )  - $C154 + 1, 1)), INDEX( BU$101:BU$142, MAX( COUNT( BV$9:BV$50 )  - $B154 + 1, 1)) : INDEX( BU$101:BU$142, MAX( COUNT( BV$9:BV$50 )  - $C154 + 1, 1)) &gt; 0)))</f>
        <v>1.0000321389750977</v>
      </c>
      <c r="BV154" s="8">
        <f>+IF(BV$8 = 125, 1, MEDIAN(_xlfn._xlws.FILTER(INDEX( BV$55:BV$96, MAX( COUNT( BW$9:BW$50 )  - $B154 + 1, 1)) : INDEX( BV$55:BV$96, MAX( COUNT( BW$9:BW$50 )  - $C154 + 1, 1)), INDEX( BV$101:BV$142, MAX( COUNT( BW$9:BW$50 )  - $B154 + 1, 1)) : INDEX( BV$101:BV$142, MAX( COUNT( BW$9:BW$50 )  - $C154 + 1, 1)) &gt; 0)))</f>
        <v>1.000072291666523</v>
      </c>
      <c r="BW154" s="8">
        <f>+IF(BW$8 = 125, 1, MEDIAN(_xlfn._xlws.FILTER(INDEX( BW$55:BW$96, MAX( COUNT( BX$9:BX$50 )  - $B154 + 1, 1)) : INDEX( BW$55:BW$96, MAX( COUNT( BX$9:BX$50 )  - $C154 + 1, 1)), INDEX( BW$101:BW$142, MAX( COUNT( BX$9:BX$50 )  - $B154 + 1, 1)) : INDEX( BW$101:BW$142, MAX( COUNT( BX$9:BX$50 )  - $C154 + 1, 1)) &gt; 0)))</f>
        <v>1</v>
      </c>
      <c r="BX154" s="8">
        <f>+IF(BX$8 = 125, 1, MEDIAN(_xlfn._xlws.FILTER(INDEX( BX$55:BX$96, MAX( COUNT( BY$9:BY$50 )  - $B154 + 1, 1)) : INDEX( BX$55:BX$96, MAX( COUNT( BY$9:BY$50 )  - $C154 + 1, 1)), INDEX( BX$101:BX$142, MAX( COUNT( BY$9:BY$50 )  - $B154 + 1, 1)) : INDEX( BX$101:BX$142, MAX( COUNT( BY$9:BY$50 )  - $C154 + 1, 1)) &gt; 0)))</f>
        <v>1.0005719035371676</v>
      </c>
      <c r="BY154" s="8">
        <f>+IF(BY$8 = 125, 1, MEDIAN(_xlfn._xlws.FILTER(INDEX( BY$55:BY$96, MAX( COUNT( BZ$9:BZ$50 )  - $B154 + 1, 1)) : INDEX( BY$55:BY$96, MAX( COUNT( BZ$9:BZ$50 )  - $C154 + 1, 1)), INDEX( BY$101:BY$142, MAX( COUNT( BZ$9:BZ$50 )  - $B154 + 1, 1)) : INDEX( BY$101:BY$142, MAX( COUNT( BZ$9:BZ$50 )  - $C154 + 1, 1)) &gt; 0)))</f>
        <v>1</v>
      </c>
      <c r="BZ154" s="8">
        <f>+IF(BZ$8 = 125, 1, MEDIAN(_xlfn._xlws.FILTER(INDEX( BZ$55:BZ$96, MAX( COUNT( CA$9:CA$50 )  - $B154 + 1, 1)) : INDEX( BZ$55:BZ$96, MAX( COUNT( CA$9:CA$50 )  - $C154 + 1, 1)), INDEX( BZ$101:BZ$142, MAX( COUNT( CA$9:CA$50 )  - $B154 + 1, 1)) : INDEX( BZ$101:BZ$142, MAX( COUNT( CA$9:CA$50 )  - $C154 + 1, 1)) &gt; 0)))</f>
        <v>1.0000612267782398</v>
      </c>
      <c r="CA154" s="8">
        <f>+IF(CA$8 = 125, 1, MEDIAN(_xlfn._xlws.FILTER(INDEX( CA$55:CA$96, MAX( COUNT( CB$9:CB$50 )  - $B154 + 1, 1)) : INDEX( CA$55:CA$96, MAX( COUNT( CB$9:CB$50 )  - $C154 + 1, 1)), INDEX( CA$101:CA$142, MAX( COUNT( CB$9:CB$50 )  - $B154 + 1, 1)) : INDEX( CA$101:CA$142, MAX( COUNT( CB$9:CB$50 )  - $C154 + 1, 1)) &gt; 0)))</f>
        <v>1.000065590398018</v>
      </c>
      <c r="CB154" s="8">
        <f>+IF(CB$8 = 125, 1, MEDIAN(_xlfn._xlws.FILTER(INDEX( CB$55:CB$96, MAX( COUNT( CC$9:CC$50 )  - $B154 + 1, 1)) : INDEX( CB$55:CB$96, MAX( COUNT( CC$9:CC$50 )  - $C154 + 1, 1)), INDEX( CB$101:CB$142, MAX( COUNT( CC$9:CC$50 )  - $B154 + 1, 1)) : INDEX( CB$101:CB$142, MAX( COUNT( CC$9:CC$50 )  - $C154 + 1, 1)) &gt; 0)))</f>
        <v>1.0001039655828117</v>
      </c>
      <c r="CC154" s="8">
        <f>+IF(CC$8 = 125, 1, MEDIAN(_xlfn._xlws.FILTER(INDEX( CC$55:CC$96, MAX( COUNT( CD$9:CD$50 )  - $B154 + 1, 1)) : INDEX( CC$55:CC$96, MAX( COUNT( CD$9:CD$50 )  - $C154 + 1, 1)), INDEX( CC$101:CC$142, MAX( COUNT( CD$9:CD$50 )  - $B154 + 1, 1)) : INDEX( CC$101:CC$142, MAX( COUNT( CD$9:CD$50 )  - $C154 + 1, 1)) &gt; 0)))</f>
        <v>1.0000628387579482</v>
      </c>
      <c r="CD154" s="8">
        <f>+IF(CD$8 = 125, 1, MEDIAN(_xlfn._xlws.FILTER(INDEX( CD$55:CD$96, MAX( COUNT( CE$9:CE$50 )  - $B154 + 1, 1)) : INDEX( CD$55:CD$96, MAX( COUNT( CE$9:CE$50 )  - $C154 + 1, 1)), INDEX( CD$101:CD$142, MAX( COUNT( CE$9:CE$50 )  - $B154 + 1, 1)) : INDEX( CD$101:CD$142, MAX( COUNT( CE$9:CE$50 )  - $C154 + 1, 1)) &gt; 0)))</f>
        <v>1</v>
      </c>
      <c r="CE154" s="8">
        <f>+IF(CE$8 = 125, 1, MEDIAN(_xlfn._xlws.FILTER(INDEX( CE$55:CE$96, MAX( COUNT( CF$9:CF$50 )  - $B154 + 1, 1)) : INDEX( CE$55:CE$96, MAX( COUNT( CF$9:CF$50 )  - $C154 + 1, 1)), INDEX( CE$101:CE$142, MAX( COUNT( CF$9:CF$50 )  - $B154 + 1, 1)) : INDEX( CE$101:CE$142, MAX( COUNT( CF$9:CF$50 )  - $C154 + 1, 1)) &gt; 0)))</f>
        <v>1.0001183779867273</v>
      </c>
      <c r="CF154" s="8">
        <f>+IF(CF$8 = 125, 1, MEDIAN(_xlfn._xlws.FILTER(INDEX( CF$55:CF$96, MAX( COUNT( CG$9:CG$50 )  - $B154 + 1, 1)) : INDEX( CF$55:CF$96, MAX( COUNT( CG$9:CG$50 )  - $C154 + 1, 1)), INDEX( CF$101:CF$142, MAX( COUNT( CG$9:CG$50 )  - $B154 + 1, 1)) : INDEX( CF$101:CF$142, MAX( COUNT( CG$9:CG$50 )  - $C154 + 1, 1)) &gt; 0)))</f>
        <v>1.0000415547158958</v>
      </c>
      <c r="CG154" s="8">
        <f>+IF(CG$8 = 125, 1, MEDIAN(_xlfn._xlws.FILTER(INDEX( CG$55:CG$96, MAX( COUNT( CH$9:CH$50 )  - $B154 + 1, 1)) : INDEX( CG$55:CG$96, MAX( COUNT( CH$9:CH$50 )  - $C154 + 1, 1)), INDEX( CG$101:CG$142, MAX( COUNT( CH$9:CH$50 )  - $B154 + 1, 1)) : INDEX( CG$101:CG$142, MAX( COUNT( CH$9:CH$50 )  - $C154 + 1, 1)) &gt; 0)))</f>
        <v>1.0001580175176548</v>
      </c>
      <c r="CH154" s="8">
        <f>+IF(CH$8 = 125, 1, MEDIAN(_xlfn._xlws.FILTER(INDEX( CH$55:CH$96, MAX( COUNT( CI$9:CI$50 )  - $B154 + 1, 1)) : INDEX( CH$55:CH$96, MAX( COUNT( CI$9:CI$50 )  - $C154 + 1, 1)), INDEX( CH$101:CH$142, MAX( COUNT( CI$9:CI$50 )  - $B154 + 1, 1)) : INDEX( CH$101:CH$142, MAX( COUNT( CI$9:CI$50 )  - $C154 + 1, 1)) &gt; 0)))</f>
        <v>1.0002652457891275</v>
      </c>
      <c r="CI154" s="8">
        <f>+IF(CI$8 = 125, 1, MEDIAN(_xlfn._xlws.FILTER(INDEX( CI$55:CI$96, MAX( COUNT( CJ$9:CJ$50 )  - $B154 + 1, 1)) : INDEX( CI$55:CI$96, MAX( COUNT( CJ$9:CJ$50 )  - $C154 + 1, 1)), INDEX( CI$101:CI$142, MAX( COUNT( CJ$9:CJ$50 )  - $B154 + 1, 1)) : INDEX( CI$101:CI$142, MAX( COUNT( CJ$9:CJ$50 )  - $C154 + 1, 1)) &gt; 0)))</f>
        <v>1</v>
      </c>
      <c r="CJ154" s="8">
        <f>+IF(CJ$8 = 125, 1, MEDIAN(_xlfn._xlws.FILTER(INDEX( CJ$55:CJ$96, MAX( COUNT( CK$9:CK$50 )  - $B154 + 1, 1)) : INDEX( CJ$55:CJ$96, MAX( COUNT( CK$9:CK$50 )  - $C154 + 1, 1)), INDEX( CJ$101:CJ$142, MAX( COUNT( CK$9:CK$50 )  - $B154 + 1, 1)) : INDEX( CJ$101:CJ$142, MAX( COUNT( CK$9:CK$50 )  - $C154 + 1, 1)) &gt; 0)))</f>
        <v>1.0003292061511355</v>
      </c>
      <c r="CK154" s="8">
        <f>+IF(CK$8 = 125, 1, MEDIAN(_xlfn._xlws.FILTER(INDEX( CK$55:CK$96, MAX( COUNT( CL$9:CL$50 )  - $B154 + 1, 1)) : INDEX( CK$55:CK$96, MAX( COUNT( CL$9:CL$50 )  - $C154 + 1, 1)), INDEX( CK$101:CK$142, MAX( COUNT( CL$9:CL$50 )  - $B154 + 1, 1)) : INDEX( CK$101:CK$142, MAX( COUNT( CL$9:CL$50 )  - $C154 + 1, 1)) &gt; 0)))</f>
        <v>1</v>
      </c>
      <c r="CL154" s="8">
        <f>+IF(CL$8 = 125, 1, MEDIAN(_xlfn._xlws.FILTER(INDEX( CL$55:CL$96, MAX( COUNT( CM$9:CM$50 )  - $B154 + 1, 1)) : INDEX( CL$55:CL$96, MAX( COUNT( CM$9:CM$50 )  - $C154 + 1, 1)), INDEX( CL$101:CL$142, MAX( COUNT( CM$9:CM$50 )  - $B154 + 1, 1)) : INDEX( CL$101:CL$142, MAX( COUNT( CM$9:CM$50 )  - $C154 + 1, 1)) &gt; 0)))</f>
        <v>1.000051365450509</v>
      </c>
      <c r="CM154" s="8">
        <f>+IF(CM$8 = 125, 1, MEDIAN(_xlfn._xlws.FILTER(INDEX( CM$55:CM$96, MAX( COUNT( CN$9:CN$50 )  - $B154 + 1, 1)) : INDEX( CM$55:CM$96, MAX( COUNT( CN$9:CN$50 )  - $C154 + 1, 1)), INDEX( CM$101:CM$142, MAX( COUNT( CN$9:CN$50 )  - $B154 + 1, 1)) : INDEX( CM$101:CM$142, MAX( COUNT( CN$9:CN$50 )  - $C154 + 1, 1)) &gt; 0)))</f>
        <v>1.000890548605804</v>
      </c>
      <c r="CN154" s="8">
        <f>+IF(CN$8 = 125, 1, MEDIAN(_xlfn._xlws.FILTER(INDEX( CN$55:CN$96, MAX( COUNT( CO$9:CO$50 )  - $B154 + 1, 1)) : INDEX( CN$55:CN$96, MAX( COUNT( CO$9:CO$50 )  - $C154 + 1, 1)), INDEX( CN$101:CN$142, MAX( COUNT( CO$9:CO$50 )  - $B154 + 1, 1)) : INDEX( CN$101:CN$142, MAX( COUNT( CO$9:CO$50 )  - $C154 + 1, 1)) &gt; 0)))</f>
        <v>1.0000320099874682</v>
      </c>
      <c r="CO154" s="8">
        <f>+IF(CO$8 = 125, 1, MEDIAN(_xlfn._xlws.FILTER(INDEX( CO$55:CO$96, MAX( COUNT( CP$9:CP$50 )  - $B154 + 1, 1)) : INDEX( CO$55:CO$96, MAX( COUNT( CP$9:CP$50 )  - $C154 + 1, 1)), INDEX( CO$101:CO$142, MAX( COUNT( CP$9:CP$50 )  - $B154 + 1, 1)) : INDEX( CO$101:CO$142, MAX( COUNT( CP$9:CP$50 )  - $C154 + 1, 1)) &gt; 0)))</f>
        <v>1.0009808604721597</v>
      </c>
      <c r="CP154" s="8">
        <f>+IF(CP$8 = 125, 1, MEDIAN(_xlfn._xlws.FILTER(INDEX( CP$55:CP$96, MAX( COUNT( CQ$9:CQ$50 )  - $B154 + 1, 1)) : INDEX( CP$55:CP$96, MAX( COUNT( CQ$9:CQ$50 )  - $C154 + 1, 1)), INDEX( CP$101:CP$142, MAX( COUNT( CQ$9:CQ$50 )  - $B154 + 1, 1)) : INDEX( CP$101:CP$142, MAX( COUNT( CQ$9:CQ$50 )  - $C154 + 1, 1)) &gt; 0)))</f>
        <v>1</v>
      </c>
      <c r="CQ154" s="8">
        <f>+IF(CQ$8 = 125, 1, MEDIAN(_xlfn._xlws.FILTER(INDEX( CQ$55:CQ$96, MAX( COUNT( CR$9:CR$50 )  - $B154 + 1, 1)) : INDEX( CQ$55:CQ$96, MAX( COUNT( CR$9:CR$50 )  - $C154 + 1, 1)), INDEX( CQ$101:CQ$142, MAX( COUNT( CR$9:CR$50 )  - $B154 + 1, 1)) : INDEX( CQ$101:CQ$142, MAX( COUNT( CR$9:CR$50 )  - $C154 + 1, 1)) &gt; 0)))</f>
        <v>1</v>
      </c>
      <c r="CR154" s="8">
        <f>+IF(CR$8 = 125, 1, MEDIAN(_xlfn._xlws.FILTER(INDEX( CR$55:CR$96, MAX( COUNT( CS$9:CS$50 )  - $B154 + 1, 1)) : INDEX( CR$55:CR$96, MAX( COUNT( CS$9:CS$50 )  - $C154 + 1, 1)), INDEX( CR$101:CR$142, MAX( COUNT( CS$9:CS$50 )  - $B154 + 1, 1)) : INDEX( CR$101:CR$142, MAX( COUNT( CS$9:CS$50 )  - $C154 + 1, 1)) &gt; 0)))</f>
        <v>1.0007855336738298</v>
      </c>
      <c r="CS154" s="8">
        <f>+IF(CS$8 = 125, 1, MEDIAN(_xlfn._xlws.FILTER(INDEX( CS$55:CS$96, MAX( COUNT( CT$9:CT$50 )  - $B154 + 1, 1)) : INDEX( CS$55:CS$96, MAX( COUNT( CT$9:CT$50 )  - $C154 + 1, 1)), INDEX( CS$101:CS$142, MAX( COUNT( CT$9:CT$50 )  - $B154 + 1, 1)) : INDEX( CS$101:CS$142, MAX( COUNT( CT$9:CT$50 )  - $C154 + 1, 1)) &gt; 0)))</f>
        <v>1.0001734966889444</v>
      </c>
      <c r="CT154" s="8">
        <f>+IF(CT$8 = 125, 1, MEDIAN(_xlfn._xlws.FILTER(INDEX( CT$55:CT$96, MAX( COUNT( CU$9:CU$50 )  - $B154 + 1, 1)) : INDEX( CT$55:CT$96, MAX( COUNT( CU$9:CU$50 )  - $C154 + 1, 1)), INDEX( CT$101:CT$142, MAX( COUNT( CU$9:CU$50 )  - $B154 + 1, 1)) : INDEX( CT$101:CT$142, MAX( COUNT( CU$9:CU$50 )  - $C154 + 1, 1)) &gt; 0)))</f>
        <v>1.000031293692742</v>
      </c>
      <c r="CU154" s="8">
        <f>+IF(CU$8 = 125, 1, MEDIAN(_xlfn._xlws.FILTER(INDEX( CU$55:CU$96, MAX( COUNT( CV$9:CV$50 )  - $B154 + 1, 1)) : INDEX( CU$55:CU$96, MAX( COUNT( CV$9:CV$50 )  - $C154 + 1, 1)), INDEX( CU$101:CU$142, MAX( COUNT( CV$9:CV$50 )  - $B154 + 1, 1)) : INDEX( CU$101:CU$142, MAX( COUNT( CV$9:CV$50 )  - $C154 + 1, 1)) &gt; 0)))</f>
        <v>1</v>
      </c>
      <c r="CV154" s="8">
        <f>+IF(CV$8 = 125, 1, MEDIAN(_xlfn._xlws.FILTER(INDEX( CV$55:CV$96, MAX( COUNT( CW$9:CW$50 )  - $B154 + 1, 1)) : INDEX( CV$55:CV$96, MAX( COUNT( CW$9:CW$50 )  - $C154 + 1, 1)), INDEX( CV$101:CV$142, MAX( COUNT( CW$9:CW$50 )  - $B154 + 1, 1)) : INDEX( CV$101:CV$142, MAX( COUNT( CW$9:CW$50 )  - $C154 + 1, 1)) &gt; 0)))</f>
        <v>1</v>
      </c>
      <c r="CW154" s="8">
        <f>+IF(CW$8 = 125, 1, MEDIAN(_xlfn._xlws.FILTER(INDEX( CW$55:CW$96, MAX( COUNT( CX$9:CX$50 )  - $B154 + 1, 1)) : INDEX( CW$55:CW$96, MAX( COUNT( CX$9:CX$50 )  - $C154 + 1, 1)), INDEX( CW$101:CW$142, MAX( COUNT( CX$9:CX$50 )  - $B154 + 1, 1)) : INDEX( CW$101:CW$142, MAX( COUNT( CX$9:CX$50 )  - $C154 + 1, 1)) &gt; 0)))</f>
        <v>1.0001763983053162</v>
      </c>
      <c r="CX154" s="8">
        <f>+IF(CX$8 = 125, 1, MEDIAN(_xlfn._xlws.FILTER(INDEX( CX$55:CX$96, MAX( COUNT( CY$9:CY$50 )  - $B154 + 1, 1)) : INDEX( CX$55:CX$96, MAX( COUNT( CY$9:CY$50 )  - $C154 + 1, 1)), INDEX( CX$101:CX$142, MAX( COUNT( CY$9:CY$50 )  - $B154 + 1, 1)) : INDEX( CX$101:CX$142, MAX( COUNT( CY$9:CY$50 )  - $C154 + 1, 1)) &gt; 0)))</f>
        <v>1.0003807997006509</v>
      </c>
      <c r="CY154" s="8">
        <f>+IF(CY$8 = 125, 1, MEDIAN(_xlfn._xlws.FILTER(INDEX( CY$55:CY$96, MAX( COUNT( CZ$9:CZ$50 )  - $B154 + 1, 1)) : INDEX( CY$55:CY$96, MAX( COUNT( CZ$9:CZ$50 )  - $C154 + 1, 1)), INDEX( CY$101:CY$142, MAX( COUNT( CZ$9:CZ$50 )  - $B154 + 1, 1)) : INDEX( CY$101:CY$142, MAX( COUNT( CZ$9:CZ$50 )  - $C154 + 1, 1)) &gt; 0)))</f>
        <v>1.0007407655987326</v>
      </c>
      <c r="CZ154" s="8">
        <f>+IF(CZ$8 = 125, 1, MEDIAN(_xlfn._xlws.FILTER(INDEX( CZ$55:CZ$96, MAX( COUNT( DA$9:DA$50 )  - $B154 + 1, 1)) : INDEX( CZ$55:CZ$96, MAX( COUNT( DA$9:DA$50 )  - $C154 + 1, 1)), INDEX( CZ$101:CZ$142, MAX( COUNT( DA$9:DA$50 )  - $B154 + 1, 1)) : INDEX( CZ$101:CZ$142, MAX( COUNT( DA$9:DA$50 )  - $C154 + 1, 1)) &gt; 0)))</f>
        <v>1.0003643269405273</v>
      </c>
      <c r="DA154" s="8">
        <f>+IF(DA$8 = 125, 1, MEDIAN(_xlfn._xlws.FILTER(INDEX( DA$55:DA$96, MAX( COUNT( DB$9:DB$50 )  - $B154 + 1, 1)) : INDEX( DA$55:DA$96, MAX( COUNT( DB$9:DB$50 )  - $C154 + 1, 1)), INDEX( DA$101:DA$142, MAX( COUNT( DB$9:DB$50 )  - $B154 + 1, 1)) : INDEX( DA$101:DA$142, MAX( COUNT( DB$9:DB$50 )  - $C154 + 1, 1)) &gt; 0)))</f>
        <v>1.0002581079475683</v>
      </c>
      <c r="DB154" s="8">
        <f>+IF(DB$8 = 125, 1, MEDIAN(_xlfn._xlws.FILTER(INDEX( DB$55:DB$96, MAX( COUNT( DC$9:DC$50 )  - $B154 + 1, 1)) : INDEX( DB$55:DB$96, MAX( COUNT( DC$9:DC$50 )  - $C154 + 1, 1)), INDEX( DB$101:DB$142, MAX( COUNT( DC$9:DC$50 )  - $B154 + 1, 1)) : INDEX( DB$101:DB$142, MAX( COUNT( DC$9:DC$50 )  - $C154 + 1, 1)) &gt; 0)))</f>
        <v>1</v>
      </c>
      <c r="DC154" s="8">
        <f>+IF(DC$8 = 125, 1, MEDIAN(_xlfn._xlws.FILTER(INDEX( DC$55:DC$96, MAX( COUNT( DD$9:DD$50 )  - $B154 + 1, 1)) : INDEX( DC$55:DC$96, MAX( COUNT( DD$9:DD$50 )  - $C154 + 1, 1)), INDEX( DC$101:DC$142, MAX( COUNT( DD$9:DD$50 )  - $B154 + 1, 1)) : INDEX( DC$101:DC$142, MAX( COUNT( DD$9:DD$50 )  - $C154 + 1, 1)) &gt; 0)))</f>
        <v>1.00004149633077</v>
      </c>
      <c r="DD154" s="8">
        <f>+IF(DD$8 = 125, 1, MEDIAN(_xlfn._xlws.FILTER(INDEX( DD$55:DD$96, MAX( COUNT( DE$9:DE$50 )  - $B154 + 1, 1)) : INDEX( DD$55:DD$96, MAX( COUNT( DE$9:DE$50 )  - $C154 + 1, 1)), INDEX( DD$101:DD$142, MAX( COUNT( DE$9:DE$50 )  - $B154 + 1, 1)) : INDEX( DD$101:DD$142, MAX( COUNT( DE$9:DE$50 )  - $C154 + 1, 1)) &gt; 0)))</f>
        <v>1</v>
      </c>
      <c r="DE154" s="8">
        <f>+IF(DE$8 = 125, 1, MEDIAN(_xlfn._xlws.FILTER(INDEX( DE$55:DE$96, MAX( COUNT( DF$9:DF$50 )  - $B154 + 1, 1)) : INDEX( DE$55:DE$96, MAX( COUNT( DF$9:DF$50 )  - $C154 + 1, 1)), INDEX( DE$101:DE$142, MAX( COUNT( DF$9:DF$50 )  - $B154 + 1, 1)) : INDEX( DE$101:DE$142, MAX( COUNT( DF$9:DF$50 )  - $C154 + 1, 1)) &gt; 0)))</f>
        <v>1.0001352576581071</v>
      </c>
      <c r="DF154" s="8">
        <f>+IF(DF$8 = 125, 1, MEDIAN(_xlfn._xlws.FILTER(INDEX( DF$55:DF$96, MAX( COUNT( DG$9:DG$50 )  - $B154 + 1, 1)) : INDEX( DF$55:DF$96, MAX( COUNT( DG$9:DG$50 )  - $C154 + 1, 1)), INDEX( DF$101:DF$142, MAX( COUNT( DG$9:DG$50 )  - $B154 + 1, 1)) : INDEX( DF$101:DF$142, MAX( COUNT( DG$9:DG$50 )  - $C154 + 1, 1)) &gt; 0)))</f>
        <v>1</v>
      </c>
      <c r="DG154" s="8">
        <f>+IF(DG$8 = 125, 1, MEDIAN(_xlfn._xlws.FILTER(INDEX( DG$55:DG$96, MAX( COUNT( DH$9:DH$50 )  - $B154 + 1, 1)) : INDEX( DG$55:DG$96, MAX( COUNT( DH$9:DH$50 )  - $C154 + 1, 1)), INDEX( DG$101:DG$142, MAX( COUNT( DH$9:DH$50 )  - $B154 + 1, 1)) : INDEX( DG$101:DG$142, MAX( COUNT( DH$9:DH$50 )  - $C154 + 1, 1)) &gt; 0)))</f>
        <v>1</v>
      </c>
      <c r="DH154" s="8">
        <f>+IF(DH$8 = 125, 1, MEDIAN(_xlfn._xlws.FILTER(INDEX( DH$55:DH$96, MAX( COUNT( DI$9:DI$50 )  - $B154 + 1, 1)) : INDEX( DH$55:DH$96, MAX( COUNT( DI$9:DI$50 )  - $C154 + 1, 1)), INDEX( DH$101:DH$142, MAX( COUNT( DI$9:DI$50 )  - $B154 + 1, 1)) : INDEX( DH$101:DH$142, MAX( COUNT( DI$9:DI$50 )  - $C154 + 1, 1)) &gt; 0)))</f>
        <v>1</v>
      </c>
      <c r="DI154" s="8">
        <f>+IF(DI$8 = 125, 1, MEDIAN(_xlfn._xlws.FILTER(INDEX( DI$55:DI$96, MAX( COUNT( DJ$9:DJ$50 )  - $B154 + 1, 1)) : INDEX( DI$55:DI$96, MAX( COUNT( DJ$9:DJ$50 )  - $C154 + 1, 1)), INDEX( DI$101:DI$142, MAX( COUNT( DJ$9:DJ$50 )  - $B154 + 1, 1)) : INDEX( DI$101:DI$142, MAX( COUNT( DJ$9:DJ$50 )  - $C154 + 1, 1)) &gt; 0)))</f>
        <v>1.0000534790220885</v>
      </c>
      <c r="DJ154" s="8">
        <f>+IF(DJ$8 = 125, 1, MEDIAN(_xlfn._xlws.FILTER(INDEX( DJ$55:DJ$96, MAX( COUNT( DK$9:DK$50 )  - $B154 + 1, 1)) : INDEX( DJ$55:DJ$96, MAX( COUNT( DK$9:DK$50 )  - $C154 + 1, 1)), INDEX( DJ$101:DJ$142, MAX( COUNT( DK$9:DK$50 )  - $B154 + 1, 1)) : INDEX( DJ$101:DJ$142, MAX( COUNT( DK$9:DK$50 )  - $C154 + 1, 1)) &gt; 0)))</f>
        <v>1.0002564274453061</v>
      </c>
      <c r="DK154" s="8">
        <f>+IF(DK$8 = 125, 1, MEDIAN(_xlfn._xlws.FILTER(INDEX( DK$55:DK$96, MAX( COUNT( DL$9:DL$50 )  - $B154 + 1, 1)) : INDEX( DK$55:DK$96, MAX( COUNT( DL$9:DL$50 )  - $C154 + 1, 1)), INDEX( DK$101:DK$142, MAX( COUNT( DL$9:DL$50 )  - $B154 + 1, 1)) : INDEX( DK$101:DK$142, MAX( COUNT( DL$9:DL$50 )  - $C154 + 1, 1)) &gt; 0)))</f>
        <v>1.0008740125741997</v>
      </c>
      <c r="DL154" s="8">
        <f>+IF(DL$8 = 125, 1, MEDIAN(_xlfn._xlws.FILTER(INDEX( DL$55:DL$96, MAX( COUNT( DM$9:DM$50 )  - $B154 + 1, 1)) : INDEX( DL$55:DL$96, MAX( COUNT( DM$9:DM$50 )  - $C154 + 1, 1)), INDEX( DL$101:DL$142, MAX( COUNT( DM$9:DM$50 )  - $B154 + 1, 1)) : INDEX( DL$101:DL$142, MAX( COUNT( DM$9:DM$50 )  - $C154 + 1, 1)) &gt; 0)))</f>
        <v>1.0004151423543806</v>
      </c>
      <c r="DM154" s="8">
        <f>+IF(DM$8 = 125, 1, MEDIAN(_xlfn._xlws.FILTER(INDEX( DM$55:DM$96, MAX( COUNT( DN$9:DN$50 )  - $B154 + 1, 1)) : INDEX( DM$55:DM$96, MAX( COUNT( DN$9:DN$50 )  - $C154 + 1, 1)), INDEX( DM$101:DM$142, MAX( COUNT( DN$9:DN$50 )  - $B154 + 1, 1)) : INDEX( DM$101:DM$142, MAX( COUNT( DN$9:DN$50 )  - $C154 + 1, 1)) &gt; 0)))</f>
        <v>1</v>
      </c>
      <c r="DN154" s="8">
        <f>+IF(DN$8 = 125, 1, MEDIAN(_xlfn._xlws.FILTER(INDEX( DN$55:DN$96, MAX( COUNT( DO$9:DO$50 )  - $B154 + 1, 1)) : INDEX( DN$55:DN$96, MAX( COUNT( DO$9:DO$50 )  - $C154 + 1, 1)), INDEX( DN$101:DN$142, MAX( COUNT( DO$9:DO$50 )  - $B154 + 1, 1)) : INDEX( DN$101:DN$142, MAX( COUNT( DO$9:DO$50 )  - $C154 + 1, 1)) &gt; 0)))</f>
        <v>1</v>
      </c>
      <c r="DO154" s="8">
        <f>+IF(DO$8 = 125, 1, MEDIAN(_xlfn._xlws.FILTER(INDEX( DO$55:DO$96, MAX( COUNT( DP$9:DP$50 )  - $B154 + 1, 1)) : INDEX( DO$55:DO$96, MAX( COUNT( DP$9:DP$50 )  - $C154 + 1, 1)), INDEX( DO$101:DO$142, MAX( COUNT( DP$9:DP$50 )  - $B154 + 1, 1)) : INDEX( DO$101:DO$142, MAX( COUNT( DP$9:DP$50 )  - $C154 + 1, 1)) &gt; 0)))</f>
        <v>1.0009048243600012</v>
      </c>
      <c r="DP154" s="8">
        <f>+IF(DP$8 = 125, 1, MEDIAN(_xlfn._xlws.FILTER(INDEX( DP$55:DP$96, MAX( COUNT( DQ$9:DQ$50 )  - $B154 + 1, 1)) : INDEX( DP$55:DP$96, MAX( COUNT( DQ$9:DQ$50 )  - $C154 + 1, 1)), INDEX( DP$101:DP$142, MAX( COUNT( DQ$9:DQ$50 )  - $B154 + 1, 1)) : INDEX( DP$101:DP$142, MAX( COUNT( DQ$9:DQ$50 )  - $C154 + 1, 1)) &gt; 0)))</f>
        <v>1.0001392497412152</v>
      </c>
      <c r="DQ154" s="8">
        <f>+IF(DQ$8 = 125, 1, MEDIAN(_xlfn._xlws.FILTER(INDEX( DQ$55:DQ$96, MAX( COUNT( DR$9:DR$50 )  - $B154 + 1, 1)) : INDEX( DQ$55:DQ$96, MAX( COUNT( DR$9:DR$50 )  - $C154 + 1, 1)), INDEX( DQ$101:DQ$142, MAX( COUNT( DR$9:DR$50 )  - $B154 + 1, 1)) : INDEX( DQ$101:DQ$142, MAX( COUNT( DR$9:DR$50 )  - $C154 + 1, 1)) &gt; 0)))</f>
        <v>1.0000280994166131</v>
      </c>
      <c r="DR154" s="8">
        <f>+IF(DR$8 = 125, 1, MEDIAN(_xlfn._xlws.FILTER(INDEX( DR$55:DR$96, MAX( COUNT( DS$9:DS$50 )  - $B154 + 1, 1)) : INDEX( DR$55:DR$96, MAX( COUNT( DS$9:DS$50 )  - $C154 + 1, 1)), INDEX( DR$101:DR$142, MAX( COUNT( DS$9:DS$50 )  - $B154 + 1, 1)) : INDEX( DR$101:DR$142, MAX( COUNT( DS$9:DS$50 )  - $C154 + 1, 1)) &gt; 0)))</f>
        <v>1</v>
      </c>
      <c r="DS154" s="8">
        <f>+IF(DS$8 = 125, 1, MEDIAN(_xlfn._xlws.FILTER(INDEX( DS$55:DS$96, MAX( COUNT( DT$9:DT$50 )  - $B154 + 1, 1)) : INDEX( DS$55:DS$96, MAX( COUNT( DT$9:DT$50 )  - $C154 + 1, 1)), INDEX( DS$101:DS$142, MAX( COUNT( DT$9:DT$50 )  - $B154 + 1, 1)) : INDEX( DS$101:DS$142, MAX( COUNT( DT$9:DT$50 )  - $C154 + 1, 1)) &gt; 0)))</f>
        <v>1.0003621155643634</v>
      </c>
      <c r="DT154" s="8">
        <f>+IF(DT$8 = 125, 1, MEDIAN(_xlfn._xlws.FILTER(INDEX( DT$55:DT$96, MAX( COUNT( DU$9:DU$50 )  - $B154 + 1, 1)) : INDEX( DT$55:DT$96, MAX( COUNT( DU$9:DU$50 )  - $C154 + 1, 1)), INDEX( DT$101:DT$142, MAX( COUNT( DU$9:DU$50 )  - $B154 + 1, 1)) : INDEX( DT$101:DT$142, MAX( COUNT( DU$9:DU$50 )  - $C154 + 1, 1)) &gt; 0)))</f>
        <v>1.0023551268783379</v>
      </c>
      <c r="DU154" s="8">
        <f>+IF(DU$8 = 125, 1, MEDIAN(_xlfn._xlws.FILTER(INDEX( DU$55:DU$96, MAX( COUNT( DV$9:DV$50 )  - $B154 + 1, 1)) : INDEX( DU$55:DU$96, MAX( COUNT( DV$9:DV$50 )  - $C154 + 1, 1)), INDEX( DU$101:DU$142, MAX( COUNT( DV$9:DV$50 )  - $B154 + 1, 1)) : INDEX( DU$101:DU$142, MAX( COUNT( DV$9:DV$50 )  - $C154 + 1, 1)) &gt; 0)))</f>
        <v>1.0009066405512623</v>
      </c>
      <c r="DV154" s="8">
        <f>+IF(DV$8 = 125, 1, MEDIAN(_xlfn._xlws.FILTER(INDEX( DV$55:DV$96, MAX( COUNT( DW$9:DW$50 )  - $B154 + 1, 1)) : INDEX( DV$55:DV$96, MAX( COUNT( DW$9:DW$50 )  - $C154 + 1, 1)), INDEX( DV$101:DV$142, MAX( COUNT( DW$9:DW$50 )  - $B154 + 1, 1)) : INDEX( DV$101:DV$142, MAX( COUNT( DW$9:DW$50 )  - $C154 + 1, 1)) &gt; 0)))</f>
        <v>1.0034017444366707</v>
      </c>
      <c r="DW154" s="8">
        <f>+IF(DW$8 = 125, 1, MEDIAN(_xlfn._xlws.FILTER(INDEX( DW$55:DW$96, MAX( COUNT( DX$9:DX$50 )  - $B154 + 1, 1)) : INDEX( DW$55:DW$96, MAX( COUNT( DX$9:DX$50 )  - $C154 + 1, 1)), INDEX( DW$101:DW$142, MAX( COUNT( DX$9:DX$50 )  - $B154 + 1, 1)) : INDEX( DW$101:DW$142, MAX( COUNT( DX$9:DX$50 )  - $C154 + 1, 1)) &gt; 0)))</f>
        <v>1.0021577041171688</v>
      </c>
      <c r="DX154" s="8">
        <f>+IF(DX$8 = 125, 1, MEDIAN(_xlfn._xlws.FILTER(INDEX( DX$55:DX$96, MAX( COUNT( DY$9:DY$50 )  - $B154 + 1, 1)) : INDEX( DX$55:DX$96, MAX( COUNT( DY$9:DY$50 )  - $C154 + 1, 1)), INDEX( DX$101:DX$142, MAX( COUNT( DY$9:DY$50 )  - $B154 + 1, 1)) : INDEX( DX$101:DX$142, MAX( COUNT( DY$9:DY$50 )  - $C154 + 1, 1)) &gt; 0)))</f>
        <v>1.0038513805404945</v>
      </c>
      <c r="DY154" s="8">
        <f>+IF(DY$8 = 125, 1, MEDIAN(_xlfn._xlws.FILTER(INDEX( DY$55:DY$96, MAX( COUNT( DZ$9:DZ$50 )  - $B154 + 1, 1)) : INDEX( DY$55:DY$96, MAX( COUNT( DZ$9:DZ$50 )  - $C154 + 1, 1)), INDEX( DY$101:DY$142, MAX( COUNT( DZ$9:DZ$50 )  - $B154 + 1, 1)) : INDEX( DY$101:DY$142, MAX( COUNT( DZ$9:DZ$50 )  - $C154 + 1, 1)) &gt; 0)))</f>
        <v>1.0045542200871611</v>
      </c>
      <c r="DZ154" s="8">
        <f>+IF(DZ$8 = 125, 1, MEDIAN(_xlfn._xlws.FILTER(INDEX( DZ$55:DZ$96, MAX( COUNT( EA$9:EA$50 )  - $B154 + 1, 1)) : INDEX( DZ$55:DZ$96, MAX( COUNT( EA$9:EA$50 )  - $C154 + 1, 1)), INDEX( DZ$101:DZ$142, MAX( COUNT( EA$9:EA$50 )  - $B154 + 1, 1)) : INDEX( DZ$101:DZ$142, MAX( COUNT( EA$9:EA$50 )  - $C154 + 1, 1)) &gt; 0)))</f>
        <v>1.0041088153957449</v>
      </c>
      <c r="EA154" s="8">
        <f>+IF(EA$8 = 125, 1, MEDIAN(_xlfn._xlws.FILTER(INDEX( EA$55:EA$96, MAX( COUNT( EB$9:EB$50 )  - $B154 + 1, 1)) : INDEX( EA$55:EA$96, MAX( COUNT( EB$9:EB$50 )  - $C154 + 1, 1)), INDEX( EA$101:EA$142, MAX( COUNT( EB$9:EB$50 )  - $B154 + 1, 1)) : INDEX( EA$101:EA$142, MAX( COUNT( EB$9:EB$50 )  - $C154 + 1, 1)) &gt; 0)))</f>
        <v>1</v>
      </c>
      <c r="EB154" s="8">
        <f>+IF(EB$8 = 125, 1, MEDIAN(_xlfn._xlws.FILTER(INDEX( EB$55:EB$96, MAX( COUNT( EC$9:EC$50 )  - $B154 + 1, 1)) : INDEX( EB$55:EB$96, MAX( COUNT( EC$9:EC$50 )  - $C154 + 1, 1)), INDEX( EB$101:EB$142, MAX( COUNT( EC$9:EC$50 )  - $B154 + 1, 1)) : INDEX( EB$101:EB$142, MAX( COUNT( EC$9:EC$50 )  - $C154 + 1, 1)) &gt; 0)))</f>
        <v>2.1502600491546122</v>
      </c>
      <c r="EC154" s="8">
        <f>+IF(EC$8 = 125, 1, MEDIAN(_xlfn._xlws.FILTER(INDEX( EC$55:EC$96, MAX( COUNT( ED$9:ED$50 )  - $B154 + 1, 1)) : INDEX( EC$55:EC$96, MAX( COUNT( ED$9:ED$50 )  - $C154 + 1, 1)), INDEX( EC$101:EC$142, MAX( COUNT( ED$9:ED$50 )  - $B154 + 1, 1)) : INDEX( EC$101:EC$142, MAX( COUNT( ED$9:ED$50 )  - $C154 + 1, 1)) &gt; 0)))</f>
        <v>2.0467276391397684</v>
      </c>
      <c r="ED154" s="8">
        <f>+IF(ED$8 = 125, 1, MEDIAN(_xlfn._xlws.FILTER(INDEX( ED$55:ED$96, MAX( COUNT( EE$9:EE$50 )  - $B154 + 1, 1)) : INDEX( ED$55:ED$96, MAX( COUNT( EE$9:EE$50 )  - $C154 + 1, 1)), INDEX( ED$101:ED$142, MAX( COUNT( EE$9:EE$50 )  - $B154 + 1, 1)) : INDEX( ED$101:ED$142, MAX( COUNT( EE$9:EE$50 )  - $C154 + 1, 1)) &gt; 0)))</f>
        <v>1.2266029908456746</v>
      </c>
      <c r="EE154" s="8">
        <f>+IF(EE$8 = 125, 1, MEDIAN(_xlfn._xlws.FILTER(INDEX( EE$55:EE$96, MAX( COUNT( EF$9:EF$50 )  - $B154 + 1, 1)) : INDEX( EE$55:EE$96, MAX( COUNT( EF$9:EF$50 )  - $C154 + 1, 1)), INDEX( EE$101:EE$142, MAX( COUNT( EF$9:EF$50 )  - $B154 + 1, 1)) : INDEX( EE$101:EE$142, MAX( COUNT( EF$9:EF$50 )  - $C154 + 1, 1)) &gt; 0)))</f>
        <v>0.99621733507941035</v>
      </c>
      <c r="EF154" s="8">
        <f>+IF(EF$8 = 125, 1, MEDIAN(_xlfn._xlws.FILTER(INDEX( EF$55:EF$96, MAX( COUNT( EG$9:EG$50 )  - $B154 + 1, 1)) : INDEX( EF$55:EF$96, MAX( COUNT( EG$9:EG$50 )  - $C154 + 1, 1)), INDEX( EF$101:EF$142, MAX( COUNT( EG$9:EG$50 )  - $B154 + 1, 1)) : INDEX( EF$101:EF$142, MAX( COUNT( EG$9:EG$50 )  - $C154 + 1, 1)) &gt; 0)))</f>
        <v>0.99951609358977678</v>
      </c>
      <c r="EG154" s="8">
        <f>+IF(EG$8 = 125, 1, MEDIAN(_xlfn._xlws.FILTER(INDEX( EG$55:EG$96, MAX( COUNT( EH$9:EH$50 )  - $B154 + 1, 1)) : INDEX( EG$55:EG$96, MAX( COUNT( EH$9:EH$50 )  - $C154 + 1, 1)), INDEX( EG$101:EG$142, MAX( COUNT( EH$9:EH$50 )  - $B154 + 1, 1)) : INDEX( EG$101:EG$142, MAX( COUNT( EH$9:EH$50 )  - $C154 + 1, 1)) &gt; 0)))</f>
        <v>1.0222951058899277</v>
      </c>
      <c r="EH154" s="8">
        <f>+IF(EH$8 = 125, 1, MEDIAN(_xlfn._xlws.FILTER(INDEX( EH$55:EH$96, MAX( COUNT( EI$9:EI$50 )  - $B154 + 1, 1)) : INDEX( EH$55:EH$96, MAX( COUNT( EI$9:EI$50 )  - $C154 + 1, 1)), INDEX( EH$101:EH$142, MAX( COUNT( EI$9:EI$50 )  - $B154 + 1, 1)) : INDEX( EH$101:EH$142, MAX( COUNT( EI$9:EI$50 )  - $C154 + 1, 1)) &gt; 0)))</f>
        <v>1.0023522352181435</v>
      </c>
      <c r="EI154" s="8">
        <f>+IF(EI$8 = 125, 1, MEDIAN(_xlfn._xlws.FILTER(INDEX( EI$55:EI$96, MAX( COUNT( EJ$9:EJ$50 )  - $B154 + 1, 1)) : INDEX( EI$55:EI$96, MAX( COUNT( EJ$9:EJ$50 )  - $C154 + 1, 1)), INDEX( EI$101:EI$142, MAX( COUNT( EJ$9:EJ$50 )  - $B154 + 1, 1)) : INDEX( EI$101:EI$142, MAX( COUNT( EJ$9:EJ$50 )  - $C154 + 1, 1)) &gt; 0)))</f>
        <v>1.000271645929782</v>
      </c>
      <c r="EJ154" s="8">
        <f>+IF(EJ$8 = 125, 1, MEDIAN(_xlfn._xlws.FILTER(INDEX( EJ$55:EJ$96, MAX( COUNT( EK$9:EK$50 )  - $B154 + 1, 1)) : INDEX( EJ$55:EJ$96, MAX( COUNT( EK$9:EK$50 )  - $C154 + 1, 1)), INDEX( EJ$101:EJ$142, MAX( COUNT( EK$9:EK$50 )  - $B154 + 1, 1)) : INDEX( EJ$101:EJ$142, MAX( COUNT( EK$9:EK$50 )  - $C154 + 1, 1)) &gt; 0)))</f>
        <v>1.0003442684527233</v>
      </c>
      <c r="EK154" s="8">
        <f>+IF(EK$8 = 125, 1, MEDIAN(_xlfn._xlws.FILTER(INDEX( EK$55:EK$96, MAX( COUNT( EL$9:EL$50 )  - $B154 + 1, 1)) : INDEX( EK$55:EK$96, MAX( COUNT( EL$9:EL$50 )  - $C154 + 1, 1)), INDEX( EK$101:EK$142, MAX( COUNT( EL$9:EL$50 )  - $B154 + 1, 1)) : INDEX( EK$101:EK$142, MAX( COUNT( EL$9:EL$50 )  - $C154 + 1, 1)) &gt; 0)))</f>
        <v>1.0016889872463013</v>
      </c>
      <c r="EL154" s="8">
        <f>+IF(EL$8 = 125, 1, MEDIAN(_xlfn._xlws.FILTER(INDEX( EL$55:EL$96, MAX( COUNT( EM$9:EM$50 )  - $B154 + 1, 1)) : INDEX( EL$55:EL$96, MAX( COUNT( EM$9:EM$50 )  - $C154 + 1, 1)), INDEX( EL$101:EL$142, MAX( COUNT( EM$9:EM$50 )  - $B154 + 1, 1)) : INDEX( EL$101:EL$142, MAX( COUNT( EM$9:EM$50 )  - $C154 + 1, 1)) &gt; 0)))</f>
        <v>1.0001193779742279</v>
      </c>
      <c r="EM154" s="8">
        <f>+IF(EM$8 = 125, 1, MEDIAN(_xlfn._xlws.FILTER(INDEX( EM$55:EM$96, MAX( COUNT( EN$9:EN$50 )  - $B154 + 1, 1)) : INDEX( EM$55:EM$96, MAX( COUNT( EN$9:EN$50 )  - $C154 + 1, 1)), INDEX( EM$101:EM$142, MAX( COUNT( EN$9:EN$50 )  - $B154 + 1, 1)) : INDEX( EM$101:EM$142, MAX( COUNT( EN$9:EN$50 )  - $C154 + 1, 1)) &gt; 0)))</f>
        <v>0.99998108359378035</v>
      </c>
      <c r="EN154" s="8">
        <f>+IF(EN$8 = 125, 1, MEDIAN(_xlfn._xlws.FILTER(INDEX( EN$55:EN$96, MAX( COUNT( EO$9:EO$50 )  - $B154 + 1, 1)) : INDEX( EN$55:EN$96, MAX( COUNT( EO$9:EO$50 )  - $C154 + 1, 1)), INDEX( EN$101:EN$142, MAX( COUNT( EO$9:EO$50 )  - $B154 + 1, 1)) : INDEX( EN$101:EN$142, MAX( COUNT( EO$9:EO$50 )  - $C154 + 1, 1)) &gt; 0)))</f>
        <v>1.0004500684462729</v>
      </c>
      <c r="EO154" s="8">
        <f>+IF(EO$8 = 125, 1, MEDIAN(_xlfn._xlws.FILTER(INDEX( EO$55:EO$96, MAX( COUNT( EP$9:EP$50 )  - $B154 + 1, 1)) : INDEX( EO$55:EO$96, MAX( COUNT( EP$9:EP$50 )  - $C154 + 1, 1)), INDEX( EO$101:EO$142, MAX( COUNT( EP$9:EP$50 )  - $B154 + 1, 1)) : INDEX( EO$101:EO$142, MAX( COUNT( EP$9:EP$50 )  - $C154 + 1, 1)) &gt; 0)))</f>
        <v>1.0000160885766121</v>
      </c>
      <c r="EP154" s="8">
        <f>+IF(EP$8 = 125, 1, MEDIAN(_xlfn._xlws.FILTER(INDEX( EP$55:EP$96, MAX( COUNT( EQ$9:EQ$50 )  - $B154 + 1, 1)) : INDEX( EP$55:EP$96, MAX( COUNT( EQ$9:EQ$50 )  - $C154 + 1, 1)), INDEX( EP$101:EP$142, MAX( COUNT( EQ$9:EQ$50 )  - $B154 + 1, 1)) : INDEX( EP$101:EP$142, MAX( COUNT( EQ$9:EQ$50 )  - $C154 + 1, 1)) &gt; 0)))</f>
        <v>1.0001854887863106</v>
      </c>
      <c r="EQ154" s="8">
        <f>+IF(EQ$8 = 125, 1, MEDIAN(_xlfn._xlws.FILTER(INDEX( EQ$55:EQ$96, MAX( COUNT( ER$9:ER$50 )  - $B154 + 1, 1)) : INDEX( EQ$55:EQ$96, MAX( COUNT( ER$9:ER$50 )  - $C154 + 1, 1)), INDEX( EQ$101:EQ$142, MAX( COUNT( ER$9:ER$50 )  - $B154 + 1, 1)) : INDEX( EQ$101:EQ$142, MAX( COUNT( ER$9:ER$50 )  - $C154 + 1, 1)) &gt; 0)))</f>
        <v>1.0000276897148979</v>
      </c>
      <c r="ER154" s="8">
        <f>+IF(ER$8 = 125, 1, MEDIAN(_xlfn._xlws.FILTER(INDEX( ER$55:ER$96, MAX( COUNT( ES$9:ES$50 )  - $B154 + 1, 1)) : INDEX( ER$55:ER$96, MAX( COUNT( ES$9:ES$50 )  - $C154 + 1, 1)), INDEX( ER$101:ER$142, MAX( COUNT( ES$9:ES$50 )  - $B154 + 1, 1)) : INDEX( ER$101:ER$142, MAX( COUNT( ES$9:ES$50 )  - $C154 + 1, 1)) &gt; 0)))</f>
        <v>1.0002746744714925</v>
      </c>
      <c r="ES154" s="8">
        <f>+IF(ES$8 = 125, 1, MEDIAN(_xlfn._xlws.FILTER(INDEX( ES$55:ES$96, MAX( COUNT( ET$9:ET$50 )  - $B154 + 1, 1)) : INDEX( ES$55:ES$96, MAX( COUNT( ET$9:ET$50 )  - $C154 + 1, 1)), INDEX( ES$101:ES$142, MAX( COUNT( ET$9:ET$50 )  - $B154 + 1, 1)) : INDEX( ES$101:ES$142, MAX( COUNT( ET$9:ET$50 )  - $C154 + 1, 1)) &gt; 0)))</f>
        <v>1.0003441499130283</v>
      </c>
      <c r="ET154" s="8">
        <f>+IF(ET$8 = 125, 1, MEDIAN(_xlfn._xlws.FILTER(INDEX( ET$55:ET$96, MAX( COUNT( EU$9:EU$50 )  - $B154 + 1, 1)) : INDEX( ET$55:ET$96, MAX( COUNT( EU$9:EU$50 )  - $C154 + 1, 1)), INDEX( ET$101:ET$142, MAX( COUNT( EU$9:EU$50 )  - $B154 + 1, 1)) : INDEX( ET$101:ET$142, MAX( COUNT( EU$9:EU$50 )  - $C154 + 1, 1)) &gt; 0)))</f>
        <v>1.0006697838869782</v>
      </c>
      <c r="EU154" s="8">
        <f>+IF(EU$8 = 125, 1, MEDIAN(_xlfn._xlws.FILTER(INDEX( EU$55:EU$96, MAX( COUNT( EV$9:EV$50 )  - $B154 + 1, 1)) : INDEX( EU$55:EU$96, MAX( COUNT( EV$9:EV$50 )  - $C154 + 1, 1)), INDEX( EU$101:EU$142, MAX( COUNT( EV$9:EV$50 )  - $B154 + 1, 1)) : INDEX( EU$101:EU$142, MAX( COUNT( EV$9:EV$50 )  - $C154 + 1, 1)) &gt; 0)))</f>
        <v>1</v>
      </c>
      <c r="EV154" s="8">
        <f>+IF(EV$8 = 125, 1, MEDIAN(_xlfn._xlws.FILTER(INDEX( EV$55:EV$96, MAX( COUNT( EW$9:EW$50 )  - $B154 + 1, 1)) : INDEX( EV$55:EV$96, MAX( COUNT( EW$9:EW$50 )  - $C154 + 1, 1)), INDEX( EV$101:EV$142, MAX( COUNT( EW$9:EW$50 )  - $B154 + 1, 1)) : INDEX( EV$101:EV$142, MAX( COUNT( EW$9:EW$50 )  - $C154 + 1, 1)) &gt; 0)))</f>
        <v>1.0001570436454021</v>
      </c>
      <c r="EW154" s="8">
        <f>+IF(EW$8 = 125, 1, MEDIAN(_xlfn._xlws.FILTER(INDEX( EW$55:EW$96, MAX( COUNT( EX$9:EX$50 )  - $B154 + 1, 1)) : INDEX( EW$55:EW$96, MAX( COUNT( EX$9:EX$50 )  - $C154 + 1, 1)), INDEX( EW$101:EW$142, MAX( COUNT( EX$9:EX$50 )  - $B154 + 1, 1)) : INDEX( EW$101:EW$142, MAX( COUNT( EX$9:EX$50 )  - $C154 + 1, 1)) &gt; 0)))</f>
        <v>1.0000112312540752</v>
      </c>
      <c r="EX154" s="8">
        <f>+IF(EX$8 = 125, 1, MEDIAN(_xlfn._xlws.FILTER(INDEX( EX$55:EX$96, MAX( COUNT( EY$9:EY$50 )  - $B154 + 1, 1)) : INDEX( EX$55:EX$96, MAX( COUNT( EY$9:EY$50 )  - $C154 + 1, 1)), INDEX( EX$101:EX$142, MAX( COUNT( EY$9:EY$50 )  - $B154 + 1, 1)) : INDEX( EX$101:EX$142, MAX( COUNT( EY$9:EY$50 )  - $C154 + 1, 1)) &gt; 0)))</f>
        <v>1.0000194875105655</v>
      </c>
      <c r="EY154" s="8">
        <f>+IF(EY$8 = 125, 1, MEDIAN(_xlfn._xlws.FILTER(INDEX( EY$55:EY$96, MAX( COUNT( EZ$9:EZ$50 )  - $B154 + 1, 1)) : INDEX( EY$55:EY$96, MAX( COUNT( EZ$9:EZ$50 )  - $C154 + 1, 1)), INDEX( EY$101:EY$142, MAX( COUNT( EZ$9:EZ$50 )  - $B154 + 1, 1)) : INDEX( EY$101:EY$142, MAX( COUNT( EZ$9:EZ$50 )  - $C154 + 1, 1)) &gt; 0)))</f>
        <v>1.0001746993622747</v>
      </c>
      <c r="EZ154" s="8">
        <f>+IF(EZ$8 = 125, 1, MEDIAN(_xlfn._xlws.FILTER(INDEX( EZ$55:EZ$96, MAX( COUNT( FA$9:FA$50 )  - $B154 + 1, 1)) : INDEX( EZ$55:EZ$96, MAX( COUNT( FA$9:FA$50 )  - $C154 + 1, 1)), INDEX( EZ$101:EZ$142, MAX( COUNT( FA$9:FA$50 )  - $B154 + 1, 1)) : INDEX( EZ$101:EZ$142, MAX( COUNT( FA$9:FA$50 )  - $C154 + 1, 1)) &gt; 0)))</f>
        <v>1.0001988604946637</v>
      </c>
      <c r="FA154" s="8">
        <f>+IF(FA$8 = 125, 1, MEDIAN(_xlfn._xlws.FILTER(INDEX( FA$55:FA$96, MAX( COUNT( FB$9:FB$50 )  - $B154 + 1, 1)) : INDEX( FA$55:FA$96, MAX( COUNT( FB$9:FB$50 )  - $C154 + 1, 1)), INDEX( FA$101:FA$142, MAX( COUNT( FB$9:FB$50 )  - $B154 + 1, 1)) : INDEX( FA$101:FA$142, MAX( COUNT( FB$9:FB$50 )  - $C154 + 1, 1)) &gt; 0)))</f>
        <v>1</v>
      </c>
      <c r="FB154" s="8">
        <f>+IF(FB$8 = 125, 1, MEDIAN(_xlfn._xlws.FILTER(INDEX( FB$55:FB$96, MAX( COUNT( FC$9:FC$50 )  - $B154 + 1, 1)) : INDEX( FB$55:FB$96, MAX( COUNT( FC$9:FC$50 )  - $C154 + 1, 1)), INDEX( FB$101:FB$142, MAX( COUNT( FC$9:FC$50 )  - $B154 + 1, 1)) : INDEX( FB$101:FB$142, MAX( COUNT( FC$9:FC$50 )  - $C154 + 1, 1)) &gt; 0)))</f>
        <v>1</v>
      </c>
      <c r="FC154" s="8">
        <f>+IF(FC$8 = 125, 1, MEDIAN(_xlfn._xlws.FILTER(INDEX( FC$55:FC$96, MAX( COUNT( FD$9:FD$50 )  - $B154 + 1, 1)) : INDEX( FC$55:FC$96, MAX( COUNT( FD$9:FD$50 )  - $C154 + 1, 1)), INDEX( FC$101:FC$142, MAX( COUNT( FD$9:FD$50 )  - $B154 + 1, 1)) : INDEX( FC$101:FC$142, MAX( COUNT( FD$9:FD$50 )  - $C154 + 1, 1)) &gt; 0)))</f>
        <v>1.0000574946388368</v>
      </c>
      <c r="FD154" s="8">
        <f>+IF(FD$8 = 125, 1, MEDIAN(_xlfn._xlws.FILTER(INDEX( FD$55:FD$96, MAX( COUNT( FE$9:FE$50 )  - $B154 + 1, 1)) : INDEX( FD$55:FD$96, MAX( COUNT( FE$9:FE$50 )  - $C154 + 1, 1)), INDEX( FD$101:FD$142, MAX( COUNT( FE$9:FE$50 )  - $B154 + 1, 1)) : INDEX( FD$101:FD$142, MAX( COUNT( FE$9:FE$50 )  - $C154 + 1, 1)) &gt; 0)))</f>
        <v>1.0000507154544858</v>
      </c>
      <c r="FE154" s="8">
        <f>+IF(FE$8 = 125, 1, MEDIAN(_xlfn._xlws.FILTER(INDEX( FE$55:FE$96, MAX( COUNT( FF$9:FF$50 )  - $B154 + 1, 1)) : INDEX( FE$55:FE$96, MAX( COUNT( FF$9:FF$50 )  - $C154 + 1, 1)), INDEX( FE$101:FE$142, MAX( COUNT( FF$9:FF$50 )  - $B154 + 1, 1)) : INDEX( FE$101:FE$142, MAX( COUNT( FF$9:FF$50 )  - $C154 + 1, 1)) &gt; 0)))</f>
        <v>1.0001344438635988</v>
      </c>
      <c r="FF154" s="8">
        <f>+IF(FF$8 = 125, 1, MEDIAN(_xlfn._xlws.FILTER(INDEX( FF$55:FF$96, MAX( COUNT( FG$9:FG$50 )  - $B154 + 1, 1)) : INDEX( FF$55:FF$96, MAX( COUNT( FG$9:FG$50 )  - $C154 + 1, 1)), INDEX( FF$101:FF$142, MAX( COUNT( FG$9:FG$50 )  - $B154 + 1, 1)) : INDEX( FF$101:FF$142, MAX( COUNT( FG$9:FG$50 )  - $C154 + 1, 1)) &gt; 0)))</f>
        <v>1.0001859030730265</v>
      </c>
      <c r="FG154" s="8">
        <f>+IF(FG$8 = 125, 1, MEDIAN(_xlfn._xlws.FILTER(INDEX( FG$55:FG$96, MAX( COUNT( FH$9:FH$50 )  - $B154 + 1, 1)) : INDEX( FG$55:FG$96, MAX( COUNT( FH$9:FH$50 )  - $C154 + 1, 1)), INDEX( FG$101:FG$142, MAX( COUNT( FH$9:FH$50 )  - $B154 + 1, 1)) : INDEX( FG$101:FG$142, MAX( COUNT( FH$9:FH$50 )  - $C154 + 1, 1)) &gt; 0)))</f>
        <v>1.0012269892564696</v>
      </c>
      <c r="FH154" s="8">
        <f>+IF(FH$8 = 125, 1, MEDIAN(_xlfn._xlws.FILTER(INDEX( FH$55:FH$96, MAX( COUNT( FI$9:FI$50 )  - $B154 + 1, 1)) : INDEX( FH$55:FH$96, MAX( COUNT( FI$9:FI$50 )  - $C154 + 1, 1)), INDEX( FH$101:FH$142, MAX( COUNT( FI$9:FI$50 )  - $B154 + 1, 1)) : INDEX( FH$101:FH$142, MAX( COUNT( FI$9:FI$50 )  - $C154 + 1, 1)) &gt; 0)))</f>
        <v>1</v>
      </c>
      <c r="FI154" s="8">
        <f>+IF(FI$8 = 125, 1, MEDIAN(_xlfn._xlws.FILTER(INDEX( FI$55:FI$96, MAX( COUNT( FJ$9:FJ$50 )  - $B154 + 1, 1)) : INDEX( FI$55:FI$96, MAX( COUNT( FJ$9:FJ$50 )  - $C154 + 1, 1)), INDEX( FI$101:FI$142, MAX( COUNT( FJ$9:FJ$50 )  - $B154 + 1, 1)) : INDEX( FI$101:FI$142, MAX( COUNT( FJ$9:FJ$50 )  - $C154 + 1, 1)) &gt; 0)))</f>
        <v>1.0000152582840411</v>
      </c>
      <c r="FJ154" s="8">
        <f>+IF(FJ$8 = 125, 1, MEDIAN(_xlfn._xlws.FILTER(INDEX( FJ$55:FJ$96, MAX( COUNT( FK$9:FK$50 )  - $B154 + 1, 1)) : INDEX( FJ$55:FJ$96, MAX( COUNT( FK$9:FK$50 )  - $C154 + 1, 1)), INDEX( FJ$101:FJ$142, MAX( COUNT( FK$9:FK$50 )  - $B154 + 1, 1)) : INDEX( FJ$101:FJ$142, MAX( COUNT( FK$9:FK$50 )  - $C154 + 1, 1)) &gt; 0)))</f>
        <v>1</v>
      </c>
      <c r="FK154" s="8">
        <f>+IF(FK$8 = 125, 1, MEDIAN(_xlfn._xlws.FILTER(INDEX( FK$55:FK$96, MAX( COUNT( FL$9:FL$50 )  - $B154 + 1, 1)) : INDEX( FK$55:FK$96, MAX( COUNT( FL$9:FL$50 )  - $C154 + 1, 1)), INDEX( FK$101:FK$142, MAX( COUNT( FL$9:FL$50 )  - $B154 + 1, 1)) : INDEX( FK$101:FK$142, MAX( COUNT( FL$9:FL$50 )  - $C154 + 1, 1)) &gt; 0)))</f>
        <v>0.99996923827867379</v>
      </c>
      <c r="FL154" s="8">
        <f>+IF(FL$8 = 125, 1, MEDIAN(_xlfn._xlws.FILTER(INDEX( FL$55:FL$96, MAX( COUNT( FM$9:FM$50 )  - $B154 + 1, 1)) : INDEX( FL$55:FL$96, MAX( COUNT( FM$9:FM$50 )  - $C154 + 1, 1)), INDEX( FL$101:FL$142, MAX( COUNT( FM$9:FM$50 )  - $B154 + 1, 1)) : INDEX( FL$101:FL$142, MAX( COUNT( FM$9:FM$50 )  - $C154 + 1, 1)) &gt; 0)))</f>
        <v>1.0000467692447599</v>
      </c>
      <c r="FM154" s="8">
        <f>+IF(FM$8 = 125, 1, MEDIAN(_xlfn._xlws.FILTER(INDEX( FM$55:FM$96, MAX( COUNT( FN$9:FN$50 )  - $B154 + 1, 1)) : INDEX( FM$55:FM$96, MAX( COUNT( FN$9:FN$50 )  - $C154 + 1, 1)), INDEX( FM$101:FM$142, MAX( COUNT( FN$9:FN$50 )  - $B154 + 1, 1)) : INDEX( FM$101:FM$142, MAX( COUNT( FN$9:FN$50 )  - $C154 + 1, 1)) &gt; 0)))</f>
        <v>1.000236292339389</v>
      </c>
      <c r="FN154" s="8">
        <f>+IF(FN$8 = 125, 1, MEDIAN(_xlfn._xlws.FILTER(INDEX( FN$55:FN$96, MAX( COUNT( FO$9:FO$50 )  - $B154 + 1, 1)) : INDEX( FN$55:FN$96, MAX( COUNT( FO$9:FO$50 )  - $C154 + 1, 1)), INDEX( FN$101:FN$142, MAX( COUNT( FO$9:FO$50 )  - $B154 + 1, 1)) : INDEX( FN$101:FN$142, MAX( COUNT( FO$9:FO$50 )  - $C154 + 1, 1)) &gt; 0)))</f>
        <v>1</v>
      </c>
      <c r="FO154" s="8">
        <f>+IF(FO$8 = 125, 1, MEDIAN(_xlfn._xlws.FILTER(INDEX( FO$55:FO$96, MAX( COUNT( FP$9:FP$50 )  - $B154 + 1, 1)) : INDEX( FO$55:FO$96, MAX( COUNT( FP$9:FP$50 )  - $C154 + 1, 1)), INDEX( FO$101:FO$142, MAX( COUNT( FP$9:FP$50 )  - $B154 + 1, 1)) : INDEX( FO$101:FO$142, MAX( COUNT( FP$9:FP$50 )  - $C154 + 1, 1)) &gt; 0)))</f>
        <v>1.0000249536036634</v>
      </c>
      <c r="FP154" s="8">
        <f>+IF(FP$8 = 125, 1, MEDIAN(_xlfn._xlws.FILTER(INDEX( FP$55:FP$96, MAX( COUNT( FQ$9:FQ$50 )  - $B154 + 1, 1)) : INDEX( FP$55:FP$96, MAX( COUNT( FQ$9:FQ$50 )  - $C154 + 1, 1)), INDEX( FP$101:FP$142, MAX( COUNT( FQ$9:FQ$50 )  - $B154 + 1, 1)) : INDEX( FP$101:FP$142, MAX( COUNT( FQ$9:FQ$50 )  - $C154 + 1, 1)) &gt; 0)))</f>
        <v>1.0000574417589503</v>
      </c>
      <c r="FQ154" s="8">
        <f>+IF(FQ$8 = 125, 1, MEDIAN(_xlfn._xlws.FILTER(INDEX( FQ$55:FQ$96, MAX( COUNT( FR$9:FR$50 )  - $B154 + 1, 1)) : INDEX( FQ$55:FQ$96, MAX( COUNT( FR$9:FR$50 )  - $C154 + 1, 1)), INDEX( FQ$101:FQ$142, MAX( COUNT( FR$9:FR$50 )  - $B154 + 1, 1)) : INDEX( FQ$101:FQ$142, MAX( COUNT( FR$9:FR$50 )  - $C154 + 1, 1)) &gt; 0)))</f>
        <v>1</v>
      </c>
      <c r="FR154" s="8">
        <f>+IF(FR$8 = 125, 1, MEDIAN(_xlfn._xlws.FILTER(INDEX( FR$55:FR$96, MAX( COUNT( FS$9:FS$50 )  - $B154 + 1, 1)) : INDEX( FR$55:FR$96, MAX( COUNT( FS$9:FS$50 )  - $C154 + 1, 1)), INDEX( FR$101:FR$142, MAX( COUNT( FS$9:FS$50 )  - $B154 + 1, 1)) : INDEX( FR$101:FR$142, MAX( COUNT( FS$9:FS$50 )  - $C154 + 1, 1)) &gt; 0)))</f>
        <v>0.99999984085503857</v>
      </c>
      <c r="FS154" s="8">
        <f>+IF(FS$8 = 125, 1, MEDIAN(_xlfn._xlws.FILTER(INDEX( FS$55:FS$96, MAX( COUNT( FT$9:FT$50 )  - $B154 + 1, 1)) : INDEX( FS$55:FS$96, MAX( COUNT( FT$9:FT$50 )  - $C154 + 1, 1)), INDEX( FS$101:FS$142, MAX( COUNT( FT$9:FT$50 )  - $B154 + 1, 1)) : INDEX( FS$101:FS$142, MAX( COUNT( FT$9:FT$50 )  - $C154 + 1, 1)) &gt; 0)))</f>
        <v>1.0001668665373886</v>
      </c>
      <c r="FT154" s="8">
        <f>+IF(FT$8 = 125, 1, MEDIAN(_xlfn._xlws.FILTER(INDEX( FT$55:FT$96, MAX( COUNT( FU$9:FU$50 )  - $B154 + 1, 1)) : INDEX( FT$55:FT$96, MAX( COUNT( FU$9:FU$50 )  - $C154 + 1, 1)), INDEX( FT$101:FT$142, MAX( COUNT( FU$9:FU$50 )  - $B154 + 1, 1)) : INDEX( FT$101:FT$142, MAX( COUNT( FU$9:FU$50 )  - $C154 + 1, 1)) &gt; 0)))</f>
        <v>1.0003616916123659</v>
      </c>
      <c r="FU154" s="8">
        <f>+IF(FU$8 = 125, 1, MEDIAN(_xlfn._xlws.FILTER(INDEX( FU$55:FU$96, MAX( COUNT( FV$9:FV$50 )  - $B154 + 1, 1)) : INDEX( FU$55:FU$96, MAX( COUNT( FV$9:FV$50 )  - $C154 + 1, 1)), INDEX( FU$101:FU$142, MAX( COUNT( FV$9:FV$50 )  - $B154 + 1, 1)) : INDEX( FU$101:FU$142, MAX( COUNT( FV$9:FV$50 )  - $C154 + 1, 1)) &gt; 0)))</f>
        <v>0.9997675223292577</v>
      </c>
      <c r="FV154" s="8">
        <f>+IF(FV$8 = 125, 1, MEDIAN(_xlfn._xlws.FILTER(INDEX( FV$55:FV$96, MAX( COUNT( FW$9:FW$50 )  - $B154 + 1, 1)) : INDEX( FV$55:FV$96, MAX( COUNT( FW$9:FW$50 )  - $C154 + 1, 1)), INDEX( FV$101:FV$142, MAX( COUNT( FW$9:FW$50 )  - $B154 + 1, 1)) : INDEX( FV$101:FV$142, MAX( COUNT( FW$9:FW$50 )  - $C154 + 1, 1)) &gt; 0)))</f>
        <v>1.0001078309175555</v>
      </c>
      <c r="FW154" s="8">
        <f>+IF(FW$8 = 125, 1, MEDIAN(_xlfn._xlws.FILTER(INDEX( FW$55:FW$96, MAX( COUNT( FX$9:FX$50 )  - $B154 + 1, 1)) : INDEX( FW$55:FW$96, MAX( COUNT( FX$9:FX$50 )  - $C154 + 1, 1)), INDEX( FW$101:FW$142, MAX( COUNT( FX$9:FX$50 )  - $B154 + 1, 1)) : INDEX( FW$101:FW$142, MAX( COUNT( FX$9:FX$50 )  - $C154 + 1, 1)) &gt; 0)))</f>
        <v>1</v>
      </c>
      <c r="FX154" s="8">
        <f>+IF(FX$8 = 125, 1, MEDIAN(_xlfn._xlws.FILTER(INDEX( FX$55:FX$96, MAX( COUNT( FY$9:FY$50 )  - $B154 + 1, 1)) : INDEX( FX$55:FX$96, MAX( COUNT( FY$9:FY$50 )  - $C154 + 1, 1)), INDEX( FX$101:FX$142, MAX( COUNT( FY$9:FY$50 )  - $B154 + 1, 1)) : INDEX( FX$101:FX$142, MAX( COUNT( FY$9:FY$50 )  - $C154 + 1, 1)) &gt; 0)))</f>
        <v>1.0000292336404359</v>
      </c>
      <c r="FY154" s="8">
        <f>+IF(FY$8 = 125, 1, MEDIAN(_xlfn._xlws.FILTER(INDEX( FY$55:FY$96, MAX( COUNT( FZ$9:FZ$50 )  - $B154 + 1, 1)) : INDEX( FY$55:FY$96, MAX( COUNT( FZ$9:FZ$50 )  - $C154 + 1, 1)), INDEX( FY$101:FY$142, MAX( COUNT( FZ$9:FZ$50 )  - $B154 + 1, 1)) : INDEX( FY$101:FY$142, MAX( COUNT( FZ$9:FZ$50 )  - $C154 + 1, 1)) &gt; 0)))</f>
        <v>1</v>
      </c>
      <c r="FZ154" s="8">
        <f>+IF(FZ$8 = 125, 1, MEDIAN(_xlfn._xlws.FILTER(INDEX( FZ$55:FZ$96, MAX( COUNT( GA$9:GA$50 )  - $B154 + 1, 1)) : INDEX( FZ$55:FZ$96, MAX( COUNT( GA$9:GA$50 )  - $C154 + 1, 1)), INDEX( FZ$101:FZ$142, MAX( COUNT( GA$9:GA$50 )  - $B154 + 1, 1)) : INDEX( FZ$101:FZ$142, MAX( COUNT( GA$9:GA$50 )  - $C154 + 1, 1)) &gt; 0)))</f>
        <v>1.0001049729866081</v>
      </c>
      <c r="GA154" s="8">
        <f>+IF(GA$8 = 125, 1, MEDIAN(_xlfn._xlws.FILTER(INDEX( GA$55:GA$96, MAX( COUNT( GB$9:GB$50 )  - $B154 + 1, 1)) : INDEX( GA$55:GA$96, MAX( COUNT( GB$9:GB$50 )  - $C154 + 1, 1)), INDEX( GA$101:GA$142, MAX( COUNT( GB$9:GB$50 )  - $B154 + 1, 1)) : INDEX( GA$101:GA$142, MAX( COUNT( GB$9:GB$50 )  - $C154 + 1, 1)) &gt; 0)))</f>
        <v>1.0000000705856182</v>
      </c>
      <c r="GB154" s="8">
        <f>+IF(GB$8 = 125, 1, MEDIAN(_xlfn._xlws.FILTER(INDEX( GB$55:GB$96, MAX( COUNT( GC$9:GC$50 )  - $B154 + 1, 1)) : INDEX( GB$55:GB$96, MAX( COUNT( GC$9:GC$50 )  - $C154 + 1, 1)), INDEX( GB$101:GB$142, MAX( COUNT( GC$9:GC$50 )  - $B154 + 1, 1)) : INDEX( GB$101:GB$142, MAX( COUNT( GC$9:GC$50 )  - $C154 + 1, 1)) &gt; 0)))</f>
        <v>1</v>
      </c>
      <c r="GC154" s="8">
        <f>+IF(GC$8 = 125, 1, MEDIAN(_xlfn._xlws.FILTER(INDEX( GC$55:GC$96, MAX( COUNT( GD$9:GD$50 )  - $B154 + 1, 1)) : INDEX( GC$55:GC$96, MAX( COUNT( GD$9:GD$50 )  - $C154 + 1, 1)), INDEX( GC$101:GC$142, MAX( COUNT( GD$9:GD$50 )  - $B154 + 1, 1)) : INDEX( GC$101:GC$142, MAX( COUNT( GD$9:GD$50 )  - $C154 + 1, 1)) &gt; 0)))</f>
        <v>1</v>
      </c>
      <c r="GD154" s="8">
        <f>+IF(GD$8 = 125, 1, MEDIAN(_xlfn._xlws.FILTER(INDEX( GD$55:GD$96, MAX( COUNT( GE$9:GE$50 )  - $B154 + 1, 1)) : INDEX( GD$55:GD$96, MAX( COUNT( GE$9:GE$50 )  - $C154 + 1, 1)), INDEX( GD$101:GD$142, MAX( COUNT( GE$9:GE$50 )  - $B154 + 1, 1)) : INDEX( GD$101:GD$142, MAX( COUNT( GE$9:GE$50 )  - $C154 + 1, 1)) &gt; 0)))</f>
        <v>1.0000012716595035</v>
      </c>
      <c r="GE154" s="8">
        <f>+IF(GE$8 = 125, 1, MEDIAN(_xlfn._xlws.FILTER(INDEX( GE$55:GE$96, MAX( COUNT( GF$9:GF$50 )  - $B154 + 1, 1)) : INDEX( GE$55:GE$96, MAX( COUNT( GF$9:GF$50 )  - $C154 + 1, 1)), INDEX( GE$101:GE$142, MAX( COUNT( GF$9:GF$50 )  - $B154 + 1, 1)) : INDEX( GE$101:GE$142, MAX( COUNT( GF$9:GF$50 )  - $C154 + 1, 1)) &gt; 0)))</f>
        <v>1.0000020349705296</v>
      </c>
      <c r="GF154" s="8">
        <f>+IF(GF$8 = 125, 1, MEDIAN(_xlfn._xlws.FILTER(INDEX( GF$55:GF$96, MAX( COUNT( GG$9:GG$50 )  - $B154 + 1, 1)) : INDEX( GF$55:GF$96, MAX( COUNT( GG$9:GG$50 )  - $C154 + 1, 1)), INDEX( GF$101:GF$142, MAX( COUNT( GG$9:GG$50 )  - $B154 + 1, 1)) : INDEX( GF$101:GF$142, MAX( COUNT( GG$9:GG$50 )  - $C154 + 1, 1)) &gt; 0)))</f>
        <v>1.0000317224832018</v>
      </c>
      <c r="GG154" s="8">
        <f>+IF(GG$8 = 125, 1, MEDIAN(_xlfn._xlws.FILTER(INDEX( GG$55:GG$96, MAX( COUNT( GH$9:GH$50 )  - $B154 + 1, 1)) : INDEX( GG$55:GG$96, MAX( COUNT( GH$9:GH$50 )  - $C154 + 1, 1)), INDEX( GG$101:GG$142, MAX( COUNT( GH$9:GH$50 )  - $B154 + 1, 1)) : INDEX( GG$101:GG$142, MAX( COUNT( GH$9:GH$50 )  - $C154 + 1, 1)) &gt; 0)))</f>
        <v>1.0004001466794161</v>
      </c>
      <c r="GH154" s="8">
        <f>+IF(GH$8 = 125, 1, MEDIAN(_xlfn._xlws.FILTER(INDEX( GH$55:GH$96, MAX( COUNT( GI$9:GI$50 )  - $B154 + 1, 1)) : INDEX( GH$55:GH$96, MAX( COUNT( GI$9:GI$50 )  - $C154 + 1, 1)), INDEX( GH$101:GH$142, MAX( COUNT( GI$9:GI$50 )  - $B154 + 1, 1)) : INDEX( GH$101:GH$142, MAX( COUNT( GI$9:GI$50 )  - $C154 + 1, 1)) &gt; 0)))</f>
        <v>1</v>
      </c>
      <c r="GI154" s="8">
        <f>+IF(GI$8 = 125, 1, MEDIAN(_xlfn._xlws.FILTER(INDEX( GI$55:GI$96, MAX( COUNT( GJ$9:GJ$50 )  - $B154 + 1, 1)) : INDEX( GI$55:GI$96, MAX( COUNT( GJ$9:GJ$50 )  - $C154 + 1, 1)), INDEX( GI$101:GI$142, MAX( COUNT( GJ$9:GJ$50 )  - $B154 + 1, 1)) : INDEX( GI$101:GI$142, MAX( COUNT( GJ$9:GJ$50 )  - $C154 + 1, 1)) &gt; 0)))</f>
        <v>1.0002433521288991</v>
      </c>
      <c r="GJ154" s="8">
        <f>+IF(GJ$8 = 125, 1, MEDIAN(_xlfn._xlws.FILTER(INDEX( GJ$55:GJ$96, MAX( COUNT( GK$9:GK$50 )  - $B154 + 1, 1)) : INDEX( GJ$55:GJ$96, MAX( COUNT( GK$9:GK$50 )  - $C154 + 1, 1)), INDEX( GJ$101:GJ$142, MAX( COUNT( GK$9:GK$50 )  - $B154 + 1, 1)) : INDEX( GJ$101:GJ$142, MAX( COUNT( GK$9:GK$50 )  - $C154 + 1, 1)) &gt; 0)))</f>
        <v>1.0003709958468072</v>
      </c>
      <c r="GK154" s="8">
        <f>+IF(GK$8 = 125, 1, MEDIAN(_xlfn._xlws.FILTER(INDEX( GK$55:GK$96, MAX( COUNT( GL$9:GL$50 )  - $B154 + 1, 1)) : INDEX( GK$55:GK$96, MAX( COUNT( GL$9:GL$50 )  - $C154 + 1, 1)), INDEX( GK$101:GK$142, MAX( COUNT( GL$9:GL$50 )  - $B154 + 1, 1)) : INDEX( GK$101:GK$142, MAX( COUNT( GL$9:GL$50 )  - $C154 + 1, 1)) &gt; 0)))</f>
        <v>1.0001933407283112</v>
      </c>
      <c r="GL154" s="8">
        <f>+IF(GL$8 = 125, 1, MEDIAN(_xlfn._xlws.FILTER(INDEX( GL$55:GL$96, MAX( COUNT( GM$9:GM$50 )  - $B154 + 1, 1)) : INDEX( GL$55:GL$96, MAX( COUNT( GM$9:GM$50 )  - $C154 + 1, 1)), INDEX( GL$101:GL$142, MAX( COUNT( GM$9:GM$50 )  - $B154 + 1, 1)) : INDEX( GL$101:GL$142, MAX( COUNT( GM$9:GM$50 )  - $C154 + 1, 1)) &gt; 0)))</f>
        <v>1</v>
      </c>
      <c r="GM154" s="8">
        <f>+IF(GM$8 = 125, 1, MEDIAN(_xlfn._xlws.FILTER(INDEX( GM$55:GM$96, MAX( COUNT( GN$9:GN$50 )  - $B154 + 1, 1)) : INDEX( GM$55:GM$96, MAX( COUNT( GN$9:GN$50 )  - $C154 + 1, 1)), INDEX( GM$101:GM$142, MAX( COUNT( GN$9:GN$50 )  - $B154 + 1, 1)) : INDEX( GM$101:GM$142, MAX( COUNT( GN$9:GN$50 )  - $C154 + 1, 1)) &gt; 0)))</f>
        <v>1.0000695870659393</v>
      </c>
      <c r="GN154" s="8">
        <f>+IF(GN$8 = 125, 1, MEDIAN(_xlfn._xlws.FILTER(INDEX( GN$55:GN$96, MAX( COUNT( GO$9:GO$50 )  - $B154 + 1, 1)) : INDEX( GN$55:GN$96, MAX( COUNT( GO$9:GO$50 )  - $C154 + 1, 1)), INDEX( GN$101:GN$142, MAX( COUNT( GO$9:GO$50 )  - $B154 + 1, 1)) : INDEX( GN$101:GN$142, MAX( COUNT( GO$9:GO$50 )  - $C154 + 1, 1)) &gt; 0)))</f>
        <v>1.0001274673517386</v>
      </c>
      <c r="GO154" s="8">
        <f>+IF(GO$8 = 125, 1, MEDIAN(_xlfn._xlws.FILTER(INDEX( GO$55:GO$96, MAX( COUNT( GP$9:GP$50 )  - $B154 + 1, 1)) : INDEX( GO$55:GO$96, MAX( COUNT( GP$9:GP$50 )  - $C154 + 1, 1)), INDEX( GO$101:GO$142, MAX( COUNT( GP$9:GP$50 )  - $B154 + 1, 1)) : INDEX( GO$101:GO$142, MAX( COUNT( GP$9:GP$50 )  - $C154 + 1, 1)) &gt; 0)))</f>
        <v>1</v>
      </c>
      <c r="GP154" s="8">
        <f>+IF(GP$8 = 125, 1, MEDIAN(_xlfn._xlws.FILTER(INDEX( GP$55:GP$96, MAX( COUNT( GQ$9:GQ$50 )  - $B154 + 1, 1)) : INDEX( GP$55:GP$96, MAX( COUNT( GQ$9:GQ$50 )  - $C154 + 1, 1)), INDEX( GP$101:GP$142, MAX( COUNT( GQ$9:GQ$50 )  - $B154 + 1, 1)) : INDEX( GP$101:GP$142, MAX( COUNT( GQ$9:GQ$50 )  - $C154 + 1, 1)) &gt; 0)))</f>
        <v>1.0000326238372894</v>
      </c>
      <c r="GQ154" s="8">
        <f>+IF(GQ$8 = 125, 1, MEDIAN(_xlfn._xlws.FILTER(INDEX( GQ$55:GQ$96, MAX( COUNT( GR$9:GR$50 )  - $B154 + 1, 1)) : INDEX( GQ$55:GQ$96, MAX( COUNT( GR$9:GR$50 )  - $C154 + 1, 1)), INDEX( GQ$101:GQ$142, MAX( COUNT( GR$9:GR$50 )  - $B154 + 1, 1)) : INDEX( GQ$101:GQ$142, MAX( COUNT( GR$9:GR$50 )  - $C154 + 1, 1)) &gt; 0)))</f>
        <v>1</v>
      </c>
      <c r="GR154" s="8">
        <f>+IF(GR$8 = 125, 1, MEDIAN(_xlfn._xlws.FILTER(INDEX( GR$55:GR$96, MAX( COUNT( GS$9:GS$50 )  - $B154 + 1, 1)) : INDEX( GR$55:GR$96, MAX( COUNT( GS$9:GS$50 )  - $C154 + 1, 1)), INDEX( GR$101:GR$142, MAX( COUNT( GS$9:GS$50 )  - $B154 + 1, 1)) : INDEX( GR$101:GR$142, MAX( COUNT( GS$9:GS$50 )  - $C154 + 1, 1)) &gt; 0)))</f>
        <v>1</v>
      </c>
      <c r="GS154" s="8">
        <f>+IF(GS$8 = 125, 1, MEDIAN(_xlfn._xlws.FILTER(INDEX( GS$55:GS$96, MAX( COUNT( GT$9:GT$50 )  - $B154 + 1, 1)) : INDEX( GS$55:GS$96, MAX( COUNT( GT$9:GT$50 )  - $C154 + 1, 1)), INDEX( GS$101:GS$142, MAX( COUNT( GT$9:GT$50 )  - $B154 + 1, 1)) : INDEX( GS$101:GS$142, MAX( COUNT( GT$9:GT$50 )  - $C154 + 1, 1)) &gt; 0)))</f>
        <v>1.0004677234876236</v>
      </c>
      <c r="GT154" s="8">
        <f>+IF(GT$8 = 125, 1, MEDIAN(_xlfn._xlws.FILTER(INDEX( GT$55:GT$96, MAX( COUNT( GU$9:GU$50 )  - $B154 + 1, 1)) : INDEX( GT$55:GT$96, MAX( COUNT( GU$9:GU$50 )  - $C154 + 1, 1)), INDEX( GT$101:GT$142, MAX( COUNT( GU$9:GU$50 )  - $B154 + 1, 1)) : INDEX( GT$101:GT$142, MAX( COUNT( GU$9:GU$50 )  - $C154 + 1, 1)) &gt; 0)))</f>
        <v>1</v>
      </c>
      <c r="GU154" s="8">
        <f>+IF(GU$8 = 125, 1, MEDIAN(_xlfn._xlws.FILTER(INDEX( GU$55:GU$96, MAX( COUNT( GV$9:GV$50 )  - $B154 + 1, 1)) : INDEX( GU$55:GU$96, MAX( COUNT( GV$9:GV$50 )  - $C154 + 1, 1)), INDEX( GU$101:GU$142, MAX( COUNT( GV$9:GV$50 )  - $B154 + 1, 1)) : INDEX( GU$101:GU$142, MAX( COUNT( GV$9:GV$50 )  - $C154 + 1, 1)) &gt; 0)))</f>
        <v>1.0000119689931446</v>
      </c>
      <c r="GV154" s="8">
        <f>+IF(GV$8 = 125, 1, MEDIAN(_xlfn._xlws.FILTER(INDEX( GV$55:GV$96, MAX( COUNT( GW$9:GW$50 )  - $B154 + 1, 1)) : INDEX( GV$55:GV$96, MAX( COUNT( GW$9:GW$50 )  - $C154 + 1, 1)), INDEX( GV$101:GV$142, MAX( COUNT( GW$9:GW$50 )  - $B154 + 1, 1)) : INDEX( GV$101:GV$142, MAX( COUNT( GW$9:GW$50 )  - $C154 + 1, 1)) &gt; 0)))</f>
        <v>1.0000270091256209</v>
      </c>
      <c r="GW154" s="8">
        <f>+IF(GW$8 = 125, 1, MEDIAN(_xlfn._xlws.FILTER(INDEX( GW$55:GW$96, MAX( COUNT( GX$9:GX$50 )  - $B154 + 1, 1)) : INDEX( GW$55:GW$96, MAX( COUNT( GX$9:GX$50 )  - $C154 + 1, 1)), INDEX( GW$101:GW$142, MAX( COUNT( GX$9:GX$50 )  - $B154 + 1, 1)) : INDEX( GW$101:GW$142, MAX( COUNT( GX$9:GX$50 )  - $C154 + 1, 1)) &gt; 0)))</f>
        <v>1.0001037748392567</v>
      </c>
      <c r="GX154" s="8">
        <f>+IF(GX$8 = 125, 1, MEDIAN(_xlfn._xlws.FILTER(INDEX( GX$55:GX$96, MAX( COUNT( GY$9:GY$50 )  - $B154 + 1, 1)) : INDEX( GX$55:GX$96, MAX( COUNT( GY$9:GY$50 )  - $C154 + 1, 1)), INDEX( GX$101:GX$142, MAX( COUNT( GY$9:GY$50 )  - $B154 + 1, 1)) : INDEX( GX$101:GX$142, MAX( COUNT( GY$9:GY$50 )  - $C154 + 1, 1)) &gt; 0)))</f>
        <v>1.0000628387579482</v>
      </c>
      <c r="GY154" s="8">
        <f>+IF(GY$8 = 125, 1, MEDIAN(_xlfn._xlws.FILTER(INDEX( GY$55:GY$96, MAX( COUNT( GZ$9:GZ$50 )  - $B154 + 1, 1)) : INDEX( GY$55:GY$96, MAX( COUNT( GZ$9:GZ$50 )  - $C154 + 1, 1)), INDEX( GY$101:GY$142, MAX( COUNT( GZ$9:GZ$50 )  - $B154 + 1, 1)) : INDEX( GY$101:GY$142, MAX( COUNT( GZ$9:GZ$50 )  - $C154 + 1, 1)) &gt; 0)))</f>
        <v>1.0000014566411251</v>
      </c>
      <c r="GZ154" s="8">
        <f>+IF(GZ$8 = 125, 1, MEDIAN(_xlfn._xlws.FILTER(INDEX( GZ$55:GZ$96, MAX( COUNT( HA$9:HA$50 )  - $B154 + 1, 1)) : INDEX( GZ$55:GZ$96, MAX( COUNT( HA$9:HA$50 )  - $C154 + 1, 1)), INDEX( GZ$101:GZ$142, MAX( COUNT( HA$9:HA$50 )  - $B154 + 1, 1)) : INDEX( GZ$101:GZ$142, MAX( COUNT( HA$9:HA$50 )  - $C154 + 1, 1)) &gt; 0)))</f>
        <v>1.0001176853547658</v>
      </c>
      <c r="HA154" s="8">
        <f>+IF(HA$8 = 125, 1, MEDIAN(_xlfn._xlws.FILTER(INDEX( HA$55:HA$96, MAX( COUNT( HB$9:HB$50 )  - $B154 + 1, 1)) : INDEX( HA$55:HA$96, MAX( COUNT( HB$9:HB$50 )  - $C154 + 1, 1)), INDEX( HA$101:HA$142, MAX( COUNT( HB$9:HB$50 )  - $B154 + 1, 1)) : INDEX( HA$101:HA$142, MAX( COUNT( HB$9:HB$50 )  - $C154 + 1, 1)) &gt; 0)))</f>
        <v>1.0000413116356381</v>
      </c>
      <c r="HB154" s="8">
        <f>+IF(HB$8 = 125, 1, MEDIAN(_xlfn._xlws.FILTER(INDEX( HB$55:HB$96, MAX( COUNT( HC$9:HC$50 )  - $B154 + 1, 1)) : INDEX( HB$55:HB$96, MAX( COUNT( HC$9:HC$50 )  - $C154 + 1, 1)), INDEX( HB$101:HB$142, MAX( COUNT( HC$9:HC$50 )  - $B154 + 1, 1)) : INDEX( HB$101:HB$142, MAX( COUNT( HC$9:HC$50 )  - $C154 + 1, 1)) &gt; 0)))</f>
        <v>1</v>
      </c>
      <c r="HC154" s="8">
        <f>+IF(HC$8 = 125, 1, MEDIAN(_xlfn._xlws.FILTER(INDEX( HC$55:HC$96, MAX( COUNT( HD$9:HD$50 )  - $B154 + 1, 1)) : INDEX( HC$55:HC$96, MAX( COUNT( HD$9:HD$50 )  - $C154 + 1, 1)), INDEX( HC$101:HC$142, MAX( COUNT( HD$9:HD$50 )  - $B154 + 1, 1)) : INDEX( HC$101:HC$142, MAX( COUNT( HD$9:HD$50 )  - $C154 + 1, 1)) &gt; 0)))</f>
        <v>1.0002652457891181</v>
      </c>
      <c r="HD154" s="8">
        <f>+IF(HD$8 = 125, 1, MEDIAN(_xlfn._xlws.FILTER(INDEX( HD$55:HD$96, MAX( COUNT( HE$9:HE$50 )  - $B154 + 1, 1)) : INDEX( HD$55:HD$96, MAX( COUNT( HE$9:HE$50 )  - $C154 + 1, 1)), INDEX( HD$101:HD$142, MAX( COUNT( HE$9:HE$50 )  - $B154 + 1, 1)) : INDEX( HD$101:HD$142, MAX( COUNT( HE$9:HE$50 )  - $C154 + 1, 1)) &gt; 0)))</f>
        <v>1</v>
      </c>
      <c r="HE154" s="8">
        <f>+IF(HE$8 = 125, 1, MEDIAN(_xlfn._xlws.FILTER(INDEX( HE$55:HE$96, MAX( COUNT( HF$9:HF$50 )  - $B154 + 1, 1)) : INDEX( HE$55:HE$96, MAX( COUNT( HF$9:HF$50 )  - $C154 + 1, 1)), INDEX( HE$101:HE$142, MAX( COUNT( HF$9:HF$50 )  - $B154 + 1, 1)) : INDEX( HE$101:HE$142, MAX( COUNT( HF$9:HF$50 )  - $C154 + 1, 1)) &gt; 0)))</f>
        <v>1.0003292061511231</v>
      </c>
      <c r="HF154" s="8">
        <f>+IF(HF$8 = 125, 1, MEDIAN(_xlfn._xlws.FILTER(INDEX( HF$55:HF$96, MAX( COUNT( HG$9:HG$50 )  - $B154 + 1, 1)) : INDEX( HF$55:HF$96, MAX( COUNT( HG$9:HG$50 )  - $C154 + 1, 1)), INDEX( HF$101:HF$142, MAX( COUNT( HG$9:HG$50 )  - $B154 + 1, 1)) : INDEX( HF$101:HF$142, MAX( COUNT( HG$9:HG$50 )  - $C154 + 1, 1)) &gt; 0)))</f>
        <v>1.0000434221916044</v>
      </c>
      <c r="HG154" s="8">
        <f>+IF(HG$8 = 125, 1, MEDIAN(_xlfn._xlws.FILTER(INDEX( HG$55:HG$96, MAX( COUNT( HH$9:HH$50 )  - $B154 + 1, 1)) : INDEX( HG$55:HG$96, MAX( COUNT( HH$9:HH$50 )  - $C154 + 1, 1)), INDEX( HG$101:HG$142, MAX( COUNT( HH$9:HH$50 )  - $B154 + 1, 1)) : INDEX( HG$101:HG$142, MAX( COUNT( HH$9:HH$50 )  - $C154 + 1, 1)) &gt; 0)))</f>
        <v>1.0000513654505072</v>
      </c>
      <c r="HH154" s="8">
        <f>+IF(HH$8 = 125, 1, MEDIAN(_xlfn._xlws.FILTER(INDEX( HH$55:HH$96, MAX( COUNT( HI$9:HI$50 )  - $B154 + 1, 1)) : INDEX( HH$55:HH$96, MAX( COUNT( HI$9:HI$50 )  - $C154 + 1, 1)), INDEX( HH$101:HH$142, MAX( COUNT( HI$9:HI$50 )  - $B154 + 1, 1)) : INDEX( HH$101:HH$142, MAX( COUNT( HI$9:HI$50 )  - $C154 + 1, 1)) &gt; 0)))</f>
        <v>1.000883091051568</v>
      </c>
      <c r="HI154" s="8">
        <f>+IF(HI$8 = 125, 1, MEDIAN(_xlfn._xlws.FILTER(INDEX( HI$55:HI$96, MAX( COUNT( HJ$9:HJ$50 )  - $B154 + 1, 1)) : INDEX( HI$55:HI$96, MAX( COUNT( HJ$9:HJ$50 )  - $C154 + 1, 1)), INDEX( HI$101:HI$142, MAX( COUNT( HJ$9:HJ$50 )  - $B154 + 1, 1)) : INDEX( HI$101:HI$142, MAX( COUNT( HJ$9:HJ$50 )  - $C154 + 1, 1)) &gt; 0)))</f>
        <v>1.0000320099874682</v>
      </c>
      <c r="HJ154" s="8">
        <f>+IF(HJ$8 = 125, 1, MEDIAN(_xlfn._xlws.FILTER(INDEX( HJ$55:HJ$96, MAX( COUNT( HK$9:HK$50 )  - $B154 + 1, 1)) : INDEX( HJ$55:HJ$96, MAX( COUNT( HK$9:HK$50 )  - $C154 + 1, 1)), INDEX( HJ$101:HJ$142, MAX( COUNT( HK$9:HK$50 )  - $B154 + 1, 1)) : INDEX( HJ$101:HJ$142, MAX( COUNT( HK$9:HK$50 )  - $C154 + 1, 1)) &gt; 0)))</f>
        <v>1.0009718077168603</v>
      </c>
      <c r="HK154" s="8">
        <f>+IF(HK$8 = 125, 1, MEDIAN(_xlfn._xlws.FILTER(INDEX( HK$55:HK$96, MAX( COUNT( HL$9:HL$50 )  - $B154 + 1, 1)) : INDEX( HK$55:HK$96, MAX( COUNT( HL$9:HL$50 )  - $C154 + 1, 1)), INDEX( HK$101:HK$142, MAX( COUNT( HL$9:HL$50 )  - $B154 + 1, 1)) : INDEX( HK$101:HK$142, MAX( COUNT( HL$9:HL$50 )  - $C154 + 1, 1)) &gt; 0)))</f>
        <v>1</v>
      </c>
      <c r="HL154" s="8">
        <f>+IF(HL$8 = 125, 1, MEDIAN(_xlfn._xlws.FILTER(INDEX( HL$55:HL$96, MAX( COUNT( HM$9:HM$50 )  - $B154 + 1, 1)) : INDEX( HL$55:HL$96, MAX( COUNT( HM$9:HM$50 )  - $C154 + 1, 1)), INDEX( HL$101:HL$142, MAX( COUNT( HM$9:HM$50 )  - $B154 + 1, 1)) : INDEX( HL$101:HL$142, MAX( COUNT( HM$9:HM$50 )  - $C154 + 1, 1)) &gt; 0)))</f>
        <v>1</v>
      </c>
      <c r="HM154" s="8">
        <f>+IF(HM$8 = 125, 1, MEDIAN(_xlfn._xlws.FILTER(INDEX( HM$55:HM$96, MAX( COUNT( HN$9:HN$50 )  - $B154 + 1, 1)) : INDEX( HM$55:HM$96, MAX( COUNT( HN$9:HN$50 )  - $C154 + 1, 1)), INDEX( HM$101:HM$142, MAX( COUNT( HN$9:HN$50 )  - $B154 + 1, 1)) : INDEX( HM$101:HM$142, MAX( COUNT( HN$9:HN$50 )  - $C154 + 1, 1)) &gt; 0)))</f>
        <v>1.00078522362235</v>
      </c>
      <c r="HN154" s="8">
        <f>+IF(HN$8 = 125, 1, MEDIAN(_xlfn._xlws.FILTER(INDEX( HN$55:HN$96, MAX( COUNT( HO$9:HO$50 )  - $B154 + 1, 1)) : INDEX( HN$55:HN$96, MAX( COUNT( HO$9:HO$50 )  - $C154 + 1, 1)), INDEX( HN$101:HN$142, MAX( COUNT( HO$9:HO$50 )  - $B154 + 1, 1)) : INDEX( HN$101:HN$142, MAX( COUNT( HO$9:HO$50 )  - $C154 + 1, 1)) &gt; 0)))</f>
        <v>1.0001730955599657</v>
      </c>
      <c r="HO154" s="8">
        <f>+IF(HO$8 = 125, 1, MEDIAN(_xlfn._xlws.FILTER(INDEX( HO$55:HO$96, MAX( COUNT( HP$9:HP$50 )  - $B154 + 1, 1)) : INDEX( HO$55:HO$96, MAX( COUNT( HP$9:HP$50 )  - $C154 + 1, 1)), INDEX( HO$101:HO$142, MAX( COUNT( HP$9:HP$50 )  - $B154 + 1, 1)) : INDEX( HO$101:HO$142, MAX( COUNT( HP$9:HP$50 )  - $C154 + 1, 1)) &gt; 0)))</f>
        <v>1.0000312566620173</v>
      </c>
      <c r="HP154" s="8">
        <f>+IF(HP$8 = 125, 1, MEDIAN(_xlfn._xlws.FILTER(INDEX( HP$55:HP$96, MAX( COUNT( HQ$9:HQ$50 )  - $B154 + 1, 1)) : INDEX( HP$55:HP$96, MAX( COUNT( HQ$9:HQ$50 )  - $C154 + 1, 1)), INDEX( HP$101:HP$142, MAX( COUNT( HQ$9:HQ$50 )  - $B154 + 1, 1)) : INDEX( HP$101:HP$142, MAX( COUNT( HQ$9:HQ$50 )  - $C154 + 1, 1)) &gt; 0)))</f>
        <v>1</v>
      </c>
      <c r="HQ154" s="8">
        <f>+IF(HQ$8 = 125, 1, MEDIAN(_xlfn._xlws.FILTER(INDEX( HQ$55:HQ$96, MAX( COUNT( HR$9:HR$50 )  - $B154 + 1, 1)) : INDEX( HQ$55:HQ$96, MAX( COUNT( HR$9:HR$50 )  - $C154 + 1, 1)), INDEX( HQ$101:HQ$142, MAX( COUNT( HR$9:HR$50 )  - $B154 + 1, 1)) : INDEX( HQ$101:HQ$142, MAX( COUNT( HR$9:HR$50 )  - $C154 + 1, 1)) &gt; 0)))</f>
        <v>1.0000002947116617</v>
      </c>
      <c r="HR154" s="8">
        <f>+IF(HR$8 = 125, 1, MEDIAN(_xlfn._xlws.FILTER(INDEX( HR$55:HR$96, MAX( COUNT( HS$9:HS$50 )  - $B154 + 1, 1)) : INDEX( HR$55:HR$96, MAX( COUNT( HS$9:HS$50 )  - $C154 + 1, 1)), INDEX( HR$101:HR$142, MAX( COUNT( HS$9:HS$50 )  - $B154 + 1, 1)) : INDEX( HR$101:HR$142, MAX( COUNT( HS$9:HS$50 )  - $C154 + 1, 1)) &gt; 0)))</f>
        <v>1.0001763287897749</v>
      </c>
      <c r="HS154" s="8">
        <f>+IF(HS$8 = 125, 1, MEDIAN(_xlfn._xlws.FILTER(INDEX( HS$55:HS$96, MAX( COUNT( HT$9:HT$50 )  - $B154 + 1, 1)) : INDEX( HS$55:HS$96, MAX( COUNT( HT$9:HT$50 )  - $C154 + 1, 1)), INDEX( HS$101:HS$142, MAX( COUNT( HT$9:HT$50 )  - $B154 + 1, 1)) : INDEX( HS$101:HS$142, MAX( COUNT( HT$9:HT$50 )  - $C154 + 1, 1)) &gt; 0)))</f>
        <v>1.0003804665360101</v>
      </c>
      <c r="HT154" s="8">
        <f>+IF(HT$8 = 125, 1, MEDIAN(_xlfn._xlws.FILTER(INDEX( HT$55:HT$96, MAX( COUNT( HU$9:HU$50 )  - $B154 + 1, 1)) : INDEX( HT$55:HT$96, MAX( COUNT( HU$9:HU$50 )  - $C154 + 1, 1)), INDEX( HT$101:HT$142, MAX( COUNT( HU$9:HU$50 )  - $B154 + 1, 1)) : INDEX( HT$101:HT$142, MAX( COUNT( HU$9:HU$50 )  - $C154 + 1, 1)) &gt; 0)))</f>
        <v>1.0007402539052472</v>
      </c>
      <c r="HU154" s="8">
        <f>+IF(HU$8 = 125, 1, MEDIAN(_xlfn._xlws.FILTER(INDEX( HU$55:HU$96, MAX( COUNT( HV$9:HV$50 )  - $B154 + 1, 1)) : INDEX( HU$55:HU$96, MAX( COUNT( HV$9:HV$50 )  - $C154 + 1, 1)), INDEX( HU$101:HU$142, MAX( COUNT( HV$9:HV$50 )  - $B154 + 1, 1)) : INDEX( HU$101:HU$142, MAX( COUNT( HV$9:HV$50 )  - $C154 + 1, 1)) &gt; 0)))</f>
        <v>1.0003643269405273</v>
      </c>
      <c r="HV154" s="8">
        <f>+IF(HV$8 = 125, 1, MEDIAN(_xlfn._xlws.FILTER(INDEX( HV$55:HV$96, MAX( COUNT( HW$9:HW$50 )  - $B154 + 1, 1)) : INDEX( HV$55:HV$96, MAX( COUNT( HW$9:HW$50 )  - $C154 + 1, 1)), INDEX( HV$101:HV$142, MAX( COUNT( HW$9:HW$50 )  - $B154 + 1, 1)) : INDEX( HV$101:HV$142, MAX( COUNT( HW$9:HW$50 )  - $C154 + 1, 1)) &gt; 0)))</f>
        <v>1.0002580188759422</v>
      </c>
      <c r="HW154" s="8">
        <f>+IF(HW$8 = 125, 1, MEDIAN(_xlfn._xlws.FILTER(INDEX( HW$55:HW$96, MAX( COUNT( HX$9:HX$50 )  - $B154 + 1, 1)) : INDEX( HW$55:HW$96, MAX( COUNT( HX$9:HX$50 )  - $C154 + 1, 1)), INDEX( HW$101:HW$142, MAX( COUNT( HX$9:HX$50 )  - $B154 + 1, 1)) : INDEX( HW$101:HW$142, MAX( COUNT( HX$9:HX$50 )  - $C154 + 1, 1)) &gt; 0)))</f>
        <v>1</v>
      </c>
      <c r="HX154" s="8">
        <f>+IF(HX$8 = 125, 1, MEDIAN(_xlfn._xlws.FILTER(INDEX( HX$55:HX$96, MAX( COUNT( HY$9:HY$50 )  - $B154 + 1, 1)) : INDEX( HX$55:HX$96, MAX( COUNT( HY$9:HY$50 )  - $C154 + 1, 1)), INDEX( HX$101:HX$142, MAX( COUNT( HY$9:HY$50 )  - $B154 + 1, 1)) : INDEX( HX$101:HX$142, MAX( COUNT( HY$9:HY$50 )  - $C154 + 1, 1)) &gt; 0)))</f>
        <v>1.00004149633077</v>
      </c>
      <c r="HY154" s="8">
        <f>+IF(HY$8 = 125, 1, MEDIAN(_xlfn._xlws.FILTER(INDEX( HY$55:HY$96, MAX( COUNT( HZ$9:HZ$50 )  - $B154 + 1, 1)) : INDEX( HY$55:HY$96, MAX( COUNT( HZ$9:HZ$50 )  - $C154 + 1, 1)), INDEX( HY$101:HY$142, MAX( COUNT( HZ$9:HZ$50 )  - $B154 + 1, 1)) : INDEX( HY$101:HY$142, MAX( COUNT( HZ$9:HZ$50 )  - $C154 + 1, 1)) &gt; 0)))</f>
        <v>1</v>
      </c>
      <c r="HZ154" s="8">
        <f>+IF(HZ$8 = 125, 1, MEDIAN(_xlfn._xlws.FILTER(INDEX( HZ$55:HZ$96, MAX( COUNT( IA$9:IA$50 )  - $B154 + 1, 1)) : INDEX( HZ$55:HZ$96, MAX( COUNT( IA$9:IA$50 )  - $C154 + 1, 1)), INDEX( HZ$101:HZ$142, MAX( COUNT( IA$9:IA$50 )  - $B154 + 1, 1)) : INDEX( HZ$101:HZ$142, MAX( COUNT( IA$9:IA$50 )  - $C154 + 1, 1)) &gt; 0)))</f>
        <v>1.0001352576581071</v>
      </c>
      <c r="IA154" s="8">
        <f>+IF(IA$8 = 125, 1, MEDIAN(_xlfn._xlws.FILTER(INDEX( IA$55:IA$96, MAX( COUNT( IB$9:IB$50 )  - $B154 + 1, 1)) : INDEX( IA$55:IA$96, MAX( COUNT( IB$9:IB$50 )  - $C154 + 1, 1)), INDEX( IA$101:IA$142, MAX( COUNT( IB$9:IB$50 )  - $B154 + 1, 1)) : INDEX( IA$101:IA$142, MAX( COUNT( IB$9:IB$50 )  - $C154 + 1, 1)) &gt; 0)))</f>
        <v>1</v>
      </c>
      <c r="IB154" s="8">
        <f>+IF(IB$8 = 125, 1, MEDIAN(_xlfn._xlws.FILTER(INDEX( IB$55:IB$96, MAX( COUNT( IC$9:IC$50 )  - $B154 + 1, 1)) : INDEX( IB$55:IB$96, MAX( COUNT( IC$9:IC$50 )  - $C154 + 1, 1)), INDEX( IB$101:IB$142, MAX( COUNT( IC$9:IC$50 )  - $B154 + 1, 1)) : INDEX( IB$101:IB$142, MAX( COUNT( IC$9:IC$50 )  - $C154 + 1, 1)) &gt; 0)))</f>
        <v>1</v>
      </c>
      <c r="IC154" s="8">
        <f>+IF(IC$8 = 125, 1, MEDIAN(_xlfn._xlws.FILTER(INDEX( IC$55:IC$96, MAX( COUNT( ID$9:ID$50 )  - $B154 + 1, 1)) : INDEX( IC$55:IC$96, MAX( COUNT( ID$9:ID$50 )  - $C154 + 1, 1)), INDEX( IC$101:IC$142, MAX( COUNT( ID$9:ID$50 )  - $B154 + 1, 1)) : INDEX( IC$101:IC$142, MAX( COUNT( ID$9:ID$50 )  - $C154 + 1, 1)) &gt; 0)))</f>
        <v>1</v>
      </c>
      <c r="ID154" s="8">
        <f>+IF(ID$8 = 125, 1, MEDIAN(_xlfn._xlws.FILTER(INDEX( ID$55:ID$96, MAX( COUNT( IE$9:IE$50 )  - $B154 + 1, 1)) : INDEX( ID$55:ID$96, MAX( COUNT( IE$9:IE$50 )  - $C154 + 1, 1)), INDEX( ID$101:ID$142, MAX( COUNT( IE$9:IE$50 )  - $B154 + 1, 1)) : INDEX( ID$101:ID$142, MAX( COUNT( IE$9:IE$50 )  - $C154 + 1, 1)) &gt; 0)))</f>
        <v>1.0000534790220885</v>
      </c>
      <c r="IE154" s="8">
        <f>+IF(IE$8 = 125, 1, MEDIAN(_xlfn._xlws.FILTER(INDEX( IE$55:IE$96, MAX( COUNT( IF$9:IF$50 )  - $B154 + 1, 1)) : INDEX( IE$55:IE$96, MAX( COUNT( IF$9:IF$50 )  - $C154 + 1, 1)), INDEX( IE$101:IE$142, MAX( COUNT( IF$9:IF$50 )  - $B154 + 1, 1)) : INDEX( IE$101:IE$142, MAX( COUNT( IF$9:IF$50 )  - $C154 + 1, 1)) &gt; 0)))</f>
        <v>1.0002559125676707</v>
      </c>
      <c r="IF154" s="8">
        <f>+IF(IF$8 = 125, 1, MEDIAN(_xlfn._xlws.FILTER(INDEX( IF$55:IF$96, MAX( COUNT( IG$9:IG$50 )  - $B154 + 1, 1)) : INDEX( IF$55:IF$96, MAX( COUNT( IG$9:IG$50 )  - $C154 + 1, 1)), INDEX( IF$101:IF$142, MAX( COUNT( IG$9:IG$50 )  - $B154 + 1, 1)) : INDEX( IF$101:IF$142, MAX( COUNT( IG$9:IG$50 )  - $C154 + 1, 1)) &gt; 0)))</f>
        <v>1.0008326599542778</v>
      </c>
      <c r="IG154" s="8">
        <f>+IF(IG$8 = 125, 1, MEDIAN(_xlfn._xlws.FILTER(INDEX( IG$55:IG$96, MAX( COUNT( IH$9:IH$50 )  - $B154 + 1, 1)) : INDEX( IG$55:IG$96, MAX( COUNT( IH$9:IH$50 )  - $C154 + 1, 1)), INDEX( IG$101:IG$142, MAX( COUNT( IH$9:IH$50 )  - $B154 + 1, 1)) : INDEX( IG$101:IG$142, MAX( COUNT( IH$9:IH$50 )  - $C154 + 1, 1)) &gt; 0)))</f>
        <v>1.0004151423543806</v>
      </c>
      <c r="IH154" s="8">
        <f>+IF(IH$8 = 125, 1, MEDIAN(_xlfn._xlws.FILTER(INDEX( IH$55:IH$96, MAX( COUNT( II$9:II$50 )  - $B154 + 1, 1)) : INDEX( IH$55:IH$96, MAX( COUNT( II$9:II$50 )  - $C154 + 1, 1)), INDEX( IH$101:IH$142, MAX( COUNT( II$9:II$50 )  - $B154 + 1, 1)) : INDEX( IH$101:IH$142, MAX( COUNT( II$9:II$50 )  - $C154 + 1, 1)) &gt; 0)))</f>
        <v>1</v>
      </c>
      <c r="II154" s="8">
        <f>+IF(II$8 = 125, 1, MEDIAN(_xlfn._xlws.FILTER(INDEX( II$55:II$96, MAX( COUNT( IJ$9:IJ$50 )  - $B154 + 1, 1)) : INDEX( II$55:II$96, MAX( COUNT( IJ$9:IJ$50 )  - $C154 + 1, 1)), INDEX( II$101:II$142, MAX( COUNT( IJ$9:IJ$50 )  - $B154 + 1, 1)) : INDEX( II$101:II$142, MAX( COUNT( IJ$9:IJ$50 )  - $C154 + 1, 1)) &gt; 0)))</f>
        <v>1</v>
      </c>
      <c r="IJ154" s="8">
        <f>+IF(IJ$8 = 125, 1, MEDIAN(_xlfn._xlws.FILTER(INDEX( IJ$55:IJ$96, MAX( COUNT( IK$9:IK$50 )  - $B154 + 1, 1)) : INDEX( IJ$55:IJ$96, MAX( COUNT( IK$9:IK$50 )  - $C154 + 1, 1)), INDEX( IJ$101:IJ$142, MAX( COUNT( IK$9:IK$50 )  - $B154 + 1, 1)) : INDEX( IJ$101:IJ$142, MAX( COUNT( IK$9:IK$50 )  - $C154 + 1, 1)) &gt; 0)))</f>
        <v>1.0009048243600012</v>
      </c>
      <c r="IK154" s="8">
        <f>+IF(IK$8 = 125, 1, MEDIAN(_xlfn._xlws.FILTER(INDEX( IK$55:IK$96, MAX( COUNT( IL$9:IL$50 )  - $B154 + 1, 1)) : INDEX( IK$55:IK$96, MAX( COUNT( IL$9:IL$50 )  - $C154 + 1, 1)), INDEX( IK$101:IK$142, MAX( COUNT( IL$9:IL$50 )  - $B154 + 1, 1)) : INDEX( IK$101:IK$142, MAX( COUNT( IL$9:IL$50 )  - $C154 + 1, 1)) &gt; 0)))</f>
        <v>1.0001392497412152</v>
      </c>
      <c r="IL154" s="8">
        <f>+IF(IL$8 = 125, 1, MEDIAN(_xlfn._xlws.FILTER(INDEX( IL$55:IL$96, MAX( COUNT( IM$9:IM$50 )  - $B154 + 1, 1)) : INDEX( IL$55:IL$96, MAX( COUNT( IM$9:IM$50 )  - $C154 + 1, 1)), INDEX( IL$101:IL$142, MAX( COUNT( IM$9:IM$50 )  - $B154 + 1, 1)) : INDEX( IL$101:IL$142, MAX( COUNT( IM$9:IM$50 )  - $C154 + 1, 1)) &gt; 0)))</f>
        <v>1.0010333286591275</v>
      </c>
      <c r="IM154" s="8">
        <f>+IF(IM$8 = 125, 1, MEDIAN(_xlfn._xlws.FILTER(INDEX( IM$55:IM$96, MAX( COUNT( IN$9:IN$50 )  - $B154 + 1, 1)) : INDEX( IM$55:IM$96, MAX( COUNT( IN$9:IN$50 )  - $C154 + 1, 1)), INDEX( IM$101:IM$142, MAX( COUNT( IN$9:IN$50 )  - $B154 + 1, 1)) : INDEX( IM$101:IM$142, MAX( COUNT( IN$9:IN$50 )  - $C154 + 1, 1)) &gt; 0)))</f>
        <v>1</v>
      </c>
      <c r="IN154" s="8">
        <f>+IF(IN$8 = 125, 1, MEDIAN(_xlfn._xlws.FILTER(INDEX( IN$55:IN$96, MAX( COUNT( IO$9:IO$50 )  - $B154 + 1, 1)) : INDEX( IN$55:IN$96, MAX( COUNT( IO$9:IO$50 )  - $C154 + 1, 1)), INDEX( IN$101:IN$142, MAX( COUNT( IO$9:IO$50 )  - $B154 + 1, 1)) : INDEX( IN$101:IN$142, MAX( COUNT( IO$9:IO$50 )  - $C154 + 1, 1)) &gt; 0)))</f>
        <v>1.0003621155643634</v>
      </c>
      <c r="IO154" s="8">
        <f>+IF(IO$8 = 125, 1, MEDIAN(_xlfn._xlws.FILTER(INDEX( IO$55:IO$96, MAX( COUNT( IP$9:IP$50 )  - $B154 + 1, 1)) : INDEX( IO$55:IO$96, MAX( COUNT( IP$9:IP$50 )  - $C154 + 1, 1)), INDEX( IO$101:IO$142, MAX( COUNT( IP$9:IP$50 )  - $B154 + 1, 1)) : INDEX( IO$101:IO$142, MAX( COUNT( IP$9:IP$50 )  - $C154 + 1, 1)) &gt; 0)))</f>
        <v>1.0025904940199786</v>
      </c>
      <c r="IP154" s="8">
        <f>+IF(IP$8 = 125, 1, MEDIAN(_xlfn._xlws.FILTER(INDEX( IP$55:IP$96, MAX( COUNT( IQ$9:IQ$50 )  - $B154 + 1, 1)) : INDEX( IP$55:IP$96, MAX( COUNT( IQ$9:IQ$50 )  - $C154 + 1, 1)), INDEX( IP$101:IP$142, MAX( COUNT( IQ$9:IQ$50 )  - $B154 + 1, 1)) : INDEX( IP$101:IP$142, MAX( COUNT( IQ$9:IQ$50 )  - $C154 + 1, 1)) &gt; 0)))</f>
        <v>1.0008651169757654</v>
      </c>
      <c r="IQ154" s="8">
        <f>+IF(IQ$8 = 125, 1, MEDIAN(_xlfn._xlws.FILTER(INDEX( IQ$55:IQ$96, MAX( COUNT( IR$9:IR$50 )  - $B154 + 1, 1)) : INDEX( IQ$55:IQ$96, MAX( COUNT( IR$9:IR$50 )  - $C154 + 1, 1)), INDEX( IQ$101:IQ$142, MAX( COUNT( IR$9:IR$50 )  - $B154 + 1, 1)) : INDEX( IQ$101:IQ$142, MAX( COUNT( IR$9:IR$50 )  - $C154 + 1, 1)) &gt; 0)))</f>
        <v>1.0035079427040097</v>
      </c>
      <c r="IR154" s="8">
        <f>+IF(IR$8 = 125, 1, MEDIAN(_xlfn._xlws.FILTER(INDEX( IR$55:IR$96, MAX( COUNT( IS$9:IS$50 )  - $B154 + 1, 1)) : INDEX( IR$55:IR$96, MAX( COUNT( IS$9:IS$50 )  - $C154 + 1, 1)), INDEX( IR$101:IR$142, MAX( COUNT( IS$9:IS$50 )  - $B154 + 1, 1)) : INDEX( IR$101:IR$142, MAX( COUNT( IS$9:IS$50 )  - $C154 + 1, 1)) &gt; 0)))</f>
        <v>1.0023335443520889</v>
      </c>
      <c r="IS154" s="8">
        <f>+IF(IS$8 = 125, 1, MEDIAN(_xlfn._xlws.FILTER(INDEX( IS$55:IS$96, MAX( COUNT( IT$9:IT$50 )  - $B154 + 1, 1)) : INDEX( IS$55:IS$96, MAX( COUNT( IT$9:IT$50 )  - $C154 + 1, 1)), INDEX( IS$101:IS$142, MAX( COUNT( IT$9:IT$50 )  - $B154 + 1, 1)) : INDEX( IS$101:IS$142, MAX( COUNT( IT$9:IT$50 )  - $C154 + 1, 1)) &gt; 0)))</f>
        <v>1.0055498790859507</v>
      </c>
      <c r="IT154" s="8">
        <f>+IF(IT$8 = 125, 1, MEDIAN(_xlfn._xlws.FILTER(INDEX( IT$55:IT$96, MAX( COUNT( IU$9:IU$50 )  - $B154 + 1, 1)) : INDEX( IT$55:IT$96, MAX( COUNT( IU$9:IU$50 )  - $C154 + 1, 1)), INDEX( IT$101:IT$142, MAX( COUNT( IU$9:IU$50 )  - $B154 + 1, 1)) : INDEX( IT$101:IT$142, MAX( COUNT( IU$9:IU$50 )  - $C154 + 1, 1)) &gt; 0)))</f>
        <v>1.0050872730680325</v>
      </c>
      <c r="IU154" s="8">
        <f>+IF(IU$8 = 125, 1, MEDIAN(_xlfn._xlws.FILTER(INDEX( IU$55:IU$96, MAX( COUNT( IV$9:IV$50 )  - $B154 + 1, 1)) : INDEX( IU$55:IU$96, MAX( COUNT( IV$9:IV$50 )  - $C154 + 1, 1)), INDEX( IU$101:IU$142, MAX( COUNT( IV$9:IV$50 )  - $B154 + 1, 1)) : INDEX( IU$101:IU$142, MAX( COUNT( IV$9:IV$50 )  - $C154 + 1, 1)) &gt; 0)))</f>
        <v>1.0045545119089383</v>
      </c>
      <c r="IV154" s="8">
        <f>+IF(IV$8 = 125, 1, MEDIAN(_xlfn._xlws.FILTER(INDEX( IV$55:IV$96, MAX( COUNT( IW$9:IW$50 )  - $B154 + 1, 1)) : INDEX( IV$55:IV$96, MAX( COUNT( IW$9:IW$50 )  - $C154 + 1, 1)), INDEX( IV$101:IV$142, MAX( COUNT( IW$9:IW$50 )  - $B154 + 1, 1)) : INDEX( IV$101:IV$142, MAX( COUNT( IW$9:IW$50 )  - $C154 + 1, 1)) &gt; 0)))</f>
        <v>1</v>
      </c>
    </row>
    <row r="155" spans="2:256" x14ac:dyDescent="0.2">
      <c r="B155">
        <v>1</v>
      </c>
      <c r="C155">
        <v>4</v>
      </c>
      <c r="F155" s="15" t="s">
        <v>15</v>
      </c>
      <c r="G155" s="8">
        <f>+IF(G$8 = 125, 1, SUM(_xlfn._xlws.FILTER(INDEX( H$9:H$50, MAX( COUNT( H$9:H$50 )  - $B155 + 1, 1)) : INDEX( H$9:H$50, MAX( COUNT( H$9:H$50 )  - $C155 + 1, 1)), INDEX( G$101:G$142, MAX( COUNT( H$9:H$50 )  - $B155 + 1, 1)) : INDEX( G$101:G$142, MAX( COUNT( H$9:H$50 )  - $C155 + 1, 1)) &gt; 0)) / SUM(_xlfn._xlws.FILTER(INDEX( G$9:G$50, MAX( COUNT( H$9:H$50 )  - $B155 + 1, 1)) : INDEX( G$9:G$50, MAX( COUNT( H$9:H$50 )  - $C155 + 1, 1)), INDEX( G$101:G$142, MAX( COUNT( H$9:H$50 )  - $B155 + 1, 1)) : INDEX( G$101:G$142, MAX( COUNT( H$9:H$50 )  - $C155 + 1, 1)) &gt; 0)) )</f>
        <v>6.4355734733026386</v>
      </c>
      <c r="H155" s="8">
        <f>+IF(H$8 = 125, 1, SUM(_xlfn._xlws.FILTER(INDEX( I$9:I$50, MAX( COUNT( I$9:I$50 )  - $B155 + 1, 1)) : INDEX( I$9:I$50, MAX( COUNT( I$9:I$50 )  - $C155 + 1, 1)), INDEX( H$101:H$142, MAX( COUNT( I$9:I$50 )  - $B155 + 1, 1)) : INDEX( H$101:H$142, MAX( COUNT( I$9:I$50 )  - $C155 + 1, 1)) &gt; 0)) / SUM(_xlfn._xlws.FILTER(INDEX( H$9:H$50, MAX( COUNT( I$9:I$50 )  - $B155 + 1, 1)) : INDEX( H$9:H$50, MAX( COUNT( I$9:I$50 )  - $C155 + 1, 1)), INDEX( H$101:H$142, MAX( COUNT( I$9:I$50 )  - $B155 + 1, 1)) : INDEX( H$101:H$142, MAX( COUNT( I$9:I$50 )  - $C155 + 1, 1)) &gt; 0)) )</f>
        <v>2.2371469373269464</v>
      </c>
      <c r="I155" s="8">
        <f>+IF(I$8 = 125, 1, SUM(_xlfn._xlws.FILTER(INDEX( J$9:J$50, MAX( COUNT( J$9:J$50 )  - $B155 + 1, 1)) : INDEX( J$9:J$50, MAX( COUNT( J$9:J$50 )  - $C155 + 1, 1)), INDEX( I$101:I$142, MAX( COUNT( J$9:J$50 )  - $B155 + 1, 1)) : INDEX( I$101:I$142, MAX( COUNT( J$9:J$50 )  - $C155 + 1, 1)) &gt; 0)) / SUM(_xlfn._xlws.FILTER(INDEX( I$9:I$50, MAX( COUNT( J$9:J$50 )  - $B155 + 1, 1)) : INDEX( I$9:I$50, MAX( COUNT( J$9:J$50 )  - $C155 + 1, 1)), INDEX( I$101:I$142, MAX( COUNT( J$9:J$50 )  - $B155 + 1, 1)) : INDEX( I$101:I$142, MAX( COUNT( J$9:J$50 )  - $C155 + 1, 1)) &gt; 0)) )</f>
        <v>1.7471322732692549</v>
      </c>
      <c r="J155" s="8">
        <f>+IF(J$8 = 125, 1, SUM(_xlfn._xlws.FILTER(INDEX( K$9:K$50, MAX( COUNT( K$9:K$50 )  - $B155 + 1, 1)) : INDEX( K$9:K$50, MAX( COUNT( K$9:K$50 )  - $C155 + 1, 1)), INDEX( J$101:J$142, MAX( COUNT( K$9:K$50 )  - $B155 + 1, 1)) : INDEX( J$101:J$142, MAX( COUNT( K$9:K$50 )  - $C155 + 1, 1)) &gt; 0)) / SUM(_xlfn._xlws.FILTER(INDEX( J$9:J$50, MAX( COUNT( K$9:K$50 )  - $B155 + 1, 1)) : INDEX( J$9:J$50, MAX( COUNT( K$9:K$50 )  - $C155 + 1, 1)), INDEX( J$101:J$142, MAX( COUNT( K$9:K$50 )  - $B155 + 1, 1)) : INDEX( J$101:J$142, MAX( COUNT( K$9:K$50 )  - $C155 + 1, 1)) &gt; 0)) )</f>
        <v>1.4150672030653473</v>
      </c>
      <c r="K155" s="8">
        <f>+IF(K$8 = 125, 1, SUM(_xlfn._xlws.FILTER(INDEX( L$9:L$50, MAX( COUNT( L$9:L$50 )  - $B155 + 1, 1)) : INDEX( L$9:L$50, MAX( COUNT( L$9:L$50 )  - $C155 + 1, 1)), INDEX( K$101:K$142, MAX( COUNT( L$9:L$50 )  - $B155 + 1, 1)) : INDEX( K$101:K$142, MAX( COUNT( L$9:L$50 )  - $C155 + 1, 1)) &gt; 0)) / SUM(_xlfn._xlws.FILTER(INDEX( K$9:K$50, MAX( COUNT( L$9:L$50 )  - $B155 + 1, 1)) : INDEX( K$9:K$50, MAX( COUNT( L$9:L$50 )  - $C155 + 1, 1)), INDEX( K$101:K$142, MAX( COUNT( L$9:L$50 )  - $B155 + 1, 1)) : INDEX( K$101:K$142, MAX( COUNT( L$9:L$50 )  - $C155 + 1, 1)) &gt; 0)) )</f>
        <v>1.0619361747073903</v>
      </c>
      <c r="L155" s="8">
        <f>+IF(L$8 = 125, 1, SUM(_xlfn._xlws.FILTER(INDEX( M$9:M$50, MAX( COUNT( M$9:M$50 )  - $B155 + 1, 1)) : INDEX( M$9:M$50, MAX( COUNT( M$9:M$50 )  - $C155 + 1, 1)), INDEX( L$101:L$142, MAX( COUNT( M$9:M$50 )  - $B155 + 1, 1)) : INDEX( L$101:L$142, MAX( COUNT( M$9:M$50 )  - $C155 + 1, 1)) &gt; 0)) / SUM(_xlfn._xlws.FILTER(INDEX( L$9:L$50, MAX( COUNT( M$9:M$50 )  - $B155 + 1, 1)) : INDEX( L$9:L$50, MAX( COUNT( M$9:M$50 )  - $C155 + 1, 1)), INDEX( L$101:L$142, MAX( COUNT( M$9:M$50 )  - $B155 + 1, 1)) : INDEX( L$101:L$142, MAX( COUNT( M$9:M$50 )  - $C155 + 1, 1)) &gt; 0)) )</f>
        <v>1.1038900390021256</v>
      </c>
      <c r="M155" s="8">
        <f>+IF(M$8 = 125, 1, SUM(_xlfn._xlws.FILTER(INDEX( N$9:N$50, MAX( COUNT( N$9:N$50 )  - $B155 + 1, 1)) : INDEX( N$9:N$50, MAX( COUNT( N$9:N$50 )  - $C155 + 1, 1)), INDEX( M$101:M$142, MAX( COUNT( N$9:N$50 )  - $B155 + 1, 1)) : INDEX( M$101:M$142, MAX( COUNT( N$9:N$50 )  - $C155 + 1, 1)) &gt; 0)) / SUM(_xlfn._xlws.FILTER(INDEX( M$9:M$50, MAX( COUNT( N$9:N$50 )  - $B155 + 1, 1)) : INDEX( M$9:M$50, MAX( COUNT( N$9:N$50 )  - $C155 + 1, 1)), INDEX( M$101:M$142, MAX( COUNT( N$9:N$50 )  - $B155 + 1, 1)) : INDEX( M$101:M$142, MAX( COUNT( N$9:N$50 )  - $C155 + 1, 1)) &gt; 0)) )</f>
        <v>1.0220123864154478</v>
      </c>
      <c r="N155" s="8">
        <f>+IF(N$8 = 125, 1, SUM(_xlfn._xlws.FILTER(INDEX( O$9:O$50, MAX( COUNT( O$9:O$50 )  - $B155 + 1, 1)) : INDEX( O$9:O$50, MAX( COUNT( O$9:O$50 )  - $C155 + 1, 1)), INDEX( N$101:N$142, MAX( COUNT( O$9:O$50 )  - $B155 + 1, 1)) : INDEX( N$101:N$142, MAX( COUNT( O$9:O$50 )  - $C155 + 1, 1)) &gt; 0)) / SUM(_xlfn._xlws.FILTER(INDEX( N$9:N$50, MAX( COUNT( O$9:O$50 )  - $B155 + 1, 1)) : INDEX( N$9:N$50, MAX( COUNT( O$9:O$50 )  - $C155 + 1, 1)), INDEX( N$101:N$142, MAX( COUNT( O$9:O$50 )  - $B155 + 1, 1)) : INDEX( N$101:N$142, MAX( COUNT( O$9:O$50 )  - $C155 + 1, 1)) &gt; 0)) )</f>
        <v>1.0098065134797072</v>
      </c>
      <c r="O155" s="8">
        <f>+IF(O$8 = 125, 1, SUM(_xlfn._xlws.FILTER(INDEX( P$9:P$50, MAX( COUNT( P$9:P$50 )  - $B155 + 1, 1)) : INDEX( P$9:P$50, MAX( COUNT( P$9:P$50 )  - $C155 + 1, 1)), INDEX( O$101:O$142, MAX( COUNT( P$9:P$50 )  - $B155 + 1, 1)) : INDEX( O$101:O$142, MAX( COUNT( P$9:P$50 )  - $C155 + 1, 1)) &gt; 0)) / SUM(_xlfn._xlws.FILTER(INDEX( O$9:O$50, MAX( COUNT( P$9:P$50 )  - $B155 + 1, 1)) : INDEX( O$9:O$50, MAX( COUNT( P$9:P$50 )  - $C155 + 1, 1)), INDEX( O$101:O$142, MAX( COUNT( P$9:P$50 )  - $B155 + 1, 1)) : INDEX( O$101:O$142, MAX( COUNT( P$9:P$50 )  - $C155 + 1, 1)) &gt; 0)) )</f>
        <v>1.0036985081157903</v>
      </c>
      <c r="P155" s="8">
        <f>+IF(P$8 = 125, 1, SUM(_xlfn._xlws.FILTER(INDEX( Q$9:Q$50, MAX( COUNT( Q$9:Q$50 )  - $B155 + 1, 1)) : INDEX( Q$9:Q$50, MAX( COUNT( Q$9:Q$50 )  - $C155 + 1, 1)), INDEX( P$101:P$142, MAX( COUNT( Q$9:Q$50 )  - $B155 + 1, 1)) : INDEX( P$101:P$142, MAX( COUNT( Q$9:Q$50 )  - $C155 + 1, 1)) &gt; 0)) / SUM(_xlfn._xlws.FILTER(INDEX( P$9:P$50, MAX( COUNT( Q$9:Q$50 )  - $B155 + 1, 1)) : INDEX( P$9:P$50, MAX( COUNT( Q$9:Q$50 )  - $C155 + 1, 1)), INDEX( P$101:P$142, MAX( COUNT( Q$9:Q$50 )  - $B155 + 1, 1)) : INDEX( P$101:P$142, MAX( COUNT( Q$9:Q$50 )  - $C155 + 1, 1)) &gt; 0)) )</f>
        <v>1.0097692123342745</v>
      </c>
      <c r="Q155" s="8">
        <f>+IF(Q$8 = 125, 1, SUM(_xlfn._xlws.FILTER(INDEX( R$9:R$50, MAX( COUNT( R$9:R$50 )  - $B155 + 1, 1)) : INDEX( R$9:R$50, MAX( COUNT( R$9:R$50 )  - $C155 + 1, 1)), INDEX( Q$101:Q$142, MAX( COUNT( R$9:R$50 )  - $B155 + 1, 1)) : INDEX( Q$101:Q$142, MAX( COUNT( R$9:R$50 )  - $C155 + 1, 1)) &gt; 0)) / SUM(_xlfn._xlws.FILTER(INDEX( Q$9:Q$50, MAX( COUNT( R$9:R$50 )  - $B155 + 1, 1)) : INDEX( Q$9:Q$50, MAX( COUNT( R$9:R$50 )  - $C155 + 1, 1)), INDEX( Q$101:Q$142, MAX( COUNT( R$9:R$50 )  - $B155 + 1, 1)) : INDEX( Q$101:Q$142, MAX( COUNT( R$9:R$50 )  - $C155 + 1, 1)) &gt; 0)) )</f>
        <v>0.99979014362379925</v>
      </c>
      <c r="R155" s="8">
        <f>+IF(R$8 = 125, 1, SUM(_xlfn._xlws.FILTER(INDEX( S$9:S$50, MAX( COUNT( S$9:S$50 )  - $B155 + 1, 1)) : INDEX( S$9:S$50, MAX( COUNT( S$9:S$50 )  - $C155 + 1, 1)), INDEX( R$101:R$142, MAX( COUNT( S$9:S$50 )  - $B155 + 1, 1)) : INDEX( R$101:R$142, MAX( COUNT( S$9:S$50 )  - $C155 + 1, 1)) &gt; 0)) / SUM(_xlfn._xlws.FILTER(INDEX( R$9:R$50, MAX( COUNT( S$9:S$50 )  - $B155 + 1, 1)) : INDEX( R$9:R$50, MAX( COUNT( S$9:S$50 )  - $C155 + 1, 1)), INDEX( R$101:R$142, MAX( COUNT( S$9:S$50 )  - $B155 + 1, 1)) : INDEX( R$101:R$142, MAX( COUNT( S$9:S$50 )  - $C155 + 1, 1)) &gt; 0)) )</f>
        <v>1.0040309553694711</v>
      </c>
      <c r="S155" s="8">
        <f>+IF(S$8 = 125, 1, SUM(_xlfn._xlws.FILTER(INDEX( T$9:T$50, MAX( COUNT( T$9:T$50 )  - $B155 + 1, 1)) : INDEX( T$9:T$50, MAX( COUNT( T$9:T$50 )  - $C155 + 1, 1)), INDEX( S$101:S$142, MAX( COUNT( T$9:T$50 )  - $B155 + 1, 1)) : INDEX( S$101:S$142, MAX( COUNT( T$9:T$50 )  - $C155 + 1, 1)) &gt; 0)) / SUM(_xlfn._xlws.FILTER(INDEX( S$9:S$50, MAX( COUNT( T$9:T$50 )  - $B155 + 1, 1)) : INDEX( S$9:S$50, MAX( COUNT( T$9:T$50 )  - $C155 + 1, 1)), INDEX( S$101:S$142, MAX( COUNT( T$9:T$50 )  - $B155 + 1, 1)) : INDEX( S$101:S$142, MAX( COUNT( T$9:T$50 )  - $C155 + 1, 1)) &gt; 0)) )</f>
        <v>1.0005393110644387</v>
      </c>
      <c r="T155" s="8">
        <f>+IF(T$8 = 125, 1, SUM(_xlfn._xlws.FILTER(INDEX( U$9:U$50, MAX( COUNT( U$9:U$50 )  - $B155 + 1, 1)) : INDEX( U$9:U$50, MAX( COUNT( U$9:U$50 )  - $C155 + 1, 1)), INDEX( T$101:T$142, MAX( COUNT( U$9:U$50 )  - $B155 + 1, 1)) : INDEX( T$101:T$142, MAX( COUNT( U$9:U$50 )  - $C155 + 1, 1)) &gt; 0)) / SUM(_xlfn._xlws.FILTER(INDEX( T$9:T$50, MAX( COUNT( U$9:U$50 )  - $B155 + 1, 1)) : INDEX( T$9:T$50, MAX( COUNT( U$9:U$50 )  - $C155 + 1, 1)), INDEX( T$101:T$142, MAX( COUNT( U$9:U$50 )  - $B155 + 1, 1)) : INDEX( T$101:T$142, MAX( COUNT( U$9:U$50 )  - $C155 + 1, 1)) &gt; 0)) )</f>
        <v>1.0007192875916551</v>
      </c>
      <c r="U155" s="8">
        <f>+IF(U$8 = 125, 1, SUM(_xlfn._xlws.FILTER(INDEX( V$9:V$50, MAX( COUNT( V$9:V$50 )  - $B155 + 1, 1)) : INDEX( V$9:V$50, MAX( COUNT( V$9:V$50 )  - $C155 + 1, 1)), INDEX( U$101:U$142, MAX( COUNT( V$9:V$50 )  - $B155 + 1, 1)) : INDEX( U$101:U$142, MAX( COUNT( V$9:V$50 )  - $C155 + 1, 1)) &gt; 0)) / SUM(_xlfn._xlws.FILTER(INDEX( U$9:U$50, MAX( COUNT( V$9:V$50 )  - $B155 + 1, 1)) : INDEX( U$9:U$50, MAX( COUNT( V$9:V$50 )  - $C155 + 1, 1)), INDEX( U$101:U$142, MAX( COUNT( V$9:V$50 )  - $B155 + 1, 1)) : INDEX( U$101:U$142, MAX( COUNT( V$9:V$50 )  - $C155 + 1, 1)) &gt; 0)) )</f>
        <v>1.0002654273935836</v>
      </c>
      <c r="V155" s="8">
        <f>+IF(V$8 = 125, 1, SUM(_xlfn._xlws.FILTER(INDEX( W$9:W$50, MAX( COUNT( W$9:W$50 )  - $B155 + 1, 1)) : INDEX( W$9:W$50, MAX( COUNT( W$9:W$50 )  - $C155 + 1, 1)), INDEX( V$101:V$142, MAX( COUNT( W$9:W$50 )  - $B155 + 1, 1)) : INDEX( V$101:V$142, MAX( COUNT( W$9:W$50 )  - $C155 + 1, 1)) &gt; 0)) / SUM(_xlfn._xlws.FILTER(INDEX( V$9:V$50, MAX( COUNT( W$9:W$50 )  - $B155 + 1, 1)) : INDEX( V$9:V$50, MAX( COUNT( W$9:W$50 )  - $C155 + 1, 1)), INDEX( V$101:V$142, MAX( COUNT( W$9:W$50 )  - $B155 + 1, 1)) : INDEX( V$101:V$142, MAX( COUNT( W$9:W$50 )  - $C155 + 1, 1)) &gt; 0)) )</f>
        <v>1.0006346555964694</v>
      </c>
      <c r="W155" s="8">
        <f>+IF(W$8 = 125, 1, SUM(_xlfn._xlws.FILTER(INDEX( X$9:X$50, MAX( COUNT( X$9:X$50 )  - $B155 + 1, 1)) : INDEX( X$9:X$50, MAX( COUNT( X$9:X$50 )  - $C155 + 1, 1)), INDEX( W$101:W$142, MAX( COUNT( X$9:X$50 )  - $B155 + 1, 1)) : INDEX( W$101:W$142, MAX( COUNT( X$9:X$50 )  - $C155 + 1, 1)) &gt; 0)) / SUM(_xlfn._xlws.FILTER(INDEX( W$9:W$50, MAX( COUNT( X$9:X$50 )  - $B155 + 1, 1)) : INDEX( W$9:W$50, MAX( COUNT( X$9:X$50 )  - $C155 + 1, 1)), INDEX( W$101:W$142, MAX( COUNT( X$9:X$50 )  - $B155 + 1, 1)) : INDEX( W$101:W$142, MAX( COUNT( X$9:X$50 )  - $C155 + 1, 1)) &gt; 0)) )</f>
        <v>1.0005159970994089</v>
      </c>
      <c r="X155" s="8">
        <f>+IF(X$8 = 125, 1, SUM(_xlfn._xlws.FILTER(INDEX( Y$9:Y$50, MAX( COUNT( Y$9:Y$50 )  - $B155 + 1, 1)) : INDEX( Y$9:Y$50, MAX( COUNT( Y$9:Y$50 )  - $C155 + 1, 1)), INDEX( X$101:X$142, MAX( COUNT( Y$9:Y$50 )  - $B155 + 1, 1)) : INDEX( X$101:X$142, MAX( COUNT( Y$9:Y$50 )  - $C155 + 1, 1)) &gt; 0)) / SUM(_xlfn._xlws.FILTER(INDEX( X$9:X$50, MAX( COUNT( Y$9:Y$50 )  - $B155 + 1, 1)) : INDEX( X$9:X$50, MAX( COUNT( Y$9:Y$50 )  - $C155 + 1, 1)), INDEX( X$101:X$142, MAX( COUNT( Y$9:Y$50 )  - $B155 + 1, 1)) : INDEX( X$101:X$142, MAX( COUNT( Y$9:Y$50 )  - $C155 + 1, 1)) &gt; 0)) )</f>
        <v>1.0003027534176248</v>
      </c>
      <c r="Y155" s="8">
        <f>+IF(Y$8 = 125, 1, SUM(_xlfn._xlws.FILTER(INDEX( Z$9:Z$50, MAX( COUNT( Z$9:Z$50 )  - $B155 + 1, 1)) : INDEX( Z$9:Z$50, MAX( COUNT( Z$9:Z$50 )  - $C155 + 1, 1)), INDEX( Y$101:Y$142, MAX( COUNT( Z$9:Z$50 )  - $B155 + 1, 1)) : INDEX( Y$101:Y$142, MAX( COUNT( Z$9:Z$50 )  - $C155 + 1, 1)) &gt; 0)) / SUM(_xlfn._xlws.FILTER(INDEX( Y$9:Y$50, MAX( COUNT( Z$9:Z$50 )  - $B155 + 1, 1)) : INDEX( Y$9:Y$50, MAX( COUNT( Z$9:Z$50 )  - $C155 + 1, 1)), INDEX( Y$101:Y$142, MAX( COUNT( Z$9:Z$50 )  - $B155 + 1, 1)) : INDEX( Y$101:Y$142, MAX( COUNT( Z$9:Z$50 )  - $C155 + 1, 1)) &gt; 0)) )</f>
        <v>1.000783880171791</v>
      </c>
      <c r="Z155" s="8">
        <f>+IF(Z$8 = 125, 1, SUM(_xlfn._xlws.FILTER(INDEX( AA$9:AA$50, MAX( COUNT( AA$9:AA$50 )  - $B155 + 1, 1)) : INDEX( AA$9:AA$50, MAX( COUNT( AA$9:AA$50 )  - $C155 + 1, 1)), INDEX( Z$101:Z$142, MAX( COUNT( AA$9:AA$50 )  - $B155 + 1, 1)) : INDEX( Z$101:Z$142, MAX( COUNT( AA$9:AA$50 )  - $C155 + 1, 1)) &gt; 0)) / SUM(_xlfn._xlws.FILTER(INDEX( Z$9:Z$50, MAX( COUNT( AA$9:AA$50 )  - $B155 + 1, 1)) : INDEX( Z$9:Z$50, MAX( COUNT( AA$9:AA$50 )  - $C155 + 1, 1)), INDEX( Z$101:Z$142, MAX( COUNT( AA$9:AA$50 )  - $B155 + 1, 1)) : INDEX( Z$101:Z$142, MAX( COUNT( AA$9:AA$50 )  - $C155 + 1, 1)) &gt; 0)) )</f>
        <v>1.0003712703449994</v>
      </c>
      <c r="AA155" s="8">
        <f>+IF(AA$8 = 125, 1, SUM(_xlfn._xlws.FILTER(INDEX( AB$9:AB$50, MAX( COUNT( AB$9:AB$50 )  - $B155 + 1, 1)) : INDEX( AB$9:AB$50, MAX( COUNT( AB$9:AB$50 )  - $C155 + 1, 1)), INDEX( AA$101:AA$142, MAX( COUNT( AB$9:AB$50 )  - $B155 + 1, 1)) : INDEX( AA$101:AA$142, MAX( COUNT( AB$9:AB$50 )  - $C155 + 1, 1)) &gt; 0)) / SUM(_xlfn._xlws.FILTER(INDEX( AA$9:AA$50, MAX( COUNT( AB$9:AB$50 )  - $B155 + 1, 1)) : INDEX( AA$9:AA$50, MAX( COUNT( AB$9:AB$50 )  - $C155 + 1, 1)), INDEX( AA$101:AA$142, MAX( COUNT( AB$9:AB$50 )  - $B155 + 1, 1)) : INDEX( AA$101:AA$142, MAX( COUNT( AB$9:AB$50 )  - $C155 + 1, 1)) &gt; 0)) )</f>
        <v>1.0000452586304318</v>
      </c>
      <c r="AB155" s="8">
        <f>+IF(AB$8 = 125, 1, SUM(_xlfn._xlws.FILTER(INDEX( AC$9:AC$50, MAX( COUNT( AC$9:AC$50 )  - $B155 + 1, 1)) : INDEX( AC$9:AC$50, MAX( COUNT( AC$9:AC$50 )  - $C155 + 1, 1)), INDEX( AB$101:AB$142, MAX( COUNT( AC$9:AC$50 )  - $B155 + 1, 1)) : INDEX( AB$101:AB$142, MAX( COUNT( AC$9:AC$50 )  - $C155 + 1, 1)) &gt; 0)) / SUM(_xlfn._xlws.FILTER(INDEX( AB$9:AB$50, MAX( COUNT( AC$9:AC$50 )  - $B155 + 1, 1)) : INDEX( AB$9:AB$50, MAX( COUNT( AC$9:AC$50 )  - $C155 + 1, 1)), INDEX( AB$101:AB$142, MAX( COUNT( AC$9:AC$50 )  - $B155 + 1, 1)) : INDEX( AB$101:AB$142, MAX( COUNT( AC$9:AC$50 )  - $C155 + 1, 1)) &gt; 0)) )</f>
        <v>1.0000078256009919</v>
      </c>
      <c r="AC155" s="8">
        <f>+IF(AC$8 = 125, 1, SUM(_xlfn._xlws.FILTER(INDEX( AD$9:AD$50, MAX( COUNT( AD$9:AD$50 )  - $B155 + 1, 1)) : INDEX( AD$9:AD$50, MAX( COUNT( AD$9:AD$50 )  - $C155 + 1, 1)), INDEX( AC$101:AC$142, MAX( COUNT( AD$9:AD$50 )  - $B155 + 1, 1)) : INDEX( AC$101:AC$142, MAX( COUNT( AD$9:AD$50 )  - $C155 + 1, 1)) &gt; 0)) / SUM(_xlfn._xlws.FILTER(INDEX( AC$9:AC$50, MAX( COUNT( AD$9:AD$50 )  - $B155 + 1, 1)) : INDEX( AC$9:AC$50, MAX( COUNT( AD$9:AD$50 )  - $C155 + 1, 1)), INDEX( AC$101:AC$142, MAX( COUNT( AD$9:AD$50 )  - $B155 + 1, 1)) : INDEX( AC$101:AC$142, MAX( COUNT( AD$9:AD$50 )  - $C155 + 1, 1)) &gt; 0)) )</f>
        <v>1.0013299550619017</v>
      </c>
      <c r="AD155" s="8">
        <f>+IF(AD$8 = 125, 1, SUM(_xlfn._xlws.FILTER(INDEX( AE$9:AE$50, MAX( COUNT( AE$9:AE$50 )  - $B155 + 1, 1)) : INDEX( AE$9:AE$50, MAX( COUNT( AE$9:AE$50 )  - $C155 + 1, 1)), INDEX( AD$101:AD$142, MAX( COUNT( AE$9:AE$50 )  - $B155 + 1, 1)) : INDEX( AD$101:AD$142, MAX( COUNT( AE$9:AE$50 )  - $C155 + 1, 1)) &gt; 0)) / SUM(_xlfn._xlws.FILTER(INDEX( AD$9:AD$50, MAX( COUNT( AE$9:AE$50 )  - $B155 + 1, 1)) : INDEX( AD$9:AD$50, MAX( COUNT( AE$9:AE$50 )  - $C155 + 1, 1)), INDEX( AD$101:AD$142, MAX( COUNT( AE$9:AE$50 )  - $B155 + 1, 1)) : INDEX( AD$101:AD$142, MAX( COUNT( AE$9:AE$50 )  - $C155 + 1, 1)) &gt; 0)) )</f>
        <v>1.0146697514141787</v>
      </c>
      <c r="AE155" s="8">
        <f>+IF(AE$8 = 125, 1, SUM(_xlfn._xlws.FILTER(INDEX( AF$9:AF$50, MAX( COUNT( AF$9:AF$50 )  - $B155 + 1, 1)) : INDEX( AF$9:AF$50, MAX( COUNT( AF$9:AF$50 )  - $C155 + 1, 1)), INDEX( AE$101:AE$142, MAX( COUNT( AF$9:AF$50 )  - $B155 + 1, 1)) : INDEX( AE$101:AE$142, MAX( COUNT( AF$9:AF$50 )  - $C155 + 1, 1)) &gt; 0)) / SUM(_xlfn._xlws.FILTER(INDEX( AE$9:AE$50, MAX( COUNT( AF$9:AF$50 )  - $B155 + 1, 1)) : INDEX( AE$9:AE$50, MAX( COUNT( AF$9:AF$50 )  - $C155 + 1, 1)), INDEX( AE$101:AE$142, MAX( COUNT( AF$9:AF$50 )  - $B155 + 1, 1)) : INDEX( AE$101:AE$142, MAX( COUNT( AF$9:AF$50 )  - $C155 + 1, 1)) &gt; 0)) )</f>
        <v>1.0002159704875326</v>
      </c>
      <c r="AF155" s="8">
        <f>+IF(AF$8 = 125, 1, SUM(_xlfn._xlws.FILTER(INDEX( AG$9:AG$50, MAX( COUNT( AG$9:AG$50 )  - $B155 + 1, 1)) : INDEX( AG$9:AG$50, MAX( COUNT( AG$9:AG$50 )  - $C155 + 1, 1)), INDEX( AF$101:AF$142, MAX( COUNT( AG$9:AG$50 )  - $B155 + 1, 1)) : INDEX( AF$101:AF$142, MAX( COUNT( AG$9:AG$50 )  - $C155 + 1, 1)) &gt; 0)) / SUM(_xlfn._xlws.FILTER(INDEX( AF$9:AF$50, MAX( COUNT( AG$9:AG$50 )  - $B155 + 1, 1)) : INDEX( AF$9:AF$50, MAX( COUNT( AG$9:AG$50 )  - $C155 + 1, 1)), INDEX( AF$101:AF$142, MAX( COUNT( AG$9:AG$50 )  - $B155 + 1, 1)) : INDEX( AF$101:AF$142, MAX( COUNT( AG$9:AG$50 )  - $C155 + 1, 1)) &gt; 0)) )</f>
        <v>1</v>
      </c>
      <c r="AG155" s="8">
        <f>+IF(AG$8 = 125, 1, SUM(_xlfn._xlws.FILTER(INDEX( AH$9:AH$50, MAX( COUNT( AH$9:AH$50 )  - $B155 + 1, 1)) : INDEX( AH$9:AH$50, MAX( COUNT( AH$9:AH$50 )  - $C155 + 1, 1)), INDEX( AG$101:AG$142, MAX( COUNT( AH$9:AH$50 )  - $B155 + 1, 1)) : INDEX( AG$101:AG$142, MAX( COUNT( AH$9:AH$50 )  - $C155 + 1, 1)) &gt; 0)) / SUM(_xlfn._xlws.FILTER(INDEX( AG$9:AG$50, MAX( COUNT( AH$9:AH$50 )  - $B155 + 1, 1)) : INDEX( AG$9:AG$50, MAX( COUNT( AH$9:AH$50 )  - $C155 + 1, 1)), INDEX( AG$101:AG$142, MAX( COUNT( AH$9:AH$50 )  - $B155 + 1, 1)) : INDEX( AG$101:AG$142, MAX( COUNT( AH$9:AH$50 )  - $C155 + 1, 1)) &gt; 0)) )</f>
        <v>1.0001581641225004</v>
      </c>
      <c r="AH155" s="8">
        <f>+IF(AH$8 = 125, 1, SUM(_xlfn._xlws.FILTER(INDEX( AI$9:AI$50, MAX( COUNT( AI$9:AI$50 )  - $B155 + 1, 1)) : INDEX( AI$9:AI$50, MAX( COUNT( AI$9:AI$50 )  - $C155 + 1, 1)), INDEX( AH$101:AH$142, MAX( COUNT( AI$9:AI$50 )  - $B155 + 1, 1)) : INDEX( AH$101:AH$142, MAX( COUNT( AI$9:AI$50 )  - $C155 + 1, 1)) &gt; 0)) / SUM(_xlfn._xlws.FILTER(INDEX( AH$9:AH$50, MAX( COUNT( AI$9:AI$50 )  - $B155 + 1, 1)) : INDEX( AH$9:AH$50, MAX( COUNT( AI$9:AI$50 )  - $C155 + 1, 1)), INDEX( AH$101:AH$142, MAX( COUNT( AI$9:AI$50 )  - $B155 + 1, 1)) : INDEX( AH$101:AH$142, MAX( COUNT( AI$9:AI$50 )  - $C155 + 1, 1)) &gt; 0)) )</f>
        <v>1.0002763983043936</v>
      </c>
      <c r="AI155" s="8">
        <f>+IF(AI$8 = 125, 1, SUM(_xlfn._xlws.FILTER(INDEX( AJ$9:AJ$50, MAX( COUNT( AJ$9:AJ$50 )  - $B155 + 1, 1)) : INDEX( AJ$9:AJ$50, MAX( COUNT( AJ$9:AJ$50 )  - $C155 + 1, 1)), INDEX( AI$101:AI$142, MAX( COUNT( AJ$9:AJ$50 )  - $B155 + 1, 1)) : INDEX( AI$101:AI$142, MAX( COUNT( AJ$9:AJ$50 )  - $C155 + 1, 1)) &gt; 0)) / SUM(_xlfn._xlws.FILTER(INDEX( AI$9:AI$50, MAX( COUNT( AJ$9:AJ$50 )  - $B155 + 1, 1)) : INDEX( AI$9:AI$50, MAX( COUNT( AJ$9:AJ$50 )  - $C155 + 1, 1)), INDEX( AI$101:AI$142, MAX( COUNT( AJ$9:AJ$50 )  - $B155 + 1, 1)) : INDEX( AI$101:AI$142, MAX( COUNT( AJ$9:AJ$50 )  - $C155 + 1, 1)) &gt; 0)) )</f>
        <v>1.0000343955977464</v>
      </c>
      <c r="AJ155" s="8">
        <f>+IF(AJ$8 = 125, 1, SUM(_xlfn._xlws.FILTER(INDEX( AK$9:AK$50, MAX( COUNT( AK$9:AK$50 )  - $B155 + 1, 1)) : INDEX( AK$9:AK$50, MAX( COUNT( AK$9:AK$50 )  - $C155 + 1, 1)), INDEX( AJ$101:AJ$142, MAX( COUNT( AK$9:AK$50 )  - $B155 + 1, 1)) : INDEX( AJ$101:AJ$142, MAX( COUNT( AK$9:AK$50 )  - $C155 + 1, 1)) &gt; 0)) / SUM(_xlfn._xlws.FILTER(INDEX( AJ$9:AJ$50, MAX( COUNT( AK$9:AK$50 )  - $B155 + 1, 1)) : INDEX( AJ$9:AJ$50, MAX( COUNT( AK$9:AK$50 )  - $C155 + 1, 1)), INDEX( AJ$101:AJ$142, MAX( COUNT( AK$9:AK$50 )  - $B155 + 1, 1)) : INDEX( AJ$101:AJ$142, MAX( COUNT( AK$9:AK$50 )  - $C155 + 1, 1)) &gt; 0)) )</f>
        <v>1.0022230880982246</v>
      </c>
      <c r="AK155" s="8">
        <f>+IF(AK$8 = 125, 1, SUM(_xlfn._xlws.FILTER(INDEX( AL$9:AL$50, MAX( COUNT( AL$9:AL$50 )  - $B155 + 1, 1)) : INDEX( AL$9:AL$50, MAX( COUNT( AL$9:AL$50 )  - $C155 + 1, 1)), INDEX( AK$101:AK$142, MAX( COUNT( AL$9:AL$50 )  - $B155 + 1, 1)) : INDEX( AK$101:AK$142, MAX( COUNT( AL$9:AL$50 )  - $C155 + 1, 1)) &gt; 0)) / SUM(_xlfn._xlws.FILTER(INDEX( AK$9:AK$50, MAX( COUNT( AL$9:AL$50 )  - $B155 + 1, 1)) : INDEX( AK$9:AK$50, MAX( COUNT( AL$9:AL$50 )  - $C155 + 1, 1)), INDEX( AK$101:AK$142, MAX( COUNT( AL$9:AL$50 )  - $B155 + 1, 1)) : INDEX( AK$101:AK$142, MAX( COUNT( AL$9:AL$50 )  - $C155 + 1, 1)) &gt; 0)) )</f>
        <v>1.0002686945992743</v>
      </c>
      <c r="AL155" s="8">
        <f>+IF(AL$8 = 125, 1, SUM(_xlfn._xlws.FILTER(INDEX( AM$9:AM$50, MAX( COUNT( AM$9:AM$50 )  - $B155 + 1, 1)) : INDEX( AM$9:AM$50, MAX( COUNT( AM$9:AM$50 )  - $C155 + 1, 1)), INDEX( AL$101:AL$142, MAX( COUNT( AM$9:AM$50 )  - $B155 + 1, 1)) : INDEX( AL$101:AL$142, MAX( COUNT( AM$9:AM$50 )  - $C155 + 1, 1)) &gt; 0)) / SUM(_xlfn._xlws.FILTER(INDEX( AL$9:AL$50, MAX( COUNT( AM$9:AM$50 )  - $B155 + 1, 1)) : INDEX( AL$9:AL$50, MAX( COUNT( AM$9:AM$50 )  - $C155 + 1, 1)), INDEX( AL$101:AL$142, MAX( COUNT( AM$9:AM$50 )  - $B155 + 1, 1)) : INDEX( AL$101:AL$142, MAX( COUNT( AM$9:AM$50 )  - $C155 + 1, 1)) &gt; 0)) )</f>
        <v>1.0010753526292135</v>
      </c>
      <c r="AM155" s="8">
        <f>+IF(AM$8 = 125, 1, SUM(_xlfn._xlws.FILTER(INDEX( AN$9:AN$50, MAX( COUNT( AN$9:AN$50 )  - $B155 + 1, 1)) : INDEX( AN$9:AN$50, MAX( COUNT( AN$9:AN$50 )  - $C155 + 1, 1)), INDEX( AM$101:AM$142, MAX( COUNT( AN$9:AN$50 )  - $B155 + 1, 1)) : INDEX( AM$101:AM$142, MAX( COUNT( AN$9:AN$50 )  - $C155 + 1, 1)) &gt; 0)) / SUM(_xlfn._xlws.FILTER(INDEX( AM$9:AM$50, MAX( COUNT( AN$9:AN$50 )  - $B155 + 1, 1)) : INDEX( AM$9:AM$50, MAX( COUNT( AN$9:AN$50 )  - $C155 + 1, 1)), INDEX( AM$101:AM$142, MAX( COUNT( AN$9:AN$50 )  - $B155 + 1, 1)) : INDEX( AM$101:AM$142, MAX( COUNT( AN$9:AN$50 )  - $C155 + 1, 1)) &gt; 0)) )</f>
        <v>1.0002108158383669</v>
      </c>
      <c r="AN155" s="8">
        <f>+IF(AN$8 = 125, 1, SUM(_xlfn._xlws.FILTER(INDEX( AO$9:AO$50, MAX( COUNT( AO$9:AO$50 )  - $B155 + 1, 1)) : INDEX( AO$9:AO$50, MAX( COUNT( AO$9:AO$50 )  - $C155 + 1, 1)), INDEX( AN$101:AN$142, MAX( COUNT( AO$9:AO$50 )  - $B155 + 1, 1)) : INDEX( AN$101:AN$142, MAX( COUNT( AO$9:AO$50 )  - $C155 + 1, 1)) &gt; 0)) / SUM(_xlfn._xlws.FILTER(INDEX( AN$9:AN$50, MAX( COUNT( AO$9:AO$50 )  - $B155 + 1, 1)) : INDEX( AN$9:AN$50, MAX( COUNT( AO$9:AO$50 )  - $C155 + 1, 1)), INDEX( AN$101:AN$142, MAX( COUNT( AO$9:AO$50 )  - $B155 + 1, 1)) : INDEX( AN$101:AN$142, MAX( COUNT( AO$9:AO$50 )  - $C155 + 1, 1)) &gt; 0)) )</f>
        <v>1.0000045745114641</v>
      </c>
      <c r="AO155" s="8">
        <f>+IF(AO$8 = 125, 1, SUM(_xlfn._xlws.FILTER(INDEX( AP$9:AP$50, MAX( COUNT( AP$9:AP$50 )  - $B155 + 1, 1)) : INDEX( AP$9:AP$50, MAX( COUNT( AP$9:AP$50 )  - $C155 + 1, 1)), INDEX( AO$101:AO$142, MAX( COUNT( AP$9:AP$50 )  - $B155 + 1, 1)) : INDEX( AO$101:AO$142, MAX( COUNT( AP$9:AP$50 )  - $C155 + 1, 1)) &gt; 0)) / SUM(_xlfn._xlws.FILTER(INDEX( AO$9:AO$50, MAX( COUNT( AP$9:AP$50 )  - $B155 + 1, 1)) : INDEX( AO$9:AO$50, MAX( COUNT( AP$9:AP$50 )  - $C155 + 1, 1)), INDEX( AO$101:AO$142, MAX( COUNT( AP$9:AP$50 )  - $B155 + 1, 1)) : INDEX( AO$101:AO$142, MAX( COUNT( AP$9:AP$50 )  - $C155 + 1, 1)) &gt; 0)) )</f>
        <v>0.99536903071639127</v>
      </c>
      <c r="AP155" s="8">
        <f>+IF(AP$8 = 125, 1, SUM(_xlfn._xlws.FILTER(INDEX( AQ$9:AQ$50, MAX( COUNT( AQ$9:AQ$50 )  - $B155 + 1, 1)) : INDEX( AQ$9:AQ$50, MAX( COUNT( AQ$9:AQ$50 )  - $C155 + 1, 1)), INDEX( AP$101:AP$142, MAX( COUNT( AQ$9:AQ$50 )  - $B155 + 1, 1)) : INDEX( AP$101:AP$142, MAX( COUNT( AQ$9:AQ$50 )  - $C155 + 1, 1)) &gt; 0)) / SUM(_xlfn._xlws.FILTER(INDEX( AP$9:AP$50, MAX( COUNT( AQ$9:AQ$50 )  - $B155 + 1, 1)) : INDEX( AP$9:AP$50, MAX( COUNT( AQ$9:AQ$50 )  - $C155 + 1, 1)), INDEX( AP$101:AP$142, MAX( COUNT( AQ$9:AQ$50 )  - $B155 + 1, 1)) : INDEX( AP$101:AP$142, MAX( COUNT( AQ$9:AQ$50 )  - $C155 + 1, 1)) &gt; 0)) )</f>
        <v>1.0053963053200321</v>
      </c>
      <c r="AQ155" s="8">
        <f>+IF(AQ$8 = 125, 1, SUM(_xlfn._xlws.FILTER(INDEX( AR$9:AR$50, MAX( COUNT( AR$9:AR$50 )  - $B155 + 1, 1)) : INDEX( AR$9:AR$50, MAX( COUNT( AR$9:AR$50 )  - $C155 + 1, 1)), INDEX( AQ$101:AQ$142, MAX( COUNT( AR$9:AR$50 )  - $B155 + 1, 1)) : INDEX( AQ$101:AQ$142, MAX( COUNT( AR$9:AR$50 )  - $C155 + 1, 1)) &gt; 0)) / SUM(_xlfn._xlws.FILTER(INDEX( AQ$9:AQ$50, MAX( COUNT( AR$9:AR$50 )  - $B155 + 1, 1)) : INDEX( AQ$9:AQ$50, MAX( COUNT( AR$9:AR$50 )  - $C155 + 1, 1)), INDEX( AQ$101:AQ$142, MAX( COUNT( AR$9:AR$50 )  - $B155 + 1, 1)) : INDEX( AQ$101:AQ$142, MAX( COUNT( AR$9:AR$50 )  - $C155 + 1, 1)) &gt; 0)) )</f>
        <v>1.0000315510761173</v>
      </c>
      <c r="AR155" s="8">
        <f>+IF(AR$8 = 125, 1, SUM(_xlfn._xlws.FILTER(INDEX( AS$9:AS$50, MAX( COUNT( AS$9:AS$50 )  - $B155 + 1, 1)) : INDEX( AS$9:AS$50, MAX( COUNT( AS$9:AS$50 )  - $C155 + 1, 1)), INDEX( AR$101:AR$142, MAX( COUNT( AS$9:AS$50 )  - $B155 + 1, 1)) : INDEX( AR$101:AR$142, MAX( COUNT( AS$9:AS$50 )  - $C155 + 1, 1)) &gt; 0)) / SUM(_xlfn._xlws.FILTER(INDEX( AR$9:AR$50, MAX( COUNT( AS$9:AS$50 )  - $B155 + 1, 1)) : INDEX( AR$9:AR$50, MAX( COUNT( AS$9:AS$50 )  - $C155 + 1, 1)), INDEX( AR$101:AR$142, MAX( COUNT( AS$9:AS$50 )  - $B155 + 1, 1)) : INDEX( AR$101:AR$142, MAX( COUNT( AS$9:AS$50 )  - $C155 + 1, 1)) &gt; 0)) )</f>
        <v>1.0045780495532832</v>
      </c>
      <c r="AS155" s="8">
        <f>+IF(AS$8 = 125, 1, SUM(_xlfn._xlws.FILTER(INDEX( AT$9:AT$50, MAX( COUNT( AT$9:AT$50 )  - $B155 + 1, 1)) : INDEX( AT$9:AT$50, MAX( COUNT( AT$9:AT$50 )  - $C155 + 1, 1)), INDEX( AS$101:AS$142, MAX( COUNT( AT$9:AT$50 )  - $B155 + 1, 1)) : INDEX( AS$101:AS$142, MAX( COUNT( AT$9:AT$50 )  - $C155 + 1, 1)) &gt; 0)) / SUM(_xlfn._xlws.FILTER(INDEX( AS$9:AS$50, MAX( COUNT( AT$9:AT$50 )  - $B155 + 1, 1)) : INDEX( AS$9:AS$50, MAX( COUNT( AT$9:AT$50 )  - $C155 + 1, 1)), INDEX( AS$101:AS$142, MAX( COUNT( AT$9:AT$50 )  - $B155 + 1, 1)) : INDEX( AS$101:AS$142, MAX( COUNT( AT$9:AT$50 )  - $C155 + 1, 1)) &gt; 0)) )</f>
        <v>1.0000151372187969</v>
      </c>
      <c r="AT155" s="8">
        <f>+IF(AT$8 = 125, 1, SUM(_xlfn._xlws.FILTER(INDEX( AU$9:AU$50, MAX( COUNT( AU$9:AU$50 )  - $B155 + 1, 1)) : INDEX( AU$9:AU$50, MAX( COUNT( AU$9:AU$50 )  - $C155 + 1, 1)), INDEX( AT$101:AT$142, MAX( COUNT( AU$9:AU$50 )  - $B155 + 1, 1)) : INDEX( AT$101:AT$142, MAX( COUNT( AU$9:AU$50 )  - $C155 + 1, 1)) &gt; 0)) / SUM(_xlfn._xlws.FILTER(INDEX( AT$9:AT$50, MAX( COUNT( AU$9:AU$50 )  - $B155 + 1, 1)) : INDEX( AT$9:AT$50, MAX( COUNT( AU$9:AU$50 )  - $C155 + 1, 1)), INDEX( AT$101:AT$142, MAX( COUNT( AU$9:AU$50 )  - $B155 + 1, 1)) : INDEX( AT$101:AT$142, MAX( COUNT( AU$9:AU$50 )  - $C155 + 1, 1)) &gt; 0)) )</f>
        <v>1.0002883998751377</v>
      </c>
      <c r="AU155" s="8">
        <f>+IF(AU$8 = 125, 1, SUM(_xlfn._xlws.FILTER(INDEX( AV$9:AV$50, MAX( COUNT( AV$9:AV$50 )  - $B155 + 1, 1)) : INDEX( AV$9:AV$50, MAX( COUNT( AV$9:AV$50 )  - $C155 + 1, 1)), INDEX( AU$101:AU$142, MAX( COUNT( AV$9:AV$50 )  - $B155 + 1, 1)) : INDEX( AU$101:AU$142, MAX( COUNT( AV$9:AV$50 )  - $C155 + 1, 1)) &gt; 0)) / SUM(_xlfn._xlws.FILTER(INDEX( AU$9:AU$50, MAX( COUNT( AV$9:AV$50 )  - $B155 + 1, 1)) : INDEX( AU$9:AU$50, MAX( COUNT( AV$9:AV$50 )  - $C155 + 1, 1)), INDEX( AU$101:AU$142, MAX( COUNT( AV$9:AV$50 )  - $B155 + 1, 1)) : INDEX( AU$101:AU$142, MAX( COUNT( AV$9:AV$50 )  - $C155 + 1, 1)) &gt; 0)) )</f>
        <v>1.0002163756851441</v>
      </c>
      <c r="AV155" s="8">
        <f>+IF(AV$8 = 125, 1, SUM(_xlfn._xlws.FILTER(INDEX( AW$9:AW$50, MAX( COUNT( AW$9:AW$50 )  - $B155 + 1, 1)) : INDEX( AW$9:AW$50, MAX( COUNT( AW$9:AW$50 )  - $C155 + 1, 1)), INDEX( AV$101:AV$142, MAX( COUNT( AW$9:AW$50 )  - $B155 + 1, 1)) : INDEX( AV$101:AV$142, MAX( COUNT( AW$9:AW$50 )  - $C155 + 1, 1)) &gt; 0)) / SUM(_xlfn._xlws.FILTER(INDEX( AV$9:AV$50, MAX( COUNT( AW$9:AW$50 )  - $B155 + 1, 1)) : INDEX( AV$9:AV$50, MAX( COUNT( AW$9:AW$50 )  - $C155 + 1, 1)), INDEX( AV$101:AV$142, MAX( COUNT( AW$9:AW$50 )  - $B155 + 1, 1)) : INDEX( AV$101:AV$142, MAX( COUNT( AW$9:AW$50 )  - $C155 + 1, 1)) &gt; 0)) )</f>
        <v>1.0004316013243968</v>
      </c>
      <c r="AW155" s="8">
        <f>+IF(AW$8 = 125, 1, SUM(_xlfn._xlws.FILTER(INDEX( AX$9:AX$50, MAX( COUNT( AX$9:AX$50 )  - $B155 + 1, 1)) : INDEX( AX$9:AX$50, MAX( COUNT( AX$9:AX$50 )  - $C155 + 1, 1)), INDEX( AW$101:AW$142, MAX( COUNT( AX$9:AX$50 )  - $B155 + 1, 1)) : INDEX( AW$101:AW$142, MAX( COUNT( AX$9:AX$50 )  - $C155 + 1, 1)) &gt; 0)) / SUM(_xlfn._xlws.FILTER(INDEX( AW$9:AW$50, MAX( COUNT( AX$9:AX$50 )  - $B155 + 1, 1)) : INDEX( AW$9:AW$50, MAX( COUNT( AX$9:AX$50 )  - $C155 + 1, 1)), INDEX( AW$101:AW$142, MAX( COUNT( AX$9:AX$50 )  - $B155 + 1, 1)) : INDEX( AW$101:AW$142, MAX( COUNT( AX$9:AX$50 )  - $C155 + 1, 1)) &gt; 0)) )</f>
        <v>1.0000227426728046</v>
      </c>
      <c r="AX155" s="8">
        <f>+IF(AX$8 = 125, 1, SUM(_xlfn._xlws.FILTER(INDEX( AY$9:AY$50, MAX( COUNT( AY$9:AY$50 )  - $B155 + 1, 1)) : INDEX( AY$9:AY$50, MAX( COUNT( AY$9:AY$50 )  - $C155 + 1, 1)), INDEX( AX$101:AX$142, MAX( COUNT( AY$9:AY$50 )  - $B155 + 1, 1)) : INDEX( AX$101:AX$142, MAX( COUNT( AY$9:AY$50 )  - $C155 + 1, 1)) &gt; 0)) / SUM(_xlfn._xlws.FILTER(INDEX( AX$9:AX$50, MAX( COUNT( AY$9:AY$50 )  - $B155 + 1, 1)) : INDEX( AX$9:AX$50, MAX( COUNT( AY$9:AY$50 )  - $C155 + 1, 1)), INDEX( AX$101:AX$142, MAX( COUNT( AY$9:AY$50 )  - $B155 + 1, 1)) : INDEX( AX$101:AX$142, MAX( COUNT( AY$9:AY$50 )  - $C155 + 1, 1)) &gt; 0)) )</f>
        <v>1.0000451621457305</v>
      </c>
      <c r="AY155" s="8">
        <f>+IF(AY$8 = 125, 1, SUM(_xlfn._xlws.FILTER(INDEX( AZ$9:AZ$50, MAX( COUNT( AZ$9:AZ$50 )  - $B155 + 1, 1)) : INDEX( AZ$9:AZ$50, MAX( COUNT( AZ$9:AZ$50 )  - $C155 + 1, 1)), INDEX( AY$101:AY$142, MAX( COUNT( AZ$9:AZ$50 )  - $B155 + 1, 1)) : INDEX( AY$101:AY$142, MAX( COUNT( AZ$9:AZ$50 )  - $C155 + 1, 1)) &gt; 0)) / SUM(_xlfn._xlws.FILTER(INDEX( AY$9:AY$50, MAX( COUNT( AZ$9:AZ$50 )  - $B155 + 1, 1)) : INDEX( AY$9:AY$50, MAX( COUNT( AZ$9:AZ$50 )  - $C155 + 1, 1)), INDEX( AY$101:AY$142, MAX( COUNT( AZ$9:AZ$50 )  - $B155 + 1, 1)) : INDEX( AY$101:AY$142, MAX( COUNT( AZ$9:AZ$50 )  - $C155 + 1, 1)) &gt; 0)) )</f>
        <v>1.0007238291544474</v>
      </c>
      <c r="AZ155" s="8">
        <f>+IF(AZ$8 = 125, 1, SUM(_xlfn._xlws.FILTER(INDEX( BA$9:BA$50, MAX( COUNT( BA$9:BA$50 )  - $B155 + 1, 1)) : INDEX( BA$9:BA$50, MAX( COUNT( BA$9:BA$50 )  - $C155 + 1, 1)), INDEX( AZ$101:AZ$142, MAX( COUNT( BA$9:BA$50 )  - $B155 + 1, 1)) : INDEX( AZ$101:AZ$142, MAX( COUNT( BA$9:BA$50 )  - $C155 + 1, 1)) &gt; 0)) / SUM(_xlfn._xlws.FILTER(INDEX( AZ$9:AZ$50, MAX( COUNT( BA$9:BA$50 )  - $B155 + 1, 1)) : INDEX( AZ$9:AZ$50, MAX( COUNT( BA$9:BA$50 )  - $C155 + 1, 1)), INDEX( AZ$101:AZ$142, MAX( COUNT( BA$9:BA$50 )  - $B155 + 1, 1)) : INDEX( AZ$101:AZ$142, MAX( COUNT( BA$9:BA$50 )  - $C155 + 1, 1)) &gt; 0)) )</f>
        <v>1.0000152860610043</v>
      </c>
      <c r="BA155" s="8">
        <f>+IF(BA$8 = 125, 1, SUM(_xlfn._xlws.FILTER(INDEX( BB$9:BB$50, MAX( COUNT( BB$9:BB$50 )  - $B155 + 1, 1)) : INDEX( BB$9:BB$50, MAX( COUNT( BB$9:BB$50 )  - $C155 + 1, 1)), INDEX( BA$101:BA$142, MAX( COUNT( BB$9:BB$50 )  - $B155 + 1, 1)) : INDEX( BA$101:BA$142, MAX( COUNT( BB$9:BB$50 )  - $C155 + 1, 1)) &gt; 0)) / SUM(_xlfn._xlws.FILTER(INDEX( BA$9:BA$50, MAX( COUNT( BB$9:BB$50 )  - $B155 + 1, 1)) : INDEX( BA$9:BA$50, MAX( COUNT( BB$9:BB$50 )  - $C155 + 1, 1)), INDEX( BA$101:BA$142, MAX( COUNT( BB$9:BB$50 )  - $B155 + 1, 1)) : INDEX( BA$101:BA$142, MAX( COUNT( BB$9:BB$50 )  - $C155 + 1, 1)) &gt; 0)) )</f>
        <v>1.0001227375655859</v>
      </c>
      <c r="BB155" s="8">
        <f>+IF(BB$8 = 125, 1, SUM(_xlfn._xlws.FILTER(INDEX( BC$9:BC$50, MAX( COUNT( BC$9:BC$50 )  - $B155 + 1, 1)) : INDEX( BC$9:BC$50, MAX( COUNT( BC$9:BC$50 )  - $C155 + 1, 1)), INDEX( BB$101:BB$142, MAX( COUNT( BC$9:BC$50 )  - $B155 + 1, 1)) : INDEX( BB$101:BB$142, MAX( COUNT( BC$9:BC$50 )  - $C155 + 1, 1)) &gt; 0)) / SUM(_xlfn._xlws.FILTER(INDEX( BB$9:BB$50, MAX( COUNT( BC$9:BC$50 )  - $B155 + 1, 1)) : INDEX( BB$9:BB$50, MAX( COUNT( BC$9:BC$50 )  - $C155 + 1, 1)), INDEX( BB$101:BB$142, MAX( COUNT( BC$9:BC$50 )  - $B155 + 1, 1)) : INDEX( BB$101:BB$142, MAX( COUNT( BC$9:BC$50 )  - $C155 + 1, 1)) &gt; 0)) )</f>
        <v>1.0001116479658443</v>
      </c>
      <c r="BC155" s="8">
        <f>+IF(BC$8 = 125, 1, SUM(_xlfn._xlws.FILTER(INDEX( BD$9:BD$50, MAX( COUNT( BD$9:BD$50 )  - $B155 + 1, 1)) : INDEX( BD$9:BD$50, MAX( COUNT( BD$9:BD$50 )  - $C155 + 1, 1)), INDEX( BC$101:BC$142, MAX( COUNT( BD$9:BD$50 )  - $B155 + 1, 1)) : INDEX( BC$101:BC$142, MAX( COUNT( BD$9:BD$50 )  - $C155 + 1, 1)) &gt; 0)) / SUM(_xlfn._xlws.FILTER(INDEX( BC$9:BC$50, MAX( COUNT( BD$9:BD$50 )  - $B155 + 1, 1)) : INDEX( BC$9:BC$50, MAX( COUNT( BD$9:BD$50 )  - $C155 + 1, 1)), INDEX( BC$101:BC$142, MAX( COUNT( BD$9:BD$50 )  - $B155 + 1, 1)) : INDEX( BC$101:BC$142, MAX( COUNT( BD$9:BD$50 )  - $C155 + 1, 1)) &gt; 0)) )</f>
        <v>1.0000754152726798</v>
      </c>
      <c r="BD155" s="8">
        <f>+IF(BD$8 = 125, 1, SUM(_xlfn._xlws.FILTER(INDEX( BE$9:BE$50, MAX( COUNT( BE$9:BE$50 )  - $B155 + 1, 1)) : INDEX( BE$9:BE$50, MAX( COUNT( BE$9:BE$50 )  - $C155 + 1, 1)), INDEX( BD$101:BD$142, MAX( COUNT( BE$9:BE$50 )  - $B155 + 1, 1)) : INDEX( BD$101:BD$142, MAX( COUNT( BE$9:BE$50 )  - $C155 + 1, 1)) &gt; 0)) / SUM(_xlfn._xlws.FILTER(INDEX( BD$9:BD$50, MAX( COUNT( BE$9:BE$50 )  - $B155 + 1, 1)) : INDEX( BD$9:BD$50, MAX( COUNT( BE$9:BE$50 )  - $C155 + 1, 1)), INDEX( BD$101:BD$142, MAX( COUNT( BE$9:BE$50 )  - $B155 + 1, 1)) : INDEX( BD$101:BD$142, MAX( COUNT( BE$9:BE$50 )  - $C155 + 1, 1)) &gt; 0)) )</f>
        <v>1.0000043416446356</v>
      </c>
      <c r="BE155" s="8">
        <f>+IF(BE$8 = 125, 1, SUM(_xlfn._xlws.FILTER(INDEX( BF$9:BF$50, MAX( COUNT( BF$9:BF$50 )  - $B155 + 1, 1)) : INDEX( BF$9:BF$50, MAX( COUNT( BF$9:BF$50 )  - $C155 + 1, 1)), INDEX( BE$101:BE$142, MAX( COUNT( BF$9:BF$50 )  - $B155 + 1, 1)) : INDEX( BE$101:BE$142, MAX( COUNT( BF$9:BF$50 )  - $C155 + 1, 1)) &gt; 0)) / SUM(_xlfn._xlws.FILTER(INDEX( BE$9:BE$50, MAX( COUNT( BF$9:BF$50 )  - $B155 + 1, 1)) : INDEX( BE$9:BE$50, MAX( COUNT( BF$9:BF$50 )  - $C155 + 1, 1)), INDEX( BE$101:BE$142, MAX( COUNT( BF$9:BF$50 )  - $B155 + 1, 1)) : INDEX( BE$101:BE$142, MAX( COUNT( BF$9:BF$50 )  - $C155 + 1, 1)) &gt; 0)) )</f>
        <v>1.0002845898341803</v>
      </c>
      <c r="BF155" s="8">
        <f>+IF(BF$8 = 125, 1, SUM(_xlfn._xlws.FILTER(INDEX( BG$9:BG$50, MAX( COUNT( BG$9:BG$50 )  - $B155 + 1, 1)) : INDEX( BG$9:BG$50, MAX( COUNT( BG$9:BG$50 )  - $C155 + 1, 1)), INDEX( BF$101:BF$142, MAX( COUNT( BG$9:BG$50 )  - $B155 + 1, 1)) : INDEX( BF$101:BF$142, MAX( COUNT( BG$9:BG$50 )  - $C155 + 1, 1)) &gt; 0)) / SUM(_xlfn._xlws.FILTER(INDEX( BF$9:BF$50, MAX( COUNT( BG$9:BG$50 )  - $B155 + 1, 1)) : INDEX( BF$9:BF$50, MAX( COUNT( BG$9:BG$50 )  - $C155 + 1, 1)), INDEX( BF$101:BF$142, MAX( COUNT( BG$9:BG$50 )  - $B155 + 1, 1)) : INDEX( BF$101:BF$142, MAX( COUNT( BG$9:BG$50 )  - $C155 + 1, 1)) &gt; 0)) )</f>
        <v>1.0002589687601797</v>
      </c>
      <c r="BG155" s="8">
        <f>+IF(BG$8 = 125, 1, SUM(_xlfn._xlws.FILTER(INDEX( BH$9:BH$50, MAX( COUNT( BH$9:BH$50 )  - $B155 + 1, 1)) : INDEX( BH$9:BH$50, MAX( COUNT( BH$9:BH$50 )  - $C155 + 1, 1)), INDEX( BG$101:BG$142, MAX( COUNT( BH$9:BH$50 )  - $B155 + 1, 1)) : INDEX( BG$101:BG$142, MAX( COUNT( BH$9:BH$50 )  - $C155 + 1, 1)) &gt; 0)) / SUM(_xlfn._xlws.FILTER(INDEX( BG$9:BG$50, MAX( COUNT( BH$9:BH$50 )  - $B155 + 1, 1)) : INDEX( BG$9:BG$50, MAX( COUNT( BH$9:BH$50 )  - $C155 + 1, 1)), INDEX( BG$101:BG$142, MAX( COUNT( BH$9:BH$50 )  - $B155 + 1, 1)) : INDEX( BG$101:BG$142, MAX( COUNT( BH$9:BH$50 )  - $C155 + 1, 1)) &gt; 0)) )</f>
        <v>1</v>
      </c>
      <c r="BH155" s="8">
        <f>+IF(BH$8 = 125, 1, SUM(_xlfn._xlws.FILTER(INDEX( BI$9:BI$50, MAX( COUNT( BI$9:BI$50 )  - $B155 + 1, 1)) : INDEX( BI$9:BI$50, MAX( COUNT( BI$9:BI$50 )  - $C155 + 1, 1)), INDEX( BH$101:BH$142, MAX( COUNT( BI$9:BI$50 )  - $B155 + 1, 1)) : INDEX( BH$101:BH$142, MAX( COUNT( BI$9:BI$50 )  - $C155 + 1, 1)) &gt; 0)) / SUM(_xlfn._xlws.FILTER(INDEX( BH$9:BH$50, MAX( COUNT( BI$9:BI$50 )  - $B155 + 1, 1)) : INDEX( BH$9:BH$50, MAX( COUNT( BI$9:BI$50 )  - $C155 + 1, 1)), INDEX( BH$101:BH$142, MAX( COUNT( BI$9:BI$50 )  - $B155 + 1, 1)) : INDEX( BH$101:BH$142, MAX( COUNT( BI$9:BI$50 )  - $C155 + 1, 1)) &gt; 0)) )</f>
        <v>1</v>
      </c>
      <c r="BI155" s="8">
        <f>+IF(BI$8 = 125, 1, SUM(_xlfn._xlws.FILTER(INDEX( BJ$9:BJ$50, MAX( COUNT( BJ$9:BJ$50 )  - $B155 + 1, 1)) : INDEX( BJ$9:BJ$50, MAX( COUNT( BJ$9:BJ$50 )  - $C155 + 1, 1)), INDEX( BI$101:BI$142, MAX( COUNT( BJ$9:BJ$50 )  - $B155 + 1, 1)) : INDEX( BI$101:BI$142, MAX( COUNT( BJ$9:BJ$50 )  - $C155 + 1, 1)) &gt; 0)) / SUM(_xlfn._xlws.FILTER(INDEX( BI$9:BI$50, MAX( COUNT( BJ$9:BJ$50 )  - $B155 + 1, 1)) : INDEX( BI$9:BI$50, MAX( COUNT( BJ$9:BJ$50 )  - $C155 + 1, 1)), INDEX( BI$101:BI$142, MAX( COUNT( BJ$9:BJ$50 )  - $B155 + 1, 1)) : INDEX( BI$101:BI$142, MAX( COUNT( BJ$9:BJ$50 )  - $C155 + 1, 1)) &gt; 0)) )</f>
        <v>1.000065841637015</v>
      </c>
      <c r="BJ155" s="8">
        <f>+IF(BJ$8 = 125, 1, SUM(_xlfn._xlws.FILTER(INDEX( BK$9:BK$50, MAX( COUNT( BK$9:BK$50 )  - $B155 + 1, 1)) : INDEX( BK$9:BK$50, MAX( COUNT( BK$9:BK$50 )  - $C155 + 1, 1)), INDEX( BJ$101:BJ$142, MAX( COUNT( BK$9:BK$50 )  - $B155 + 1, 1)) : INDEX( BJ$101:BJ$142, MAX( COUNT( BK$9:BK$50 )  - $C155 + 1, 1)) &gt; 0)) / SUM(_xlfn._xlws.FILTER(INDEX( BJ$9:BJ$50, MAX( COUNT( BK$9:BK$50 )  - $B155 + 1, 1)) : INDEX( BJ$9:BJ$50, MAX( COUNT( BK$9:BK$50 )  - $C155 + 1, 1)), INDEX( BJ$101:BJ$142, MAX( COUNT( BK$9:BK$50 )  - $B155 + 1, 1)) : INDEX( BJ$101:BJ$142, MAX( COUNT( BK$9:BK$50 )  - $C155 + 1, 1)) &gt; 0)) )</f>
        <v>1.0000859255511547</v>
      </c>
      <c r="BK155" s="8">
        <f>+IF(BK$8 = 125, 1, SUM(_xlfn._xlws.FILTER(INDEX( BL$9:BL$50, MAX( COUNT( BL$9:BL$50 )  - $B155 + 1, 1)) : INDEX( BL$9:BL$50, MAX( COUNT( BL$9:BL$50 )  - $C155 + 1, 1)), INDEX( BK$101:BK$142, MAX( COUNT( BL$9:BL$50 )  - $B155 + 1, 1)) : INDEX( BK$101:BK$142, MAX( COUNT( BL$9:BL$50 )  - $C155 + 1, 1)) &gt; 0)) / SUM(_xlfn._xlws.FILTER(INDEX( BK$9:BK$50, MAX( COUNT( BL$9:BL$50 )  - $B155 + 1, 1)) : INDEX( BK$9:BK$50, MAX( COUNT( BL$9:BL$50 )  - $C155 + 1, 1)), INDEX( BK$101:BK$142, MAX( COUNT( BL$9:BL$50 )  - $B155 + 1, 1)) : INDEX( BK$101:BK$142, MAX( COUNT( BL$9:BL$50 )  - $C155 + 1, 1)) &gt; 0)) )</f>
        <v>1.0000450862554251</v>
      </c>
      <c r="BL155" s="8">
        <f>+IF(BL$8 = 125, 1, SUM(_xlfn._xlws.FILTER(INDEX( BM$9:BM$50, MAX( COUNT( BM$9:BM$50 )  - $B155 + 1, 1)) : INDEX( BM$9:BM$50, MAX( COUNT( BM$9:BM$50 )  - $C155 + 1, 1)), INDEX( BL$101:BL$142, MAX( COUNT( BM$9:BM$50 )  - $B155 + 1, 1)) : INDEX( BL$101:BL$142, MAX( COUNT( BM$9:BM$50 )  - $C155 + 1, 1)) &gt; 0)) / SUM(_xlfn._xlws.FILTER(INDEX( BL$9:BL$50, MAX( COUNT( BM$9:BM$50 )  - $B155 + 1, 1)) : INDEX( BL$9:BL$50, MAX( COUNT( BM$9:BM$50 )  - $C155 + 1, 1)), INDEX( BL$101:BL$142, MAX( COUNT( BM$9:BM$50 )  - $B155 + 1, 1)) : INDEX( BL$101:BL$142, MAX( COUNT( BM$9:BM$50 )  - $C155 + 1, 1)) &gt; 0)) )</f>
        <v>1.0003425621326336</v>
      </c>
      <c r="BM155" s="8">
        <f>+IF(BM$8 = 125, 1, SUM(_xlfn._xlws.FILTER(INDEX( BN$9:BN$50, MAX( COUNT( BN$9:BN$50 )  - $B155 + 1, 1)) : INDEX( BN$9:BN$50, MAX( COUNT( BN$9:BN$50 )  - $C155 + 1, 1)), INDEX( BM$101:BM$142, MAX( COUNT( BN$9:BN$50 )  - $B155 + 1, 1)) : INDEX( BM$101:BM$142, MAX( COUNT( BN$9:BN$50 )  - $C155 + 1, 1)) &gt; 0)) / SUM(_xlfn._xlws.FILTER(INDEX( BM$9:BM$50, MAX( COUNT( BN$9:BN$50 )  - $B155 + 1, 1)) : INDEX( BM$9:BM$50, MAX( COUNT( BN$9:BN$50 )  - $C155 + 1, 1)), INDEX( BM$101:BM$142, MAX( COUNT( BN$9:BN$50 )  - $B155 + 1, 1)) : INDEX( BM$101:BM$142, MAX( COUNT( BN$9:BN$50 )  - $C155 + 1, 1)) &gt; 0)) )</f>
        <v>1.0001740053374113</v>
      </c>
      <c r="BN155" s="8">
        <f>+IF(BN$8 = 125, 1, SUM(_xlfn._xlws.FILTER(INDEX( BO$9:BO$50, MAX( COUNT( BO$9:BO$50 )  - $B155 + 1, 1)) : INDEX( BO$9:BO$50, MAX( COUNT( BO$9:BO$50 )  - $C155 + 1, 1)), INDEX( BN$101:BN$142, MAX( COUNT( BO$9:BO$50 )  - $B155 + 1, 1)) : INDEX( BN$101:BN$142, MAX( COUNT( BO$9:BO$50 )  - $C155 + 1, 1)) &gt; 0)) / SUM(_xlfn._xlws.FILTER(INDEX( BN$9:BN$50, MAX( COUNT( BO$9:BO$50 )  - $B155 + 1, 1)) : INDEX( BN$9:BN$50, MAX( COUNT( BO$9:BO$50 )  - $C155 + 1, 1)), INDEX( BN$101:BN$142, MAX( COUNT( BO$9:BO$50 )  - $B155 + 1, 1)) : INDEX( BN$101:BN$142, MAX( COUNT( BO$9:BO$50 )  - $C155 + 1, 1)) &gt; 0)) )</f>
        <v>1.0004914138386052</v>
      </c>
      <c r="BO155" s="8">
        <f>+IF(BO$8 = 125, 1, SUM(_xlfn._xlws.FILTER(INDEX( BP$9:BP$50, MAX( COUNT( BP$9:BP$50 )  - $B155 + 1, 1)) : INDEX( BP$9:BP$50, MAX( COUNT( BP$9:BP$50 )  - $C155 + 1, 1)), INDEX( BO$101:BO$142, MAX( COUNT( BP$9:BP$50 )  - $B155 + 1, 1)) : INDEX( BO$101:BO$142, MAX( COUNT( BP$9:BP$50 )  - $C155 + 1, 1)) &gt; 0)) / SUM(_xlfn._xlws.FILTER(INDEX( BO$9:BO$50, MAX( COUNT( BP$9:BP$50 )  - $B155 + 1, 1)) : INDEX( BO$9:BO$50, MAX( COUNT( BP$9:BP$50 )  - $C155 + 1, 1)), INDEX( BO$101:BO$142, MAX( COUNT( BP$9:BP$50 )  - $B155 + 1, 1)) : INDEX( BO$101:BO$142, MAX( COUNT( BP$9:BP$50 )  - $C155 + 1, 1)) &gt; 0)) )</f>
        <v>1.0005257651585471</v>
      </c>
      <c r="BP155" s="8">
        <f>+IF(BP$8 = 125, 1, SUM(_xlfn._xlws.FILTER(INDEX( BQ$9:BQ$50, MAX( COUNT( BQ$9:BQ$50 )  - $B155 + 1, 1)) : INDEX( BQ$9:BQ$50, MAX( COUNT( BQ$9:BQ$50 )  - $C155 + 1, 1)), INDEX( BP$101:BP$142, MAX( COUNT( BQ$9:BQ$50 )  - $B155 + 1, 1)) : INDEX( BP$101:BP$142, MAX( COUNT( BQ$9:BQ$50 )  - $C155 + 1, 1)) &gt; 0)) / SUM(_xlfn._xlws.FILTER(INDEX( BP$9:BP$50, MAX( COUNT( BQ$9:BQ$50 )  - $B155 + 1, 1)) : INDEX( BP$9:BP$50, MAX( COUNT( BQ$9:BQ$50 )  - $C155 + 1, 1)), INDEX( BP$101:BP$142, MAX( COUNT( BQ$9:BQ$50 )  - $B155 + 1, 1)) : INDEX( BP$101:BP$142, MAX( COUNT( BQ$9:BQ$50 )  - $C155 + 1, 1)) &gt; 0)) )</f>
        <v>1.000287509242288</v>
      </c>
      <c r="BQ155" s="8">
        <f>+IF(BQ$8 = 125, 1, SUM(_xlfn._xlws.FILTER(INDEX( BR$9:BR$50, MAX( COUNT( BR$9:BR$50 )  - $B155 + 1, 1)) : INDEX( BR$9:BR$50, MAX( COUNT( BR$9:BR$50 )  - $C155 + 1, 1)), INDEX( BQ$101:BQ$142, MAX( COUNT( BR$9:BR$50 )  - $B155 + 1, 1)) : INDEX( BQ$101:BQ$142, MAX( COUNT( BR$9:BR$50 )  - $C155 + 1, 1)) &gt; 0)) / SUM(_xlfn._xlws.FILTER(INDEX( BQ$9:BQ$50, MAX( COUNT( BR$9:BR$50 )  - $B155 + 1, 1)) : INDEX( BQ$9:BQ$50, MAX( COUNT( BR$9:BR$50 )  - $C155 + 1, 1)), INDEX( BQ$101:BQ$142, MAX( COUNT( BR$9:BR$50 )  - $B155 + 1, 1)) : INDEX( BQ$101:BQ$142, MAX( COUNT( BR$9:BR$50 )  - $C155 + 1, 1)) &gt; 0)) )</f>
        <v>1</v>
      </c>
      <c r="BR155" s="8">
        <f>+IF(BR$8 = 125, 1, SUM(_xlfn._xlws.FILTER(INDEX( BS$9:BS$50, MAX( COUNT( BS$9:BS$50 )  - $B155 + 1, 1)) : INDEX( BS$9:BS$50, MAX( COUNT( BS$9:BS$50 )  - $C155 + 1, 1)), INDEX( BR$101:BR$142, MAX( COUNT( BS$9:BS$50 )  - $B155 + 1, 1)) : INDEX( BR$101:BR$142, MAX( COUNT( BS$9:BS$50 )  - $C155 + 1, 1)) &gt; 0)) / SUM(_xlfn._xlws.FILTER(INDEX( BR$9:BR$50, MAX( COUNT( BS$9:BS$50 )  - $B155 + 1, 1)) : INDEX( BR$9:BR$50, MAX( COUNT( BS$9:BS$50 )  - $C155 + 1, 1)), INDEX( BR$101:BR$142, MAX( COUNT( BS$9:BS$50 )  - $B155 + 1, 1)) : INDEX( BR$101:BR$142, MAX( COUNT( BS$9:BS$50 )  - $C155 + 1, 1)) &gt; 0)) )</f>
        <v>1.0000921573341437</v>
      </c>
      <c r="BS155" s="8">
        <f>+IF(BS$8 = 125, 1, SUM(_xlfn._xlws.FILTER(INDEX( BT$9:BT$50, MAX( COUNT( BT$9:BT$50 )  - $B155 + 1, 1)) : INDEX( BT$9:BT$50, MAX( COUNT( BT$9:BT$50 )  - $C155 + 1, 1)), INDEX( BS$101:BS$142, MAX( COUNT( BT$9:BT$50 )  - $B155 + 1, 1)) : INDEX( BS$101:BS$142, MAX( COUNT( BT$9:BT$50 )  - $C155 + 1, 1)) &gt; 0)) / SUM(_xlfn._xlws.FILTER(INDEX( BS$9:BS$50, MAX( COUNT( BT$9:BT$50 )  - $B155 + 1, 1)) : INDEX( BS$9:BS$50, MAX( COUNT( BT$9:BT$50 )  - $C155 + 1, 1)), INDEX( BS$101:BS$142, MAX( COUNT( BT$9:BT$50 )  - $B155 + 1, 1)) : INDEX( BS$101:BS$142, MAX( COUNT( BT$9:BT$50 )  - $C155 + 1, 1)) &gt; 0)) )</f>
        <v>1.0000680757097624</v>
      </c>
      <c r="BT155" s="8">
        <f>+IF(BT$8 = 125, 1, SUM(_xlfn._xlws.FILTER(INDEX( BU$9:BU$50, MAX( COUNT( BU$9:BU$50 )  - $B155 + 1, 1)) : INDEX( BU$9:BU$50, MAX( COUNT( BU$9:BU$50 )  - $C155 + 1, 1)), INDEX( BT$101:BT$142, MAX( COUNT( BU$9:BU$50 )  - $B155 + 1, 1)) : INDEX( BT$101:BT$142, MAX( COUNT( BU$9:BU$50 )  - $C155 + 1, 1)) &gt; 0)) / SUM(_xlfn._xlws.FILTER(INDEX( BT$9:BT$50, MAX( COUNT( BU$9:BU$50 )  - $B155 + 1, 1)) : INDEX( BT$9:BT$50, MAX( COUNT( BU$9:BU$50 )  - $C155 + 1, 1)), INDEX( BT$101:BT$142, MAX( COUNT( BU$9:BU$50 )  - $B155 + 1, 1)) : INDEX( BT$101:BT$142, MAX( COUNT( BU$9:BU$50 )  - $C155 + 1, 1)) &gt; 0)) )</f>
        <v>1.0000121745235009</v>
      </c>
      <c r="BU155" s="8">
        <f>+IF(BU$8 = 125, 1, SUM(_xlfn._xlws.FILTER(INDEX( BV$9:BV$50, MAX( COUNT( BV$9:BV$50 )  - $B155 + 1, 1)) : INDEX( BV$9:BV$50, MAX( COUNT( BV$9:BV$50 )  - $C155 + 1, 1)), INDEX( BU$101:BU$142, MAX( COUNT( BV$9:BV$50 )  - $B155 + 1, 1)) : INDEX( BU$101:BU$142, MAX( COUNT( BV$9:BV$50 )  - $C155 + 1, 1)) &gt; 0)) / SUM(_xlfn._xlws.FILTER(INDEX( BU$9:BU$50, MAX( COUNT( BV$9:BV$50 )  - $B155 + 1, 1)) : INDEX( BU$9:BU$50, MAX( COUNT( BV$9:BV$50 )  - $C155 + 1, 1)), INDEX( BU$101:BU$142, MAX( COUNT( BV$9:BV$50 )  - $B155 + 1, 1)) : INDEX( BU$101:BU$142, MAX( COUNT( BV$9:BV$50 )  - $C155 + 1, 1)) &gt; 0)) )</f>
        <v>1.0001097561336165</v>
      </c>
      <c r="BV155" s="8">
        <f>+IF(BV$8 = 125, 1, SUM(_xlfn._xlws.FILTER(INDEX( BW$9:BW$50, MAX( COUNT( BW$9:BW$50 )  - $B155 + 1, 1)) : INDEX( BW$9:BW$50, MAX( COUNT( BW$9:BW$50 )  - $C155 + 1, 1)), INDEX( BV$101:BV$142, MAX( COUNT( BW$9:BW$50 )  - $B155 + 1, 1)) : INDEX( BV$101:BV$142, MAX( COUNT( BW$9:BW$50 )  - $C155 + 1, 1)) &gt; 0)) / SUM(_xlfn._xlws.FILTER(INDEX( BV$9:BV$50, MAX( COUNT( BW$9:BW$50 )  - $B155 + 1, 1)) : INDEX( BV$9:BV$50, MAX( COUNT( BW$9:BW$50 )  - $C155 + 1, 1)), INDEX( BV$101:BV$142, MAX( COUNT( BW$9:BW$50 )  - $B155 + 1, 1)) : INDEX( BV$101:BV$142, MAX( COUNT( BW$9:BW$50 )  - $C155 + 1, 1)) &gt; 0)) )</f>
        <v>1.0000670557925637</v>
      </c>
      <c r="BW155" s="8">
        <f>+IF(BW$8 = 125, 1, SUM(_xlfn._xlws.FILTER(INDEX( BX$9:BX$50, MAX( COUNT( BX$9:BX$50 )  - $B155 + 1, 1)) : INDEX( BX$9:BX$50, MAX( COUNT( BX$9:BX$50 )  - $C155 + 1, 1)), INDEX( BW$101:BW$142, MAX( COUNT( BX$9:BX$50 )  - $B155 + 1, 1)) : INDEX( BW$101:BW$142, MAX( COUNT( BX$9:BX$50 )  - $C155 + 1, 1)) &gt; 0)) / SUM(_xlfn._xlws.FILTER(INDEX( BW$9:BW$50, MAX( COUNT( BX$9:BX$50 )  - $B155 + 1, 1)) : INDEX( BW$9:BW$50, MAX( COUNT( BX$9:BX$50 )  - $C155 + 1, 1)), INDEX( BW$101:BW$142, MAX( COUNT( BX$9:BX$50 )  - $B155 + 1, 1)) : INDEX( BW$101:BW$142, MAX( COUNT( BX$9:BX$50 )  - $C155 + 1, 1)) &gt; 0)) )</f>
        <v>1.0001394804090764</v>
      </c>
      <c r="BX155" s="8">
        <f>+IF(BX$8 = 125, 1, SUM(_xlfn._xlws.FILTER(INDEX( BY$9:BY$50, MAX( COUNT( BY$9:BY$50 )  - $B155 + 1, 1)) : INDEX( BY$9:BY$50, MAX( COUNT( BY$9:BY$50 )  - $C155 + 1, 1)), INDEX( BX$101:BX$142, MAX( COUNT( BY$9:BY$50 )  - $B155 + 1, 1)) : INDEX( BX$101:BX$142, MAX( COUNT( BY$9:BY$50 )  - $C155 + 1, 1)) &gt; 0)) / SUM(_xlfn._xlws.FILTER(INDEX( BX$9:BX$50, MAX( COUNT( BY$9:BY$50 )  - $B155 + 1, 1)) : INDEX( BX$9:BX$50, MAX( COUNT( BY$9:BY$50 )  - $C155 + 1, 1)), INDEX( BX$101:BX$142, MAX( COUNT( BY$9:BY$50 )  - $B155 + 1, 1)) : INDEX( BX$101:BX$142, MAX( COUNT( BY$9:BY$50 )  - $C155 + 1, 1)) &gt; 0)) )</f>
        <v>1.0010314186188873</v>
      </c>
      <c r="BY155" s="8">
        <f>+IF(BY$8 = 125, 1, SUM(_xlfn._xlws.FILTER(INDEX( BZ$9:BZ$50, MAX( COUNT( BZ$9:BZ$50 )  - $B155 + 1, 1)) : INDEX( BZ$9:BZ$50, MAX( COUNT( BZ$9:BZ$50 )  - $C155 + 1, 1)), INDEX( BY$101:BY$142, MAX( COUNT( BZ$9:BZ$50 )  - $B155 + 1, 1)) : INDEX( BY$101:BY$142, MAX( COUNT( BZ$9:BZ$50 )  - $C155 + 1, 1)) &gt; 0)) / SUM(_xlfn._xlws.FILTER(INDEX( BY$9:BY$50, MAX( COUNT( BZ$9:BZ$50 )  - $B155 + 1, 1)) : INDEX( BY$9:BY$50, MAX( COUNT( BZ$9:BZ$50 )  - $C155 + 1, 1)), INDEX( BY$101:BY$142, MAX( COUNT( BZ$9:BZ$50 )  - $B155 + 1, 1)) : INDEX( BY$101:BY$142, MAX( COUNT( BZ$9:BZ$50 )  - $C155 + 1, 1)) &gt; 0)) )</f>
        <v>1.0002973722800628</v>
      </c>
      <c r="BZ155" s="8">
        <f>+IF(BZ$8 = 125, 1, SUM(_xlfn._xlws.FILTER(INDEX( CA$9:CA$50, MAX( COUNT( CA$9:CA$50 )  - $B155 + 1, 1)) : INDEX( CA$9:CA$50, MAX( COUNT( CA$9:CA$50 )  - $C155 + 1, 1)), INDEX( BZ$101:BZ$142, MAX( COUNT( CA$9:CA$50 )  - $B155 + 1, 1)) : INDEX( BZ$101:BZ$142, MAX( COUNT( CA$9:CA$50 )  - $C155 + 1, 1)) &gt; 0)) / SUM(_xlfn._xlws.FILTER(INDEX( BZ$9:BZ$50, MAX( COUNT( CA$9:CA$50 )  - $B155 + 1, 1)) : INDEX( BZ$9:BZ$50, MAX( COUNT( CA$9:CA$50 )  - $C155 + 1, 1)), INDEX( BZ$101:BZ$142, MAX( COUNT( CA$9:CA$50 )  - $B155 + 1, 1)) : INDEX( BZ$101:BZ$142, MAX( COUNT( CA$9:CA$50 )  - $C155 + 1, 1)) &gt; 0)) )</f>
        <v>1.0000919942631934</v>
      </c>
      <c r="CA155" s="8">
        <f>+IF(CA$8 = 125, 1, SUM(_xlfn._xlws.FILTER(INDEX( CB$9:CB$50, MAX( COUNT( CB$9:CB$50 )  - $B155 + 1, 1)) : INDEX( CB$9:CB$50, MAX( COUNT( CB$9:CB$50 )  - $C155 + 1, 1)), INDEX( CA$101:CA$142, MAX( COUNT( CB$9:CB$50 )  - $B155 + 1, 1)) : INDEX( CA$101:CA$142, MAX( COUNT( CB$9:CB$50 )  - $C155 + 1, 1)) &gt; 0)) / SUM(_xlfn._xlws.FILTER(INDEX( CA$9:CA$50, MAX( COUNT( CB$9:CB$50 )  - $B155 + 1, 1)) : INDEX( CA$9:CA$50, MAX( COUNT( CB$9:CB$50 )  - $C155 + 1, 1)), INDEX( CA$101:CA$142, MAX( COUNT( CB$9:CB$50 )  - $B155 + 1, 1)) : INDEX( CA$101:CA$142, MAX( COUNT( CB$9:CB$50 )  - $C155 + 1, 1)) &gt; 0)) )</f>
        <v>1.0000674488925954</v>
      </c>
      <c r="CB155" s="8">
        <f>+IF(CB$8 = 125, 1, SUM(_xlfn._xlws.FILTER(INDEX( CC$9:CC$50, MAX( COUNT( CC$9:CC$50 )  - $B155 + 1, 1)) : INDEX( CC$9:CC$50, MAX( COUNT( CC$9:CC$50 )  - $C155 + 1, 1)), INDEX( CB$101:CB$142, MAX( COUNT( CC$9:CC$50 )  - $B155 + 1, 1)) : INDEX( CB$101:CB$142, MAX( COUNT( CC$9:CC$50 )  - $C155 + 1, 1)) &gt; 0)) / SUM(_xlfn._xlws.FILTER(INDEX( CB$9:CB$50, MAX( COUNT( CC$9:CC$50 )  - $B155 + 1, 1)) : INDEX( CB$9:CB$50, MAX( COUNT( CC$9:CC$50 )  - $C155 + 1, 1)), INDEX( CB$101:CB$142, MAX( COUNT( CC$9:CC$50 )  - $B155 + 1, 1)) : INDEX( CB$101:CB$142, MAX( COUNT( CC$9:CC$50 )  - $C155 + 1, 1)) &gt; 0)) )</f>
        <v>1.0011728465073695</v>
      </c>
      <c r="CC155" s="8">
        <f>+IF(CC$8 = 125, 1, SUM(_xlfn._xlws.FILTER(INDEX( CD$9:CD$50, MAX( COUNT( CD$9:CD$50 )  - $B155 + 1, 1)) : INDEX( CD$9:CD$50, MAX( COUNT( CD$9:CD$50 )  - $C155 + 1, 1)), INDEX( CC$101:CC$142, MAX( COUNT( CD$9:CD$50 )  - $B155 + 1, 1)) : INDEX( CC$101:CC$142, MAX( COUNT( CD$9:CD$50 )  - $C155 + 1, 1)) &gt; 0)) / SUM(_xlfn._xlws.FILTER(INDEX( CC$9:CC$50, MAX( COUNT( CD$9:CD$50 )  - $B155 + 1, 1)) : INDEX( CC$9:CC$50, MAX( COUNT( CD$9:CD$50 )  - $C155 + 1, 1)), INDEX( CC$101:CC$142, MAX( COUNT( CD$9:CD$50 )  - $B155 + 1, 1)) : INDEX( CC$101:CC$142, MAX( COUNT( CD$9:CD$50 )  - $C155 + 1, 1)) &gt; 0)) )</f>
        <v>1.000171035244015</v>
      </c>
      <c r="CD155" s="8">
        <f>+IF(CD$8 = 125, 1, SUM(_xlfn._xlws.FILTER(INDEX( CE$9:CE$50, MAX( COUNT( CE$9:CE$50 )  - $B155 + 1, 1)) : INDEX( CE$9:CE$50, MAX( COUNT( CE$9:CE$50 )  - $C155 + 1, 1)), INDEX( CD$101:CD$142, MAX( COUNT( CE$9:CE$50 )  - $B155 + 1, 1)) : INDEX( CD$101:CD$142, MAX( COUNT( CE$9:CE$50 )  - $C155 + 1, 1)) &gt; 0)) / SUM(_xlfn._xlws.FILTER(INDEX( CD$9:CD$50, MAX( COUNT( CE$9:CE$50 )  - $B155 + 1, 1)) : INDEX( CD$9:CD$50, MAX( COUNT( CE$9:CE$50 )  - $C155 + 1, 1)), INDEX( CD$101:CD$142, MAX( COUNT( CE$9:CE$50 )  - $B155 + 1, 1)) : INDEX( CD$101:CD$142, MAX( COUNT( CE$9:CE$50 )  - $C155 + 1, 1)) &gt; 0)) )</f>
        <v>1.000028788857672</v>
      </c>
      <c r="CE155" s="8">
        <f>+IF(CE$8 = 125, 1, SUM(_xlfn._xlws.FILTER(INDEX( CF$9:CF$50, MAX( COUNT( CF$9:CF$50 )  - $B155 + 1, 1)) : INDEX( CF$9:CF$50, MAX( COUNT( CF$9:CF$50 )  - $C155 + 1, 1)), INDEX( CE$101:CE$142, MAX( COUNT( CF$9:CF$50 )  - $B155 + 1, 1)) : INDEX( CE$101:CE$142, MAX( COUNT( CF$9:CF$50 )  - $C155 + 1, 1)) &gt; 0)) / SUM(_xlfn._xlws.FILTER(INDEX( CE$9:CE$50, MAX( COUNT( CF$9:CF$50 )  - $B155 + 1, 1)) : INDEX( CE$9:CE$50, MAX( COUNT( CF$9:CF$50 )  - $C155 + 1, 1)), INDEX( CE$101:CE$142, MAX( COUNT( CF$9:CF$50 )  - $B155 + 1, 1)) : INDEX( CE$101:CE$142, MAX( COUNT( CF$9:CF$50 )  - $C155 + 1, 1)) &gt; 0)) )</f>
        <v>1.0005194704805462</v>
      </c>
      <c r="CF155" s="8">
        <f>+IF(CF$8 = 125, 1, SUM(_xlfn._xlws.FILTER(INDEX( CG$9:CG$50, MAX( COUNT( CG$9:CG$50 )  - $B155 + 1, 1)) : INDEX( CG$9:CG$50, MAX( COUNT( CG$9:CG$50 )  - $C155 + 1, 1)), INDEX( CF$101:CF$142, MAX( COUNT( CG$9:CG$50 )  - $B155 + 1, 1)) : INDEX( CF$101:CF$142, MAX( COUNT( CG$9:CG$50 )  - $C155 + 1, 1)) &gt; 0)) / SUM(_xlfn._xlws.FILTER(INDEX( CF$9:CF$50, MAX( COUNT( CG$9:CG$50 )  - $B155 + 1, 1)) : INDEX( CF$9:CF$50, MAX( COUNT( CG$9:CG$50 )  - $C155 + 1, 1)), INDEX( CF$101:CF$142, MAX( COUNT( CG$9:CG$50 )  - $B155 + 1, 1)) : INDEX( CF$101:CF$142, MAX( COUNT( CG$9:CG$50 )  - $C155 + 1, 1)) &gt; 0)) )</f>
        <v>1.0007538472933641</v>
      </c>
      <c r="CG155" s="8">
        <f>+IF(CG$8 = 125, 1, SUM(_xlfn._xlws.FILTER(INDEX( CH$9:CH$50, MAX( COUNT( CH$9:CH$50 )  - $B155 + 1, 1)) : INDEX( CH$9:CH$50, MAX( COUNT( CH$9:CH$50 )  - $C155 + 1, 1)), INDEX( CG$101:CG$142, MAX( COUNT( CH$9:CH$50 )  - $B155 + 1, 1)) : INDEX( CG$101:CG$142, MAX( COUNT( CH$9:CH$50 )  - $C155 + 1, 1)) &gt; 0)) / SUM(_xlfn._xlws.FILTER(INDEX( CG$9:CG$50, MAX( COUNT( CH$9:CH$50 )  - $B155 + 1, 1)) : INDEX( CG$9:CG$50, MAX( COUNT( CH$9:CH$50 )  - $C155 + 1, 1)), INDEX( CG$101:CG$142, MAX( COUNT( CH$9:CH$50 )  - $B155 + 1, 1)) : INDEX( CG$101:CG$142, MAX( COUNT( CH$9:CH$50 )  - $C155 + 1, 1)) &gt; 0)) )</f>
        <v>1.0002382623373125</v>
      </c>
      <c r="CH155" s="8">
        <f>+IF(CH$8 = 125, 1, SUM(_xlfn._xlws.FILTER(INDEX( CI$9:CI$50, MAX( COUNT( CI$9:CI$50 )  - $B155 + 1, 1)) : INDEX( CI$9:CI$50, MAX( COUNT( CI$9:CI$50 )  - $C155 + 1, 1)), INDEX( CH$101:CH$142, MAX( COUNT( CI$9:CI$50 )  - $B155 + 1, 1)) : INDEX( CH$101:CH$142, MAX( COUNT( CI$9:CI$50 )  - $C155 + 1, 1)) &gt; 0)) / SUM(_xlfn._xlws.FILTER(INDEX( CH$9:CH$50, MAX( COUNT( CI$9:CI$50 )  - $B155 + 1, 1)) : INDEX( CH$9:CH$50, MAX( COUNT( CI$9:CI$50 )  - $C155 + 1, 1)), INDEX( CH$101:CH$142, MAX( COUNT( CI$9:CI$50 )  - $B155 + 1, 1)) : INDEX( CH$101:CH$142, MAX( COUNT( CI$9:CI$50 )  - $C155 + 1, 1)) &gt; 0)) )</f>
        <v>1.0004507134949918</v>
      </c>
      <c r="CI155" s="8">
        <f>+IF(CI$8 = 125, 1, SUM(_xlfn._xlws.FILTER(INDEX( CJ$9:CJ$50, MAX( COUNT( CJ$9:CJ$50 )  - $B155 + 1, 1)) : INDEX( CJ$9:CJ$50, MAX( COUNT( CJ$9:CJ$50 )  - $C155 + 1, 1)), INDEX( CI$101:CI$142, MAX( COUNT( CJ$9:CJ$50 )  - $B155 + 1, 1)) : INDEX( CI$101:CI$142, MAX( COUNT( CJ$9:CJ$50 )  - $C155 + 1, 1)) &gt; 0)) / SUM(_xlfn._xlws.FILTER(INDEX( CI$9:CI$50, MAX( COUNT( CJ$9:CJ$50 )  - $B155 + 1, 1)) : INDEX( CI$9:CI$50, MAX( COUNT( CJ$9:CJ$50 )  - $C155 + 1, 1)), INDEX( CI$101:CI$142, MAX( COUNT( CJ$9:CJ$50 )  - $B155 + 1, 1)) : INDEX( CI$101:CI$142, MAX( COUNT( CJ$9:CJ$50 )  - $C155 + 1, 1)) &gt; 0)) )</f>
        <v>1.0000549141140997</v>
      </c>
      <c r="CJ155" s="8">
        <f>+IF(CJ$8 = 125, 1, SUM(_xlfn._xlws.FILTER(INDEX( CK$9:CK$50, MAX( COUNT( CK$9:CK$50 )  - $B155 + 1, 1)) : INDEX( CK$9:CK$50, MAX( COUNT( CK$9:CK$50 )  - $C155 + 1, 1)), INDEX( CJ$101:CJ$142, MAX( COUNT( CK$9:CK$50 )  - $B155 + 1, 1)) : INDEX( CJ$101:CJ$142, MAX( COUNT( CK$9:CK$50 )  - $C155 + 1, 1)) &gt; 0)) / SUM(_xlfn._xlws.FILTER(INDEX( CJ$9:CJ$50, MAX( COUNT( CK$9:CK$50 )  - $B155 + 1, 1)) : INDEX( CJ$9:CJ$50, MAX( COUNT( CK$9:CK$50 )  - $C155 + 1, 1)), INDEX( CJ$101:CJ$142, MAX( COUNT( CK$9:CK$50 )  - $B155 + 1, 1)) : INDEX( CJ$101:CJ$142, MAX( COUNT( CK$9:CK$50 )  - $C155 + 1, 1)) &gt; 0)) )</f>
        <v>1.0003366941635625</v>
      </c>
      <c r="CK155" s="8">
        <f>+IF(CK$8 = 125, 1, SUM(_xlfn._xlws.FILTER(INDEX( CL$9:CL$50, MAX( COUNT( CL$9:CL$50 )  - $B155 + 1, 1)) : INDEX( CL$9:CL$50, MAX( COUNT( CL$9:CL$50 )  - $C155 + 1, 1)), INDEX( CK$101:CK$142, MAX( COUNT( CL$9:CL$50 )  - $B155 + 1, 1)) : INDEX( CK$101:CK$142, MAX( COUNT( CL$9:CL$50 )  - $C155 + 1, 1)) &gt; 0)) / SUM(_xlfn._xlws.FILTER(INDEX( CK$9:CK$50, MAX( COUNT( CL$9:CL$50 )  - $B155 + 1, 1)) : INDEX( CK$9:CK$50, MAX( COUNT( CL$9:CL$50 )  - $C155 + 1, 1)), INDEX( CK$101:CK$142, MAX( COUNT( CL$9:CL$50 )  - $B155 + 1, 1)) : INDEX( CK$101:CK$142, MAX( COUNT( CL$9:CL$50 )  - $C155 + 1, 1)) &gt; 0)) )</f>
        <v>1.0000221798984466</v>
      </c>
      <c r="CL155" s="8">
        <f>+IF(CL$8 = 125, 1, SUM(_xlfn._xlws.FILTER(INDEX( CM$9:CM$50, MAX( COUNT( CM$9:CM$50 )  - $B155 + 1, 1)) : INDEX( CM$9:CM$50, MAX( COUNT( CM$9:CM$50 )  - $C155 + 1, 1)), INDEX( CL$101:CL$142, MAX( COUNT( CM$9:CM$50 )  - $B155 + 1, 1)) : INDEX( CL$101:CL$142, MAX( COUNT( CM$9:CM$50 )  - $C155 + 1, 1)) &gt; 0)) / SUM(_xlfn._xlws.FILTER(INDEX( CL$9:CL$50, MAX( COUNT( CM$9:CM$50 )  - $B155 + 1, 1)) : INDEX( CL$9:CL$50, MAX( COUNT( CM$9:CM$50 )  - $C155 + 1, 1)), INDEX( CL$101:CL$142, MAX( COUNT( CM$9:CM$50 )  - $B155 + 1, 1)) : INDEX( CL$101:CL$142, MAX( COUNT( CM$9:CM$50 )  - $C155 + 1, 1)) &gt; 0)) )</f>
        <v>1.0005334452639758</v>
      </c>
      <c r="CM155" s="8">
        <f>+IF(CM$8 = 125, 1, SUM(_xlfn._xlws.FILTER(INDEX( CN$9:CN$50, MAX( COUNT( CN$9:CN$50 )  - $B155 + 1, 1)) : INDEX( CN$9:CN$50, MAX( COUNT( CN$9:CN$50 )  - $C155 + 1, 1)), INDEX( CM$101:CM$142, MAX( COUNT( CN$9:CN$50 )  - $B155 + 1, 1)) : INDEX( CM$101:CM$142, MAX( COUNT( CN$9:CN$50 )  - $C155 + 1, 1)) &gt; 0)) / SUM(_xlfn._xlws.FILTER(INDEX( CM$9:CM$50, MAX( COUNT( CN$9:CN$50 )  - $B155 + 1, 1)) : INDEX( CM$9:CM$50, MAX( COUNT( CN$9:CN$50 )  - $C155 + 1, 1)), INDEX( CM$101:CM$142, MAX( COUNT( CN$9:CN$50 )  - $B155 + 1, 1)) : INDEX( CM$101:CM$142, MAX( COUNT( CN$9:CN$50 )  - $C155 + 1, 1)) &gt; 0)) )</f>
        <v>1.0009048688312465</v>
      </c>
      <c r="CN155" s="8">
        <f>+IF(CN$8 = 125, 1, SUM(_xlfn._xlws.FILTER(INDEX( CO$9:CO$50, MAX( COUNT( CO$9:CO$50 )  - $B155 + 1, 1)) : INDEX( CO$9:CO$50, MAX( COUNT( CO$9:CO$50 )  - $C155 + 1, 1)), INDEX( CN$101:CN$142, MAX( COUNT( CO$9:CO$50 )  - $B155 + 1, 1)) : INDEX( CN$101:CN$142, MAX( COUNT( CO$9:CO$50 )  - $C155 + 1, 1)) &gt; 0)) / SUM(_xlfn._xlws.FILTER(INDEX( CN$9:CN$50, MAX( COUNT( CO$9:CO$50 )  - $B155 + 1, 1)) : INDEX( CN$9:CN$50, MAX( COUNT( CO$9:CO$50 )  - $C155 + 1, 1)), INDEX( CN$101:CN$142, MAX( COUNT( CO$9:CO$50 )  - $B155 + 1, 1)) : INDEX( CN$101:CN$142, MAX( COUNT( CO$9:CO$50 )  - $C155 + 1, 1)) &gt; 0)) )</f>
        <v>1.0000779506911068</v>
      </c>
      <c r="CO155" s="8">
        <f>+IF(CO$8 = 125, 1, SUM(_xlfn._xlws.FILTER(INDEX( CP$9:CP$50, MAX( COUNT( CP$9:CP$50 )  - $B155 + 1, 1)) : INDEX( CP$9:CP$50, MAX( COUNT( CP$9:CP$50 )  - $C155 + 1, 1)), INDEX( CO$101:CO$142, MAX( COUNT( CP$9:CP$50 )  - $B155 + 1, 1)) : INDEX( CO$101:CO$142, MAX( COUNT( CP$9:CP$50 )  - $C155 + 1, 1)) &gt; 0)) / SUM(_xlfn._xlws.FILTER(INDEX( CO$9:CO$50, MAX( COUNT( CP$9:CP$50 )  - $B155 + 1, 1)) : INDEX( CO$9:CO$50, MAX( COUNT( CP$9:CP$50 )  - $C155 + 1, 1)), INDEX( CO$101:CO$142, MAX( COUNT( CP$9:CP$50 )  - $B155 + 1, 1)) : INDEX( CO$101:CO$142, MAX( COUNT( CP$9:CP$50 )  - $C155 + 1, 1)) &gt; 0)) )</f>
        <v>1.0406283003824315</v>
      </c>
      <c r="CP155" s="8">
        <f>+IF(CP$8 = 125, 1, SUM(_xlfn._xlws.FILTER(INDEX( CQ$9:CQ$50, MAX( COUNT( CQ$9:CQ$50 )  - $B155 + 1, 1)) : INDEX( CQ$9:CQ$50, MAX( COUNT( CQ$9:CQ$50 )  - $C155 + 1, 1)), INDEX( CP$101:CP$142, MAX( COUNT( CQ$9:CQ$50 )  - $B155 + 1, 1)) : INDEX( CP$101:CP$142, MAX( COUNT( CQ$9:CQ$50 )  - $C155 + 1, 1)) &gt; 0)) / SUM(_xlfn._xlws.FILTER(INDEX( CP$9:CP$50, MAX( COUNT( CQ$9:CQ$50 )  - $B155 + 1, 1)) : INDEX( CP$9:CP$50, MAX( COUNT( CQ$9:CQ$50 )  - $C155 + 1, 1)), INDEX( CP$101:CP$142, MAX( COUNT( CQ$9:CQ$50 )  - $B155 + 1, 1)) : INDEX( CP$101:CP$142, MAX( COUNT( CQ$9:CQ$50 )  - $C155 + 1, 1)) &gt; 0)) )</f>
        <v>1</v>
      </c>
      <c r="CQ155" s="8">
        <f>+IF(CQ$8 = 125, 1, SUM(_xlfn._xlws.FILTER(INDEX( CR$9:CR$50, MAX( COUNT( CR$9:CR$50 )  - $B155 + 1, 1)) : INDEX( CR$9:CR$50, MAX( COUNT( CR$9:CR$50 )  - $C155 + 1, 1)), INDEX( CQ$101:CQ$142, MAX( COUNT( CR$9:CR$50 )  - $B155 + 1, 1)) : INDEX( CQ$101:CQ$142, MAX( COUNT( CR$9:CR$50 )  - $C155 + 1, 1)) &gt; 0)) / SUM(_xlfn._xlws.FILTER(INDEX( CQ$9:CQ$50, MAX( COUNT( CR$9:CR$50 )  - $B155 + 1, 1)) : INDEX( CQ$9:CQ$50, MAX( COUNT( CR$9:CR$50 )  - $C155 + 1, 1)), INDEX( CQ$101:CQ$142, MAX( COUNT( CR$9:CR$50 )  - $B155 + 1, 1)) : INDEX( CQ$101:CQ$142, MAX( COUNT( CR$9:CR$50 )  - $C155 + 1, 1)) &gt; 0)) )</f>
        <v>1.0001525567944252</v>
      </c>
      <c r="CR155" s="8">
        <f>+IF(CR$8 = 125, 1, SUM(_xlfn._xlws.FILTER(INDEX( CS$9:CS$50, MAX( COUNT( CS$9:CS$50 )  - $B155 + 1, 1)) : INDEX( CS$9:CS$50, MAX( COUNT( CS$9:CS$50 )  - $C155 + 1, 1)), INDEX( CR$101:CR$142, MAX( COUNT( CS$9:CS$50 )  - $B155 + 1, 1)) : INDEX( CR$101:CR$142, MAX( COUNT( CS$9:CS$50 )  - $C155 + 1, 1)) &gt; 0)) / SUM(_xlfn._xlws.FILTER(INDEX( CR$9:CR$50, MAX( COUNT( CS$9:CS$50 )  - $B155 + 1, 1)) : INDEX( CR$9:CR$50, MAX( COUNT( CS$9:CS$50 )  - $C155 + 1, 1)), INDEX( CR$101:CR$142, MAX( COUNT( CS$9:CS$50 )  - $B155 + 1, 1)) : INDEX( CR$101:CR$142, MAX( COUNT( CS$9:CS$50 )  - $C155 + 1, 1)) &gt; 0)) )</f>
        <v>1.0008301117931291</v>
      </c>
      <c r="CS155" s="8">
        <f>+IF(CS$8 = 125, 1, SUM(_xlfn._xlws.FILTER(INDEX( CT$9:CT$50, MAX( COUNT( CT$9:CT$50 )  - $B155 + 1, 1)) : INDEX( CT$9:CT$50, MAX( COUNT( CT$9:CT$50 )  - $C155 + 1, 1)), INDEX( CS$101:CS$142, MAX( COUNT( CT$9:CT$50 )  - $B155 + 1, 1)) : INDEX( CS$101:CS$142, MAX( COUNT( CT$9:CT$50 )  - $C155 + 1, 1)) &gt; 0)) / SUM(_xlfn._xlws.FILTER(INDEX( CS$9:CS$50, MAX( COUNT( CT$9:CT$50 )  - $B155 + 1, 1)) : INDEX( CS$9:CS$50, MAX( COUNT( CT$9:CT$50 )  - $C155 + 1, 1)), INDEX( CS$101:CS$142, MAX( COUNT( CT$9:CT$50 )  - $B155 + 1, 1)) : INDEX( CS$101:CS$142, MAX( COUNT( CT$9:CT$50 )  - $C155 + 1, 1)) &gt; 0)) )</f>
        <v>1.0006125148532108</v>
      </c>
      <c r="CT155" s="8">
        <f>+IF(CT$8 = 125, 1, SUM(_xlfn._xlws.FILTER(INDEX( CU$9:CU$50, MAX( COUNT( CU$9:CU$50 )  - $B155 + 1, 1)) : INDEX( CU$9:CU$50, MAX( COUNT( CU$9:CU$50 )  - $C155 + 1, 1)), INDEX( CT$101:CT$142, MAX( COUNT( CU$9:CU$50 )  - $B155 + 1, 1)) : INDEX( CT$101:CT$142, MAX( COUNT( CU$9:CU$50 )  - $C155 + 1, 1)) &gt; 0)) / SUM(_xlfn._xlws.FILTER(INDEX( CT$9:CT$50, MAX( COUNT( CU$9:CU$50 )  - $B155 + 1, 1)) : INDEX( CT$9:CT$50, MAX( COUNT( CU$9:CU$50 )  - $C155 + 1, 1)), INDEX( CT$101:CT$142, MAX( COUNT( CU$9:CU$50 )  - $B155 + 1, 1)) : INDEX( CT$101:CT$142, MAX( COUNT( CU$9:CU$50 )  - $C155 + 1, 1)) &gt; 0)) )</f>
        <v>1.000049618665932</v>
      </c>
      <c r="CU155" s="8">
        <f>+IF(CU$8 = 125, 1, SUM(_xlfn._xlws.FILTER(INDEX( CV$9:CV$50, MAX( COUNT( CV$9:CV$50 )  - $B155 + 1, 1)) : INDEX( CV$9:CV$50, MAX( COUNT( CV$9:CV$50 )  - $C155 + 1, 1)), INDEX( CU$101:CU$142, MAX( COUNT( CV$9:CV$50 )  - $B155 + 1, 1)) : INDEX( CU$101:CU$142, MAX( COUNT( CV$9:CV$50 )  - $C155 + 1, 1)) &gt; 0)) / SUM(_xlfn._xlws.FILTER(INDEX( CU$9:CU$50, MAX( COUNT( CV$9:CV$50 )  - $B155 + 1, 1)) : INDEX( CU$9:CU$50, MAX( COUNT( CV$9:CV$50 )  - $C155 + 1, 1)), INDEX( CU$101:CU$142, MAX( COUNT( CV$9:CV$50 )  - $B155 + 1, 1)) : INDEX( CU$101:CU$142, MAX( COUNT( CV$9:CV$50 )  - $C155 + 1, 1)) &gt; 0)) )</f>
        <v>1.0000093476209653</v>
      </c>
      <c r="CV155" s="8">
        <f>+IF(CV$8 = 125, 1, SUM(_xlfn._xlws.FILTER(INDEX( CW$9:CW$50, MAX( COUNT( CW$9:CW$50 )  - $B155 + 1, 1)) : INDEX( CW$9:CW$50, MAX( COUNT( CW$9:CW$50 )  - $C155 + 1, 1)), INDEX( CV$101:CV$142, MAX( COUNT( CW$9:CW$50 )  - $B155 + 1, 1)) : INDEX( CV$101:CV$142, MAX( COUNT( CW$9:CW$50 )  - $C155 + 1, 1)) &gt; 0)) / SUM(_xlfn._xlws.FILTER(INDEX( CV$9:CV$50, MAX( COUNT( CW$9:CW$50 )  - $B155 + 1, 1)) : INDEX( CV$9:CV$50, MAX( COUNT( CW$9:CW$50 )  - $C155 + 1, 1)), INDEX( CV$101:CV$142, MAX( COUNT( CW$9:CW$50 )  - $B155 + 1, 1)) : INDEX( CV$101:CV$142, MAX( COUNT( CW$9:CW$50 )  - $C155 + 1, 1)) &gt; 0)) )</f>
        <v>1.0001367475894296</v>
      </c>
      <c r="CW155" s="8">
        <f>+IF(CW$8 = 125, 1, SUM(_xlfn._xlws.FILTER(INDEX( CX$9:CX$50, MAX( COUNT( CX$9:CX$50 )  - $B155 + 1, 1)) : INDEX( CX$9:CX$50, MAX( COUNT( CX$9:CX$50 )  - $C155 + 1, 1)), INDEX( CW$101:CW$142, MAX( COUNT( CX$9:CX$50 )  - $B155 + 1, 1)) : INDEX( CW$101:CW$142, MAX( COUNT( CX$9:CX$50 )  - $C155 + 1, 1)) &gt; 0)) / SUM(_xlfn._xlws.FILTER(INDEX( CW$9:CW$50, MAX( COUNT( CX$9:CX$50 )  - $B155 + 1, 1)) : INDEX( CW$9:CW$50, MAX( COUNT( CX$9:CX$50 )  - $C155 + 1, 1)), INDEX( CW$101:CW$142, MAX( COUNT( CX$9:CX$50 )  - $B155 + 1, 1)) : INDEX( CW$101:CW$142, MAX( COUNT( CX$9:CX$50 )  - $C155 + 1, 1)) &gt; 0)) )</f>
        <v>1.0003078971519956</v>
      </c>
      <c r="CX155" s="8">
        <f>+IF(CX$8 = 125, 1, SUM(_xlfn._xlws.FILTER(INDEX( CY$9:CY$50, MAX( COUNT( CY$9:CY$50 )  - $B155 + 1, 1)) : INDEX( CY$9:CY$50, MAX( COUNT( CY$9:CY$50 )  - $C155 + 1, 1)), INDEX( CX$101:CX$142, MAX( COUNT( CY$9:CY$50 )  - $B155 + 1, 1)) : INDEX( CX$101:CX$142, MAX( COUNT( CY$9:CY$50 )  - $C155 + 1, 1)) &gt; 0)) / SUM(_xlfn._xlws.FILTER(INDEX( CX$9:CX$50, MAX( COUNT( CY$9:CY$50 )  - $B155 + 1, 1)) : INDEX( CX$9:CX$50, MAX( COUNT( CY$9:CY$50 )  - $C155 + 1, 1)), INDEX( CX$101:CX$142, MAX( COUNT( CY$9:CY$50 )  - $B155 + 1, 1)) : INDEX( CX$101:CX$142, MAX( COUNT( CY$9:CY$50 )  - $C155 + 1, 1)) &gt; 0)) )</f>
        <v>1.0008516151498421</v>
      </c>
      <c r="CY155" s="8">
        <f>+IF(CY$8 = 125, 1, SUM(_xlfn._xlws.FILTER(INDEX( CZ$9:CZ$50, MAX( COUNT( CZ$9:CZ$50 )  - $B155 + 1, 1)) : INDEX( CZ$9:CZ$50, MAX( COUNT( CZ$9:CZ$50 )  - $C155 + 1, 1)), INDEX( CY$101:CY$142, MAX( COUNT( CZ$9:CZ$50 )  - $B155 + 1, 1)) : INDEX( CY$101:CY$142, MAX( COUNT( CZ$9:CZ$50 )  - $C155 + 1, 1)) &gt; 0)) / SUM(_xlfn._xlws.FILTER(INDEX( CY$9:CY$50, MAX( COUNT( CZ$9:CZ$50 )  - $B155 + 1, 1)) : INDEX( CY$9:CY$50, MAX( COUNT( CZ$9:CZ$50 )  - $C155 + 1, 1)), INDEX( CY$101:CY$142, MAX( COUNT( CZ$9:CZ$50 )  - $B155 + 1, 1)) : INDEX( CY$101:CY$142, MAX( COUNT( CZ$9:CZ$50 )  - $C155 + 1, 1)) &gt; 0)) )</f>
        <v>1.0009183687991574</v>
      </c>
      <c r="CZ155" s="8">
        <f>+IF(CZ$8 = 125, 1, SUM(_xlfn._xlws.FILTER(INDEX( DA$9:DA$50, MAX( COUNT( DA$9:DA$50 )  - $B155 + 1, 1)) : INDEX( DA$9:DA$50, MAX( COUNT( DA$9:DA$50 )  - $C155 + 1, 1)), INDEX( CZ$101:CZ$142, MAX( COUNT( DA$9:DA$50 )  - $B155 + 1, 1)) : INDEX( CZ$101:CZ$142, MAX( COUNT( DA$9:DA$50 )  - $C155 + 1, 1)) &gt; 0)) / SUM(_xlfn._xlws.FILTER(INDEX( CZ$9:CZ$50, MAX( COUNT( DA$9:DA$50 )  - $B155 + 1, 1)) : INDEX( CZ$9:CZ$50, MAX( COUNT( DA$9:DA$50 )  - $C155 + 1, 1)), INDEX( CZ$101:CZ$142, MAX( COUNT( DA$9:DA$50 )  - $B155 + 1, 1)) : INDEX( CZ$101:CZ$142, MAX( COUNT( DA$9:DA$50 )  - $C155 + 1, 1)) &gt; 0)) )</f>
        <v>1.0004213498677792</v>
      </c>
      <c r="DA155" s="8">
        <f>+IF(DA$8 = 125, 1, SUM(_xlfn._xlws.FILTER(INDEX( DB$9:DB$50, MAX( COUNT( DB$9:DB$50 )  - $B155 + 1, 1)) : INDEX( DB$9:DB$50, MAX( COUNT( DB$9:DB$50 )  - $C155 + 1, 1)), INDEX( DA$101:DA$142, MAX( COUNT( DB$9:DB$50 )  - $B155 + 1, 1)) : INDEX( DA$101:DA$142, MAX( COUNT( DB$9:DB$50 )  - $C155 + 1, 1)) &gt; 0)) / SUM(_xlfn._xlws.FILTER(INDEX( DA$9:DA$50, MAX( COUNT( DB$9:DB$50 )  - $B155 + 1, 1)) : INDEX( DA$9:DA$50, MAX( COUNT( DB$9:DB$50 )  - $C155 + 1, 1)), INDEX( DA$101:DA$142, MAX( COUNT( DB$9:DB$50 )  - $B155 + 1, 1)) : INDEX( DA$101:DA$142, MAX( COUNT( DB$9:DB$50 )  - $C155 + 1, 1)) &gt; 0)) )</f>
        <v>1.0002634493912874</v>
      </c>
      <c r="DB155" s="8">
        <f>+IF(DB$8 = 125, 1, SUM(_xlfn._xlws.FILTER(INDEX( DC$9:DC$50, MAX( COUNT( DC$9:DC$50 )  - $B155 + 1, 1)) : INDEX( DC$9:DC$50, MAX( COUNT( DC$9:DC$50 )  - $C155 + 1, 1)), INDEX( DB$101:DB$142, MAX( COUNT( DC$9:DC$50 )  - $B155 + 1, 1)) : INDEX( DB$101:DB$142, MAX( COUNT( DC$9:DC$50 )  - $C155 + 1, 1)) &gt; 0)) / SUM(_xlfn._xlws.FILTER(INDEX( DB$9:DB$50, MAX( COUNT( DC$9:DC$50 )  - $B155 + 1, 1)) : INDEX( DB$9:DB$50, MAX( COUNT( DC$9:DC$50 )  - $C155 + 1, 1)), INDEX( DB$101:DB$142, MAX( COUNT( DC$9:DC$50 )  - $B155 + 1, 1)) : INDEX( DB$101:DB$142, MAX( COUNT( DC$9:DC$50 )  - $C155 + 1, 1)) &gt; 0)) )</f>
        <v>1.000013394784272</v>
      </c>
      <c r="DC155" s="8">
        <f>+IF(DC$8 = 125, 1, SUM(_xlfn._xlws.FILTER(INDEX( DD$9:DD$50, MAX( COUNT( DD$9:DD$50 )  - $B155 + 1, 1)) : INDEX( DD$9:DD$50, MAX( COUNT( DD$9:DD$50 )  - $C155 + 1, 1)), INDEX( DC$101:DC$142, MAX( COUNT( DD$9:DD$50 )  - $B155 + 1, 1)) : INDEX( DC$101:DC$142, MAX( COUNT( DD$9:DD$50 )  - $C155 + 1, 1)) &gt; 0)) / SUM(_xlfn._xlws.FILTER(INDEX( DC$9:DC$50, MAX( COUNT( DD$9:DD$50 )  - $B155 + 1, 1)) : INDEX( DC$9:DC$50, MAX( COUNT( DD$9:DD$50 )  - $C155 + 1, 1)), INDEX( DC$101:DC$142, MAX( COUNT( DD$9:DD$50 )  - $B155 + 1, 1)) : INDEX( DC$101:DC$142, MAX( COUNT( DD$9:DD$50 )  - $C155 + 1, 1)) &gt; 0)) )</f>
        <v>1.0001267711881203</v>
      </c>
      <c r="DD155" s="8">
        <f>+IF(DD$8 = 125, 1, SUM(_xlfn._xlws.FILTER(INDEX( DE$9:DE$50, MAX( COUNT( DE$9:DE$50 )  - $B155 + 1, 1)) : INDEX( DE$9:DE$50, MAX( COUNT( DE$9:DE$50 )  - $C155 + 1, 1)), INDEX( DD$101:DD$142, MAX( COUNT( DE$9:DE$50 )  - $B155 + 1, 1)) : INDEX( DD$101:DD$142, MAX( COUNT( DE$9:DE$50 )  - $C155 + 1, 1)) &gt; 0)) / SUM(_xlfn._xlws.FILTER(INDEX( DD$9:DD$50, MAX( COUNT( DE$9:DE$50 )  - $B155 + 1, 1)) : INDEX( DD$9:DD$50, MAX( COUNT( DE$9:DE$50 )  - $C155 + 1, 1)), INDEX( DD$101:DD$142, MAX( COUNT( DE$9:DE$50 )  - $B155 + 1, 1)) : INDEX( DD$101:DD$142, MAX( COUNT( DE$9:DE$50 )  - $C155 + 1, 1)) &gt; 0)) )</f>
        <v>1.0000207098870422</v>
      </c>
      <c r="DE155" s="8">
        <f>+IF(DE$8 = 125, 1, SUM(_xlfn._xlws.FILTER(INDEX( DF$9:DF$50, MAX( COUNT( DF$9:DF$50 )  - $B155 + 1, 1)) : INDEX( DF$9:DF$50, MAX( COUNT( DF$9:DF$50 )  - $C155 + 1, 1)), INDEX( DE$101:DE$142, MAX( COUNT( DF$9:DF$50 )  - $B155 + 1, 1)) : INDEX( DE$101:DE$142, MAX( COUNT( DF$9:DF$50 )  - $C155 + 1, 1)) &gt; 0)) / SUM(_xlfn._xlws.FILTER(INDEX( DE$9:DE$50, MAX( COUNT( DF$9:DF$50 )  - $B155 + 1, 1)) : INDEX( DE$9:DE$50, MAX( COUNT( DF$9:DF$50 )  - $C155 + 1, 1)), INDEX( DE$101:DE$142, MAX( COUNT( DF$9:DF$50 )  - $B155 + 1, 1)) : INDEX( DE$101:DE$142, MAX( COUNT( DF$9:DF$50 )  - $C155 + 1, 1)) &gt; 0)) )</f>
        <v>1.0002138471832676</v>
      </c>
      <c r="DF155" s="8">
        <f>+IF(DF$8 = 125, 1, SUM(_xlfn._xlws.FILTER(INDEX( DG$9:DG$50, MAX( COUNT( DG$9:DG$50 )  - $B155 + 1, 1)) : INDEX( DG$9:DG$50, MAX( COUNT( DG$9:DG$50 )  - $C155 + 1, 1)), INDEX( DF$101:DF$142, MAX( COUNT( DG$9:DG$50 )  - $B155 + 1, 1)) : INDEX( DF$101:DF$142, MAX( COUNT( DG$9:DG$50 )  - $C155 + 1, 1)) &gt; 0)) / SUM(_xlfn._xlws.FILTER(INDEX( DF$9:DF$50, MAX( COUNT( DG$9:DG$50 )  - $B155 + 1, 1)) : INDEX( DF$9:DF$50, MAX( COUNT( DG$9:DG$50 )  - $C155 + 1, 1)), INDEX( DF$101:DF$142, MAX( COUNT( DG$9:DG$50 )  - $B155 + 1, 1)) : INDEX( DF$101:DF$142, MAX( COUNT( DG$9:DG$50 )  - $C155 + 1, 1)) &gt; 0)) )</f>
        <v>1.0005532733574507</v>
      </c>
      <c r="DG155" s="8">
        <f>+IF(DG$8 = 125, 1, SUM(_xlfn._xlws.FILTER(INDEX( DH$9:DH$50, MAX( COUNT( DH$9:DH$50 )  - $B155 + 1, 1)) : INDEX( DH$9:DH$50, MAX( COUNT( DH$9:DH$50 )  - $C155 + 1, 1)), INDEX( DG$101:DG$142, MAX( COUNT( DH$9:DH$50 )  - $B155 + 1, 1)) : INDEX( DG$101:DG$142, MAX( COUNT( DH$9:DH$50 )  - $C155 + 1, 1)) &gt; 0)) / SUM(_xlfn._xlws.FILTER(INDEX( DG$9:DG$50, MAX( COUNT( DH$9:DH$50 )  - $B155 + 1, 1)) : INDEX( DG$9:DG$50, MAX( COUNT( DH$9:DH$50 )  - $C155 + 1, 1)), INDEX( DG$101:DG$142, MAX( COUNT( DH$9:DH$50 )  - $B155 + 1, 1)) : INDEX( DG$101:DG$142, MAX( COUNT( DH$9:DH$50 )  - $C155 + 1, 1)) &gt; 0)) )</f>
        <v>1.0006550658947577</v>
      </c>
      <c r="DH155" s="8">
        <f>+IF(DH$8 = 125, 1, SUM(_xlfn._xlws.FILTER(INDEX( DI$9:DI$50, MAX( COUNT( DI$9:DI$50 )  - $B155 + 1, 1)) : INDEX( DI$9:DI$50, MAX( COUNT( DI$9:DI$50 )  - $C155 + 1, 1)), INDEX( DH$101:DH$142, MAX( COUNT( DI$9:DI$50 )  - $B155 + 1, 1)) : INDEX( DH$101:DH$142, MAX( COUNT( DI$9:DI$50 )  - $C155 + 1, 1)) &gt; 0)) / SUM(_xlfn._xlws.FILTER(INDEX( DH$9:DH$50, MAX( COUNT( DI$9:DI$50 )  - $B155 + 1, 1)) : INDEX( DH$9:DH$50, MAX( COUNT( DI$9:DI$50 )  - $C155 + 1, 1)), INDEX( DH$101:DH$142, MAX( COUNT( DI$9:DI$50 )  - $B155 + 1, 1)) : INDEX( DH$101:DH$142, MAX( COUNT( DI$9:DI$50 )  - $C155 + 1, 1)) &gt; 0)) )</f>
        <v>1.0001547598576079</v>
      </c>
      <c r="DI155" s="8">
        <f>+IF(DI$8 = 125, 1, SUM(_xlfn._xlws.FILTER(INDEX( DJ$9:DJ$50, MAX( COUNT( DJ$9:DJ$50 )  - $B155 + 1, 1)) : INDEX( DJ$9:DJ$50, MAX( COUNT( DJ$9:DJ$50 )  - $C155 + 1, 1)), INDEX( DI$101:DI$142, MAX( COUNT( DJ$9:DJ$50 )  - $B155 + 1, 1)) : INDEX( DI$101:DI$142, MAX( COUNT( DJ$9:DJ$50 )  - $C155 + 1, 1)) &gt; 0)) / SUM(_xlfn._xlws.FILTER(INDEX( DI$9:DI$50, MAX( COUNT( DJ$9:DJ$50 )  - $B155 + 1, 1)) : INDEX( DI$9:DI$50, MAX( COUNT( DJ$9:DJ$50 )  - $C155 + 1, 1)), INDEX( DI$101:DI$142, MAX( COUNT( DJ$9:DJ$50 )  - $B155 + 1, 1)) : INDEX( DI$101:DI$142, MAX( COUNT( DJ$9:DJ$50 )  - $C155 + 1, 1)) &gt; 0)) )</f>
        <v>1.0001647984458506</v>
      </c>
      <c r="DJ155" s="8">
        <f>+IF(DJ$8 = 125, 1, SUM(_xlfn._xlws.FILTER(INDEX( DK$9:DK$50, MAX( COUNT( DK$9:DK$50 )  - $B155 + 1, 1)) : INDEX( DK$9:DK$50, MAX( COUNT( DK$9:DK$50 )  - $C155 + 1, 1)), INDEX( DJ$101:DJ$142, MAX( COUNT( DK$9:DK$50 )  - $B155 + 1, 1)) : INDEX( DJ$101:DJ$142, MAX( COUNT( DK$9:DK$50 )  - $C155 + 1, 1)) &gt; 0)) / SUM(_xlfn._xlws.FILTER(INDEX( DJ$9:DJ$50, MAX( COUNT( DK$9:DK$50 )  - $B155 + 1, 1)) : INDEX( DJ$9:DJ$50, MAX( COUNT( DK$9:DK$50 )  - $C155 + 1, 1)), INDEX( DJ$101:DJ$142, MAX( COUNT( DK$9:DK$50 )  - $B155 + 1, 1)) : INDEX( DJ$101:DJ$142, MAX( COUNT( DK$9:DK$50 )  - $C155 + 1, 1)) &gt; 0)) )</f>
        <v>1.0003801772950014</v>
      </c>
      <c r="DK155" s="8">
        <f>+IF(DK$8 = 125, 1, SUM(_xlfn._xlws.FILTER(INDEX( DL$9:DL$50, MAX( COUNT( DL$9:DL$50 )  - $B155 + 1, 1)) : INDEX( DL$9:DL$50, MAX( COUNT( DL$9:DL$50 )  - $C155 + 1, 1)), INDEX( DK$101:DK$142, MAX( COUNT( DL$9:DL$50 )  - $B155 + 1, 1)) : INDEX( DK$101:DK$142, MAX( COUNT( DL$9:DL$50 )  - $C155 + 1, 1)) &gt; 0)) / SUM(_xlfn._xlws.FILTER(INDEX( DK$9:DK$50, MAX( COUNT( DL$9:DL$50 )  - $B155 + 1, 1)) : INDEX( DK$9:DK$50, MAX( COUNT( DL$9:DL$50 )  - $C155 + 1, 1)), INDEX( DK$101:DK$142, MAX( COUNT( DL$9:DL$50 )  - $B155 + 1, 1)) : INDEX( DK$101:DK$142, MAX( COUNT( DL$9:DL$50 )  - $C155 + 1, 1)) &gt; 0)) )</f>
        <v>1.0013141818424376</v>
      </c>
      <c r="DL155" s="8">
        <f>+IF(DL$8 = 125, 1, SUM(_xlfn._xlws.FILTER(INDEX( DM$9:DM$50, MAX( COUNT( DM$9:DM$50 )  - $B155 + 1, 1)) : INDEX( DM$9:DM$50, MAX( COUNT( DM$9:DM$50 )  - $C155 + 1, 1)), INDEX( DL$101:DL$142, MAX( COUNT( DM$9:DM$50 )  - $B155 + 1, 1)) : INDEX( DL$101:DL$142, MAX( COUNT( DM$9:DM$50 )  - $C155 + 1, 1)) &gt; 0)) / SUM(_xlfn._xlws.FILTER(INDEX( DL$9:DL$50, MAX( COUNT( DM$9:DM$50 )  - $B155 + 1, 1)) : INDEX( DL$9:DL$50, MAX( COUNT( DM$9:DM$50 )  - $C155 + 1, 1)), INDEX( DL$101:DL$142, MAX( COUNT( DM$9:DM$50 )  - $B155 + 1, 1)) : INDEX( DL$101:DL$142, MAX( COUNT( DM$9:DM$50 )  - $C155 + 1, 1)) &gt; 0)) )</f>
        <v>1.0004069381878891</v>
      </c>
      <c r="DM155" s="8">
        <f>+IF(DM$8 = 125, 1, SUM(_xlfn._xlws.FILTER(INDEX( DN$9:DN$50, MAX( COUNT( DN$9:DN$50 )  - $B155 + 1, 1)) : INDEX( DN$9:DN$50, MAX( COUNT( DN$9:DN$50 )  - $C155 + 1, 1)), INDEX( DM$101:DM$142, MAX( COUNT( DN$9:DN$50 )  - $B155 + 1, 1)) : INDEX( DM$101:DM$142, MAX( COUNT( DN$9:DN$50 )  - $C155 + 1, 1)) &gt; 0)) / SUM(_xlfn._xlws.FILTER(INDEX( DM$9:DM$50, MAX( COUNT( DN$9:DN$50 )  - $B155 + 1, 1)) : INDEX( DM$9:DM$50, MAX( COUNT( DN$9:DN$50 )  - $C155 + 1, 1)), INDEX( DM$101:DM$142, MAX( COUNT( DN$9:DN$50 )  - $B155 + 1, 1)) : INDEX( DM$101:DM$142, MAX( COUNT( DN$9:DN$50 )  - $C155 + 1, 1)) &gt; 0)) )</f>
        <v>1</v>
      </c>
      <c r="DN155" s="8">
        <f>+IF(DN$8 = 125, 1, SUM(_xlfn._xlws.FILTER(INDEX( DO$9:DO$50, MAX( COUNT( DO$9:DO$50 )  - $B155 + 1, 1)) : INDEX( DO$9:DO$50, MAX( COUNT( DO$9:DO$50 )  - $C155 + 1, 1)), INDEX( DN$101:DN$142, MAX( COUNT( DO$9:DO$50 )  - $B155 + 1, 1)) : INDEX( DN$101:DN$142, MAX( COUNT( DO$9:DO$50 )  - $C155 + 1, 1)) &gt; 0)) / SUM(_xlfn._xlws.FILTER(INDEX( DN$9:DN$50, MAX( COUNT( DO$9:DO$50 )  - $B155 + 1, 1)) : INDEX( DN$9:DN$50, MAX( COUNT( DO$9:DO$50 )  - $C155 + 1, 1)), INDEX( DN$101:DN$142, MAX( COUNT( DO$9:DO$50 )  - $B155 + 1, 1)) : INDEX( DN$101:DN$142, MAX( COUNT( DO$9:DO$50 )  - $C155 + 1, 1)) &gt; 0)) )</f>
        <v>1.0003705999634322</v>
      </c>
      <c r="DO155" s="8">
        <f>+IF(DO$8 = 125, 1, SUM(_xlfn._xlws.FILTER(INDEX( DP$9:DP$50, MAX( COUNT( DP$9:DP$50 )  - $B155 + 1, 1)) : INDEX( DP$9:DP$50, MAX( COUNT( DP$9:DP$50 )  - $C155 + 1, 1)), INDEX( DO$101:DO$142, MAX( COUNT( DP$9:DP$50 )  - $B155 + 1, 1)) : INDEX( DO$101:DO$142, MAX( COUNT( DP$9:DP$50 )  - $C155 + 1, 1)) &gt; 0)) / SUM(_xlfn._xlws.FILTER(INDEX( DO$9:DO$50, MAX( COUNT( DP$9:DP$50 )  - $B155 + 1, 1)) : INDEX( DO$9:DO$50, MAX( COUNT( DP$9:DP$50 )  - $C155 + 1, 1)), INDEX( DO$101:DO$142, MAX( COUNT( DP$9:DP$50 )  - $B155 + 1, 1)) : INDEX( DO$101:DO$142, MAX( COUNT( DP$9:DP$50 )  - $C155 + 1, 1)) &gt; 0)) )</f>
        <v>1.0025309995166212</v>
      </c>
      <c r="DP155" s="8">
        <f>+IF(DP$8 = 125, 1, SUM(_xlfn._xlws.FILTER(INDEX( DQ$9:DQ$50, MAX( COUNT( DQ$9:DQ$50 )  - $B155 + 1, 1)) : INDEX( DQ$9:DQ$50, MAX( COUNT( DQ$9:DQ$50 )  - $C155 + 1, 1)), INDEX( DP$101:DP$142, MAX( COUNT( DQ$9:DQ$50 )  - $B155 + 1, 1)) : INDEX( DP$101:DP$142, MAX( COUNT( DQ$9:DQ$50 )  - $C155 + 1, 1)) &gt; 0)) / SUM(_xlfn._xlws.FILTER(INDEX( DP$9:DP$50, MAX( COUNT( DQ$9:DQ$50 )  - $B155 + 1, 1)) : INDEX( DP$9:DP$50, MAX( COUNT( DQ$9:DQ$50 )  - $C155 + 1, 1)), INDEX( DP$101:DP$142, MAX( COUNT( DQ$9:DQ$50 )  - $B155 + 1, 1)) : INDEX( DP$101:DP$142, MAX( COUNT( DQ$9:DQ$50 )  - $C155 + 1, 1)) &gt; 0)) )</f>
        <v>1.0017738164245442</v>
      </c>
      <c r="DQ155" s="8">
        <f>+IF(DQ$8 = 125, 1, SUM(_xlfn._xlws.FILTER(INDEX( DR$9:DR$50, MAX( COUNT( DR$9:DR$50 )  - $B155 + 1, 1)) : INDEX( DR$9:DR$50, MAX( COUNT( DR$9:DR$50 )  - $C155 + 1, 1)), INDEX( DQ$101:DQ$142, MAX( COUNT( DR$9:DR$50 )  - $B155 + 1, 1)) : INDEX( DQ$101:DQ$142, MAX( COUNT( DR$9:DR$50 )  - $C155 + 1, 1)) &gt; 0)) / SUM(_xlfn._xlws.FILTER(INDEX( DQ$9:DQ$50, MAX( COUNT( DR$9:DR$50 )  - $B155 + 1, 1)) : INDEX( DQ$9:DQ$50, MAX( COUNT( DR$9:DR$50 )  - $C155 + 1, 1)), INDEX( DQ$101:DQ$142, MAX( COUNT( DR$9:DR$50 )  - $B155 + 1, 1)) : INDEX( DQ$101:DQ$142, MAX( COUNT( DR$9:DR$50 )  - $C155 + 1, 1)) &gt; 0)) )</f>
        <v>1.0009868809331604</v>
      </c>
      <c r="DR155" s="8">
        <f>+IF(DR$8 = 125, 1, SUM(_xlfn._xlws.FILTER(INDEX( DS$9:DS$50, MAX( COUNT( DS$9:DS$50 )  - $B155 + 1, 1)) : INDEX( DS$9:DS$50, MAX( COUNT( DS$9:DS$50 )  - $C155 + 1, 1)), INDEX( DR$101:DR$142, MAX( COUNT( DS$9:DS$50 )  - $B155 + 1, 1)) : INDEX( DR$101:DR$142, MAX( COUNT( DS$9:DS$50 )  - $C155 + 1, 1)) &gt; 0)) / SUM(_xlfn._xlws.FILTER(INDEX( DR$9:DR$50, MAX( COUNT( DS$9:DS$50 )  - $B155 + 1, 1)) : INDEX( DR$9:DR$50, MAX( COUNT( DS$9:DS$50 )  - $C155 + 1, 1)), INDEX( DR$101:DR$142, MAX( COUNT( DS$9:DS$50 )  - $B155 + 1, 1)) : INDEX( DR$101:DR$142, MAX( COUNT( DS$9:DS$50 )  - $C155 + 1, 1)) &gt; 0)) )</f>
        <v>1.0021350333481833</v>
      </c>
      <c r="DS155" s="8">
        <f>+IF(DS$8 = 125, 1, SUM(_xlfn._xlws.FILTER(INDEX( DT$9:DT$50, MAX( COUNT( DT$9:DT$50 )  - $B155 + 1, 1)) : INDEX( DT$9:DT$50, MAX( COUNT( DT$9:DT$50 )  - $C155 + 1, 1)), INDEX( DS$101:DS$142, MAX( COUNT( DT$9:DT$50 )  - $B155 + 1, 1)) : INDEX( DS$101:DS$142, MAX( COUNT( DT$9:DT$50 )  - $C155 + 1, 1)) &gt; 0)) / SUM(_xlfn._xlws.FILTER(INDEX( DS$9:DS$50, MAX( COUNT( DT$9:DT$50 )  - $B155 + 1, 1)) : INDEX( DS$9:DS$50, MAX( COUNT( DT$9:DT$50 )  - $C155 + 1, 1)), INDEX( DS$101:DS$142, MAX( COUNT( DT$9:DT$50 )  - $B155 + 1, 1)) : INDEX( DS$101:DS$142, MAX( COUNT( DT$9:DT$50 )  - $C155 + 1, 1)) &gt; 0)) )</f>
        <v>1.0042088404295531</v>
      </c>
      <c r="DT155" s="8">
        <f>+IF(DT$8 = 125, 1, SUM(_xlfn._xlws.FILTER(INDEX( DU$9:DU$50, MAX( COUNT( DU$9:DU$50 )  - $B155 + 1, 1)) : INDEX( DU$9:DU$50, MAX( COUNT( DU$9:DU$50 )  - $C155 + 1, 1)), INDEX( DT$101:DT$142, MAX( COUNT( DU$9:DU$50 )  - $B155 + 1, 1)) : INDEX( DT$101:DT$142, MAX( COUNT( DU$9:DU$50 )  - $C155 + 1, 1)) &gt; 0)) / SUM(_xlfn._xlws.FILTER(INDEX( DT$9:DT$50, MAX( COUNT( DU$9:DU$50 )  - $B155 + 1, 1)) : INDEX( DT$9:DT$50, MAX( COUNT( DU$9:DU$50 )  - $C155 + 1, 1)), INDEX( DT$101:DT$142, MAX( COUNT( DU$9:DU$50 )  - $B155 + 1, 1)) : INDEX( DT$101:DT$142, MAX( COUNT( DU$9:DU$50 )  - $C155 + 1, 1)) &gt; 0)) )</f>
        <v>1.0022411297730938</v>
      </c>
      <c r="DU155" s="8">
        <f>+IF(DU$8 = 125, 1, SUM(_xlfn._xlws.FILTER(INDEX( DV$9:DV$50, MAX( COUNT( DV$9:DV$50 )  - $B155 + 1, 1)) : INDEX( DV$9:DV$50, MAX( COUNT( DV$9:DV$50 )  - $C155 + 1, 1)), INDEX( DU$101:DU$142, MAX( COUNT( DV$9:DV$50 )  - $B155 + 1, 1)) : INDEX( DU$101:DU$142, MAX( COUNT( DV$9:DV$50 )  - $C155 + 1, 1)) &gt; 0)) / SUM(_xlfn._xlws.FILTER(INDEX( DU$9:DU$50, MAX( COUNT( DV$9:DV$50 )  - $B155 + 1, 1)) : INDEX( DU$9:DU$50, MAX( COUNT( DV$9:DV$50 )  - $C155 + 1, 1)), INDEX( DU$101:DU$142, MAX( COUNT( DV$9:DV$50 )  - $B155 + 1, 1)) : INDEX( DU$101:DU$142, MAX( COUNT( DV$9:DV$50 )  - $C155 + 1, 1)) &gt; 0)) )</f>
        <v>1.001405577912083</v>
      </c>
      <c r="DV155" s="8">
        <f>+IF(DV$8 = 125, 1, SUM(_xlfn._xlws.FILTER(INDEX( DW$9:DW$50, MAX( COUNT( DW$9:DW$50 )  - $B155 + 1, 1)) : INDEX( DW$9:DW$50, MAX( COUNT( DW$9:DW$50 )  - $C155 + 1, 1)), INDEX( DV$101:DV$142, MAX( COUNT( DW$9:DW$50 )  - $B155 + 1, 1)) : INDEX( DV$101:DV$142, MAX( COUNT( DW$9:DW$50 )  - $C155 + 1, 1)) &gt; 0)) / SUM(_xlfn._xlws.FILTER(INDEX( DV$9:DV$50, MAX( COUNT( DW$9:DW$50 )  - $B155 + 1, 1)) : INDEX( DV$9:DV$50, MAX( COUNT( DW$9:DW$50 )  - $C155 + 1, 1)), INDEX( DV$101:DV$142, MAX( COUNT( DW$9:DW$50 )  - $B155 + 1, 1)) : INDEX( DV$101:DV$142, MAX( COUNT( DW$9:DW$50 )  - $C155 + 1, 1)) &gt; 0)) )</f>
        <v>1.0030753771113994</v>
      </c>
      <c r="DW155" s="8">
        <f>+IF(DW$8 = 125, 1, SUM(_xlfn._xlws.FILTER(INDEX( DX$9:DX$50, MAX( COUNT( DX$9:DX$50 )  - $B155 + 1, 1)) : INDEX( DX$9:DX$50, MAX( COUNT( DX$9:DX$50 )  - $C155 + 1, 1)), INDEX( DW$101:DW$142, MAX( COUNT( DX$9:DX$50 )  - $B155 + 1, 1)) : INDEX( DW$101:DW$142, MAX( COUNT( DX$9:DX$50 )  - $C155 + 1, 1)) &gt; 0)) / SUM(_xlfn._xlws.FILTER(INDEX( DW$9:DW$50, MAX( COUNT( DX$9:DX$50 )  - $B155 + 1, 1)) : INDEX( DW$9:DW$50, MAX( COUNT( DX$9:DX$50 )  - $C155 + 1, 1)), INDEX( DW$101:DW$142, MAX( COUNT( DX$9:DX$50 )  - $B155 + 1, 1)) : INDEX( DW$101:DW$142, MAX( COUNT( DX$9:DX$50 )  - $C155 + 1, 1)) &gt; 0)) )</f>
        <v>1.0028858809348911</v>
      </c>
      <c r="DX155" s="8">
        <f>+IF(DX$8 = 125, 1, SUM(_xlfn._xlws.FILTER(INDEX( DY$9:DY$50, MAX( COUNT( DY$9:DY$50 )  - $B155 + 1, 1)) : INDEX( DY$9:DY$50, MAX( COUNT( DY$9:DY$50 )  - $C155 + 1, 1)), INDEX( DX$101:DX$142, MAX( COUNT( DY$9:DY$50 )  - $B155 + 1, 1)) : INDEX( DX$101:DX$142, MAX( COUNT( DY$9:DY$50 )  - $C155 + 1, 1)) &gt; 0)) / SUM(_xlfn._xlws.FILTER(INDEX( DX$9:DX$50, MAX( COUNT( DY$9:DY$50 )  - $B155 + 1, 1)) : INDEX( DX$9:DX$50, MAX( COUNT( DY$9:DY$50 )  - $C155 + 1, 1)), INDEX( DX$101:DX$142, MAX( COUNT( DY$9:DY$50 )  - $B155 + 1, 1)) : INDEX( DX$101:DX$142, MAX( COUNT( DY$9:DY$50 )  - $C155 + 1, 1)) &gt; 0)) )</f>
        <v>1.0038513805404945</v>
      </c>
      <c r="DY155" s="8">
        <f>+IF(DY$8 = 125, 1, SUM(_xlfn._xlws.FILTER(INDEX( DZ$9:DZ$50, MAX( COUNT( DZ$9:DZ$50 )  - $B155 + 1, 1)) : INDEX( DZ$9:DZ$50, MAX( COUNT( DZ$9:DZ$50 )  - $C155 + 1, 1)), INDEX( DY$101:DY$142, MAX( COUNT( DZ$9:DZ$50 )  - $B155 + 1, 1)) : INDEX( DY$101:DY$142, MAX( COUNT( DZ$9:DZ$50 )  - $C155 + 1, 1)) &gt; 0)) / SUM(_xlfn._xlws.FILTER(INDEX( DY$9:DY$50, MAX( COUNT( DZ$9:DZ$50 )  - $B155 + 1, 1)) : INDEX( DY$9:DY$50, MAX( COUNT( DZ$9:DZ$50 )  - $C155 + 1, 1)), INDEX( DY$101:DY$142, MAX( COUNT( DZ$9:DZ$50 )  - $B155 + 1, 1)) : INDEX( DY$101:DY$142, MAX( COUNT( DZ$9:DZ$50 )  - $C155 + 1, 1)) &gt; 0)) )</f>
        <v>1.0045542200871611</v>
      </c>
      <c r="DZ155" s="8">
        <f>+IF(DZ$8 = 125, 1, SUM(_xlfn._xlws.FILTER(INDEX( EA$9:EA$50, MAX( COUNT( EA$9:EA$50 )  - $B155 + 1, 1)) : INDEX( EA$9:EA$50, MAX( COUNT( EA$9:EA$50 )  - $C155 + 1, 1)), INDEX( DZ$101:DZ$142, MAX( COUNT( EA$9:EA$50 )  - $B155 + 1, 1)) : INDEX( DZ$101:DZ$142, MAX( COUNT( EA$9:EA$50 )  - $C155 + 1, 1)) &gt; 0)) / SUM(_xlfn._xlws.FILTER(INDEX( DZ$9:DZ$50, MAX( COUNT( EA$9:EA$50 )  - $B155 + 1, 1)) : INDEX( DZ$9:DZ$50, MAX( COUNT( EA$9:EA$50 )  - $C155 + 1, 1)), INDEX( DZ$101:DZ$142, MAX( COUNT( EA$9:EA$50 )  - $B155 + 1, 1)) : INDEX( DZ$101:DZ$142, MAX( COUNT( EA$9:EA$50 )  - $C155 + 1, 1)) &gt; 0)) )</f>
        <v>1.0041088153957449</v>
      </c>
      <c r="EA155" s="8">
        <f>+IF(EA$8 = 125, 1, SUM(_xlfn._xlws.FILTER(INDEX( EB$9:EB$50, MAX( COUNT( EB$9:EB$50 )  - $B155 + 1, 1)) : INDEX( EB$9:EB$50, MAX( COUNT( EB$9:EB$50 )  - $C155 + 1, 1)), INDEX( EA$101:EA$142, MAX( COUNT( EB$9:EB$50 )  - $B155 + 1, 1)) : INDEX( EA$101:EA$142, MAX( COUNT( EB$9:EB$50 )  - $C155 + 1, 1)) &gt; 0)) / SUM(_xlfn._xlws.FILTER(INDEX( EA$9:EA$50, MAX( COUNT( EB$9:EB$50 )  - $B155 + 1, 1)) : INDEX( EA$9:EA$50, MAX( COUNT( EB$9:EB$50 )  - $C155 + 1, 1)), INDEX( EA$101:EA$142, MAX( COUNT( EB$9:EB$50 )  - $B155 + 1, 1)) : INDEX( EA$101:EA$142, MAX( COUNT( EB$9:EB$50 )  - $C155 + 1, 1)) &gt; 0)) )</f>
        <v>1</v>
      </c>
      <c r="EB155" s="8">
        <f>+IF(EB$8 = 125, 1, SUM(_xlfn._xlws.FILTER(INDEX( EC$9:EC$50, MAX( COUNT( EC$9:EC$50 )  - $B155 + 1, 1)) : INDEX( EC$9:EC$50, MAX( COUNT( EC$9:EC$50 )  - $C155 + 1, 1)), INDEX( EB$101:EB$142, MAX( COUNT( EC$9:EC$50 )  - $B155 + 1, 1)) : INDEX( EB$101:EB$142, MAX( COUNT( EC$9:EC$50 )  - $C155 + 1, 1)) &gt; 0)) / SUM(_xlfn._xlws.FILTER(INDEX( EB$9:EB$50, MAX( COUNT( EC$9:EC$50 )  - $B155 + 1, 1)) : INDEX( EB$9:EB$50, MAX( COUNT( EC$9:EC$50 )  - $C155 + 1, 1)), INDEX( EB$101:EB$142, MAX( COUNT( EC$9:EC$50 )  - $B155 + 1, 1)) : INDEX( EB$101:EB$142, MAX( COUNT( EC$9:EC$50 )  - $C155 + 1, 1)) &gt; 0)) )</f>
        <v>2.373555320114884</v>
      </c>
      <c r="EC155" s="8">
        <f>+IF(EC$8 = 125, 1, SUM(_xlfn._xlws.FILTER(INDEX( ED$9:ED$50, MAX( COUNT( ED$9:ED$50 )  - $B155 + 1, 1)) : INDEX( ED$9:ED$50, MAX( COUNT( ED$9:ED$50 )  - $C155 + 1, 1)), INDEX( EC$101:EC$142, MAX( COUNT( ED$9:ED$50 )  - $B155 + 1, 1)) : INDEX( EC$101:EC$142, MAX( COUNT( ED$9:ED$50 )  - $C155 + 1, 1)) &gt; 0)) / SUM(_xlfn._xlws.FILTER(INDEX( EC$9:EC$50, MAX( COUNT( ED$9:ED$50 )  - $B155 + 1, 1)) : INDEX( EC$9:EC$50, MAX( COUNT( ED$9:ED$50 )  - $C155 + 1, 1)), INDEX( EC$101:EC$142, MAX( COUNT( ED$9:ED$50 )  - $B155 + 1, 1)) : INDEX( EC$101:EC$142, MAX( COUNT( ED$9:ED$50 )  - $C155 + 1, 1)) &gt; 0)) )</f>
        <v>2.1546567853875094</v>
      </c>
      <c r="ED155" s="8">
        <f>+IF(ED$8 = 125, 1, SUM(_xlfn._xlws.FILTER(INDEX( EE$9:EE$50, MAX( COUNT( EE$9:EE$50 )  - $B155 + 1, 1)) : INDEX( EE$9:EE$50, MAX( COUNT( EE$9:EE$50 )  - $C155 + 1, 1)), INDEX( ED$101:ED$142, MAX( COUNT( EE$9:EE$50 )  - $B155 + 1, 1)) : INDEX( ED$101:ED$142, MAX( COUNT( EE$9:EE$50 )  - $C155 + 1, 1)) &gt; 0)) / SUM(_xlfn._xlws.FILTER(INDEX( ED$9:ED$50, MAX( COUNT( EE$9:EE$50 )  - $B155 + 1, 1)) : INDEX( ED$9:ED$50, MAX( COUNT( EE$9:EE$50 )  - $C155 + 1, 1)), INDEX( ED$101:ED$142, MAX( COUNT( EE$9:EE$50 )  - $B155 + 1, 1)) : INDEX( ED$101:ED$142, MAX( COUNT( EE$9:EE$50 )  - $C155 + 1, 1)) &gt; 0)) )</f>
        <v>1.2253630518202556</v>
      </c>
      <c r="EE155" s="8">
        <f>+IF(EE$8 = 125, 1, SUM(_xlfn._xlws.FILTER(INDEX( EF$9:EF$50, MAX( COUNT( EF$9:EF$50 )  - $B155 + 1, 1)) : INDEX( EF$9:EF$50, MAX( COUNT( EF$9:EF$50 )  - $C155 + 1, 1)), INDEX( EE$101:EE$142, MAX( COUNT( EF$9:EF$50 )  - $B155 + 1, 1)) : INDEX( EE$101:EE$142, MAX( COUNT( EF$9:EF$50 )  - $C155 + 1, 1)) &gt; 0)) / SUM(_xlfn._xlws.FILTER(INDEX( EE$9:EE$50, MAX( COUNT( EF$9:EF$50 )  - $B155 + 1, 1)) : INDEX( EE$9:EE$50, MAX( COUNT( EF$9:EF$50 )  - $C155 + 1, 1)), INDEX( EE$101:EE$142, MAX( COUNT( EF$9:EF$50 )  - $B155 + 1, 1)) : INDEX( EE$101:EE$142, MAX( COUNT( EF$9:EF$50 )  - $C155 + 1, 1)) &gt; 0)) )</f>
        <v>0.98781212336321023</v>
      </c>
      <c r="EF155" s="8">
        <f>+IF(EF$8 = 125, 1, SUM(_xlfn._xlws.FILTER(INDEX( EG$9:EG$50, MAX( COUNT( EG$9:EG$50 )  - $B155 + 1, 1)) : INDEX( EG$9:EG$50, MAX( COUNT( EG$9:EG$50 )  - $C155 + 1, 1)), INDEX( EF$101:EF$142, MAX( COUNT( EG$9:EG$50 )  - $B155 + 1, 1)) : INDEX( EF$101:EF$142, MAX( COUNT( EG$9:EG$50 )  - $C155 + 1, 1)) &gt; 0)) / SUM(_xlfn._xlws.FILTER(INDEX( EF$9:EF$50, MAX( COUNT( EG$9:EG$50 )  - $B155 + 1, 1)) : INDEX( EF$9:EF$50, MAX( COUNT( EG$9:EG$50 )  - $C155 + 1, 1)), INDEX( EF$101:EF$142, MAX( COUNT( EG$9:EG$50 )  - $B155 + 1, 1)) : INDEX( EF$101:EF$142, MAX( COUNT( EG$9:EG$50 )  - $C155 + 1, 1)) &gt; 0)) )</f>
        <v>1.0076978860088204</v>
      </c>
      <c r="EG155" s="8">
        <f>+IF(EG$8 = 125, 1, SUM(_xlfn._xlws.FILTER(INDEX( EH$9:EH$50, MAX( COUNT( EH$9:EH$50 )  - $B155 + 1, 1)) : INDEX( EH$9:EH$50, MAX( COUNT( EH$9:EH$50 )  - $C155 + 1, 1)), INDEX( EG$101:EG$142, MAX( COUNT( EH$9:EH$50 )  - $B155 + 1, 1)) : INDEX( EG$101:EG$142, MAX( COUNT( EH$9:EH$50 )  - $C155 + 1, 1)) &gt; 0)) / SUM(_xlfn._xlws.FILTER(INDEX( EG$9:EG$50, MAX( COUNT( EH$9:EH$50 )  - $B155 + 1, 1)) : INDEX( EG$9:EG$50, MAX( COUNT( EH$9:EH$50 )  - $C155 + 1, 1)), INDEX( EG$101:EG$142, MAX( COUNT( EH$9:EH$50 )  - $B155 + 1, 1)) : INDEX( EG$101:EG$142, MAX( COUNT( EH$9:EH$50 )  - $C155 + 1, 1)) &gt; 0)) )</f>
        <v>1.0294909939221288</v>
      </c>
      <c r="EH155" s="8">
        <f>+IF(EH$8 = 125, 1, SUM(_xlfn._xlws.FILTER(INDEX( EI$9:EI$50, MAX( COUNT( EI$9:EI$50 )  - $B155 + 1, 1)) : INDEX( EI$9:EI$50, MAX( COUNT( EI$9:EI$50 )  - $C155 + 1, 1)), INDEX( EH$101:EH$142, MAX( COUNT( EI$9:EI$50 )  - $B155 + 1, 1)) : INDEX( EH$101:EH$142, MAX( COUNT( EI$9:EI$50 )  - $C155 + 1, 1)) &gt; 0)) / SUM(_xlfn._xlws.FILTER(INDEX( EH$9:EH$50, MAX( COUNT( EI$9:EI$50 )  - $B155 + 1, 1)) : INDEX( EH$9:EH$50, MAX( COUNT( EI$9:EI$50 )  - $C155 + 1, 1)), INDEX( EH$101:EH$142, MAX( COUNT( EI$9:EI$50 )  - $B155 + 1, 1)) : INDEX( EH$101:EH$142, MAX( COUNT( EI$9:EI$50 )  - $C155 + 1, 1)) &gt; 0)) )</f>
        <v>0.99922448519236173</v>
      </c>
      <c r="EI155" s="8">
        <f>+IF(EI$8 = 125, 1, SUM(_xlfn._xlws.FILTER(INDEX( EJ$9:EJ$50, MAX( COUNT( EJ$9:EJ$50 )  - $B155 + 1, 1)) : INDEX( EJ$9:EJ$50, MAX( COUNT( EJ$9:EJ$50 )  - $C155 + 1, 1)), INDEX( EI$101:EI$142, MAX( COUNT( EJ$9:EJ$50 )  - $B155 + 1, 1)) : INDEX( EI$101:EI$142, MAX( COUNT( EJ$9:EJ$50 )  - $C155 + 1, 1)) &gt; 0)) / SUM(_xlfn._xlws.FILTER(INDEX( EI$9:EI$50, MAX( COUNT( EJ$9:EJ$50 )  - $B155 + 1, 1)) : INDEX( EI$9:EI$50, MAX( COUNT( EJ$9:EJ$50 )  - $C155 + 1, 1)), INDEX( EI$101:EI$142, MAX( COUNT( EJ$9:EJ$50 )  - $B155 + 1, 1)) : INDEX( EI$101:EI$142, MAX( COUNT( EJ$9:EJ$50 )  - $C155 + 1, 1)) &gt; 0)) )</f>
        <v>1.0098166537056608</v>
      </c>
      <c r="EJ155" s="8">
        <f>+IF(EJ$8 = 125, 1, SUM(_xlfn._xlws.FILTER(INDEX( EK$9:EK$50, MAX( COUNT( EK$9:EK$50 )  - $B155 + 1, 1)) : INDEX( EK$9:EK$50, MAX( COUNT( EK$9:EK$50 )  - $C155 + 1, 1)), INDEX( EJ$101:EJ$142, MAX( COUNT( EK$9:EK$50 )  - $B155 + 1, 1)) : INDEX( EJ$101:EJ$142, MAX( COUNT( EK$9:EK$50 )  - $C155 + 1, 1)) &gt; 0)) / SUM(_xlfn._xlws.FILTER(INDEX( EJ$9:EJ$50, MAX( COUNT( EK$9:EK$50 )  - $B155 + 1, 1)) : INDEX( EJ$9:EJ$50, MAX( COUNT( EK$9:EK$50 )  - $C155 + 1, 1)), INDEX( EJ$101:EJ$142, MAX( COUNT( EK$9:EK$50 )  - $B155 + 1, 1)) : INDEX( EJ$101:EJ$142, MAX( COUNT( EK$9:EK$50 )  - $C155 + 1, 1)) &gt; 0)) )</f>
        <v>0.99997933037191522</v>
      </c>
      <c r="EK155" s="8">
        <f>+IF(EK$8 = 125, 1, SUM(_xlfn._xlws.FILTER(INDEX( EL$9:EL$50, MAX( COUNT( EL$9:EL$50 )  - $B155 + 1, 1)) : INDEX( EL$9:EL$50, MAX( COUNT( EL$9:EL$50 )  - $C155 + 1, 1)), INDEX( EK$101:EK$142, MAX( COUNT( EL$9:EL$50 )  - $B155 + 1, 1)) : INDEX( EK$101:EK$142, MAX( COUNT( EL$9:EL$50 )  - $C155 + 1, 1)) &gt; 0)) / SUM(_xlfn._xlws.FILTER(INDEX( EK$9:EK$50, MAX( COUNT( EL$9:EL$50 )  - $B155 + 1, 1)) : INDEX( EK$9:EK$50, MAX( COUNT( EL$9:EL$50 )  - $C155 + 1, 1)), INDEX( EK$101:EK$142, MAX( COUNT( EL$9:EL$50 )  - $B155 + 1, 1)) : INDEX( EK$101:EK$142, MAX( COUNT( EL$9:EL$50 )  - $C155 + 1, 1)) &gt; 0)) )</f>
        <v>1.0048924576427436</v>
      </c>
      <c r="EL155" s="8">
        <f>+IF(EL$8 = 125, 1, SUM(_xlfn._xlws.FILTER(INDEX( EM$9:EM$50, MAX( COUNT( EM$9:EM$50 )  - $B155 + 1, 1)) : INDEX( EM$9:EM$50, MAX( COUNT( EM$9:EM$50 )  - $C155 + 1, 1)), INDEX( EL$101:EL$142, MAX( COUNT( EM$9:EM$50 )  - $B155 + 1, 1)) : INDEX( EL$101:EL$142, MAX( COUNT( EM$9:EM$50 )  - $C155 + 1, 1)) &gt; 0)) / SUM(_xlfn._xlws.FILTER(INDEX( EL$9:EL$50, MAX( COUNT( EM$9:EM$50 )  - $B155 + 1, 1)) : INDEX( EL$9:EL$50, MAX( COUNT( EM$9:EM$50 )  - $C155 + 1, 1)), INDEX( EL$101:EL$142, MAX( COUNT( EM$9:EM$50 )  - $B155 + 1, 1)) : INDEX( EL$101:EL$142, MAX( COUNT( EM$9:EM$50 )  - $C155 + 1, 1)) &gt; 0)) )</f>
        <v>0.99409546133282456</v>
      </c>
      <c r="EM155" s="8">
        <f>+IF(EM$8 = 125, 1, SUM(_xlfn._xlws.FILTER(INDEX( EN$9:EN$50, MAX( COUNT( EN$9:EN$50 )  - $B155 + 1, 1)) : INDEX( EN$9:EN$50, MAX( COUNT( EN$9:EN$50 )  - $C155 + 1, 1)), INDEX( EM$101:EM$142, MAX( COUNT( EN$9:EN$50 )  - $B155 + 1, 1)) : INDEX( EM$101:EM$142, MAX( COUNT( EN$9:EN$50 )  - $C155 + 1, 1)) &gt; 0)) / SUM(_xlfn._xlws.FILTER(INDEX( EM$9:EM$50, MAX( COUNT( EN$9:EN$50 )  - $B155 + 1, 1)) : INDEX( EM$9:EM$50, MAX( COUNT( EN$9:EN$50 )  - $C155 + 1, 1)), INDEX( EM$101:EM$142, MAX( COUNT( EN$9:EN$50 )  - $B155 + 1, 1)) : INDEX( EM$101:EM$142, MAX( COUNT( EN$9:EN$50 )  - $C155 + 1, 1)) &gt; 0)) )</f>
        <v>0.99995329905516506</v>
      </c>
      <c r="EN155" s="8">
        <f>+IF(EN$8 = 125, 1, SUM(_xlfn._xlws.FILTER(INDEX( EO$9:EO$50, MAX( COUNT( EO$9:EO$50 )  - $B155 + 1, 1)) : INDEX( EO$9:EO$50, MAX( COUNT( EO$9:EO$50 )  - $C155 + 1, 1)), INDEX( EN$101:EN$142, MAX( COUNT( EO$9:EO$50 )  - $B155 + 1, 1)) : INDEX( EN$101:EN$142, MAX( COUNT( EO$9:EO$50 )  - $C155 + 1, 1)) &gt; 0)) / SUM(_xlfn._xlws.FILTER(INDEX( EN$9:EN$50, MAX( COUNT( EO$9:EO$50 )  - $B155 + 1, 1)) : INDEX( EN$9:EN$50, MAX( COUNT( EO$9:EO$50 )  - $C155 + 1, 1)), INDEX( EN$101:EN$142, MAX( COUNT( EO$9:EO$50 )  - $B155 + 1, 1)) : INDEX( EN$101:EN$142, MAX( COUNT( EO$9:EO$50 )  - $C155 + 1, 1)) &gt; 0)) )</f>
        <v>0.99330272193223257</v>
      </c>
      <c r="EO155" s="8">
        <f>+IF(EO$8 = 125, 1, SUM(_xlfn._xlws.FILTER(INDEX( EP$9:EP$50, MAX( COUNT( EP$9:EP$50 )  - $B155 + 1, 1)) : INDEX( EP$9:EP$50, MAX( COUNT( EP$9:EP$50 )  - $C155 + 1, 1)), INDEX( EO$101:EO$142, MAX( COUNT( EP$9:EP$50 )  - $B155 + 1, 1)) : INDEX( EO$101:EO$142, MAX( COUNT( EP$9:EP$50 )  - $C155 + 1, 1)) &gt; 0)) / SUM(_xlfn._xlws.FILTER(INDEX( EO$9:EO$50, MAX( COUNT( EP$9:EP$50 )  - $B155 + 1, 1)) : INDEX( EO$9:EO$50, MAX( COUNT( EP$9:EP$50 )  - $C155 + 1, 1)), INDEX( EO$101:EO$142, MAX( COUNT( EP$9:EP$50 )  - $B155 + 1, 1)) : INDEX( EO$101:EO$142, MAX( COUNT( EP$9:EP$50 )  - $C155 + 1, 1)) &gt; 0)) )</f>
        <v>0.99855113939074636</v>
      </c>
      <c r="EP155" s="8">
        <f>+IF(EP$8 = 125, 1, SUM(_xlfn._xlws.FILTER(INDEX( EQ$9:EQ$50, MAX( COUNT( EQ$9:EQ$50 )  - $B155 + 1, 1)) : INDEX( EQ$9:EQ$50, MAX( COUNT( EQ$9:EQ$50 )  - $C155 + 1, 1)), INDEX( EP$101:EP$142, MAX( COUNT( EQ$9:EQ$50 )  - $B155 + 1, 1)) : INDEX( EP$101:EP$142, MAX( COUNT( EQ$9:EQ$50 )  - $C155 + 1, 1)) &gt; 0)) / SUM(_xlfn._xlws.FILTER(INDEX( EP$9:EP$50, MAX( COUNT( EQ$9:EQ$50 )  - $B155 + 1, 1)) : INDEX( EP$9:EP$50, MAX( COUNT( EQ$9:EQ$50 )  - $C155 + 1, 1)), INDEX( EP$101:EP$142, MAX( COUNT( EQ$9:EQ$50 )  - $B155 + 1, 1)) : INDEX( EP$101:EP$142, MAX( COUNT( EQ$9:EQ$50 )  - $C155 + 1, 1)) &gt; 0)) )</f>
        <v>1.0002598105267071</v>
      </c>
      <c r="EQ155" s="8">
        <f>+IF(EQ$8 = 125, 1, SUM(_xlfn._xlws.FILTER(INDEX( ER$9:ER$50, MAX( COUNT( ER$9:ER$50 )  - $B155 + 1, 1)) : INDEX( ER$9:ER$50, MAX( COUNT( ER$9:ER$50 )  - $C155 + 1, 1)), INDEX( EQ$101:EQ$142, MAX( COUNT( ER$9:ER$50 )  - $B155 + 1, 1)) : INDEX( EQ$101:EQ$142, MAX( COUNT( ER$9:ER$50 )  - $C155 + 1, 1)) &gt; 0)) / SUM(_xlfn._xlws.FILTER(INDEX( EQ$9:EQ$50, MAX( COUNT( ER$9:ER$50 )  - $B155 + 1, 1)) : INDEX( EQ$9:EQ$50, MAX( COUNT( ER$9:ER$50 )  - $C155 + 1, 1)), INDEX( EQ$101:EQ$142, MAX( COUNT( ER$9:ER$50 )  - $B155 + 1, 1)) : INDEX( EQ$101:EQ$142, MAX( COUNT( ER$9:ER$50 )  - $C155 + 1, 1)) &gt; 0)) )</f>
        <v>0.9922186795106257</v>
      </c>
      <c r="ER155" s="8">
        <f>+IF(ER$8 = 125, 1, SUM(_xlfn._xlws.FILTER(INDEX( ES$9:ES$50, MAX( COUNT( ES$9:ES$50 )  - $B155 + 1, 1)) : INDEX( ES$9:ES$50, MAX( COUNT( ES$9:ES$50 )  - $C155 + 1, 1)), INDEX( ER$101:ER$142, MAX( COUNT( ES$9:ES$50 )  - $B155 + 1, 1)) : INDEX( ER$101:ER$142, MAX( COUNT( ES$9:ES$50 )  - $C155 + 1, 1)) &gt; 0)) / SUM(_xlfn._xlws.FILTER(INDEX( ER$9:ER$50, MAX( COUNT( ES$9:ES$50 )  - $B155 + 1, 1)) : INDEX( ER$9:ER$50, MAX( COUNT( ES$9:ES$50 )  - $C155 + 1, 1)), INDEX( ER$101:ER$142, MAX( COUNT( ES$9:ES$50 )  - $B155 + 1, 1)) : INDEX( ER$101:ER$142, MAX( COUNT( ES$9:ES$50 )  - $C155 + 1, 1)) &gt; 0)) )</f>
        <v>1.0091670674376267</v>
      </c>
      <c r="ES155" s="8">
        <f>+IF(ES$8 = 125, 1, SUM(_xlfn._xlws.FILTER(INDEX( ET$9:ET$50, MAX( COUNT( ET$9:ET$50 )  - $B155 + 1, 1)) : INDEX( ET$9:ET$50, MAX( COUNT( ET$9:ET$50 )  - $C155 + 1, 1)), INDEX( ES$101:ES$142, MAX( COUNT( ET$9:ET$50 )  - $B155 + 1, 1)) : INDEX( ES$101:ES$142, MAX( COUNT( ET$9:ET$50 )  - $C155 + 1, 1)) &gt; 0)) / SUM(_xlfn._xlws.FILTER(INDEX( ES$9:ES$50, MAX( COUNT( ET$9:ET$50 )  - $B155 + 1, 1)) : INDEX( ES$9:ES$50, MAX( COUNT( ET$9:ET$50 )  - $C155 + 1, 1)), INDEX( ES$101:ES$142, MAX( COUNT( ET$9:ET$50 )  - $B155 + 1, 1)) : INDEX( ES$101:ES$142, MAX( COUNT( ET$9:ET$50 )  - $C155 + 1, 1)) &gt; 0)) )</f>
        <v>1.0004616010180194</v>
      </c>
      <c r="ET155" s="8">
        <f>+IF(ET$8 = 125, 1, SUM(_xlfn._xlws.FILTER(INDEX( EU$9:EU$50, MAX( COUNT( EU$9:EU$50 )  - $B155 + 1, 1)) : INDEX( EU$9:EU$50, MAX( COUNT( EU$9:EU$50 )  - $C155 + 1, 1)), INDEX( ET$101:ET$142, MAX( COUNT( EU$9:EU$50 )  - $B155 + 1, 1)) : INDEX( ET$101:ET$142, MAX( COUNT( EU$9:EU$50 )  - $C155 + 1, 1)) &gt; 0)) / SUM(_xlfn._xlws.FILTER(INDEX( ET$9:ET$50, MAX( COUNT( EU$9:EU$50 )  - $B155 + 1, 1)) : INDEX( ET$9:ET$50, MAX( COUNT( EU$9:EU$50 )  - $C155 + 1, 1)), INDEX( ET$101:ET$142, MAX( COUNT( EU$9:EU$50 )  - $B155 + 1, 1)) : INDEX( ET$101:ET$142, MAX( COUNT( EU$9:EU$50 )  - $C155 + 1, 1)) &gt; 0)) )</f>
        <v>1.0007630001918841</v>
      </c>
      <c r="EU155" s="8">
        <f>+IF(EU$8 = 125, 1, SUM(_xlfn._xlws.FILTER(INDEX( EV$9:EV$50, MAX( COUNT( EV$9:EV$50 )  - $B155 + 1, 1)) : INDEX( EV$9:EV$50, MAX( COUNT( EV$9:EV$50 )  - $C155 + 1, 1)), INDEX( EU$101:EU$142, MAX( COUNT( EV$9:EV$50 )  - $B155 + 1, 1)) : INDEX( EU$101:EU$142, MAX( COUNT( EV$9:EV$50 )  - $C155 + 1, 1)) &gt; 0)) / SUM(_xlfn._xlws.FILTER(INDEX( EU$9:EU$50, MAX( COUNT( EV$9:EV$50 )  - $B155 + 1, 1)) : INDEX( EU$9:EU$50, MAX( COUNT( EV$9:EV$50 )  - $C155 + 1, 1)), INDEX( EU$101:EU$142, MAX( COUNT( EV$9:EV$50 )  - $B155 + 1, 1)) : INDEX( EU$101:EU$142, MAX( COUNT( EV$9:EV$50 )  - $C155 + 1, 1)) &gt; 0)) )</f>
        <v>1.0000075337212995</v>
      </c>
      <c r="EV155" s="8">
        <f>+IF(EV$8 = 125, 1, SUM(_xlfn._xlws.FILTER(INDEX( EW$9:EW$50, MAX( COUNT( EW$9:EW$50 )  - $B155 + 1, 1)) : INDEX( EW$9:EW$50, MAX( COUNT( EW$9:EW$50 )  - $C155 + 1, 1)), INDEX( EV$101:EV$142, MAX( COUNT( EW$9:EW$50 )  - $B155 + 1, 1)) : INDEX( EV$101:EV$142, MAX( COUNT( EW$9:EW$50 )  - $C155 + 1, 1)) &gt; 0)) / SUM(_xlfn._xlws.FILTER(INDEX( EV$9:EV$50, MAX( COUNT( EW$9:EW$50 )  - $B155 + 1, 1)) : INDEX( EV$9:EV$50, MAX( COUNT( EW$9:EW$50 )  - $C155 + 1, 1)), INDEX( EV$101:EV$142, MAX( COUNT( EW$9:EW$50 )  - $B155 + 1, 1)) : INDEX( EV$101:EV$142, MAX( COUNT( EW$9:EW$50 )  - $C155 + 1, 1)) &gt; 0)) )</f>
        <v>1.0010744976037893</v>
      </c>
      <c r="EW155" s="8">
        <f>+IF(EW$8 = 125, 1, SUM(_xlfn._xlws.FILTER(INDEX( EX$9:EX$50, MAX( COUNT( EX$9:EX$50 )  - $B155 + 1, 1)) : INDEX( EX$9:EX$50, MAX( COUNT( EX$9:EX$50 )  - $C155 + 1, 1)), INDEX( EW$101:EW$142, MAX( COUNT( EX$9:EX$50 )  - $B155 + 1, 1)) : INDEX( EW$101:EW$142, MAX( COUNT( EX$9:EX$50 )  - $C155 + 1, 1)) &gt; 0)) / SUM(_xlfn._xlws.FILTER(INDEX( EW$9:EW$50, MAX( COUNT( EX$9:EX$50 )  - $B155 + 1, 1)) : INDEX( EW$9:EW$50, MAX( COUNT( EX$9:EX$50 )  - $C155 + 1, 1)), INDEX( EW$101:EW$142, MAX( COUNT( EX$9:EX$50 )  - $B155 + 1, 1)) : INDEX( EW$101:EW$142, MAX( COUNT( EX$9:EX$50 )  - $C155 + 1, 1)) &gt; 0)) )</f>
        <v>1.0000116567458255</v>
      </c>
      <c r="EX155" s="8">
        <f>+IF(EX$8 = 125, 1, SUM(_xlfn._xlws.FILTER(INDEX( EY$9:EY$50, MAX( COUNT( EY$9:EY$50 )  - $B155 + 1, 1)) : INDEX( EY$9:EY$50, MAX( COUNT( EY$9:EY$50 )  - $C155 + 1, 1)), INDEX( EX$101:EX$142, MAX( COUNT( EY$9:EY$50 )  - $B155 + 1, 1)) : INDEX( EX$101:EX$142, MAX( COUNT( EY$9:EY$50 )  - $C155 + 1, 1)) &gt; 0)) / SUM(_xlfn._xlws.FILTER(INDEX( EX$9:EX$50, MAX( COUNT( EY$9:EY$50 )  - $B155 + 1, 1)) : INDEX( EX$9:EX$50, MAX( COUNT( EY$9:EY$50 )  - $C155 + 1, 1)), INDEX( EX$101:EX$142, MAX( COUNT( EY$9:EY$50 )  - $B155 + 1, 1)) : INDEX( EX$101:EX$142, MAX( COUNT( EY$9:EY$50 )  - $C155 + 1, 1)) &gt; 0)) )</f>
        <v>1.0002193137049129</v>
      </c>
      <c r="EY155" s="8">
        <f>+IF(EY$8 = 125, 1, SUM(_xlfn._xlws.FILTER(INDEX( EZ$9:EZ$50, MAX( COUNT( EZ$9:EZ$50 )  - $B155 + 1, 1)) : INDEX( EZ$9:EZ$50, MAX( COUNT( EZ$9:EZ$50 )  - $C155 + 1, 1)), INDEX( EY$101:EY$142, MAX( COUNT( EZ$9:EZ$50 )  - $B155 + 1, 1)) : INDEX( EY$101:EY$142, MAX( COUNT( EZ$9:EZ$50 )  - $C155 + 1, 1)) &gt; 0)) / SUM(_xlfn._xlws.FILTER(INDEX( EY$9:EY$50, MAX( COUNT( EZ$9:EZ$50 )  - $B155 + 1, 1)) : INDEX( EY$9:EY$50, MAX( COUNT( EZ$9:EZ$50 )  - $C155 + 1, 1)), INDEX( EY$101:EY$142, MAX( COUNT( EZ$9:EZ$50 )  - $B155 + 1, 1)) : INDEX( EY$101:EY$142, MAX( COUNT( EZ$9:EZ$50 )  - $C155 + 1, 1)) &gt; 0)) )</f>
        <v>1.0056401057740318</v>
      </c>
      <c r="EZ155" s="8">
        <f>+IF(EZ$8 = 125, 1, SUM(_xlfn._xlws.FILTER(INDEX( FA$9:FA$50, MAX( COUNT( FA$9:FA$50 )  - $B155 + 1, 1)) : INDEX( FA$9:FA$50, MAX( COUNT( FA$9:FA$50 )  - $C155 + 1, 1)), INDEX( EZ$101:EZ$142, MAX( COUNT( FA$9:FA$50 )  - $B155 + 1, 1)) : INDEX( EZ$101:EZ$142, MAX( COUNT( FA$9:FA$50 )  - $C155 + 1, 1)) &gt; 0)) / SUM(_xlfn._xlws.FILTER(INDEX( EZ$9:EZ$50, MAX( COUNT( FA$9:FA$50 )  - $B155 + 1, 1)) : INDEX( EZ$9:EZ$50, MAX( COUNT( FA$9:FA$50 )  - $C155 + 1, 1)), INDEX( EZ$101:EZ$142, MAX( COUNT( FA$9:FA$50 )  - $B155 + 1, 1)) : INDEX( EZ$101:EZ$142, MAX( COUNT( FA$9:FA$50 )  - $C155 + 1, 1)) &gt; 0)) )</f>
        <v>1.0001983934322896</v>
      </c>
      <c r="FA155" s="8">
        <f>+IF(FA$8 = 125, 1, SUM(_xlfn._xlws.FILTER(INDEX( FB$9:FB$50, MAX( COUNT( FB$9:FB$50 )  - $B155 + 1, 1)) : INDEX( FB$9:FB$50, MAX( COUNT( FB$9:FB$50 )  - $C155 + 1, 1)), INDEX( FA$101:FA$142, MAX( COUNT( FB$9:FB$50 )  - $B155 + 1, 1)) : INDEX( FA$101:FA$142, MAX( COUNT( FB$9:FB$50 )  - $C155 + 1, 1)) &gt; 0)) / SUM(_xlfn._xlws.FILTER(INDEX( FA$9:FA$50, MAX( COUNT( FB$9:FB$50 )  - $B155 + 1, 1)) : INDEX( FA$9:FA$50, MAX( COUNT( FB$9:FB$50 )  - $C155 + 1, 1)), INDEX( FA$101:FA$142, MAX( COUNT( FB$9:FB$50 )  - $B155 + 1, 1)) : INDEX( FA$101:FA$142, MAX( COUNT( FB$9:FB$50 )  - $C155 + 1, 1)) &gt; 0)) )</f>
        <v>1</v>
      </c>
      <c r="FB155" s="8">
        <f>+IF(FB$8 = 125, 1, SUM(_xlfn._xlws.FILTER(INDEX( FC$9:FC$50, MAX( COUNT( FC$9:FC$50 )  - $B155 + 1, 1)) : INDEX( FC$9:FC$50, MAX( COUNT( FC$9:FC$50 )  - $C155 + 1, 1)), INDEX( FB$101:FB$142, MAX( COUNT( FC$9:FC$50 )  - $B155 + 1, 1)) : INDEX( FB$101:FB$142, MAX( COUNT( FC$9:FC$50 )  - $C155 + 1, 1)) &gt; 0)) / SUM(_xlfn._xlws.FILTER(INDEX( FB$9:FB$50, MAX( COUNT( FC$9:FC$50 )  - $B155 + 1, 1)) : INDEX( FB$9:FB$50, MAX( COUNT( FC$9:FC$50 )  - $C155 + 1, 1)), INDEX( FB$101:FB$142, MAX( COUNT( FC$9:FC$50 )  - $B155 + 1, 1)) : INDEX( FB$101:FB$142, MAX( COUNT( FC$9:FC$50 )  - $C155 + 1, 1)) &gt; 0)) )</f>
        <v>1.0001555526618291</v>
      </c>
      <c r="FC155" s="8">
        <f>+IF(FC$8 = 125, 1, SUM(_xlfn._xlws.FILTER(INDEX( FD$9:FD$50, MAX( COUNT( FD$9:FD$50 )  - $B155 + 1, 1)) : INDEX( FD$9:FD$50, MAX( COUNT( FD$9:FD$50 )  - $C155 + 1, 1)), INDEX( FC$101:FC$142, MAX( COUNT( FD$9:FD$50 )  - $B155 + 1, 1)) : INDEX( FC$101:FC$142, MAX( COUNT( FD$9:FD$50 )  - $C155 + 1, 1)) &gt; 0)) / SUM(_xlfn._xlws.FILTER(INDEX( FC$9:FC$50, MAX( COUNT( FD$9:FD$50 )  - $B155 + 1, 1)) : INDEX( FC$9:FC$50, MAX( COUNT( FD$9:FD$50 )  - $C155 + 1, 1)), INDEX( FC$101:FC$142, MAX( COUNT( FD$9:FD$50 )  - $B155 + 1, 1)) : INDEX( FC$101:FC$142, MAX( COUNT( FD$9:FD$50 )  - $C155 + 1, 1)) &gt; 0)) )</f>
        <v>1.0000756025152591</v>
      </c>
      <c r="FD155" s="8">
        <f>+IF(FD$8 = 125, 1, SUM(_xlfn._xlws.FILTER(INDEX( FE$9:FE$50, MAX( COUNT( FE$9:FE$50 )  - $B155 + 1, 1)) : INDEX( FE$9:FE$50, MAX( COUNT( FE$9:FE$50 )  - $C155 + 1, 1)), INDEX( FD$101:FD$142, MAX( COUNT( FE$9:FE$50 )  - $B155 + 1, 1)) : INDEX( FD$101:FD$142, MAX( COUNT( FE$9:FE$50 )  - $C155 + 1, 1)) &gt; 0)) / SUM(_xlfn._xlws.FILTER(INDEX( FD$9:FD$50, MAX( COUNT( FE$9:FE$50 )  - $B155 + 1, 1)) : INDEX( FD$9:FD$50, MAX( COUNT( FE$9:FE$50 )  - $C155 + 1, 1)), INDEX( FD$101:FD$142, MAX( COUNT( FE$9:FE$50 )  - $B155 + 1, 1)) : INDEX( FD$101:FD$142, MAX( COUNT( FE$9:FE$50 )  - $C155 + 1, 1)) &gt; 0)) )</f>
        <v>1.003716749153688</v>
      </c>
      <c r="FE155" s="8">
        <f>+IF(FE$8 = 125, 1, SUM(_xlfn._xlws.FILTER(INDEX( FF$9:FF$50, MAX( COUNT( FF$9:FF$50 )  - $B155 + 1, 1)) : INDEX( FF$9:FF$50, MAX( COUNT( FF$9:FF$50 )  - $C155 + 1, 1)), INDEX( FE$101:FE$142, MAX( COUNT( FF$9:FF$50 )  - $B155 + 1, 1)) : INDEX( FE$101:FE$142, MAX( COUNT( FF$9:FF$50 )  - $C155 + 1, 1)) &gt; 0)) / SUM(_xlfn._xlws.FILTER(INDEX( FE$9:FE$50, MAX( COUNT( FF$9:FF$50 )  - $B155 + 1, 1)) : INDEX( FE$9:FE$50, MAX( COUNT( FF$9:FF$50 )  - $C155 + 1, 1)), INDEX( FE$101:FE$142, MAX( COUNT( FF$9:FF$50 )  - $B155 + 1, 1)) : INDEX( FE$101:FE$142, MAX( COUNT( FF$9:FF$50 )  - $C155 + 1, 1)) &gt; 0)) )</f>
        <v>1.0021715065501604</v>
      </c>
      <c r="FF155" s="8">
        <f>+IF(FF$8 = 125, 1, SUM(_xlfn._xlws.FILTER(INDEX( FG$9:FG$50, MAX( COUNT( FG$9:FG$50 )  - $B155 + 1, 1)) : INDEX( FG$9:FG$50, MAX( COUNT( FG$9:FG$50 )  - $C155 + 1, 1)), INDEX( FF$101:FF$142, MAX( COUNT( FG$9:FG$50 )  - $B155 + 1, 1)) : INDEX( FF$101:FF$142, MAX( COUNT( FG$9:FG$50 )  - $C155 + 1, 1)) &gt; 0)) / SUM(_xlfn._xlws.FILTER(INDEX( FF$9:FF$50, MAX( COUNT( FG$9:FG$50 )  - $B155 + 1, 1)) : INDEX( FF$9:FF$50, MAX( COUNT( FG$9:FG$50 )  - $C155 + 1, 1)), INDEX( FF$101:FF$142, MAX( COUNT( FG$9:FG$50 )  - $B155 + 1, 1)) : INDEX( FF$101:FF$142, MAX( COUNT( FG$9:FG$50 )  - $C155 + 1, 1)) &gt; 0)) )</f>
        <v>1.0004643245657996</v>
      </c>
      <c r="FG155" s="8">
        <f>+IF(FG$8 = 125, 1, SUM(_xlfn._xlws.FILTER(INDEX( FH$9:FH$50, MAX( COUNT( FH$9:FH$50 )  - $B155 + 1, 1)) : INDEX( FH$9:FH$50, MAX( COUNT( FH$9:FH$50 )  - $C155 + 1, 1)), INDEX( FG$101:FG$142, MAX( COUNT( FH$9:FH$50 )  - $B155 + 1, 1)) : INDEX( FG$101:FG$142, MAX( COUNT( FH$9:FH$50 )  - $C155 + 1, 1)) &gt; 0)) / SUM(_xlfn._xlws.FILTER(INDEX( FG$9:FG$50, MAX( COUNT( FH$9:FH$50 )  - $B155 + 1, 1)) : INDEX( FG$9:FG$50, MAX( COUNT( FH$9:FH$50 )  - $C155 + 1, 1)), INDEX( FG$101:FG$142, MAX( COUNT( FH$9:FH$50 )  - $B155 + 1, 1)) : INDEX( FG$101:FG$142, MAX( COUNT( FH$9:FH$50 )  - $C155 + 1, 1)) &gt; 0)) )</f>
        <v>1.0040205289175699</v>
      </c>
      <c r="FH155" s="8">
        <f>+IF(FH$8 = 125, 1, SUM(_xlfn._xlws.FILTER(INDEX( FI$9:FI$50, MAX( COUNT( FI$9:FI$50 )  - $B155 + 1, 1)) : INDEX( FI$9:FI$50, MAX( COUNT( FI$9:FI$50 )  - $C155 + 1, 1)), INDEX( FH$101:FH$142, MAX( COUNT( FI$9:FI$50 )  - $B155 + 1, 1)) : INDEX( FH$101:FH$142, MAX( COUNT( FI$9:FI$50 )  - $C155 + 1, 1)) &gt; 0)) / SUM(_xlfn._xlws.FILTER(INDEX( FH$9:FH$50, MAX( COUNT( FI$9:FI$50 )  - $B155 + 1, 1)) : INDEX( FH$9:FH$50, MAX( COUNT( FI$9:FI$50 )  - $C155 + 1, 1)), INDEX( FH$101:FH$142, MAX( COUNT( FI$9:FI$50 )  - $B155 + 1, 1)) : INDEX( FH$101:FH$142, MAX( COUNT( FI$9:FI$50 )  - $C155 + 1, 1)) &gt; 0)) )</f>
        <v>1.0001111883886715</v>
      </c>
      <c r="FI155" s="8">
        <f>+IF(FI$8 = 125, 1, SUM(_xlfn._xlws.FILTER(INDEX( FJ$9:FJ$50, MAX( COUNT( FJ$9:FJ$50 )  - $B155 + 1, 1)) : INDEX( FJ$9:FJ$50, MAX( COUNT( FJ$9:FJ$50 )  - $C155 + 1, 1)), INDEX( FI$101:FI$142, MAX( COUNT( FJ$9:FJ$50 )  - $B155 + 1, 1)) : INDEX( FI$101:FI$142, MAX( COUNT( FJ$9:FJ$50 )  - $C155 + 1, 1)) &gt; 0)) / SUM(_xlfn._xlws.FILTER(INDEX( FI$9:FI$50, MAX( COUNT( FJ$9:FJ$50 )  - $B155 + 1, 1)) : INDEX( FI$9:FI$50, MAX( COUNT( FJ$9:FJ$50 )  - $C155 + 1, 1)), INDEX( FI$101:FI$142, MAX( COUNT( FJ$9:FJ$50 )  - $B155 + 1, 1)) : INDEX( FI$101:FI$142, MAX( COUNT( FJ$9:FJ$50 )  - $C155 + 1, 1)) &gt; 0)) )</f>
        <v>1.0047016386593854</v>
      </c>
      <c r="FJ155" s="8">
        <f>+IF(FJ$8 = 125, 1, SUM(_xlfn._xlws.FILTER(INDEX( FK$9:FK$50, MAX( COUNT( FK$9:FK$50 )  - $B155 + 1, 1)) : INDEX( FK$9:FK$50, MAX( COUNT( FK$9:FK$50 )  - $C155 + 1, 1)), INDEX( FJ$101:FJ$142, MAX( COUNT( FK$9:FK$50 )  - $B155 + 1, 1)) : INDEX( FJ$101:FJ$142, MAX( COUNT( FK$9:FK$50 )  - $C155 + 1, 1)) &gt; 0)) / SUM(_xlfn._xlws.FILTER(INDEX( FJ$9:FJ$50, MAX( COUNT( FK$9:FK$50 )  - $B155 + 1, 1)) : INDEX( FJ$9:FJ$50, MAX( COUNT( FK$9:FK$50 )  - $C155 + 1, 1)), INDEX( FJ$101:FJ$142, MAX( COUNT( FK$9:FK$50 )  - $B155 + 1, 1)) : INDEX( FJ$101:FJ$142, MAX( COUNT( FK$9:FK$50 )  - $C155 + 1, 1)) &gt; 0)) )</f>
        <v>1.0007517883054844</v>
      </c>
      <c r="FK155" s="8">
        <f>+IF(FK$8 = 125, 1, SUM(_xlfn._xlws.FILTER(INDEX( FL$9:FL$50, MAX( COUNT( FL$9:FL$50 )  - $B155 + 1, 1)) : INDEX( FL$9:FL$50, MAX( COUNT( FL$9:FL$50 )  - $C155 + 1, 1)), INDEX( FK$101:FK$142, MAX( COUNT( FL$9:FL$50 )  - $B155 + 1, 1)) : INDEX( FK$101:FK$142, MAX( COUNT( FL$9:FL$50 )  - $C155 + 1, 1)) &gt; 0)) / SUM(_xlfn._xlws.FILTER(INDEX( FK$9:FK$50, MAX( COUNT( FL$9:FL$50 )  - $B155 + 1, 1)) : INDEX( FK$9:FK$50, MAX( COUNT( FL$9:FL$50 )  - $C155 + 1, 1)), INDEX( FK$101:FK$142, MAX( COUNT( FL$9:FL$50 )  - $B155 + 1, 1)) : INDEX( FK$101:FK$142, MAX( COUNT( FL$9:FL$50 )  - $C155 + 1, 1)) &gt; 0)) )</f>
        <v>0.99672206277551867</v>
      </c>
      <c r="FL155" s="8">
        <f>+IF(FL$8 = 125, 1, SUM(_xlfn._xlws.FILTER(INDEX( FM$9:FM$50, MAX( COUNT( FM$9:FM$50 )  - $B155 + 1, 1)) : INDEX( FM$9:FM$50, MAX( COUNT( FM$9:FM$50 )  - $C155 + 1, 1)), INDEX( FL$101:FL$142, MAX( COUNT( FM$9:FM$50 )  - $B155 + 1, 1)) : INDEX( FL$101:FL$142, MAX( COUNT( FM$9:FM$50 )  - $C155 + 1, 1)) &gt; 0)) / SUM(_xlfn._xlws.FILTER(INDEX( FL$9:FL$50, MAX( COUNT( FM$9:FM$50 )  - $B155 + 1, 1)) : INDEX( FL$9:FL$50, MAX( COUNT( FM$9:FM$50 )  - $C155 + 1, 1)), INDEX( FL$101:FL$142, MAX( COUNT( FM$9:FM$50 )  - $B155 + 1, 1)) : INDEX( FL$101:FL$142, MAX( COUNT( FM$9:FM$50 )  - $C155 + 1, 1)) &gt; 0)) )</f>
        <v>0.99998607948120877</v>
      </c>
      <c r="FM155" s="8">
        <f>+IF(FM$8 = 125, 1, SUM(_xlfn._xlws.FILTER(INDEX( FN$9:FN$50, MAX( COUNT( FN$9:FN$50 )  - $B155 + 1, 1)) : INDEX( FN$9:FN$50, MAX( COUNT( FN$9:FN$50 )  - $C155 + 1, 1)), INDEX( FM$101:FM$142, MAX( COUNT( FN$9:FN$50 )  - $B155 + 1, 1)) : INDEX( FM$101:FM$142, MAX( COUNT( FN$9:FN$50 )  - $C155 + 1, 1)) &gt; 0)) / SUM(_xlfn._xlws.FILTER(INDEX( FM$9:FM$50, MAX( COUNT( FN$9:FN$50 )  - $B155 + 1, 1)) : INDEX( FM$9:FM$50, MAX( COUNT( FN$9:FN$50 )  - $C155 + 1, 1)), INDEX( FM$101:FM$142, MAX( COUNT( FN$9:FN$50 )  - $B155 + 1, 1)) : INDEX( FM$101:FM$142, MAX( COUNT( FN$9:FN$50 )  - $C155 + 1, 1)) &gt; 0)) )</f>
        <v>0.99795884186646278</v>
      </c>
      <c r="FN155" s="8">
        <f>+IF(FN$8 = 125, 1, SUM(_xlfn._xlws.FILTER(INDEX( FO$9:FO$50, MAX( COUNT( FO$9:FO$50 )  - $B155 + 1, 1)) : INDEX( FO$9:FO$50, MAX( COUNT( FO$9:FO$50 )  - $C155 + 1, 1)), INDEX( FN$101:FN$142, MAX( COUNT( FO$9:FO$50 )  - $B155 + 1, 1)) : INDEX( FN$101:FN$142, MAX( COUNT( FO$9:FO$50 )  - $C155 + 1, 1)) &gt; 0)) / SUM(_xlfn._xlws.FILTER(INDEX( FN$9:FN$50, MAX( COUNT( FO$9:FO$50 )  - $B155 + 1, 1)) : INDEX( FN$9:FN$50, MAX( COUNT( FO$9:FO$50 )  - $C155 + 1, 1)), INDEX( FN$101:FN$142, MAX( COUNT( FO$9:FO$50 )  - $B155 + 1, 1)) : INDEX( FN$101:FN$142, MAX( COUNT( FO$9:FO$50 )  - $C155 + 1, 1)) &gt; 0)) )</f>
        <v>1.0000057217337115</v>
      </c>
      <c r="FO155" s="8">
        <f>+IF(FO$8 = 125, 1, SUM(_xlfn._xlws.FILTER(INDEX( FP$9:FP$50, MAX( COUNT( FP$9:FP$50 )  - $B155 + 1, 1)) : INDEX( FP$9:FP$50, MAX( COUNT( FP$9:FP$50 )  - $C155 + 1, 1)), INDEX( FO$101:FO$142, MAX( COUNT( FP$9:FP$50 )  - $B155 + 1, 1)) : INDEX( FO$101:FO$142, MAX( COUNT( FP$9:FP$50 )  - $C155 + 1, 1)) &gt; 0)) / SUM(_xlfn._xlws.FILTER(INDEX( FO$9:FO$50, MAX( COUNT( FP$9:FP$50 )  - $B155 + 1, 1)) : INDEX( FO$9:FO$50, MAX( COUNT( FP$9:FP$50 )  - $C155 + 1, 1)), INDEX( FO$101:FO$142, MAX( COUNT( FP$9:FP$50 )  - $B155 + 1, 1)) : INDEX( FO$101:FO$142, MAX( COUNT( FP$9:FP$50 )  - $C155 + 1, 1)) &gt; 0)) )</f>
        <v>1.0002488112731835</v>
      </c>
      <c r="FP155" s="8">
        <f>+IF(FP$8 = 125, 1, SUM(_xlfn._xlws.FILTER(INDEX( FQ$9:FQ$50, MAX( COUNT( FQ$9:FQ$50 )  - $B155 + 1, 1)) : INDEX( FQ$9:FQ$50, MAX( COUNT( FQ$9:FQ$50 )  - $C155 + 1, 1)), INDEX( FP$101:FP$142, MAX( COUNT( FQ$9:FQ$50 )  - $B155 + 1, 1)) : INDEX( FP$101:FP$142, MAX( COUNT( FQ$9:FQ$50 )  - $C155 + 1, 1)) &gt; 0)) / SUM(_xlfn._xlws.FILTER(INDEX( FP$9:FP$50, MAX( COUNT( FQ$9:FQ$50 )  - $B155 + 1, 1)) : INDEX( FP$9:FP$50, MAX( COUNT( FQ$9:FQ$50 )  - $C155 + 1, 1)), INDEX( FP$101:FP$142, MAX( COUNT( FQ$9:FQ$50 )  - $B155 + 1, 1)) : INDEX( FP$101:FP$142, MAX( COUNT( FQ$9:FQ$50 )  - $C155 + 1, 1)) &gt; 0)) )</f>
        <v>1.0002147960093468</v>
      </c>
      <c r="FQ155" s="8">
        <f>+IF(FQ$8 = 125, 1, SUM(_xlfn._xlws.FILTER(INDEX( FR$9:FR$50, MAX( COUNT( FR$9:FR$50 )  - $B155 + 1, 1)) : INDEX( FR$9:FR$50, MAX( COUNT( FR$9:FR$50 )  - $C155 + 1, 1)), INDEX( FQ$101:FQ$142, MAX( COUNT( FR$9:FR$50 )  - $B155 + 1, 1)) : INDEX( FQ$101:FQ$142, MAX( COUNT( FR$9:FR$50 )  - $C155 + 1, 1)) &gt; 0)) / SUM(_xlfn._xlws.FILTER(INDEX( FQ$9:FQ$50, MAX( COUNT( FR$9:FR$50 )  - $B155 + 1, 1)) : INDEX( FQ$9:FQ$50, MAX( COUNT( FR$9:FR$50 )  - $C155 + 1, 1)), INDEX( FQ$101:FQ$142, MAX( COUNT( FR$9:FR$50 )  - $B155 + 1, 1)) : INDEX( FQ$101:FQ$142, MAX( COUNT( FR$9:FR$50 )  - $C155 + 1, 1)) &gt; 0)) )</f>
        <v>1.0002179775004136</v>
      </c>
      <c r="FR155" s="8">
        <f>+IF(FR$8 = 125, 1, SUM(_xlfn._xlws.FILTER(INDEX( FS$9:FS$50, MAX( COUNT( FS$9:FS$50 )  - $B155 + 1, 1)) : INDEX( FS$9:FS$50, MAX( COUNT( FS$9:FS$50 )  - $C155 + 1, 1)), INDEX( FR$101:FR$142, MAX( COUNT( FS$9:FS$50 )  - $B155 + 1, 1)) : INDEX( FR$101:FR$142, MAX( COUNT( FS$9:FS$50 )  - $C155 + 1, 1)) &gt; 0)) / SUM(_xlfn._xlws.FILTER(INDEX( FR$9:FR$50, MAX( COUNT( FS$9:FS$50 )  - $B155 + 1, 1)) : INDEX( FR$9:FR$50, MAX( COUNT( FS$9:FS$50 )  - $C155 + 1, 1)), INDEX( FR$101:FR$142, MAX( COUNT( FS$9:FS$50 )  - $B155 + 1, 1)) : INDEX( FR$101:FR$142, MAX( COUNT( FS$9:FS$50 )  - $C155 + 1, 1)) &gt; 0)) )</f>
        <v>0.99766216184332779</v>
      </c>
      <c r="FS155" s="8">
        <f>+IF(FS$8 = 125, 1, SUM(_xlfn._xlws.FILTER(INDEX( FT$9:FT$50, MAX( COUNT( FT$9:FT$50 )  - $B155 + 1, 1)) : INDEX( FT$9:FT$50, MAX( COUNT( FT$9:FT$50 )  - $C155 + 1, 1)), INDEX( FS$101:FS$142, MAX( COUNT( FT$9:FT$50 )  - $B155 + 1, 1)) : INDEX( FS$101:FS$142, MAX( COUNT( FT$9:FT$50 )  - $C155 + 1, 1)) &gt; 0)) / SUM(_xlfn._xlws.FILTER(INDEX( FS$9:FS$50, MAX( COUNT( FT$9:FT$50 )  - $B155 + 1, 1)) : INDEX( FS$9:FS$50, MAX( COUNT( FT$9:FT$50 )  - $C155 + 1, 1)), INDEX( FS$101:FS$142, MAX( COUNT( FT$9:FT$50 )  - $B155 + 1, 1)) : INDEX( FS$101:FS$142, MAX( COUNT( FT$9:FT$50 )  - $C155 + 1, 1)) &gt; 0)) )</f>
        <v>1.0023767271110418</v>
      </c>
      <c r="FT155" s="8">
        <f>+IF(FT$8 = 125, 1, SUM(_xlfn._xlws.FILTER(INDEX( FU$9:FU$50, MAX( COUNT( FU$9:FU$50 )  - $B155 + 1, 1)) : INDEX( FU$9:FU$50, MAX( COUNT( FU$9:FU$50 )  - $C155 + 1, 1)), INDEX( FT$101:FT$142, MAX( COUNT( FU$9:FU$50 )  - $B155 + 1, 1)) : INDEX( FT$101:FT$142, MAX( COUNT( FU$9:FU$50 )  - $C155 + 1, 1)) &gt; 0)) / SUM(_xlfn._xlws.FILTER(INDEX( FT$9:FT$50, MAX( COUNT( FU$9:FU$50 )  - $B155 + 1, 1)) : INDEX( FT$9:FT$50, MAX( COUNT( FU$9:FU$50 )  - $C155 + 1, 1)), INDEX( FT$101:FT$142, MAX( COUNT( FU$9:FU$50 )  - $B155 + 1, 1)) : INDEX( FT$101:FT$142, MAX( COUNT( FU$9:FU$50 )  - $C155 + 1, 1)) &gt; 0)) )</f>
        <v>1.0007180242073517</v>
      </c>
      <c r="FU155" s="8">
        <f>+IF(FU$8 = 125, 1, SUM(_xlfn._xlws.FILTER(INDEX( FV$9:FV$50, MAX( COUNT( FV$9:FV$50 )  - $B155 + 1, 1)) : INDEX( FV$9:FV$50, MAX( COUNT( FV$9:FV$50 )  - $C155 + 1, 1)), INDEX( FU$101:FU$142, MAX( COUNT( FV$9:FV$50 )  - $B155 + 1, 1)) : INDEX( FU$101:FU$142, MAX( COUNT( FV$9:FV$50 )  - $C155 + 1, 1)) &gt; 0)) / SUM(_xlfn._xlws.FILTER(INDEX( FU$9:FU$50, MAX( COUNT( FV$9:FV$50 )  - $B155 + 1, 1)) : INDEX( FU$9:FU$50, MAX( COUNT( FV$9:FV$50 )  - $C155 + 1, 1)), INDEX( FU$101:FU$142, MAX( COUNT( FV$9:FV$50 )  - $B155 + 1, 1)) : INDEX( FU$101:FU$142, MAX( COUNT( FV$9:FV$50 )  - $C155 + 1, 1)) &gt; 0)) )</f>
        <v>0.99521966213692969</v>
      </c>
      <c r="FV155" s="8">
        <f>+IF(FV$8 = 125, 1, SUM(_xlfn._xlws.FILTER(INDEX( FW$9:FW$50, MAX( COUNT( FW$9:FW$50 )  - $B155 + 1, 1)) : INDEX( FW$9:FW$50, MAX( COUNT( FW$9:FW$50 )  - $C155 + 1, 1)), INDEX( FV$101:FV$142, MAX( COUNT( FW$9:FW$50 )  - $B155 + 1, 1)) : INDEX( FV$101:FV$142, MAX( COUNT( FW$9:FW$50 )  - $C155 + 1, 1)) &gt; 0)) / SUM(_xlfn._xlws.FILTER(INDEX( FV$9:FV$50, MAX( COUNT( FW$9:FW$50 )  - $B155 + 1, 1)) : INDEX( FV$9:FV$50, MAX( COUNT( FW$9:FW$50 )  - $C155 + 1, 1)), INDEX( FV$101:FV$142, MAX( COUNT( FW$9:FW$50 )  - $B155 + 1, 1)) : INDEX( FV$101:FV$142, MAX( COUNT( FW$9:FW$50 )  - $C155 + 1, 1)) &gt; 0)) )</f>
        <v>1.0001223951439997</v>
      </c>
      <c r="FW155" s="8">
        <f>+IF(FW$8 = 125, 1, SUM(_xlfn._xlws.FILTER(INDEX( FX$9:FX$50, MAX( COUNT( FX$9:FX$50 )  - $B155 + 1, 1)) : INDEX( FX$9:FX$50, MAX( COUNT( FX$9:FX$50 )  - $C155 + 1, 1)), INDEX( FW$101:FW$142, MAX( COUNT( FX$9:FX$50 )  - $B155 + 1, 1)) : INDEX( FW$101:FW$142, MAX( COUNT( FX$9:FX$50 )  - $C155 + 1, 1)) &gt; 0)) / SUM(_xlfn._xlws.FILTER(INDEX( FW$9:FW$50, MAX( COUNT( FX$9:FX$50 )  - $B155 + 1, 1)) : INDEX( FW$9:FW$50, MAX( COUNT( FX$9:FX$50 )  - $C155 + 1, 1)), INDEX( FW$101:FW$142, MAX( COUNT( FX$9:FX$50 )  - $B155 + 1, 1)) : INDEX( FW$101:FW$142, MAX( COUNT( FX$9:FX$50 )  - $C155 + 1, 1)) &gt; 0)) )</f>
        <v>1.0001113365208951</v>
      </c>
      <c r="FX155" s="8">
        <f>+IF(FX$8 = 125, 1, SUM(_xlfn._xlws.FILTER(INDEX( FY$9:FY$50, MAX( COUNT( FY$9:FY$50 )  - $B155 + 1, 1)) : INDEX( FY$9:FY$50, MAX( COUNT( FY$9:FY$50 )  - $C155 + 1, 1)), INDEX( FX$101:FX$142, MAX( COUNT( FY$9:FY$50 )  - $B155 + 1, 1)) : INDEX( FX$101:FX$142, MAX( COUNT( FY$9:FY$50 )  - $C155 + 1, 1)) &gt; 0)) / SUM(_xlfn._xlws.FILTER(INDEX( FX$9:FX$50, MAX( COUNT( FY$9:FY$50 )  - $B155 + 1, 1)) : INDEX( FX$9:FX$50, MAX( COUNT( FY$9:FY$50 )  - $C155 + 1, 1)), INDEX( FX$101:FX$142, MAX( COUNT( FY$9:FY$50 )  - $B155 + 1, 1)) : INDEX( FX$101:FX$142, MAX( COUNT( FY$9:FY$50 )  - $C155 + 1, 1)) &gt; 0)) )</f>
        <v>1.0000748648138635</v>
      </c>
      <c r="FY155" s="8">
        <f>+IF(FY$8 = 125, 1, SUM(_xlfn._xlws.FILTER(INDEX( FZ$9:FZ$50, MAX( COUNT( FZ$9:FZ$50 )  - $B155 + 1, 1)) : INDEX( FZ$9:FZ$50, MAX( COUNT( FZ$9:FZ$50 )  - $C155 + 1, 1)), INDEX( FY$101:FY$142, MAX( COUNT( FZ$9:FZ$50 )  - $B155 + 1, 1)) : INDEX( FY$101:FY$142, MAX( COUNT( FZ$9:FZ$50 )  - $C155 + 1, 1)) &gt; 0)) / SUM(_xlfn._xlws.FILTER(INDEX( FY$9:FY$50, MAX( COUNT( FZ$9:FZ$50 )  - $B155 + 1, 1)) : INDEX( FY$9:FY$50, MAX( COUNT( FZ$9:FZ$50 )  - $C155 + 1, 1)), INDEX( FY$101:FY$142, MAX( COUNT( FZ$9:FZ$50 )  - $B155 + 1, 1)) : INDEX( FY$101:FY$142, MAX( COUNT( FZ$9:FZ$50 )  - $C155 + 1, 1)) &gt; 0)) )</f>
        <v>0.99910877492410333</v>
      </c>
      <c r="FZ155" s="8">
        <f>+IF(FZ$8 = 125, 1, SUM(_xlfn._xlws.FILTER(INDEX( GA$9:GA$50, MAX( COUNT( GA$9:GA$50 )  - $B155 + 1, 1)) : INDEX( GA$9:GA$50, MAX( COUNT( GA$9:GA$50 )  - $C155 + 1, 1)), INDEX( FZ$101:FZ$142, MAX( COUNT( GA$9:GA$50 )  - $B155 + 1, 1)) : INDEX( FZ$101:FZ$142, MAX( COUNT( GA$9:GA$50 )  - $C155 + 1, 1)) &gt; 0)) / SUM(_xlfn._xlws.FILTER(INDEX( FZ$9:FZ$50, MAX( COUNT( GA$9:GA$50 )  - $B155 + 1, 1)) : INDEX( FZ$9:FZ$50, MAX( COUNT( GA$9:GA$50 )  - $C155 + 1, 1)), INDEX( FZ$101:FZ$142, MAX( COUNT( GA$9:GA$50 )  - $B155 + 1, 1)) : INDEX( FZ$101:FZ$142, MAX( COUNT( GA$9:GA$50 )  - $C155 + 1, 1)) &gt; 0)) )</f>
        <v>1.0002840968004043</v>
      </c>
      <c r="GA155" s="8">
        <f>+IF(GA$8 = 125, 1, SUM(_xlfn._xlws.FILTER(INDEX( GB$9:GB$50, MAX( COUNT( GB$9:GB$50 )  - $B155 + 1, 1)) : INDEX( GB$9:GB$50, MAX( COUNT( GB$9:GB$50 )  - $C155 + 1, 1)), INDEX( GA$101:GA$142, MAX( COUNT( GB$9:GB$50 )  - $B155 + 1, 1)) : INDEX( GA$101:GA$142, MAX( COUNT( GB$9:GB$50 )  - $C155 + 1, 1)) &gt; 0)) / SUM(_xlfn._xlws.FILTER(INDEX( GA$9:GA$50, MAX( COUNT( GB$9:GB$50 )  - $B155 + 1, 1)) : INDEX( GA$9:GA$50, MAX( COUNT( GB$9:GB$50 )  - $C155 + 1, 1)), INDEX( GA$101:GA$142, MAX( COUNT( GB$9:GB$50 )  - $B155 + 1, 1)) : INDEX( GA$101:GA$142, MAX( COUNT( GB$9:GB$50 )  - $C155 + 1, 1)) &gt; 0)) )</f>
        <v>1.0000242479799233</v>
      </c>
      <c r="GB155" s="8">
        <f>+IF(GB$8 = 125, 1, SUM(_xlfn._xlws.FILTER(INDEX( GC$9:GC$50, MAX( COUNT( GC$9:GC$50 )  - $B155 + 1, 1)) : INDEX( GC$9:GC$50, MAX( COUNT( GC$9:GC$50 )  - $C155 + 1, 1)), INDEX( GB$101:GB$142, MAX( COUNT( GC$9:GC$50 )  - $B155 + 1, 1)) : INDEX( GB$101:GB$142, MAX( COUNT( GC$9:GC$50 )  - $C155 + 1, 1)) &gt; 0)) / SUM(_xlfn._xlws.FILTER(INDEX( GB$9:GB$50, MAX( COUNT( GC$9:GC$50 )  - $B155 + 1, 1)) : INDEX( GB$9:GB$50, MAX( COUNT( GC$9:GC$50 )  - $C155 + 1, 1)), INDEX( GB$101:GB$142, MAX( COUNT( GC$9:GC$50 )  - $B155 + 1, 1)) : INDEX( GB$101:GB$142, MAX( COUNT( GC$9:GC$50 )  - $C155 + 1, 1)) &gt; 0)) )</f>
        <v>1</v>
      </c>
      <c r="GC155" s="8">
        <f>+IF(GC$8 = 125, 1, SUM(_xlfn._xlws.FILTER(INDEX( GD$9:GD$50, MAX( COUNT( GD$9:GD$50 )  - $B155 + 1, 1)) : INDEX( GD$9:GD$50, MAX( COUNT( GD$9:GD$50 )  - $C155 + 1, 1)), INDEX( GC$101:GC$142, MAX( COUNT( GD$9:GD$50 )  - $B155 + 1, 1)) : INDEX( GC$101:GC$142, MAX( COUNT( GD$9:GD$50 )  - $C155 + 1, 1)) &gt; 0)) / SUM(_xlfn._xlws.FILTER(INDEX( GC$9:GC$50, MAX( COUNT( GD$9:GD$50 )  - $B155 + 1, 1)) : INDEX( GC$9:GC$50, MAX( COUNT( GD$9:GD$50 )  - $C155 + 1, 1)), INDEX( GC$101:GC$142, MAX( COUNT( GD$9:GD$50 )  - $B155 + 1, 1)) : INDEX( GC$101:GC$142, MAX( COUNT( GD$9:GD$50 )  - $C155 + 1, 1)) &gt; 0)) )</f>
        <v>1</v>
      </c>
      <c r="GD155" s="8">
        <f>+IF(GD$8 = 125, 1, SUM(_xlfn._xlws.FILTER(INDEX( GE$9:GE$50, MAX( COUNT( GE$9:GE$50 )  - $B155 + 1, 1)) : INDEX( GE$9:GE$50, MAX( COUNT( GE$9:GE$50 )  - $C155 + 1, 1)), INDEX( GD$101:GD$142, MAX( COUNT( GE$9:GE$50 )  - $B155 + 1, 1)) : INDEX( GD$101:GD$142, MAX( COUNT( GE$9:GE$50 )  - $C155 + 1, 1)) &gt; 0)) / SUM(_xlfn._xlws.FILTER(INDEX( GD$9:GD$50, MAX( COUNT( GE$9:GE$50 )  - $B155 + 1, 1)) : INDEX( GD$9:GD$50, MAX( COUNT( GE$9:GE$50 )  - $C155 + 1, 1)), INDEX( GD$101:GD$142, MAX( COUNT( GE$9:GE$50 )  - $B155 + 1, 1)) : INDEX( GD$101:GD$142, MAX( COUNT( GE$9:GE$50 )  - $C155 + 1, 1)) &gt; 0)) )</f>
        <v>0.99999675646415465</v>
      </c>
      <c r="GE155" s="8">
        <f>+IF(GE$8 = 125, 1, SUM(_xlfn._xlws.FILTER(INDEX( GF$9:GF$50, MAX( COUNT( GF$9:GF$50 )  - $B155 + 1, 1)) : INDEX( GF$9:GF$50, MAX( COUNT( GF$9:GF$50 )  - $C155 + 1, 1)), INDEX( GE$101:GE$142, MAX( COUNT( GF$9:GF$50 )  - $B155 + 1, 1)) : INDEX( GE$101:GE$142, MAX( COUNT( GF$9:GF$50 )  - $C155 + 1, 1)) &gt; 0)) / SUM(_xlfn._xlws.FILTER(INDEX( GE$9:GE$50, MAX( COUNT( GF$9:GF$50 )  - $B155 + 1, 1)) : INDEX( GE$9:GE$50, MAX( COUNT( GF$9:GF$50 )  - $C155 + 1, 1)), INDEX( GE$101:GE$142, MAX( COUNT( GF$9:GF$50 )  - $B155 + 1, 1)) : INDEX( GE$101:GE$142, MAX( COUNT( GF$9:GF$50 )  - $C155 + 1, 1)) &gt; 0)) )</f>
        <v>1.0000857786201518</v>
      </c>
      <c r="GF155" s="8">
        <f>+IF(GF$8 = 125, 1, SUM(_xlfn._xlws.FILTER(INDEX( GG$9:GG$50, MAX( COUNT( GG$9:GG$50 )  - $B155 + 1, 1)) : INDEX( GG$9:GG$50, MAX( COUNT( GG$9:GG$50 )  - $C155 + 1, 1)), INDEX( GF$101:GF$142, MAX( COUNT( GG$9:GG$50 )  - $B155 + 1, 1)) : INDEX( GF$101:GF$142, MAX( COUNT( GG$9:GG$50 )  - $C155 + 1, 1)) &gt; 0)) / SUM(_xlfn._xlws.FILTER(INDEX( GF$9:GF$50, MAX( COUNT( GG$9:GG$50 )  - $B155 + 1, 1)) : INDEX( GF$9:GF$50, MAX( COUNT( GG$9:GG$50 )  - $C155 + 1, 1)), INDEX( GF$101:GF$142, MAX( COUNT( GG$9:GG$50 )  - $B155 + 1, 1)) : INDEX( GF$101:GF$142, MAX( COUNT( GG$9:GG$50 )  - $C155 + 1, 1)) &gt; 0)) )</f>
        <v>1.0000450091654274</v>
      </c>
      <c r="GG155" s="8">
        <f>+IF(GG$8 = 125, 1, SUM(_xlfn._xlws.FILTER(INDEX( GH$9:GH$50, MAX( COUNT( GH$9:GH$50 )  - $B155 + 1, 1)) : INDEX( GH$9:GH$50, MAX( COUNT( GH$9:GH$50 )  - $C155 + 1, 1)), INDEX( GG$101:GG$142, MAX( COUNT( GH$9:GH$50 )  - $B155 + 1, 1)) : INDEX( GG$101:GG$142, MAX( COUNT( GH$9:GH$50 )  - $C155 + 1, 1)) &gt; 0)) / SUM(_xlfn._xlws.FILTER(INDEX( GG$9:GG$50, MAX( COUNT( GH$9:GH$50 )  - $B155 + 1, 1)) : INDEX( GG$9:GG$50, MAX( COUNT( GH$9:GH$50 )  - $C155 + 1, 1)), INDEX( GG$101:GG$142, MAX( COUNT( GH$9:GH$50 )  - $B155 + 1, 1)) : INDEX( GG$101:GG$142, MAX( COUNT( GH$9:GH$50 )  - $C155 + 1, 1)) &gt; 0)) )</f>
        <v>0.99863221971968708</v>
      </c>
      <c r="GH155" s="8">
        <f>+IF(GH$8 = 125, 1, SUM(_xlfn._xlws.FILTER(INDEX( GI$9:GI$50, MAX( COUNT( GI$9:GI$50 )  - $B155 + 1, 1)) : INDEX( GI$9:GI$50, MAX( COUNT( GI$9:GI$50 )  - $C155 + 1, 1)), INDEX( GH$101:GH$142, MAX( COUNT( GI$9:GI$50 )  - $B155 + 1, 1)) : INDEX( GH$101:GH$142, MAX( COUNT( GI$9:GI$50 )  - $C155 + 1, 1)) &gt; 0)) / SUM(_xlfn._xlws.FILTER(INDEX( GH$9:GH$50, MAX( COUNT( GI$9:GI$50 )  - $B155 + 1, 1)) : INDEX( GH$9:GH$50, MAX( COUNT( GI$9:GI$50 )  - $C155 + 1, 1)), INDEX( GH$101:GH$142, MAX( COUNT( GI$9:GI$50 )  - $B155 + 1, 1)) : INDEX( GH$101:GH$142, MAX( COUNT( GI$9:GI$50 )  - $C155 + 1, 1)) &gt; 0)) )</f>
        <v>1.0000112712180396</v>
      </c>
      <c r="GI155" s="8">
        <f>+IF(GI$8 = 125, 1, SUM(_xlfn._xlws.FILTER(INDEX( GJ$9:GJ$50, MAX( COUNT( GJ$9:GJ$50 )  - $B155 + 1, 1)) : INDEX( GJ$9:GJ$50, MAX( COUNT( GJ$9:GJ$50 )  - $C155 + 1, 1)), INDEX( GI$101:GI$142, MAX( COUNT( GJ$9:GJ$50 )  - $B155 + 1, 1)) : INDEX( GI$101:GI$142, MAX( COUNT( GJ$9:GJ$50 )  - $C155 + 1, 1)) &gt; 0)) / SUM(_xlfn._xlws.FILTER(INDEX( GI$9:GI$50, MAX( COUNT( GJ$9:GJ$50 )  - $B155 + 1, 1)) : INDEX( GI$9:GI$50, MAX( COUNT( GJ$9:GJ$50 )  - $C155 + 1, 1)), INDEX( GI$101:GI$142, MAX( COUNT( GJ$9:GJ$50 )  - $B155 + 1, 1)) : INDEX( GI$101:GI$142, MAX( COUNT( GJ$9:GJ$50 )  - $C155 + 1, 1)) &gt; 0)) )</f>
        <v>1.000491121520537</v>
      </c>
      <c r="GJ155" s="8">
        <f>+IF(GJ$8 = 125, 1, SUM(_xlfn._xlws.FILTER(INDEX( GK$9:GK$50, MAX( COUNT( GK$9:GK$50 )  - $B155 + 1, 1)) : INDEX( GK$9:GK$50, MAX( COUNT( GK$9:GK$50 )  - $C155 + 1, 1)), INDEX( GJ$101:GJ$142, MAX( COUNT( GK$9:GK$50 )  - $B155 + 1, 1)) : INDEX( GJ$101:GJ$142, MAX( COUNT( GK$9:GK$50 )  - $C155 + 1, 1)) &gt; 0)) / SUM(_xlfn._xlws.FILTER(INDEX( GJ$9:GJ$50, MAX( COUNT( GK$9:GK$50 )  - $B155 + 1, 1)) : INDEX( GJ$9:GJ$50, MAX( COUNT( GK$9:GK$50 )  - $C155 + 1, 1)), INDEX( GJ$101:GJ$142, MAX( COUNT( GK$9:GK$50 )  - $B155 + 1, 1)) : INDEX( GJ$101:GJ$142, MAX( COUNT( GK$9:GK$50 )  - $C155 + 1, 1)) &gt; 0)) )</f>
        <v>1.000525452560082</v>
      </c>
      <c r="GK155" s="8">
        <f>+IF(GK$8 = 125, 1, SUM(_xlfn._xlws.FILTER(INDEX( GL$9:GL$50, MAX( COUNT( GL$9:GL$50 )  - $B155 + 1, 1)) : INDEX( GL$9:GL$50, MAX( COUNT( GL$9:GL$50 )  - $C155 + 1, 1)), INDEX( GK$101:GK$142, MAX( COUNT( GL$9:GL$50 )  - $B155 + 1, 1)) : INDEX( GK$101:GK$142, MAX( COUNT( GL$9:GL$50 )  - $C155 + 1, 1)) &gt; 0)) / SUM(_xlfn._xlws.FILTER(INDEX( GK$9:GK$50, MAX( COUNT( GL$9:GL$50 )  - $B155 + 1, 1)) : INDEX( GK$9:GK$50, MAX( COUNT( GL$9:GL$50 )  - $C155 + 1, 1)), INDEX( GK$101:GK$142, MAX( COUNT( GL$9:GL$50 )  - $B155 + 1, 1)) : INDEX( GK$101:GK$142, MAX( COUNT( GL$9:GL$50 )  - $C155 + 1, 1)) &gt; 0)) )</f>
        <v>1.0002873068866727</v>
      </c>
      <c r="GL155" s="8">
        <f>+IF(GL$8 = 125, 1, SUM(_xlfn._xlws.FILTER(INDEX( GM$9:GM$50, MAX( COUNT( GM$9:GM$50 )  - $B155 + 1, 1)) : INDEX( GM$9:GM$50, MAX( COUNT( GM$9:GM$50 )  - $C155 + 1, 1)), INDEX( GL$101:GL$142, MAX( COUNT( GM$9:GM$50 )  - $B155 + 1, 1)) : INDEX( GL$101:GL$142, MAX( COUNT( GM$9:GM$50 )  - $C155 + 1, 1)) &gt; 0)) / SUM(_xlfn._xlws.FILTER(INDEX( GL$9:GL$50, MAX( COUNT( GM$9:GM$50 )  - $B155 + 1, 1)) : INDEX( GL$9:GL$50, MAX( COUNT( GM$9:GM$50 )  - $C155 + 1, 1)), INDEX( GL$101:GL$142, MAX( COUNT( GM$9:GM$50 )  - $B155 + 1, 1)) : INDEX( GL$101:GL$142, MAX( COUNT( GM$9:GM$50 )  - $C155 + 1, 1)) &gt; 0)) )</f>
        <v>1</v>
      </c>
      <c r="GM155" s="8">
        <f>+IF(GM$8 = 125, 1, SUM(_xlfn._xlws.FILTER(INDEX( GN$9:GN$50, MAX( COUNT( GN$9:GN$50 )  - $B155 + 1, 1)) : INDEX( GN$9:GN$50, MAX( COUNT( GN$9:GN$50 )  - $C155 + 1, 1)), INDEX( GM$101:GM$142, MAX( COUNT( GN$9:GN$50 )  - $B155 + 1, 1)) : INDEX( GM$101:GM$142, MAX( COUNT( GN$9:GN$50 )  - $C155 + 1, 1)) &gt; 0)) / SUM(_xlfn._xlws.FILTER(INDEX( GM$9:GM$50, MAX( COUNT( GN$9:GN$50 )  - $B155 + 1, 1)) : INDEX( GM$9:GM$50, MAX( COUNT( GN$9:GN$50 )  - $C155 + 1, 1)), INDEX( GM$101:GM$142, MAX( COUNT( GN$9:GN$50 )  - $B155 + 1, 1)) : INDEX( GM$101:GM$142, MAX( COUNT( GN$9:GN$50 )  - $C155 + 1, 1)) &gt; 0)) )</f>
        <v>1.0000920924903229</v>
      </c>
      <c r="GN155" s="8">
        <f>+IF(GN$8 = 125, 1, SUM(_xlfn._xlws.FILTER(INDEX( GO$9:GO$50, MAX( COUNT( GO$9:GO$50 )  - $B155 + 1, 1)) : INDEX( GO$9:GO$50, MAX( COUNT( GO$9:GO$50 )  - $C155 + 1, 1)), INDEX( GN$101:GN$142, MAX( COUNT( GO$9:GO$50 )  - $B155 + 1, 1)) : INDEX( GN$101:GN$142, MAX( COUNT( GO$9:GO$50 )  - $C155 + 1, 1)) &gt; 0)) / SUM(_xlfn._xlws.FILTER(INDEX( GN$9:GN$50, MAX( COUNT( GO$9:GO$50 )  - $B155 + 1, 1)) : INDEX( GN$9:GN$50, MAX( COUNT( GO$9:GO$50 )  - $C155 + 1, 1)), INDEX( GN$101:GN$142, MAX( COUNT( GO$9:GO$50 )  - $B155 + 1, 1)) : INDEX( GN$101:GN$142, MAX( COUNT( GO$9:GO$50 )  - $C155 + 1, 1)) &gt; 0)) )</f>
        <v>1.000665116307393</v>
      </c>
      <c r="GO155" s="8">
        <f>+IF(GO$8 = 125, 1, SUM(_xlfn._xlws.FILTER(INDEX( GP$9:GP$50, MAX( COUNT( GP$9:GP$50 )  - $B155 + 1, 1)) : INDEX( GP$9:GP$50, MAX( COUNT( GP$9:GP$50 )  - $C155 + 1, 1)), INDEX( GO$101:GO$142, MAX( COUNT( GP$9:GP$50 )  - $B155 + 1, 1)) : INDEX( GO$101:GO$142, MAX( COUNT( GP$9:GP$50 )  - $C155 + 1, 1)) &gt; 0)) / SUM(_xlfn._xlws.FILTER(INDEX( GO$9:GO$50, MAX( COUNT( GP$9:GP$50 )  - $B155 + 1, 1)) : INDEX( GO$9:GO$50, MAX( COUNT( GP$9:GP$50 )  - $C155 + 1, 1)), INDEX( GO$101:GO$142, MAX( COUNT( GP$9:GP$50 )  - $B155 + 1, 1)) : INDEX( GO$101:GO$142, MAX( COUNT( GP$9:GP$50 )  - $C155 + 1, 1)) &gt; 0)) )</f>
        <v>1.0000121532884976</v>
      </c>
      <c r="GP155" s="8">
        <f>+IF(GP$8 = 125, 1, SUM(_xlfn._xlws.FILTER(INDEX( GQ$9:GQ$50, MAX( COUNT( GQ$9:GQ$50 )  - $B155 + 1, 1)) : INDEX( GQ$9:GQ$50, MAX( COUNT( GQ$9:GQ$50 )  - $C155 + 1, 1)), INDEX( GP$101:GP$142, MAX( COUNT( GQ$9:GQ$50 )  - $B155 + 1, 1)) : INDEX( GP$101:GP$142, MAX( COUNT( GQ$9:GQ$50 )  - $C155 + 1, 1)) &gt; 0)) / SUM(_xlfn._xlws.FILTER(INDEX( GP$9:GP$50, MAX( COUNT( GQ$9:GQ$50 )  - $B155 + 1, 1)) : INDEX( GP$9:GP$50, MAX( COUNT( GQ$9:GQ$50 )  - $C155 + 1, 1)), INDEX( GP$101:GP$142, MAX( COUNT( GQ$9:GQ$50 )  - $B155 + 1, 1)) : INDEX( GP$101:GP$142, MAX( COUNT( GQ$9:GQ$50 )  - $C155 + 1, 1)) &gt; 0)) )</f>
        <v>1.0001098420636394</v>
      </c>
      <c r="GQ155" s="8">
        <f>+IF(GQ$8 = 125, 1, SUM(_xlfn._xlws.FILTER(INDEX( GR$9:GR$50, MAX( COUNT( GR$9:GR$50 )  - $B155 + 1, 1)) : INDEX( GR$9:GR$50, MAX( COUNT( GR$9:GR$50 )  - $C155 + 1, 1)), INDEX( GQ$101:GQ$142, MAX( COUNT( GR$9:GR$50 )  - $B155 + 1, 1)) : INDEX( GQ$101:GQ$142, MAX( COUNT( GR$9:GR$50 )  - $C155 + 1, 1)) &gt; 0)) / SUM(_xlfn._xlws.FILTER(INDEX( GQ$9:GQ$50, MAX( COUNT( GR$9:GR$50 )  - $B155 + 1, 1)) : INDEX( GQ$9:GQ$50, MAX( COUNT( GR$9:GR$50 )  - $C155 + 1, 1)), INDEX( GQ$101:GQ$142, MAX( COUNT( GR$9:GR$50 )  - $B155 + 1, 1)) : INDEX( GQ$101:GQ$142, MAX( COUNT( GR$9:GR$50 )  - $C155 + 1, 1)) &gt; 0)) )</f>
        <v>1.0001541342209448</v>
      </c>
      <c r="GR155" s="8">
        <f>+IF(GR$8 = 125, 1, SUM(_xlfn._xlws.FILTER(INDEX( GS$9:GS$50, MAX( COUNT( GS$9:GS$50 )  - $B155 + 1, 1)) : INDEX( GS$9:GS$50, MAX( COUNT( GS$9:GS$50 )  - $C155 + 1, 1)), INDEX( GR$101:GR$142, MAX( COUNT( GS$9:GS$50 )  - $B155 + 1, 1)) : INDEX( GR$101:GR$142, MAX( COUNT( GS$9:GS$50 )  - $C155 + 1, 1)) &gt; 0)) / SUM(_xlfn._xlws.FILTER(INDEX( GR$9:GR$50, MAX( COUNT( GS$9:GS$50 )  - $B155 + 1, 1)) : INDEX( GR$9:GR$50, MAX( COUNT( GS$9:GS$50 )  - $C155 + 1, 1)), INDEX( GR$101:GR$142, MAX( COUNT( GS$9:GS$50 )  - $B155 + 1, 1)) : INDEX( GR$101:GR$142, MAX( COUNT( GS$9:GS$50 )  - $C155 + 1, 1)) &gt; 0)) )</f>
        <v>0.99999948550810169</v>
      </c>
      <c r="GS155" s="8">
        <f>+IF(GS$8 = 125, 1, SUM(_xlfn._xlws.FILTER(INDEX( GT$9:GT$50, MAX( COUNT( GT$9:GT$50 )  - $B155 + 1, 1)) : INDEX( GT$9:GT$50, MAX( COUNT( GT$9:GT$50 )  - $C155 + 1, 1)), INDEX( GS$101:GS$142, MAX( COUNT( GT$9:GT$50 )  - $B155 + 1, 1)) : INDEX( GS$101:GS$142, MAX( COUNT( GT$9:GT$50 )  - $C155 + 1, 1)) &gt; 0)) / SUM(_xlfn._xlws.FILTER(INDEX( GS$9:GS$50, MAX( COUNT( GT$9:GT$50 )  - $B155 + 1, 1)) : INDEX( GS$9:GS$50, MAX( COUNT( GT$9:GT$50 )  - $C155 + 1, 1)), INDEX( GS$101:GS$142, MAX( COUNT( GT$9:GT$50 )  - $B155 + 1, 1)) : INDEX( GS$101:GS$142, MAX( COUNT( GT$9:GT$50 )  - $C155 + 1, 1)) &gt; 0)) )</f>
        <v>1.0004999142411919</v>
      </c>
      <c r="GT155" s="8">
        <f>+IF(GT$8 = 125, 1, SUM(_xlfn._xlws.FILTER(INDEX( GU$9:GU$50, MAX( COUNT( GU$9:GU$50 )  - $B155 + 1, 1)) : INDEX( GU$9:GU$50, MAX( COUNT( GU$9:GU$50 )  - $C155 + 1, 1)), INDEX( GT$101:GT$142, MAX( COUNT( GU$9:GU$50 )  - $B155 + 1, 1)) : INDEX( GT$101:GT$142, MAX( COUNT( GU$9:GU$50 )  - $C155 + 1, 1)) &gt; 0)) / SUM(_xlfn._xlws.FILTER(INDEX( GT$9:GT$50, MAX( COUNT( GU$9:GU$50 )  - $B155 + 1, 1)) : INDEX( GT$9:GT$50, MAX( COUNT( GU$9:GU$50 )  - $C155 + 1, 1)), INDEX( GT$101:GT$142, MAX( COUNT( GU$9:GU$50 )  - $B155 + 1, 1)) : INDEX( GT$101:GT$142, MAX( COUNT( GU$9:GU$50 )  - $C155 + 1, 1)) &gt; 0)) )</f>
        <v>1.0000773183927658</v>
      </c>
      <c r="GU155" s="8">
        <f>+IF(GU$8 = 125, 1, SUM(_xlfn._xlws.FILTER(INDEX( GV$9:GV$50, MAX( COUNT( GV$9:GV$50 )  - $B155 + 1, 1)) : INDEX( GV$9:GV$50, MAX( COUNT( GV$9:GV$50 )  - $C155 + 1, 1)), INDEX( GU$101:GU$142, MAX( COUNT( GV$9:GV$50 )  - $B155 + 1, 1)) : INDEX( GU$101:GU$142, MAX( COUNT( GV$9:GV$50 )  - $C155 + 1, 1)) &gt; 0)) / SUM(_xlfn._xlws.FILTER(INDEX( GU$9:GU$50, MAX( COUNT( GV$9:GV$50 )  - $B155 + 1, 1)) : INDEX( GU$9:GU$50, MAX( COUNT( GV$9:GV$50 )  - $C155 + 1, 1)), INDEX( GU$101:GU$142, MAX( COUNT( GV$9:GV$50 )  - $B155 + 1, 1)) : INDEX( GU$101:GU$142, MAX( COUNT( GV$9:GV$50 )  - $C155 + 1, 1)) &gt; 0)) )</f>
        <v>0.99987392827734545</v>
      </c>
      <c r="GV155" s="8">
        <f>+IF(GV$8 = 125, 1, SUM(_xlfn._xlws.FILTER(INDEX( GW$9:GW$50, MAX( COUNT( GW$9:GW$50 )  - $B155 + 1, 1)) : INDEX( GW$9:GW$50, MAX( COUNT( GW$9:GW$50 )  - $C155 + 1, 1)), INDEX( GV$101:GV$142, MAX( COUNT( GW$9:GW$50 )  - $B155 + 1, 1)) : INDEX( GV$101:GV$142, MAX( COUNT( GW$9:GW$50 )  - $C155 + 1, 1)) &gt; 0)) / SUM(_xlfn._xlws.FILTER(INDEX( GV$9:GV$50, MAX( COUNT( GW$9:GW$50 )  - $B155 + 1, 1)) : INDEX( GV$9:GV$50, MAX( COUNT( GW$9:GW$50 )  - $C155 + 1, 1)), INDEX( GV$101:GV$142, MAX( COUNT( GW$9:GW$50 )  - $B155 + 1, 1)) : INDEX( GV$101:GV$142, MAX( COUNT( GW$9:GW$50 )  - $C155 + 1, 1)) &gt; 0)) )</f>
        <v>0.99999023673680731</v>
      </c>
      <c r="GW155" s="8">
        <f>+IF(GW$8 = 125, 1, SUM(_xlfn._xlws.FILTER(INDEX( GX$9:GX$50, MAX( COUNT( GX$9:GX$50 )  - $B155 + 1, 1)) : INDEX( GX$9:GX$50, MAX( COUNT( GX$9:GX$50 )  - $C155 + 1, 1)), INDEX( GW$101:GW$142, MAX( COUNT( GX$9:GX$50 )  - $B155 + 1, 1)) : INDEX( GW$101:GW$142, MAX( COUNT( GX$9:GX$50 )  - $C155 + 1, 1)) &gt; 0)) / SUM(_xlfn._xlws.FILTER(INDEX( GW$9:GW$50, MAX( COUNT( GX$9:GX$50 )  - $B155 + 1, 1)) : INDEX( GW$9:GW$50, MAX( COUNT( GX$9:GX$50 )  - $C155 + 1, 1)), INDEX( GW$101:GW$142, MAX( COUNT( GX$9:GX$50 )  - $B155 + 1, 1)) : INDEX( GW$101:GW$142, MAX( COUNT( GX$9:GX$50 )  - $C155 + 1, 1)) &gt; 0)) )</f>
        <v>1.0011705159120736</v>
      </c>
      <c r="GX155" s="8">
        <f>+IF(GX$8 = 125, 1, SUM(_xlfn._xlws.FILTER(INDEX( GY$9:GY$50, MAX( COUNT( GY$9:GY$50 )  - $B155 + 1, 1)) : INDEX( GY$9:GY$50, MAX( COUNT( GY$9:GY$50 )  - $C155 + 1, 1)), INDEX( GX$101:GX$142, MAX( COUNT( GY$9:GY$50 )  - $B155 + 1, 1)) : INDEX( GX$101:GX$142, MAX( COUNT( GY$9:GY$50 )  - $C155 + 1, 1)) &gt; 0)) / SUM(_xlfn._xlws.FILTER(INDEX( GX$9:GX$50, MAX( COUNT( GY$9:GY$50 )  - $B155 + 1, 1)) : INDEX( GX$9:GX$50, MAX( COUNT( GY$9:GY$50 )  - $C155 + 1, 1)), INDEX( GX$101:GX$142, MAX( COUNT( GY$9:GY$50 )  - $B155 + 1, 1)) : INDEX( GX$101:GX$142, MAX( COUNT( GY$9:GY$50 )  - $C155 + 1, 1)) &gt; 0)) )</f>
        <v>1.0001706957725718</v>
      </c>
      <c r="GY155" s="8">
        <f>+IF(GY$8 = 125, 1, SUM(_xlfn._xlws.FILTER(INDEX( GZ$9:GZ$50, MAX( COUNT( GZ$9:GZ$50 )  - $B155 + 1, 1)) : INDEX( GZ$9:GZ$50, MAX( COUNT( GZ$9:GZ$50 )  - $C155 + 1, 1)), INDEX( GY$101:GY$142, MAX( COUNT( GZ$9:GZ$50 )  - $B155 + 1, 1)) : INDEX( GY$101:GY$142, MAX( COUNT( GZ$9:GZ$50 )  - $C155 + 1, 1)) &gt; 0)) / SUM(_xlfn._xlws.FILTER(INDEX( GY$9:GY$50, MAX( COUNT( GZ$9:GZ$50 )  - $B155 + 1, 1)) : INDEX( GY$9:GY$50, MAX( COUNT( GZ$9:GZ$50 )  - $C155 + 1, 1)), INDEX( GY$101:GY$142, MAX( COUNT( GZ$9:GZ$50 )  - $B155 + 1, 1)) : INDEX( GY$101:GY$142, MAX( COUNT( GZ$9:GZ$50 )  - $C155 + 1, 1)) &gt; 0)) )</f>
        <v>1.0000294250435064</v>
      </c>
      <c r="GZ155" s="8">
        <f>+IF(GZ$8 = 125, 1, SUM(_xlfn._xlws.FILTER(INDEX( HA$9:HA$50, MAX( COUNT( HA$9:HA$50 )  - $B155 + 1, 1)) : INDEX( HA$9:HA$50, MAX( COUNT( HA$9:HA$50 )  - $C155 + 1, 1)), INDEX( GZ$101:GZ$142, MAX( COUNT( HA$9:HA$50 )  - $B155 + 1, 1)) : INDEX( GZ$101:GZ$142, MAX( COUNT( HA$9:HA$50 )  - $C155 + 1, 1)) &gt; 0)) / SUM(_xlfn._xlws.FILTER(INDEX( GZ$9:GZ$50, MAX( COUNT( HA$9:HA$50 )  - $B155 + 1, 1)) : INDEX( GZ$9:GZ$50, MAX( COUNT( HA$9:HA$50 )  - $C155 + 1, 1)), INDEX( GZ$101:GZ$142, MAX( COUNT( HA$9:HA$50 )  - $B155 + 1, 1)) : INDEX( GZ$101:GZ$142, MAX( COUNT( HA$9:HA$50 )  - $C155 + 1, 1)) &gt; 0)) )</f>
        <v>1.0005186473576855</v>
      </c>
      <c r="HA155" s="8">
        <f>+IF(HA$8 = 125, 1, SUM(_xlfn._xlws.FILTER(INDEX( HB$9:HB$50, MAX( COUNT( HB$9:HB$50 )  - $B155 + 1, 1)) : INDEX( HB$9:HB$50, MAX( COUNT( HB$9:HB$50 )  - $C155 + 1, 1)), INDEX( HA$101:HA$142, MAX( COUNT( HB$9:HB$50 )  - $B155 + 1, 1)) : INDEX( HA$101:HA$142, MAX( COUNT( HB$9:HB$50 )  - $C155 + 1, 1)) &gt; 0)) / SUM(_xlfn._xlws.FILTER(INDEX( HA$9:HA$50, MAX( COUNT( HB$9:HB$50 )  - $B155 + 1, 1)) : INDEX( HA$9:HA$50, MAX( COUNT( HB$9:HB$50 )  - $C155 + 1, 1)), INDEX( HA$101:HA$142, MAX( COUNT( HB$9:HB$50 )  - $B155 + 1, 1)) : INDEX( HA$101:HA$142, MAX( COUNT( HB$9:HB$50 )  - $C155 + 1, 1)) &gt; 0)) )</f>
        <v>1.0007526534097739</v>
      </c>
      <c r="HB155" s="8">
        <f>+IF(HB$8 = 125, 1, SUM(_xlfn._xlws.FILTER(INDEX( HC$9:HC$50, MAX( COUNT( HC$9:HC$50 )  - $B155 + 1, 1)) : INDEX( HC$9:HC$50, MAX( COUNT( HC$9:HC$50 )  - $C155 + 1, 1)), INDEX( HB$101:HB$142, MAX( COUNT( HC$9:HC$50 )  - $B155 + 1, 1)) : INDEX( HB$101:HB$142, MAX( COUNT( HC$9:HC$50 )  - $C155 + 1, 1)) &gt; 0)) / SUM(_xlfn._xlws.FILTER(INDEX( HB$9:HB$50, MAX( COUNT( HC$9:HC$50 )  - $B155 + 1, 1)) : INDEX( HB$9:HB$50, MAX( COUNT( HC$9:HC$50 )  - $C155 + 1, 1)), INDEX( HB$101:HB$142, MAX( COUNT( HC$9:HC$50 )  - $B155 + 1, 1)) : INDEX( HB$101:HB$142, MAX( COUNT( HC$9:HC$50 )  - $C155 + 1, 1)) &gt; 0)) )</f>
        <v>0.99865535564917074</v>
      </c>
      <c r="HC155" s="8">
        <f>+IF(HC$8 = 125, 1, SUM(_xlfn._xlws.FILTER(INDEX( HD$9:HD$50, MAX( COUNT( HD$9:HD$50 )  - $B155 + 1, 1)) : INDEX( HD$9:HD$50, MAX( COUNT( HD$9:HD$50 )  - $C155 + 1, 1)), INDEX( HC$101:HC$142, MAX( COUNT( HD$9:HD$50 )  - $B155 + 1, 1)) : INDEX( HC$101:HC$142, MAX( COUNT( HD$9:HD$50 )  - $C155 + 1, 1)) &gt; 0)) / SUM(_xlfn._xlws.FILTER(INDEX( HC$9:HC$50, MAX( COUNT( HD$9:HD$50 )  - $B155 + 1, 1)) : INDEX( HC$9:HC$50, MAX( COUNT( HD$9:HD$50 )  - $C155 + 1, 1)), INDEX( HC$101:HC$142, MAX( COUNT( HD$9:HD$50 )  - $B155 + 1, 1)) : INDEX( HC$101:HC$142, MAX( COUNT( HD$9:HD$50 )  - $C155 + 1, 1)) &gt; 0)) )</f>
        <v>1.0004433993959656</v>
      </c>
      <c r="HD155" s="8">
        <f>+IF(HD$8 = 125, 1, SUM(_xlfn._xlws.FILTER(INDEX( HE$9:HE$50, MAX( COUNT( HE$9:HE$50 )  - $B155 + 1, 1)) : INDEX( HE$9:HE$50, MAX( COUNT( HE$9:HE$50 )  - $C155 + 1, 1)), INDEX( HD$101:HD$142, MAX( COUNT( HE$9:HE$50 )  - $B155 + 1, 1)) : INDEX( HD$101:HD$142, MAX( COUNT( HE$9:HE$50 )  - $C155 + 1, 1)) &gt; 0)) / SUM(_xlfn._xlws.FILTER(INDEX( HD$9:HD$50, MAX( COUNT( HE$9:HE$50 )  - $B155 + 1, 1)) : INDEX( HD$9:HD$50, MAX( COUNT( HE$9:HE$50 )  - $C155 + 1, 1)), INDEX( HD$101:HD$142, MAX( COUNT( HE$9:HE$50 )  - $B155 + 1, 1)) : INDEX( HD$101:HD$142, MAX( COUNT( HE$9:HE$50 )  - $C155 + 1, 1)) &gt; 0)) )</f>
        <v>1.0000540233725053</v>
      </c>
      <c r="HE155" s="8">
        <f>+IF(HE$8 = 125, 1, SUM(_xlfn._xlws.FILTER(INDEX( HF$9:HF$50, MAX( COUNT( HF$9:HF$50 )  - $B155 + 1, 1)) : INDEX( HF$9:HF$50, MAX( COUNT( HF$9:HF$50 )  - $C155 + 1, 1)), INDEX( HE$101:HE$142, MAX( COUNT( HF$9:HF$50 )  - $B155 + 1, 1)) : INDEX( HE$101:HE$142, MAX( COUNT( HF$9:HF$50 )  - $C155 + 1, 1)) &gt; 0)) / SUM(_xlfn._xlws.FILTER(INDEX( HE$9:HE$50, MAX( COUNT( HF$9:HF$50 )  - $B155 + 1, 1)) : INDEX( HE$9:HE$50, MAX( COUNT( HF$9:HF$50 )  - $C155 + 1, 1)), INDEX( HE$101:HE$142, MAX( COUNT( HF$9:HF$50 )  - $B155 + 1, 1)) : INDEX( HE$101:HE$142, MAX( COUNT( HF$9:HF$50 )  - $C155 + 1, 1)) &gt; 0)) )</f>
        <v>1.0003312330667222</v>
      </c>
      <c r="HF155" s="8">
        <f>+IF(HF$8 = 125, 1, SUM(_xlfn._xlws.FILTER(INDEX( HG$9:HG$50, MAX( COUNT( HG$9:HG$50 )  - $B155 + 1, 1)) : INDEX( HG$9:HG$50, MAX( COUNT( HG$9:HG$50 )  - $C155 + 1, 1)), INDEX( HF$101:HF$142, MAX( COUNT( HG$9:HG$50 )  - $B155 + 1, 1)) : INDEX( HF$101:HF$142, MAX( COUNT( HG$9:HG$50 )  - $C155 + 1, 1)) &gt; 0)) / SUM(_xlfn._xlws.FILTER(INDEX( HF$9:HF$50, MAX( COUNT( HG$9:HG$50 )  - $B155 + 1, 1)) : INDEX( HF$9:HF$50, MAX( COUNT( HG$9:HG$50 )  - $C155 + 1, 1)), INDEX( HF$101:HF$142, MAX( COUNT( HG$9:HG$50 )  - $B155 + 1, 1)) : INDEX( HF$101:HF$142, MAX( COUNT( HG$9:HG$50 )  - $C155 + 1, 1)) &gt; 0)) )</f>
        <v>1.0071781200861498</v>
      </c>
      <c r="HG155" s="8">
        <f>+IF(HG$8 = 125, 1, SUM(_xlfn._xlws.FILTER(INDEX( HH$9:HH$50, MAX( COUNT( HH$9:HH$50 )  - $B155 + 1, 1)) : INDEX( HH$9:HH$50, MAX( COUNT( HH$9:HH$50 )  - $C155 + 1, 1)), INDEX( HG$101:HG$142, MAX( COUNT( HH$9:HH$50 )  - $B155 + 1, 1)) : INDEX( HG$101:HG$142, MAX( COUNT( HH$9:HH$50 )  - $C155 + 1, 1)) &gt; 0)) / SUM(_xlfn._xlws.FILTER(INDEX( HG$9:HG$50, MAX( COUNT( HH$9:HH$50 )  - $B155 + 1, 1)) : INDEX( HG$9:HG$50, MAX( COUNT( HH$9:HH$50 )  - $C155 + 1, 1)), INDEX( HG$101:HG$142, MAX( COUNT( HH$9:HH$50 )  - $B155 + 1, 1)) : INDEX( HG$101:HG$142, MAX( COUNT( HH$9:HH$50 )  - $C155 + 1, 1)) &gt; 0)) )</f>
        <v>1.0005195101443682</v>
      </c>
      <c r="HH155" s="8">
        <f>+IF(HH$8 = 125, 1, SUM(_xlfn._xlws.FILTER(INDEX( HI$9:HI$50, MAX( COUNT( HI$9:HI$50 )  - $B155 + 1, 1)) : INDEX( HI$9:HI$50, MAX( COUNT( HI$9:HI$50 )  - $C155 + 1, 1)), INDEX( HH$101:HH$142, MAX( COUNT( HI$9:HI$50 )  - $B155 + 1, 1)) : INDEX( HH$101:HH$142, MAX( COUNT( HI$9:HI$50 )  - $C155 + 1, 1)) &gt; 0)) / SUM(_xlfn._xlws.FILTER(INDEX( HH$9:HH$50, MAX( COUNT( HI$9:HI$50 )  - $B155 + 1, 1)) : INDEX( HH$9:HH$50, MAX( COUNT( HI$9:HI$50 )  - $C155 + 1, 1)), INDEX( HH$101:HH$142, MAX( COUNT( HI$9:HI$50 )  - $B155 + 1, 1)) : INDEX( HH$101:HH$142, MAX( COUNT( HI$9:HI$50 )  - $C155 + 1, 1)) &gt; 0)) )</f>
        <v>1.0008812433369265</v>
      </c>
      <c r="HI155" s="8">
        <f>+IF(HI$8 = 125, 1, SUM(_xlfn._xlws.FILTER(INDEX( HJ$9:HJ$50, MAX( COUNT( HJ$9:HJ$50 )  - $B155 + 1, 1)) : INDEX( HJ$9:HJ$50, MAX( COUNT( HJ$9:HJ$50 )  - $C155 + 1, 1)), INDEX( HI$101:HI$142, MAX( COUNT( HJ$9:HJ$50 )  - $B155 + 1, 1)) : INDEX( HI$101:HI$142, MAX( COUNT( HJ$9:HJ$50 )  - $C155 + 1, 1)) &gt; 0)) / SUM(_xlfn._xlws.FILTER(INDEX( HI$9:HI$50, MAX( COUNT( HJ$9:HJ$50 )  - $B155 + 1, 1)) : INDEX( HI$9:HI$50, MAX( COUNT( HJ$9:HJ$50 )  - $C155 + 1, 1)), INDEX( HI$101:HI$142, MAX( COUNT( HJ$9:HJ$50 )  - $B155 + 1, 1)) : INDEX( HI$101:HI$142, MAX( COUNT( HJ$9:HJ$50 )  - $C155 + 1, 1)) &gt; 0)) )</f>
        <v>1.014305482941374</v>
      </c>
      <c r="HJ155" s="8">
        <f>+IF(HJ$8 = 125, 1, SUM(_xlfn._xlws.FILTER(INDEX( HK$9:HK$50, MAX( COUNT( HK$9:HK$50 )  - $B155 + 1, 1)) : INDEX( HK$9:HK$50, MAX( COUNT( HK$9:HK$50 )  - $C155 + 1, 1)), INDEX( HJ$101:HJ$142, MAX( COUNT( HK$9:HK$50 )  - $B155 + 1, 1)) : INDEX( HJ$101:HJ$142, MAX( COUNT( HK$9:HK$50 )  - $C155 + 1, 1)) &gt; 0)) / SUM(_xlfn._xlws.FILTER(INDEX( HJ$9:HJ$50, MAX( COUNT( HK$9:HK$50 )  - $B155 + 1, 1)) : INDEX( HJ$9:HJ$50, MAX( COUNT( HK$9:HK$50 )  - $C155 + 1, 1)), INDEX( HJ$101:HJ$142, MAX( COUNT( HK$9:HK$50 )  - $B155 + 1, 1)) : INDEX( HJ$101:HJ$142, MAX( COUNT( HK$9:HK$50 )  - $C155 + 1, 1)) &gt; 0)) )</f>
        <v>1.0014097443614167</v>
      </c>
      <c r="HK155" s="8">
        <f>+IF(HK$8 = 125, 1, SUM(_xlfn._xlws.FILTER(INDEX( HL$9:HL$50, MAX( COUNT( HL$9:HL$50 )  - $B155 + 1, 1)) : INDEX( HL$9:HL$50, MAX( COUNT( HL$9:HL$50 )  - $C155 + 1, 1)), INDEX( HK$101:HK$142, MAX( COUNT( HL$9:HL$50 )  - $B155 + 1, 1)) : INDEX( HK$101:HK$142, MAX( COUNT( HL$9:HL$50 )  - $C155 + 1, 1)) &gt; 0)) / SUM(_xlfn._xlws.FILTER(INDEX( HK$9:HK$50, MAX( COUNT( HL$9:HL$50 )  - $B155 + 1, 1)) : INDEX( HK$9:HK$50, MAX( COUNT( HL$9:HL$50 )  - $C155 + 1, 1)), INDEX( HK$101:HK$142, MAX( COUNT( HL$9:HL$50 )  - $B155 + 1, 1)) : INDEX( HK$101:HK$142, MAX( COUNT( HL$9:HL$50 )  - $C155 + 1, 1)) &gt; 0)) )</f>
        <v>1</v>
      </c>
      <c r="HL155" s="8">
        <f>+IF(HL$8 = 125, 1, SUM(_xlfn._xlws.FILTER(INDEX( HM$9:HM$50, MAX( COUNT( HM$9:HM$50 )  - $B155 + 1, 1)) : INDEX( HM$9:HM$50, MAX( COUNT( HM$9:HM$50 )  - $C155 + 1, 1)), INDEX( HL$101:HL$142, MAX( COUNT( HM$9:HM$50 )  - $B155 + 1, 1)) : INDEX( HL$101:HL$142, MAX( COUNT( HM$9:HM$50 )  - $C155 + 1, 1)) &gt; 0)) / SUM(_xlfn._xlws.FILTER(INDEX( HL$9:HL$50, MAX( COUNT( HM$9:HM$50 )  - $B155 + 1, 1)) : INDEX( HL$9:HL$50, MAX( COUNT( HM$9:HM$50 )  - $C155 + 1, 1)), INDEX( HL$101:HL$142, MAX( COUNT( HM$9:HM$50 )  - $B155 + 1, 1)) : INDEX( HL$101:HL$142, MAX( COUNT( HM$9:HM$50 )  - $C155 + 1, 1)) &gt; 0)) )</f>
        <v>1.0001520610485173</v>
      </c>
      <c r="HM155" s="8">
        <f>+IF(HM$8 = 125, 1, SUM(_xlfn._xlws.FILTER(INDEX( HN$9:HN$50, MAX( COUNT( HN$9:HN$50 )  - $B155 + 1, 1)) : INDEX( HN$9:HN$50, MAX( COUNT( HN$9:HN$50 )  - $C155 + 1, 1)), INDEX( HM$101:HM$142, MAX( COUNT( HN$9:HN$50 )  - $B155 + 1, 1)) : INDEX( HM$101:HM$142, MAX( COUNT( HN$9:HN$50 )  - $C155 + 1, 1)) &gt; 0)) / SUM(_xlfn._xlws.FILTER(INDEX( HM$9:HM$50, MAX( COUNT( HN$9:HN$50 )  - $B155 + 1, 1)) : INDEX( HM$9:HM$50, MAX( COUNT( HN$9:HN$50 )  - $C155 + 1, 1)), INDEX( HM$101:HM$142, MAX( COUNT( HN$9:HN$50 )  - $B155 + 1, 1)) : INDEX( HM$101:HM$142, MAX( COUNT( HN$9:HN$50 )  - $C155 + 1, 1)) &gt; 0)) )</f>
        <v>1.0008274146863971</v>
      </c>
      <c r="HN155" s="8">
        <f>+IF(HN$8 = 125, 1, SUM(_xlfn._xlws.FILTER(INDEX( HO$9:HO$50, MAX( COUNT( HO$9:HO$50 )  - $B155 + 1, 1)) : INDEX( HO$9:HO$50, MAX( COUNT( HO$9:HO$50 )  - $C155 + 1, 1)), INDEX( HN$101:HN$142, MAX( COUNT( HO$9:HO$50 )  - $B155 + 1, 1)) : INDEX( HN$101:HN$142, MAX( COUNT( HO$9:HO$50 )  - $C155 + 1, 1)) &gt; 0)) / SUM(_xlfn._xlws.FILTER(INDEX( HN$9:HN$50, MAX( COUNT( HO$9:HO$50 )  - $B155 + 1, 1)) : INDEX( HN$9:HN$50, MAX( COUNT( HO$9:HO$50 )  - $C155 + 1, 1)), INDEX( HN$101:HN$142, MAX( COUNT( HO$9:HO$50 )  - $B155 + 1, 1)) : INDEX( HN$101:HN$142, MAX( COUNT( HO$9:HO$50 )  - $C155 + 1, 1)) &gt; 0)) )</f>
        <v>1.0006105263834963</v>
      </c>
      <c r="HO155" s="8">
        <f>+IF(HO$8 = 125, 1, SUM(_xlfn._xlws.FILTER(INDEX( HP$9:HP$50, MAX( COUNT( HP$9:HP$50 )  - $B155 + 1, 1)) : INDEX( HP$9:HP$50, MAX( COUNT( HP$9:HP$50 )  - $C155 + 1, 1)), INDEX( HO$101:HO$142, MAX( COUNT( HP$9:HP$50 )  - $B155 + 1, 1)) : INDEX( HO$101:HO$142, MAX( COUNT( HP$9:HP$50 )  - $C155 + 1, 1)) &gt; 0)) / SUM(_xlfn._xlws.FILTER(INDEX( HO$9:HO$50, MAX( COUNT( HP$9:HP$50 )  - $B155 + 1, 1)) : INDEX( HO$9:HO$50, MAX( COUNT( HP$9:HP$50 )  - $C155 + 1, 1)), INDEX( HO$101:HO$142, MAX( COUNT( HP$9:HP$50 )  - $B155 + 1, 1)) : INDEX( HO$101:HO$142, MAX( COUNT( HP$9:HP$50 )  - $C155 + 1, 1)) &gt; 0)) )</f>
        <v>1.0000494829092899</v>
      </c>
      <c r="HP155" s="8">
        <f>+IF(HP$8 = 125, 1, SUM(_xlfn._xlws.FILTER(INDEX( HQ$9:HQ$50, MAX( COUNT( HQ$9:HQ$50 )  - $B155 + 1, 1)) : INDEX( HQ$9:HQ$50, MAX( COUNT( HQ$9:HQ$50 )  - $C155 + 1, 1)), INDEX( HP$101:HP$142, MAX( COUNT( HQ$9:HQ$50 )  - $B155 + 1, 1)) : INDEX( HP$101:HP$142, MAX( COUNT( HQ$9:HQ$50 )  - $C155 + 1, 1)) &gt; 0)) / SUM(_xlfn._xlws.FILTER(INDEX( HP$9:HP$50, MAX( COUNT( HQ$9:HQ$50 )  - $B155 + 1, 1)) : INDEX( HP$9:HP$50, MAX( COUNT( HQ$9:HQ$50 )  - $C155 + 1, 1)), INDEX( HP$101:HP$142, MAX( COUNT( HQ$9:HQ$50 )  - $B155 + 1, 1)) : INDEX( HP$101:HP$142, MAX( COUNT( HQ$9:HQ$50 )  - $C155 + 1, 1)) &gt; 0)) )</f>
        <v>1.0000093220471451</v>
      </c>
      <c r="HQ155" s="8">
        <f>+IF(HQ$8 = 125, 1, SUM(_xlfn._xlws.FILTER(INDEX( HR$9:HR$50, MAX( COUNT( HR$9:HR$50 )  - $B155 + 1, 1)) : INDEX( HR$9:HR$50, MAX( COUNT( HR$9:HR$50 )  - $C155 + 1, 1)), INDEX( HQ$101:HQ$142, MAX( COUNT( HR$9:HR$50 )  - $B155 + 1, 1)) : INDEX( HQ$101:HQ$142, MAX( COUNT( HR$9:HR$50 )  - $C155 + 1, 1)) &gt; 0)) / SUM(_xlfn._xlws.FILTER(INDEX( HQ$9:HQ$50, MAX( COUNT( HR$9:HR$50 )  - $B155 + 1, 1)) : INDEX( HQ$9:HQ$50, MAX( COUNT( HR$9:HR$50 )  - $C155 + 1, 1)), INDEX( HQ$101:HQ$142, MAX( COUNT( HR$9:HR$50 )  - $B155 + 1, 1)) : INDEX( HQ$101:HQ$142, MAX( COUNT( HR$9:HR$50 )  - $C155 + 1, 1)) &gt; 0)) )</f>
        <v>1.0001365137603588</v>
      </c>
      <c r="HR155" s="8">
        <f>+IF(HR$8 = 125, 1, SUM(_xlfn._xlws.FILTER(INDEX( HS$9:HS$50, MAX( COUNT( HS$9:HS$50 )  - $B155 + 1, 1)) : INDEX( HS$9:HS$50, MAX( COUNT( HS$9:HS$50 )  - $C155 + 1, 1)), INDEX( HR$101:HR$142, MAX( COUNT( HS$9:HS$50 )  - $B155 + 1, 1)) : INDEX( HR$101:HR$142, MAX( COUNT( HS$9:HS$50 )  - $C155 + 1, 1)) &gt; 0)) / SUM(_xlfn._xlws.FILTER(INDEX( HR$9:HR$50, MAX( COUNT( HS$9:HS$50 )  - $B155 + 1, 1)) : INDEX( HR$9:HR$50, MAX( COUNT( HS$9:HS$50 )  - $C155 + 1, 1)), INDEX( HR$101:HR$142, MAX( COUNT( HS$9:HS$50 )  - $B155 + 1, 1)) : INDEX( HR$101:HR$142, MAX( COUNT( HS$9:HS$50 )  - $C155 + 1, 1)) &gt; 0)) )</f>
        <v>1.0003077736414017</v>
      </c>
      <c r="HS155" s="8">
        <f>+IF(HS$8 = 125, 1, SUM(_xlfn._xlws.FILTER(INDEX( HT$9:HT$50, MAX( COUNT( HT$9:HT$50 )  - $B155 + 1, 1)) : INDEX( HT$9:HT$50, MAX( COUNT( HT$9:HT$50 )  - $C155 + 1, 1)), INDEX( HS$101:HS$142, MAX( COUNT( HT$9:HT$50 )  - $B155 + 1, 1)) : INDEX( HS$101:HS$142, MAX( COUNT( HT$9:HT$50 )  - $C155 + 1, 1)) &gt; 0)) / SUM(_xlfn._xlws.FILTER(INDEX( HS$9:HS$50, MAX( COUNT( HT$9:HT$50 )  - $B155 + 1, 1)) : INDEX( HS$9:HS$50, MAX( COUNT( HT$9:HT$50 )  - $C155 + 1, 1)), INDEX( HS$101:HS$142, MAX( COUNT( HT$9:HT$50 )  - $B155 + 1, 1)) : INDEX( HS$101:HS$142, MAX( COUNT( HT$9:HT$50 )  - $C155 + 1, 1)) &gt; 0)) )</f>
        <v>1.0008512736360293</v>
      </c>
      <c r="HT155" s="8">
        <f>+IF(HT$8 = 125, 1, SUM(_xlfn._xlws.FILTER(INDEX( HU$9:HU$50, MAX( COUNT( HU$9:HU$50 )  - $B155 + 1, 1)) : INDEX( HU$9:HU$50, MAX( COUNT( HU$9:HU$50 )  - $C155 + 1, 1)), INDEX( HT$101:HT$142, MAX( COUNT( HU$9:HU$50 )  - $B155 + 1, 1)) : INDEX( HT$101:HT$142, MAX( COUNT( HU$9:HU$50 )  - $C155 + 1, 1)) &gt; 0)) / SUM(_xlfn._xlws.FILTER(INDEX( HT$9:HT$50, MAX( COUNT( HU$9:HU$50 )  - $B155 + 1, 1)) : INDEX( HT$9:HT$50, MAX( COUNT( HU$9:HU$50 )  - $C155 + 1, 1)), INDEX( HT$101:HT$142, MAX( COUNT( HU$9:HU$50 )  - $B155 + 1, 1)) : INDEX( HT$101:HT$142, MAX( COUNT( HU$9:HU$50 )  - $C155 + 1, 1)) &gt; 0)) )</f>
        <v>1.0009180008291094</v>
      </c>
      <c r="HU155" s="8">
        <f>+IF(HU$8 = 125, 1, SUM(_xlfn._xlws.FILTER(INDEX( HV$9:HV$50, MAX( COUNT( HV$9:HV$50 )  - $B155 + 1, 1)) : INDEX( HV$9:HV$50, MAX( COUNT( HV$9:HV$50 )  - $C155 + 1, 1)), INDEX( HU$101:HU$142, MAX( COUNT( HV$9:HV$50 )  - $B155 + 1, 1)) : INDEX( HU$101:HU$142, MAX( COUNT( HV$9:HV$50 )  - $C155 + 1, 1)) &gt; 0)) / SUM(_xlfn._xlws.FILTER(INDEX( HU$9:HU$50, MAX( COUNT( HV$9:HV$50 )  - $B155 + 1, 1)) : INDEX( HU$9:HU$50, MAX( COUNT( HV$9:HV$50 )  - $C155 + 1, 1)), INDEX( HU$101:HU$142, MAX( COUNT( HV$9:HV$50 )  - $B155 + 1, 1)) : INDEX( HU$101:HU$142, MAX( COUNT( HV$9:HV$50 )  - $C155 + 1, 1)) &gt; 0)) )</f>
        <v>1.0004213067285908</v>
      </c>
      <c r="HV155" s="8">
        <f>+IF(HV$8 = 125, 1, SUM(_xlfn._xlws.FILTER(INDEX( HW$9:HW$50, MAX( COUNT( HW$9:HW$50 )  - $B155 + 1, 1)) : INDEX( HW$9:HW$50, MAX( COUNT( HW$9:HW$50 )  - $C155 + 1, 1)), INDEX( HV$101:HV$142, MAX( COUNT( HW$9:HW$50 )  - $B155 + 1, 1)) : INDEX( HV$101:HV$142, MAX( COUNT( HW$9:HW$50 )  - $C155 + 1, 1)) &gt; 0)) / SUM(_xlfn._xlws.FILTER(INDEX( HV$9:HV$50, MAX( COUNT( HW$9:HW$50 )  - $B155 + 1, 1)) : INDEX( HV$9:HV$50, MAX( COUNT( HW$9:HW$50 )  - $C155 + 1, 1)), INDEX( HV$101:HV$142, MAX( COUNT( HW$9:HW$50 )  - $B155 + 1, 1)) : INDEX( HV$101:HV$142, MAX( COUNT( HW$9:HW$50 )  - $C155 + 1, 1)) &gt; 0)) )</f>
        <v>1.0002634224298292</v>
      </c>
      <c r="HW155" s="8">
        <f>+IF(HW$8 = 125, 1, SUM(_xlfn._xlws.FILTER(INDEX( HX$9:HX$50, MAX( COUNT( HX$9:HX$50 )  - $B155 + 1, 1)) : INDEX( HX$9:HX$50, MAX( COUNT( HX$9:HX$50 )  - $C155 + 1, 1)), INDEX( HW$101:HW$142, MAX( COUNT( HX$9:HX$50 )  - $B155 + 1, 1)) : INDEX( HW$101:HW$142, MAX( COUNT( HX$9:HX$50 )  - $C155 + 1, 1)) &gt; 0)) / SUM(_xlfn._xlws.FILTER(INDEX( HW$9:HW$50, MAX( COUNT( HX$9:HX$50 )  - $B155 + 1, 1)) : INDEX( HW$9:HW$50, MAX( COUNT( HX$9:HX$50 )  - $C155 + 1, 1)), INDEX( HW$101:HW$142, MAX( COUNT( HX$9:HX$50 )  - $B155 + 1, 1)) : INDEX( HW$101:HW$142, MAX( COUNT( HX$9:HX$50 )  - $C155 + 1, 1)) &gt; 0)) )</f>
        <v>1.0000133934138085</v>
      </c>
      <c r="HX155" s="8">
        <f>+IF(HX$8 = 125, 1, SUM(_xlfn._xlws.FILTER(INDEX( HY$9:HY$50, MAX( COUNT( HY$9:HY$50 )  - $B155 + 1, 1)) : INDEX( HY$9:HY$50, MAX( COUNT( HY$9:HY$50 )  - $C155 + 1, 1)), INDEX( HX$101:HX$142, MAX( COUNT( HY$9:HY$50 )  - $B155 + 1, 1)) : INDEX( HX$101:HX$142, MAX( COUNT( HY$9:HY$50 )  - $C155 + 1, 1)) &gt; 0)) / SUM(_xlfn._xlws.FILTER(INDEX( HX$9:HX$50, MAX( COUNT( HY$9:HY$50 )  - $B155 + 1, 1)) : INDEX( HX$9:HX$50, MAX( COUNT( HY$9:HY$50 )  - $C155 + 1, 1)), INDEX( HX$101:HX$142, MAX( COUNT( HY$9:HY$50 )  - $B155 + 1, 1)) : INDEX( HX$101:HX$142, MAX( COUNT( HY$9:HY$50 )  - $C155 + 1, 1)) &gt; 0)) )</f>
        <v>1.0001267711881203</v>
      </c>
      <c r="HY155" s="8">
        <f>+IF(HY$8 = 125, 1, SUM(_xlfn._xlws.FILTER(INDEX( HZ$9:HZ$50, MAX( COUNT( HZ$9:HZ$50 )  - $B155 + 1, 1)) : INDEX( HZ$9:HZ$50, MAX( COUNT( HZ$9:HZ$50 )  - $C155 + 1, 1)), INDEX( HY$101:HY$142, MAX( COUNT( HZ$9:HZ$50 )  - $B155 + 1, 1)) : INDEX( HY$101:HY$142, MAX( COUNT( HZ$9:HZ$50 )  - $C155 + 1, 1)) &gt; 0)) / SUM(_xlfn._xlws.FILTER(INDEX( HY$9:HY$50, MAX( COUNT( HZ$9:HZ$50 )  - $B155 + 1, 1)) : INDEX( HY$9:HY$50, MAX( COUNT( HZ$9:HZ$50 )  - $C155 + 1, 1)), INDEX( HY$101:HY$142, MAX( COUNT( HZ$9:HZ$50 )  - $B155 + 1, 1)) : INDEX( HY$101:HY$142, MAX( COUNT( HZ$9:HZ$50 )  - $C155 + 1, 1)) &gt; 0)) )</f>
        <v>1.0000207098870422</v>
      </c>
      <c r="HZ155" s="8">
        <f>+IF(HZ$8 = 125, 1, SUM(_xlfn._xlws.FILTER(INDEX( IA$9:IA$50, MAX( COUNT( IA$9:IA$50 )  - $B155 + 1, 1)) : INDEX( IA$9:IA$50, MAX( COUNT( IA$9:IA$50 )  - $C155 + 1, 1)), INDEX( HZ$101:HZ$142, MAX( COUNT( IA$9:IA$50 )  - $B155 + 1, 1)) : INDEX( HZ$101:HZ$142, MAX( COUNT( IA$9:IA$50 )  - $C155 + 1, 1)) &gt; 0)) / SUM(_xlfn._xlws.FILTER(INDEX( HZ$9:HZ$50, MAX( COUNT( IA$9:IA$50 )  - $B155 + 1, 1)) : INDEX( HZ$9:HZ$50, MAX( COUNT( IA$9:IA$50 )  - $C155 + 1, 1)), INDEX( HZ$101:HZ$142, MAX( COUNT( IA$9:IA$50 )  - $B155 + 1, 1)) : INDEX( HZ$101:HZ$142, MAX( COUNT( IA$9:IA$50 )  - $C155 + 1, 1)) &gt; 0)) )</f>
        <v>1.0002138471832676</v>
      </c>
      <c r="IA155" s="8">
        <f>+IF(IA$8 = 125, 1, SUM(_xlfn._xlws.FILTER(INDEX( IB$9:IB$50, MAX( COUNT( IB$9:IB$50 )  - $B155 + 1, 1)) : INDEX( IB$9:IB$50, MAX( COUNT( IB$9:IB$50 )  - $C155 + 1, 1)), INDEX( IA$101:IA$142, MAX( COUNT( IB$9:IB$50 )  - $B155 + 1, 1)) : INDEX( IA$101:IA$142, MAX( COUNT( IB$9:IB$50 )  - $C155 + 1, 1)) &gt; 0)) / SUM(_xlfn._xlws.FILTER(INDEX( IA$9:IA$50, MAX( COUNT( IB$9:IB$50 )  - $B155 + 1, 1)) : INDEX( IA$9:IA$50, MAX( COUNT( IB$9:IB$50 )  - $C155 + 1, 1)), INDEX( IA$101:IA$142, MAX( COUNT( IB$9:IB$50 )  - $B155 + 1, 1)) : INDEX( IA$101:IA$142, MAX( COUNT( IB$9:IB$50 )  - $C155 + 1, 1)) &gt; 0)) )</f>
        <v>1.0005532733574507</v>
      </c>
      <c r="IB155" s="8">
        <f>+IF(IB$8 = 125, 1, SUM(_xlfn._xlws.FILTER(INDEX( IC$9:IC$50, MAX( COUNT( IC$9:IC$50 )  - $B155 + 1, 1)) : INDEX( IC$9:IC$50, MAX( COUNT( IC$9:IC$50 )  - $C155 + 1, 1)), INDEX( IB$101:IB$142, MAX( COUNT( IC$9:IC$50 )  - $B155 + 1, 1)) : INDEX( IB$101:IB$142, MAX( COUNT( IC$9:IC$50 )  - $C155 + 1, 1)) &gt; 0)) / SUM(_xlfn._xlws.FILTER(INDEX( IB$9:IB$50, MAX( COUNT( IC$9:IC$50 )  - $B155 + 1, 1)) : INDEX( IB$9:IB$50, MAX( COUNT( IC$9:IC$50 )  - $C155 + 1, 1)), INDEX( IB$101:IB$142, MAX( COUNT( IC$9:IC$50 )  - $B155 + 1, 1)) : INDEX( IB$101:IB$142, MAX( COUNT( IC$9:IC$50 )  - $C155 + 1, 1)) &gt; 0)) )</f>
        <v>1.0006550658947577</v>
      </c>
      <c r="IC155" s="8">
        <f>+IF(IC$8 = 125, 1, SUM(_xlfn._xlws.FILTER(INDEX( ID$9:ID$50, MAX( COUNT( ID$9:ID$50 )  - $B155 + 1, 1)) : INDEX( ID$9:ID$50, MAX( COUNT( ID$9:ID$50 )  - $C155 + 1, 1)), INDEX( IC$101:IC$142, MAX( COUNT( ID$9:ID$50 )  - $B155 + 1, 1)) : INDEX( IC$101:IC$142, MAX( COUNT( ID$9:ID$50 )  - $C155 + 1, 1)) &gt; 0)) / SUM(_xlfn._xlws.FILTER(INDEX( IC$9:IC$50, MAX( COUNT( ID$9:ID$50 )  - $B155 + 1, 1)) : INDEX( IC$9:IC$50, MAX( COUNT( ID$9:ID$50 )  - $C155 + 1, 1)), INDEX( IC$101:IC$142, MAX( COUNT( ID$9:ID$50 )  - $B155 + 1, 1)) : INDEX( IC$101:IC$142, MAX( COUNT( ID$9:ID$50 )  - $C155 + 1, 1)) &gt; 0)) )</f>
        <v>1.0001547598576079</v>
      </c>
      <c r="ID155" s="8">
        <f>+IF(ID$8 = 125, 1, SUM(_xlfn._xlws.FILTER(INDEX( IE$9:IE$50, MAX( COUNT( IE$9:IE$50 )  - $B155 + 1, 1)) : INDEX( IE$9:IE$50, MAX( COUNT( IE$9:IE$50 )  - $C155 + 1, 1)), INDEX( ID$101:ID$142, MAX( COUNT( IE$9:IE$50 )  - $B155 + 1, 1)) : INDEX( ID$101:ID$142, MAX( COUNT( IE$9:IE$50 )  - $C155 + 1, 1)) &gt; 0)) / SUM(_xlfn._xlws.FILTER(INDEX( ID$9:ID$50, MAX( COUNT( IE$9:IE$50 )  - $B155 + 1, 1)) : INDEX( ID$9:ID$50, MAX( COUNT( IE$9:IE$50 )  - $C155 + 1, 1)), INDEX( ID$101:ID$142, MAX( COUNT( IE$9:IE$50 )  - $B155 + 1, 1)) : INDEX( ID$101:ID$142, MAX( COUNT( IE$9:IE$50 )  - $C155 + 1, 1)) &gt; 0)) )</f>
        <v>1.0006875720346715</v>
      </c>
      <c r="IE155" s="8">
        <f>+IF(IE$8 = 125, 1, SUM(_xlfn._xlws.FILTER(INDEX( IF$9:IF$50, MAX( COUNT( IF$9:IF$50 )  - $B155 + 1, 1)) : INDEX( IF$9:IF$50, MAX( COUNT( IF$9:IF$50 )  - $C155 + 1, 1)), INDEX( IE$101:IE$142, MAX( COUNT( IF$9:IF$50 )  - $B155 + 1, 1)) : INDEX( IE$101:IE$142, MAX( COUNT( IF$9:IF$50 )  - $C155 + 1, 1)) &gt; 0)) / SUM(_xlfn._xlws.FILTER(INDEX( IE$9:IE$50, MAX( COUNT( IF$9:IF$50 )  - $B155 + 1, 1)) : INDEX( IE$9:IE$50, MAX( COUNT( IF$9:IF$50 )  - $C155 + 1, 1)), INDEX( IE$101:IE$142, MAX( COUNT( IF$9:IF$50 )  - $B155 + 1, 1)) : INDEX( IE$101:IE$142, MAX( COUNT( IF$9:IF$50 )  - $C155 + 1, 1)) &gt; 0)) )</f>
        <v>1.0003799786849112</v>
      </c>
      <c r="IF155" s="8">
        <f>+IF(IF$8 = 125, 1, SUM(_xlfn._xlws.FILTER(INDEX( IG$9:IG$50, MAX( COUNT( IG$9:IG$50 )  - $B155 + 1, 1)) : INDEX( IG$9:IG$50, MAX( COUNT( IG$9:IG$50 )  - $C155 + 1, 1)), INDEX( IF$101:IF$142, MAX( COUNT( IG$9:IG$50 )  - $B155 + 1, 1)) : INDEX( IF$101:IF$142, MAX( COUNT( IG$9:IG$50 )  - $C155 + 1, 1)) &gt; 0)) / SUM(_xlfn._xlws.FILTER(INDEX( IF$9:IF$50, MAX( COUNT( IG$9:IG$50 )  - $B155 + 1, 1)) : INDEX( IF$9:IF$50, MAX( COUNT( IG$9:IG$50 )  - $C155 + 1, 1)), INDEX( IF$101:IF$142, MAX( COUNT( IG$9:IG$50 )  - $B155 + 1, 1)) : INDEX( IF$101:IF$142, MAX( COUNT( IG$9:IG$50 )  - $C155 + 1, 1)) &gt; 0)) )</f>
        <v>1.0007912795953435</v>
      </c>
      <c r="IG155" s="8">
        <f>+IF(IG$8 = 125, 1, SUM(_xlfn._xlws.FILTER(INDEX( IH$9:IH$50, MAX( COUNT( IH$9:IH$50 )  - $B155 + 1, 1)) : INDEX( IH$9:IH$50, MAX( COUNT( IH$9:IH$50 )  - $C155 + 1, 1)), INDEX( IG$101:IG$142, MAX( COUNT( IH$9:IH$50 )  - $B155 + 1, 1)) : INDEX( IG$101:IG$142, MAX( COUNT( IH$9:IH$50 )  - $C155 + 1, 1)) &gt; 0)) / SUM(_xlfn._xlws.FILTER(INDEX( IG$9:IG$50, MAX( COUNT( IH$9:IH$50 )  - $B155 + 1, 1)) : INDEX( IG$9:IG$50, MAX( COUNT( IH$9:IH$50 )  - $C155 + 1, 1)), INDEX( IG$101:IG$142, MAX( COUNT( IH$9:IH$50 )  - $B155 + 1, 1)) : INDEX( IG$101:IG$142, MAX( COUNT( IH$9:IH$50 )  - $C155 + 1, 1)) &gt; 0)) )</f>
        <v>1.0004069381878891</v>
      </c>
      <c r="IH155" s="8">
        <f>+IF(IH$8 = 125, 1, SUM(_xlfn._xlws.FILTER(INDEX( II$9:II$50, MAX( COUNT( II$9:II$50 )  - $B155 + 1, 1)) : INDEX( II$9:II$50, MAX( COUNT( II$9:II$50 )  - $C155 + 1, 1)), INDEX( IH$101:IH$142, MAX( COUNT( II$9:II$50 )  - $B155 + 1, 1)) : INDEX( IH$101:IH$142, MAX( COUNT( II$9:II$50 )  - $C155 + 1, 1)) &gt; 0)) / SUM(_xlfn._xlws.FILTER(INDEX( IH$9:IH$50, MAX( COUNT( II$9:II$50 )  - $B155 + 1, 1)) : INDEX( IH$9:IH$50, MAX( COUNT( II$9:II$50 )  - $C155 + 1, 1)), INDEX( IH$101:IH$142, MAX( COUNT( II$9:II$50 )  - $B155 + 1, 1)) : INDEX( IH$101:IH$142, MAX( COUNT( II$9:II$50 )  - $C155 + 1, 1)) &gt; 0)) )</f>
        <v>1</v>
      </c>
      <c r="II155" s="8">
        <f>+IF(II$8 = 125, 1, SUM(_xlfn._xlws.FILTER(INDEX( IJ$9:IJ$50, MAX( COUNT( IJ$9:IJ$50 )  - $B155 + 1, 1)) : INDEX( IJ$9:IJ$50, MAX( COUNT( IJ$9:IJ$50 )  - $C155 + 1, 1)), INDEX( II$101:II$142, MAX( COUNT( IJ$9:IJ$50 )  - $B155 + 1, 1)) : INDEX( II$101:II$142, MAX( COUNT( IJ$9:IJ$50 )  - $C155 + 1, 1)) &gt; 0)) / SUM(_xlfn._xlws.FILTER(INDEX( II$9:II$50, MAX( COUNT( IJ$9:IJ$50 )  - $B155 + 1, 1)) : INDEX( II$9:II$50, MAX( COUNT( IJ$9:IJ$50 )  - $C155 + 1, 1)), INDEX( II$101:II$142, MAX( COUNT( IJ$9:IJ$50 )  - $B155 + 1, 1)) : INDEX( II$101:II$142, MAX( COUNT( IJ$9:IJ$50 )  - $C155 + 1, 1)) &gt; 0)) )</f>
        <v>1.0003705999634322</v>
      </c>
      <c r="IJ155" s="8">
        <f>+IF(IJ$8 = 125, 1, SUM(_xlfn._xlws.FILTER(INDEX( IK$9:IK$50, MAX( COUNT( IK$9:IK$50 )  - $B155 + 1, 1)) : INDEX( IK$9:IK$50, MAX( COUNT( IK$9:IK$50 )  - $C155 + 1, 1)), INDEX( IJ$101:IJ$142, MAX( COUNT( IK$9:IK$50 )  - $B155 + 1, 1)) : INDEX( IJ$101:IJ$142, MAX( COUNT( IK$9:IK$50 )  - $C155 + 1, 1)) &gt; 0)) / SUM(_xlfn._xlws.FILTER(INDEX( IJ$9:IJ$50, MAX( COUNT( IK$9:IK$50 )  - $B155 + 1, 1)) : INDEX( IJ$9:IJ$50, MAX( COUNT( IK$9:IK$50 )  - $C155 + 1, 1)), INDEX( IJ$101:IJ$142, MAX( COUNT( IK$9:IK$50 )  - $B155 + 1, 1)) : INDEX( IJ$101:IJ$142, MAX( COUNT( IK$9:IK$50 )  - $C155 + 1, 1)) &gt; 0)) )</f>
        <v>1.0026133727292312</v>
      </c>
      <c r="IK155" s="8">
        <f>+IF(IK$8 = 125, 1, SUM(_xlfn._xlws.FILTER(INDEX( IL$9:IL$50, MAX( COUNT( IL$9:IL$50 )  - $B155 + 1, 1)) : INDEX( IL$9:IL$50, MAX( COUNT( IL$9:IL$50 )  - $C155 + 1, 1)), INDEX( IK$101:IK$142, MAX( COUNT( IL$9:IL$50 )  - $B155 + 1, 1)) : INDEX( IK$101:IK$142, MAX( COUNT( IL$9:IL$50 )  - $C155 + 1, 1)) &gt; 0)) / SUM(_xlfn._xlws.FILTER(INDEX( IK$9:IK$50, MAX( COUNT( IL$9:IL$50 )  - $B155 + 1, 1)) : INDEX( IK$9:IK$50, MAX( COUNT( IL$9:IL$50 )  - $C155 + 1, 1)), INDEX( IK$101:IK$142, MAX( COUNT( IL$9:IL$50 )  - $B155 + 1, 1)) : INDEX( IK$101:IK$142, MAX( COUNT( IL$9:IL$50 )  - $C155 + 1, 1)) &gt; 0)) )</f>
        <v>1.0017864879876321</v>
      </c>
      <c r="IL155" s="8">
        <f>+IF(IL$8 = 125, 1, SUM(_xlfn._xlws.FILTER(INDEX( IM$9:IM$50, MAX( COUNT( IM$9:IM$50 )  - $B155 + 1, 1)) : INDEX( IM$9:IM$50, MAX( COUNT( IM$9:IM$50 )  - $C155 + 1, 1)), INDEX( IL$101:IL$142, MAX( COUNT( IM$9:IM$50 )  - $B155 + 1, 1)) : INDEX( IL$101:IL$142, MAX( COUNT( IM$9:IM$50 )  - $C155 + 1, 1)) &gt; 0)) / SUM(_xlfn._xlws.FILTER(INDEX( IL$9:IL$50, MAX( COUNT( IM$9:IM$50 )  - $B155 + 1, 1)) : INDEX( IL$9:IL$50, MAX( COUNT( IM$9:IM$50 )  - $C155 + 1, 1)), INDEX( IL$101:IL$142, MAX( COUNT( IM$9:IM$50 )  - $B155 + 1, 1)) : INDEX( IL$101:IL$142, MAX( COUNT( IM$9:IM$50 )  - $C155 + 1, 1)) &gt; 0)) )</f>
        <v>1.0013857083984385</v>
      </c>
      <c r="IM155" s="8">
        <f>+IF(IM$8 = 125, 1, SUM(_xlfn._xlws.FILTER(INDEX( IN$9:IN$50, MAX( COUNT( IN$9:IN$50 )  - $B155 + 1, 1)) : INDEX( IN$9:IN$50, MAX( COUNT( IN$9:IN$50 )  - $C155 + 1, 1)), INDEX( IM$101:IM$142, MAX( COUNT( IN$9:IN$50 )  - $B155 + 1, 1)) : INDEX( IM$101:IM$142, MAX( COUNT( IN$9:IN$50 )  - $C155 + 1, 1)) &gt; 0)) / SUM(_xlfn._xlws.FILTER(INDEX( IM$9:IM$50, MAX( COUNT( IN$9:IN$50 )  - $B155 + 1, 1)) : INDEX( IM$9:IM$50, MAX( COUNT( IN$9:IN$50 )  - $C155 + 1, 1)), INDEX( IM$101:IM$142, MAX( COUNT( IN$9:IN$50 )  - $B155 + 1, 1)) : INDEX( IM$101:IM$142, MAX( COUNT( IN$9:IN$50 )  - $C155 + 1, 1)) &gt; 0)) )</f>
        <v>1.002165247223606</v>
      </c>
      <c r="IN155" s="8">
        <f>+IF(IN$8 = 125, 1, SUM(_xlfn._xlws.FILTER(INDEX( IO$9:IO$50, MAX( COUNT( IO$9:IO$50 )  - $B155 + 1, 1)) : INDEX( IO$9:IO$50, MAX( COUNT( IO$9:IO$50 )  - $C155 + 1, 1)), INDEX( IN$101:IN$142, MAX( COUNT( IO$9:IO$50 )  - $B155 + 1, 1)) : INDEX( IN$101:IN$142, MAX( COUNT( IO$9:IO$50 )  - $C155 + 1, 1)) &gt; 0)) / SUM(_xlfn._xlws.FILTER(INDEX( IN$9:IN$50, MAX( COUNT( IO$9:IO$50 )  - $B155 + 1, 1)) : INDEX( IN$9:IN$50, MAX( COUNT( IO$9:IO$50 )  - $C155 + 1, 1)), INDEX( IN$101:IN$142, MAX( COUNT( IO$9:IO$50 )  - $B155 + 1, 1)) : INDEX( IN$101:IN$142, MAX( COUNT( IO$9:IO$50 )  - $C155 + 1, 1)) &gt; 0)) )</f>
        <v>1.0044919380212143</v>
      </c>
      <c r="IO155" s="8">
        <f>+IF(IO$8 = 125, 1, SUM(_xlfn._xlws.FILTER(INDEX( IP$9:IP$50, MAX( COUNT( IP$9:IP$50 )  - $B155 + 1, 1)) : INDEX( IP$9:IP$50, MAX( COUNT( IP$9:IP$50 )  - $C155 + 1, 1)), INDEX( IO$101:IO$142, MAX( COUNT( IP$9:IP$50 )  - $B155 + 1, 1)) : INDEX( IO$101:IO$142, MAX( COUNT( IP$9:IP$50 )  - $C155 + 1, 1)) &gt; 0)) / SUM(_xlfn._xlws.FILTER(INDEX( IO$9:IO$50, MAX( COUNT( IP$9:IP$50 )  - $B155 + 1, 1)) : INDEX( IO$9:IO$50, MAX( COUNT( IP$9:IP$50 )  - $C155 + 1, 1)), INDEX( IO$101:IO$142, MAX( COUNT( IP$9:IP$50 )  - $B155 + 1, 1)) : INDEX( IO$101:IO$142, MAX( COUNT( IP$9:IP$50 )  - $C155 + 1, 1)) &gt; 0)) )</f>
        <v>1.0023644476352298</v>
      </c>
      <c r="IP155" s="8">
        <f>+IF(IP$8 = 125, 1, SUM(_xlfn._xlws.FILTER(INDEX( IQ$9:IQ$50, MAX( COUNT( IQ$9:IQ$50 )  - $B155 + 1, 1)) : INDEX( IQ$9:IQ$50, MAX( COUNT( IQ$9:IQ$50 )  - $C155 + 1, 1)), INDEX( IP$101:IP$142, MAX( COUNT( IQ$9:IQ$50 )  - $B155 + 1, 1)) : INDEX( IP$101:IP$142, MAX( COUNT( IQ$9:IQ$50 )  - $C155 + 1, 1)) &gt; 0)) / SUM(_xlfn._xlws.FILTER(INDEX( IP$9:IP$50, MAX( COUNT( IQ$9:IQ$50 )  - $B155 + 1, 1)) : INDEX( IP$9:IP$50, MAX( COUNT( IQ$9:IQ$50 )  - $C155 + 1, 1)), INDEX( IP$101:IP$142, MAX( COUNT( IQ$9:IQ$50 )  - $B155 + 1, 1)) : INDEX( IP$101:IP$142, MAX( COUNT( IQ$9:IQ$50 )  - $C155 + 1, 1)) &gt; 0)) )</f>
        <v>1.00128562641312</v>
      </c>
      <c r="IQ155" s="8">
        <f>+IF(IQ$8 = 125, 1, SUM(_xlfn._xlws.FILTER(INDEX( IR$9:IR$50, MAX( COUNT( IR$9:IR$50 )  - $B155 + 1, 1)) : INDEX( IR$9:IR$50, MAX( COUNT( IR$9:IR$50 )  - $C155 + 1, 1)), INDEX( IQ$101:IQ$142, MAX( COUNT( IR$9:IR$50 )  - $B155 + 1, 1)) : INDEX( IQ$101:IQ$142, MAX( COUNT( IR$9:IR$50 )  - $C155 + 1, 1)) &gt; 0)) / SUM(_xlfn._xlws.FILTER(INDEX( IQ$9:IQ$50, MAX( COUNT( IR$9:IR$50 )  - $B155 + 1, 1)) : INDEX( IQ$9:IQ$50, MAX( COUNT( IR$9:IR$50 )  - $C155 + 1, 1)), INDEX( IQ$101:IQ$142, MAX( COUNT( IR$9:IR$50 )  - $B155 + 1, 1)) : INDEX( IQ$101:IQ$142, MAX( COUNT( IR$9:IR$50 )  - $C155 + 1, 1)) &gt; 0)) )</f>
        <v>1.0032713040037065</v>
      </c>
      <c r="IR155" s="8">
        <f>+IF(IR$8 = 125, 1, SUM(_xlfn._xlws.FILTER(INDEX( IS$9:IS$50, MAX( COUNT( IS$9:IS$50 )  - $B155 + 1, 1)) : INDEX( IS$9:IS$50, MAX( COUNT( IS$9:IS$50 )  - $C155 + 1, 1)), INDEX( IR$101:IR$142, MAX( COUNT( IS$9:IS$50 )  - $B155 + 1, 1)) : INDEX( IR$101:IR$142, MAX( COUNT( IS$9:IS$50 )  - $C155 + 1, 1)) &gt; 0)) / SUM(_xlfn._xlws.FILTER(INDEX( IR$9:IR$50, MAX( COUNT( IS$9:IS$50 )  - $B155 + 1, 1)) : INDEX( IR$9:IR$50, MAX( COUNT( IS$9:IS$50 )  - $C155 + 1, 1)), INDEX( IR$101:IR$142, MAX( COUNT( IS$9:IS$50 )  - $B155 + 1, 1)) : INDEX( IR$101:IR$142, MAX( COUNT( IS$9:IS$50 )  - $C155 + 1, 1)) &gt; 0)) )</f>
        <v>1.0030623648643942</v>
      </c>
      <c r="IS155" s="8">
        <f>+IF(IS$8 = 125, 1, SUM(_xlfn._xlws.FILTER(INDEX( IT$9:IT$50, MAX( COUNT( IT$9:IT$50 )  - $B155 + 1, 1)) : INDEX( IT$9:IT$50, MAX( COUNT( IT$9:IT$50 )  - $C155 + 1, 1)), INDEX( IS$101:IS$142, MAX( COUNT( IT$9:IT$50 )  - $B155 + 1, 1)) : INDEX( IS$101:IS$142, MAX( COUNT( IT$9:IT$50 )  - $C155 + 1, 1)) &gt; 0)) / SUM(_xlfn._xlws.FILTER(INDEX( IS$9:IS$50, MAX( COUNT( IT$9:IT$50 )  - $B155 + 1, 1)) : INDEX( IS$9:IS$50, MAX( COUNT( IT$9:IT$50 )  - $C155 + 1, 1)), INDEX( IS$101:IS$142, MAX( COUNT( IT$9:IT$50 )  - $B155 + 1, 1)) : INDEX( IS$101:IS$142, MAX( COUNT( IT$9:IT$50 )  - $C155 + 1, 1)) &gt; 0)) )</f>
        <v>1.0055498790859507</v>
      </c>
      <c r="IT155" s="8">
        <f>+IF(IT$8 = 125, 1, SUM(_xlfn._xlws.FILTER(INDEX( IU$9:IU$50, MAX( COUNT( IU$9:IU$50 )  - $B155 + 1, 1)) : INDEX( IU$9:IU$50, MAX( COUNT( IU$9:IU$50 )  - $C155 + 1, 1)), INDEX( IT$101:IT$142, MAX( COUNT( IU$9:IU$50 )  - $B155 + 1, 1)) : INDEX( IT$101:IT$142, MAX( COUNT( IU$9:IU$50 )  - $C155 + 1, 1)) &gt; 0)) / SUM(_xlfn._xlws.FILTER(INDEX( IT$9:IT$50, MAX( COUNT( IU$9:IU$50 )  - $B155 + 1, 1)) : INDEX( IT$9:IT$50, MAX( COUNT( IU$9:IU$50 )  - $C155 + 1, 1)), INDEX( IT$101:IT$142, MAX( COUNT( IU$9:IU$50 )  - $B155 + 1, 1)) : INDEX( IT$101:IT$142, MAX( COUNT( IU$9:IU$50 )  - $C155 + 1, 1)) &gt; 0)) )</f>
        <v>1.0050872730680325</v>
      </c>
      <c r="IU155" s="8">
        <f>+IF(IU$8 = 125, 1, SUM(_xlfn._xlws.FILTER(INDEX( IV$9:IV$50, MAX( COUNT( IV$9:IV$50 )  - $B155 + 1, 1)) : INDEX( IV$9:IV$50, MAX( COUNT( IV$9:IV$50 )  - $C155 + 1, 1)), INDEX( IU$101:IU$142, MAX( COUNT( IV$9:IV$50 )  - $B155 + 1, 1)) : INDEX( IU$101:IU$142, MAX( COUNT( IV$9:IV$50 )  - $C155 + 1, 1)) &gt; 0)) / SUM(_xlfn._xlws.FILTER(INDEX( IU$9:IU$50, MAX( COUNT( IV$9:IV$50 )  - $B155 + 1, 1)) : INDEX( IU$9:IU$50, MAX( COUNT( IV$9:IV$50 )  - $C155 + 1, 1)), INDEX( IU$101:IU$142, MAX( COUNT( IV$9:IV$50 )  - $B155 + 1, 1)) : INDEX( IU$101:IU$142, MAX( COUNT( IV$9:IV$50 )  - $C155 + 1, 1)) &gt; 0)) )</f>
        <v>1.0045545119089383</v>
      </c>
      <c r="IV155" s="8">
        <f>+IF(IV$8 = 125, 1, SUM(_xlfn._xlws.FILTER(INDEX( IW$9:IW$50, MAX( COUNT( IW$9:IW$50 )  - $B155 + 1, 1)) : INDEX( IW$9:IW$50, MAX( COUNT( IW$9:IW$50 )  - $C155 + 1, 1)), INDEX( IV$101:IV$142, MAX( COUNT( IW$9:IW$50 )  - $B155 + 1, 1)) : INDEX( IV$101:IV$142, MAX( COUNT( IW$9:IW$50 )  - $C155 + 1, 1)) &gt; 0)) / SUM(_xlfn._xlws.FILTER(INDEX( IV$9:IV$50, MAX( COUNT( IW$9:IW$50 )  - $B155 + 1, 1)) : INDEX( IV$9:IV$50, MAX( COUNT( IW$9:IW$50 )  - $C155 + 1, 1)), INDEX( IV$101:IV$142, MAX( COUNT( IW$9:IW$50 )  - $B155 + 1, 1)) : INDEX( IV$101:IV$142, MAX( COUNT( IW$9:IW$50 )  - $C155 + 1, 1)) &gt; 0)) )</f>
        <v>1</v>
      </c>
    </row>
    <row r="156" spans="2:256" x14ac:dyDescent="0.2">
      <c r="B156">
        <v>1</v>
      </c>
      <c r="C156">
        <v>4</v>
      </c>
      <c r="F156" s="15" t="s">
        <v>16</v>
      </c>
      <c r="G156" s="8">
        <f>+IF(G$8 = 125, 1, MIN(_xlfn._xlws.FILTER(INDEX( G$55:G$96, MAX( COUNT( H$9:H$50 )  - $B156 + 1, 1)) : INDEX( G$55:G$96, MAX( COUNT( H$9:H$50 )  - $C156 + 1, 1)), INDEX( G$101:G$142, MAX( COUNT( H$9:H$50 )  - $B156 + 1, 1)) : INDEX( G$101:G$142, MAX( COUNT( H$9:H$50 )  - $C156 + 1, 1)) &gt; 0)))</f>
        <v>1.6738151150016898</v>
      </c>
      <c r="H156" s="8">
        <f>+IF(H$8 = 125, 1, MIN(_xlfn._xlws.FILTER(INDEX( H$55:H$96, MAX( COUNT( I$9:I$50 )  - $B156 + 1, 1)) : INDEX( H$55:H$96, MAX( COUNT( I$9:I$50 )  - $C156 + 1, 1)), INDEX( H$101:H$142, MAX( COUNT( I$9:I$50 )  - $B156 + 1, 1)) : INDEX( H$101:H$142, MAX( COUNT( I$9:I$50 )  - $C156 + 1, 1)) &gt; 0)))</f>
        <v>2.0846851875909089</v>
      </c>
      <c r="I156" s="8">
        <f>+IF(I$8 = 125, 1, MIN(_xlfn._xlws.FILTER(INDEX( I$55:I$96, MAX( COUNT( J$9:J$50 )  - $B156 + 1, 1)) : INDEX( I$55:I$96, MAX( COUNT( J$9:J$50 )  - $C156 + 1, 1)), INDEX( I$101:I$142, MAX( COUNT( J$9:J$50 )  - $B156 + 1, 1)) : INDEX( I$101:I$142, MAX( COUNT( J$9:J$50 )  - $C156 + 1, 1)) &gt; 0)))</f>
        <v>1.4467478944429046</v>
      </c>
      <c r="J156" s="8">
        <f>+IF(J$8 = 125, 1, MIN(_xlfn._xlws.FILTER(INDEX( J$55:J$96, MAX( COUNT( K$9:K$50 )  - $B156 + 1, 1)) : INDEX( J$55:J$96, MAX( COUNT( K$9:K$50 )  - $C156 + 1, 1)), INDEX( J$101:J$142, MAX( COUNT( K$9:K$50 )  - $B156 + 1, 1)) : INDEX( J$101:J$142, MAX( COUNT( K$9:K$50 )  - $C156 + 1, 1)) &gt; 0)))</f>
        <v>1.2210141699159558</v>
      </c>
      <c r="K156" s="8">
        <f>+IF(K$8 = 125, 1, MIN(_xlfn._xlws.FILTER(INDEX( K$55:K$96, MAX( COUNT( L$9:L$50 )  - $B156 + 1, 1)) : INDEX( K$55:K$96, MAX( COUNT( L$9:L$50 )  - $C156 + 1, 1)), INDEX( K$101:K$142, MAX( COUNT( L$9:L$50 )  - $B156 + 1, 1)) : INDEX( K$101:K$142, MAX( COUNT( L$9:L$50 )  - $C156 + 1, 1)) &gt; 0)))</f>
        <v>1.0369170420345268</v>
      </c>
      <c r="L156" s="8">
        <f>+IF(L$8 = 125, 1, MIN(_xlfn._xlws.FILTER(INDEX( L$55:L$96, MAX( COUNT( M$9:M$50 )  - $B156 + 1, 1)) : INDEX( L$55:L$96, MAX( COUNT( M$9:M$50 )  - $C156 + 1, 1)), INDEX( L$101:L$142, MAX( COUNT( M$9:M$50 )  - $B156 + 1, 1)) : INDEX( L$101:L$142, MAX( COUNT( M$9:M$50 )  - $C156 + 1, 1)) &gt; 0)))</f>
        <v>1.016967826497214</v>
      </c>
      <c r="M156" s="8">
        <f>+IF(M$8 = 125, 1, MIN(_xlfn._xlws.FILTER(INDEX( M$55:M$96, MAX( COUNT( N$9:N$50 )  - $B156 + 1, 1)) : INDEX( M$55:M$96, MAX( COUNT( N$9:N$50 )  - $C156 + 1, 1)), INDEX( M$101:M$142, MAX( COUNT( N$9:N$50 )  - $B156 + 1, 1)) : INDEX( M$101:M$142, MAX( COUNT( N$9:N$50 )  - $C156 + 1, 1)) &gt; 0)))</f>
        <v>1.0074432151767205</v>
      </c>
      <c r="N156" s="8">
        <f>+IF(N$8 = 125, 1, MIN(_xlfn._xlws.FILTER(INDEX( N$55:N$96, MAX( COUNT( O$9:O$50 )  - $B156 + 1, 1)) : INDEX( N$55:N$96, MAX( COUNT( O$9:O$50 )  - $C156 + 1, 1)), INDEX( N$101:N$142, MAX( COUNT( O$9:O$50 )  - $B156 + 1, 1)) : INDEX( N$101:N$142, MAX( COUNT( O$9:O$50 )  - $C156 + 1, 1)) &gt; 0)))</f>
        <v>1.0026312790299641</v>
      </c>
      <c r="O156" s="8">
        <f>+IF(O$8 = 125, 1, MIN(_xlfn._xlws.FILTER(INDEX( O$55:O$96, MAX( COUNT( P$9:P$50 )  - $B156 + 1, 1)) : INDEX( O$55:O$96, MAX( COUNT( P$9:P$50 )  - $C156 + 1, 1)), INDEX( O$101:O$142, MAX( COUNT( P$9:P$50 )  - $B156 + 1, 1)) : INDEX( O$101:O$142, MAX( COUNT( P$9:P$50 )  - $C156 + 1, 1)) &gt; 0)))</f>
        <v>1.0000903859362245</v>
      </c>
      <c r="P156" s="8">
        <f>+IF(P$8 = 125, 1, MIN(_xlfn._xlws.FILTER(INDEX( P$55:P$96, MAX( COUNT( Q$9:Q$50 )  - $B156 + 1, 1)) : INDEX( P$55:P$96, MAX( COUNT( Q$9:Q$50 )  - $C156 + 1, 1)), INDEX( P$101:P$142, MAX( COUNT( Q$9:Q$50 )  - $B156 + 1, 1)) : INDEX( P$101:P$142, MAX( COUNT( Q$9:Q$50 )  - $C156 + 1, 1)) &gt; 0)))</f>
        <v>1.0000720387964104</v>
      </c>
      <c r="Q156" s="8">
        <f>+IF(Q$8 = 125, 1, MIN(_xlfn._xlws.FILTER(INDEX( Q$55:Q$96, MAX( COUNT( R$9:R$50 )  - $B156 + 1, 1)) : INDEX( Q$55:Q$96, MAX( COUNT( R$9:R$50 )  - $C156 + 1, 1)), INDEX( Q$101:Q$142, MAX( COUNT( R$9:R$50 )  - $B156 + 1, 1)) : INDEX( Q$101:Q$142, MAX( COUNT( R$9:R$50 )  - $C156 + 1, 1)) &gt; 0)))</f>
        <v>0.99027376723608118</v>
      </c>
      <c r="R156" s="8">
        <f>+IF(R$8 = 125, 1, MIN(_xlfn._xlws.FILTER(INDEX( R$55:R$96, MAX( COUNT( S$9:S$50 )  - $B156 + 1, 1)) : INDEX( R$55:R$96, MAX( COUNT( S$9:S$50 )  - $C156 + 1, 1)), INDEX( R$101:R$142, MAX( COUNT( S$9:S$50 )  - $B156 + 1, 1)) : INDEX( R$101:R$142, MAX( COUNT( S$9:S$50 )  - $C156 + 1, 1)) &gt; 0)))</f>
        <v>1</v>
      </c>
      <c r="S156" s="8">
        <f>+IF(S$8 = 125, 1, MIN(_xlfn._xlws.FILTER(INDEX( S$55:S$96, MAX( COUNT( T$9:T$50 )  - $B156 + 1, 1)) : INDEX( S$55:S$96, MAX( COUNT( T$9:T$50 )  - $C156 + 1, 1)), INDEX( S$101:S$142, MAX( COUNT( T$9:T$50 )  - $B156 + 1, 1)) : INDEX( S$101:S$142, MAX( COUNT( T$9:T$50 )  - $C156 + 1, 1)) &gt; 0)))</f>
        <v>1</v>
      </c>
      <c r="T156" s="8">
        <f>+IF(T$8 = 125, 1, MIN(_xlfn._xlws.FILTER(INDEX( T$55:T$96, MAX( COUNT( U$9:U$50 )  - $B156 + 1, 1)) : INDEX( T$55:T$96, MAX( COUNT( U$9:U$50 )  - $C156 + 1, 1)), INDEX( T$101:T$142, MAX( COUNT( U$9:U$50 )  - $B156 + 1, 1)) : INDEX( T$101:T$142, MAX( COUNT( U$9:U$50 )  - $C156 + 1, 1)) &gt; 0)))</f>
        <v>1</v>
      </c>
      <c r="U156" s="8">
        <f>+IF(U$8 = 125, 1, MIN(_xlfn._xlws.FILTER(INDEX( U$55:U$96, MAX( COUNT( V$9:V$50 )  - $B156 + 1, 1)) : INDEX( U$55:U$96, MAX( COUNT( V$9:V$50 )  - $C156 + 1, 1)), INDEX( U$101:U$142, MAX( COUNT( V$9:V$50 )  - $B156 + 1, 1)) : INDEX( U$101:U$142, MAX( COUNT( V$9:V$50 )  - $C156 + 1, 1)) &gt; 0)))</f>
        <v>1</v>
      </c>
      <c r="V156" s="8">
        <f>+IF(V$8 = 125, 1, MIN(_xlfn._xlws.FILTER(INDEX( V$55:V$96, MAX( COUNT( W$9:W$50 )  - $B156 + 1, 1)) : INDEX( V$55:V$96, MAX( COUNT( W$9:W$50 )  - $C156 + 1, 1)), INDEX( V$101:V$142, MAX( COUNT( W$9:W$50 )  - $B156 + 1, 1)) : INDEX( V$101:V$142, MAX( COUNT( W$9:W$50 )  - $C156 + 1, 1)) &gt; 0)))</f>
        <v>1.0000666495192923</v>
      </c>
      <c r="W156" s="8">
        <f>+IF(W$8 = 125, 1, MIN(_xlfn._xlws.FILTER(INDEX( W$55:W$96, MAX( COUNT( X$9:X$50 )  - $B156 + 1, 1)) : INDEX( W$55:W$96, MAX( COUNT( X$9:X$50 )  - $C156 + 1, 1)), INDEX( W$101:W$142, MAX( COUNT( X$9:X$50 )  - $B156 + 1, 1)) : INDEX( W$101:W$142, MAX( COUNT( X$9:X$50 )  - $C156 + 1, 1)) &gt; 0)))</f>
        <v>1.0000274712927446</v>
      </c>
      <c r="X156" s="8">
        <f>+IF(X$8 = 125, 1, MIN(_xlfn._xlws.FILTER(INDEX( X$55:X$96, MAX( COUNT( Y$9:Y$50 )  - $B156 + 1, 1)) : INDEX( X$55:X$96, MAX( COUNT( Y$9:Y$50 )  - $C156 + 1, 1)), INDEX( X$101:X$142, MAX( COUNT( Y$9:Y$50 )  - $B156 + 1, 1)) : INDEX( X$101:X$142, MAX( COUNT( Y$9:Y$50 )  - $C156 + 1, 1)) &gt; 0)))</f>
        <v>1</v>
      </c>
      <c r="Y156" s="8">
        <f>+IF(Y$8 = 125, 1, MIN(_xlfn._xlws.FILTER(INDEX( Y$55:Y$96, MAX( COUNT( Z$9:Z$50 )  - $B156 + 1, 1)) : INDEX( Y$55:Y$96, MAX( COUNT( Z$9:Z$50 )  - $C156 + 1, 1)), INDEX( Y$101:Y$142, MAX( COUNT( Z$9:Z$50 )  - $B156 + 1, 1)) : INDEX( Y$101:Y$142, MAX( COUNT( Z$9:Z$50 )  - $C156 + 1, 1)) &gt; 0)))</f>
        <v>1.0002418001345317</v>
      </c>
      <c r="Z156" s="8">
        <f>+IF(Z$8 = 125, 1, MIN(_xlfn._xlws.FILTER(INDEX( Z$55:Z$96, MAX( COUNT( AA$9:AA$50 )  - $B156 + 1, 1)) : INDEX( Z$55:Z$96, MAX( COUNT( AA$9:AA$50 )  - $C156 + 1, 1)), INDEX( Z$101:Z$142, MAX( COUNT( AA$9:AA$50 )  - $B156 + 1, 1)) : INDEX( Z$101:Z$142, MAX( COUNT( AA$9:AA$50 )  - $C156 + 1, 1)) &gt; 0)))</f>
        <v>1</v>
      </c>
      <c r="AA156" s="8">
        <f>+IF(AA$8 = 125, 1, MIN(_xlfn._xlws.FILTER(INDEX( AA$55:AA$96, MAX( COUNT( AB$9:AB$50 )  - $B156 + 1, 1)) : INDEX( AA$55:AA$96, MAX( COUNT( AB$9:AB$50 )  - $C156 + 1, 1)), INDEX( AA$101:AA$142, MAX( COUNT( AB$9:AB$50 )  - $B156 + 1, 1)) : INDEX( AA$101:AA$142, MAX( COUNT( AB$9:AB$50 )  - $C156 + 1, 1)) &gt; 0)))</f>
        <v>1</v>
      </c>
      <c r="AB156" s="8">
        <f>+IF(AB$8 = 125, 1, MIN(_xlfn._xlws.FILTER(INDEX( AB$55:AB$96, MAX( COUNT( AC$9:AC$50 )  - $B156 + 1, 1)) : INDEX( AB$55:AB$96, MAX( COUNT( AC$9:AC$50 )  - $C156 + 1, 1)), INDEX( AB$101:AB$142, MAX( COUNT( AC$9:AC$50 )  - $B156 + 1, 1)) : INDEX( AB$101:AB$142, MAX( COUNT( AC$9:AC$50 )  - $C156 + 1, 1)) &gt; 0)))</f>
        <v>1</v>
      </c>
      <c r="AC156" s="8">
        <f>+IF(AC$8 = 125, 1, MIN(_xlfn._xlws.FILTER(INDEX( AC$55:AC$96, MAX( COUNT( AD$9:AD$50 )  - $B156 + 1, 1)) : INDEX( AC$55:AC$96, MAX( COUNT( AD$9:AD$50 )  - $C156 + 1, 1)), INDEX( AC$101:AC$142, MAX( COUNT( AD$9:AD$50 )  - $B156 + 1, 1)) : INDEX( AC$101:AC$142, MAX( COUNT( AD$9:AD$50 )  - $C156 + 1, 1)) &gt; 0)))</f>
        <v>1</v>
      </c>
      <c r="AD156" s="8">
        <f>+IF(AD$8 = 125, 1, MIN(_xlfn._xlws.FILTER(INDEX( AD$55:AD$96, MAX( COUNT( AE$9:AE$50 )  - $B156 + 1, 1)) : INDEX( AD$55:AD$96, MAX( COUNT( AE$9:AE$50 )  - $C156 + 1, 1)), INDEX( AD$101:AD$142, MAX( COUNT( AE$9:AE$50 )  - $B156 + 1, 1)) : INDEX( AD$101:AD$142, MAX( COUNT( AE$9:AE$50 )  - $C156 + 1, 1)) &gt; 0)))</f>
        <v>1</v>
      </c>
      <c r="AE156" s="8">
        <f>+IF(AE$8 = 125, 1, MIN(_xlfn._xlws.FILTER(INDEX( AE$55:AE$96, MAX( COUNT( AF$9:AF$50 )  - $B156 + 1, 1)) : INDEX( AE$55:AE$96, MAX( COUNT( AF$9:AF$50 )  - $C156 + 1, 1)), INDEX( AE$101:AE$142, MAX( COUNT( AF$9:AF$50 )  - $B156 + 1, 1)) : INDEX( AE$101:AE$142, MAX( COUNT( AF$9:AF$50 )  - $C156 + 1, 1)) &gt; 0)))</f>
        <v>1</v>
      </c>
      <c r="AF156" s="8">
        <f>+IF(AF$8 = 125, 1, MIN(_xlfn._xlws.FILTER(INDEX( AF$55:AF$96, MAX( COUNT( AG$9:AG$50 )  - $B156 + 1, 1)) : INDEX( AF$55:AF$96, MAX( COUNT( AG$9:AG$50 )  - $C156 + 1, 1)), INDEX( AF$101:AF$142, MAX( COUNT( AG$9:AG$50 )  - $B156 + 1, 1)) : INDEX( AF$101:AF$142, MAX( COUNT( AG$9:AG$50 )  - $C156 + 1, 1)) &gt; 0)))</f>
        <v>1</v>
      </c>
      <c r="AG156" s="8">
        <f>+IF(AG$8 = 125, 1, MIN(_xlfn._xlws.FILTER(INDEX( AG$55:AG$96, MAX( COUNT( AH$9:AH$50 )  - $B156 + 1, 1)) : INDEX( AG$55:AG$96, MAX( COUNT( AH$9:AH$50 )  - $C156 + 1, 1)), INDEX( AG$101:AG$142, MAX( COUNT( AH$9:AH$50 )  - $B156 + 1, 1)) : INDEX( AG$101:AG$142, MAX( COUNT( AH$9:AH$50 )  - $C156 + 1, 1)) &gt; 0)))</f>
        <v>1</v>
      </c>
      <c r="AH156" s="8">
        <f>+IF(AH$8 = 125, 1, MIN(_xlfn._xlws.FILTER(INDEX( AH$55:AH$96, MAX( COUNT( AI$9:AI$50 )  - $B156 + 1, 1)) : INDEX( AH$55:AH$96, MAX( COUNT( AI$9:AI$50 )  - $C156 + 1, 1)), INDEX( AH$101:AH$142, MAX( COUNT( AI$9:AI$50 )  - $B156 + 1, 1)) : INDEX( AH$101:AH$142, MAX( COUNT( AI$9:AI$50 )  - $C156 + 1, 1)) &gt; 0)))</f>
        <v>1</v>
      </c>
      <c r="AI156" s="8">
        <f>+IF(AI$8 = 125, 1, MIN(_xlfn._xlws.FILTER(INDEX( AI$55:AI$96, MAX( COUNT( AJ$9:AJ$50 )  - $B156 + 1, 1)) : INDEX( AI$55:AI$96, MAX( COUNT( AJ$9:AJ$50 )  - $C156 + 1, 1)), INDEX( AI$101:AI$142, MAX( COUNT( AJ$9:AJ$50 )  - $B156 + 1, 1)) : INDEX( AI$101:AI$142, MAX( COUNT( AJ$9:AJ$50 )  - $C156 + 1, 1)) &gt; 0)))</f>
        <v>1</v>
      </c>
      <c r="AJ156" s="8">
        <f>+IF(AJ$8 = 125, 1, MIN(_xlfn._xlws.FILTER(INDEX( AJ$55:AJ$96, MAX( COUNT( AK$9:AK$50 )  - $B156 + 1, 1)) : INDEX( AJ$55:AJ$96, MAX( COUNT( AK$9:AK$50 )  - $C156 + 1, 1)), INDEX( AJ$101:AJ$142, MAX( COUNT( AK$9:AK$50 )  - $B156 + 1, 1)) : INDEX( AJ$101:AJ$142, MAX( COUNT( AK$9:AK$50 )  - $C156 + 1, 1)) &gt; 0)))</f>
        <v>1</v>
      </c>
      <c r="AK156" s="8">
        <f>+IF(AK$8 = 125, 1, MIN(_xlfn._xlws.FILTER(INDEX( AK$55:AK$96, MAX( COUNT( AL$9:AL$50 )  - $B156 + 1, 1)) : INDEX( AK$55:AK$96, MAX( COUNT( AL$9:AL$50 )  - $C156 + 1, 1)), INDEX( AK$101:AK$142, MAX( COUNT( AL$9:AL$50 )  - $B156 + 1, 1)) : INDEX( AK$101:AK$142, MAX( COUNT( AL$9:AL$50 )  - $C156 + 1, 1)) &gt; 0)))</f>
        <v>1</v>
      </c>
      <c r="AL156" s="8">
        <f>+IF(AL$8 = 125, 1, MIN(_xlfn._xlws.FILTER(INDEX( AL$55:AL$96, MAX( COUNT( AM$9:AM$50 )  - $B156 + 1, 1)) : INDEX( AL$55:AL$96, MAX( COUNT( AM$9:AM$50 )  - $C156 + 1, 1)), INDEX( AL$101:AL$142, MAX( COUNT( AM$9:AM$50 )  - $B156 + 1, 1)) : INDEX( AL$101:AL$142, MAX( COUNT( AM$9:AM$50 )  - $C156 + 1, 1)) &gt; 0)))</f>
        <v>1.0000036143832269</v>
      </c>
      <c r="AM156" s="8">
        <f>+IF(AM$8 = 125, 1, MIN(_xlfn._xlws.FILTER(INDEX( AM$55:AM$96, MAX( COUNT( AN$9:AN$50 )  - $B156 + 1, 1)) : INDEX( AM$55:AM$96, MAX( COUNT( AN$9:AN$50 )  - $C156 + 1, 1)), INDEX( AM$101:AM$142, MAX( COUNT( AN$9:AN$50 )  - $B156 + 1, 1)) : INDEX( AM$101:AM$142, MAX( COUNT( AN$9:AN$50 )  - $C156 + 1, 1)) &gt; 0)))</f>
        <v>1</v>
      </c>
      <c r="AN156" s="8">
        <f>+IF(AN$8 = 125, 1, MIN(_xlfn._xlws.FILTER(INDEX( AN$55:AN$96, MAX( COUNT( AO$9:AO$50 )  - $B156 + 1, 1)) : INDEX( AN$55:AN$96, MAX( COUNT( AO$9:AO$50 )  - $C156 + 1, 1)), INDEX( AN$101:AN$142, MAX( COUNT( AO$9:AO$50 )  - $B156 + 1, 1)) : INDEX( AN$101:AN$142, MAX( COUNT( AO$9:AO$50 )  - $C156 + 1, 1)) &gt; 0)))</f>
        <v>1</v>
      </c>
      <c r="AO156" s="8">
        <f>+IF(AO$8 = 125, 1, MIN(_xlfn._xlws.FILTER(INDEX( AO$55:AO$96, MAX( COUNT( AP$9:AP$50 )  - $B156 + 1, 1)) : INDEX( AO$55:AO$96, MAX( COUNT( AP$9:AP$50 )  - $C156 + 1, 1)), INDEX( AO$101:AO$142, MAX( COUNT( AP$9:AP$50 )  - $B156 + 1, 1)) : INDEX( AO$101:AO$142, MAX( COUNT( AP$9:AP$50 )  - $C156 + 1, 1)) &gt; 0)))</f>
        <v>0.98734233386680992</v>
      </c>
      <c r="AP156" s="8">
        <f>+IF(AP$8 = 125, 1, MIN(_xlfn._xlws.FILTER(INDEX( AP$55:AP$96, MAX( COUNT( AQ$9:AQ$50 )  - $B156 + 1, 1)) : INDEX( AP$55:AP$96, MAX( COUNT( AQ$9:AQ$50 )  - $C156 + 1, 1)), INDEX( AP$101:AP$142, MAX( COUNT( AQ$9:AQ$50 )  - $B156 + 1, 1)) : INDEX( AP$101:AP$142, MAX( COUNT( AQ$9:AQ$50 )  - $C156 + 1, 1)) &gt; 0)))</f>
        <v>1</v>
      </c>
      <c r="AQ156" s="8">
        <f>+IF(AQ$8 = 125, 1, MIN(_xlfn._xlws.FILTER(INDEX( AQ$55:AQ$96, MAX( COUNT( AR$9:AR$50 )  - $B156 + 1, 1)) : INDEX( AQ$55:AQ$96, MAX( COUNT( AR$9:AR$50 )  - $C156 + 1, 1)), INDEX( AQ$101:AQ$142, MAX( COUNT( AR$9:AR$50 )  - $B156 + 1, 1)) : INDEX( AQ$101:AQ$142, MAX( COUNT( AR$9:AR$50 )  - $C156 + 1, 1)) &gt; 0)))</f>
        <v>1</v>
      </c>
      <c r="AR156" s="8">
        <f>+IF(AR$8 = 125, 1, MIN(_xlfn._xlws.FILTER(INDEX( AR$55:AR$96, MAX( COUNT( AS$9:AS$50 )  - $B156 + 1, 1)) : INDEX( AR$55:AR$96, MAX( COUNT( AS$9:AS$50 )  - $C156 + 1, 1)), INDEX( AR$101:AR$142, MAX( COUNT( AS$9:AS$50 )  - $B156 + 1, 1)) : INDEX( AR$101:AR$142, MAX( COUNT( AS$9:AS$50 )  - $C156 + 1, 1)) &gt; 0)))</f>
        <v>1.0001444078930315</v>
      </c>
      <c r="AS156" s="8">
        <f>+IF(AS$8 = 125, 1, MIN(_xlfn._xlws.FILTER(INDEX( AS$55:AS$96, MAX( COUNT( AT$9:AT$50 )  - $B156 + 1, 1)) : INDEX( AS$55:AS$96, MAX( COUNT( AT$9:AT$50 )  - $C156 + 1, 1)), INDEX( AS$101:AS$142, MAX( COUNT( AT$9:AT$50 )  - $B156 + 1, 1)) : INDEX( AS$101:AS$142, MAX( COUNT( AT$9:AT$50 )  - $C156 + 1, 1)) &gt; 0)))</f>
        <v>1</v>
      </c>
      <c r="AT156" s="8">
        <f>+IF(AT$8 = 125, 1, MIN(_xlfn._xlws.FILTER(INDEX( AT$55:AT$96, MAX( COUNT( AU$9:AU$50 )  - $B156 + 1, 1)) : INDEX( AT$55:AT$96, MAX( COUNT( AU$9:AU$50 )  - $C156 + 1, 1)), INDEX( AT$101:AT$142, MAX( COUNT( AU$9:AU$50 )  - $B156 + 1, 1)) : INDEX( AT$101:AT$142, MAX( COUNT( AU$9:AU$50 )  - $C156 + 1, 1)) &gt; 0)))</f>
        <v>1</v>
      </c>
      <c r="AU156" s="8">
        <f>+IF(AU$8 = 125, 1, MIN(_xlfn._xlws.FILTER(INDEX( AU$55:AU$96, MAX( COUNT( AV$9:AV$50 )  - $B156 + 1, 1)) : INDEX( AU$55:AU$96, MAX( COUNT( AV$9:AV$50 )  - $C156 + 1, 1)), INDEX( AU$101:AU$142, MAX( COUNT( AV$9:AV$50 )  - $B156 + 1, 1)) : INDEX( AU$101:AU$142, MAX( COUNT( AV$9:AV$50 )  - $C156 + 1, 1)) &gt; 0)))</f>
        <v>1</v>
      </c>
      <c r="AV156" s="8">
        <f>+IF(AV$8 = 125, 1, MIN(_xlfn._xlws.FILTER(INDEX( AV$55:AV$96, MAX( COUNT( AW$9:AW$50 )  - $B156 + 1, 1)) : INDEX( AV$55:AV$96, MAX( COUNT( AW$9:AW$50 )  - $C156 + 1, 1)), INDEX( AV$101:AV$142, MAX( COUNT( AW$9:AW$50 )  - $B156 + 1, 1)) : INDEX( AV$101:AV$142, MAX( COUNT( AW$9:AW$50 )  - $C156 + 1, 1)) &gt; 0)))</f>
        <v>1</v>
      </c>
      <c r="AW156" s="8">
        <f>+IF(AW$8 = 125, 1, MIN(_xlfn._xlws.FILTER(INDEX( AW$55:AW$96, MAX( COUNT( AX$9:AX$50 )  - $B156 + 1, 1)) : INDEX( AW$55:AW$96, MAX( COUNT( AX$9:AX$50 )  - $C156 + 1, 1)), INDEX( AW$101:AW$142, MAX( COUNT( AX$9:AX$50 )  - $B156 + 1, 1)) : INDEX( AW$101:AW$142, MAX( COUNT( AX$9:AX$50 )  - $C156 + 1, 1)) &gt; 0)))</f>
        <v>1</v>
      </c>
      <c r="AX156" s="8">
        <f>+IF(AX$8 = 125, 1, MIN(_xlfn._xlws.FILTER(INDEX( AX$55:AX$96, MAX( COUNT( AY$9:AY$50 )  - $B156 + 1, 1)) : INDEX( AX$55:AX$96, MAX( COUNT( AY$9:AY$50 )  - $C156 + 1, 1)), INDEX( AX$101:AX$142, MAX( COUNT( AY$9:AY$50 )  - $B156 + 1, 1)) : INDEX( AX$101:AX$142, MAX( COUNT( AY$9:AY$50 )  - $C156 + 1, 1)) &gt; 0)))</f>
        <v>1</v>
      </c>
      <c r="AY156" s="8">
        <f>+IF(AY$8 = 125, 1, MIN(_xlfn._xlws.FILTER(INDEX( AY$55:AY$96, MAX( COUNT( AZ$9:AZ$50 )  - $B156 + 1, 1)) : INDEX( AY$55:AY$96, MAX( COUNT( AZ$9:AZ$50 )  - $C156 + 1, 1)), INDEX( AY$101:AY$142, MAX( COUNT( AZ$9:AZ$50 )  - $B156 + 1, 1)) : INDEX( AY$101:AY$142, MAX( COUNT( AZ$9:AZ$50 )  - $C156 + 1, 1)) &gt; 0)))</f>
        <v>1</v>
      </c>
      <c r="AZ156" s="8">
        <f>+IF(AZ$8 = 125, 1, MIN(_xlfn._xlws.FILTER(INDEX( AZ$55:AZ$96, MAX( COUNT( BA$9:BA$50 )  - $B156 + 1, 1)) : INDEX( AZ$55:AZ$96, MAX( COUNT( BA$9:BA$50 )  - $C156 + 1, 1)), INDEX( AZ$101:AZ$142, MAX( COUNT( BA$9:BA$50 )  - $B156 + 1, 1)) : INDEX( AZ$101:AZ$142, MAX( COUNT( BA$9:BA$50 )  - $C156 + 1, 1)) &gt; 0)))</f>
        <v>1</v>
      </c>
      <c r="BA156" s="8">
        <f>+IF(BA$8 = 125, 1, MIN(_xlfn._xlws.FILTER(INDEX( BA$55:BA$96, MAX( COUNT( BB$9:BB$50 )  - $B156 + 1, 1)) : INDEX( BA$55:BA$96, MAX( COUNT( BB$9:BB$50 )  - $C156 + 1, 1)), INDEX( BA$101:BA$142, MAX( COUNT( BB$9:BB$50 )  - $B156 + 1, 1)) : INDEX( BA$101:BA$142, MAX( COUNT( BB$9:BB$50 )  - $C156 + 1, 1)) &gt; 0)))</f>
        <v>1</v>
      </c>
      <c r="BB156" s="8">
        <f>+IF(BB$8 = 125, 1, MIN(_xlfn._xlws.FILTER(INDEX( BB$55:BB$96, MAX( COUNT( BC$9:BC$50 )  - $B156 + 1, 1)) : INDEX( BB$55:BB$96, MAX( COUNT( BC$9:BC$50 )  - $C156 + 1, 1)), INDEX( BB$101:BB$142, MAX( COUNT( BC$9:BC$50 )  - $B156 + 1, 1)) : INDEX( BB$101:BB$142, MAX( COUNT( BC$9:BC$50 )  - $C156 + 1, 1)) &gt; 0)))</f>
        <v>1</v>
      </c>
      <c r="BC156" s="8">
        <f>+IF(BC$8 = 125, 1, MIN(_xlfn._xlws.FILTER(INDEX( BC$55:BC$96, MAX( COUNT( BD$9:BD$50 )  - $B156 + 1, 1)) : INDEX( BC$55:BC$96, MAX( COUNT( BD$9:BD$50 )  - $C156 + 1, 1)), INDEX( BC$101:BC$142, MAX( COUNT( BD$9:BD$50 )  - $B156 + 1, 1)) : INDEX( BC$101:BC$142, MAX( COUNT( BD$9:BD$50 )  - $C156 + 1, 1)) &gt; 0)))</f>
        <v>1</v>
      </c>
      <c r="BD156" s="8">
        <f>+IF(BD$8 = 125, 1, MIN(_xlfn._xlws.FILTER(INDEX( BD$55:BD$96, MAX( COUNT( BE$9:BE$50 )  - $B156 + 1, 1)) : INDEX( BD$55:BD$96, MAX( COUNT( BE$9:BE$50 )  - $C156 + 1, 1)), INDEX( BD$101:BD$142, MAX( COUNT( BE$9:BE$50 )  - $B156 + 1, 1)) : INDEX( BD$101:BD$142, MAX( COUNT( BE$9:BE$50 )  - $C156 + 1, 1)) &gt; 0)))</f>
        <v>1</v>
      </c>
      <c r="BE156" s="8">
        <f>+IF(BE$8 = 125, 1, MIN(_xlfn._xlws.FILTER(INDEX( BE$55:BE$96, MAX( COUNT( BF$9:BF$50 )  - $B156 + 1, 1)) : INDEX( BE$55:BE$96, MAX( COUNT( BF$9:BF$50 )  - $C156 + 1, 1)), INDEX( BE$101:BE$142, MAX( COUNT( BF$9:BF$50 )  - $B156 + 1, 1)) : INDEX( BE$101:BE$142, MAX( COUNT( BF$9:BF$50 )  - $C156 + 1, 1)) &gt; 0)))</f>
        <v>1.0000632593028604</v>
      </c>
      <c r="BF156" s="8">
        <f>+IF(BF$8 = 125, 1, MIN(_xlfn._xlws.FILTER(INDEX( BF$55:BF$96, MAX( COUNT( BG$9:BG$50 )  - $B156 + 1, 1)) : INDEX( BF$55:BF$96, MAX( COUNT( BG$9:BG$50 )  - $C156 + 1, 1)), INDEX( BF$101:BF$142, MAX( COUNT( BG$9:BG$50 )  - $B156 + 1, 1)) : INDEX( BF$101:BF$142, MAX( COUNT( BG$9:BG$50 )  - $C156 + 1, 1)) &gt; 0)))</f>
        <v>1</v>
      </c>
      <c r="BG156" s="8">
        <f>+IF(BG$8 = 125, 1, MIN(_xlfn._xlws.FILTER(INDEX( BG$55:BG$96, MAX( COUNT( BH$9:BH$50 )  - $B156 + 1, 1)) : INDEX( BG$55:BG$96, MAX( COUNT( BH$9:BH$50 )  - $C156 + 1, 1)), INDEX( BG$101:BG$142, MAX( COUNT( BH$9:BH$50 )  - $B156 + 1, 1)) : INDEX( BG$101:BG$142, MAX( COUNT( BH$9:BH$50 )  - $C156 + 1, 1)) &gt; 0)))</f>
        <v>1</v>
      </c>
      <c r="BH156" s="8">
        <f>+IF(BH$8 = 125, 1, MIN(_xlfn._xlws.FILTER(INDEX( BH$55:BH$96, MAX( COUNT( BI$9:BI$50 )  - $B156 + 1, 1)) : INDEX( BH$55:BH$96, MAX( COUNT( BI$9:BI$50 )  - $C156 + 1, 1)), INDEX( BH$101:BH$142, MAX( COUNT( BI$9:BI$50 )  - $B156 + 1, 1)) : INDEX( BH$101:BH$142, MAX( COUNT( BI$9:BI$50 )  - $C156 + 1, 1)) &gt; 0)))</f>
        <v>1</v>
      </c>
      <c r="BI156" s="8">
        <f>+IF(BI$8 = 125, 1, MIN(_xlfn._xlws.FILTER(INDEX( BI$55:BI$96, MAX( COUNT( BJ$9:BJ$50 )  - $B156 + 1, 1)) : INDEX( BI$55:BI$96, MAX( COUNT( BJ$9:BJ$50 )  - $C156 + 1, 1)), INDEX( BI$101:BI$142, MAX( COUNT( BJ$9:BJ$50 )  - $B156 + 1, 1)) : INDEX( BI$101:BI$142, MAX( COUNT( BJ$9:BJ$50 )  - $C156 + 1, 1)) &gt; 0)))</f>
        <v>1</v>
      </c>
      <c r="BJ156" s="8">
        <f>+IF(BJ$8 = 125, 1, MIN(_xlfn._xlws.FILTER(INDEX( BJ$55:BJ$96, MAX( COUNT( BK$9:BK$50 )  - $B156 + 1, 1)) : INDEX( BJ$55:BJ$96, MAX( COUNT( BK$9:BK$50 )  - $C156 + 1, 1)), INDEX( BJ$101:BJ$142, MAX( COUNT( BK$9:BK$50 )  - $B156 + 1, 1)) : INDEX( BJ$101:BJ$142, MAX( COUNT( BK$9:BK$50 )  - $C156 + 1, 1)) &gt; 0)))</f>
        <v>1</v>
      </c>
      <c r="BK156" s="8">
        <f>+IF(BK$8 = 125, 1, MIN(_xlfn._xlws.FILTER(INDEX( BK$55:BK$96, MAX( COUNT( BL$9:BL$50 )  - $B156 + 1, 1)) : INDEX( BK$55:BK$96, MAX( COUNT( BL$9:BL$50 )  - $C156 + 1, 1)), INDEX( BK$101:BK$142, MAX( COUNT( BL$9:BL$50 )  - $B156 + 1, 1)) : INDEX( BK$101:BK$142, MAX( COUNT( BL$9:BL$50 )  - $C156 + 1, 1)) &gt; 0)))</f>
        <v>1</v>
      </c>
      <c r="BL156" s="8">
        <f>+IF(BL$8 = 125, 1, MIN(_xlfn._xlws.FILTER(INDEX( BL$55:BL$96, MAX( COUNT( BM$9:BM$50 )  - $B156 + 1, 1)) : INDEX( BL$55:BL$96, MAX( COUNT( BM$9:BM$50 )  - $C156 + 1, 1)), INDEX( BL$101:BL$142, MAX( COUNT( BM$9:BM$50 )  - $B156 + 1, 1)) : INDEX( BL$101:BL$142, MAX( COUNT( BM$9:BM$50 )  - $C156 + 1, 1)) &gt; 0)))</f>
        <v>1</v>
      </c>
      <c r="BM156" s="8">
        <f>+IF(BM$8 = 125, 1, MIN(_xlfn._xlws.FILTER(INDEX( BM$55:BM$96, MAX( COUNT( BN$9:BN$50 )  - $B156 + 1, 1)) : INDEX( BM$55:BM$96, MAX( COUNT( BN$9:BN$50 )  - $C156 + 1, 1)), INDEX( BM$101:BM$142, MAX( COUNT( BN$9:BN$50 )  - $B156 + 1, 1)) : INDEX( BM$101:BM$142, MAX( COUNT( BN$9:BN$50 )  - $C156 + 1, 1)) &gt; 0)))</f>
        <v>1</v>
      </c>
      <c r="BN156" s="8">
        <f>+IF(BN$8 = 125, 1, MIN(_xlfn._xlws.FILTER(INDEX( BN$55:BN$96, MAX( COUNT( BO$9:BO$50 )  - $B156 + 1, 1)) : INDEX( BN$55:BN$96, MAX( COUNT( BO$9:BO$50 )  - $C156 + 1, 1)), INDEX( BN$101:BN$142, MAX( COUNT( BO$9:BO$50 )  - $B156 + 1, 1)) : INDEX( BN$101:BN$142, MAX( COUNT( BO$9:BO$50 )  - $C156 + 1, 1)) &gt; 0)))</f>
        <v>1</v>
      </c>
      <c r="BO156" s="8">
        <f>+IF(BO$8 = 125, 1, MIN(_xlfn._xlws.FILTER(INDEX( BO$55:BO$96, MAX( COUNT( BP$9:BP$50 )  - $B156 + 1, 1)) : INDEX( BO$55:BO$96, MAX( COUNT( BP$9:BP$50 )  - $C156 + 1, 1)), INDEX( BO$101:BO$142, MAX( COUNT( BP$9:BP$50 )  - $B156 + 1, 1)) : INDEX( BO$101:BO$142, MAX( COUNT( BP$9:BP$50 )  - $C156 + 1, 1)) &gt; 0)))</f>
        <v>1</v>
      </c>
      <c r="BP156" s="8">
        <f>+IF(BP$8 = 125, 1, MIN(_xlfn._xlws.FILTER(INDEX( BP$55:BP$96, MAX( COUNT( BQ$9:BQ$50 )  - $B156 + 1, 1)) : INDEX( BP$55:BP$96, MAX( COUNT( BQ$9:BQ$50 )  - $C156 + 1, 1)), INDEX( BP$101:BP$142, MAX( COUNT( BQ$9:BQ$50 )  - $B156 + 1, 1)) : INDEX( BP$101:BP$142, MAX( COUNT( BQ$9:BQ$50 )  - $C156 + 1, 1)) &gt; 0)))</f>
        <v>1</v>
      </c>
      <c r="BQ156" s="8">
        <f>+IF(BQ$8 = 125, 1, MIN(_xlfn._xlws.FILTER(INDEX( BQ$55:BQ$96, MAX( COUNT( BR$9:BR$50 )  - $B156 + 1, 1)) : INDEX( BQ$55:BQ$96, MAX( COUNT( BR$9:BR$50 )  - $C156 + 1, 1)), INDEX( BQ$101:BQ$142, MAX( COUNT( BR$9:BR$50 )  - $B156 + 1, 1)) : INDEX( BQ$101:BQ$142, MAX( COUNT( BR$9:BR$50 )  - $C156 + 1, 1)) &gt; 0)))</f>
        <v>1</v>
      </c>
      <c r="BR156" s="8">
        <f>+IF(BR$8 = 125, 1, MIN(_xlfn._xlws.FILTER(INDEX( BR$55:BR$96, MAX( COUNT( BS$9:BS$50 )  - $B156 + 1, 1)) : INDEX( BR$55:BR$96, MAX( COUNT( BS$9:BS$50 )  - $C156 + 1, 1)), INDEX( BR$101:BR$142, MAX( COUNT( BS$9:BS$50 )  - $B156 + 1, 1)) : INDEX( BR$101:BR$142, MAX( COUNT( BS$9:BS$50 )  - $C156 + 1, 1)) &gt; 0)))</f>
        <v>1</v>
      </c>
      <c r="BS156" s="8">
        <f>+IF(BS$8 = 125, 1, MIN(_xlfn._xlws.FILTER(INDEX( BS$55:BS$96, MAX( COUNT( BT$9:BT$50 )  - $B156 + 1, 1)) : INDEX( BS$55:BS$96, MAX( COUNT( BT$9:BT$50 )  - $C156 + 1, 1)), INDEX( BS$101:BS$142, MAX( COUNT( BT$9:BT$50 )  - $B156 + 1, 1)) : INDEX( BS$101:BS$142, MAX( COUNT( BT$9:BT$50 )  - $C156 + 1, 1)) &gt; 0)))</f>
        <v>1</v>
      </c>
      <c r="BT156" s="8">
        <f>+IF(BT$8 = 125, 1, MIN(_xlfn._xlws.FILTER(INDEX( BT$55:BT$96, MAX( COUNT( BU$9:BU$50 )  - $B156 + 1, 1)) : INDEX( BT$55:BT$96, MAX( COUNT( BU$9:BU$50 )  - $C156 + 1, 1)), INDEX( BT$101:BT$142, MAX( COUNT( BU$9:BU$50 )  - $B156 + 1, 1)) : INDEX( BT$101:BT$142, MAX( COUNT( BU$9:BU$50 )  - $C156 + 1, 1)) &gt; 0)))</f>
        <v>1</v>
      </c>
      <c r="BU156" s="8">
        <f>+IF(BU$8 = 125, 1, MIN(_xlfn._xlws.FILTER(INDEX( BU$55:BU$96, MAX( COUNT( BV$9:BV$50 )  - $B156 + 1, 1)) : INDEX( BU$55:BU$96, MAX( COUNT( BV$9:BV$50 )  - $C156 + 1, 1)), INDEX( BU$101:BU$142, MAX( COUNT( BV$9:BV$50 )  - $B156 + 1, 1)) : INDEX( BU$101:BU$142, MAX( COUNT( BV$9:BV$50 )  - $C156 + 1, 1)) &gt; 0)))</f>
        <v>1</v>
      </c>
      <c r="BV156" s="8">
        <f>+IF(BV$8 = 125, 1, MIN(_xlfn._xlws.FILTER(INDEX( BV$55:BV$96, MAX( COUNT( BW$9:BW$50 )  - $B156 + 1, 1)) : INDEX( BV$55:BV$96, MAX( COUNT( BW$9:BW$50 )  - $C156 + 1, 1)), INDEX( BV$101:BV$142, MAX( COUNT( BW$9:BW$50 )  - $B156 + 1, 1)) : INDEX( BV$101:BV$142, MAX( COUNT( BW$9:BW$50 )  - $C156 + 1, 1)) &gt; 0)))</f>
        <v>1</v>
      </c>
      <c r="BW156" s="8">
        <f>+IF(BW$8 = 125, 1, MIN(_xlfn._xlws.FILTER(INDEX( BW$55:BW$96, MAX( COUNT( BX$9:BX$50 )  - $B156 + 1, 1)) : INDEX( BW$55:BW$96, MAX( COUNT( BX$9:BX$50 )  - $C156 + 1, 1)), INDEX( BW$101:BW$142, MAX( COUNT( BX$9:BX$50 )  - $B156 + 1, 1)) : INDEX( BW$101:BW$142, MAX( COUNT( BX$9:BX$50 )  - $C156 + 1, 1)) &gt; 0)))</f>
        <v>1</v>
      </c>
      <c r="BX156" s="8">
        <f>+IF(BX$8 = 125, 1, MIN(_xlfn._xlws.FILTER(INDEX( BX$55:BX$96, MAX( COUNT( BY$9:BY$50 )  - $B156 + 1, 1)) : INDEX( BX$55:BX$96, MAX( COUNT( BY$9:BY$50 )  - $C156 + 1, 1)), INDEX( BX$101:BX$142, MAX( COUNT( BY$9:BY$50 )  - $B156 + 1, 1)) : INDEX( BX$101:BX$142, MAX( COUNT( BY$9:BY$50 )  - $C156 + 1, 1)) &gt; 0)))</f>
        <v>1</v>
      </c>
      <c r="BY156" s="8">
        <f>+IF(BY$8 = 125, 1, MIN(_xlfn._xlws.FILTER(INDEX( BY$55:BY$96, MAX( COUNT( BZ$9:BZ$50 )  - $B156 + 1, 1)) : INDEX( BY$55:BY$96, MAX( COUNT( BZ$9:BZ$50 )  - $C156 + 1, 1)), INDEX( BY$101:BY$142, MAX( COUNT( BZ$9:BZ$50 )  - $B156 + 1, 1)) : INDEX( BY$101:BY$142, MAX( COUNT( BZ$9:BZ$50 )  - $C156 + 1, 1)) &gt; 0)))</f>
        <v>1</v>
      </c>
      <c r="BZ156" s="8">
        <f>+IF(BZ$8 = 125, 1, MIN(_xlfn._xlws.FILTER(INDEX( BZ$55:BZ$96, MAX( COUNT( CA$9:CA$50 )  - $B156 + 1, 1)) : INDEX( BZ$55:BZ$96, MAX( COUNT( CA$9:CA$50 )  - $C156 + 1, 1)), INDEX( BZ$101:BZ$142, MAX( COUNT( CA$9:CA$50 )  - $B156 + 1, 1)) : INDEX( BZ$101:BZ$142, MAX( COUNT( CA$9:CA$50 )  - $C156 + 1, 1)) &gt; 0)))</f>
        <v>1</v>
      </c>
      <c r="CA156" s="8">
        <f>+IF(CA$8 = 125, 1, MIN(_xlfn._xlws.FILTER(INDEX( CA$55:CA$96, MAX( COUNT( CB$9:CB$50 )  - $B156 + 1, 1)) : INDEX( CA$55:CA$96, MAX( COUNT( CB$9:CB$50 )  - $C156 + 1, 1)), INDEX( CA$101:CA$142, MAX( COUNT( CB$9:CB$50 )  - $B156 + 1, 1)) : INDEX( CA$101:CA$142, MAX( COUNT( CB$9:CB$50 )  - $C156 + 1, 1)) &gt; 0)))</f>
        <v>1</v>
      </c>
      <c r="CB156" s="8">
        <f>+IF(CB$8 = 125, 1, MIN(_xlfn._xlws.FILTER(INDEX( CB$55:CB$96, MAX( COUNT( CC$9:CC$50 )  - $B156 + 1, 1)) : INDEX( CB$55:CB$96, MAX( COUNT( CC$9:CC$50 )  - $C156 + 1, 1)), INDEX( CB$101:CB$142, MAX( COUNT( CC$9:CC$50 )  - $B156 + 1, 1)) : INDEX( CB$101:CB$142, MAX( COUNT( CC$9:CC$50 )  - $C156 + 1, 1)) &gt; 0)))</f>
        <v>1</v>
      </c>
      <c r="CC156" s="8">
        <f>+IF(CC$8 = 125, 1, MIN(_xlfn._xlws.FILTER(INDEX( CC$55:CC$96, MAX( COUNT( CD$9:CD$50 )  - $B156 + 1, 1)) : INDEX( CC$55:CC$96, MAX( COUNT( CD$9:CD$50 )  - $C156 + 1, 1)), INDEX( CC$101:CC$142, MAX( COUNT( CD$9:CD$50 )  - $B156 + 1, 1)) : INDEX( CC$101:CC$142, MAX( COUNT( CD$9:CD$50 )  - $C156 + 1, 1)) &gt; 0)))</f>
        <v>1</v>
      </c>
      <c r="CD156" s="8">
        <f>+IF(CD$8 = 125, 1, MIN(_xlfn._xlws.FILTER(INDEX( CD$55:CD$96, MAX( COUNT( CE$9:CE$50 )  - $B156 + 1, 1)) : INDEX( CD$55:CD$96, MAX( COUNT( CE$9:CE$50 )  - $C156 + 1, 1)), INDEX( CD$101:CD$142, MAX( COUNT( CE$9:CE$50 )  - $B156 + 1, 1)) : INDEX( CD$101:CD$142, MAX( COUNT( CE$9:CE$50 )  - $C156 + 1, 1)) &gt; 0)))</f>
        <v>1</v>
      </c>
      <c r="CE156" s="8">
        <f>+IF(CE$8 = 125, 1, MIN(_xlfn._xlws.FILTER(INDEX( CE$55:CE$96, MAX( COUNT( CF$9:CF$50 )  - $B156 + 1, 1)) : INDEX( CE$55:CE$96, MAX( COUNT( CF$9:CF$50 )  - $C156 + 1, 1)), INDEX( CE$101:CE$142, MAX( COUNT( CF$9:CF$50 )  - $B156 + 1, 1)) : INDEX( CE$101:CE$142, MAX( COUNT( CF$9:CF$50 )  - $C156 + 1, 1)) &gt; 0)))</f>
        <v>1</v>
      </c>
      <c r="CF156" s="8">
        <f>+IF(CF$8 = 125, 1, MIN(_xlfn._xlws.FILTER(INDEX( CF$55:CF$96, MAX( COUNT( CG$9:CG$50 )  - $B156 + 1, 1)) : INDEX( CF$55:CF$96, MAX( COUNT( CG$9:CG$50 )  - $C156 + 1, 1)), INDEX( CF$101:CF$142, MAX( COUNT( CG$9:CG$50 )  - $B156 + 1, 1)) : INDEX( CF$101:CF$142, MAX( COUNT( CG$9:CG$50 )  - $C156 + 1, 1)) &gt; 0)))</f>
        <v>1</v>
      </c>
      <c r="CG156" s="8">
        <f>+IF(CG$8 = 125, 1, MIN(_xlfn._xlws.FILTER(INDEX( CG$55:CG$96, MAX( COUNT( CH$9:CH$50 )  - $B156 + 1, 1)) : INDEX( CG$55:CG$96, MAX( COUNT( CH$9:CH$50 )  - $C156 + 1, 1)), INDEX( CG$101:CG$142, MAX( COUNT( CH$9:CH$50 )  - $B156 + 1, 1)) : INDEX( CG$101:CG$142, MAX( COUNT( CH$9:CH$50 )  - $C156 + 1, 1)) &gt; 0)))</f>
        <v>1</v>
      </c>
      <c r="CH156" s="8">
        <f>+IF(CH$8 = 125, 1, MIN(_xlfn._xlws.FILTER(INDEX( CH$55:CH$96, MAX( COUNT( CI$9:CI$50 )  - $B156 + 1, 1)) : INDEX( CH$55:CH$96, MAX( COUNT( CI$9:CI$50 )  - $C156 + 1, 1)), INDEX( CH$101:CH$142, MAX( COUNT( CI$9:CI$50 )  - $B156 + 1, 1)) : INDEX( CH$101:CH$142, MAX( COUNT( CI$9:CI$50 )  - $C156 + 1, 1)) &gt; 0)))</f>
        <v>1</v>
      </c>
      <c r="CI156" s="8">
        <f>+IF(CI$8 = 125, 1, MIN(_xlfn._xlws.FILTER(INDEX( CI$55:CI$96, MAX( COUNT( CJ$9:CJ$50 )  - $B156 + 1, 1)) : INDEX( CI$55:CI$96, MAX( COUNT( CJ$9:CJ$50 )  - $C156 + 1, 1)), INDEX( CI$101:CI$142, MAX( COUNT( CJ$9:CJ$50 )  - $B156 + 1, 1)) : INDEX( CI$101:CI$142, MAX( COUNT( CJ$9:CJ$50 )  - $C156 + 1, 1)) &gt; 0)))</f>
        <v>1</v>
      </c>
      <c r="CJ156" s="8">
        <f>+IF(CJ$8 = 125, 1, MIN(_xlfn._xlws.FILTER(INDEX( CJ$55:CJ$96, MAX( COUNT( CK$9:CK$50 )  - $B156 + 1, 1)) : INDEX( CJ$55:CJ$96, MAX( COUNT( CK$9:CK$50 )  - $C156 + 1, 1)), INDEX( CJ$101:CJ$142, MAX( COUNT( CK$9:CK$50 )  - $B156 + 1, 1)) : INDEX( CJ$101:CJ$142, MAX( COUNT( CK$9:CK$50 )  - $C156 + 1, 1)) &gt; 0)))</f>
        <v>1</v>
      </c>
      <c r="CK156" s="8">
        <f>+IF(CK$8 = 125, 1, MIN(_xlfn._xlws.FILTER(INDEX( CK$55:CK$96, MAX( COUNT( CL$9:CL$50 )  - $B156 + 1, 1)) : INDEX( CK$55:CK$96, MAX( COUNT( CL$9:CL$50 )  - $C156 + 1, 1)), INDEX( CK$101:CK$142, MAX( COUNT( CL$9:CL$50 )  - $B156 + 1, 1)) : INDEX( CK$101:CK$142, MAX( COUNT( CL$9:CL$50 )  - $C156 + 1, 1)) &gt; 0)))</f>
        <v>1</v>
      </c>
      <c r="CL156" s="8">
        <f>+IF(CL$8 = 125, 1, MIN(_xlfn._xlws.FILTER(INDEX( CL$55:CL$96, MAX( COUNT( CM$9:CM$50 )  - $B156 + 1, 1)) : INDEX( CL$55:CL$96, MAX( COUNT( CM$9:CM$50 )  - $C156 + 1, 1)), INDEX( CL$101:CL$142, MAX( COUNT( CM$9:CM$50 )  - $B156 + 1, 1)) : INDEX( CL$101:CL$142, MAX( COUNT( CM$9:CM$50 )  - $C156 + 1, 1)) &gt; 0)))</f>
        <v>1</v>
      </c>
      <c r="CM156" s="8">
        <f>+IF(CM$8 = 125, 1, MIN(_xlfn._xlws.FILTER(INDEX( CM$55:CM$96, MAX( COUNT( CN$9:CN$50 )  - $B156 + 1, 1)) : INDEX( CM$55:CM$96, MAX( COUNT( CN$9:CN$50 )  - $C156 + 1, 1)), INDEX( CM$101:CM$142, MAX( COUNT( CN$9:CN$50 )  - $B156 + 1, 1)) : INDEX( CM$101:CM$142, MAX( COUNT( CN$9:CN$50 )  - $C156 + 1, 1)) &gt; 0)))</f>
        <v>1.0001140232426526</v>
      </c>
      <c r="CN156" s="8">
        <f>+IF(CN$8 = 125, 1, MIN(_xlfn._xlws.FILTER(INDEX( CN$55:CN$96, MAX( COUNT( CO$9:CO$50 )  - $B156 + 1, 1)) : INDEX( CN$55:CN$96, MAX( COUNT( CO$9:CO$50 )  - $C156 + 1, 1)), INDEX( CN$101:CN$142, MAX( COUNT( CO$9:CO$50 )  - $B156 + 1, 1)) : INDEX( CN$101:CN$142, MAX( COUNT( CO$9:CO$50 )  - $C156 + 1, 1)) &gt; 0)))</f>
        <v>1</v>
      </c>
      <c r="CO156" s="8">
        <f>+IF(CO$8 = 125, 1, MIN(_xlfn._xlws.FILTER(INDEX( CO$55:CO$96, MAX( COUNT( CP$9:CP$50 )  - $B156 + 1, 1)) : INDEX( CO$55:CO$96, MAX( COUNT( CP$9:CP$50 )  - $C156 + 1, 1)), INDEX( CO$101:CO$142, MAX( COUNT( CP$9:CP$50 )  - $B156 + 1, 1)) : INDEX( CO$101:CO$142, MAX( COUNT( CP$9:CP$50 )  - $C156 + 1, 1)) &gt; 0)))</f>
        <v>1</v>
      </c>
      <c r="CP156" s="8">
        <f>+IF(CP$8 = 125, 1, MIN(_xlfn._xlws.FILTER(INDEX( CP$55:CP$96, MAX( COUNT( CQ$9:CQ$50 )  - $B156 + 1, 1)) : INDEX( CP$55:CP$96, MAX( COUNT( CQ$9:CQ$50 )  - $C156 + 1, 1)), INDEX( CP$101:CP$142, MAX( COUNT( CQ$9:CQ$50 )  - $B156 + 1, 1)) : INDEX( CP$101:CP$142, MAX( COUNT( CQ$9:CQ$50 )  - $C156 + 1, 1)) &gt; 0)))</f>
        <v>1</v>
      </c>
      <c r="CQ156" s="8">
        <f>+IF(CQ$8 = 125, 1, MIN(_xlfn._xlws.FILTER(INDEX( CQ$55:CQ$96, MAX( COUNT( CR$9:CR$50 )  - $B156 + 1, 1)) : INDEX( CQ$55:CQ$96, MAX( COUNT( CR$9:CR$50 )  - $C156 + 1, 1)), INDEX( CQ$101:CQ$142, MAX( COUNT( CR$9:CR$50 )  - $B156 + 1, 1)) : INDEX( CQ$101:CQ$142, MAX( COUNT( CR$9:CR$50 )  - $C156 + 1, 1)) &gt; 0)))</f>
        <v>1</v>
      </c>
      <c r="CR156" s="8">
        <f>+IF(CR$8 = 125, 1, MIN(_xlfn._xlws.FILTER(INDEX( CR$55:CR$96, MAX( COUNT( CS$9:CS$50 )  - $B156 + 1, 1)) : INDEX( CR$55:CR$96, MAX( COUNT( CS$9:CS$50 )  - $C156 + 1, 1)), INDEX( CR$101:CR$142, MAX( COUNT( CS$9:CS$50 )  - $B156 + 1, 1)) : INDEX( CR$101:CR$142, MAX( COUNT( CS$9:CS$50 )  - $C156 + 1, 1)) &gt; 0)))</f>
        <v>1</v>
      </c>
      <c r="CS156" s="8">
        <f>+IF(CS$8 = 125, 1, MIN(_xlfn._xlws.FILTER(INDEX( CS$55:CS$96, MAX( COUNT( CT$9:CT$50 )  - $B156 + 1, 1)) : INDEX( CS$55:CS$96, MAX( COUNT( CT$9:CT$50 )  - $C156 + 1, 1)), INDEX( CS$101:CS$142, MAX( COUNT( CT$9:CT$50 )  - $B156 + 1, 1)) : INDEX( CS$101:CS$142, MAX( COUNT( CT$9:CT$50 )  - $C156 + 1, 1)) &gt; 0)))</f>
        <v>1</v>
      </c>
      <c r="CT156" s="8">
        <f>+IF(CT$8 = 125, 1, MIN(_xlfn._xlws.FILTER(INDEX( CT$55:CT$96, MAX( COUNT( CU$9:CU$50 )  - $B156 + 1, 1)) : INDEX( CT$55:CT$96, MAX( COUNT( CU$9:CU$50 )  - $C156 + 1, 1)), INDEX( CT$101:CT$142, MAX( COUNT( CU$9:CU$50 )  - $B156 + 1, 1)) : INDEX( CT$101:CT$142, MAX( COUNT( CU$9:CU$50 )  - $C156 + 1, 1)) &gt; 0)))</f>
        <v>1</v>
      </c>
      <c r="CU156" s="8">
        <f>+IF(CU$8 = 125, 1, MIN(_xlfn._xlws.FILTER(INDEX( CU$55:CU$96, MAX( COUNT( CV$9:CV$50 )  - $B156 + 1, 1)) : INDEX( CU$55:CU$96, MAX( COUNT( CV$9:CV$50 )  - $C156 + 1, 1)), INDEX( CU$101:CU$142, MAX( COUNT( CV$9:CV$50 )  - $B156 + 1, 1)) : INDEX( CU$101:CU$142, MAX( COUNT( CV$9:CV$50 )  - $C156 + 1, 1)) &gt; 0)))</f>
        <v>1</v>
      </c>
      <c r="CV156" s="8">
        <f>+IF(CV$8 = 125, 1, MIN(_xlfn._xlws.FILTER(INDEX( CV$55:CV$96, MAX( COUNT( CW$9:CW$50 )  - $B156 + 1, 1)) : INDEX( CV$55:CV$96, MAX( COUNT( CW$9:CW$50 )  - $C156 + 1, 1)), INDEX( CV$101:CV$142, MAX( COUNT( CW$9:CW$50 )  - $B156 + 1, 1)) : INDEX( CV$101:CV$142, MAX( COUNT( CW$9:CW$50 )  - $C156 + 1, 1)) &gt; 0)))</f>
        <v>1</v>
      </c>
      <c r="CW156" s="8">
        <f>+IF(CW$8 = 125, 1, MIN(_xlfn._xlws.FILTER(INDEX( CW$55:CW$96, MAX( COUNT( CX$9:CX$50 )  - $B156 + 1, 1)) : INDEX( CW$55:CW$96, MAX( COUNT( CX$9:CX$50 )  - $C156 + 1, 1)), INDEX( CW$101:CW$142, MAX( COUNT( CX$9:CX$50 )  - $B156 + 1, 1)) : INDEX( CW$101:CW$142, MAX( COUNT( CX$9:CX$50 )  - $C156 + 1, 1)) &gt; 0)))</f>
        <v>1</v>
      </c>
      <c r="CX156" s="8">
        <f>+IF(CX$8 = 125, 1, MIN(_xlfn._xlws.FILTER(INDEX( CX$55:CX$96, MAX( COUNT( CY$9:CY$50 )  - $B156 + 1, 1)) : INDEX( CX$55:CX$96, MAX( COUNT( CY$9:CY$50 )  - $C156 + 1, 1)), INDEX( CX$101:CX$142, MAX( COUNT( CY$9:CY$50 )  - $B156 + 1, 1)) : INDEX( CX$101:CX$142, MAX( COUNT( CY$9:CY$50 )  - $C156 + 1, 1)) &gt; 0)))</f>
        <v>1</v>
      </c>
      <c r="CY156" s="8">
        <f>+IF(CY$8 = 125, 1, MIN(_xlfn._xlws.FILTER(INDEX( CY$55:CY$96, MAX( COUNT( CZ$9:CZ$50 )  - $B156 + 1, 1)) : INDEX( CY$55:CY$96, MAX( COUNT( CZ$9:CZ$50 )  - $C156 + 1, 1)), INDEX( CY$101:CY$142, MAX( COUNT( CZ$9:CZ$50 )  - $B156 + 1, 1)) : INDEX( CY$101:CY$142, MAX( COUNT( CZ$9:CZ$50 )  - $C156 + 1, 1)) &gt; 0)))</f>
        <v>1</v>
      </c>
      <c r="CZ156" s="8">
        <f>+IF(CZ$8 = 125, 1, MIN(_xlfn._xlws.FILTER(INDEX( CZ$55:CZ$96, MAX( COUNT( DA$9:DA$50 )  - $B156 + 1, 1)) : INDEX( CZ$55:CZ$96, MAX( COUNT( DA$9:DA$50 )  - $C156 + 1, 1)), INDEX( CZ$101:CZ$142, MAX( COUNT( DA$9:DA$50 )  - $B156 + 1, 1)) : INDEX( CZ$101:CZ$142, MAX( COUNT( DA$9:DA$50 )  - $C156 + 1, 1)) &gt; 0)))</f>
        <v>1.0001612230718515</v>
      </c>
      <c r="DA156" s="8">
        <f>+IF(DA$8 = 125, 1, MIN(_xlfn._xlws.FILTER(INDEX( DA$55:DA$96, MAX( COUNT( DB$9:DB$50 )  - $B156 + 1, 1)) : INDEX( DA$55:DA$96, MAX( COUNT( DB$9:DB$50 )  - $C156 + 1, 1)), INDEX( DA$101:DA$142, MAX( COUNT( DB$9:DB$50 )  - $B156 + 1, 1)) : INDEX( DA$101:DA$142, MAX( COUNT( DB$9:DB$50 )  - $C156 + 1, 1)) &gt; 0)))</f>
        <v>1</v>
      </c>
      <c r="DB156" s="8">
        <f>+IF(DB$8 = 125, 1, MIN(_xlfn._xlws.FILTER(INDEX( DB$55:DB$96, MAX( COUNT( DC$9:DC$50 )  - $B156 + 1, 1)) : INDEX( DB$55:DB$96, MAX( COUNT( DC$9:DC$50 )  - $C156 + 1, 1)), INDEX( DB$101:DB$142, MAX( COUNT( DC$9:DC$50 )  - $B156 + 1, 1)) : INDEX( DB$101:DB$142, MAX( COUNT( DC$9:DC$50 )  - $C156 + 1, 1)) &gt; 0)))</f>
        <v>1</v>
      </c>
      <c r="DC156" s="8">
        <f>+IF(DC$8 = 125, 1, MIN(_xlfn._xlws.FILTER(INDEX( DC$55:DC$96, MAX( COUNT( DD$9:DD$50 )  - $B156 + 1, 1)) : INDEX( DC$55:DC$96, MAX( COUNT( DD$9:DD$50 )  - $C156 + 1, 1)), INDEX( DC$101:DC$142, MAX( COUNT( DD$9:DD$50 )  - $B156 + 1, 1)) : INDEX( DC$101:DC$142, MAX( COUNT( DD$9:DD$50 )  - $C156 + 1, 1)) &gt; 0)))</f>
        <v>1</v>
      </c>
      <c r="DD156" s="8">
        <f>+IF(DD$8 = 125, 1, MIN(_xlfn._xlws.FILTER(INDEX( DD$55:DD$96, MAX( COUNT( DE$9:DE$50 )  - $B156 + 1, 1)) : INDEX( DD$55:DD$96, MAX( COUNT( DE$9:DE$50 )  - $C156 + 1, 1)), INDEX( DD$101:DD$142, MAX( COUNT( DE$9:DE$50 )  - $B156 + 1, 1)) : INDEX( DD$101:DD$142, MAX( COUNT( DE$9:DE$50 )  - $C156 + 1, 1)) &gt; 0)))</f>
        <v>1</v>
      </c>
      <c r="DE156" s="8">
        <f>+IF(DE$8 = 125, 1, MIN(_xlfn._xlws.FILTER(INDEX( DE$55:DE$96, MAX( COUNT( DF$9:DF$50 )  - $B156 + 1, 1)) : INDEX( DE$55:DE$96, MAX( COUNT( DF$9:DF$50 )  - $C156 + 1, 1)), INDEX( DE$101:DE$142, MAX( COUNT( DF$9:DF$50 )  - $B156 + 1, 1)) : INDEX( DE$101:DE$142, MAX( COUNT( DF$9:DF$50 )  - $C156 + 1, 1)) &gt; 0)))</f>
        <v>1</v>
      </c>
      <c r="DF156" s="8">
        <f>+IF(DF$8 = 125, 1, MIN(_xlfn._xlws.FILTER(INDEX( DF$55:DF$96, MAX( COUNT( DG$9:DG$50 )  - $B156 + 1, 1)) : INDEX( DF$55:DF$96, MAX( COUNT( DG$9:DG$50 )  - $C156 + 1, 1)), INDEX( DF$101:DF$142, MAX( COUNT( DG$9:DG$50 )  - $B156 + 1, 1)) : INDEX( DF$101:DF$142, MAX( COUNT( DG$9:DG$50 )  - $C156 + 1, 1)) &gt; 0)))</f>
        <v>1</v>
      </c>
      <c r="DG156" s="8">
        <f>+IF(DG$8 = 125, 1, MIN(_xlfn._xlws.FILTER(INDEX( DG$55:DG$96, MAX( COUNT( DH$9:DH$50 )  - $B156 + 1, 1)) : INDEX( DG$55:DG$96, MAX( COUNT( DH$9:DH$50 )  - $C156 + 1, 1)), INDEX( DG$101:DG$142, MAX( COUNT( DH$9:DH$50 )  - $B156 + 1, 1)) : INDEX( DG$101:DG$142, MAX( COUNT( DH$9:DH$50 )  - $C156 + 1, 1)) &gt; 0)))</f>
        <v>1</v>
      </c>
      <c r="DH156" s="8">
        <f>+IF(DH$8 = 125, 1, MIN(_xlfn._xlws.FILTER(INDEX( DH$55:DH$96, MAX( COUNT( DI$9:DI$50 )  - $B156 + 1, 1)) : INDEX( DH$55:DH$96, MAX( COUNT( DI$9:DI$50 )  - $C156 + 1, 1)), INDEX( DH$101:DH$142, MAX( COUNT( DI$9:DI$50 )  - $B156 + 1, 1)) : INDEX( DH$101:DH$142, MAX( COUNT( DI$9:DI$50 )  - $C156 + 1, 1)) &gt; 0)))</f>
        <v>1</v>
      </c>
      <c r="DI156" s="8">
        <f>+IF(DI$8 = 125, 1, MIN(_xlfn._xlws.FILTER(INDEX( DI$55:DI$96, MAX( COUNT( DJ$9:DJ$50 )  - $B156 + 1, 1)) : INDEX( DI$55:DI$96, MAX( COUNT( DJ$9:DJ$50 )  - $C156 + 1, 1)), INDEX( DI$101:DI$142, MAX( COUNT( DJ$9:DJ$50 )  - $B156 + 1, 1)) : INDEX( DI$101:DI$142, MAX( COUNT( DJ$9:DJ$50 )  - $C156 + 1, 1)) &gt; 0)))</f>
        <v>1</v>
      </c>
      <c r="DJ156" s="8">
        <f>+IF(DJ$8 = 125, 1, MIN(_xlfn._xlws.FILTER(INDEX( DJ$55:DJ$96, MAX( COUNT( DK$9:DK$50 )  - $B156 + 1, 1)) : INDEX( DJ$55:DJ$96, MAX( COUNT( DK$9:DK$50 )  - $C156 + 1, 1)), INDEX( DJ$101:DJ$142, MAX( COUNT( DK$9:DK$50 )  - $B156 + 1, 1)) : INDEX( DJ$101:DJ$142, MAX( COUNT( DK$9:DK$50 )  - $C156 + 1, 1)) &gt; 0)))</f>
        <v>1</v>
      </c>
      <c r="DK156" s="8">
        <f>+IF(DK$8 = 125, 1, MIN(_xlfn._xlws.FILTER(INDEX( DK$55:DK$96, MAX( COUNT( DL$9:DL$50 )  - $B156 + 1, 1)) : INDEX( DK$55:DK$96, MAX( COUNT( DL$9:DL$50 )  - $C156 + 1, 1)), INDEX( DK$101:DK$142, MAX( COUNT( DL$9:DL$50 )  - $B156 + 1, 1)) : INDEX( DK$101:DK$142, MAX( COUNT( DL$9:DL$50 )  - $C156 + 1, 1)) &gt; 0)))</f>
        <v>1.0005793113074559</v>
      </c>
      <c r="DL156" s="8">
        <f>+IF(DL$8 = 125, 1, MIN(_xlfn._xlws.FILTER(INDEX( DL$55:DL$96, MAX( COUNT( DM$9:DM$50 )  - $B156 + 1, 1)) : INDEX( DL$55:DL$96, MAX( COUNT( DM$9:DM$50 )  - $C156 + 1, 1)), INDEX( DL$101:DL$142, MAX( COUNT( DM$9:DM$50 )  - $B156 + 1, 1)) : INDEX( DL$101:DL$142, MAX( COUNT( DM$9:DM$50 )  - $C156 + 1, 1)) &gt; 0)))</f>
        <v>1.000321303135874</v>
      </c>
      <c r="DM156" s="8">
        <f>+IF(DM$8 = 125, 1, MIN(_xlfn._xlws.FILTER(INDEX( DM$55:DM$96, MAX( COUNT( DN$9:DN$50 )  - $B156 + 1, 1)) : INDEX( DM$55:DM$96, MAX( COUNT( DN$9:DN$50 )  - $C156 + 1, 1)), INDEX( DM$101:DM$142, MAX( COUNT( DN$9:DN$50 )  - $B156 + 1, 1)) : INDEX( DM$101:DM$142, MAX( COUNT( DN$9:DN$50 )  - $C156 + 1, 1)) &gt; 0)))</f>
        <v>1</v>
      </c>
      <c r="DN156" s="8">
        <f>+IF(DN$8 = 125, 1, MIN(_xlfn._xlws.FILTER(INDEX( DN$55:DN$96, MAX( COUNT( DO$9:DO$50 )  - $B156 + 1, 1)) : INDEX( DN$55:DN$96, MAX( COUNT( DO$9:DO$50 )  - $C156 + 1, 1)), INDEX( DN$101:DN$142, MAX( COUNT( DO$9:DO$50 )  - $B156 + 1, 1)) : INDEX( DN$101:DN$142, MAX( COUNT( DO$9:DO$50 )  - $C156 + 1, 1)) &gt; 0)))</f>
        <v>1</v>
      </c>
      <c r="DO156" s="8">
        <f>+IF(DO$8 = 125, 1, MIN(_xlfn._xlws.FILTER(INDEX( DO$55:DO$96, MAX( COUNT( DP$9:DP$50 )  - $B156 + 1, 1)) : INDEX( DO$55:DO$96, MAX( COUNT( DP$9:DP$50 )  - $C156 + 1, 1)), INDEX( DO$101:DO$142, MAX( COUNT( DP$9:DP$50 )  - $B156 + 1, 1)) : INDEX( DO$101:DO$142, MAX( COUNT( DP$9:DP$50 )  - $C156 + 1, 1)) &gt; 0)))</f>
        <v>1.0000514705482166</v>
      </c>
      <c r="DP156" s="8">
        <f>+IF(DP$8 = 125, 1, MIN(_xlfn._xlws.FILTER(INDEX( DP$55:DP$96, MAX( COUNT( DQ$9:DQ$50 )  - $B156 + 1, 1)) : INDEX( DP$55:DP$96, MAX( COUNT( DQ$9:DQ$50 )  - $C156 + 1, 1)), INDEX( DP$101:DP$142, MAX( COUNT( DQ$9:DQ$50 )  - $B156 + 1, 1)) : INDEX( DP$101:DP$142, MAX( COUNT( DQ$9:DQ$50 )  - $C156 + 1, 1)) &gt; 0)))</f>
        <v>1</v>
      </c>
      <c r="DQ156" s="8">
        <f>+IF(DQ$8 = 125, 1, MIN(_xlfn._xlws.FILTER(INDEX( DQ$55:DQ$96, MAX( COUNT( DR$9:DR$50 )  - $B156 + 1, 1)) : INDEX( DQ$55:DQ$96, MAX( COUNT( DR$9:DR$50 )  - $C156 + 1, 1)), INDEX( DQ$101:DQ$142, MAX( COUNT( DR$9:DR$50 )  - $B156 + 1, 1)) : INDEX( DQ$101:DQ$142, MAX( COUNT( DR$9:DR$50 )  - $C156 + 1, 1)) &gt; 0)))</f>
        <v>1</v>
      </c>
      <c r="DR156" s="8">
        <f>+IF(DR$8 = 125, 1, MIN(_xlfn._xlws.FILTER(INDEX( DR$55:DR$96, MAX( COUNT( DS$9:DS$50 )  - $B156 + 1, 1)) : INDEX( DR$55:DR$96, MAX( COUNT( DS$9:DS$50 )  - $C156 + 1, 1)), INDEX( DR$101:DR$142, MAX( COUNT( DS$9:DS$50 )  - $B156 + 1, 1)) : INDEX( DR$101:DR$142, MAX( COUNT( DS$9:DS$50 )  - $C156 + 1, 1)) &gt; 0)))</f>
        <v>1</v>
      </c>
      <c r="DS156" s="8">
        <f>+IF(DS$8 = 125, 1, MIN(_xlfn._xlws.FILTER(INDEX( DS$55:DS$96, MAX( COUNT( DT$9:DT$50 )  - $B156 + 1, 1)) : INDEX( DS$55:DS$96, MAX( COUNT( DT$9:DT$50 )  - $C156 + 1, 1)), INDEX( DS$101:DS$142, MAX( COUNT( DT$9:DT$50 )  - $B156 + 1, 1)) : INDEX( DS$101:DS$142, MAX( COUNT( DT$9:DT$50 )  - $C156 + 1, 1)) &gt; 0)))</f>
        <v>1</v>
      </c>
      <c r="DT156" s="8">
        <f>+IF(DT$8 = 125, 1, MIN(_xlfn._xlws.FILTER(INDEX( DT$55:DT$96, MAX( COUNT( DU$9:DU$50 )  - $B156 + 1, 1)) : INDEX( DT$55:DT$96, MAX( COUNT( DU$9:DU$50 )  - $C156 + 1, 1)), INDEX( DT$101:DT$142, MAX( COUNT( DU$9:DU$50 )  - $B156 + 1, 1)) : INDEX( DT$101:DT$142, MAX( COUNT( DU$9:DU$50 )  - $C156 + 1, 1)) &gt; 0)))</f>
        <v>1</v>
      </c>
      <c r="DU156" s="8">
        <f>+IF(DU$8 = 125, 1, MIN(_xlfn._xlws.FILTER(INDEX( DU$55:DU$96, MAX( COUNT( DV$9:DV$50 )  - $B156 + 1, 1)) : INDEX( DU$55:DU$96, MAX( COUNT( DV$9:DV$50 )  - $C156 + 1, 1)), INDEX( DU$101:DU$142, MAX( COUNT( DV$9:DV$50 )  - $B156 + 1, 1)) : INDEX( DU$101:DU$142, MAX( COUNT( DV$9:DV$50 )  - $C156 + 1, 1)) &gt; 0)))</f>
        <v>1</v>
      </c>
      <c r="DV156" s="8">
        <f>+IF(DV$8 = 125, 1, MIN(_xlfn._xlws.FILTER(INDEX( DV$55:DV$96, MAX( COUNT( DW$9:DW$50 )  - $B156 + 1, 1)) : INDEX( DV$55:DV$96, MAX( COUNT( DW$9:DW$50 )  - $C156 + 1, 1)), INDEX( DV$101:DV$142, MAX( COUNT( DW$9:DW$50 )  - $B156 + 1, 1)) : INDEX( DV$101:DV$142, MAX( COUNT( DW$9:DW$50 )  - $C156 + 1, 1)) &gt; 0)))</f>
        <v>1.0028093677480745</v>
      </c>
      <c r="DW156" s="8">
        <f>+IF(DW$8 = 125, 1, MIN(_xlfn._xlws.FILTER(INDEX( DW$55:DW$96, MAX( COUNT( DX$9:DX$50 )  - $B156 + 1, 1)) : INDEX( DW$55:DW$96, MAX( COUNT( DX$9:DX$50 )  - $C156 + 1, 1)), INDEX( DW$101:DW$142, MAX( COUNT( DX$9:DX$50 )  - $B156 + 1, 1)) : INDEX( DW$101:DW$142, MAX( COUNT( DX$9:DX$50 )  - $C156 + 1, 1)) &gt; 0)))</f>
        <v>1.0008350311609679</v>
      </c>
      <c r="DX156" s="8">
        <f>+IF(DX$8 = 125, 1, MIN(_xlfn._xlws.FILTER(INDEX( DX$55:DX$96, MAX( COUNT( DY$9:DY$50 )  - $B156 + 1, 1)) : INDEX( DX$55:DX$96, MAX( COUNT( DY$9:DY$50 )  - $C156 + 1, 1)), INDEX( DX$101:DX$142, MAX( COUNT( DY$9:DY$50 )  - $B156 + 1, 1)) : INDEX( DX$101:DX$142, MAX( COUNT( DY$9:DY$50 )  - $C156 + 1, 1)) &gt; 0)))</f>
        <v>1.0038513805404945</v>
      </c>
      <c r="DY156" s="8">
        <f>+IF(DY$8 = 125, 1, MIN(_xlfn._xlws.FILTER(INDEX( DY$55:DY$96, MAX( COUNT( DZ$9:DZ$50 )  - $B156 + 1, 1)) : INDEX( DY$55:DY$96, MAX( COUNT( DZ$9:DZ$50 )  - $C156 + 1, 1)), INDEX( DY$101:DY$142, MAX( COUNT( DZ$9:DZ$50 )  - $B156 + 1, 1)) : INDEX( DY$101:DY$142, MAX( COUNT( DZ$9:DZ$50 )  - $C156 + 1, 1)) &gt; 0)))</f>
        <v>1.0045542200871611</v>
      </c>
      <c r="DZ156" s="8">
        <f>+IF(DZ$8 = 125, 1, MIN(_xlfn._xlws.FILTER(INDEX( DZ$55:DZ$96, MAX( COUNT( EA$9:EA$50 )  - $B156 + 1, 1)) : INDEX( DZ$55:DZ$96, MAX( COUNT( EA$9:EA$50 )  - $C156 + 1, 1)), INDEX( DZ$101:DZ$142, MAX( COUNT( EA$9:EA$50 )  - $B156 + 1, 1)) : INDEX( DZ$101:DZ$142, MAX( COUNT( EA$9:EA$50 )  - $C156 + 1, 1)) &gt; 0)))</f>
        <v>1.0041088153957449</v>
      </c>
      <c r="EA156" s="8">
        <f>+IF(EA$8 = 125, 1, MIN(_xlfn._xlws.FILTER(INDEX( EA$55:EA$96, MAX( COUNT( EB$9:EB$50 )  - $B156 + 1, 1)) : INDEX( EA$55:EA$96, MAX( COUNT( EB$9:EB$50 )  - $C156 + 1, 1)), INDEX( EA$101:EA$142, MAX( COUNT( EB$9:EB$50 )  - $B156 + 1, 1)) : INDEX( EA$101:EA$142, MAX( COUNT( EB$9:EB$50 )  - $C156 + 1, 1)) &gt; 0)))</f>
        <v>1</v>
      </c>
      <c r="EB156" s="8">
        <f>+IF(EB$8 = 125, 1, MIN(_xlfn._xlws.FILTER(INDEX( EB$55:EB$96, MAX( COUNT( EC$9:EC$50 )  - $B156 + 1, 1)) : INDEX( EB$55:EB$96, MAX( COUNT( EC$9:EC$50 )  - $C156 + 1, 1)), INDEX( EB$101:EB$142, MAX( COUNT( EC$9:EC$50 )  - $B156 + 1, 1)) : INDEX( EB$101:EB$142, MAX( COUNT( EC$9:EC$50 )  - $C156 + 1, 1)) &gt; 0)))</f>
        <v>1.7032268304078659</v>
      </c>
      <c r="EC156" s="8">
        <f>+IF(EC$8 = 125, 1, MIN(_xlfn._xlws.FILTER(INDEX( EC$55:EC$96, MAX( COUNT( ED$9:ED$50 )  - $B156 + 1, 1)) : INDEX( EC$55:EC$96, MAX( COUNT( ED$9:ED$50 )  - $C156 + 1, 1)), INDEX( EC$101:EC$142, MAX( COUNT( ED$9:ED$50 )  - $B156 + 1, 1)) : INDEX( EC$101:EC$142, MAX( COUNT( ED$9:ED$50 )  - $C156 + 1, 1)) &gt; 0)))</f>
        <v>1.8997339302553142</v>
      </c>
      <c r="ED156" s="8">
        <f>+IF(ED$8 = 125, 1, MIN(_xlfn._xlws.FILTER(INDEX( ED$55:ED$96, MAX( COUNT( EE$9:EE$50 )  - $B156 + 1, 1)) : INDEX( ED$55:ED$96, MAX( COUNT( EE$9:EE$50 )  - $C156 + 1, 1)), INDEX( ED$101:ED$142, MAX( COUNT( EE$9:EE$50 )  - $B156 + 1, 1)) : INDEX( ED$101:ED$142, MAX( COUNT( EE$9:EE$50 )  - $C156 + 1, 1)) &gt; 0)))</f>
        <v>1.1662826925786243</v>
      </c>
      <c r="EE156" s="8">
        <f>+IF(EE$8 = 125, 1, MIN(_xlfn._xlws.FILTER(INDEX( EE$55:EE$96, MAX( COUNT( EF$9:EF$50 )  - $B156 + 1, 1)) : INDEX( EE$55:EE$96, MAX( COUNT( EF$9:EF$50 )  - $C156 + 1, 1)), INDEX( EE$101:EE$142, MAX( COUNT( EF$9:EF$50 )  - $B156 + 1, 1)) : INDEX( EE$101:EE$142, MAX( COUNT( EF$9:EF$50 )  - $C156 + 1, 1)) &gt; 0)))</f>
        <v>0.93591331603264771</v>
      </c>
      <c r="EF156" s="8">
        <f>+IF(EF$8 = 125, 1, MIN(_xlfn._xlws.FILTER(INDEX( EF$55:EF$96, MAX( COUNT( EG$9:EG$50 )  - $B156 + 1, 1)) : INDEX( EF$55:EF$96, MAX( COUNT( EG$9:EG$50 )  - $C156 + 1, 1)), INDEX( EF$101:EF$142, MAX( COUNT( EG$9:EG$50 )  - $B156 + 1, 1)) : INDEX( EF$101:EF$142, MAX( COUNT( EG$9:EG$50 )  - $C156 + 1, 1)) &gt; 0)))</f>
        <v>0.98081922758588891</v>
      </c>
      <c r="EG156" s="8">
        <f>+IF(EG$8 = 125, 1, MIN(_xlfn._xlws.FILTER(INDEX( EG$55:EG$96, MAX( COUNT( EH$9:EH$50 )  - $B156 + 1, 1)) : INDEX( EG$55:EG$96, MAX( COUNT( EH$9:EH$50 )  - $C156 + 1, 1)), INDEX( EG$101:EG$142, MAX( COUNT( EH$9:EH$50 )  - $B156 + 1, 1)) : INDEX( EG$101:EG$142, MAX( COUNT( EH$9:EH$50 )  - $C156 + 1, 1)) &gt; 0)))</f>
        <v>1.0114243628886759</v>
      </c>
      <c r="EH156" s="8">
        <f>+IF(EH$8 = 125, 1, MIN(_xlfn._xlws.FILTER(INDEX( EH$55:EH$96, MAX( COUNT( EI$9:EI$50 )  - $B156 + 1, 1)) : INDEX( EH$55:EH$96, MAX( COUNT( EI$9:EI$50 )  - $C156 + 1, 1)), INDEX( EH$101:EH$142, MAX( COUNT( EI$9:EI$50 )  - $B156 + 1, 1)) : INDEX( EH$101:EH$142, MAX( COUNT( EI$9:EI$50 )  - $C156 + 1, 1)) &gt; 0)))</f>
        <v>0.98127350324630158</v>
      </c>
      <c r="EI156" s="8">
        <f>+IF(EI$8 = 125, 1, MIN(_xlfn._xlws.FILTER(INDEX( EI$55:EI$96, MAX( COUNT( EJ$9:EJ$50 )  - $B156 + 1, 1)) : INDEX( EI$55:EI$96, MAX( COUNT( EJ$9:EJ$50 )  - $C156 + 1, 1)), INDEX( EI$101:EI$142, MAX( COUNT( EJ$9:EJ$50 )  - $B156 + 1, 1)) : INDEX( EI$101:EI$142, MAX( COUNT( EJ$9:EJ$50 )  - $C156 + 1, 1)) &gt; 0)))</f>
        <v>0.99959114891784695</v>
      </c>
      <c r="EJ156" s="8">
        <f>+IF(EJ$8 = 125, 1, MIN(_xlfn._xlws.FILTER(INDEX( EJ$55:EJ$96, MAX( COUNT( EK$9:EK$50 )  - $B156 + 1, 1)) : INDEX( EJ$55:EJ$96, MAX( COUNT( EK$9:EK$50 )  - $C156 + 1, 1)), INDEX( EJ$101:EJ$142, MAX( COUNT( EK$9:EK$50 )  - $B156 + 1, 1)) : INDEX( EJ$101:EJ$142, MAX( COUNT( EK$9:EK$50 )  - $C156 + 1, 1)) &gt; 0)))</f>
        <v>0.99792717682945864</v>
      </c>
      <c r="EK156" s="8">
        <f>+IF(EK$8 = 125, 1, MIN(_xlfn._xlws.FILTER(INDEX( EK$55:EK$96, MAX( COUNT( EL$9:EL$50 )  - $B156 + 1, 1)) : INDEX( EK$55:EK$96, MAX( COUNT( EL$9:EL$50 )  - $C156 + 1, 1)), INDEX( EK$101:EK$142, MAX( COUNT( EL$9:EL$50 )  - $B156 + 1, 1)) : INDEX( EK$101:EK$142, MAX( COUNT( EL$9:EL$50 )  - $C156 + 1, 1)) &gt; 0)))</f>
        <v>1.0000367925783065</v>
      </c>
      <c r="EL156" s="8">
        <f>+IF(EL$8 = 125, 1, MIN(_xlfn._xlws.FILTER(INDEX( EL$55:EL$96, MAX( COUNT( EM$9:EM$50 )  - $B156 + 1, 1)) : INDEX( EL$55:EL$96, MAX( COUNT( EM$9:EM$50 )  - $C156 + 1, 1)), INDEX( EL$101:EL$142, MAX( COUNT( EM$9:EM$50 )  - $B156 + 1, 1)) : INDEX( EL$101:EL$142, MAX( COUNT( EM$9:EM$50 )  - $C156 + 1, 1)) &gt; 0)))</f>
        <v>0.97485808084962644</v>
      </c>
      <c r="EM156" s="8">
        <f>+IF(EM$8 = 125, 1, MIN(_xlfn._xlws.FILTER(INDEX( EM$55:EM$96, MAX( COUNT( EN$9:EN$50 )  - $B156 + 1, 1)) : INDEX( EM$55:EM$96, MAX( COUNT( EN$9:EN$50 )  - $C156 + 1, 1)), INDEX( EM$101:EM$142, MAX( COUNT( EN$9:EN$50 )  - $B156 + 1, 1)) : INDEX( EM$101:EM$142, MAX( COUNT( EN$9:EN$50 )  - $C156 + 1, 1)) &gt; 0)))</f>
        <v>0.99975181652784173</v>
      </c>
      <c r="EN156" s="8">
        <f>+IF(EN$8 = 125, 1, MIN(_xlfn._xlws.FILTER(INDEX( EN$55:EN$96, MAX( COUNT( EO$9:EO$50 )  - $B156 + 1, 1)) : INDEX( EN$55:EN$96, MAX( COUNT( EO$9:EO$50 )  - $C156 + 1, 1)), INDEX( EN$101:EN$142, MAX( COUNT( EO$9:EO$50 )  - $B156 + 1, 1)) : INDEX( EN$101:EN$142, MAX( COUNT( EO$9:EO$50 )  - $C156 + 1, 1)) &gt; 0)))</f>
        <v>0.97259098033472413</v>
      </c>
      <c r="EO156" s="8">
        <f>+IF(EO$8 = 125, 1, MIN(_xlfn._xlws.FILTER(INDEX( EO$55:EO$96, MAX( COUNT( EP$9:EP$50 )  - $B156 + 1, 1)) : INDEX( EO$55:EO$96, MAX( COUNT( EP$9:EP$50 )  - $C156 + 1, 1)), INDEX( EO$101:EO$142, MAX( COUNT( EP$9:EP$50 )  - $B156 + 1, 1)) : INDEX( EO$101:EO$142, MAX( COUNT( EP$9:EP$50 )  - $C156 + 1, 1)) &gt; 0)))</f>
        <v>0.98746219469783636</v>
      </c>
      <c r="EP156" s="8">
        <f>+IF(EP$8 = 125, 1, MIN(_xlfn._xlws.FILTER(INDEX( EP$55:EP$96, MAX( COUNT( EQ$9:EQ$50 )  - $B156 + 1, 1)) : INDEX( EP$55:EP$96, MAX( COUNT( EQ$9:EQ$50 )  - $C156 + 1, 1)), INDEX( EP$101:EP$142, MAX( COUNT( EQ$9:EQ$50 )  - $B156 + 1, 1)) : INDEX( EP$101:EP$142, MAX( COUNT( EQ$9:EQ$50 )  - $C156 + 1, 1)) &gt; 0)))</f>
        <v>1</v>
      </c>
      <c r="EQ156" s="8">
        <f>+IF(EQ$8 = 125, 1, MIN(_xlfn._xlws.FILTER(INDEX( EQ$55:EQ$96, MAX( COUNT( ER$9:ER$50 )  - $B156 + 1, 1)) : INDEX( EQ$55:EQ$96, MAX( COUNT( ER$9:ER$50 )  - $C156 + 1, 1)), INDEX( EQ$101:EQ$142, MAX( COUNT( ER$9:ER$50 )  - $B156 + 1, 1)) : INDEX( EQ$101:EQ$142, MAX( COUNT( ER$9:ER$50 )  - $C156 + 1, 1)) &gt; 0)))</f>
        <v>0.97311079393016686</v>
      </c>
      <c r="ER156" s="8">
        <f>+IF(ER$8 = 125, 1, MIN(_xlfn._xlws.FILTER(INDEX( ER$55:ER$96, MAX( COUNT( ES$9:ES$50 )  - $B156 + 1, 1)) : INDEX( ER$55:ER$96, MAX( COUNT( ES$9:ES$50 )  - $C156 + 1, 1)), INDEX( ER$101:ER$142, MAX( COUNT( ES$9:ES$50 )  - $B156 + 1, 1)) : INDEX( ER$101:ER$142, MAX( COUNT( ES$9:ES$50 )  - $C156 + 1, 1)) &gt; 0)))</f>
        <v>1.0000274712927424</v>
      </c>
      <c r="ES156" s="8">
        <f>+IF(ES$8 = 125, 1, MIN(_xlfn._xlws.FILTER(INDEX( ES$55:ES$96, MAX( COUNT( ET$9:ET$50 )  - $B156 + 1, 1)) : INDEX( ES$55:ES$96, MAX( COUNT( ET$9:ET$50 )  - $C156 + 1, 1)), INDEX( ES$101:ES$142, MAX( COUNT( ET$9:ET$50 )  - $B156 + 1, 1)) : INDEX( ES$101:ES$142, MAX( COUNT( ET$9:ET$50 )  - $C156 + 1, 1)) &gt; 0)))</f>
        <v>1</v>
      </c>
      <c r="ET156" s="8">
        <f>+IF(ET$8 = 125, 1, MIN(_xlfn._xlws.FILTER(INDEX( ET$55:ET$96, MAX( COUNT( EU$9:EU$50 )  - $B156 + 1, 1)) : INDEX( ET$55:ET$96, MAX( COUNT( EU$9:EU$50 )  - $C156 + 1, 1)), INDEX( ET$101:ET$142, MAX( COUNT( EU$9:EU$50 )  - $B156 + 1, 1)) : INDEX( ET$101:ET$142, MAX( COUNT( EU$9:EU$50 )  - $C156 + 1, 1)) &gt; 0)))</f>
        <v>1.0002418001345121</v>
      </c>
      <c r="EU156" s="8">
        <f>+IF(EU$8 = 125, 1, MIN(_xlfn._xlws.FILTER(INDEX( EU$55:EU$96, MAX( COUNT( EV$9:EV$50 )  - $B156 + 1, 1)) : INDEX( EU$55:EU$96, MAX( COUNT( EV$9:EV$50 )  - $C156 + 1, 1)), INDEX( EU$101:EU$142, MAX( COUNT( EV$9:EV$50 )  - $B156 + 1, 1)) : INDEX( EU$101:EU$142, MAX( COUNT( EV$9:EV$50 )  - $C156 + 1, 1)) &gt; 0)))</f>
        <v>0.99999563844784944</v>
      </c>
      <c r="EV156" s="8">
        <f>+IF(EV$8 = 125, 1, MIN(_xlfn._xlws.FILTER(INDEX( EV$55:EV$96, MAX( COUNT( EW$9:EW$50 )  - $B156 + 1, 1)) : INDEX( EV$55:EV$96, MAX( COUNT( EW$9:EW$50 )  - $C156 + 1, 1)), INDEX( EV$101:EV$142, MAX( COUNT( EW$9:EW$50 )  - $B156 + 1, 1)) : INDEX( EV$101:EV$142, MAX( COUNT( EW$9:EW$50 )  - $C156 + 1, 1)) &gt; 0)))</f>
        <v>1</v>
      </c>
      <c r="EW156" s="8">
        <f>+IF(EW$8 = 125, 1, MIN(_xlfn._xlws.FILTER(INDEX( EW$55:EW$96, MAX( COUNT( EX$9:EX$50 )  - $B156 + 1, 1)) : INDEX( EW$55:EW$96, MAX( COUNT( EX$9:EX$50 )  - $C156 + 1, 1)), INDEX( EW$101:EW$142, MAX( COUNT( EX$9:EX$50 )  - $B156 + 1, 1)) : INDEX( EW$101:EW$142, MAX( COUNT( EX$9:EX$50 )  - $C156 + 1, 1)) &gt; 0)))</f>
        <v>1</v>
      </c>
      <c r="EX156" s="8">
        <f>+IF(EX$8 = 125, 1, MIN(_xlfn._xlws.FILTER(INDEX( EX$55:EX$96, MAX( COUNT( EY$9:EY$50 )  - $B156 + 1, 1)) : INDEX( EX$55:EX$96, MAX( COUNT( EY$9:EY$50 )  - $C156 + 1, 1)), INDEX( EX$101:EX$142, MAX( COUNT( EY$9:EY$50 )  - $B156 + 1, 1)) : INDEX( EX$101:EX$142, MAX( COUNT( EY$9:EY$50 )  - $C156 + 1, 1)) &gt; 0)))</f>
        <v>1</v>
      </c>
      <c r="EY156" s="8">
        <f>+IF(EY$8 = 125, 1, MIN(_xlfn._xlws.FILTER(INDEX( EY$55:EY$96, MAX( COUNT( EZ$9:EZ$50 )  - $B156 + 1, 1)) : INDEX( EY$55:EY$96, MAX( COUNT( EZ$9:EZ$50 )  - $C156 + 1, 1)), INDEX( EY$101:EY$142, MAX( COUNT( EZ$9:EZ$50 )  - $B156 + 1, 1)) : INDEX( EY$101:EY$142, MAX( COUNT( EZ$9:EZ$50 )  - $C156 + 1, 1)) &gt; 0)))</f>
        <v>1</v>
      </c>
      <c r="EZ156" s="8">
        <f>+IF(EZ$8 = 125, 1, MIN(_xlfn._xlws.FILTER(INDEX( EZ$55:EZ$96, MAX( COUNT( FA$9:FA$50 )  - $B156 + 1, 1)) : INDEX( EZ$55:EZ$96, MAX( COUNT( FA$9:FA$50 )  - $C156 + 1, 1)), INDEX( EZ$101:EZ$142, MAX( COUNT( FA$9:FA$50 )  - $B156 + 1, 1)) : INDEX( EZ$101:EZ$142, MAX( COUNT( FA$9:FA$50 )  - $C156 + 1, 1)) &gt; 0)))</f>
        <v>1</v>
      </c>
      <c r="FA156" s="8">
        <f>+IF(FA$8 = 125, 1, MIN(_xlfn._xlws.FILTER(INDEX( FA$55:FA$96, MAX( COUNT( FB$9:FB$50 )  - $B156 + 1, 1)) : INDEX( FA$55:FA$96, MAX( COUNT( FB$9:FB$50 )  - $C156 + 1, 1)), INDEX( FA$101:FA$142, MAX( COUNT( FB$9:FB$50 )  - $B156 + 1, 1)) : INDEX( FA$101:FA$142, MAX( COUNT( FB$9:FB$50 )  - $C156 + 1, 1)) &gt; 0)))</f>
        <v>1</v>
      </c>
      <c r="FB156" s="8">
        <f>+IF(FB$8 = 125, 1, MIN(_xlfn._xlws.FILTER(INDEX( FB$55:FB$96, MAX( COUNT( FC$9:FC$50 )  - $B156 + 1, 1)) : INDEX( FB$55:FB$96, MAX( COUNT( FC$9:FC$50 )  - $C156 + 1, 1)), INDEX( FB$101:FB$142, MAX( COUNT( FC$9:FC$50 )  - $B156 + 1, 1)) : INDEX( FB$101:FB$142, MAX( COUNT( FC$9:FC$50 )  - $C156 + 1, 1)) &gt; 0)))</f>
        <v>1</v>
      </c>
      <c r="FC156" s="8">
        <f>+IF(FC$8 = 125, 1, MIN(_xlfn._xlws.FILTER(INDEX( FC$55:FC$96, MAX( COUNT( FD$9:FD$50 )  - $B156 + 1, 1)) : INDEX( FC$55:FC$96, MAX( COUNT( FD$9:FD$50 )  - $C156 + 1, 1)), INDEX( FC$101:FC$142, MAX( COUNT( FD$9:FD$50 )  - $B156 + 1, 1)) : INDEX( FC$101:FC$142, MAX( COUNT( FD$9:FD$50 )  - $C156 + 1, 1)) &gt; 0)))</f>
        <v>1.0000277721822961</v>
      </c>
      <c r="FD156" s="8">
        <f>+IF(FD$8 = 125, 1, MIN(_xlfn._xlws.FILTER(INDEX( FD$55:FD$96, MAX( COUNT( FE$9:FE$50 )  - $B156 + 1, 1)) : INDEX( FD$55:FD$96, MAX( COUNT( FE$9:FE$50 )  - $C156 + 1, 1)), INDEX( FD$101:FD$142, MAX( COUNT( FE$9:FE$50 )  - $B156 + 1, 1)) : INDEX( FD$101:FD$142, MAX( COUNT( FE$9:FE$50 )  - $C156 + 1, 1)) &gt; 0)))</f>
        <v>1</v>
      </c>
      <c r="FE156" s="8">
        <f>+IF(FE$8 = 125, 1, MIN(_xlfn._xlws.FILTER(INDEX( FE$55:FE$96, MAX( COUNT( FF$9:FF$50 )  - $B156 + 1, 1)) : INDEX( FE$55:FE$96, MAX( COUNT( FF$9:FF$50 )  - $C156 + 1, 1)), INDEX( FE$101:FE$142, MAX( COUNT( FF$9:FF$50 )  - $B156 + 1, 1)) : INDEX( FE$101:FE$142, MAX( COUNT( FF$9:FF$50 )  - $C156 + 1, 1)) &gt; 0)))</f>
        <v>1</v>
      </c>
      <c r="FF156" s="8">
        <f>+IF(FF$8 = 125, 1, MIN(_xlfn._xlws.FILTER(INDEX( FF$55:FF$96, MAX( COUNT( FG$9:FG$50 )  - $B156 + 1, 1)) : INDEX( FF$55:FF$96, MAX( COUNT( FG$9:FG$50 )  - $C156 + 1, 1)), INDEX( FF$101:FF$142, MAX( COUNT( FG$9:FG$50 )  - $B156 + 1, 1)) : INDEX( FF$101:FF$142, MAX( COUNT( FG$9:FG$50 )  - $C156 + 1, 1)) &gt; 0)))</f>
        <v>1.0000546933278216</v>
      </c>
      <c r="FG156" s="8">
        <f>+IF(FG$8 = 125, 1, MIN(_xlfn._xlws.FILTER(INDEX( FG$55:FG$96, MAX( COUNT( FH$9:FH$50 )  - $B156 + 1, 1)) : INDEX( FG$55:FG$96, MAX( COUNT( FH$9:FH$50 )  - $C156 + 1, 1)), INDEX( FG$101:FG$142, MAX( COUNT( FH$9:FH$50 )  - $B156 + 1, 1)) : INDEX( FG$101:FG$142, MAX( COUNT( FH$9:FH$50 )  - $C156 + 1, 1)) &gt; 0)))</f>
        <v>1.0001014225287592</v>
      </c>
      <c r="FH156" s="8">
        <f>+IF(FH$8 = 125, 1, MIN(_xlfn._xlws.FILTER(INDEX( FH$55:FH$96, MAX( COUNT( FI$9:FI$50 )  - $B156 + 1, 1)) : INDEX( FH$55:FH$96, MAX( COUNT( FI$9:FI$50 )  - $C156 + 1, 1)), INDEX( FH$101:FH$142, MAX( COUNT( FI$9:FI$50 )  - $B156 + 1, 1)) : INDEX( FH$101:FH$142, MAX( COUNT( FI$9:FI$50 )  - $C156 + 1, 1)) &gt; 0)))</f>
        <v>0.99999837630625288</v>
      </c>
      <c r="FI156" s="8">
        <f>+IF(FI$8 = 125, 1, MIN(_xlfn._xlws.FILTER(INDEX( FI$55:FI$96, MAX( COUNT( FJ$9:FJ$50 )  - $B156 + 1, 1)) : INDEX( FI$55:FI$96, MAX( COUNT( FJ$9:FJ$50 )  - $C156 + 1, 1)), INDEX( FI$101:FI$142, MAX( COUNT( FJ$9:FJ$50 )  - $B156 + 1, 1)) : INDEX( FI$101:FI$142, MAX( COUNT( FJ$9:FJ$50 )  - $C156 + 1, 1)) &gt; 0)))</f>
        <v>1</v>
      </c>
      <c r="FJ156" s="8">
        <f>+IF(FJ$8 = 125, 1, MIN(_xlfn._xlws.FILTER(INDEX( FJ$55:FJ$96, MAX( COUNT( FK$9:FK$50 )  - $B156 + 1, 1)) : INDEX( FJ$55:FJ$96, MAX( COUNT( FK$9:FK$50 )  - $C156 + 1, 1)), INDEX( FJ$101:FJ$142, MAX( COUNT( FK$9:FK$50 )  - $B156 + 1, 1)) : INDEX( FJ$101:FJ$142, MAX( COUNT( FK$9:FK$50 )  - $C156 + 1, 1)) &gt; 0)))</f>
        <v>1</v>
      </c>
      <c r="FK156" s="8">
        <f>+IF(FK$8 = 125, 1, MIN(_xlfn._xlws.FILTER(INDEX( FK$55:FK$96, MAX( COUNT( FL$9:FL$50 )  - $B156 + 1, 1)) : INDEX( FK$55:FK$96, MAX( COUNT( FL$9:FL$50 )  - $C156 + 1, 1)), INDEX( FK$101:FK$142, MAX( COUNT( FL$9:FL$50 )  - $B156 + 1, 1)) : INDEX( FK$101:FK$142, MAX( COUNT( FL$9:FL$50 )  - $C156 + 1, 1)) &gt; 0)))</f>
        <v>0.98486843059672735</v>
      </c>
      <c r="FL156" s="8">
        <f>+IF(FL$8 = 125, 1, MIN(_xlfn._xlws.FILTER(INDEX( FL$55:FL$96, MAX( COUNT( FM$9:FM$50 )  - $B156 + 1, 1)) : INDEX( FL$55:FL$96, MAX( COUNT( FM$9:FM$50 )  - $C156 + 1, 1)), INDEX( FL$101:FL$142, MAX( COUNT( FM$9:FM$50 )  - $B156 + 1, 1)) : INDEX( FL$101:FL$142, MAX( COUNT( FM$9:FM$50 )  - $C156 + 1, 1)) &gt; 0)))</f>
        <v>0.99984716311477928</v>
      </c>
      <c r="FM156" s="8">
        <f>+IF(FM$8 = 125, 1, MIN(_xlfn._xlws.FILTER(INDEX( FM$55:FM$96, MAX( COUNT( FN$9:FN$50 )  - $B156 + 1, 1)) : INDEX( FM$55:FM$96, MAX( COUNT( FN$9:FN$50 )  - $C156 + 1, 1)), INDEX( FM$101:FM$142, MAX( COUNT( FN$9:FN$50 )  - $B156 + 1, 1)) : INDEX( FM$101:FM$142, MAX( COUNT( FN$9:FN$50 )  - $C156 + 1, 1)) &gt; 0)))</f>
        <v>0.99395932180965862</v>
      </c>
      <c r="FN156" s="8">
        <f>+IF(FN$8 = 125, 1, MIN(_xlfn._xlws.FILTER(INDEX( FN$55:FN$96, MAX( COUNT( FO$9:FO$50 )  - $B156 + 1, 1)) : INDEX( FN$55:FN$96, MAX( COUNT( FO$9:FO$50 )  - $C156 + 1, 1)), INDEX( FN$101:FN$142, MAX( COUNT( FO$9:FO$50 )  - $B156 + 1, 1)) : INDEX( FN$101:FN$142, MAX( COUNT( FO$9:FO$50 )  - $C156 + 1, 1)) &gt; 0)))</f>
        <v>0.99997477467038043</v>
      </c>
      <c r="FO156" s="8">
        <f>+IF(FO$8 = 125, 1, MIN(_xlfn._xlws.FILTER(INDEX( FO$55:FO$96, MAX( COUNT( FP$9:FP$50 )  - $B156 + 1, 1)) : INDEX( FO$55:FO$96, MAX( COUNT( FP$9:FP$50 )  - $C156 + 1, 1)), INDEX( FO$101:FO$142, MAX( COUNT( FP$9:FP$50 )  - $B156 + 1, 1)) : INDEX( FO$101:FO$142, MAX( COUNT( FP$9:FP$50 )  - $C156 + 1, 1)) &gt; 0)))</f>
        <v>0.99996566591616876</v>
      </c>
      <c r="FP156" s="8">
        <f>+IF(FP$8 = 125, 1, MIN(_xlfn._xlws.FILTER(INDEX( FP$55:FP$96, MAX( COUNT( FQ$9:FQ$50 )  - $B156 + 1, 1)) : INDEX( FP$55:FP$96, MAX( COUNT( FQ$9:FQ$50 )  - $C156 + 1, 1)), INDEX( FP$101:FP$142, MAX( COUNT( FQ$9:FQ$50 )  - $B156 + 1, 1)) : INDEX( FP$101:FP$142, MAX( COUNT( FQ$9:FQ$50 )  - $C156 + 1, 1)) &gt; 0)))</f>
        <v>1</v>
      </c>
      <c r="FQ156" s="8">
        <f>+IF(FQ$8 = 125, 1, MIN(_xlfn._xlws.FILTER(INDEX( FQ$55:FQ$96, MAX( COUNT( FR$9:FR$50 )  - $B156 + 1, 1)) : INDEX( FQ$55:FQ$96, MAX( COUNT( FR$9:FR$50 )  - $C156 + 1, 1)), INDEX( FQ$101:FQ$142, MAX( COUNT( FR$9:FR$50 )  - $B156 + 1, 1)) : INDEX( FQ$101:FQ$142, MAX( COUNT( FR$9:FR$50 )  - $C156 + 1, 1)) &gt; 0)))</f>
        <v>0.99999976512076549</v>
      </c>
      <c r="FR156" s="8">
        <f>+IF(FR$8 = 125, 1, MIN(_xlfn._xlws.FILTER(INDEX( FR$55:FR$96, MAX( COUNT( FS$9:FS$50 )  - $B156 + 1, 1)) : INDEX( FR$55:FR$96, MAX( COUNT( FS$9:FS$50 )  - $C156 + 1, 1)), INDEX( FR$101:FR$142, MAX( COUNT( FS$9:FS$50 )  - $B156 + 1, 1)) : INDEX( FR$101:FR$142, MAX( COUNT( FS$9:FS$50 )  - $C156 + 1, 1)) &gt; 0)))</f>
        <v>0.99337794800927437</v>
      </c>
      <c r="FS156" s="8">
        <f>+IF(FS$8 = 125, 1, MIN(_xlfn._xlws.FILTER(INDEX( FS$55:FS$96, MAX( COUNT( FT$9:FT$50 )  - $B156 + 1, 1)) : INDEX( FS$55:FS$96, MAX( COUNT( FT$9:FT$50 )  - $C156 + 1, 1)), INDEX( FS$101:FS$142, MAX( COUNT( FT$9:FT$50 )  - $B156 + 1, 1)) : INDEX( FS$101:FS$142, MAX( COUNT( FT$9:FT$50 )  - $C156 + 1, 1)) &gt; 0)))</f>
        <v>1</v>
      </c>
      <c r="FT156" s="8">
        <f>+IF(FT$8 = 125, 1, MIN(_xlfn._xlws.FILTER(INDEX( FT$55:FT$96, MAX( COUNT( FU$9:FU$50 )  - $B156 + 1, 1)) : INDEX( FT$55:FT$96, MAX( COUNT( FU$9:FU$50 )  - $C156 + 1, 1)), INDEX( FT$101:FT$142, MAX( COUNT( FU$9:FU$50 )  - $B156 + 1, 1)) : INDEX( FT$101:FT$142, MAX( COUNT( FU$9:FU$50 )  - $C156 + 1, 1)) &gt; 0)))</f>
        <v>1</v>
      </c>
      <c r="FU156" s="8">
        <f>+IF(FU$8 = 125, 1, MIN(_xlfn._xlws.FILTER(INDEX( FU$55:FU$96, MAX( COUNT( FV$9:FV$50 )  - $B156 + 1, 1)) : INDEX( FU$55:FU$96, MAX( COUNT( FV$9:FV$50 )  - $C156 + 1, 1)), INDEX( FU$101:FU$142, MAX( COUNT( FV$9:FV$50 )  - $B156 + 1, 1)) : INDEX( FU$101:FU$142, MAX( COUNT( FV$9:FV$50 )  - $C156 + 1, 1)) &gt; 0)))</f>
        <v>0.98570544905664814</v>
      </c>
      <c r="FV156" s="8">
        <f>+IF(FV$8 = 125, 1, MIN(_xlfn._xlws.FILTER(INDEX( FV$55:FV$96, MAX( COUNT( FW$9:FW$50 )  - $B156 + 1, 1)) : INDEX( FV$55:FV$96, MAX( COUNT( FW$9:FW$50 )  - $C156 + 1, 1)), INDEX( FV$101:FV$142, MAX( COUNT( FW$9:FW$50 )  - $B156 + 1, 1)) : INDEX( FV$101:FV$142, MAX( COUNT( FW$9:FW$50 )  - $C156 + 1, 1)) &gt; 0)))</f>
        <v>1</v>
      </c>
      <c r="FW156" s="8">
        <f>+IF(FW$8 = 125, 1, MIN(_xlfn._xlws.FILTER(INDEX( FW$55:FW$96, MAX( COUNT( FX$9:FX$50 )  - $B156 + 1, 1)) : INDEX( FW$55:FW$96, MAX( COUNT( FX$9:FX$50 )  - $C156 + 1, 1)), INDEX( FW$101:FW$142, MAX( COUNT( FX$9:FX$50 )  - $B156 + 1, 1)) : INDEX( FW$101:FW$142, MAX( COUNT( FX$9:FX$50 )  - $C156 + 1, 1)) &gt; 0)))</f>
        <v>1</v>
      </c>
      <c r="FX156" s="8">
        <f>+IF(FX$8 = 125, 1, MIN(_xlfn._xlws.FILTER(INDEX( FX$55:FX$96, MAX( COUNT( FY$9:FY$50 )  - $B156 + 1, 1)) : INDEX( FX$55:FX$96, MAX( COUNT( FY$9:FY$50 )  - $C156 + 1, 1)), INDEX( FX$101:FX$142, MAX( COUNT( FY$9:FY$50 )  - $B156 + 1, 1)) : INDEX( FX$101:FX$142, MAX( COUNT( FY$9:FY$50 )  - $C156 + 1, 1)) &gt; 0)))</f>
        <v>1</v>
      </c>
      <c r="FY156" s="8">
        <f>+IF(FY$8 = 125, 1, MIN(_xlfn._xlws.FILTER(INDEX( FY$55:FY$96, MAX( COUNT( FZ$9:FZ$50 )  - $B156 + 1, 1)) : INDEX( FY$55:FY$96, MAX( COUNT( FZ$9:FZ$50 )  - $C156 + 1, 1)), INDEX( FY$101:FY$142, MAX( COUNT( FZ$9:FZ$50 )  - $B156 + 1, 1)) : INDEX( FY$101:FY$142, MAX( COUNT( FZ$9:FZ$50 )  - $C156 + 1, 1)) &gt; 0)))</f>
        <v>0.99709901126457912</v>
      </c>
      <c r="FZ156" s="8">
        <f>+IF(FZ$8 = 125, 1, MIN(_xlfn._xlws.FILTER(INDEX( FZ$55:FZ$96, MAX( COUNT( GA$9:GA$50 )  - $B156 + 1, 1)) : INDEX( FZ$55:FZ$96, MAX( COUNT( GA$9:GA$50 )  - $C156 + 1, 1)), INDEX( FZ$101:FZ$142, MAX( COUNT( GA$9:GA$50 )  - $B156 + 1, 1)) : INDEX( FZ$101:FZ$142, MAX( COUNT( GA$9:GA$50 )  - $C156 + 1, 1)) &gt; 0)))</f>
        <v>1.0000632413748411</v>
      </c>
      <c r="GA156" s="8">
        <f>+IF(GA$8 = 125, 1, MIN(_xlfn._xlws.FILTER(INDEX( GA$55:GA$96, MAX( COUNT( GB$9:GB$50 )  - $B156 + 1, 1)) : INDEX( GA$55:GA$96, MAX( COUNT( GB$9:GB$50 )  - $C156 + 1, 1)), INDEX( GA$101:GA$142, MAX( COUNT( GB$9:GB$50 )  - $B156 + 1, 1)) : INDEX( GA$101:GA$142, MAX( COUNT( GB$9:GB$50 )  - $C156 + 1, 1)) &gt; 0)))</f>
        <v>0.99959547571290952</v>
      </c>
      <c r="GB156" s="8">
        <f>+IF(GB$8 = 125, 1, MIN(_xlfn._xlws.FILTER(INDEX( GB$55:GB$96, MAX( COUNT( GC$9:GC$50 )  - $B156 + 1, 1)) : INDEX( GB$55:GB$96, MAX( COUNT( GC$9:GC$50 )  - $C156 + 1, 1)), INDEX( GB$101:GB$142, MAX( COUNT( GC$9:GC$50 )  - $B156 + 1, 1)) : INDEX( GB$101:GB$142, MAX( COUNT( GC$9:GC$50 )  - $C156 + 1, 1)) &gt; 0)))</f>
        <v>1</v>
      </c>
      <c r="GC156" s="8">
        <f>+IF(GC$8 = 125, 1, MIN(_xlfn._xlws.FILTER(INDEX( GC$55:GC$96, MAX( COUNT( GD$9:GD$50 )  - $B156 + 1, 1)) : INDEX( GC$55:GC$96, MAX( COUNT( GD$9:GD$50 )  - $C156 + 1, 1)), INDEX( GC$101:GC$142, MAX( COUNT( GD$9:GD$50 )  - $B156 + 1, 1)) : INDEX( GC$101:GC$142, MAX( COUNT( GD$9:GD$50 )  - $C156 + 1, 1)) &gt; 0)))</f>
        <v>1</v>
      </c>
      <c r="GD156" s="8">
        <f>+IF(GD$8 = 125, 1, MIN(_xlfn._xlws.FILTER(INDEX( GD$55:GD$96, MAX( COUNT( GE$9:GE$50 )  - $B156 + 1, 1)) : INDEX( GD$55:GD$96, MAX( COUNT( GE$9:GE$50 )  - $C156 + 1, 1)), INDEX( GD$101:GD$142, MAX( COUNT( GE$9:GE$50 )  - $B156 + 1, 1)) : INDEX( GD$101:GD$142, MAX( COUNT( GE$9:GE$50 )  - $C156 + 1, 1)) &gt; 0)))</f>
        <v>0.9997164715290966</v>
      </c>
      <c r="GE156" s="8">
        <f>+IF(GE$8 = 125, 1, MIN(_xlfn._xlws.FILTER(INDEX( GE$55:GE$96, MAX( COUNT( GF$9:GF$50 )  - $B156 + 1, 1)) : INDEX( GE$55:GE$96, MAX( COUNT( GF$9:GF$50 )  - $C156 + 1, 1)), INDEX( GE$101:GE$142, MAX( COUNT( GF$9:GF$50 )  - $B156 + 1, 1)) : INDEX( GE$101:GE$142, MAX( COUNT( GF$9:GF$50 )  - $C156 + 1, 1)) &gt; 0)))</f>
        <v>1</v>
      </c>
      <c r="GF156" s="8">
        <f>+IF(GF$8 = 125, 1, MIN(_xlfn._xlws.FILTER(INDEX( GF$55:GF$96, MAX( COUNT( GG$9:GG$50 )  - $B156 + 1, 1)) : INDEX( GF$55:GF$96, MAX( COUNT( GG$9:GG$50 )  - $C156 + 1, 1)), INDEX( GF$101:GF$142, MAX( COUNT( GG$9:GG$50 )  - $B156 + 1, 1)) : INDEX( GF$101:GF$142, MAX( COUNT( GG$9:GG$50 )  - $C156 + 1, 1)) &gt; 0)))</f>
        <v>1</v>
      </c>
      <c r="GG156" s="8">
        <f>+IF(GG$8 = 125, 1, MIN(_xlfn._xlws.FILTER(INDEX( GG$55:GG$96, MAX( COUNT( GH$9:GH$50 )  - $B156 + 1, 1)) : INDEX( GG$55:GG$96, MAX( COUNT( GH$9:GH$50 )  - $C156 + 1, 1)), INDEX( GG$101:GG$142, MAX( COUNT( GH$9:GH$50 )  - $B156 + 1, 1)) : INDEX( GG$101:GG$142, MAX( COUNT( GH$9:GH$50 )  - $C156 + 1, 1)) &gt; 0)))</f>
        <v>0.99489201109736602</v>
      </c>
      <c r="GH156" s="8">
        <f>+IF(GH$8 = 125, 1, MIN(_xlfn._xlws.FILTER(INDEX( GH$55:GH$96, MAX( COUNT( GI$9:GI$50 )  - $B156 + 1, 1)) : INDEX( GH$55:GH$96, MAX( COUNT( GI$9:GI$50 )  - $C156 + 1, 1)), INDEX( GH$101:GH$142, MAX( COUNT( GI$9:GI$50 )  - $B156 + 1, 1)) : INDEX( GH$101:GH$142, MAX( COUNT( GI$9:GI$50 )  - $C156 + 1, 1)) &gt; 0)))</f>
        <v>0.9999977418353807</v>
      </c>
      <c r="GI156" s="8">
        <f>+IF(GI$8 = 125, 1, MIN(_xlfn._xlws.FILTER(INDEX( GI$55:GI$96, MAX( COUNT( GJ$9:GJ$50 )  - $B156 + 1, 1)) : INDEX( GI$55:GI$96, MAX( COUNT( GJ$9:GJ$50 )  - $C156 + 1, 1)), INDEX( GI$101:GI$142, MAX( COUNT( GJ$9:GJ$50 )  - $B156 + 1, 1)) : INDEX( GI$101:GI$142, MAX( COUNT( GJ$9:GJ$50 )  - $C156 + 1, 1)) &gt; 0)))</f>
        <v>1</v>
      </c>
      <c r="GJ156" s="8">
        <f>+IF(GJ$8 = 125, 1, MIN(_xlfn._xlws.FILTER(INDEX( GJ$55:GJ$96, MAX( COUNT( GK$9:GK$50 )  - $B156 + 1, 1)) : INDEX( GJ$55:GJ$96, MAX( COUNT( GK$9:GK$50 )  - $C156 + 1, 1)), INDEX( GJ$101:GJ$142, MAX( COUNT( GK$9:GK$50 )  - $B156 + 1, 1)) : INDEX( GJ$101:GJ$142, MAX( COUNT( GK$9:GK$50 )  - $C156 + 1, 1)) &gt; 0)))</f>
        <v>1</v>
      </c>
      <c r="GK156" s="8">
        <f>+IF(GK$8 = 125, 1, MIN(_xlfn._xlws.FILTER(INDEX( GK$55:GK$96, MAX( COUNT( GL$9:GL$50 )  - $B156 + 1, 1)) : INDEX( GK$55:GK$96, MAX( COUNT( GL$9:GL$50 )  - $C156 + 1, 1)), INDEX( GK$101:GK$142, MAX( COUNT( GL$9:GL$50 )  - $B156 + 1, 1)) : INDEX( GK$101:GK$142, MAX( COUNT( GL$9:GL$50 )  - $C156 + 1, 1)) &gt; 0)))</f>
        <v>1</v>
      </c>
      <c r="GL156" s="8">
        <f>+IF(GL$8 = 125, 1, MIN(_xlfn._xlws.FILTER(INDEX( GL$55:GL$96, MAX( COUNT( GM$9:GM$50 )  - $B156 + 1, 1)) : INDEX( GL$55:GL$96, MAX( COUNT( GM$9:GM$50 )  - $C156 + 1, 1)), INDEX( GL$101:GL$142, MAX( COUNT( GM$9:GM$50 )  - $B156 + 1, 1)) : INDEX( GL$101:GL$142, MAX( COUNT( GM$9:GM$50 )  - $C156 + 1, 1)) &gt; 0)))</f>
        <v>1</v>
      </c>
      <c r="GM156" s="8">
        <f>+IF(GM$8 = 125, 1, MIN(_xlfn._xlws.FILTER(INDEX( GM$55:GM$96, MAX( COUNT( GN$9:GN$50 )  - $B156 + 1, 1)) : INDEX( GM$55:GM$96, MAX( COUNT( GN$9:GN$50 )  - $C156 + 1, 1)), INDEX( GM$101:GM$142, MAX( COUNT( GN$9:GN$50 )  - $B156 + 1, 1)) : INDEX( GM$101:GM$142, MAX( COUNT( GN$9:GN$50 )  - $C156 + 1, 1)) &gt; 0)))</f>
        <v>1</v>
      </c>
      <c r="GN156" s="8">
        <f>+IF(GN$8 = 125, 1, MIN(_xlfn._xlws.FILTER(INDEX( GN$55:GN$96, MAX( COUNT( GO$9:GO$50 )  - $B156 + 1, 1)) : INDEX( GN$55:GN$96, MAX( COUNT( GO$9:GO$50 )  - $C156 + 1, 1)), INDEX( GN$101:GN$142, MAX( COUNT( GO$9:GO$50 )  - $B156 + 1, 1)) : INDEX( GN$101:GN$142, MAX( COUNT( GO$9:GO$50 )  - $C156 + 1, 1)) &gt; 0)))</f>
        <v>1</v>
      </c>
      <c r="GO156" s="8">
        <f>+IF(GO$8 = 125, 1, MIN(_xlfn._xlws.FILTER(INDEX( GO$55:GO$96, MAX( COUNT( GP$9:GP$50 )  - $B156 + 1, 1)) : INDEX( GO$55:GO$96, MAX( COUNT( GP$9:GP$50 )  - $C156 + 1, 1)), INDEX( GO$101:GO$142, MAX( COUNT( GP$9:GP$50 )  - $B156 + 1, 1)) : INDEX( GO$101:GO$142, MAX( COUNT( GP$9:GP$50 )  - $C156 + 1, 1)) &gt; 0)))</f>
        <v>1</v>
      </c>
      <c r="GP156" s="8">
        <f>+IF(GP$8 = 125, 1, MIN(_xlfn._xlws.FILTER(INDEX( GP$55:GP$96, MAX( COUNT( GQ$9:GQ$50 )  - $B156 + 1, 1)) : INDEX( GP$55:GP$96, MAX( COUNT( GQ$9:GQ$50 )  - $C156 + 1, 1)), INDEX( GP$101:GP$142, MAX( COUNT( GQ$9:GQ$50 )  - $B156 + 1, 1)) : INDEX( GP$101:GP$142, MAX( COUNT( GQ$9:GQ$50 )  - $C156 + 1, 1)) &gt; 0)))</f>
        <v>1</v>
      </c>
      <c r="GQ156" s="8">
        <f>+IF(GQ$8 = 125, 1, MIN(_xlfn._xlws.FILTER(INDEX( GQ$55:GQ$96, MAX( COUNT( GR$9:GR$50 )  - $B156 + 1, 1)) : INDEX( GQ$55:GQ$96, MAX( COUNT( GR$9:GR$50 )  - $C156 + 1, 1)), INDEX( GQ$101:GQ$142, MAX( COUNT( GR$9:GR$50 )  - $B156 + 1, 1)) : INDEX( GQ$101:GQ$142, MAX( COUNT( GR$9:GR$50 )  - $C156 + 1, 1)) &gt; 0)))</f>
        <v>0.99992074644196016</v>
      </c>
      <c r="GR156" s="8">
        <f>+IF(GR$8 = 125, 1, MIN(_xlfn._xlws.FILTER(INDEX( GR$55:GR$96, MAX( COUNT( GS$9:GS$50 )  - $B156 + 1, 1)) : INDEX( GR$55:GR$96, MAX( COUNT( GS$9:GS$50 )  - $C156 + 1, 1)), INDEX( GR$101:GR$142, MAX( COUNT( GS$9:GS$50 )  - $B156 + 1, 1)) : INDEX( GR$101:GR$142, MAX( COUNT( GS$9:GS$50 )  - $C156 + 1, 1)) &gt; 0)))</f>
        <v>0.99999773605803799</v>
      </c>
      <c r="GS156" s="8">
        <f>+IF(GS$8 = 125, 1, MIN(_xlfn._xlws.FILTER(INDEX( GS$55:GS$96, MAX( COUNT( GT$9:GT$50 )  - $B156 + 1, 1)) : INDEX( GS$55:GS$96, MAX( COUNT( GT$9:GT$50 )  - $C156 + 1, 1)), INDEX( GS$101:GS$142, MAX( COUNT( GT$9:GT$50 )  - $B156 + 1, 1)) : INDEX( GS$101:GS$142, MAX( COUNT( GT$9:GT$50 )  - $C156 + 1, 1)) &gt; 0)))</f>
        <v>0.99797181488162823</v>
      </c>
      <c r="GT156" s="8">
        <f>+IF(GT$8 = 125, 1, MIN(_xlfn._xlws.FILTER(INDEX( GT$55:GT$96, MAX( COUNT( GU$9:GU$50 )  - $B156 + 1, 1)) : INDEX( GT$55:GT$96, MAX( COUNT( GU$9:GU$50 )  - $C156 + 1, 1)), INDEX( GT$101:GT$142, MAX( COUNT( GU$9:GU$50 )  - $B156 + 1, 1)) : INDEX( GT$101:GT$142, MAX( COUNT( GU$9:GU$50 )  - $C156 + 1, 1)) &gt; 0)))</f>
        <v>1</v>
      </c>
      <c r="GU156" s="8">
        <f>+IF(GU$8 = 125, 1, MIN(_xlfn._xlws.FILTER(INDEX( GU$55:GU$96, MAX( COUNT( GV$9:GV$50 )  - $B156 + 1, 1)) : INDEX( GU$55:GU$96, MAX( COUNT( GV$9:GV$50 )  - $C156 + 1, 1)), INDEX( GU$101:GU$142, MAX( COUNT( GV$9:GV$50 )  - $B156 + 1, 1)) : INDEX( GU$101:GU$142, MAX( COUNT( GV$9:GV$50 )  - $C156 + 1, 1)) &gt; 0)))</f>
        <v>0.99940161659346249</v>
      </c>
      <c r="GV156" s="8">
        <f>+IF(GV$8 = 125, 1, MIN(_xlfn._xlws.FILTER(INDEX( GV$55:GV$96, MAX( COUNT( GW$9:GW$50 )  - $B156 + 1, 1)) : INDEX( GV$55:GV$96, MAX( COUNT( GW$9:GW$50 )  - $C156 + 1, 1)), INDEX( GV$101:GV$142, MAX( COUNT( GW$9:GW$50 )  - $B156 + 1, 1)) : INDEX( GV$101:GV$142, MAX( COUNT( GW$9:GW$50 )  - $C156 + 1, 1)) &gt; 0)))</f>
        <v>0.99977102240834215</v>
      </c>
      <c r="GW156" s="8">
        <f>+IF(GW$8 = 125, 1, MIN(_xlfn._xlws.FILTER(INDEX( GW$55:GW$96, MAX( COUNT( GX$9:GX$50 )  - $B156 + 1, 1)) : INDEX( GW$55:GW$96, MAX( COUNT( GX$9:GX$50 )  - $C156 + 1, 1)), INDEX( GW$101:GW$142, MAX( COUNT( GX$9:GX$50 )  - $B156 + 1, 1)) : INDEX( GW$101:GW$142, MAX( COUNT( GX$9:GX$50 )  - $C156 + 1, 1)) &gt; 0)))</f>
        <v>1</v>
      </c>
      <c r="GX156" s="8">
        <f>+IF(GX$8 = 125, 1, MIN(_xlfn._xlws.FILTER(INDEX( GX$55:GX$96, MAX( COUNT( GY$9:GY$50 )  - $B156 + 1, 1)) : INDEX( GX$55:GX$96, MAX( COUNT( GY$9:GY$50 )  - $C156 + 1, 1)), INDEX( GX$101:GX$142, MAX( COUNT( GY$9:GY$50 )  - $B156 + 1, 1)) : INDEX( GX$101:GX$142, MAX( COUNT( GY$9:GY$50 )  - $C156 + 1, 1)) &gt; 0)))</f>
        <v>1</v>
      </c>
      <c r="GY156" s="8">
        <f>+IF(GY$8 = 125, 1, MIN(_xlfn._xlws.FILTER(INDEX( GY$55:GY$96, MAX( COUNT( GZ$9:GZ$50 )  - $B156 + 1, 1)) : INDEX( GY$55:GY$96, MAX( COUNT( GZ$9:GZ$50 )  - $C156 + 1, 1)), INDEX( GY$101:GY$142, MAX( COUNT( GZ$9:GZ$50 )  - $B156 + 1, 1)) : INDEX( GY$101:GY$142, MAX( COUNT( GZ$9:GZ$50 )  - $C156 + 1, 1)) &gt; 0)))</f>
        <v>1</v>
      </c>
      <c r="GZ156" s="8">
        <f>+IF(GZ$8 = 125, 1, MIN(_xlfn._xlws.FILTER(INDEX( GZ$55:GZ$96, MAX( COUNT( HA$9:HA$50 )  - $B156 + 1, 1)) : INDEX( GZ$55:GZ$96, MAX( COUNT( HA$9:HA$50 )  - $C156 + 1, 1)), INDEX( GZ$101:GZ$142, MAX( COUNT( HA$9:HA$50 )  - $B156 + 1, 1)) : INDEX( GZ$101:GZ$142, MAX( COUNT( HA$9:HA$50 )  - $C156 + 1, 1)) &gt; 0)))</f>
        <v>1</v>
      </c>
      <c r="HA156" s="8">
        <f>+IF(HA$8 = 125, 1, MIN(_xlfn._xlws.FILTER(INDEX( HA$55:HA$96, MAX( COUNT( HB$9:HB$50 )  - $B156 + 1, 1)) : INDEX( HA$55:HA$96, MAX( COUNT( HB$9:HB$50 )  - $C156 + 1, 1)), INDEX( HA$101:HA$142, MAX( COUNT( HB$9:HB$50 )  - $B156 + 1, 1)) : INDEX( HA$101:HA$142, MAX( COUNT( HB$9:HB$50 )  - $C156 + 1, 1)) &gt; 0)))</f>
        <v>1</v>
      </c>
      <c r="HB156" s="8">
        <f>+IF(HB$8 = 125, 1, MIN(_xlfn._xlws.FILTER(INDEX( HB$55:HB$96, MAX( COUNT( HC$9:HC$50 )  - $B156 + 1, 1)) : INDEX( HB$55:HB$96, MAX( COUNT( HC$9:HC$50 )  - $C156 + 1, 1)), INDEX( HB$101:HB$142, MAX( COUNT( HC$9:HC$50 )  - $B156 + 1, 1)) : INDEX( HB$101:HB$142, MAX( COUNT( HC$9:HC$50 )  - $C156 + 1, 1)) &gt; 0)))</f>
        <v>0.99476205846083754</v>
      </c>
      <c r="HC156" s="8">
        <f>+IF(HC$8 = 125, 1, MIN(_xlfn._xlws.FILTER(INDEX( HC$55:HC$96, MAX( COUNT( HD$9:HD$50 )  - $B156 + 1, 1)) : INDEX( HC$55:HC$96, MAX( COUNT( HD$9:HD$50 )  - $C156 + 1, 1)), INDEX( HC$101:HC$142, MAX( COUNT( HD$9:HD$50 )  - $B156 + 1, 1)) : INDEX( HC$101:HC$142, MAX( COUNT( HD$9:HD$50 )  - $C156 + 1, 1)) &gt; 0)))</f>
        <v>1</v>
      </c>
      <c r="HD156" s="8">
        <f>+IF(HD$8 = 125, 1, MIN(_xlfn._xlws.FILTER(INDEX( HD$55:HD$96, MAX( COUNT( HE$9:HE$50 )  - $B156 + 1, 1)) : INDEX( HD$55:HD$96, MAX( COUNT( HE$9:HE$50 )  - $C156 + 1, 1)), INDEX( HD$101:HD$142, MAX( COUNT( HE$9:HE$50 )  - $B156 + 1, 1)) : INDEX( HD$101:HD$142, MAX( COUNT( HE$9:HE$50 )  - $C156 + 1, 1)) &gt; 0)))</f>
        <v>1</v>
      </c>
      <c r="HE156" s="8">
        <f>+IF(HE$8 = 125, 1, MIN(_xlfn._xlws.FILTER(INDEX( HE$55:HE$96, MAX( COUNT( HF$9:HF$50 )  - $B156 + 1, 1)) : INDEX( HE$55:HE$96, MAX( COUNT( HF$9:HF$50 )  - $C156 + 1, 1)), INDEX( HE$101:HE$142, MAX( COUNT( HF$9:HF$50 )  - $B156 + 1, 1)) : INDEX( HE$101:HE$142, MAX( COUNT( HF$9:HF$50 )  - $C156 + 1, 1)) &gt; 0)))</f>
        <v>1</v>
      </c>
      <c r="HF156" s="8">
        <f>+IF(HF$8 = 125, 1, MIN(_xlfn._xlws.FILTER(INDEX( HF$55:HF$96, MAX( COUNT( HG$9:HG$50 )  - $B156 + 1, 1)) : INDEX( HF$55:HF$96, MAX( COUNT( HG$9:HG$50 )  - $C156 + 1, 1)), INDEX( HF$101:HF$142, MAX( COUNT( HG$9:HG$50 )  - $B156 + 1, 1)) : INDEX( HF$101:HF$142, MAX( COUNT( HG$9:HG$50 )  - $C156 + 1, 1)) &gt; 0)))</f>
        <v>1</v>
      </c>
      <c r="HG156" s="8">
        <f>+IF(HG$8 = 125, 1, MIN(_xlfn._xlws.FILTER(INDEX( HG$55:HG$96, MAX( COUNT( HH$9:HH$50 )  - $B156 + 1, 1)) : INDEX( HG$55:HG$96, MAX( COUNT( HH$9:HH$50 )  - $C156 + 1, 1)), INDEX( HG$101:HG$142, MAX( COUNT( HH$9:HH$50 )  - $B156 + 1, 1)) : INDEX( HG$101:HG$142, MAX( COUNT( HH$9:HH$50 )  - $C156 + 1, 1)) &gt; 0)))</f>
        <v>1</v>
      </c>
      <c r="HH156" s="8">
        <f>+IF(HH$8 = 125, 1, MIN(_xlfn._xlws.FILTER(INDEX( HH$55:HH$96, MAX( COUNT( HI$9:HI$50 )  - $B156 + 1, 1)) : INDEX( HH$55:HH$96, MAX( COUNT( HI$9:HI$50 )  - $C156 + 1, 1)), INDEX( HH$101:HH$142, MAX( COUNT( HI$9:HI$50 )  - $B156 + 1, 1)) : INDEX( HH$101:HH$142, MAX( COUNT( HI$9:HI$50 )  - $C156 + 1, 1)) &gt; 0)))</f>
        <v>1.0001039332816481</v>
      </c>
      <c r="HI156" s="8">
        <f>+IF(HI$8 = 125, 1, MIN(_xlfn._xlws.FILTER(INDEX( HI$55:HI$96, MAX( COUNT( HJ$9:HJ$50 )  - $B156 + 1, 1)) : INDEX( HI$55:HI$96, MAX( COUNT( HJ$9:HJ$50 )  - $C156 + 1, 1)), INDEX( HI$101:HI$142, MAX( COUNT( HJ$9:HJ$50 )  - $B156 + 1, 1)) : INDEX( HI$101:HI$142, MAX( COUNT( HJ$9:HJ$50 )  - $C156 + 1, 1)) &gt; 0)))</f>
        <v>1</v>
      </c>
      <c r="HJ156" s="8">
        <f>+IF(HJ$8 = 125, 1, MIN(_xlfn._xlws.FILTER(INDEX( HJ$55:HJ$96, MAX( COUNT( HK$9:HK$50 )  - $B156 + 1, 1)) : INDEX( HJ$55:HJ$96, MAX( COUNT( HK$9:HK$50 )  - $C156 + 1, 1)), INDEX( HJ$101:HJ$142, MAX( COUNT( HK$9:HK$50 )  - $B156 + 1, 1)) : INDEX( HJ$101:HJ$142, MAX( COUNT( HK$9:HK$50 )  - $C156 + 1, 1)) &gt; 0)))</f>
        <v>1</v>
      </c>
      <c r="HK156" s="8">
        <f>+IF(HK$8 = 125, 1, MIN(_xlfn._xlws.FILTER(INDEX( HK$55:HK$96, MAX( COUNT( HL$9:HL$50 )  - $B156 + 1, 1)) : INDEX( HK$55:HK$96, MAX( COUNT( HL$9:HL$50 )  - $C156 + 1, 1)), INDEX( HK$101:HK$142, MAX( COUNT( HL$9:HL$50 )  - $B156 + 1, 1)) : INDEX( HK$101:HK$142, MAX( COUNT( HL$9:HL$50 )  - $C156 + 1, 1)) &gt; 0)))</f>
        <v>1</v>
      </c>
      <c r="HL156" s="8">
        <f>+IF(HL$8 = 125, 1, MIN(_xlfn._xlws.FILTER(INDEX( HL$55:HL$96, MAX( COUNT( HM$9:HM$50 )  - $B156 + 1, 1)) : INDEX( HL$55:HL$96, MAX( COUNT( HM$9:HM$50 )  - $C156 + 1, 1)), INDEX( HL$101:HL$142, MAX( COUNT( HM$9:HM$50 )  - $B156 + 1, 1)) : INDEX( HL$101:HL$142, MAX( COUNT( HM$9:HM$50 )  - $C156 + 1, 1)) &gt; 0)))</f>
        <v>1</v>
      </c>
      <c r="HM156" s="8">
        <f>+IF(HM$8 = 125, 1, MIN(_xlfn._xlws.FILTER(INDEX( HM$55:HM$96, MAX( COUNT( HN$9:HN$50 )  - $B156 + 1, 1)) : INDEX( HM$55:HM$96, MAX( COUNT( HN$9:HN$50 )  - $C156 + 1, 1)), INDEX( HM$101:HM$142, MAX( COUNT( HN$9:HN$50 )  - $B156 + 1, 1)) : INDEX( HM$101:HM$142, MAX( COUNT( HN$9:HN$50 )  - $C156 + 1, 1)) &gt; 0)))</f>
        <v>1</v>
      </c>
      <c r="HN156" s="8">
        <f>+IF(HN$8 = 125, 1, MIN(_xlfn._xlws.FILTER(INDEX( HN$55:HN$96, MAX( COUNT( HO$9:HO$50 )  - $B156 + 1, 1)) : INDEX( HN$55:HN$96, MAX( COUNT( HO$9:HO$50 )  - $C156 + 1, 1)), INDEX( HN$101:HN$142, MAX( COUNT( HO$9:HO$50 )  - $B156 + 1, 1)) : INDEX( HN$101:HN$142, MAX( COUNT( HO$9:HO$50 )  - $C156 + 1, 1)) &gt; 0)))</f>
        <v>1</v>
      </c>
      <c r="HO156" s="8">
        <f>+IF(HO$8 = 125, 1, MIN(_xlfn._xlws.FILTER(INDEX( HO$55:HO$96, MAX( COUNT( HP$9:HP$50 )  - $B156 + 1, 1)) : INDEX( HO$55:HO$96, MAX( COUNT( HP$9:HP$50 )  - $C156 + 1, 1)), INDEX( HO$101:HO$142, MAX( COUNT( HP$9:HP$50 )  - $B156 + 1, 1)) : INDEX( HO$101:HO$142, MAX( COUNT( HP$9:HP$50 )  - $C156 + 1, 1)) &gt; 0)))</f>
        <v>1</v>
      </c>
      <c r="HP156" s="8">
        <f>+IF(HP$8 = 125, 1, MIN(_xlfn._xlws.FILTER(INDEX( HP$55:HP$96, MAX( COUNT( HQ$9:HQ$50 )  - $B156 + 1, 1)) : INDEX( HP$55:HP$96, MAX( COUNT( HQ$9:HQ$50 )  - $C156 + 1, 1)), INDEX( HP$101:HP$142, MAX( COUNT( HQ$9:HQ$50 )  - $B156 + 1, 1)) : INDEX( HP$101:HP$142, MAX( COUNT( HQ$9:HQ$50 )  - $C156 + 1, 1)) &gt; 0)))</f>
        <v>1</v>
      </c>
      <c r="HQ156" s="8">
        <f>+IF(HQ$8 = 125, 1, MIN(_xlfn._xlws.FILTER(INDEX( HQ$55:HQ$96, MAX( COUNT( HR$9:HR$50 )  - $B156 + 1, 1)) : INDEX( HQ$55:HQ$96, MAX( COUNT( HR$9:HR$50 )  - $C156 + 1, 1)), INDEX( HQ$101:HQ$142, MAX( COUNT( HR$9:HR$50 )  - $B156 + 1, 1)) : INDEX( HQ$101:HQ$142, MAX( COUNT( HR$9:HR$50 )  - $C156 + 1, 1)) &gt; 0)))</f>
        <v>1</v>
      </c>
      <c r="HR156" s="8">
        <f>+IF(HR$8 = 125, 1, MIN(_xlfn._xlws.FILTER(INDEX( HR$55:HR$96, MAX( COUNT( HS$9:HS$50 )  - $B156 + 1, 1)) : INDEX( HR$55:HR$96, MAX( COUNT( HS$9:HS$50 )  - $C156 + 1, 1)), INDEX( HR$101:HR$142, MAX( COUNT( HS$9:HS$50 )  - $B156 + 1, 1)) : INDEX( HR$101:HR$142, MAX( COUNT( HS$9:HS$50 )  - $C156 + 1, 1)) &gt; 0)))</f>
        <v>1</v>
      </c>
      <c r="HS156" s="8">
        <f>+IF(HS$8 = 125, 1, MIN(_xlfn._xlws.FILTER(INDEX( HS$55:HS$96, MAX( COUNT( HT$9:HT$50 )  - $B156 + 1, 1)) : INDEX( HS$55:HS$96, MAX( COUNT( HT$9:HT$50 )  - $C156 + 1, 1)), INDEX( HS$101:HS$142, MAX( COUNT( HT$9:HT$50 )  - $B156 + 1, 1)) : INDEX( HS$101:HS$142, MAX( COUNT( HT$9:HT$50 )  - $C156 + 1, 1)) &gt; 0)))</f>
        <v>1</v>
      </c>
      <c r="HT156" s="8">
        <f>+IF(HT$8 = 125, 1, MIN(_xlfn._xlws.FILTER(INDEX( HT$55:HT$96, MAX( COUNT( HU$9:HU$50 )  - $B156 + 1, 1)) : INDEX( HT$55:HT$96, MAX( COUNT( HU$9:HU$50 )  - $C156 + 1, 1)), INDEX( HT$101:HT$142, MAX( COUNT( HU$9:HU$50 )  - $B156 + 1, 1)) : INDEX( HT$101:HT$142, MAX( COUNT( HU$9:HU$50 )  - $C156 + 1, 1)) &gt; 0)))</f>
        <v>1</v>
      </c>
      <c r="HU156" s="8">
        <f>+IF(HU$8 = 125, 1, MIN(_xlfn._xlws.FILTER(INDEX( HU$55:HU$96, MAX( COUNT( HV$9:HV$50 )  - $B156 + 1, 1)) : INDEX( HU$55:HU$96, MAX( COUNT( HV$9:HV$50 )  - $C156 + 1, 1)), INDEX( HU$101:HU$142, MAX( COUNT( HV$9:HV$50 )  - $B156 + 1, 1)) : INDEX( HU$101:HU$142, MAX( COUNT( HV$9:HV$50 )  - $C156 + 1, 1)) &gt; 0)))</f>
        <v>1.0001612230718515</v>
      </c>
      <c r="HV156" s="8">
        <f>+IF(HV$8 = 125, 1, MIN(_xlfn._xlws.FILTER(INDEX( HV$55:HV$96, MAX( COUNT( HW$9:HW$50 )  - $B156 + 1, 1)) : INDEX( HV$55:HV$96, MAX( COUNT( HW$9:HW$50 )  - $C156 + 1, 1)), INDEX( HV$101:HV$142, MAX( COUNT( HW$9:HW$50 )  - $B156 + 1, 1)) : INDEX( HV$101:HV$142, MAX( COUNT( HW$9:HW$50 )  - $C156 + 1, 1)) &gt; 0)))</f>
        <v>1</v>
      </c>
      <c r="HW156" s="8">
        <f>+IF(HW$8 = 125, 1, MIN(_xlfn._xlws.FILTER(INDEX( HW$55:HW$96, MAX( COUNT( HX$9:HX$50 )  - $B156 + 1, 1)) : INDEX( HW$55:HW$96, MAX( COUNT( HX$9:HX$50 )  - $C156 + 1, 1)), INDEX( HW$101:HW$142, MAX( COUNT( HX$9:HX$50 )  - $B156 + 1, 1)) : INDEX( HW$101:HW$142, MAX( COUNT( HX$9:HX$50 )  - $C156 + 1, 1)) &gt; 0)))</f>
        <v>1</v>
      </c>
      <c r="HX156" s="8">
        <f>+IF(HX$8 = 125, 1, MIN(_xlfn._xlws.FILTER(INDEX( HX$55:HX$96, MAX( COUNT( HY$9:HY$50 )  - $B156 + 1, 1)) : INDEX( HX$55:HX$96, MAX( COUNT( HY$9:HY$50 )  - $C156 + 1, 1)), INDEX( HX$101:HX$142, MAX( COUNT( HY$9:HY$50 )  - $B156 + 1, 1)) : INDEX( HX$101:HX$142, MAX( COUNT( HY$9:HY$50 )  - $C156 + 1, 1)) &gt; 0)))</f>
        <v>1</v>
      </c>
      <c r="HY156" s="8">
        <f>+IF(HY$8 = 125, 1, MIN(_xlfn._xlws.FILTER(INDEX( HY$55:HY$96, MAX( COUNT( HZ$9:HZ$50 )  - $B156 + 1, 1)) : INDEX( HY$55:HY$96, MAX( COUNT( HZ$9:HZ$50 )  - $C156 + 1, 1)), INDEX( HY$101:HY$142, MAX( COUNT( HZ$9:HZ$50 )  - $B156 + 1, 1)) : INDEX( HY$101:HY$142, MAX( COUNT( HZ$9:HZ$50 )  - $C156 + 1, 1)) &gt; 0)))</f>
        <v>1</v>
      </c>
      <c r="HZ156" s="8">
        <f>+IF(HZ$8 = 125, 1, MIN(_xlfn._xlws.FILTER(INDEX( HZ$55:HZ$96, MAX( COUNT( IA$9:IA$50 )  - $B156 + 1, 1)) : INDEX( HZ$55:HZ$96, MAX( COUNT( IA$9:IA$50 )  - $C156 + 1, 1)), INDEX( HZ$101:HZ$142, MAX( COUNT( IA$9:IA$50 )  - $B156 + 1, 1)) : INDEX( HZ$101:HZ$142, MAX( COUNT( IA$9:IA$50 )  - $C156 + 1, 1)) &gt; 0)))</f>
        <v>1</v>
      </c>
      <c r="IA156" s="8">
        <f>+IF(IA$8 = 125, 1, MIN(_xlfn._xlws.FILTER(INDEX( IA$55:IA$96, MAX( COUNT( IB$9:IB$50 )  - $B156 + 1, 1)) : INDEX( IA$55:IA$96, MAX( COUNT( IB$9:IB$50 )  - $C156 + 1, 1)), INDEX( IA$101:IA$142, MAX( COUNT( IB$9:IB$50 )  - $B156 + 1, 1)) : INDEX( IA$101:IA$142, MAX( COUNT( IB$9:IB$50 )  - $C156 + 1, 1)) &gt; 0)))</f>
        <v>1</v>
      </c>
      <c r="IB156" s="8">
        <f>+IF(IB$8 = 125, 1, MIN(_xlfn._xlws.FILTER(INDEX( IB$55:IB$96, MAX( COUNT( IC$9:IC$50 )  - $B156 + 1, 1)) : INDEX( IB$55:IB$96, MAX( COUNT( IC$9:IC$50 )  - $C156 + 1, 1)), INDEX( IB$101:IB$142, MAX( COUNT( IC$9:IC$50 )  - $B156 + 1, 1)) : INDEX( IB$101:IB$142, MAX( COUNT( IC$9:IC$50 )  - $C156 + 1, 1)) &gt; 0)))</f>
        <v>1</v>
      </c>
      <c r="IC156" s="8">
        <f>+IF(IC$8 = 125, 1, MIN(_xlfn._xlws.FILTER(INDEX( IC$55:IC$96, MAX( COUNT( ID$9:ID$50 )  - $B156 + 1, 1)) : INDEX( IC$55:IC$96, MAX( COUNT( ID$9:ID$50 )  - $C156 + 1, 1)), INDEX( IC$101:IC$142, MAX( COUNT( ID$9:ID$50 )  - $B156 + 1, 1)) : INDEX( IC$101:IC$142, MAX( COUNT( ID$9:ID$50 )  - $C156 + 1, 1)) &gt; 0)))</f>
        <v>1</v>
      </c>
      <c r="ID156" s="8">
        <f>+IF(ID$8 = 125, 1, MIN(_xlfn._xlws.FILTER(INDEX( ID$55:ID$96, MAX( COUNT( IE$9:IE$50 )  - $B156 + 1, 1)) : INDEX( ID$55:ID$96, MAX( COUNT( IE$9:IE$50 )  - $C156 + 1, 1)), INDEX( ID$101:ID$142, MAX( COUNT( IE$9:IE$50 )  - $B156 + 1, 1)) : INDEX( ID$101:ID$142, MAX( COUNT( IE$9:IE$50 )  - $C156 + 1, 1)) &gt; 0)))</f>
        <v>1</v>
      </c>
      <c r="IE156" s="8">
        <f>+IF(IE$8 = 125, 1, MIN(_xlfn._xlws.FILTER(INDEX( IE$55:IE$96, MAX( COUNT( IF$9:IF$50 )  - $B156 + 1, 1)) : INDEX( IE$55:IE$96, MAX( COUNT( IF$9:IF$50 )  - $C156 + 1, 1)), INDEX( IE$101:IE$142, MAX( COUNT( IF$9:IF$50 )  - $B156 + 1, 1)) : INDEX( IE$101:IE$142, MAX( COUNT( IF$9:IF$50 )  - $C156 + 1, 1)) &gt; 0)))</f>
        <v>1</v>
      </c>
      <c r="IF156" s="8">
        <f>+IF(IF$8 = 125, 1, MIN(_xlfn._xlws.FILTER(INDEX( IF$55:IF$96, MAX( COUNT( IG$9:IG$50 )  - $B156 + 1, 1)) : INDEX( IF$55:IF$96, MAX( COUNT( IG$9:IG$50 )  - $C156 + 1, 1)), INDEX( IF$101:IF$142, MAX( COUNT( IG$9:IG$50 )  - $B156 + 1, 1)) : INDEX( IF$101:IF$142, MAX( COUNT( IG$9:IG$50 )  - $C156 + 1, 1)) &gt; 0)))</f>
        <v>1.0005793113074559</v>
      </c>
      <c r="IG156" s="8">
        <f>+IF(IG$8 = 125, 1, MIN(_xlfn._xlws.FILTER(INDEX( IG$55:IG$96, MAX( COUNT( IH$9:IH$50 )  - $B156 + 1, 1)) : INDEX( IG$55:IG$96, MAX( COUNT( IH$9:IH$50 )  - $C156 + 1, 1)), INDEX( IG$101:IG$142, MAX( COUNT( IH$9:IH$50 )  - $B156 + 1, 1)) : INDEX( IG$101:IG$142, MAX( COUNT( IH$9:IH$50 )  - $C156 + 1, 1)) &gt; 0)))</f>
        <v>1.000321303135874</v>
      </c>
      <c r="IH156" s="8">
        <f>+IF(IH$8 = 125, 1, MIN(_xlfn._xlws.FILTER(INDEX( IH$55:IH$96, MAX( COUNT( II$9:II$50 )  - $B156 + 1, 1)) : INDEX( IH$55:IH$96, MAX( COUNT( II$9:II$50 )  - $C156 + 1, 1)), INDEX( IH$101:IH$142, MAX( COUNT( II$9:II$50 )  - $B156 + 1, 1)) : INDEX( IH$101:IH$142, MAX( COUNT( II$9:II$50 )  - $C156 + 1, 1)) &gt; 0)))</f>
        <v>1</v>
      </c>
      <c r="II156" s="8">
        <f>+IF(II$8 = 125, 1, MIN(_xlfn._xlws.FILTER(INDEX( II$55:II$96, MAX( COUNT( IJ$9:IJ$50 )  - $B156 + 1, 1)) : INDEX( II$55:II$96, MAX( COUNT( IJ$9:IJ$50 )  - $C156 + 1, 1)), INDEX( II$101:II$142, MAX( COUNT( IJ$9:IJ$50 )  - $B156 + 1, 1)) : INDEX( II$101:II$142, MAX( COUNT( IJ$9:IJ$50 )  - $C156 + 1, 1)) &gt; 0)))</f>
        <v>1</v>
      </c>
      <c r="IJ156" s="8">
        <f>+IF(IJ$8 = 125, 1, MIN(_xlfn._xlws.FILTER(INDEX( IJ$55:IJ$96, MAX( COUNT( IK$9:IK$50 )  - $B156 + 1, 1)) : INDEX( IJ$55:IJ$96, MAX( COUNT( IK$9:IK$50 )  - $C156 + 1, 1)), INDEX( IJ$101:IJ$142, MAX( COUNT( IK$9:IK$50 )  - $B156 + 1, 1)) : INDEX( IJ$101:IJ$142, MAX( COUNT( IK$9:IK$50 )  - $C156 + 1, 1)) &gt; 0)))</f>
        <v>1.0000514705482166</v>
      </c>
      <c r="IK156" s="8">
        <f>+IF(IK$8 = 125, 1, MIN(_xlfn._xlws.FILTER(INDEX( IK$55:IK$96, MAX( COUNT( IL$9:IL$50 )  - $B156 + 1, 1)) : INDEX( IK$55:IK$96, MAX( COUNT( IL$9:IL$50 )  - $C156 + 1, 1)), INDEX( IK$101:IK$142, MAX( COUNT( IL$9:IL$50 )  - $B156 + 1, 1)) : INDEX( IK$101:IK$142, MAX( COUNT( IL$9:IL$50 )  - $C156 + 1, 1)) &gt; 0)))</f>
        <v>1</v>
      </c>
      <c r="IL156" s="8">
        <f>+IF(IL$8 = 125, 1, MIN(_xlfn._xlws.FILTER(INDEX( IL$55:IL$96, MAX( COUNT( IM$9:IM$50 )  - $B156 + 1, 1)) : INDEX( IL$55:IL$96, MAX( COUNT( IM$9:IM$50 )  - $C156 + 1, 1)), INDEX( IL$101:IL$142, MAX( COUNT( IM$9:IM$50 )  - $B156 + 1, 1)) : INDEX( IL$101:IL$142, MAX( COUNT( IM$9:IM$50 )  - $C156 + 1, 1)) &gt; 0)))</f>
        <v>1</v>
      </c>
      <c r="IM156" s="8">
        <f>+IF(IM$8 = 125, 1, MIN(_xlfn._xlws.FILTER(INDEX( IM$55:IM$96, MAX( COUNT( IN$9:IN$50 )  - $B156 + 1, 1)) : INDEX( IM$55:IM$96, MAX( COUNT( IN$9:IN$50 )  - $C156 + 1, 1)), INDEX( IM$101:IM$142, MAX( COUNT( IN$9:IN$50 )  - $B156 + 1, 1)) : INDEX( IM$101:IM$142, MAX( COUNT( IN$9:IN$50 )  - $C156 + 1, 1)) &gt; 0)))</f>
        <v>1</v>
      </c>
      <c r="IN156" s="8">
        <f>+IF(IN$8 = 125, 1, MIN(_xlfn._xlws.FILTER(INDEX( IN$55:IN$96, MAX( COUNT( IO$9:IO$50 )  - $B156 + 1, 1)) : INDEX( IN$55:IN$96, MAX( COUNT( IO$9:IO$50 )  - $C156 + 1, 1)), INDEX( IN$101:IN$142, MAX( COUNT( IO$9:IO$50 )  - $B156 + 1, 1)) : INDEX( IN$101:IN$142, MAX( COUNT( IO$9:IO$50 )  - $C156 + 1, 1)) &gt; 0)))</f>
        <v>1</v>
      </c>
      <c r="IO156" s="8">
        <f>+IF(IO$8 = 125, 1, MIN(_xlfn._xlws.FILTER(INDEX( IO$55:IO$96, MAX( COUNT( IP$9:IP$50 )  - $B156 + 1, 1)) : INDEX( IO$55:IO$96, MAX( COUNT( IP$9:IP$50 )  - $C156 + 1, 1)), INDEX( IO$101:IO$142, MAX( COUNT( IP$9:IP$50 )  - $B156 + 1, 1)) : INDEX( IO$101:IO$142, MAX( COUNT( IP$9:IP$50 )  - $C156 + 1, 1)) &gt; 0)))</f>
        <v>1</v>
      </c>
      <c r="IP156" s="8">
        <f>+IF(IP$8 = 125, 1, MIN(_xlfn._xlws.FILTER(INDEX( IP$55:IP$96, MAX( COUNT( IQ$9:IQ$50 )  - $B156 + 1, 1)) : INDEX( IP$55:IP$96, MAX( COUNT( IQ$9:IQ$50 )  - $C156 + 1, 1)), INDEX( IP$101:IP$142, MAX( COUNT( IQ$9:IQ$50 )  - $B156 + 1, 1)) : INDEX( IP$101:IP$142, MAX( COUNT( IQ$9:IQ$50 )  - $C156 + 1, 1)) &gt; 0)))</f>
        <v>1</v>
      </c>
      <c r="IQ156" s="8">
        <f>+IF(IQ$8 = 125, 1, MIN(_xlfn._xlws.FILTER(INDEX( IQ$55:IQ$96, MAX( COUNT( IR$9:IR$50 )  - $B156 + 1, 1)) : INDEX( IQ$55:IQ$96, MAX( COUNT( IR$9:IR$50 )  - $C156 + 1, 1)), INDEX( IQ$101:IQ$142, MAX( COUNT( IR$9:IR$50 )  - $B156 + 1, 1)) : INDEX( IQ$101:IQ$142, MAX( COUNT( IR$9:IR$50 )  - $C156 + 1, 1)) &gt; 0)))</f>
        <v>1.0030217642827521</v>
      </c>
      <c r="IR156" s="8">
        <f>+IF(IR$8 = 125, 1, MIN(_xlfn._xlws.FILTER(INDEX( IR$55:IR$96, MAX( COUNT( IS$9:IS$50 )  - $B156 + 1, 1)) : INDEX( IR$55:IR$96, MAX( COUNT( IS$9:IS$50 )  - $C156 + 1, 1)), INDEX( IR$101:IR$142, MAX( COUNT( IS$9:IS$50 )  - $B156 + 1, 1)) : INDEX( IR$101:IR$142, MAX( COUNT( IS$9:IS$50 )  - $C156 + 1, 1)) &gt; 0)))</f>
        <v>1.0008350311609679</v>
      </c>
      <c r="IS156" s="8">
        <f>+IF(IS$8 = 125, 1, MIN(_xlfn._xlws.FILTER(INDEX( IS$55:IS$96, MAX( COUNT( IT$9:IT$50 )  - $B156 + 1, 1)) : INDEX( IS$55:IS$96, MAX( COUNT( IT$9:IT$50 )  - $C156 + 1, 1)), INDEX( IS$101:IS$142, MAX( COUNT( IT$9:IT$50 )  - $B156 + 1, 1)) : INDEX( IS$101:IS$142, MAX( COUNT( IT$9:IT$50 )  - $C156 + 1, 1)) &gt; 0)))</f>
        <v>1.0055498790859507</v>
      </c>
      <c r="IT156" s="8">
        <f>+IF(IT$8 = 125, 1, MIN(_xlfn._xlws.FILTER(INDEX( IT$55:IT$96, MAX( COUNT( IU$9:IU$50 )  - $B156 + 1, 1)) : INDEX( IT$55:IT$96, MAX( COUNT( IU$9:IU$50 )  - $C156 + 1, 1)), INDEX( IT$101:IT$142, MAX( COUNT( IU$9:IU$50 )  - $B156 + 1, 1)) : INDEX( IT$101:IT$142, MAX( COUNT( IU$9:IU$50 )  - $C156 + 1, 1)) &gt; 0)))</f>
        <v>1.0050872730680325</v>
      </c>
      <c r="IU156" s="8">
        <f>+IF(IU$8 = 125, 1, MIN(_xlfn._xlws.FILTER(INDEX( IU$55:IU$96, MAX( COUNT( IV$9:IV$50 )  - $B156 + 1, 1)) : INDEX( IU$55:IU$96, MAX( COUNT( IV$9:IV$50 )  - $C156 + 1, 1)), INDEX( IU$101:IU$142, MAX( COUNT( IV$9:IV$50 )  - $B156 + 1, 1)) : INDEX( IU$101:IU$142, MAX( COUNT( IV$9:IV$50 )  - $C156 + 1, 1)) &gt; 0)))</f>
        <v>1.0045545119089383</v>
      </c>
      <c r="IV156" s="8">
        <f>+IF(IV$8 = 125, 1, MIN(_xlfn._xlws.FILTER(INDEX( IV$55:IV$96, MAX( COUNT( IW$9:IW$50 )  - $B156 + 1, 1)) : INDEX( IV$55:IV$96, MAX( COUNT( IW$9:IW$50 )  - $C156 + 1, 1)), INDEX( IV$101:IV$142, MAX( COUNT( IW$9:IW$50 )  - $B156 + 1, 1)) : INDEX( IV$101:IV$142, MAX( COUNT( IW$9:IW$50 )  - $C156 + 1, 1)) &gt; 0)))</f>
        <v>1</v>
      </c>
    </row>
    <row r="157" spans="2:256" x14ac:dyDescent="0.2">
      <c r="B157">
        <v>1</v>
      </c>
      <c r="C157">
        <v>4</v>
      </c>
      <c r="F157" s="15" t="s">
        <v>17</v>
      </c>
      <c r="G157" s="8">
        <f>+IF(G$8 = 125, 1, MAX(_xlfn._xlws.FILTER(INDEX( G$55:G$96, MAX( COUNT( H$9:H$50 )  - $B157 + 1, 1)) : INDEX( G$55:G$96, MAX( COUNT( H$9:H$50 )  - $C157 + 1, 1)), INDEX( G$101:G$142, MAX( COUNT( H$9:H$50 )  - $B157 + 1, 1)) : INDEX( G$101:G$142, MAX( COUNT( H$9:H$50 )  - $C157 + 1, 1)) &gt; 0)))</f>
        <v>56.208732094261379</v>
      </c>
      <c r="H157" s="8">
        <f>+IF(H$8 = 125, 1, MAX(_xlfn._xlws.FILTER(INDEX( H$55:H$96, MAX( COUNT( I$9:I$50 )  - $B157 + 1, 1)) : INDEX( H$55:H$96, MAX( COUNT( I$9:I$50 )  - $C157 + 1, 1)), INDEX( H$101:H$142, MAX( COUNT( I$9:I$50 )  - $B157 + 1, 1)) : INDEX( H$101:H$142, MAX( COUNT( I$9:I$50 )  - $C157 + 1, 1)) &gt; 0)))</f>
        <v>2.3797650818700204</v>
      </c>
      <c r="I157" s="8">
        <f>+IF(I$8 = 125, 1, MAX(_xlfn._xlws.FILTER(INDEX( I$55:I$96, MAX( COUNT( J$9:J$50 )  - $B157 + 1, 1)) : INDEX( I$55:I$96, MAX( COUNT( J$9:J$50 )  - $C157 + 1, 1)), INDEX( I$101:I$142, MAX( COUNT( J$9:J$50 )  - $B157 + 1, 1)) : INDEX( I$101:I$142, MAX( COUNT( J$9:J$50 )  - $C157 + 1, 1)) &gt; 0)))</f>
        <v>2.5896982209983563</v>
      </c>
      <c r="J157" s="8">
        <f>+IF(J$8 = 125, 1, MAX(_xlfn._xlws.FILTER(INDEX( J$55:J$96, MAX( COUNT( K$9:K$50 )  - $B157 + 1, 1)) : INDEX( J$55:J$96, MAX( COUNT( K$9:K$50 )  - $C157 + 1, 1)), INDEX( J$101:J$142, MAX( COUNT( K$9:K$50 )  - $B157 + 1, 1)) : INDEX( J$101:J$142, MAX( COUNT( K$9:K$50 )  - $C157 + 1, 1)) &gt; 0)))</f>
        <v>2.0806987908591554</v>
      </c>
      <c r="K157" s="8">
        <f>+IF(K$8 = 125, 1, MAX(_xlfn._xlws.FILTER(INDEX( K$55:K$96, MAX( COUNT( L$9:L$50 )  - $B157 + 1, 1)) : INDEX( K$55:K$96, MAX( COUNT( L$9:L$50 )  - $C157 + 1, 1)), INDEX( K$101:K$142, MAX( COUNT( L$9:L$50 )  - $B157 + 1, 1)) : INDEX( K$101:K$142, MAX( COUNT( L$9:L$50 )  - $C157 + 1, 1)) &gt; 0)))</f>
        <v>1.1158734966326918</v>
      </c>
      <c r="L157" s="8">
        <f>+IF(L$8 = 125, 1, MAX(_xlfn._xlws.FILTER(INDEX( L$55:L$96, MAX( COUNT( M$9:M$50 )  - $B157 + 1, 1)) : INDEX( L$55:L$96, MAX( COUNT( M$9:M$50 )  - $C157 + 1, 1)), INDEX( L$101:L$142, MAX( COUNT( M$9:M$50 )  - $B157 + 1, 1)) : INDEX( L$101:L$142, MAX( COUNT( M$9:M$50 )  - $C157 + 1, 1)) &gt; 0)))</f>
        <v>1.3528845163625209</v>
      </c>
      <c r="M157" s="8">
        <f>+IF(M$8 = 125, 1, MAX(_xlfn._xlws.FILTER(INDEX( M$55:M$96, MAX( COUNT( N$9:N$50 )  - $B157 + 1, 1)) : INDEX( M$55:M$96, MAX( COUNT( N$9:N$50 )  - $C157 + 1, 1)), INDEX( M$101:M$142, MAX( COUNT( N$9:N$50 )  - $B157 + 1, 1)) : INDEX( M$101:M$142, MAX( COUNT( N$9:N$50 )  - $C157 + 1, 1)) &gt; 0)))</f>
        <v>1.0390366978943992</v>
      </c>
      <c r="N157" s="8">
        <f>+IF(N$8 = 125, 1, MAX(_xlfn._xlws.FILTER(INDEX( N$55:N$96, MAX( COUNT( O$9:O$50 )  - $B157 + 1, 1)) : INDEX( N$55:N$96, MAX( COUNT( O$9:O$50 )  - $C157 + 1, 1)), INDEX( N$101:N$142, MAX( COUNT( O$9:O$50 )  - $B157 + 1, 1)) : INDEX( N$101:N$142, MAX( COUNT( O$9:O$50 )  - $C157 + 1, 1)) &gt; 0)))</f>
        <v>1.0298710024346207</v>
      </c>
      <c r="O157" s="8">
        <f>+IF(O$8 = 125, 1, MAX(_xlfn._xlws.FILTER(INDEX( O$55:O$96, MAX( COUNT( P$9:P$50 )  - $B157 + 1, 1)) : INDEX( O$55:O$96, MAX( COUNT( P$9:P$50 )  - $C157 + 1, 1)), INDEX( O$101:O$142, MAX( COUNT( P$9:P$50 )  - $B157 + 1, 1)) : INDEX( O$101:O$142, MAX( COUNT( P$9:P$50 )  - $C157 + 1, 1)) &gt; 0)))</f>
        <v>1.012462533548115</v>
      </c>
      <c r="P157" s="8">
        <f>+IF(P$8 = 125, 1, MAX(_xlfn._xlws.FILTER(INDEX( P$55:P$96, MAX( COUNT( Q$9:Q$50 )  - $B157 + 1, 1)) : INDEX( P$55:P$96, MAX( COUNT( Q$9:Q$50 )  - $C157 + 1, 1)), INDEX( P$101:P$142, MAX( COUNT( Q$9:Q$50 )  - $B157 + 1, 1)) : INDEX( P$101:P$142, MAX( COUNT( Q$9:Q$50 )  - $C157 + 1, 1)) &gt; 0)))</f>
        <v>1.0260225724691887</v>
      </c>
      <c r="Q157" s="8">
        <f>+IF(Q$8 = 125, 1, MAX(_xlfn._xlws.FILTER(INDEX( Q$55:Q$96, MAX( COUNT( R$9:R$50 )  - $B157 + 1, 1)) : INDEX( Q$55:Q$96, MAX( COUNT( R$9:R$50 )  - $C157 + 1, 1)), INDEX( Q$101:Q$142, MAX( COUNT( R$9:R$50 )  - $B157 + 1, 1)) : INDEX( Q$101:Q$142, MAX( COUNT( R$9:R$50 )  - $C157 + 1, 1)) &gt; 0)))</f>
        <v>1.0055192783153881</v>
      </c>
      <c r="R157" s="8">
        <f>+IF(R$8 = 125, 1, MAX(_xlfn._xlws.FILTER(INDEX( R$55:R$96, MAX( COUNT( S$9:S$50 )  - $B157 + 1, 1)) : INDEX( R$55:R$96, MAX( COUNT( S$9:S$50 )  - $C157 + 1, 1)), INDEX( R$101:R$142, MAX( COUNT( S$9:S$50 )  - $B157 + 1, 1)) : INDEX( R$101:R$142, MAX( COUNT( S$9:S$50 )  - $C157 + 1, 1)) &gt; 0)))</f>
        <v>1.013998783843479</v>
      </c>
      <c r="S157" s="8">
        <f>+IF(S$8 = 125, 1, MAX(_xlfn._xlws.FILTER(INDEX( S$55:S$96, MAX( COUNT( T$9:T$50 )  - $B157 + 1, 1)) : INDEX( S$55:S$96, MAX( COUNT( T$9:T$50 )  - $C157 + 1, 1)), INDEX( S$101:S$142, MAX( COUNT( T$9:T$50 )  - $B157 + 1, 1)) : INDEX( S$101:S$142, MAX( COUNT( T$9:T$50 )  - $C157 + 1, 1)) &gt; 0)))</f>
        <v>1.0011105421064261</v>
      </c>
      <c r="T157" s="8">
        <f>+IF(T$8 = 125, 1, MAX(_xlfn._xlws.FILTER(INDEX( T$55:T$96, MAX( COUNT( U$9:U$50 )  - $B157 + 1, 1)) : INDEX( T$55:T$96, MAX( COUNT( U$9:U$50 )  - $C157 + 1, 1)), INDEX( T$101:T$142, MAX( COUNT( U$9:U$50 )  - $B157 + 1, 1)) : INDEX( T$101:T$142, MAX( COUNT( U$9:U$50 )  - $C157 + 1, 1)) &gt; 0)))</f>
        <v>1.0021969240532065</v>
      </c>
      <c r="U157" s="8">
        <f>+IF(U$8 = 125, 1, MAX(_xlfn._xlws.FILTER(INDEX( U$55:U$96, MAX( COUNT( V$9:V$50 )  - $B157 + 1, 1)) : INDEX( U$55:U$96, MAX( COUNT( V$9:V$50 )  - $C157 + 1, 1)), INDEX( U$101:U$142, MAX( COUNT( V$9:V$50 )  - $B157 + 1, 1)) : INDEX( U$101:U$142, MAX( COUNT( V$9:V$50 )  - $C157 + 1, 1)) &gt; 0)))</f>
        <v>1.0005185772646057</v>
      </c>
      <c r="V157" s="8">
        <f>+IF(V$8 = 125, 1, MAX(_xlfn._xlws.FILTER(INDEX( V$55:V$96, MAX( COUNT( W$9:W$50 )  - $B157 + 1, 1)) : INDEX( V$55:V$96, MAX( COUNT( W$9:W$50 )  - $C157 + 1, 1)), INDEX( V$101:V$142, MAX( COUNT( W$9:W$50 )  - $B157 + 1, 1)) : INDEX( V$101:V$142, MAX( COUNT( W$9:W$50 )  - $C157 + 1, 1)) &gt; 0)))</f>
        <v>1.0033210593386257</v>
      </c>
      <c r="W157" s="8">
        <f>+IF(W$8 = 125, 1, MAX(_xlfn._xlws.FILTER(INDEX( W$55:W$96, MAX( COUNT( X$9:X$50 )  - $B157 + 1, 1)) : INDEX( W$55:W$96, MAX( COUNT( X$9:X$50 )  - $C157 + 1, 1)), INDEX( W$101:W$142, MAX( COUNT( X$9:X$50 )  - $B157 + 1, 1)) : INDEX( W$101:W$142, MAX( COUNT( X$9:X$50 )  - $C157 + 1, 1)) &gt; 0)))</f>
        <v>1.0025036061304524</v>
      </c>
      <c r="X157" s="8">
        <f>+IF(X$8 = 125, 1, MAX(_xlfn._xlws.FILTER(INDEX( X$55:X$96, MAX( COUNT( Y$9:Y$50 )  - $B157 + 1, 1)) : INDEX( X$55:X$96, MAX( COUNT( Y$9:Y$50 )  - $C157 + 1, 1)), INDEX( X$101:X$142, MAX( COUNT( Y$9:Y$50 )  - $B157 + 1, 1)) : INDEX( X$101:X$142, MAX( COUNT( Y$9:Y$50 )  - $C157 + 1, 1)) &gt; 0)))</f>
        <v>1.0007319617346291</v>
      </c>
      <c r="Y157" s="8">
        <f>+IF(Y$8 = 125, 1, MAX(_xlfn._xlws.FILTER(INDEX( Y$55:Y$96, MAX( COUNT( Z$9:Z$50 )  - $B157 + 1, 1)) : INDEX( Y$55:Y$96, MAX( COUNT( Z$9:Z$50 )  - $C157 + 1, 1)), INDEX( Y$101:Y$142, MAX( COUNT( Z$9:Z$50 )  - $B157 + 1, 1)) : INDEX( Y$101:Y$142, MAX( COUNT( Z$9:Z$50 )  - $C157 + 1, 1)) &gt; 0)))</f>
        <v>1.0020889536799416</v>
      </c>
      <c r="Z157" s="8">
        <f>+IF(Z$8 = 125, 1, MAX(_xlfn._xlws.FILTER(INDEX( Z$55:Z$96, MAX( COUNT( AA$9:AA$50 )  - $B157 + 1, 1)) : INDEX( Z$55:Z$96, MAX( COUNT( AA$9:AA$50 )  - $C157 + 1, 1)), INDEX( Z$101:Z$142, MAX( COUNT( AA$9:AA$50 )  - $B157 + 1, 1)) : INDEX( Z$101:Z$142, MAX( COUNT( AA$9:AA$50 )  - $C157 + 1, 1)) &gt; 0)))</f>
        <v>1.0010421129203402</v>
      </c>
      <c r="AA157" s="8">
        <f>+IF(AA$8 = 125, 1, MAX(_xlfn._xlws.FILTER(INDEX( AA$55:AA$96, MAX( COUNT( AB$9:AB$50 )  - $B157 + 1, 1)) : INDEX( AA$55:AA$96, MAX( COUNT( AB$9:AB$50 )  - $C157 + 1, 1)), INDEX( AA$101:AA$142, MAX( COUNT( AB$9:AB$50 )  - $B157 + 1, 1)) : INDEX( AA$101:AA$142, MAX( COUNT( AB$9:AB$50 )  - $C157 + 1, 1)) &gt; 0)))</f>
        <v>1.0003339551637547</v>
      </c>
      <c r="AB157" s="8">
        <f>+IF(AB$8 = 125, 1, MAX(_xlfn._xlws.FILTER(INDEX( AB$55:AB$96, MAX( COUNT( AC$9:AC$50 )  - $B157 + 1, 1)) : INDEX( AB$55:AB$96, MAX( COUNT( AC$9:AC$50 )  - $C157 + 1, 1)), INDEX( AB$101:AB$142, MAX( COUNT( AC$9:AC$50 )  - $B157 + 1, 1)) : INDEX( AB$101:AB$142, MAX( COUNT( AC$9:AC$50 )  - $C157 + 1, 1)) &gt; 0)))</f>
        <v>1.0000225178543372</v>
      </c>
      <c r="AC157" s="8">
        <f>+IF(AC$8 = 125, 1, MAX(_xlfn._xlws.FILTER(INDEX( AC$55:AC$96, MAX( COUNT( AD$9:AD$50 )  - $B157 + 1, 1)) : INDEX( AC$55:AC$96, MAX( COUNT( AD$9:AD$50 )  - $C157 + 1, 1)), INDEX( AC$101:AC$142, MAX( COUNT( AD$9:AD$50 )  - $B157 + 1, 1)) : INDEX( AC$101:AC$142, MAX( COUNT( AD$9:AD$50 )  - $C157 + 1, 1)) &gt; 0)))</f>
        <v>1.003557663139157</v>
      </c>
      <c r="AD157" s="8">
        <f>+IF(AD$8 = 125, 1, MAX(_xlfn._xlws.FILTER(INDEX( AD$55:AD$96, MAX( COUNT( AE$9:AE$50 )  - $B157 + 1, 1)) : INDEX( AD$55:AD$96, MAX( COUNT( AE$9:AE$50 )  - $C157 + 1, 1)), INDEX( AD$101:AD$142, MAX( COUNT( AE$9:AE$50 )  - $B157 + 1, 1)) : INDEX( AD$101:AD$142, MAX( COUNT( AE$9:AE$50 )  - $C157 + 1, 1)) &gt; 0)))</f>
        <v>1.1042002010255219</v>
      </c>
      <c r="AE157" s="8">
        <f>+IF(AE$8 = 125, 1, MAX(_xlfn._xlws.FILTER(INDEX( AE$55:AE$96, MAX( COUNT( AF$9:AF$50 )  - $B157 + 1, 1)) : INDEX( AE$55:AE$96, MAX( COUNT( AF$9:AF$50 )  - $C157 + 1, 1)), INDEX( AE$101:AE$142, MAX( COUNT( AF$9:AF$50 )  - $B157 + 1, 1)) : INDEX( AE$101:AE$142, MAX( COUNT( AF$9:AF$50 )  - $C157 + 1, 1)) &gt; 0)))</f>
        <v>1.000477366265035</v>
      </c>
      <c r="AF157" s="8">
        <f>+IF(AF$8 = 125, 1, MAX(_xlfn._xlws.FILTER(INDEX( AF$55:AF$96, MAX( COUNT( AG$9:AG$50 )  - $B157 + 1, 1)) : INDEX( AF$55:AF$96, MAX( COUNT( AG$9:AG$50 )  - $C157 + 1, 1)), INDEX( AF$101:AF$142, MAX( COUNT( AG$9:AG$50 )  - $B157 + 1, 1)) : INDEX( AF$101:AF$142, MAX( COUNT( AG$9:AG$50 )  - $C157 + 1, 1)) &gt; 0)))</f>
        <v>1</v>
      </c>
      <c r="AG157" s="8">
        <f>+IF(AG$8 = 125, 1, MAX(_xlfn._xlws.FILTER(INDEX( AG$55:AG$96, MAX( COUNT( AH$9:AH$50 )  - $B157 + 1, 1)) : INDEX( AG$55:AG$96, MAX( COUNT( AH$9:AH$50 )  - $C157 + 1, 1)), INDEX( AG$101:AG$142, MAX( COUNT( AH$9:AH$50 )  - $B157 + 1, 1)) : INDEX( AG$101:AG$142, MAX( COUNT( AH$9:AH$50 )  - $C157 + 1, 1)) &gt; 0)))</f>
        <v>1.0003229158493521</v>
      </c>
      <c r="AH157" s="8">
        <f>+IF(AH$8 = 125, 1, MAX(_xlfn._xlws.FILTER(INDEX( AH$55:AH$96, MAX( COUNT( AI$9:AI$50 )  - $B157 + 1, 1)) : INDEX( AH$55:AH$96, MAX( COUNT( AI$9:AI$50 )  - $C157 + 1, 1)), INDEX( AH$101:AH$142, MAX( COUNT( AI$9:AI$50 )  - $B157 + 1, 1)) : INDEX( AH$101:AH$142, MAX( COUNT( AI$9:AI$50 )  - $C157 + 1, 1)) &gt; 0)))</f>
        <v>1.0004519575111388</v>
      </c>
      <c r="AI157" s="8">
        <f>+IF(AI$8 = 125, 1, MAX(_xlfn._xlws.FILTER(INDEX( AI$55:AI$96, MAX( COUNT( AJ$9:AJ$50 )  - $B157 + 1, 1)) : INDEX( AI$55:AI$96, MAX( COUNT( AJ$9:AJ$50 )  - $C157 + 1, 1)), INDEX( AI$101:AI$142, MAX( COUNT( AJ$9:AJ$50 )  - $B157 + 1, 1)) : INDEX( AI$101:AI$142, MAX( COUNT( AJ$9:AJ$50 )  - $C157 + 1, 1)) &gt; 0)))</f>
        <v>1.0001187094999873</v>
      </c>
      <c r="AJ157" s="8">
        <f>+IF(AJ$8 = 125, 1, MAX(_xlfn._xlws.FILTER(INDEX( AJ$55:AJ$96, MAX( COUNT( AK$9:AK$50 )  - $B157 + 1, 1)) : INDEX( AJ$55:AJ$96, MAX( COUNT( AK$9:AK$50 )  - $C157 + 1, 1)), INDEX( AJ$101:AJ$142, MAX( COUNT( AK$9:AK$50 )  - $B157 + 1, 1)) : INDEX( AJ$101:AJ$142, MAX( COUNT( AK$9:AK$50 )  - $C157 + 1, 1)) &gt; 0)))</f>
        <v>1.0053775604345543</v>
      </c>
      <c r="AK157" s="8">
        <f>+IF(AK$8 = 125, 1, MAX(_xlfn._xlws.FILTER(INDEX( AK$55:AK$96, MAX( COUNT( AL$9:AL$50 )  - $B157 + 1, 1)) : INDEX( AK$55:AK$96, MAX( COUNT( AL$9:AL$50 )  - $C157 + 1, 1)), INDEX( AK$101:AK$142, MAX( COUNT( AL$9:AL$50 )  - $B157 + 1, 1)) : INDEX( AK$101:AK$142, MAX( COUNT( AL$9:AL$50 )  - $C157 + 1, 1)) &gt; 0)))</f>
        <v>1.0009402404248644</v>
      </c>
      <c r="AL157" s="8">
        <f>+IF(AL$8 = 125, 1, MAX(_xlfn._xlws.FILTER(INDEX( AL$55:AL$96, MAX( COUNT( AM$9:AM$50 )  - $B157 + 1, 1)) : INDEX( AL$55:AL$96, MAX( COUNT( AM$9:AM$50 )  - $C157 + 1, 1)), INDEX( AL$101:AL$142, MAX( COUNT( AM$9:AM$50 )  - $B157 + 1, 1)) : INDEX( AL$101:AL$142, MAX( COUNT( AM$9:AM$50 )  - $C157 + 1, 1)) &gt; 0)))</f>
        <v>1.0022492606864608</v>
      </c>
      <c r="AM157" s="8">
        <f>+IF(AM$8 = 125, 1, MAX(_xlfn._xlws.FILTER(INDEX( AM$55:AM$96, MAX( COUNT( AN$9:AN$50 )  - $B157 + 1, 1)) : INDEX( AM$55:AM$96, MAX( COUNT( AN$9:AN$50 )  - $C157 + 1, 1)), INDEX( AM$101:AM$142, MAX( COUNT( AN$9:AN$50 )  - $B157 + 1, 1)) : INDEX( AM$101:AM$142, MAX( COUNT( AN$9:AN$50 )  - $C157 + 1, 1)) &gt; 0)))</f>
        <v>1.0007672620942232</v>
      </c>
      <c r="AN157" s="8">
        <f>+IF(AN$8 = 125, 1, MAX(_xlfn._xlws.FILTER(INDEX( AN$55:AN$96, MAX( COUNT( AO$9:AO$50 )  - $B157 + 1, 1)) : INDEX( AN$55:AN$96, MAX( COUNT( AO$9:AO$50 )  - $C157 + 1, 1)), INDEX( AN$101:AN$142, MAX( COUNT( AO$9:AO$50 )  - $B157 + 1, 1)) : INDEX( AN$101:AN$142, MAX( COUNT( AO$9:AO$50 )  - $C157 + 1, 1)) &gt; 0)))</f>
        <v>1.0000310958626275</v>
      </c>
      <c r="AO157" s="8">
        <f>+IF(AO$8 = 125, 1, MAX(_xlfn._xlws.FILTER(INDEX( AO$55:AO$96, MAX( COUNT( AP$9:AP$50 )  - $B157 + 1, 1)) : INDEX( AO$55:AO$96, MAX( COUNT( AP$9:AP$50 )  - $C157 + 1, 1)), INDEX( AO$101:AO$142, MAX( COUNT( AP$9:AP$50 )  - $B157 + 1, 1)) : INDEX( AO$101:AO$142, MAX( COUNT( AP$9:AP$50 )  - $C157 + 1, 1)) &gt; 0)))</f>
        <v>1</v>
      </c>
      <c r="AP157" s="8">
        <f>+IF(AP$8 = 125, 1, MAX(_xlfn._xlws.FILTER(INDEX( AP$55:AP$96, MAX( COUNT( AQ$9:AQ$50 )  - $B157 + 1, 1)) : INDEX( AP$55:AP$96, MAX( COUNT( AQ$9:AQ$50 )  - $C157 + 1, 1)), INDEX( AP$101:AP$142, MAX( COUNT( AQ$9:AQ$50 )  - $B157 + 1, 1)) : INDEX( AP$101:AP$142, MAX( COUNT( AQ$9:AQ$50 )  - $C157 + 1, 1)) &gt; 0)))</f>
        <v>1.0148694400911664</v>
      </c>
      <c r="AQ157" s="8">
        <f>+IF(AQ$8 = 125, 1, MAX(_xlfn._xlws.FILTER(INDEX( AQ$55:AQ$96, MAX( COUNT( AR$9:AR$50 )  - $B157 + 1, 1)) : INDEX( AQ$55:AQ$96, MAX( COUNT( AR$9:AR$50 )  - $C157 + 1, 1)), INDEX( AQ$101:AQ$142, MAX( COUNT( AR$9:AR$50 )  - $B157 + 1, 1)) : INDEX( AQ$101:AQ$142, MAX( COUNT( AR$9:AR$50 )  - $C157 + 1, 1)) &gt; 0)))</f>
        <v>1.0001050577668444</v>
      </c>
      <c r="AR157" s="8">
        <f>+IF(AR$8 = 125, 1, MAX(_xlfn._xlws.FILTER(INDEX( AR$55:AR$96, MAX( COUNT( AS$9:AS$50 )  - $B157 + 1, 1)) : INDEX( AR$55:AR$96, MAX( COUNT( AS$9:AS$50 )  - $C157 + 1, 1)), INDEX( AR$101:AR$142, MAX( COUNT( AS$9:AS$50 )  - $B157 + 1, 1)) : INDEX( AR$101:AR$142, MAX( COUNT( AS$9:AS$50 )  - $C157 + 1, 1)) &gt; 0)))</f>
        <v>1.0120055890916979</v>
      </c>
      <c r="AS157" s="8">
        <f>+IF(AS$8 = 125, 1, MAX(_xlfn._xlws.FILTER(INDEX( AS$55:AS$96, MAX( COUNT( AT$9:AT$50 )  - $B157 + 1, 1)) : INDEX( AS$55:AS$96, MAX( COUNT( AT$9:AT$50 )  - $C157 + 1, 1)), INDEX( AS$101:AS$142, MAX( COUNT( AT$9:AT$50 )  - $B157 + 1, 1)) : INDEX( AS$101:AS$142, MAX( COUNT( AT$9:AT$50 )  - $C157 + 1, 1)) &gt; 0)))</f>
        <v>1.0001601950152927</v>
      </c>
      <c r="AT157" s="8">
        <f>+IF(AT$8 = 125, 1, MAX(_xlfn._xlws.FILTER(INDEX( AT$55:AT$96, MAX( COUNT( AU$9:AU$50 )  - $B157 + 1, 1)) : INDEX( AT$55:AT$96, MAX( COUNT( AU$9:AU$50 )  - $C157 + 1, 1)), INDEX( AT$101:AT$142, MAX( COUNT( AU$9:AU$50 )  - $B157 + 1, 1)) : INDEX( AT$101:AT$142, MAX( COUNT( AU$9:AU$50 )  - $C157 + 1, 1)) &gt; 0)))</f>
        <v>1.0010582740646632</v>
      </c>
      <c r="AU157" s="8">
        <f>+IF(AU$8 = 125, 1, MAX(_xlfn._xlws.FILTER(INDEX( AU$55:AU$96, MAX( COUNT( AV$9:AV$50 )  - $B157 + 1, 1)) : INDEX( AU$55:AU$96, MAX( COUNT( AV$9:AV$50 )  - $C157 + 1, 1)), INDEX( AU$101:AU$142, MAX( COUNT( AV$9:AV$50 )  - $B157 + 1, 1)) : INDEX( AU$101:AU$142, MAX( COUNT( AV$9:AV$50 )  - $C157 + 1, 1)) &gt; 0)))</f>
        <v>1.0005770523370698</v>
      </c>
      <c r="AV157" s="8">
        <f>+IF(AV$8 = 125, 1, MAX(_xlfn._xlws.FILTER(INDEX( AV$55:AV$96, MAX( COUNT( AW$9:AW$50 )  - $B157 + 1, 1)) : INDEX( AV$55:AV$96, MAX( COUNT( AW$9:AW$50 )  - $C157 + 1, 1)), INDEX( AV$101:AV$142, MAX( COUNT( AW$9:AW$50 )  - $B157 + 1, 1)) : INDEX( AV$101:AV$142, MAX( COUNT( AW$9:AW$50 )  - $C157 + 1, 1)) &gt; 0)))</f>
        <v>1.0011721364603634</v>
      </c>
      <c r="AW157" s="8">
        <f>+IF(AW$8 = 125, 1, MAX(_xlfn._xlws.FILTER(INDEX( AW$55:AW$96, MAX( COUNT( AX$9:AX$50 )  - $B157 + 1, 1)) : INDEX( AW$55:AW$96, MAX( COUNT( AX$9:AX$50 )  - $C157 + 1, 1)), INDEX( AW$101:AW$142, MAX( COUNT( AX$9:AX$50 )  - $B157 + 1, 1)) : INDEX( AW$101:AW$142, MAX( COUNT( AX$9:AX$50 )  - $C157 + 1, 1)) &gt; 0)))</f>
        <v>1.0000863550879746</v>
      </c>
      <c r="AX157" s="8">
        <f>+IF(AX$8 = 125, 1, MAX(_xlfn._xlws.FILTER(INDEX( AX$55:AX$96, MAX( COUNT( AY$9:AY$50 )  - $B157 + 1, 1)) : INDEX( AX$55:AX$96, MAX( COUNT( AY$9:AY$50 )  - $C157 + 1, 1)), INDEX( AX$101:AX$142, MAX( COUNT( AY$9:AY$50 )  - $B157 + 1, 1)) : INDEX( AX$101:AX$142, MAX( COUNT( AY$9:AY$50 )  - $C157 + 1, 1)) &gt; 0)))</f>
        <v>1.0003192137640424</v>
      </c>
      <c r="AY157" s="8">
        <f>+IF(AY$8 = 125, 1, MAX(_xlfn._xlws.FILTER(INDEX( AY$55:AY$96, MAX( COUNT( AZ$9:AZ$50 )  - $B157 + 1, 1)) : INDEX( AY$55:AY$96, MAX( COUNT( AZ$9:AZ$50 )  - $C157 + 1, 1)), INDEX( AY$101:AY$142, MAX( COUNT( AZ$9:AZ$50 )  - $B157 + 1, 1)) : INDEX( AY$101:AY$142, MAX( COUNT( AZ$9:AZ$50 )  - $C157 + 1, 1)) &gt; 0)))</f>
        <v>1.0015217794637192</v>
      </c>
      <c r="AZ157" s="8">
        <f>+IF(AZ$8 = 125, 1, MAX(_xlfn._xlws.FILTER(INDEX( AZ$55:AZ$96, MAX( COUNT( BA$9:BA$50 )  - $B157 + 1, 1)) : INDEX( AZ$55:AZ$96, MAX( COUNT( BA$9:BA$50 )  - $C157 + 1, 1)), INDEX( AZ$101:AZ$142, MAX( COUNT( BA$9:BA$50 )  - $B157 + 1, 1)) : INDEX( AZ$101:AZ$142, MAX( COUNT( BA$9:BA$50 )  - $C157 + 1, 1)) &gt; 0)))</f>
        <v>1.0001168167494909</v>
      </c>
      <c r="BA157" s="8">
        <f>+IF(BA$8 = 125, 1, MAX(_xlfn._xlws.FILTER(INDEX( BA$55:BA$96, MAX( COUNT( BB$9:BB$50 )  - $B157 + 1, 1)) : INDEX( BA$55:BA$96, MAX( COUNT( BB$9:BB$50 )  - $C157 + 1, 1)), INDEX( BA$101:BA$142, MAX( COUNT( BB$9:BB$50 )  - $B157 + 1, 1)) : INDEX( BA$101:BA$142, MAX( COUNT( BB$9:BB$50 )  - $C157 + 1, 1)) &gt; 0)))</f>
        <v>1.0002169710667086</v>
      </c>
      <c r="BB157" s="8">
        <f>+IF(BB$8 = 125, 1, MAX(_xlfn._xlws.FILTER(INDEX( BB$55:BB$96, MAX( COUNT( BC$9:BC$50 )  - $B157 + 1, 1)) : INDEX( BB$55:BB$96, MAX( COUNT( BC$9:BC$50 )  - $C157 + 1, 1)), INDEX( BB$101:BB$142, MAX( COUNT( BC$9:BC$50 )  - $B157 + 1, 1)) : INDEX( BB$101:BB$142, MAX( COUNT( BC$9:BC$50 )  - $C157 + 1, 1)) &gt; 0)))</f>
        <v>1.0004672017919813</v>
      </c>
      <c r="BC157" s="8">
        <f>+IF(BC$8 = 125, 1, MAX(_xlfn._xlws.FILTER(INDEX( BC$55:BC$96, MAX( COUNT( BD$9:BD$50 )  - $B157 + 1, 1)) : INDEX( BC$55:BC$96, MAX( COUNT( BD$9:BD$50 )  - $C157 + 1, 1)), INDEX( BC$101:BC$142, MAX( COUNT( BD$9:BD$50 )  - $B157 + 1, 1)) : INDEX( BC$101:BC$142, MAX( COUNT( BD$9:BD$50 )  - $C157 + 1, 1)) &gt; 0)))</f>
        <v>1.0004287915542369</v>
      </c>
      <c r="BD157" s="8">
        <f>+IF(BD$8 = 125, 1, MAX(_xlfn._xlws.FILTER(INDEX( BD$55:BD$96, MAX( COUNT( BE$9:BE$50 )  - $B157 + 1, 1)) : INDEX( BD$55:BD$96, MAX( COUNT( BE$9:BE$50 )  - $C157 + 1, 1)), INDEX( BD$101:BD$142, MAX( COUNT( BE$9:BE$50 )  - $B157 + 1, 1)) : INDEX( BD$101:BD$142, MAX( COUNT( BE$9:BE$50 )  - $C157 + 1, 1)) &gt; 0)))</f>
        <v>1.0000232314484307</v>
      </c>
      <c r="BE157" s="8">
        <f>+IF(BE$8 = 125, 1, MAX(_xlfn._xlws.FILTER(INDEX( BE$55:BE$96, MAX( COUNT( BF$9:BF$50 )  - $B157 + 1, 1)) : INDEX( BE$55:BE$96, MAX( COUNT( BF$9:BF$50 )  - $C157 + 1, 1)), INDEX( BE$101:BE$142, MAX( COUNT( BF$9:BF$50 )  - $B157 + 1, 1)) : INDEX( BE$101:BE$142, MAX( COUNT( BF$9:BF$50 )  - $C157 + 1, 1)) &gt; 0)))</f>
        <v>1.0007890602909142</v>
      </c>
      <c r="BF157" s="8">
        <f>+IF(BF$8 = 125, 1, MAX(_xlfn._xlws.FILTER(INDEX( BF$55:BF$96, MAX( COUNT( BG$9:BG$50 )  - $B157 + 1, 1)) : INDEX( BF$55:BF$96, MAX( COUNT( BG$9:BG$50 )  - $C157 + 1, 1)), INDEX( BF$101:BF$142, MAX( COUNT( BG$9:BG$50 )  - $B157 + 1, 1)) : INDEX( BF$101:BF$142, MAX( COUNT( BG$9:BG$50 )  - $C157 + 1, 1)) &gt; 0)))</f>
        <v>1.0004410155659351</v>
      </c>
      <c r="BG157" s="8">
        <f>+IF(BG$8 = 125, 1, MAX(_xlfn._xlws.FILTER(INDEX( BG$55:BG$96, MAX( COUNT( BH$9:BH$50 )  - $B157 + 1, 1)) : INDEX( BG$55:BG$96, MAX( COUNT( BH$9:BH$50 )  - $C157 + 1, 1)), INDEX( BG$101:BG$142, MAX( COUNT( BH$9:BH$50 )  - $B157 + 1, 1)) : INDEX( BG$101:BG$142, MAX( COUNT( BH$9:BH$50 )  - $C157 + 1, 1)) &gt; 0)))</f>
        <v>1</v>
      </c>
      <c r="BH157" s="8">
        <f>+IF(BH$8 = 125, 1, MAX(_xlfn._xlws.FILTER(INDEX( BH$55:BH$96, MAX( COUNT( BI$9:BI$50 )  - $B157 + 1, 1)) : INDEX( BH$55:BH$96, MAX( COUNT( BI$9:BI$50 )  - $C157 + 1, 1)), INDEX( BH$101:BH$142, MAX( COUNT( BI$9:BI$50 )  - $B157 + 1, 1)) : INDEX( BH$101:BH$142, MAX( COUNT( BI$9:BI$50 )  - $C157 + 1, 1)) &gt; 0)))</f>
        <v>1</v>
      </c>
      <c r="BI157" s="8">
        <f>+IF(BI$8 = 125, 1, MAX(_xlfn._xlws.FILTER(INDEX( BI$55:BI$96, MAX( COUNT( BJ$9:BJ$50 )  - $B157 + 1, 1)) : INDEX( BI$55:BI$96, MAX( COUNT( BJ$9:BJ$50 )  - $C157 + 1, 1)), INDEX( BI$101:BI$142, MAX( COUNT( BJ$9:BJ$50 )  - $B157 + 1, 1)) : INDEX( BI$101:BI$142, MAX( COUNT( BJ$9:BJ$50 )  - $C157 + 1, 1)) &gt; 0)))</f>
        <v>1.0003218551114965</v>
      </c>
      <c r="BJ157" s="8">
        <f>+IF(BJ$8 = 125, 1, MAX(_xlfn._xlws.FILTER(INDEX( BJ$55:BJ$96, MAX( COUNT( BK$9:BK$50 )  - $B157 + 1, 1)) : INDEX( BJ$55:BJ$96, MAX( COUNT( BK$9:BK$50 )  - $C157 + 1, 1)), INDEX( BJ$101:BJ$142, MAX( COUNT( BK$9:BK$50 )  - $B157 + 1, 1)) : INDEX( BJ$101:BJ$142, MAX( COUNT( BK$9:BK$50 )  - $C157 + 1, 1)) &gt; 0)))</f>
        <v>1.0004728067578228</v>
      </c>
      <c r="BK157" s="8">
        <f>+IF(BK$8 = 125, 1, MAX(_xlfn._xlws.FILTER(INDEX( BK$55:BK$96, MAX( COUNT( BL$9:BL$50 )  - $B157 + 1, 1)) : INDEX( BK$55:BK$96, MAX( COUNT( BL$9:BL$50 )  - $C157 + 1, 1)), INDEX( BK$101:BK$142, MAX( COUNT( BL$9:BL$50 )  - $B157 + 1, 1)) : INDEX( BK$101:BK$142, MAX( COUNT( BL$9:BL$50 )  - $C157 + 1, 1)) &gt; 0)))</f>
        <v>1.0001171988201329</v>
      </c>
      <c r="BL157" s="8">
        <f>+IF(BL$8 = 125, 1, MAX(_xlfn._xlws.FILTER(INDEX( BL$55:BL$96, MAX( COUNT( BM$9:BM$50 )  - $B157 + 1, 1)) : INDEX( BL$55:BL$96, MAX( COUNT( BM$9:BM$50 )  - $C157 + 1, 1)), INDEX( BL$101:BL$142, MAX( COUNT( BM$9:BM$50 )  - $B157 + 1, 1)) : INDEX( BL$101:BL$142, MAX( COUNT( BM$9:BM$50 )  - $C157 + 1, 1)) &gt; 0)))</f>
        <v>1.0006631275679643</v>
      </c>
      <c r="BM157" s="8">
        <f>+IF(BM$8 = 125, 1, MAX(_xlfn._xlws.FILTER(INDEX( BM$55:BM$96, MAX( COUNT( BN$9:BN$50 )  - $B157 + 1, 1)) : INDEX( BM$55:BM$96, MAX( COUNT( BN$9:BN$50 )  - $C157 + 1, 1)), INDEX( BM$101:BM$142, MAX( COUNT( BN$9:BN$50 )  - $B157 + 1, 1)) : INDEX( BM$101:BM$142, MAX( COUNT( BN$9:BN$50 )  - $C157 + 1, 1)) &gt; 0)))</f>
        <v>1.0006120613311491</v>
      </c>
      <c r="BN157" s="8">
        <f>+IF(BN$8 = 125, 1, MAX(_xlfn._xlws.FILTER(INDEX( BN$55:BN$96, MAX( COUNT( BO$9:BO$50 )  - $B157 + 1, 1)) : INDEX( BN$55:BN$96, MAX( COUNT( BO$9:BO$50 )  - $C157 + 1, 1)), INDEX( BN$101:BN$142, MAX( COUNT( BO$9:BO$50 )  - $B157 + 1, 1)) : INDEX( BN$101:BN$142, MAX( COUNT( BO$9:BO$50 )  - $C157 + 1, 1)) &gt; 0)))</f>
        <v>1.0014908206742719</v>
      </c>
      <c r="BO157" s="8">
        <f>+IF(BO$8 = 125, 1, MAX(_xlfn._xlws.FILTER(INDEX( BO$55:BO$96, MAX( COUNT( BP$9:BP$50 )  - $B157 + 1, 1)) : INDEX( BO$55:BO$96, MAX( COUNT( BP$9:BP$50 )  - $C157 + 1, 1)), INDEX( BO$101:BO$142, MAX( COUNT( BP$9:BP$50 )  - $B157 + 1, 1)) : INDEX( BO$101:BO$142, MAX( COUNT( BP$9:BP$50 )  - $C157 + 1, 1)) &gt; 0)))</f>
        <v>1.001200435097666</v>
      </c>
      <c r="BP157" s="8">
        <f>+IF(BP$8 = 125, 1, MAX(_xlfn._xlws.FILTER(INDEX( BP$55:BP$96, MAX( COUNT( BQ$9:BQ$50 )  - $B157 + 1, 1)) : INDEX( BP$55:BP$96, MAX( COUNT( BQ$9:BQ$50 )  - $C157 + 1, 1)), INDEX( BP$101:BP$142, MAX( COUNT( BQ$9:BQ$50 )  - $B157 + 1, 1)) : INDEX( BP$101:BP$142, MAX( COUNT( BQ$9:BQ$50 )  - $C157 + 1, 1)) &gt; 0)))</f>
        <v>1.0009004416178107</v>
      </c>
      <c r="BQ157" s="8">
        <f>+IF(BQ$8 = 125, 1, MAX(_xlfn._xlws.FILTER(INDEX( BQ$55:BQ$96, MAX( COUNT( BR$9:BR$50 )  - $B157 + 1, 1)) : INDEX( BQ$55:BQ$96, MAX( COUNT( BR$9:BR$50 )  - $C157 + 1, 1)), INDEX( BQ$101:BQ$142, MAX( COUNT( BR$9:BR$50 )  - $B157 + 1, 1)) : INDEX( BQ$101:BQ$142, MAX( COUNT( BR$9:BR$50 )  - $C157 + 1, 1)) &gt; 0)))</f>
        <v>1</v>
      </c>
      <c r="BR157" s="8">
        <f>+IF(BR$8 = 125, 1, MAX(_xlfn._xlws.FILTER(INDEX( BR$55:BR$96, MAX( COUNT( BS$9:BS$50 )  - $B157 + 1, 1)) : INDEX( BR$55:BR$96, MAX( COUNT( BS$9:BS$50 )  - $C157 + 1, 1)), INDEX( BR$101:BR$142, MAX( COUNT( BS$9:BS$50 )  - $B157 + 1, 1)) : INDEX( BR$101:BR$142, MAX( COUNT( BS$9:BS$50 )  - $C157 + 1, 1)) &gt; 0)))</f>
        <v>1.0002051279722546</v>
      </c>
      <c r="BS157" s="8">
        <f>+IF(BS$8 = 125, 1, MAX(_xlfn._xlws.FILTER(INDEX( BS$55:BS$96, MAX( COUNT( BT$9:BT$50 )  - $B157 + 1, 1)) : INDEX( BS$55:BS$96, MAX( COUNT( BT$9:BT$50 )  - $C157 + 1, 1)), INDEX( BS$101:BS$142, MAX( COUNT( BT$9:BT$50 )  - $B157 + 1, 1)) : INDEX( BS$101:BS$142, MAX( COUNT( BT$9:BT$50 )  - $C157 + 1, 1)) &gt; 0)))</f>
        <v>1.0002549347034773</v>
      </c>
      <c r="BT157" s="8">
        <f>+IF(BT$8 = 125, 1, MAX(_xlfn._xlws.FILTER(INDEX( BT$55:BT$96, MAX( COUNT( BU$9:BU$50 )  - $B157 + 1, 1)) : INDEX( BT$55:BT$96, MAX( COUNT( BU$9:BU$50 )  - $C157 + 1, 1)), INDEX( BT$101:BT$142, MAX( COUNT( BU$9:BU$50 )  - $B157 + 1, 1)) : INDEX( BT$101:BT$142, MAX( COUNT( BU$9:BU$50 )  - $C157 + 1, 1)) &gt; 0)))</f>
        <v>1.000037553085056</v>
      </c>
      <c r="BU157" s="8">
        <f>+IF(BU$8 = 125, 1, MAX(_xlfn._xlws.FILTER(INDEX( BU$55:BU$96, MAX( COUNT( BV$9:BV$50 )  - $B157 + 1, 1)) : INDEX( BU$55:BU$96, MAX( COUNT( BV$9:BV$50 )  - $C157 + 1, 1)), INDEX( BU$101:BU$142, MAX( COUNT( BV$9:BV$50 )  - $B157 + 1, 1)) : INDEX( BU$101:BU$142, MAX( COUNT( BV$9:BV$50 )  - $C157 + 1, 1)) &gt; 0)))</f>
        <v>1.0005045206852337</v>
      </c>
      <c r="BV157" s="8">
        <f>+IF(BV$8 = 125, 1, MAX(_xlfn._xlws.FILTER(INDEX( BV$55:BV$96, MAX( COUNT( BW$9:BW$50 )  - $B157 + 1, 1)) : INDEX( BV$55:BV$96, MAX( COUNT( BW$9:BW$50 )  - $C157 + 1, 1)), INDEX( BV$101:BV$142, MAX( COUNT( BW$9:BW$50 )  - $B157 + 1, 1)) : INDEX( BV$101:BV$142, MAX( COUNT( BW$9:BW$50 )  - $C157 + 1, 1)) &gt; 0)))</f>
        <v>1.0001498746186039</v>
      </c>
      <c r="BW157" s="8">
        <f>+IF(BW$8 = 125, 1, MAX(_xlfn._xlws.FILTER(INDEX( BW$55:BW$96, MAX( COUNT( BX$9:BX$50 )  - $B157 + 1, 1)) : INDEX( BW$55:BW$96, MAX( COUNT( BX$9:BX$50 )  - $C157 + 1, 1)), INDEX( BW$101:BW$142, MAX( COUNT( BX$9:BX$50 )  - $B157 + 1, 1)) : INDEX( BW$101:BW$142, MAX( COUNT( BX$9:BX$50 )  - $C157 + 1, 1)) &gt; 0)))</f>
        <v>1.0006158588348035</v>
      </c>
      <c r="BX157" s="8">
        <f>+IF(BX$8 = 125, 1, MAX(_xlfn._xlws.FILTER(INDEX( BX$55:BX$96, MAX( COUNT( BY$9:BY$50 )  - $B157 + 1, 1)) : INDEX( BX$55:BX$96, MAX( COUNT( BY$9:BY$50 )  - $C157 + 1, 1)), INDEX( BX$101:BX$142, MAX( COUNT( BY$9:BY$50 )  - $B157 + 1, 1)) : INDEX( BX$101:BX$142, MAX( COUNT( BY$9:BY$50 )  - $C157 + 1, 1)) &gt; 0)))</f>
        <v>1.002493853762493</v>
      </c>
      <c r="BY157" s="8">
        <f>+IF(BY$8 = 125, 1, MAX(_xlfn._xlws.FILTER(INDEX( BY$55:BY$96, MAX( COUNT( BZ$9:BZ$50 )  - $B157 + 1, 1)) : INDEX( BY$55:BY$96, MAX( COUNT( BZ$9:BZ$50 )  - $C157 + 1, 1)), INDEX( BY$101:BY$142, MAX( COUNT( BZ$9:BZ$50 )  - $B157 + 1, 1)) : INDEX( BY$101:BY$142, MAX( COUNT( BZ$9:BZ$50 )  - $C157 + 1, 1)) &gt; 0)))</f>
        <v>1.0009516895208752</v>
      </c>
      <c r="BZ157" s="8">
        <f>+IF(BZ$8 = 125, 1, MAX(_xlfn._xlws.FILTER(INDEX( BZ$55:BZ$96, MAX( COUNT( CA$9:CA$50 )  - $B157 + 1, 1)) : INDEX( BZ$55:BZ$96, MAX( COUNT( CA$9:CA$50 )  - $C157 + 1, 1)), INDEX( BZ$101:BZ$142, MAX( COUNT( CA$9:CA$50 )  - $B157 + 1, 1)) : INDEX( BZ$101:BZ$142, MAX( COUNT( CA$9:CA$50 )  - $C157 + 1, 1)) &gt; 0)))</f>
        <v>1.0002463117631373</v>
      </c>
      <c r="CA157" s="8">
        <f>+IF(CA$8 = 125, 1, MAX(_xlfn._xlws.FILTER(INDEX( CA$55:CA$96, MAX( COUNT( CB$9:CB$50 )  - $B157 + 1, 1)) : INDEX( CA$55:CA$96, MAX( COUNT( CB$9:CB$50 )  - $C157 + 1, 1)), INDEX( CA$101:CA$142, MAX( COUNT( CB$9:CB$50 )  - $B157 + 1, 1)) : INDEX( CA$101:CA$142, MAX( COUNT( CB$9:CB$50 )  - $C157 + 1, 1)) &gt; 0)))</f>
        <v>1.0001401018913849</v>
      </c>
      <c r="CB157" s="8">
        <f>+IF(CB$8 = 125, 1, MAX(_xlfn._xlws.FILTER(INDEX( CB$55:CB$96, MAX( COUNT( CC$9:CC$50 )  - $B157 + 1, 1)) : INDEX( CB$55:CB$96, MAX( COUNT( CC$9:CC$50 )  - $C157 + 1, 1)), INDEX( CB$101:CB$142, MAX( COUNT( CC$9:CC$50 )  - $B157 + 1, 1)) : INDEX( CB$101:CB$142, MAX( COUNT( CC$9:CC$50 )  - $C157 + 1, 1)) &gt; 0)))</f>
        <v>1.0053895687680712</v>
      </c>
      <c r="CC157" s="8">
        <f>+IF(CC$8 = 125, 1, MAX(_xlfn._xlws.FILTER(INDEX( CC$55:CC$96, MAX( COUNT( CD$9:CD$50 )  - $B157 + 1, 1)) : INDEX( CC$55:CC$96, MAX( COUNT( CD$9:CD$50 )  - $C157 + 1, 1)), INDEX( CC$101:CC$142, MAX( COUNT( CD$9:CD$50 )  - $B157 + 1, 1)) : INDEX( CC$101:CC$142, MAX( COUNT( CD$9:CD$50 )  - $C157 + 1, 1)) &gt; 0)))</f>
        <v>1.00059777387039</v>
      </c>
      <c r="CD157" s="8">
        <f>+IF(CD$8 = 125, 1, MAX(_xlfn._xlws.FILTER(INDEX( CD$55:CD$96, MAX( COUNT( CE$9:CE$50 )  - $B157 + 1, 1)) : INDEX( CD$55:CD$96, MAX( COUNT( CE$9:CE$50 )  - $C157 + 1, 1)), INDEX( CD$101:CD$142, MAX( COUNT( CE$9:CE$50 )  - $B157 + 1, 1)) : INDEX( CD$101:CD$142, MAX( COUNT( CE$9:CE$50 )  - $C157 + 1, 1)) &gt; 0)))</f>
        <v>1.0000890826103195</v>
      </c>
      <c r="CE157" s="8">
        <f>+IF(CE$8 = 125, 1, MAX(_xlfn._xlws.FILTER(INDEX( CE$55:CE$96, MAX( COUNT( CF$9:CF$50 )  - $B157 + 1, 1)) : INDEX( CE$55:CE$96, MAX( COUNT( CF$9:CF$50 )  - $C157 + 1, 1)), INDEX( CE$101:CE$142, MAX( COUNT( CF$9:CF$50 )  - $B157 + 1, 1)) : INDEX( CE$101:CE$142, MAX( COUNT( CF$9:CF$50 )  - $C157 + 1, 1)) &gt; 0)))</f>
        <v>1.0017131951886893</v>
      </c>
      <c r="CF157" s="8">
        <f>+IF(CF$8 = 125, 1, MAX(_xlfn._xlws.FILTER(INDEX( CF$55:CF$96, MAX( COUNT( CG$9:CG$50 )  - $B157 + 1, 1)) : INDEX( CF$55:CF$96, MAX( COUNT( CG$9:CG$50 )  - $C157 + 1, 1)), INDEX( CF$101:CF$142, MAX( COUNT( CG$9:CG$50 )  - $B157 + 1, 1)) : INDEX( CF$101:CF$142, MAX( COUNT( CG$9:CG$50 )  - $C157 + 1, 1)) &gt; 0)))</f>
        <v>1.0031237281907039</v>
      </c>
      <c r="CG157" s="8">
        <f>+IF(CG$8 = 125, 1, MAX(_xlfn._xlws.FILTER(INDEX( CG$55:CG$96, MAX( COUNT( CH$9:CH$50 )  - $B157 + 1, 1)) : INDEX( CG$55:CG$96, MAX( COUNT( CH$9:CH$50 )  - $C157 + 1, 1)), INDEX( CG$101:CG$142, MAX( COUNT( CH$9:CH$50 )  - $B157 + 1, 1)) : INDEX( CG$101:CG$142, MAX( COUNT( CH$9:CH$50 )  - $C157 + 1, 1)) &gt; 0)))</f>
        <v>1.0006148144431457</v>
      </c>
      <c r="CH157" s="8">
        <f>+IF(CH$8 = 125, 1, MAX(_xlfn._xlws.FILTER(INDEX( CH$55:CH$96, MAX( COUNT( CI$9:CI$50 )  - $B157 + 1, 1)) : INDEX( CH$55:CH$96, MAX( COUNT( CI$9:CI$50 )  - $C157 + 1, 1)), INDEX( CH$101:CH$142, MAX( COUNT( CI$9:CI$50 )  - $B157 + 1, 1)) : INDEX( CH$101:CH$142, MAX( COUNT( CI$9:CI$50 )  - $C157 + 1, 1)) &gt; 0)))</f>
        <v>1.0011642873252549</v>
      </c>
      <c r="CI157" s="8">
        <f>+IF(CI$8 = 125, 1, MAX(_xlfn._xlws.FILTER(INDEX( CI$55:CI$96, MAX( COUNT( CJ$9:CJ$50 )  - $B157 + 1, 1)) : INDEX( CI$55:CI$96, MAX( COUNT( CJ$9:CJ$50 )  - $C157 + 1, 1)), INDEX( CI$101:CI$142, MAX( COUNT( CJ$9:CJ$50 )  - $B157 + 1, 1)) : INDEX( CI$101:CI$142, MAX( COUNT( CJ$9:CJ$50 )  - $C157 + 1, 1)) &gt; 0)))</f>
        <v>1.000225377040729</v>
      </c>
      <c r="CJ157" s="8">
        <f>+IF(CJ$8 = 125, 1, MAX(_xlfn._xlws.FILTER(INDEX( CJ$55:CJ$96, MAX( COUNT( CK$9:CK$50 )  - $B157 + 1, 1)) : INDEX( CJ$55:CJ$96, MAX( COUNT( CK$9:CK$50 )  - $C157 + 1, 1)), INDEX( CJ$101:CJ$142, MAX( COUNT( CK$9:CK$50 )  - $B157 + 1, 1)) : INDEX( CJ$101:CJ$142, MAX( COUNT( CK$9:CK$50 )  - $C157 + 1, 1)) &gt; 0)))</f>
        <v>1.0007300484331061</v>
      </c>
      <c r="CK157" s="8">
        <f>+IF(CK$8 = 125, 1, MAX(_xlfn._xlws.FILTER(INDEX( CK$55:CK$96, MAX( COUNT( CL$9:CL$50 )  - $B157 + 1, 1)) : INDEX( CK$55:CK$96, MAX( COUNT( CL$9:CL$50 )  - $C157 + 1, 1)), INDEX( CK$101:CK$142, MAX( COUNT( CL$9:CL$50 )  - $B157 + 1, 1)) : INDEX( CK$101:CK$142, MAX( COUNT( CL$9:CL$50 )  - $C157 + 1, 1)) &gt; 0)))</f>
        <v>1.0000868443832118</v>
      </c>
      <c r="CL157" s="8">
        <f>+IF(CL$8 = 125, 1, MAX(_xlfn._xlws.FILTER(INDEX( CL$55:CL$96, MAX( COUNT( CM$9:CM$50 )  - $B157 + 1, 1)) : INDEX( CL$55:CL$96, MAX( COUNT( CM$9:CM$50 )  - $C157 + 1, 1)), INDEX( CL$101:CL$142, MAX( COUNT( CM$9:CM$50 )  - $B157 + 1, 1)) : INDEX( CL$101:CL$142, MAX( COUNT( CM$9:CM$50 )  - $C157 + 1, 1)) &gt; 0)))</f>
        <v>1.0020979378243631</v>
      </c>
      <c r="CM157" s="8">
        <f>+IF(CM$8 = 125, 1, MAX(_xlfn._xlws.FILTER(INDEX( CM$55:CM$96, MAX( COUNT( CN$9:CN$50 )  - $B157 + 1, 1)) : INDEX( CM$55:CM$96, MAX( COUNT( CN$9:CN$50 )  - $C157 + 1, 1)), INDEX( CM$101:CM$142, MAX( COUNT( CN$9:CN$50 )  - $B157 + 1, 1)) : INDEX( CM$101:CM$142, MAX( COUNT( CN$9:CN$50 )  - $C157 + 1, 1)) &gt; 0)))</f>
        <v>1.0017371137809328</v>
      </c>
      <c r="CN157" s="8">
        <f>+IF(CN$8 = 125, 1, MAX(_xlfn._xlws.FILTER(INDEX( CN$55:CN$96, MAX( COUNT( CO$9:CO$50 )  - $B157 + 1, 1)) : INDEX( CN$55:CN$96, MAX( COUNT( CO$9:CO$50 )  - $C157 + 1, 1)), INDEX( CN$101:CN$142, MAX( COUNT( CO$9:CO$50 )  - $B157 + 1, 1)) : INDEX( CN$101:CN$142, MAX( COUNT( CO$9:CO$50 )  - $C157 + 1, 1)) &gt; 0)))</f>
        <v>1.0002366779676293</v>
      </c>
      <c r="CO157" s="8">
        <f>+IF(CO$8 = 125, 1, MAX(_xlfn._xlws.FILTER(INDEX( CO$55:CO$96, MAX( COUNT( CP$9:CP$50 )  - $B157 + 1, 1)) : INDEX( CO$55:CO$96, MAX( COUNT( CP$9:CP$50 )  - $C157 + 1, 1)), INDEX( CO$101:CO$142, MAX( COUNT( CP$9:CP$50 )  - $B157 + 1, 1)) : INDEX( CO$101:CO$142, MAX( COUNT( CP$9:CP$50 )  - $C157 + 1, 1)) &gt; 0)))</f>
        <v>1.1543980244008196</v>
      </c>
      <c r="CP157" s="8">
        <f>+IF(CP$8 = 125, 1, MAX(_xlfn._xlws.FILTER(INDEX( CP$55:CP$96, MAX( COUNT( CQ$9:CQ$50 )  - $B157 + 1, 1)) : INDEX( CP$55:CP$96, MAX( COUNT( CQ$9:CQ$50 )  - $C157 + 1, 1)), INDEX( CP$101:CP$142, MAX( COUNT( CQ$9:CQ$50 )  - $B157 + 1, 1)) : INDEX( CP$101:CP$142, MAX( COUNT( CQ$9:CQ$50 )  - $C157 + 1, 1)) &gt; 0)))</f>
        <v>1</v>
      </c>
      <c r="CQ157" s="8">
        <f>+IF(CQ$8 = 125, 1, MAX(_xlfn._xlws.FILTER(INDEX( CQ$55:CQ$96, MAX( COUNT( CR$9:CR$50 )  - $B157 + 1, 1)) : INDEX( CQ$55:CQ$96, MAX( COUNT( CR$9:CR$50 )  - $C157 + 1, 1)), INDEX( CQ$101:CQ$142, MAX( COUNT( CR$9:CR$50 )  - $B157 + 1, 1)) : INDEX( CQ$101:CQ$142, MAX( COUNT( CR$9:CR$50 )  - $C157 + 1, 1)) &gt; 0)))</f>
        <v>1.0006789858389162</v>
      </c>
      <c r="CR157" s="8">
        <f>+IF(CR$8 = 125, 1, MAX(_xlfn._xlws.FILTER(INDEX( CR$55:CR$96, MAX( COUNT( CS$9:CS$50 )  - $B157 + 1, 1)) : INDEX( CR$55:CR$96, MAX( COUNT( CS$9:CS$50 )  - $C157 + 1, 1)), INDEX( CR$101:CR$142, MAX( COUNT( CS$9:CS$50 )  - $B157 + 1, 1)) : INDEX( CR$101:CR$142, MAX( COUNT( CS$9:CS$50 )  - $C157 + 1, 1)) &gt; 0)))</f>
        <v>1.00196204004423</v>
      </c>
      <c r="CS157" s="8">
        <f>+IF(CS$8 = 125, 1, MAX(_xlfn._xlws.FILTER(INDEX( CS$55:CS$96, MAX( COUNT( CT$9:CT$50 )  - $B157 + 1, 1)) : INDEX( CS$55:CS$96, MAX( COUNT( CT$9:CT$50 )  - $C157 + 1, 1)), INDEX( CS$101:CS$142, MAX( COUNT( CT$9:CT$50 )  - $B157 + 1, 1)) : INDEX( CS$101:CS$142, MAX( COUNT( CT$9:CT$50 )  - $C157 + 1, 1)) &gt; 0)))</f>
        <v>1.002141357103923</v>
      </c>
      <c r="CT157" s="8">
        <f>+IF(CT$8 = 125, 1, MAX(_xlfn._xlws.FILTER(INDEX( CT$55:CT$96, MAX( COUNT( CU$9:CU$50 )  - $B157 + 1, 1)) : INDEX( CT$55:CT$96, MAX( COUNT( CU$9:CU$50 )  - $C157 + 1, 1)), INDEX( CT$101:CT$142, MAX( COUNT( CU$9:CU$50 )  - $B157 + 1, 1)) : INDEX( CT$101:CT$142, MAX( COUNT( CU$9:CU$50 )  - $C157 + 1, 1)) &gt; 0)))</f>
        <v>1.0001416179246065</v>
      </c>
      <c r="CU157" s="8">
        <f>+IF(CU$8 = 125, 1, MAX(_xlfn._xlws.FILTER(INDEX( CU$55:CU$96, MAX( COUNT( CV$9:CV$50 )  - $B157 + 1, 1)) : INDEX( CU$55:CU$96, MAX( COUNT( CV$9:CV$50 )  - $C157 + 1, 1)), INDEX( CU$101:CU$142, MAX( COUNT( CV$9:CV$50 )  - $B157 + 1, 1)) : INDEX( CU$101:CU$142, MAX( COUNT( CV$9:CV$50 )  - $C157 + 1, 1)) &gt; 0)))</f>
        <v>1.0000392137383842</v>
      </c>
      <c r="CV157" s="8">
        <f>+IF(CV$8 = 125, 1, MAX(_xlfn._xlws.FILTER(INDEX( CV$55:CV$96, MAX( COUNT( CW$9:CW$50 )  - $B157 + 1, 1)) : INDEX( CV$55:CV$96, MAX( COUNT( CW$9:CW$50 )  - $C157 + 1, 1)), INDEX( CV$101:CV$142, MAX( COUNT( CW$9:CW$50 )  - $B157 + 1, 1)) : INDEX( CV$101:CV$142, MAX( COUNT( CW$9:CW$50 )  - $C157 + 1, 1)) &gt; 0)))</f>
        <v>1.0005580570170121</v>
      </c>
      <c r="CW157" s="8">
        <f>+IF(CW$8 = 125, 1, MAX(_xlfn._xlws.FILTER(INDEX( CW$55:CW$96, MAX( COUNT( CX$9:CX$50 )  - $B157 + 1, 1)) : INDEX( CW$55:CW$96, MAX( COUNT( CX$9:CX$50 )  - $C157 + 1, 1)), INDEX( CW$101:CW$142, MAX( COUNT( CX$9:CX$50 )  - $B157 + 1, 1)) : INDEX( CW$101:CW$142, MAX( COUNT( CX$9:CX$50 )  - $C157 + 1, 1)) &gt; 0)))</f>
        <v>1.000830264725425</v>
      </c>
      <c r="CX157" s="8">
        <f>+IF(CX$8 = 125, 1, MAX(_xlfn._xlws.FILTER(INDEX( CX$55:CX$96, MAX( COUNT( CY$9:CY$50 )  - $B157 + 1, 1)) : INDEX( CX$55:CX$96, MAX( COUNT( CY$9:CY$50 )  - $C157 + 1, 1)), INDEX( CX$101:CX$142, MAX( COUNT( CY$9:CY$50 )  - $B157 + 1, 1)) : INDEX( CX$101:CX$142, MAX( COUNT( CY$9:CY$50 )  - $C157 + 1, 1)) &gt; 0)))</f>
        <v>1.0024241035980526</v>
      </c>
      <c r="CY157" s="8">
        <f>+IF(CY$8 = 125, 1, MAX(_xlfn._xlws.FILTER(INDEX( CY$55:CY$96, MAX( COUNT( CZ$9:CZ$50 )  - $B157 + 1, 1)) : INDEX( CY$55:CY$96, MAX( COUNT( CZ$9:CZ$50 )  - $C157 + 1, 1)), INDEX( CY$101:CY$142, MAX( COUNT( CZ$9:CZ$50 )  - $B157 + 1, 1)) : INDEX( CY$101:CY$142, MAX( COUNT( CZ$9:CZ$50 )  - $C157 + 1, 1)) &gt; 0)))</f>
        <v>1.0020013967314978</v>
      </c>
      <c r="CZ157" s="8">
        <f>+IF(CZ$8 = 125, 1, MAX(_xlfn._xlws.FILTER(INDEX( CZ$55:CZ$96, MAX( COUNT( DA$9:DA$50 )  - $B157 + 1, 1)) : INDEX( CZ$55:CZ$96, MAX( COUNT( DA$9:DA$50 )  - $C157 + 1, 1)), INDEX( CZ$101:CZ$142, MAX( COUNT( DA$9:DA$50 )  - $B157 + 1, 1)) : INDEX( CZ$101:CZ$142, MAX( COUNT( DA$9:DA$50 )  - $C157 + 1, 1)) &gt; 0)))</f>
        <v>1.0008193373080967</v>
      </c>
      <c r="DA157" s="8">
        <f>+IF(DA$8 = 125, 1, MAX(_xlfn._xlws.FILTER(INDEX( DA$55:DA$96, MAX( COUNT( DB$9:DB$50 )  - $B157 + 1, 1)) : INDEX( DA$55:DA$96, MAX( COUNT( DB$9:DB$50 )  - $C157 + 1, 1)), INDEX( DA$101:DA$142, MAX( COUNT( DB$9:DB$50 )  - $B157 + 1, 1)) : INDEX( DA$101:DA$142, MAX( COUNT( DB$9:DB$50 )  - $C157 + 1, 1)) &gt; 0)))</f>
        <v>1.0004597265436772</v>
      </c>
      <c r="DB157" s="8">
        <f>+IF(DB$8 = 125, 1, MAX(_xlfn._xlws.FILTER(INDEX( DB$55:DB$96, MAX( COUNT( DC$9:DC$50 )  - $B157 + 1, 1)) : INDEX( DB$55:DB$96, MAX( COUNT( DC$9:DC$50 )  - $C157 + 1, 1)), INDEX( DB$101:DB$142, MAX( COUNT( DC$9:DC$50 )  - $B157 + 1, 1)) : INDEX( DB$101:DB$142, MAX( COUNT( DC$9:DC$50 )  - $C157 + 1, 1)) &gt; 0)))</f>
        <v>1.0000512970154487</v>
      </c>
      <c r="DC157" s="8">
        <f>+IF(DC$8 = 125, 1, MAX(_xlfn._xlws.FILTER(INDEX( DC$55:DC$96, MAX( COUNT( DD$9:DD$50 )  - $B157 + 1, 1)) : INDEX( DC$55:DC$96, MAX( COUNT( DD$9:DD$50 )  - $C157 + 1, 1)), INDEX( DC$101:DC$142, MAX( COUNT( DD$9:DD$50 )  - $B157 + 1, 1)) : INDEX( DC$101:DC$142, MAX( COUNT( DD$9:DD$50 )  - $C157 + 1, 1)) &gt; 0)))</f>
        <v>1.0004868888675085</v>
      </c>
      <c r="DD157" s="8">
        <f>+IF(DD$8 = 125, 1, MAX(_xlfn._xlws.FILTER(INDEX( DD$55:DD$96, MAX( COUNT( DE$9:DE$50 )  - $B157 + 1, 1)) : INDEX( DD$55:DD$96, MAX( COUNT( DE$9:DE$50 )  - $C157 + 1, 1)), INDEX( DD$101:DD$142, MAX( COUNT( DE$9:DE$50 )  - $B157 + 1, 1)) : INDEX( DD$101:DD$142, MAX( COUNT( DE$9:DE$50 )  - $C157 + 1, 1)) &gt; 0)))</f>
        <v>1.0000796276060024</v>
      </c>
      <c r="DE157" s="8">
        <f>+IF(DE$8 = 125, 1, MAX(_xlfn._xlws.FILTER(INDEX( DE$55:DE$96, MAX( COUNT( DF$9:DF$50 )  - $B157 + 1, 1)) : INDEX( DE$55:DE$96, MAX( COUNT( DF$9:DF$50 )  - $C157 + 1, 1)), INDEX( DE$101:DE$142, MAX( COUNT( DF$9:DF$50 )  - $B157 + 1, 1)) : INDEX( DE$101:DE$142, MAX( COUNT( DF$9:DF$50 )  - $C157 + 1, 1)) &gt; 0)))</f>
        <v>1.0006321502082443</v>
      </c>
      <c r="DF157" s="8">
        <f>+IF(DF$8 = 125, 1, MAX(_xlfn._xlws.FILTER(INDEX( DF$55:DF$96, MAX( COUNT( DG$9:DG$50 )  - $B157 + 1, 1)) : INDEX( DF$55:DF$96, MAX( COUNT( DG$9:DG$50 )  - $C157 + 1, 1)), INDEX( DF$101:DF$142, MAX( COUNT( DG$9:DG$50 )  - $B157 + 1, 1)) : INDEX( DF$101:DF$142, MAX( COUNT( DG$9:DG$50 )  - $C157 + 1, 1)) &gt; 0)))</f>
        <v>1.0027492990585589</v>
      </c>
      <c r="DG157" s="8">
        <f>+IF(DG$8 = 125, 1, MAX(_xlfn._xlws.FILTER(INDEX( DG$55:DG$96, MAX( COUNT( DH$9:DH$50 )  - $B157 + 1, 1)) : INDEX( DG$55:DG$96, MAX( COUNT( DH$9:DH$50 )  - $C157 + 1, 1)), INDEX( DG$101:DG$142, MAX( COUNT( DH$9:DH$50 )  - $B157 + 1, 1)) : INDEX( DG$101:DG$142, MAX( COUNT( DH$9:DH$50 )  - $C157 + 1, 1)) &gt; 0)))</f>
        <v>1.0032479928524678</v>
      </c>
      <c r="DH157" s="8">
        <f>+IF(DH$8 = 125, 1, MAX(_xlfn._xlws.FILTER(INDEX( DH$55:DH$96, MAX( COUNT( DI$9:DI$50 )  - $B157 + 1, 1)) : INDEX( DH$55:DH$96, MAX( COUNT( DI$9:DI$50 )  - $C157 + 1, 1)), INDEX( DH$101:DH$142, MAX( COUNT( DI$9:DI$50 )  - $B157 + 1, 1)) : INDEX( DH$101:DH$142, MAX( COUNT( DI$9:DI$50 )  - $C157 + 1, 1)) &gt; 0)))</f>
        <v>1.0005390047950249</v>
      </c>
      <c r="DI157" s="8">
        <f>+IF(DI$8 = 125, 1, MAX(_xlfn._xlws.FILTER(INDEX( DI$55:DI$96, MAX( COUNT( DJ$9:DJ$50 )  - $B157 + 1, 1)) : INDEX( DI$55:DI$96, MAX( COUNT( DJ$9:DJ$50 )  - $C157 + 1, 1)), INDEX( DI$101:DI$142, MAX( COUNT( DJ$9:DJ$50 )  - $B157 + 1, 1)) : INDEX( DI$101:DI$142, MAX( COUNT( DJ$9:DJ$50 )  - $C157 + 1, 1)) &gt; 0)))</f>
        <v>1.000522318510177</v>
      </c>
      <c r="DJ157" s="8">
        <f>+IF(DJ$8 = 125, 1, MAX(_xlfn._xlws.FILTER(INDEX( DJ$55:DJ$96, MAX( COUNT( DK$9:DK$50 )  - $B157 + 1, 1)) : INDEX( DJ$55:DJ$96, MAX( COUNT( DK$9:DK$50 )  - $C157 + 1, 1)), INDEX( DJ$101:DJ$142, MAX( COUNT( DK$9:DK$50 )  - $B157 + 1, 1)) : INDEX( DJ$101:DJ$142, MAX( COUNT( DK$9:DK$50 )  - $C157 + 1, 1)) &gt; 0)))</f>
        <v>1.0008951647436479</v>
      </c>
      <c r="DK157" s="8">
        <f>+IF(DK$8 = 125, 1, MAX(_xlfn._xlws.FILTER(INDEX( DK$55:DK$96, MAX( COUNT( DL$9:DL$50 )  - $B157 + 1, 1)) : INDEX( DK$55:DK$96, MAX( COUNT( DL$9:DL$50 )  - $C157 + 1, 1)), INDEX( DK$101:DK$142, MAX( COUNT( DL$9:DL$50 )  - $B157 + 1, 1)) : INDEX( DK$101:DK$142, MAX( COUNT( DL$9:DL$50 )  - $C157 + 1, 1)) &gt; 0)))</f>
        <v>1.0028628337162984</v>
      </c>
      <c r="DL157" s="8">
        <f>+IF(DL$8 = 125, 1, MAX(_xlfn._xlws.FILTER(INDEX( DL$55:DL$96, MAX( COUNT( DM$9:DM$50 )  - $B157 + 1, 1)) : INDEX( DL$55:DL$96, MAX( COUNT( DM$9:DM$50 )  - $C157 + 1, 1)), INDEX( DL$101:DL$142, MAX( COUNT( DM$9:DM$50 )  - $B157 + 1, 1)) : INDEX( DL$101:DL$142, MAX( COUNT( DM$9:DM$50 )  - $C157 + 1, 1)) &gt; 0)))</f>
        <v>1.000475637661596</v>
      </c>
      <c r="DM157" s="8">
        <f>+IF(DM$8 = 125, 1, MAX(_xlfn._xlws.FILTER(INDEX( DM$55:DM$96, MAX( COUNT( DN$9:DN$50 )  - $B157 + 1, 1)) : INDEX( DM$55:DM$96, MAX( COUNT( DN$9:DN$50 )  - $C157 + 1, 1)), INDEX( DM$101:DM$142, MAX( COUNT( DN$9:DN$50 )  - $B157 + 1, 1)) : INDEX( DM$101:DM$142, MAX( COUNT( DN$9:DN$50 )  - $C157 + 1, 1)) &gt; 0)))</f>
        <v>1</v>
      </c>
      <c r="DN157" s="8">
        <f>+IF(DN$8 = 125, 1, MAX(_xlfn._xlws.FILTER(INDEX( DN$55:DN$96, MAX( COUNT( DO$9:DO$50 )  - $B157 + 1, 1)) : INDEX( DN$55:DN$96, MAX( COUNT( DO$9:DO$50 )  - $C157 + 1, 1)), INDEX( DN$101:DN$142, MAX( COUNT( DO$9:DO$50 )  - $B157 + 1, 1)) : INDEX( DN$101:DN$142, MAX( COUNT( DO$9:DO$50 )  - $C157 + 1, 1)) &gt; 0)))</f>
        <v>1.0018519020481635</v>
      </c>
      <c r="DO157" s="8">
        <f>+IF(DO$8 = 125, 1, MAX(_xlfn._xlws.FILTER(INDEX( DO$55:DO$96, MAX( COUNT( DP$9:DP$50 )  - $B157 + 1, 1)) : INDEX( DO$55:DO$96, MAX( COUNT( DP$9:DP$50 )  - $C157 + 1, 1)), INDEX( DO$101:DO$142, MAX( COUNT( DP$9:DP$50 )  - $B157 + 1, 1)) : INDEX( DO$101:DO$142, MAX( COUNT( DP$9:DP$50 )  - $C157 + 1, 1)) &gt; 0)))</f>
        <v>1.0043564384363206</v>
      </c>
      <c r="DP157" s="8">
        <f>+IF(DP$8 = 125, 1, MAX(_xlfn._xlws.FILTER(INDEX( DP$55:DP$96, MAX( COUNT( DQ$9:DQ$50 )  - $B157 + 1, 1)) : INDEX( DP$55:DP$96, MAX( COUNT( DQ$9:DQ$50 )  - $C157 + 1, 1)), INDEX( DP$101:DP$142, MAX( COUNT( DQ$9:DQ$50 )  - $B157 + 1, 1)) : INDEX( DP$101:DP$142, MAX( COUNT( DQ$9:DQ$50 )  - $C157 + 1, 1)) &gt; 0)))</f>
        <v>1.0033946270979679</v>
      </c>
      <c r="DQ157" s="8">
        <f>+IF(DQ$8 = 125, 1, MAX(_xlfn._xlws.FILTER(INDEX( DQ$55:DQ$96, MAX( COUNT( DR$9:DR$50 )  - $B157 + 1, 1)) : INDEX( DQ$55:DQ$96, MAX( COUNT( DR$9:DR$50 )  - $C157 + 1, 1)), INDEX( DQ$101:DQ$142, MAX( COUNT( DR$9:DR$50 )  - $B157 + 1, 1)) : INDEX( DQ$101:DQ$142, MAX( COUNT( DR$9:DR$50 )  - $C157 + 1, 1)) &gt; 0)))</f>
        <v>1.0019179463063093</v>
      </c>
      <c r="DR157" s="8">
        <f>+IF(DR$8 = 125, 1, MAX(_xlfn._xlws.FILTER(INDEX( DR$55:DR$96, MAX( COUNT( DS$9:DS$50 )  - $B157 + 1, 1)) : INDEX( DR$55:DR$96, MAX( COUNT( DS$9:DS$50 )  - $C157 + 1, 1)), INDEX( DR$101:DR$142, MAX( COUNT( DS$9:DS$50 )  - $B157 + 1, 1)) : INDEX( DR$101:DR$142, MAX( COUNT( DS$9:DS$50 )  - $C157 + 1, 1)) &gt; 0)))</f>
        <v>1.003456136862988</v>
      </c>
      <c r="DS157" s="8">
        <f>+IF(DS$8 = 125, 1, MAX(_xlfn._xlws.FILTER(INDEX( DS$55:DS$96, MAX( COUNT( DT$9:DT$50 )  - $B157 + 1, 1)) : INDEX( DS$55:DS$96, MAX( COUNT( DT$9:DT$50 )  - $C157 + 1, 1)), INDEX( DS$101:DS$142, MAX( COUNT( DT$9:DT$50 )  - $B157 + 1, 1)) : INDEX( DS$101:DS$142, MAX( COUNT( DT$9:DT$50 )  - $C157 + 1, 1)) &gt; 0)))</f>
        <v>1.0066864242430542</v>
      </c>
      <c r="DT157" s="8">
        <f>+IF(DT$8 = 125, 1, MAX(_xlfn._xlws.FILTER(INDEX( DT$55:DT$96, MAX( COUNT( DU$9:DU$50 )  - $B157 + 1, 1)) : INDEX( DT$55:DT$96, MAX( COUNT( DU$9:DU$50 )  - $C157 + 1, 1)), INDEX( DT$101:DT$142, MAX( COUNT( DU$9:DU$50 )  - $B157 + 1, 1)) : INDEX( DT$101:DT$142, MAX( COUNT( DU$9:DU$50 )  - $C157 + 1, 1)) &gt; 0)))</f>
        <v>1.0043493205600837</v>
      </c>
      <c r="DU157" s="8">
        <f>+IF(DU$8 = 125, 1, MAX(_xlfn._xlws.FILTER(INDEX( DU$55:DU$96, MAX( COUNT( DV$9:DV$50 )  - $B157 + 1, 1)) : INDEX( DU$55:DU$96, MAX( COUNT( DV$9:DV$50 )  - $C157 + 1, 1)), INDEX( DU$101:DU$142, MAX( COUNT( DV$9:DV$50 )  - $B157 + 1, 1)) : INDEX( DU$101:DU$142, MAX( COUNT( DV$9:DV$50 )  - $C157 + 1, 1)) &gt; 0)))</f>
        <v>1.0018132811025249</v>
      </c>
      <c r="DV157" s="8">
        <f>+IF(DV$8 = 125, 1, MAX(_xlfn._xlws.FILTER(INDEX( DV$55:DV$96, MAX( COUNT( DW$9:DW$50 )  - $B157 + 1, 1)) : INDEX( DV$55:DV$96, MAX( COUNT( DW$9:DW$50 )  - $C157 + 1, 1)), INDEX( DV$101:DV$142, MAX( COUNT( DW$9:DW$50 )  - $B157 + 1, 1)) : INDEX( DV$101:DV$142, MAX( COUNT( DW$9:DW$50 )  - $C157 + 1, 1)) &gt; 0)))</f>
        <v>1.0039941211252672</v>
      </c>
      <c r="DW157" s="8">
        <f>+IF(DW$8 = 125, 1, MAX(_xlfn._xlws.FILTER(INDEX( DW$55:DW$96, MAX( COUNT( DX$9:DX$50 )  - $B157 + 1, 1)) : INDEX( DW$55:DW$96, MAX( COUNT( DX$9:DX$50 )  - $C157 + 1, 1)), INDEX( DW$101:DW$142, MAX( COUNT( DX$9:DX$50 )  - $B157 + 1, 1)) : INDEX( DW$101:DW$142, MAX( COUNT( DX$9:DX$50 )  - $C157 + 1, 1)) &gt; 0)))</f>
        <v>1.0034803770733696</v>
      </c>
      <c r="DX157" s="8">
        <f>+IF(DX$8 = 125, 1, MAX(_xlfn._xlws.FILTER(INDEX( DX$55:DX$96, MAX( COUNT( DY$9:DY$50 )  - $B157 + 1, 1)) : INDEX( DX$55:DX$96, MAX( COUNT( DY$9:DY$50 )  - $C157 + 1, 1)), INDEX( DX$101:DX$142, MAX( COUNT( DY$9:DY$50 )  - $B157 + 1, 1)) : INDEX( DX$101:DX$142, MAX( COUNT( DY$9:DY$50 )  - $C157 + 1, 1)) &gt; 0)))</f>
        <v>1.0038513805404945</v>
      </c>
      <c r="DY157" s="8">
        <f>+IF(DY$8 = 125, 1, MAX(_xlfn._xlws.FILTER(INDEX( DY$55:DY$96, MAX( COUNT( DZ$9:DZ$50 )  - $B157 + 1, 1)) : INDEX( DY$55:DY$96, MAX( COUNT( DZ$9:DZ$50 )  - $C157 + 1, 1)), INDEX( DY$101:DY$142, MAX( COUNT( DZ$9:DZ$50 )  - $B157 + 1, 1)) : INDEX( DY$101:DY$142, MAX( COUNT( DZ$9:DZ$50 )  - $C157 + 1, 1)) &gt; 0)))</f>
        <v>1.0045542200871611</v>
      </c>
      <c r="DZ157" s="8">
        <f>+IF(DZ$8 = 125, 1, MAX(_xlfn._xlws.FILTER(INDEX( DZ$55:DZ$96, MAX( COUNT( EA$9:EA$50 )  - $B157 + 1, 1)) : INDEX( DZ$55:DZ$96, MAX( COUNT( EA$9:EA$50 )  - $C157 + 1, 1)), INDEX( DZ$101:DZ$142, MAX( COUNT( EA$9:EA$50 )  - $B157 + 1, 1)) : INDEX( DZ$101:DZ$142, MAX( COUNT( EA$9:EA$50 )  - $C157 + 1, 1)) &gt; 0)))</f>
        <v>1.0041088153957449</v>
      </c>
      <c r="EA157" s="8">
        <f>+IF(EA$8 = 125, 1, MAX(_xlfn._xlws.FILTER(INDEX( EA$55:EA$96, MAX( COUNT( EB$9:EB$50 )  - $B157 + 1, 1)) : INDEX( EA$55:EA$96, MAX( COUNT( EB$9:EB$50 )  - $C157 + 1, 1)), INDEX( EA$101:EA$142, MAX( COUNT( EB$9:EB$50 )  - $B157 + 1, 1)) : INDEX( EA$101:EA$142, MAX( COUNT( EB$9:EB$50 )  - $C157 + 1, 1)) &gt; 0)))</f>
        <v>1</v>
      </c>
      <c r="EB157" s="8">
        <f>+IF(EB$8 = 125, 1, MAX(_xlfn._xlws.FILTER(INDEX( EB$55:EB$96, MAX( COUNT( EC$9:EC$50 )  - $B157 + 1, 1)) : INDEX( EB$55:EB$96, MAX( COUNT( EC$9:EC$50 )  - $C157 + 1, 1)), INDEX( EB$101:EB$142, MAX( COUNT( EC$9:EC$50 )  - $B157 + 1, 1)) : INDEX( EB$101:EB$142, MAX( COUNT( EC$9:EC$50 )  - $C157 + 1, 1)) &gt; 0)))</f>
        <v>4.6085822834978485</v>
      </c>
      <c r="EC157" s="8">
        <f>+IF(EC$8 = 125, 1, MAX(_xlfn._xlws.FILTER(INDEX( EC$55:EC$96, MAX( COUNT( ED$9:ED$50 )  - $B157 + 1, 1)) : INDEX( EC$55:EC$96, MAX( COUNT( ED$9:ED$50 )  - $C157 + 1, 1)), INDEX( EC$101:EC$142, MAX( COUNT( ED$9:ED$50 )  - $B157 + 1, 1)) : INDEX( EC$101:EC$142, MAX( COUNT( ED$9:ED$50 )  - $C157 + 1, 1)) &gt; 0)))</f>
        <v>3.0322220716282864</v>
      </c>
      <c r="ED157" s="8">
        <f>+IF(ED$8 = 125, 1, MAX(_xlfn._xlws.FILTER(INDEX( ED$55:ED$96, MAX( COUNT( EE$9:EE$50 )  - $B157 + 1, 1)) : INDEX( ED$55:ED$96, MAX( COUNT( EE$9:EE$50 )  - $C157 + 1, 1)), INDEX( ED$101:ED$142, MAX( COUNT( EE$9:EE$50 )  - $B157 + 1, 1)) : INDEX( ED$101:ED$142, MAX( COUNT( EE$9:EE$50 )  - $C157 + 1, 1)) &gt; 0)))</f>
        <v>1.3732569427885724</v>
      </c>
      <c r="EE157" s="8">
        <f>+IF(EE$8 = 125, 1, MAX(_xlfn._xlws.FILTER(INDEX( EE$55:EE$96, MAX( COUNT( EF$9:EF$50 )  - $B157 + 1, 1)) : INDEX( EE$55:EE$96, MAX( COUNT( EF$9:EF$50 )  - $C157 + 1, 1)), INDEX( EE$101:EE$142, MAX( COUNT( EF$9:EF$50 )  - $B157 + 1, 1)) : INDEX( EE$101:EE$142, MAX( COUNT( EF$9:EF$50 )  - $C157 + 1, 1)) &gt; 0)))</f>
        <v>1.0361262204679107</v>
      </c>
      <c r="EF157" s="8">
        <f>+IF(EF$8 = 125, 1, MAX(_xlfn._xlws.FILTER(INDEX( EF$55:EF$96, MAX( COUNT( EG$9:EG$50 )  - $B157 + 1, 1)) : INDEX( EF$55:EF$96, MAX( COUNT( EG$9:EG$50 )  - $C157 + 1, 1)), INDEX( EF$101:EF$142, MAX( COUNT( EG$9:EG$50 )  - $B157 + 1, 1)) : INDEX( EF$101:EF$142, MAX( COUNT( EG$9:EG$50 )  - $C157 + 1, 1)) &gt; 0)))</f>
        <v>1.0504954531475876</v>
      </c>
      <c r="EG157" s="8">
        <f>+IF(EG$8 = 125, 1, MAX(_xlfn._xlws.FILTER(INDEX( EG$55:EG$96, MAX( COUNT( EH$9:EH$50 )  - $B157 + 1, 1)) : INDEX( EG$55:EG$96, MAX( COUNT( EH$9:EH$50 )  - $C157 + 1, 1)), INDEX( EG$101:EG$142, MAX( COUNT( EH$9:EH$50 )  - $B157 + 1, 1)) : INDEX( EG$101:EG$142, MAX( COUNT( EH$9:EH$50 )  - $C157 + 1, 1)) &gt; 0)))</f>
        <v>1.0673101668971696</v>
      </c>
      <c r="EH157" s="8">
        <f>+IF(EH$8 = 125, 1, MAX(_xlfn._xlws.FILTER(INDEX( EH$55:EH$96, MAX( COUNT( EI$9:EI$50 )  - $B157 + 1, 1)) : INDEX( EH$55:EH$96, MAX( COUNT( EI$9:EI$50 )  - $C157 + 1, 1)), INDEX( EH$101:EH$142, MAX( COUNT( EI$9:EI$50 )  - $B157 + 1, 1)) : INDEX( EH$101:EH$142, MAX( COUNT( EI$9:EI$50 )  - $C157 + 1, 1)) &gt; 0)))</f>
        <v>1.0088119364133341</v>
      </c>
      <c r="EI157" s="8">
        <f>+IF(EI$8 = 125, 1, MAX(_xlfn._xlws.FILTER(INDEX( EI$55:EI$96, MAX( COUNT( EJ$9:EJ$50 )  - $B157 + 1, 1)) : INDEX( EI$55:EI$96, MAX( COUNT( EJ$9:EJ$50 )  - $C157 + 1, 1)), INDEX( EI$101:EI$142, MAX( COUNT( EJ$9:EJ$50 )  - $B157 + 1, 1)) : INDEX( EI$101:EI$142, MAX( COUNT( EJ$9:EJ$50 )  - $C157 + 1, 1)) &gt; 0)))</f>
        <v>1.0407185618752355</v>
      </c>
      <c r="EJ157" s="8">
        <f>+IF(EJ$8 = 125, 1, MAX(_xlfn._xlws.FILTER(INDEX( EJ$55:EJ$96, MAX( COUNT( EK$9:EK$50 )  - $B157 + 1, 1)) : INDEX( EJ$55:EJ$96, MAX( COUNT( EK$9:EK$50 )  - $C157 + 1, 1)), INDEX( EJ$101:EJ$142, MAX( COUNT( EK$9:EK$50 )  - $B157 + 1, 1)) : INDEX( EJ$101:EJ$142, MAX( COUNT( EK$9:EK$50 )  - $C157 + 1, 1)) &gt; 0)))</f>
        <v>1.0010525418685832</v>
      </c>
      <c r="EK157" s="8">
        <f>+IF(EK$8 = 125, 1, MAX(_xlfn._xlws.FILTER(INDEX( EK$55:EK$96, MAX( COUNT( EL$9:EL$50 )  - $B157 + 1, 1)) : INDEX( EK$55:EK$96, MAX( COUNT( EL$9:EL$50 )  - $C157 + 1, 1)), INDEX( EK$101:EK$142, MAX( COUNT( EL$9:EL$50 )  - $B157 + 1, 1)) : INDEX( EK$101:EK$142, MAX( COUNT( EL$9:EL$50 )  - $C157 + 1, 1)) &gt; 0)))</f>
        <v>1.0152277110340133</v>
      </c>
      <c r="EL157" s="8">
        <f>+IF(EL$8 = 125, 1, MAX(_xlfn._xlws.FILTER(INDEX( EL$55:EL$96, MAX( COUNT( EM$9:EM$50 )  - $B157 + 1, 1)) : INDEX( EL$55:EL$96, MAX( COUNT( EM$9:EM$50 )  - $C157 + 1, 1)), INDEX( EL$101:EL$142, MAX( COUNT( EM$9:EM$50 )  - $B157 + 1, 1)) : INDEX( EL$101:EL$142, MAX( COUNT( EM$9:EM$50 )  - $C157 + 1, 1)) &gt; 0)))</f>
        <v>1.000339480176015</v>
      </c>
      <c r="EM157" s="8">
        <f>+IF(EM$8 = 125, 1, MAX(_xlfn._xlws.FILTER(INDEX( EM$55:EM$96, MAX( COUNT( EN$9:EN$50 )  - $B157 + 1, 1)) : INDEX( EM$55:EM$96, MAX( COUNT( EN$9:EN$50 )  - $C157 + 1, 1)), INDEX( EM$101:EM$142, MAX( COUNT( EN$9:EN$50 )  - $B157 + 1, 1)) : INDEX( EM$101:EM$142, MAX( COUNT( EN$9:EN$50 )  - $C157 + 1, 1)) &gt; 0)))</f>
        <v>1.0000719725989304</v>
      </c>
      <c r="EN157" s="8">
        <f>+IF(EN$8 = 125, 1, MAX(_xlfn._xlws.FILTER(INDEX( EN$55:EN$96, MAX( COUNT( EO$9:EO$50 )  - $B157 + 1, 1)) : INDEX( EN$55:EN$96, MAX( COUNT( EO$9:EO$50 )  - $C157 + 1, 1)), INDEX( EN$101:EN$142, MAX( COUNT( EO$9:EO$50 )  - $B157 + 1, 1)) : INDEX( EN$101:EN$142, MAX( COUNT( EO$9:EO$50 )  - $C157 + 1, 1)) &gt; 0)))</f>
        <v>1.0011066104641291</v>
      </c>
      <c r="EO157" s="8">
        <f>+IF(EO$8 = 125, 1, MAX(_xlfn._xlws.FILTER(INDEX( EO$55:EO$96, MAX( COUNT( EP$9:EP$50 )  - $B157 + 1, 1)) : INDEX( EO$55:EO$96, MAX( COUNT( EP$9:EP$50 )  - $C157 + 1, 1)), INDEX( EO$101:EO$142, MAX( COUNT( EP$9:EP$50 )  - $B157 + 1, 1)) : INDEX( EO$101:EO$142, MAX( COUNT( EP$9:EP$50 )  - $C157 + 1, 1)) &gt; 0)))</f>
        <v>1.000388283858463</v>
      </c>
      <c r="EP157" s="8">
        <f>+IF(EP$8 = 125, 1, MAX(_xlfn._xlws.FILTER(INDEX( EP$55:EP$96, MAX( COUNT( EQ$9:EQ$50 )  - $B157 + 1, 1)) : INDEX( EP$55:EP$96, MAX( COUNT( EQ$9:EQ$50 )  - $C157 + 1, 1)), INDEX( EP$101:EP$142, MAX( COUNT( EQ$9:EQ$50 )  - $B157 + 1, 1)) : INDEX( EP$101:EP$142, MAX( COUNT( EQ$9:EQ$50 )  - $C157 + 1, 1)) &gt; 0)))</f>
        <v>1.0004877846832465</v>
      </c>
      <c r="EQ157" s="8">
        <f>+IF(EQ$8 = 125, 1, MAX(_xlfn._xlws.FILTER(INDEX( EQ$55:EQ$96, MAX( COUNT( ER$9:ER$50 )  - $B157 + 1, 1)) : INDEX( EQ$55:EQ$96, MAX( COUNT( ER$9:ER$50 )  - $C157 + 1, 1)), INDEX( EQ$101:EQ$142, MAX( COUNT( ER$9:ER$50 )  - $B157 + 1, 1)) : INDEX( EQ$101:EQ$142, MAX( COUNT( ER$9:ER$50 )  - $C157 + 1, 1)) &gt; 0)))</f>
        <v>1.0000704330983723</v>
      </c>
      <c r="ER157" s="8">
        <f>+IF(ER$8 = 125, 1, MAX(_xlfn._xlws.FILTER(INDEX( ER$55:ER$96, MAX( COUNT( ES$9:ES$50 )  - $B157 + 1, 1)) : INDEX( ER$55:ER$96, MAX( COUNT( ES$9:ES$50 )  - $C157 + 1, 1)), INDEX( ER$101:ER$142, MAX( COUNT( ES$9:ES$50 )  - $B157 + 1, 1)) : INDEX( ER$101:ER$142, MAX( COUNT( ES$9:ES$50 )  - $C157 + 1, 1)) &gt; 0)))</f>
        <v>1.0659891195100379</v>
      </c>
      <c r="ES157" s="8">
        <f>+IF(ES$8 = 125, 1, MAX(_xlfn._xlws.FILTER(INDEX( ES$55:ES$96, MAX( COUNT( ET$9:ET$50 )  - $B157 + 1, 1)) : INDEX( ES$55:ES$96, MAX( COUNT( ET$9:ET$50 )  - $C157 + 1, 1)), INDEX( ES$101:ES$142, MAX( COUNT( ET$9:ET$50 )  - $B157 + 1, 1)) : INDEX( ES$101:ES$142, MAX( COUNT( ET$9:ET$50 )  - $C157 + 1, 1)) &gt; 0)))</f>
        <v>1.0012331800069203</v>
      </c>
      <c r="ET157" s="8">
        <f>+IF(ET$8 = 125, 1, MAX(_xlfn._xlws.FILTER(INDEX( ET$55:ET$96, MAX( COUNT( EU$9:EU$50 )  - $B157 + 1, 1)) : INDEX( ET$55:ET$96, MAX( COUNT( EU$9:EU$50 )  - $C157 + 1, 1)), INDEX( ET$101:ET$142, MAX( COUNT( EU$9:EU$50 )  - $B157 + 1, 1)) : INDEX( ET$101:ET$142, MAX( COUNT( EU$9:EU$50 )  - $C157 + 1, 1)) &gt; 0)))</f>
        <v>1.0019644321848868</v>
      </c>
      <c r="EU157" s="8">
        <f>+IF(EU$8 = 125, 1, MAX(_xlfn._xlws.FILTER(INDEX( EU$55:EU$96, MAX( COUNT( EV$9:EV$50 )  - $B157 + 1, 1)) : INDEX( EU$55:EU$96, MAX( COUNT( EV$9:EV$50 )  - $C157 + 1, 1)), INDEX( EU$101:EU$142, MAX( COUNT( EV$9:EV$50 )  - $B157 + 1, 1)) : INDEX( EU$101:EU$142, MAX( COUNT( EV$9:EV$50 )  - $C157 + 1, 1)) &gt; 0)))</f>
        <v>1.0000438138219609</v>
      </c>
      <c r="EV157" s="8">
        <f>+IF(EV$8 = 125, 1, MAX(_xlfn._xlws.FILTER(INDEX( EV$55:EV$96, MAX( COUNT( EW$9:EW$50 )  - $B157 + 1, 1)) : INDEX( EV$55:EV$96, MAX( COUNT( EW$9:EW$50 )  - $C157 + 1, 1)), INDEX( EV$101:EV$142, MAX( COUNT( EW$9:EW$50 )  - $B157 + 1, 1)) : INDEX( EV$101:EV$142, MAX( COUNT( EW$9:EW$50 )  - $C157 + 1, 1)) &gt; 0)))</f>
        <v>1.0032265829742755</v>
      </c>
      <c r="EW157" s="8">
        <f>+IF(EW$8 = 125, 1, MAX(_xlfn._xlws.FILTER(INDEX( EW$55:EW$96, MAX( COUNT( EX$9:EX$50 )  - $B157 + 1, 1)) : INDEX( EW$55:EW$96, MAX( COUNT( EX$9:EX$50 )  - $C157 + 1, 1)), INDEX( EW$101:EW$142, MAX( COUNT( EX$9:EX$50 )  - $B157 + 1, 1)) : INDEX( EW$101:EW$142, MAX( COUNT( EX$9:EX$50 )  - $C157 + 1, 1)) &gt; 0)))</f>
        <v>1.000029627356668</v>
      </c>
      <c r="EX157" s="8">
        <f>+IF(EX$8 = 125, 1, MAX(_xlfn._xlws.FILTER(INDEX( EX$55:EX$96, MAX( COUNT( EY$9:EY$50 )  - $B157 + 1, 1)) : INDEX( EX$55:EX$96, MAX( COUNT( EY$9:EY$50 )  - $C157 + 1, 1)), INDEX( EX$101:EX$142, MAX( COUNT( EY$9:EY$50 )  - $B157 + 1, 1)) : INDEX( EX$101:EX$142, MAX( COUNT( EY$9:EY$50 )  - $C157 + 1, 1)) &gt; 0)))</f>
        <v>1.000975555705959</v>
      </c>
      <c r="EY157" s="8">
        <f>+IF(EY$8 = 125, 1, MAX(_xlfn._xlws.FILTER(INDEX( EY$55:EY$96, MAX( COUNT( EZ$9:EZ$50 )  - $B157 + 1, 1)) : INDEX( EY$55:EY$96, MAX( COUNT( EZ$9:EZ$50 )  - $C157 + 1, 1)), INDEX( EY$101:EY$142, MAX( COUNT( EZ$9:EZ$50 )  - $B157 + 1, 1)) : INDEX( EY$101:EY$142, MAX( COUNT( EZ$9:EZ$50 )  - $C157 + 1, 1)) &gt; 0)))</f>
        <v>1.0385928412335295</v>
      </c>
      <c r="EZ157" s="8">
        <f>+IF(EZ$8 = 125, 1, MAX(_xlfn._xlws.FILTER(INDEX( EZ$55:EZ$96, MAX( COUNT( FA$9:FA$50 )  - $B157 + 1, 1)) : INDEX( EZ$55:EZ$96, MAX( COUNT( FA$9:FA$50 )  - $C157 + 1, 1)), INDEX( EZ$101:EZ$142, MAX( COUNT( FA$9:FA$50 )  - $B157 + 1, 1)) : INDEX( EZ$101:EZ$142, MAX( COUNT( FA$9:FA$50 )  - $C157 + 1, 1)) &gt; 0)))</f>
        <v>1.0004456723073285</v>
      </c>
      <c r="FA157" s="8">
        <f>+IF(FA$8 = 125, 1, MAX(_xlfn._xlws.FILTER(INDEX( FA$55:FA$96, MAX( COUNT( FB$9:FB$50 )  - $B157 + 1, 1)) : INDEX( FA$55:FA$96, MAX( COUNT( FB$9:FB$50 )  - $C157 + 1, 1)), INDEX( FA$101:FA$142, MAX( COUNT( FB$9:FB$50 )  - $B157 + 1, 1)) : INDEX( FA$101:FA$142, MAX( COUNT( FB$9:FB$50 )  - $C157 + 1, 1)) &gt; 0)))</f>
        <v>1</v>
      </c>
      <c r="FB157" s="8">
        <f>+IF(FB$8 = 125, 1, MAX(_xlfn._xlws.FILTER(INDEX( FB$55:FB$96, MAX( COUNT( FC$9:FC$50 )  - $B157 + 1, 1)) : INDEX( FB$55:FB$96, MAX( COUNT( FC$9:FC$50 )  - $C157 + 1, 1)), INDEX( FB$101:FB$142, MAX( COUNT( FC$9:FC$50 )  - $B157 + 1, 1)) : INDEX( FB$101:FB$142, MAX( COUNT( FC$9:FC$50 )  - $C157 + 1, 1)) &gt; 0)))</f>
        <v>1.0003227918296484</v>
      </c>
      <c r="FC157" s="8">
        <f>+IF(FC$8 = 125, 1, MAX(_xlfn._xlws.FILTER(INDEX( FC$55:FC$96, MAX( COUNT( FD$9:FD$50 )  - $B157 + 1, 1)) : INDEX( FC$55:FC$96, MAX( COUNT( FD$9:FD$50 )  - $C157 + 1, 1)), INDEX( FC$101:FC$142, MAX( COUNT( FD$9:FD$50 )  - $B157 + 1, 1)) : INDEX( FC$101:FC$142, MAX( COUNT( FD$9:FD$50 )  - $C157 + 1, 1)) &gt; 0)))</f>
        <v>1.0003120656162396</v>
      </c>
      <c r="FD157" s="8">
        <f>+IF(FD$8 = 125, 1, MAX(_xlfn._xlws.FILTER(INDEX( FD$55:FD$96, MAX( COUNT( FE$9:FE$50 )  - $B157 + 1, 1)) : INDEX( FD$55:FD$96, MAX( COUNT( FE$9:FE$50 )  - $C157 + 1, 1)), INDEX( FD$101:FD$142, MAX( COUNT( FE$9:FE$50 )  - $B157 + 1, 1)) : INDEX( FD$101:FD$142, MAX( COUNT( FE$9:FE$50 )  - $C157 + 1, 1)) &gt; 0)))</f>
        <v>1.0225164926438739</v>
      </c>
      <c r="FE157" s="8">
        <f>+IF(FE$8 = 125, 1, MAX(_xlfn._xlws.FILTER(INDEX( FE$55:FE$96, MAX( COUNT( FF$9:FF$50 )  - $B157 + 1, 1)) : INDEX( FE$55:FE$96, MAX( COUNT( FF$9:FF$50 )  - $C157 + 1, 1)), INDEX( FE$101:FE$142, MAX( COUNT( FF$9:FF$50 )  - $B157 + 1, 1)) : INDEX( FE$101:FE$142, MAX( COUNT( FF$9:FF$50 )  - $C157 + 1, 1)) &gt; 0)))</f>
        <v>1.005377775927571</v>
      </c>
      <c r="FF157" s="8">
        <f>+IF(FF$8 = 125, 1, MAX(_xlfn._xlws.FILTER(INDEX( FF$55:FF$96, MAX( COUNT( FG$9:FG$50 )  - $B157 + 1, 1)) : INDEX( FF$55:FF$96, MAX( COUNT( FG$9:FG$50 )  - $C157 + 1, 1)), INDEX( FF$101:FF$142, MAX( COUNT( FG$9:FG$50 )  - $B157 + 1, 1)) : INDEX( FF$101:FF$142, MAX( COUNT( FG$9:FG$50 )  - $C157 + 1, 1)) &gt; 0)))</f>
        <v>1.0022587075813867</v>
      </c>
      <c r="FG157" s="8">
        <f>+IF(FG$8 = 125, 1, MAX(_xlfn._xlws.FILTER(INDEX( FG$55:FG$96, MAX( COUNT( FH$9:FH$50 )  - $B157 + 1, 1)) : INDEX( FG$55:FG$96, MAX( COUNT( FH$9:FH$50 )  - $C157 + 1, 1)), INDEX( FG$101:FG$142, MAX( COUNT( FH$9:FH$50 )  - $B157 + 1, 1)) : INDEX( FG$101:FG$142, MAX( COUNT( FH$9:FH$50 )  - $C157 + 1, 1)) &gt; 0)))</f>
        <v>1.0215423878976135</v>
      </c>
      <c r="FH157" s="8">
        <f>+IF(FH$8 = 125, 1, MAX(_xlfn._xlws.FILTER(INDEX( FH$55:FH$96, MAX( COUNT( FI$9:FI$50 )  - $B157 + 1, 1)) : INDEX( FH$55:FH$96, MAX( COUNT( FI$9:FI$50 )  - $C157 + 1, 1)), INDEX( FH$101:FH$142, MAX( COUNT( FI$9:FI$50 )  - $B157 + 1, 1)) : INDEX( FH$101:FH$142, MAX( COUNT( FI$9:FI$50 )  - $C157 + 1, 1)) &gt; 0)))</f>
        <v>1.0007510749151438</v>
      </c>
      <c r="FI157" s="8">
        <f>+IF(FI$8 = 125, 1, MAX(_xlfn._xlws.FILTER(INDEX( FI$55:FI$96, MAX( COUNT( FJ$9:FJ$50 )  - $B157 + 1, 1)) : INDEX( FI$55:FI$96, MAX( COUNT( FJ$9:FJ$50 )  - $C157 + 1, 1)), INDEX( FI$101:FI$142, MAX( COUNT( FJ$9:FJ$50 )  - $B157 + 1, 1)) : INDEX( FI$101:FI$142, MAX( COUNT( FJ$9:FJ$50 )  - $C157 + 1, 1)) &gt; 0)))</f>
        <v>1.0180100188032848</v>
      </c>
      <c r="FJ157" s="8">
        <f>+IF(FJ$8 = 125, 1, MAX(_xlfn._xlws.FILTER(INDEX( FJ$55:FJ$96, MAX( COUNT( FK$9:FK$50 )  - $B157 + 1, 1)) : INDEX( FJ$55:FJ$96, MAX( COUNT( FK$9:FK$50 )  - $C157 + 1, 1)), INDEX( FJ$101:FJ$142, MAX( COUNT( FK$9:FK$50 )  - $B157 + 1, 1)) : INDEX( FJ$101:FJ$142, MAX( COUNT( FK$9:FK$50 )  - $C157 + 1, 1)) &gt; 0)))</f>
        <v>1.0020849033622148</v>
      </c>
      <c r="FK157" s="8">
        <f>+IF(FK$8 = 125, 1, MAX(_xlfn._xlws.FILTER(INDEX( FK$55:FK$96, MAX( COUNT( FL$9:FL$50 )  - $B157 + 1, 1)) : INDEX( FK$55:FK$96, MAX( COUNT( FL$9:FL$50 )  - $C157 + 1, 1)), INDEX( FK$101:FK$142, MAX( COUNT( FL$9:FL$50 )  - $B157 + 1, 1)) : INDEX( FK$101:FK$142, MAX( COUNT( FL$9:FL$50 )  - $C157 + 1, 1)) &gt; 0)))</f>
        <v>1</v>
      </c>
      <c r="FL157" s="8">
        <f>+IF(FL$8 = 125, 1, MAX(_xlfn._xlws.FILTER(INDEX( FL$55:FL$96, MAX( COUNT( FM$9:FM$50 )  - $B157 + 1, 1)) : INDEX( FL$55:FL$96, MAX( COUNT( FM$9:FM$50 )  - $C157 + 1, 1)), INDEX( FL$101:FL$142, MAX( COUNT( FM$9:FM$50 )  - $B157 + 1, 1)) : INDEX( FL$101:FL$142, MAX( COUNT( FM$9:FM$50 )  - $C157 + 1, 1)) &gt; 0)))</f>
        <v>1.0001036381282389</v>
      </c>
      <c r="FM157" s="8">
        <f>+IF(FM$8 = 125, 1, MAX(_xlfn._xlws.FILTER(INDEX( FM$55:FM$96, MAX( COUNT( FN$9:FN$50 )  - $B157 + 1, 1)) : INDEX( FM$55:FM$96, MAX( COUNT( FN$9:FN$50 )  - $C157 + 1, 1)), INDEX( FM$101:FM$142, MAX( COUNT( FN$9:FN$50 )  - $B157 + 1, 1)) : INDEX( FM$101:FM$142, MAX( COUNT( FN$9:FN$50 )  - $C157 + 1, 1)) &gt; 0)))</f>
        <v>1.0005371878860365</v>
      </c>
      <c r="FN157" s="8">
        <f>+IF(FN$8 = 125, 1, MAX(_xlfn._xlws.FILTER(INDEX( FN$55:FN$96, MAX( COUNT( FO$9:FO$50 )  - $B157 + 1, 1)) : INDEX( FN$55:FN$96, MAX( COUNT( FO$9:FO$50 )  - $C157 + 1, 1)), INDEX( FN$101:FN$142, MAX( COUNT( FO$9:FO$50 )  - $B157 + 1, 1)) : INDEX( FN$101:FN$142, MAX( COUNT( FO$9:FO$50 )  - $C157 + 1, 1)) &gt; 0)))</f>
        <v>1.0001601006544967</v>
      </c>
      <c r="FO157" s="8">
        <f>+IF(FO$8 = 125, 1, MAX(_xlfn._xlws.FILTER(INDEX( FO$55:FO$96, MAX( COUNT( FP$9:FP$50 )  - $B157 + 1, 1)) : INDEX( FO$55:FO$96, MAX( COUNT( FP$9:FP$50 )  - $C157 + 1, 1)), INDEX( FO$101:FO$142, MAX( COUNT( FP$9:FP$50 )  - $B157 + 1, 1)) : INDEX( FO$101:FO$142, MAX( COUNT( FP$9:FP$50 )  - $C157 + 1, 1)) &gt; 0)))</f>
        <v>1.0010440438300521</v>
      </c>
      <c r="FP157" s="8">
        <f>+IF(FP$8 = 125, 1, MAX(_xlfn._xlws.FILTER(INDEX( FP$55:FP$96, MAX( COUNT( FQ$9:FQ$50 )  - $B157 + 1, 1)) : INDEX( FP$55:FP$96, MAX( COUNT( FQ$9:FQ$50 )  - $C157 + 1, 1)), INDEX( FP$101:FP$142, MAX( COUNT( FQ$9:FQ$50 )  - $B157 + 1, 1)) : INDEX( FP$101:FP$142, MAX( COUNT( FQ$9:FQ$50 )  - $C157 + 1, 1)) &gt; 0)))</f>
        <v>1.0005729110759103</v>
      </c>
      <c r="FQ157" s="8">
        <f>+IF(FQ$8 = 125, 1, MAX(_xlfn._xlws.FILTER(INDEX( FQ$55:FQ$96, MAX( COUNT( FR$9:FR$50 )  - $B157 + 1, 1)) : INDEX( FQ$55:FQ$96, MAX( COUNT( FR$9:FR$50 )  - $C157 + 1, 1)), INDEX( FQ$101:FQ$142, MAX( COUNT( FR$9:FR$50 )  - $B157 + 1, 1)) : INDEX( FQ$101:FQ$142, MAX( COUNT( FR$9:FR$50 )  - $C157 + 1, 1)) &gt; 0)))</f>
        <v>1.0006174008952617</v>
      </c>
      <c r="FR157" s="8">
        <f>+IF(FR$8 = 125, 1, MAX(_xlfn._xlws.FILTER(INDEX( FR$55:FR$96, MAX( COUNT( FS$9:FS$50 )  - $B157 + 1, 1)) : INDEX( FR$55:FR$96, MAX( COUNT( FS$9:FS$50 )  - $C157 + 1, 1)), INDEX( FR$101:FR$142, MAX( COUNT( FS$9:FS$50 )  - $B157 + 1, 1)) : INDEX( FR$101:FR$142, MAX( COUNT( FS$9:FS$50 )  - $C157 + 1, 1)) &gt; 0)))</f>
        <v>1.000006659834157</v>
      </c>
      <c r="FS157" s="8">
        <f>+IF(FS$8 = 125, 1, MAX(_xlfn._xlws.FILTER(INDEX( FS$55:FS$96, MAX( COUNT( FT$9:FT$50 )  - $B157 + 1, 1)) : INDEX( FS$55:FS$96, MAX( COUNT( FT$9:FT$50 )  - $C157 + 1, 1)), INDEX( FS$101:FS$142, MAX( COUNT( FT$9:FT$50 )  - $B157 + 1, 1)) : INDEX( FS$101:FS$142, MAX( COUNT( FT$9:FT$50 )  - $C157 + 1, 1)) &gt; 0)))</f>
        <v>1.0071007795916491</v>
      </c>
      <c r="FT157" s="8">
        <f>+IF(FT$8 = 125, 1, MAX(_xlfn._xlws.FILTER(INDEX( FT$55:FT$96, MAX( COUNT( FU$9:FU$50 )  - $B157 + 1, 1)) : INDEX( FT$55:FT$96, MAX( COUNT( FU$9:FU$50 )  - $C157 + 1, 1)), INDEX( FT$101:FT$142, MAX( COUNT( FU$9:FU$50 )  - $B157 + 1, 1)) : INDEX( FT$101:FT$142, MAX( COUNT( FU$9:FU$50 )  - $C157 + 1, 1)) &gt; 0)))</f>
        <v>1.0014908387518786</v>
      </c>
      <c r="FU157" s="8">
        <f>+IF(FU$8 = 125, 1, MAX(_xlfn._xlws.FILTER(INDEX( FU$55:FU$96, MAX( COUNT( FV$9:FV$50 )  - $B157 + 1, 1)) : INDEX( FU$55:FU$96, MAX( COUNT( FV$9:FV$50 )  - $C157 + 1, 1)), INDEX( FU$101:FU$142, MAX( COUNT( FV$9:FV$50 )  - $B157 + 1, 1)) : INDEX( FU$101:FU$142, MAX( COUNT( FV$9:FV$50 )  - $C157 + 1, 1)) &gt; 0)))</f>
        <v>1</v>
      </c>
      <c r="FV157" s="8">
        <f>+IF(FV$8 = 125, 1, MAX(_xlfn._xlws.FILTER(INDEX( FV$55:FV$96, MAX( COUNT( FW$9:FW$50 )  - $B157 + 1, 1)) : INDEX( FV$55:FV$96, MAX( COUNT( FW$9:FW$50 )  - $C157 + 1, 1)), INDEX( FV$101:FV$142, MAX( COUNT( FW$9:FW$50 )  - $B157 + 1, 1)) : INDEX( FV$101:FV$142, MAX( COUNT( FW$9:FW$50 )  - $C157 + 1, 1)) &gt; 0)))</f>
        <v>1.0002169095339022</v>
      </c>
      <c r="FW157" s="8">
        <f>+IF(FW$8 = 125, 1, MAX(_xlfn._xlws.FILTER(INDEX( FW$55:FW$96, MAX( COUNT( FX$9:FX$50 )  - $B157 + 1, 1)) : INDEX( FW$55:FW$96, MAX( COUNT( FX$9:FX$50 )  - $C157 + 1, 1)), INDEX( FW$101:FW$142, MAX( COUNT( FX$9:FX$50 )  - $B157 + 1, 1)) : INDEX( FW$101:FW$142, MAX( COUNT( FX$9:FX$50 )  - $C157 + 1, 1)) &gt; 0)))</f>
        <v>1.0004670693226918</v>
      </c>
      <c r="FX157" s="8">
        <f>+IF(FX$8 = 125, 1, MAX(_xlfn._xlws.FILTER(INDEX( FX$55:FX$96, MAX( COUNT( FY$9:FY$50 )  - $B157 + 1, 1)) : INDEX( FX$55:FX$96, MAX( COUNT( FY$9:FY$50 )  - $C157 + 1, 1)), INDEX( FX$101:FX$142, MAX( COUNT( FY$9:FY$50 )  - $B157 + 1, 1)) : INDEX( FX$101:FX$142, MAX( COUNT( FY$9:FY$50 )  - $C157 + 1, 1)) &gt; 0)))</f>
        <v>1.0004218013504693</v>
      </c>
      <c r="FY157" s="8">
        <f>+IF(FY$8 = 125, 1, MAX(_xlfn._xlws.FILTER(INDEX( FY$55:FY$96, MAX( COUNT( FZ$9:FZ$50 )  - $B157 + 1, 1)) : INDEX( FY$55:FY$96, MAX( COUNT( FZ$9:FZ$50 )  - $C157 + 1, 1)), INDEX( FY$101:FY$142, MAX( COUNT( FZ$9:FZ$50 )  - $B157 + 1, 1)) : INDEX( FY$101:FY$142, MAX( COUNT( FZ$9:FZ$50 )  - $C157 + 1, 1)) &gt; 0)))</f>
        <v>1.0000232314484307</v>
      </c>
      <c r="FZ157" s="8">
        <f>+IF(FZ$8 = 125, 1, MAX(_xlfn._xlws.FILTER(INDEX( FZ$55:FZ$96, MAX( COUNT( GA$9:GA$50 )  - $B157 + 1, 1)) : INDEX( FZ$55:FZ$96, MAX( COUNT( GA$9:GA$50 )  - $C157 + 1, 1)), INDEX( FZ$101:FZ$142, MAX( COUNT( GA$9:GA$50 )  - $B157 + 1, 1)) : INDEX( FZ$101:FZ$142, MAX( COUNT( GA$9:GA$50 )  - $C157 + 1, 1)) &gt; 0)))</f>
        <v>1.0007850986019211</v>
      </c>
      <c r="GA157" s="8">
        <f>+IF(GA$8 = 125, 1, MAX(_xlfn._xlws.FILTER(INDEX( GA$55:GA$96, MAX( COUNT( GB$9:GB$50 )  - $B157 + 1, 1)) : INDEX( GA$55:GA$96, MAX( COUNT( GB$9:GB$50 )  - $C157 + 1, 1)), INDEX( GA$101:GA$142, MAX( COUNT( GB$9:GB$50 )  - $B157 + 1, 1)) : INDEX( GA$101:GA$142, MAX( COUNT( GB$9:GB$50 )  - $C157 + 1, 1)) &gt; 0)))</f>
        <v>1.0005301385233167</v>
      </c>
      <c r="GB157" s="8">
        <f>+IF(GB$8 = 125, 1, MAX(_xlfn._xlws.FILTER(INDEX( GB$55:GB$96, MAX( COUNT( GC$9:GC$50 )  - $B157 + 1, 1)) : INDEX( GB$55:GB$96, MAX( COUNT( GC$9:GC$50 )  - $C157 + 1, 1)), INDEX( GB$101:GB$142, MAX( COUNT( GC$9:GC$50 )  - $B157 + 1, 1)) : INDEX( GB$101:GB$142, MAX( COUNT( GC$9:GC$50 )  - $C157 + 1, 1)) &gt; 0)))</f>
        <v>1</v>
      </c>
      <c r="GC157" s="8">
        <f>+IF(GC$8 = 125, 1, MAX(_xlfn._xlws.FILTER(INDEX( GC$55:GC$96, MAX( COUNT( GD$9:GD$50 )  - $B157 + 1, 1)) : INDEX( GC$55:GC$96, MAX( COUNT( GD$9:GD$50 )  - $C157 + 1, 1)), INDEX( GC$101:GC$142, MAX( COUNT( GD$9:GD$50 )  - $B157 + 1, 1)) : INDEX( GC$101:GC$142, MAX( COUNT( GD$9:GD$50 )  - $C157 + 1, 1)) &gt; 0)))</f>
        <v>1</v>
      </c>
      <c r="GD157" s="8">
        <f>+IF(GD$8 = 125, 1, MAX(_xlfn._xlws.FILTER(INDEX( GD$55:GD$96, MAX( COUNT( GE$9:GE$50 )  - $B157 + 1, 1)) : INDEX( GD$55:GD$96, MAX( COUNT( GE$9:GE$50 )  - $C157 + 1, 1)), INDEX( GD$101:GD$142, MAX( COUNT( GE$9:GE$50 )  - $B157 + 1, 1)) : INDEX( GD$101:GD$142, MAX( COUNT( GE$9:GE$50 )  - $C157 + 1, 1)) &gt; 0)))</f>
        <v>1.0003218551114965</v>
      </c>
      <c r="GE157" s="8">
        <f>+IF(GE$8 = 125, 1, MAX(_xlfn._xlws.FILTER(INDEX( GE$55:GE$96, MAX( COUNT( GF$9:GF$50 )  - $B157 + 1, 1)) : INDEX( GE$55:GE$96, MAX( COUNT( GF$9:GF$50 )  - $C157 + 1, 1)), INDEX( GE$101:GE$142, MAX( COUNT( GF$9:GF$50 )  - $B157 + 1, 1)) : INDEX( GE$101:GE$142, MAX( COUNT( GF$9:GF$50 )  - $C157 + 1, 1)) &gt; 0)))</f>
        <v>1.0004728067578228</v>
      </c>
      <c r="GF157" s="8">
        <f>+IF(GF$8 = 125, 1, MAX(_xlfn._xlws.FILTER(INDEX( GF$55:GF$96, MAX( COUNT( GG$9:GG$50 )  - $B157 + 1, 1)) : INDEX( GF$55:GF$96, MAX( COUNT( GG$9:GG$50 )  - $C157 + 1, 1)), INDEX( GF$101:GF$142, MAX( COUNT( GG$9:GG$50 )  - $B157 + 1, 1)) : INDEX( GF$101:GF$142, MAX( COUNT( GG$9:GG$50 )  - $C157 + 1, 1)) &gt; 0)))</f>
        <v>1.0001171988201329</v>
      </c>
      <c r="GG157" s="8">
        <f>+IF(GG$8 = 125, 1, MAX(_xlfn._xlws.FILTER(INDEX( GG$55:GG$96, MAX( COUNT( GH$9:GH$50 )  - $B157 + 1, 1)) : INDEX( GG$55:GG$96, MAX( COUNT( GH$9:GH$50 )  - $C157 + 1, 1)), INDEX( GG$101:GG$142, MAX( COUNT( GH$9:GH$50 )  - $B157 + 1, 1)) : INDEX( GG$101:GG$142, MAX( COUNT( GH$9:GH$50 )  - $C157 + 1, 1)) &gt; 0)))</f>
        <v>1.0006631275679643</v>
      </c>
      <c r="GH157" s="8">
        <f>+IF(GH$8 = 125, 1, MAX(_xlfn._xlws.FILTER(INDEX( GH$55:GH$96, MAX( COUNT( GI$9:GI$50 )  - $B157 + 1, 1)) : INDEX( GH$55:GH$96, MAX( COUNT( GI$9:GI$50 )  - $C157 + 1, 1)), INDEX( GH$101:GH$142, MAX( COUNT( GI$9:GI$50 )  - $B157 + 1, 1)) : INDEX( GH$101:GH$142, MAX( COUNT( GI$9:GI$50 )  - $C157 + 1, 1)) &gt; 0)))</f>
        <v>1.0000600051117801</v>
      </c>
      <c r="GI157" s="8">
        <f>+IF(GI$8 = 125, 1, MAX(_xlfn._xlws.FILTER(INDEX( GI$55:GI$96, MAX( COUNT( GJ$9:GJ$50 )  - $B157 + 1, 1)) : INDEX( GI$55:GI$96, MAX( COUNT( GJ$9:GJ$50 )  - $C157 + 1, 1)), INDEX( GI$101:GI$142, MAX( COUNT( GJ$9:GJ$50 )  - $B157 + 1, 1)) : INDEX( GI$101:GI$142, MAX( COUNT( GJ$9:GJ$50 )  - $C157 + 1, 1)) &gt; 0)))</f>
        <v>1.001487479719257</v>
      </c>
      <c r="GJ157" s="8">
        <f>+IF(GJ$8 = 125, 1, MAX(_xlfn._xlws.FILTER(INDEX( GJ$55:GJ$96, MAX( COUNT( GK$9:GK$50 )  - $B157 + 1, 1)) : INDEX( GJ$55:GJ$96, MAX( COUNT( GK$9:GK$50 )  - $C157 + 1, 1)), INDEX( GJ$101:GJ$142, MAX( COUNT( GK$9:GK$50 )  - $B157 + 1, 1)) : INDEX( GJ$101:GJ$142, MAX( COUNT( GK$9:GK$50 )  - $C157 + 1, 1)) &gt; 0)))</f>
        <v>1.0011977488974384</v>
      </c>
      <c r="GK157" s="8">
        <f>+IF(GK$8 = 125, 1, MAX(_xlfn._xlws.FILTER(INDEX( GK$55:GK$96, MAX( COUNT( GL$9:GL$50 )  - $B157 + 1, 1)) : INDEX( GK$55:GK$96, MAX( COUNT( GL$9:GL$50 )  - $C157 + 1, 1)), INDEX( GK$101:GK$142, MAX( COUNT( GL$9:GL$50 )  - $B157 + 1, 1)) : INDEX( GK$101:GK$142, MAX( COUNT( GL$9:GL$50 )  - $C157 + 1, 1)) &gt; 0)))</f>
        <v>1.0009004416178107</v>
      </c>
      <c r="GL157" s="8">
        <f>+IF(GL$8 = 125, 1, MAX(_xlfn._xlws.FILTER(INDEX( GL$55:GL$96, MAX( COUNT( GM$9:GM$50 )  - $B157 + 1, 1)) : INDEX( GL$55:GL$96, MAX( COUNT( GM$9:GM$50 )  - $C157 + 1, 1)), INDEX( GL$101:GL$142, MAX( COUNT( GM$9:GM$50 )  - $B157 + 1, 1)) : INDEX( GL$101:GL$142, MAX( COUNT( GM$9:GM$50 )  - $C157 + 1, 1)) &gt; 0)))</f>
        <v>1</v>
      </c>
      <c r="GM157" s="8">
        <f>+IF(GM$8 = 125, 1, MAX(_xlfn._xlws.FILTER(INDEX( GM$55:GM$96, MAX( COUNT( GN$9:GN$50 )  - $B157 + 1, 1)) : INDEX( GM$55:GM$96, MAX( COUNT( GN$9:GN$50 )  - $C157 + 1, 1)), INDEX( GM$101:GM$142, MAX( COUNT( GN$9:GN$50 )  - $B157 + 1, 1)) : INDEX( GM$101:GM$142, MAX( COUNT( GN$9:GN$50 )  - $C157 + 1, 1)) &gt; 0)))</f>
        <v>1.0002050339799589</v>
      </c>
      <c r="GN157" s="8">
        <f>+IF(GN$8 = 125, 1, MAX(_xlfn._xlws.FILTER(INDEX( GN$55:GN$96, MAX( COUNT( GO$9:GO$50 )  - $B157 + 1, 1)) : INDEX( GN$55:GN$96, MAX( COUNT( GO$9:GO$50 )  - $C157 + 1, 1)), INDEX( GN$101:GN$142, MAX( COUNT( GO$9:GO$50 )  - $B157 + 1, 1)) : INDEX( GN$101:GN$142, MAX( COUNT( GO$9:GO$50 )  - $C157 + 1, 1)) &gt; 0)))</f>
        <v>1.0019050173563724</v>
      </c>
      <c r="GO157" s="8">
        <f>+IF(GO$8 = 125, 1, MAX(_xlfn._xlws.FILTER(INDEX( GO$55:GO$96, MAX( COUNT( GP$9:GP$50 )  - $B157 + 1, 1)) : INDEX( GO$55:GO$96, MAX( COUNT( GP$9:GP$50 )  - $C157 + 1, 1)), INDEX( GO$101:GO$142, MAX( COUNT( GP$9:GP$50 )  - $B157 + 1, 1)) : INDEX( GO$101:GO$142, MAX( COUNT( GP$9:GP$50 )  - $C157 + 1, 1)) &gt; 0)))</f>
        <v>1.0000374285079627</v>
      </c>
      <c r="GP157" s="8">
        <f>+IF(GP$8 = 125, 1, MAX(_xlfn._xlws.FILTER(INDEX( GP$55:GP$96, MAX( COUNT( GQ$9:GQ$50 )  - $B157 + 1, 1)) : INDEX( GP$55:GP$96, MAX( COUNT( GQ$9:GQ$50 )  - $C157 + 1, 1)), INDEX( GP$101:GP$142, MAX( COUNT( GQ$9:GQ$50 )  - $B157 + 1, 1)) : INDEX( GP$101:GP$142, MAX( COUNT( GQ$9:GQ$50 )  - $C157 + 1, 1)) &gt; 0)))</f>
        <v>1.0005045206852337</v>
      </c>
      <c r="GQ157" s="8">
        <f>+IF(GQ$8 = 125, 1, MAX(_xlfn._xlws.FILTER(INDEX( GQ$55:GQ$96, MAX( COUNT( GR$9:GR$50 )  - $B157 + 1, 1)) : INDEX( GQ$55:GQ$96, MAX( COUNT( GR$9:GR$50 )  - $C157 + 1, 1)), INDEX( GQ$101:GQ$142, MAX( COUNT( GR$9:GR$50 )  - $B157 + 1, 1)) : INDEX( GQ$101:GQ$142, MAX( COUNT( GR$9:GR$50 )  - $C157 + 1, 1)) &gt; 0)))</f>
        <v>1.0007583424540909</v>
      </c>
      <c r="GR157" s="8">
        <f>+IF(GR$8 = 125, 1, MAX(_xlfn._xlws.FILTER(INDEX( GR$55:GR$96, MAX( COUNT( GS$9:GS$50 )  - $B157 + 1, 1)) : INDEX( GR$55:GR$96, MAX( COUNT( GS$9:GS$50 )  - $C157 + 1, 1)), INDEX( GR$101:GR$142, MAX( COUNT( GS$9:GS$50 )  - $B157 + 1, 1)) : INDEX( GR$101:GR$142, MAX( COUNT( GS$9:GS$50 )  - $C157 + 1, 1)) &gt; 0)))</f>
        <v>1</v>
      </c>
      <c r="GS157" s="8">
        <f>+IF(GS$8 = 125, 1, MAX(_xlfn._xlws.FILTER(INDEX( GS$55:GS$96, MAX( COUNT( GT$9:GT$50 )  - $B157 + 1, 1)) : INDEX( GS$55:GS$96, MAX( COUNT( GT$9:GT$50 )  - $C157 + 1, 1)), INDEX( GS$101:GS$142, MAX( COUNT( GT$9:GT$50 )  - $B157 + 1, 1)) : INDEX( GS$101:GS$142, MAX( COUNT( GT$9:GT$50 )  - $C157 + 1, 1)) &gt; 0)))</f>
        <v>1.0024855810620152</v>
      </c>
      <c r="GT157" s="8">
        <f>+IF(GT$8 = 125, 1, MAX(_xlfn._xlws.FILTER(INDEX( GT$55:GT$96, MAX( COUNT( GU$9:GU$50 )  - $B157 + 1, 1)) : INDEX( GT$55:GT$96, MAX( COUNT( GU$9:GU$50 )  - $C157 + 1, 1)), INDEX( GT$101:GT$142, MAX( COUNT( GU$9:GU$50 )  - $B157 + 1, 1)) : INDEX( GT$101:GT$142, MAX( COUNT( GU$9:GU$50 )  - $C157 + 1, 1)) &gt; 0)))</f>
        <v>1.000247227524617</v>
      </c>
      <c r="GU157" s="8">
        <f>+IF(GU$8 = 125, 1, MAX(_xlfn._xlws.FILTER(INDEX( GU$55:GU$96, MAX( COUNT( GV$9:GV$50 )  - $B157 + 1, 1)) : INDEX( GU$55:GU$96, MAX( COUNT( GV$9:GV$50 )  - $C157 + 1, 1)), INDEX( GU$101:GU$142, MAX( COUNT( GV$9:GV$50 )  - $B157 + 1, 1)) : INDEX( GU$101:GU$142, MAX( COUNT( GV$9:GV$50 )  - $C157 + 1, 1)) &gt; 0)))</f>
        <v>1.0002463117631373</v>
      </c>
      <c r="GV157" s="8">
        <f>+IF(GV$8 = 125, 1, MAX(_xlfn._xlws.FILTER(INDEX( GV$55:GV$96, MAX( COUNT( GW$9:GW$50 )  - $B157 + 1, 1)) : INDEX( GV$55:GV$96, MAX( COUNT( GW$9:GW$50 )  - $C157 + 1, 1)), INDEX( GV$101:GV$142, MAX( COUNT( GW$9:GW$50 )  - $B157 + 1, 1)) : INDEX( GV$101:GV$142, MAX( COUNT( GW$9:GW$50 )  - $C157 + 1, 1)) &gt; 0)))</f>
        <v>1.000139281957096</v>
      </c>
      <c r="GW157" s="8">
        <f>+IF(GW$8 = 125, 1, MAX(_xlfn._xlws.FILTER(INDEX( GW$55:GW$96, MAX( COUNT( GX$9:GX$50 )  - $B157 + 1, 1)) : INDEX( GW$55:GW$96, MAX( COUNT( GX$9:GX$50 )  - $C157 + 1, 1)), INDEX( GW$101:GW$142, MAX( COUNT( GX$9:GX$50 )  - $B157 + 1, 1)) : INDEX( GW$101:GW$142, MAX( COUNT( GX$9:GX$50 )  - $C157 + 1, 1)) &gt; 0)))</f>
        <v>1.00538956876787</v>
      </c>
      <c r="GX157" s="8">
        <f>+IF(GX$8 = 125, 1, MAX(_xlfn._xlws.FILTER(INDEX( GX$55:GX$96, MAX( COUNT( GY$9:GY$50 )  - $B157 + 1, 1)) : INDEX( GX$55:GX$96, MAX( COUNT( GY$9:GY$50 )  - $C157 + 1, 1)), INDEX( GX$101:GX$142, MAX( COUNT( GY$9:GY$50 )  - $B157 + 1, 1)) : INDEX( GX$101:GX$142, MAX( COUNT( GY$9:GY$50 )  - $C157 + 1, 1)) &gt; 0)))</f>
        <v>1.000594275937343</v>
      </c>
      <c r="GY157" s="8">
        <f>+IF(GY$8 = 125, 1, MAX(_xlfn._xlws.FILTER(INDEX( GY$55:GY$96, MAX( COUNT( GZ$9:GZ$50 )  - $B157 + 1, 1)) : INDEX( GY$55:GY$96, MAX( COUNT( GZ$9:GZ$50 )  - $C157 + 1, 1)), INDEX( GY$101:GY$142, MAX( COUNT( GZ$9:GZ$50 )  - $B157 + 1, 1)) : INDEX( GY$101:GY$142, MAX( COUNT( GZ$9:GZ$50 )  - $C157 + 1, 1)) &gt; 0)))</f>
        <v>1.0000889192061679</v>
      </c>
      <c r="GZ157" s="8">
        <f>+IF(GZ$8 = 125, 1, MAX(_xlfn._xlws.FILTER(INDEX( GZ$55:GZ$96, MAX( COUNT( HA$9:HA$50 )  - $B157 + 1, 1)) : INDEX( GZ$55:GZ$96, MAX( COUNT( HA$9:HA$50 )  - $C157 + 1, 1)), INDEX( GZ$101:GZ$142, MAX( COUNT( HA$9:HA$50 )  - $B157 + 1, 1)) : INDEX( GZ$101:GZ$142, MAX( COUNT( HA$9:HA$50 )  - $C157 + 1, 1)) &gt; 0)))</f>
        <v>1.0017131951886893</v>
      </c>
      <c r="HA157" s="8">
        <f>+IF(HA$8 = 125, 1, MAX(_xlfn._xlws.FILTER(INDEX( HA$55:HA$96, MAX( COUNT( HB$9:HB$50 )  - $B157 + 1, 1)) : INDEX( HA$55:HA$96, MAX( COUNT( HB$9:HB$50 )  - $C157 + 1, 1)), INDEX( HA$101:HA$142, MAX( COUNT( HB$9:HB$50 )  - $B157 + 1, 1)) : INDEX( HA$101:HA$142, MAX( COUNT( HB$9:HB$50 )  - $C157 + 1, 1)) &gt; 0)))</f>
        <v>1.003123728190588</v>
      </c>
      <c r="HB157" s="8">
        <f>+IF(HB$8 = 125, 1, MAX(_xlfn._xlws.FILTER(INDEX( HB$55:HB$96, MAX( COUNT( HC$9:HC$50 )  - $B157 + 1, 1)) : INDEX( HB$55:HB$96, MAX( COUNT( HC$9:HC$50 )  - $C157 + 1, 1)), INDEX( HB$101:HB$142, MAX( COUNT( HC$9:HC$50 )  - $B157 + 1, 1)) : INDEX( HB$101:HB$142, MAX( COUNT( HC$9:HC$50 )  - $C157 + 1, 1)) &gt; 0)))</f>
        <v>1.0003160350353097</v>
      </c>
      <c r="HC157" s="8">
        <f>+IF(HC$8 = 125, 1, MAX(_xlfn._xlws.FILTER(INDEX( HC$55:HC$96, MAX( COUNT( HD$9:HD$50 )  - $B157 + 1, 1)) : INDEX( HC$55:HC$96, MAX( COUNT( HD$9:HD$50 )  - $C157 + 1, 1)), INDEX( HC$101:HC$142, MAX( COUNT( HD$9:HD$50 )  - $B157 + 1, 1)) : INDEX( HC$101:HC$142, MAX( COUNT( HD$9:HD$50 )  - $C157 + 1, 1)) &gt; 0)))</f>
        <v>1.0011642873252549</v>
      </c>
      <c r="HD157" s="8">
        <f>+IF(HD$8 = 125, 1, MAX(_xlfn._xlws.FILTER(INDEX( HD$55:HD$96, MAX( COUNT( HE$9:HE$50 )  - $B157 + 1, 1)) : INDEX( HD$55:HD$96, MAX( COUNT( HE$9:HE$50 )  - $C157 + 1, 1)), INDEX( HD$101:HD$142, MAX( COUNT( HE$9:HE$50 )  - $B157 + 1, 1)) : INDEX( HD$101:HD$142, MAX( COUNT( HE$9:HE$50 )  - $C157 + 1, 1)) &gt; 0)))</f>
        <v>1.0002253770407206</v>
      </c>
      <c r="HE157" s="8">
        <f>+IF(HE$8 = 125, 1, MAX(_xlfn._xlws.FILTER(INDEX( HE$55:HE$96, MAX( COUNT( HF$9:HF$50 )  - $B157 + 1, 1)) : INDEX( HE$55:HE$96, MAX( COUNT( HF$9:HF$50 )  - $C157 + 1, 1)), INDEX( HE$101:HE$142, MAX( COUNT( HF$9:HF$50 )  - $B157 + 1, 1)) : INDEX( HE$101:HE$142, MAX( COUNT( HF$9:HF$50 )  - $C157 + 1, 1)) &gt; 0)))</f>
        <v>1.000683377170821</v>
      </c>
      <c r="HF157" s="8">
        <f>+IF(HF$8 = 125, 1, MAX(_xlfn._xlws.FILTER(INDEX( HF$55:HF$96, MAX( COUNT( HG$9:HG$50 )  - $B157 + 1, 1)) : INDEX( HF$55:HF$96, MAX( COUNT( HG$9:HG$50 )  - $C157 + 1, 1)), INDEX( HF$101:HF$142, MAX( COUNT( HG$9:HG$50 )  - $B157 + 1, 1)) : INDEX( HF$101:HF$142, MAX( COUNT( HG$9:HG$50 )  - $C157 + 1, 1)) &gt; 0)))</f>
        <v>1.0269937377727834</v>
      </c>
      <c r="HG157" s="8">
        <f>+IF(HG$8 = 125, 1, MAX(_xlfn._xlws.FILTER(INDEX( HG$55:HG$96, MAX( COUNT( HH$9:HH$50 )  - $B157 + 1, 1)) : INDEX( HG$55:HG$96, MAX( COUNT( HH$9:HH$50 )  - $C157 + 1, 1)), INDEX( HG$101:HG$142, MAX( COUNT( HH$9:HH$50 )  - $B157 + 1, 1)) : INDEX( HG$101:HG$142, MAX( COUNT( HH$9:HH$50 )  - $C157 + 1, 1)) &gt; 0)))</f>
        <v>1.0020785038514248</v>
      </c>
      <c r="HH157" s="8">
        <f>+IF(HH$8 = 125, 1, MAX(_xlfn._xlws.FILTER(INDEX( HH$55:HH$96, MAX( COUNT( HI$9:HI$50 )  - $B157 + 1, 1)) : INDEX( HH$55:HH$96, MAX( COUNT( HI$9:HI$50 )  - $C157 + 1, 1)), INDEX( HH$101:HH$142, MAX( COUNT( HI$9:HI$50 )  - $B157 + 1, 1)) : INDEX( HH$101:HH$142, MAX( COUNT( HI$9:HI$50 )  - $C157 + 1, 1)) &gt; 0)))</f>
        <v>1.0017371137808686</v>
      </c>
      <c r="HI157" s="8">
        <f>+IF(HI$8 = 125, 1, MAX(_xlfn._xlws.FILTER(INDEX( HI$55:HI$96, MAX( COUNT( HJ$9:HJ$50 )  - $B157 + 1, 1)) : INDEX( HI$55:HI$96, MAX( COUNT( HJ$9:HJ$50 )  - $C157 + 1, 1)), INDEX( HI$101:HI$142, MAX( COUNT( HJ$9:HJ$50 )  - $B157 + 1, 1)) : INDEX( HI$101:HI$142, MAX( COUNT( HJ$9:HJ$50 )  - $C157 + 1, 1)) &gt; 0)))</f>
        <v>1.0515044774382152</v>
      </c>
      <c r="HJ157" s="8">
        <f>+IF(HJ$8 = 125, 1, MAX(_xlfn._xlws.FILTER(INDEX( HJ$55:HJ$96, MAX( COUNT( HK$9:HK$50 )  - $B157 + 1, 1)) : INDEX( HJ$55:HJ$96, MAX( COUNT( HK$9:HK$50 )  - $C157 + 1, 1)), INDEX( HJ$101:HJ$142, MAX( COUNT( HK$9:HK$50 )  - $B157 + 1, 1)) : INDEX( HJ$101:HJ$142, MAX( COUNT( HK$9:HK$50 )  - $C157 + 1, 1)) &gt; 0)))</f>
        <v>1.0032706823911837</v>
      </c>
      <c r="HK157" s="8">
        <f>+IF(HK$8 = 125, 1, MAX(_xlfn._xlws.FILTER(INDEX( HK$55:HK$96, MAX( COUNT( HL$9:HL$50 )  - $B157 + 1, 1)) : INDEX( HK$55:HK$96, MAX( COUNT( HL$9:HL$50 )  - $C157 + 1, 1)), INDEX( HK$101:HK$142, MAX( COUNT( HL$9:HL$50 )  - $B157 + 1, 1)) : INDEX( HK$101:HK$142, MAX( COUNT( HL$9:HL$50 )  - $C157 + 1, 1)) &gt; 0)))</f>
        <v>1</v>
      </c>
      <c r="HL157" s="8">
        <f>+IF(HL$8 = 125, 1, MAX(_xlfn._xlws.FILTER(INDEX( HL$55:HL$96, MAX( COUNT( HM$9:HM$50 )  - $B157 + 1, 1)) : INDEX( HL$55:HL$96, MAX( COUNT( HM$9:HM$50 )  - $C157 + 1, 1)), INDEX( HL$101:HL$142, MAX( COUNT( HM$9:HM$50 )  - $B157 + 1, 1)) : INDEX( HL$101:HL$142, MAX( COUNT( HM$9:HM$50 )  - $C157 + 1, 1)) &gt; 0)))</f>
        <v>1.0006781802549725</v>
      </c>
      <c r="HM157" s="8">
        <f>+IF(HM$8 = 125, 1, MAX(_xlfn._xlws.FILTER(INDEX( HM$55:HM$96, MAX( COUNT( HN$9:HN$50 )  - $B157 + 1, 1)) : INDEX( HM$55:HM$96, MAX( COUNT( HN$9:HN$50 )  - $C157 + 1, 1)), INDEX( HM$101:HM$142, MAX( COUNT( HN$9:HN$50 )  - $B157 + 1, 1)) : INDEX( HM$101:HM$142, MAX( COUNT( HN$9:HN$50 )  - $C157 + 1, 1)) &gt; 0)))</f>
        <v>1.0019597137560086</v>
      </c>
      <c r="HN157" s="8">
        <f>+IF(HN$8 = 125, 1, MAX(_xlfn._xlws.FILTER(INDEX( HN$55:HN$96, MAX( COUNT( HO$9:HO$50 )  - $B157 + 1, 1)) : INDEX( HN$55:HN$96, MAX( COUNT( HO$9:HO$50 )  - $C157 + 1, 1)), INDEX( HN$101:HN$142, MAX( COUNT( HO$9:HO$50 )  - $B157 + 1, 1)) : INDEX( HN$101:HN$142, MAX( COUNT( HO$9:HO$50 )  - $C157 + 1, 1)) &gt; 0)))</f>
        <v>1.0021216319970712</v>
      </c>
      <c r="HO157" s="8">
        <f>+IF(HO$8 = 125, 1, MAX(_xlfn._xlws.FILTER(INDEX( HO$55:HO$96, MAX( COUNT( HP$9:HP$50 )  - $B157 + 1, 1)) : INDEX( HO$55:HO$96, MAX( COUNT( HP$9:HP$50 )  - $C157 + 1, 1)), INDEX( HO$101:HO$142, MAX( COUNT( HP$9:HP$50 )  - $B157 + 1, 1)) : INDEX( HO$101:HO$142, MAX( COUNT( HP$9:HP$50 )  - $C157 + 1, 1)) &gt; 0)))</f>
        <v>1.0001416179246065</v>
      </c>
      <c r="HP157" s="8">
        <f>+IF(HP$8 = 125, 1, MAX(_xlfn._xlws.FILTER(INDEX( HP$55:HP$96, MAX( COUNT( HQ$9:HQ$50 )  - $B157 + 1, 1)) : INDEX( HP$55:HP$96, MAX( COUNT( HQ$9:HQ$50 )  - $C157 + 1, 1)), INDEX( HP$101:HP$142, MAX( COUNT( HQ$9:HQ$50 )  - $B157 + 1, 1)) : INDEX( HP$101:HP$142, MAX( COUNT( HQ$9:HQ$50 )  - $C157 + 1, 1)) &gt; 0)))</f>
        <v>1.0000391673385431</v>
      </c>
      <c r="HQ157" s="8">
        <f>+IF(HQ$8 = 125, 1, MAX(_xlfn._xlws.FILTER(INDEX( HQ$55:HQ$96, MAX( COUNT( HR$9:HR$50 )  - $B157 + 1, 1)) : INDEX( HQ$55:HQ$96, MAX( COUNT( HR$9:HR$50 )  - $C157 + 1, 1)), INDEX( HQ$101:HQ$142, MAX( COUNT( HR$9:HR$50 )  - $B157 + 1, 1)) : INDEX( HQ$101:HQ$142, MAX( COUNT( HR$9:HR$50 )  - $C157 + 1, 1)) &gt; 0)))</f>
        <v>1.0005580570170121</v>
      </c>
      <c r="HR157" s="8">
        <f>+IF(HR$8 = 125, 1, MAX(_xlfn._xlws.FILTER(INDEX( HR$55:HR$96, MAX( COUNT( HS$9:HS$50 )  - $B157 + 1, 1)) : INDEX( HR$55:HR$96, MAX( COUNT( HS$9:HS$50 )  - $C157 + 1, 1)), INDEX( HR$101:HR$142, MAX( COUNT( HS$9:HS$50 )  - $B157 + 1, 1)) : INDEX( HR$101:HR$142, MAX( COUNT( HS$9:HS$50 )  - $C157 + 1, 1)) &gt; 0)))</f>
        <v>1.000830264725425</v>
      </c>
      <c r="HS157" s="8">
        <f>+IF(HS$8 = 125, 1, MAX(_xlfn._xlws.FILTER(INDEX( HS$55:HS$96, MAX( COUNT( HT$9:HT$50 )  - $B157 + 1, 1)) : INDEX( HS$55:HS$96, MAX( COUNT( HT$9:HT$50 )  - $C157 + 1, 1)), INDEX( HS$101:HS$142, MAX( COUNT( HT$9:HT$50 )  - $B157 + 1, 1)) : INDEX( HS$101:HS$142, MAX( COUNT( HT$9:HT$50 )  - $C157 + 1, 1)) &gt; 0)))</f>
        <v>1.0024231486372492</v>
      </c>
      <c r="HT157" s="8">
        <f>+IF(HT$8 = 125, 1, MAX(_xlfn._xlws.FILTER(INDEX( HT$55:HT$96, MAX( COUNT( HU$9:HU$50 )  - $B157 + 1, 1)) : INDEX( HT$55:HT$96, MAX( COUNT( HU$9:HU$50 )  - $C157 + 1, 1)), INDEX( HT$101:HT$142, MAX( COUNT( HU$9:HU$50 )  - $B157 + 1, 1)) : INDEX( HT$101:HT$142, MAX( COUNT( HU$9:HU$50 )  - $C157 + 1, 1)) &gt; 0)))</f>
        <v>1.0020006101993666</v>
      </c>
      <c r="HU157" s="8">
        <f>+IF(HU$8 = 125, 1, MAX(_xlfn._xlws.FILTER(INDEX( HU$55:HU$96, MAX( COUNT( HV$9:HV$50 )  - $B157 + 1, 1)) : INDEX( HU$55:HU$96, MAX( COUNT( HV$9:HV$50 )  - $C157 + 1, 1)), INDEX( HU$101:HU$142, MAX( COUNT( HV$9:HV$50 )  - $B157 + 1, 1)) : INDEX( HU$101:HU$142, MAX( COUNT( HV$9:HV$50 )  - $C157 + 1, 1)) &gt; 0)))</f>
        <v>1.0008190159583015</v>
      </c>
      <c r="HV157" s="8">
        <f>+IF(HV$8 = 125, 1, MAX(_xlfn._xlws.FILTER(INDEX( HV$55:HV$96, MAX( COUNT( HW$9:HW$50 )  - $B157 + 1, 1)) : INDEX( HV$55:HV$96, MAX( COUNT( HW$9:HW$50 )  - $C157 + 1, 1)), INDEX( HV$101:HV$142, MAX( COUNT( HW$9:HW$50 )  - $B157 + 1, 1)) : INDEX( HV$101:HV$142, MAX( COUNT( HW$9:HW$50 )  - $C157 + 1, 1)) &gt; 0)))</f>
        <v>1.0004597265436772</v>
      </c>
      <c r="HW157" s="8">
        <f>+IF(HW$8 = 125, 1, MAX(_xlfn._xlws.FILTER(INDEX( HW$55:HW$96, MAX( COUNT( HX$9:HX$50 )  - $B157 + 1, 1)) : INDEX( HW$55:HW$96, MAX( COUNT( HX$9:HX$50 )  - $C157 + 1, 1)), INDEX( HW$101:HW$142, MAX( COUNT( HX$9:HX$50 )  - $B157 + 1, 1)) : INDEX( HW$101:HW$142, MAX( COUNT( HX$9:HX$50 )  - $C157 + 1, 1)) &gt; 0)))</f>
        <v>1.0000512769219969</v>
      </c>
      <c r="HX157" s="8">
        <f>+IF(HX$8 = 125, 1, MAX(_xlfn._xlws.FILTER(INDEX( HX$55:HX$96, MAX( COUNT( HY$9:HY$50 )  - $B157 + 1, 1)) : INDEX( HX$55:HX$96, MAX( COUNT( HY$9:HY$50 )  - $C157 + 1, 1)), INDEX( HX$101:HX$142, MAX( COUNT( HY$9:HY$50 )  - $B157 + 1, 1)) : INDEX( HX$101:HX$142, MAX( COUNT( HY$9:HY$50 )  - $C157 + 1, 1)) &gt; 0)))</f>
        <v>1.0004868888675085</v>
      </c>
      <c r="HY157" s="8">
        <f>+IF(HY$8 = 125, 1, MAX(_xlfn._xlws.FILTER(INDEX( HY$55:HY$96, MAX( COUNT( HZ$9:HZ$50 )  - $B157 + 1, 1)) : INDEX( HY$55:HY$96, MAX( COUNT( HZ$9:HZ$50 )  - $C157 + 1, 1)), INDEX( HY$101:HY$142, MAX( COUNT( HZ$9:HZ$50 )  - $B157 + 1, 1)) : INDEX( HY$101:HY$142, MAX( COUNT( HZ$9:HZ$50 )  - $C157 + 1, 1)) &gt; 0)))</f>
        <v>1.0000796276060024</v>
      </c>
      <c r="HZ157" s="8">
        <f>+IF(HZ$8 = 125, 1, MAX(_xlfn._xlws.FILTER(INDEX( HZ$55:HZ$96, MAX( COUNT( IA$9:IA$50 )  - $B157 + 1, 1)) : INDEX( HZ$55:HZ$96, MAX( COUNT( IA$9:IA$50 )  - $C157 + 1, 1)), INDEX( HZ$101:HZ$142, MAX( COUNT( IA$9:IA$50 )  - $B157 + 1, 1)) : INDEX( HZ$101:HZ$142, MAX( COUNT( IA$9:IA$50 )  - $C157 + 1, 1)) &gt; 0)))</f>
        <v>1.0006321502082443</v>
      </c>
      <c r="IA157" s="8">
        <f>+IF(IA$8 = 125, 1, MAX(_xlfn._xlws.FILTER(INDEX( IA$55:IA$96, MAX( COUNT( IB$9:IB$50 )  - $B157 + 1, 1)) : INDEX( IA$55:IA$96, MAX( COUNT( IB$9:IB$50 )  - $C157 + 1, 1)), INDEX( IA$101:IA$142, MAX( COUNT( IB$9:IB$50 )  - $B157 + 1, 1)) : INDEX( IA$101:IA$142, MAX( COUNT( IB$9:IB$50 )  - $C157 + 1, 1)) &gt; 0)))</f>
        <v>1.0027492990585589</v>
      </c>
      <c r="IB157" s="8">
        <f>+IF(IB$8 = 125, 1, MAX(_xlfn._xlws.FILTER(INDEX( IB$55:IB$96, MAX( COUNT( IC$9:IC$50 )  - $B157 + 1, 1)) : INDEX( IB$55:IB$96, MAX( COUNT( IC$9:IC$50 )  - $C157 + 1, 1)), INDEX( IB$101:IB$142, MAX( COUNT( IC$9:IC$50 )  - $B157 + 1, 1)) : INDEX( IB$101:IB$142, MAX( COUNT( IC$9:IC$50 )  - $C157 + 1, 1)) &gt; 0)))</f>
        <v>1.0032479928524678</v>
      </c>
      <c r="IC157" s="8">
        <f>+IF(IC$8 = 125, 1, MAX(_xlfn._xlws.FILTER(INDEX( IC$55:IC$96, MAX( COUNT( ID$9:ID$50 )  - $B157 + 1, 1)) : INDEX( IC$55:IC$96, MAX( COUNT( ID$9:ID$50 )  - $C157 + 1, 1)), INDEX( IC$101:IC$142, MAX( COUNT( ID$9:ID$50 )  - $B157 + 1, 1)) : INDEX( IC$101:IC$142, MAX( COUNT( ID$9:ID$50 )  - $C157 + 1, 1)) &gt; 0)))</f>
        <v>1.0005390047950249</v>
      </c>
      <c r="ID157" s="8">
        <f>+IF(ID$8 = 125, 1, MAX(_xlfn._xlws.FILTER(INDEX( ID$55:ID$96, MAX( COUNT( IE$9:IE$50 )  - $B157 + 1, 1)) : INDEX( ID$55:ID$96, MAX( COUNT( IE$9:IE$50 )  - $C157 + 1, 1)), INDEX( ID$101:ID$142, MAX( COUNT( IE$9:IE$50 )  - $B157 + 1, 1)) : INDEX( ID$101:ID$142, MAX( COUNT( IE$9:IE$50 )  - $C157 + 1, 1)) &gt; 0)))</f>
        <v>1.0025352972800652</v>
      </c>
      <c r="IE157" s="8">
        <f>+IF(IE$8 = 125, 1, MAX(_xlfn._xlws.FILTER(INDEX( IE$55:IE$96, MAX( COUNT( IF$9:IF$50 )  - $B157 + 1, 1)) : INDEX( IE$55:IE$96, MAX( COUNT( IF$9:IF$50 )  - $C157 + 1, 1)), INDEX( IE$101:IE$142, MAX( COUNT( IF$9:IF$50 )  - $B157 + 1, 1)) : INDEX( IE$101:IE$142, MAX( COUNT( IF$9:IF$50 )  - $C157 + 1, 1)) &gt; 0)))</f>
        <v>1.0008951647436479</v>
      </c>
      <c r="IF157" s="8">
        <f>+IF(IF$8 = 125, 1, MAX(_xlfn._xlws.FILTER(INDEX( IF$55:IF$96, MAX( COUNT( IG$9:IG$50 )  - $B157 + 1, 1)) : INDEX( IF$55:IF$96, MAX( COUNT( IG$9:IG$50 )  - $C157 + 1, 1)), INDEX( IF$101:IF$142, MAX( COUNT( IG$9:IG$50 )  - $B157 + 1, 1)) : INDEX( IF$101:IF$142, MAX( COUNT( IG$9:IG$50 )  - $C157 + 1, 1)) &gt; 0)))</f>
        <v>1.0009329326322203</v>
      </c>
      <c r="IG157" s="8">
        <f>+IF(IG$8 = 125, 1, MAX(_xlfn._xlws.FILTER(INDEX( IG$55:IG$96, MAX( COUNT( IH$9:IH$50 )  - $B157 + 1, 1)) : INDEX( IG$55:IG$96, MAX( COUNT( IH$9:IH$50 )  - $C157 + 1, 1)), INDEX( IG$101:IG$142, MAX( COUNT( IH$9:IH$50 )  - $B157 + 1, 1)) : INDEX( IG$101:IG$142, MAX( COUNT( IH$9:IH$50 )  - $C157 + 1, 1)) &gt; 0)))</f>
        <v>1.000475637661596</v>
      </c>
      <c r="IH157" s="8">
        <f>+IF(IH$8 = 125, 1, MAX(_xlfn._xlws.FILTER(INDEX( IH$55:IH$96, MAX( COUNT( II$9:II$50 )  - $B157 + 1, 1)) : INDEX( IH$55:IH$96, MAX( COUNT( II$9:II$50 )  - $C157 + 1, 1)), INDEX( IH$101:IH$142, MAX( COUNT( II$9:II$50 )  - $B157 + 1, 1)) : INDEX( IH$101:IH$142, MAX( COUNT( II$9:II$50 )  - $C157 + 1, 1)) &gt; 0)))</f>
        <v>1</v>
      </c>
      <c r="II157" s="8">
        <f>+IF(II$8 = 125, 1, MAX(_xlfn._xlws.FILTER(INDEX( II$55:II$96, MAX( COUNT( IJ$9:IJ$50 )  - $B157 + 1, 1)) : INDEX( II$55:II$96, MAX( COUNT( IJ$9:IJ$50 )  - $C157 + 1, 1)), INDEX( II$101:II$142, MAX( COUNT( IJ$9:IJ$50 )  - $B157 + 1, 1)) : INDEX( II$101:II$142, MAX( COUNT( IJ$9:IJ$50 )  - $C157 + 1, 1)) &gt; 0)))</f>
        <v>1.0018519020481635</v>
      </c>
      <c r="IJ157" s="8">
        <f>+IF(IJ$8 = 125, 1, MAX(_xlfn._xlws.FILTER(INDEX( IJ$55:IJ$96, MAX( COUNT( IK$9:IK$50 )  - $B157 + 1, 1)) : INDEX( IJ$55:IJ$96, MAX( COUNT( IK$9:IK$50 )  - $C157 + 1, 1)), INDEX( IJ$101:IJ$142, MAX( COUNT( IK$9:IK$50 )  - $B157 + 1, 1)) : INDEX( IJ$101:IJ$142, MAX( COUNT( IK$9:IK$50 )  - $C157 + 1, 1)) &gt; 0)))</f>
        <v>1.0048905511760744</v>
      </c>
      <c r="IK157" s="8">
        <f>+IF(IK$8 = 125, 1, MAX(_xlfn._xlws.FILTER(INDEX( IK$55:IK$96, MAX( COUNT( IL$9:IL$50 )  - $B157 + 1, 1)) : INDEX( IK$55:IK$96, MAX( COUNT( IL$9:IL$50 )  - $C157 + 1, 1)), INDEX( IK$101:IK$142, MAX( COUNT( IL$9:IL$50 )  - $B157 + 1, 1)) : INDEX( IK$101:IK$142, MAX( COUNT( IL$9:IL$50 )  - $C157 + 1, 1)) &gt; 0)))</f>
        <v>1.0037372892121514</v>
      </c>
      <c r="IL157" s="8">
        <f>+IF(IL$8 = 125, 1, MAX(_xlfn._xlws.FILTER(INDEX( IL$55:IL$96, MAX( COUNT( IM$9:IM$50 )  - $B157 + 1, 1)) : INDEX( IL$55:IL$96, MAX( COUNT( IM$9:IM$50 )  - $C157 + 1, 1)), INDEX( IL$101:IL$142, MAX( COUNT( IM$9:IM$50 )  - $B157 + 1, 1)) : INDEX( IL$101:IL$142, MAX( COUNT( IM$9:IM$50 )  - $C157 + 1, 1)) &gt; 0)))</f>
        <v>1.0023138076539715</v>
      </c>
      <c r="IM157" s="8">
        <f>+IF(IM$8 = 125, 1, MAX(_xlfn._xlws.FILTER(INDEX( IM$55:IM$96, MAX( COUNT( IN$9:IN$50 )  - $B157 + 1, 1)) : INDEX( IM$55:IM$96, MAX( COUNT( IN$9:IN$50 )  - $C157 + 1, 1)), INDEX( IM$101:IM$142, MAX( COUNT( IN$9:IN$50 )  - $B157 + 1, 1)) : INDEX( IM$101:IM$142, MAX( COUNT( IN$9:IN$50 )  - $C157 + 1, 1)) &gt; 0)))</f>
        <v>1.0037650521484949</v>
      </c>
      <c r="IN157" s="8">
        <f>+IF(IN$8 = 125, 1, MAX(_xlfn._xlws.FILTER(INDEX( IN$55:IN$96, MAX( COUNT( IO$9:IO$50 )  - $B157 + 1, 1)) : INDEX( IN$55:IN$96, MAX( COUNT( IO$9:IO$50 )  - $C157 + 1, 1)), INDEX( IN$101:IN$142, MAX( COUNT( IO$9:IO$50 )  - $B157 + 1, 1)) : INDEX( IN$101:IN$142, MAX( COUNT( IO$9:IO$50 )  - $C157 + 1, 1)) &gt; 0)))</f>
        <v>1.0076578031362082</v>
      </c>
      <c r="IO157" s="8">
        <f>+IF(IO$8 = 125, 1, MAX(_xlfn._xlws.FILTER(INDEX( IO$55:IO$96, MAX( COUNT( IP$9:IP$50 )  - $B157 + 1, 1)) : INDEX( IO$55:IO$96, MAX( COUNT( IP$9:IP$50 )  - $C157 + 1, 1)), INDEX( IO$101:IO$142, MAX( COUNT( IP$9:IP$50 )  - $B157 + 1, 1)) : INDEX( IO$101:IO$142, MAX( COUNT( IP$9:IP$50 )  - $C157 + 1, 1)) &gt; 0)))</f>
        <v>1.0043493205600837</v>
      </c>
      <c r="IP157" s="8">
        <f>+IF(IP$8 = 125, 1, MAX(_xlfn._xlws.FILTER(INDEX( IP$55:IP$96, MAX( COUNT( IQ$9:IQ$50 )  - $B157 + 1, 1)) : INDEX( IP$55:IP$96, MAX( COUNT( IQ$9:IQ$50 )  - $C157 + 1, 1)), INDEX( IP$101:IP$142, MAX( COUNT( IQ$9:IQ$50 )  - $B157 + 1, 1)) : INDEX( IP$101:IP$142, MAX( COUNT( IQ$9:IQ$50 )  - $C157 + 1, 1)) &gt; 0)))</f>
        <v>1.0017302339515308</v>
      </c>
      <c r="IQ157" s="8">
        <f>+IF(IQ$8 = 125, 1, MAX(_xlfn._xlws.FILTER(INDEX( IQ$55:IQ$96, MAX( COUNT( IR$9:IR$50 )  - $B157 + 1, 1)) : INDEX( IQ$55:IQ$96, MAX( COUNT( IR$9:IR$50 )  - $C157 + 1, 1)), INDEX( IQ$101:IQ$142, MAX( COUNT( IR$9:IR$50 )  - $B157 + 1, 1)) : INDEX( IQ$101:IQ$142, MAX( COUNT( IR$9:IR$50 )  - $C157 + 1, 1)) &gt; 0)))</f>
        <v>1.0039941211252672</v>
      </c>
      <c r="IR157" s="8">
        <f>+IF(IR$8 = 125, 1, MAX(_xlfn._xlws.FILTER(INDEX( IR$55:IR$96, MAX( COUNT( IS$9:IS$50 )  - $B157 + 1, 1)) : INDEX( IR$55:IR$96, MAX( COUNT( IS$9:IS$50 )  - $C157 + 1, 1)), INDEX( IR$101:IR$142, MAX( COUNT( IS$9:IS$50 )  - $B157 + 1, 1)) : INDEX( IR$101:IR$142, MAX( COUNT( IS$9:IS$50 )  - $C157 + 1, 1)) &gt; 0)))</f>
        <v>1.0038320575432098</v>
      </c>
      <c r="IS157" s="8">
        <f>+IF(IS$8 = 125, 1, MAX(_xlfn._xlws.FILTER(INDEX( IS$55:IS$96, MAX( COUNT( IT$9:IT$50 )  - $B157 + 1, 1)) : INDEX( IS$55:IS$96, MAX( COUNT( IT$9:IT$50 )  - $C157 + 1, 1)), INDEX( IS$101:IS$142, MAX( COUNT( IT$9:IT$50 )  - $B157 + 1, 1)) : INDEX( IS$101:IS$142, MAX( COUNT( IT$9:IT$50 )  - $C157 + 1, 1)) &gt; 0)))</f>
        <v>1.0055498790859507</v>
      </c>
      <c r="IT157" s="8">
        <f>+IF(IT$8 = 125, 1, MAX(_xlfn._xlws.FILTER(INDEX( IT$55:IT$96, MAX( COUNT( IU$9:IU$50 )  - $B157 + 1, 1)) : INDEX( IT$55:IT$96, MAX( COUNT( IU$9:IU$50 )  - $C157 + 1, 1)), INDEX( IT$101:IT$142, MAX( COUNT( IU$9:IU$50 )  - $B157 + 1, 1)) : INDEX( IT$101:IT$142, MAX( COUNT( IU$9:IU$50 )  - $C157 + 1, 1)) &gt; 0)))</f>
        <v>1.0050872730680325</v>
      </c>
      <c r="IU157" s="8">
        <f>+IF(IU$8 = 125, 1, MAX(_xlfn._xlws.FILTER(INDEX( IU$55:IU$96, MAX( COUNT( IV$9:IV$50 )  - $B157 + 1, 1)) : INDEX( IU$55:IU$96, MAX( COUNT( IV$9:IV$50 )  - $C157 + 1, 1)), INDEX( IU$101:IU$142, MAX( COUNT( IV$9:IV$50 )  - $B157 + 1, 1)) : INDEX( IU$101:IU$142, MAX( COUNT( IV$9:IV$50 )  - $C157 + 1, 1)) &gt; 0)))</f>
        <v>1.0045545119089383</v>
      </c>
      <c r="IV157" s="8">
        <f>+IF(IV$8 = 125, 1, MAX(_xlfn._xlws.FILTER(INDEX( IV$55:IV$96, MAX( COUNT( IW$9:IW$50 )  - $B157 + 1, 1)) : INDEX( IV$55:IV$96, MAX( COUNT( IW$9:IW$50 )  - $C157 + 1, 1)), INDEX( IV$101:IV$142, MAX( COUNT( IW$9:IW$50 )  - $B157 + 1, 1)) : INDEX( IV$101:IV$142, MAX( COUNT( IW$9:IW$50 )  - $C157 + 1, 1)) &gt; 0)))</f>
        <v>1</v>
      </c>
    </row>
    <row r="158" spans="2:256" x14ac:dyDescent="0.2">
      <c r="B158">
        <v>1</v>
      </c>
      <c r="C158">
        <v>4</v>
      </c>
      <c r="D158">
        <v>0.3</v>
      </c>
      <c r="F158" s="15" t="s">
        <v>18</v>
      </c>
      <c r="G158" s="8">
        <f>+IF(G$8 = 125, 1, _xlfn.PERCENTILE.INC(_xlfn._xlws.FILTER(INDEX( G$55:G$96, MAX( COUNT( H$9:H$50 )  - $B158 + 1, 1)) : INDEX( G$55:G$96, MAX( COUNT( H$9:H$50 )  - $C158 + 1, 1)), INDEX( G$101:G$142, MAX( COUNT( H$9:H$50 )  - $B158 + 1, 1)) : INDEX( G$101:G$142, MAX( COUNT( H$9:H$50 )  - $C158 + 1, 1)) &gt; 0), $D158))</f>
        <v>9.7555671430455337</v>
      </c>
      <c r="H158" s="8">
        <f>+IF(H$8 = 125, 1, _xlfn.PERCENTILE.INC(_xlfn._xlws.FILTER(INDEX( H$55:H$96, MAX( COUNT( I$9:I$50 )  - $B158 + 1, 1)) : INDEX( H$55:H$96, MAX( COUNT( I$9:I$50 )  - $C158 + 1, 1)), INDEX( H$101:H$142, MAX( COUNT( I$9:I$50 )  - $B158 + 1, 1)) : INDEX( H$101:H$142, MAX( COUNT( I$9:I$50 )  - $C158 + 1, 1)) &gt; 0), $D158))</f>
        <v>2.1419430575678264</v>
      </c>
      <c r="I158" s="8">
        <f>+IF(I$8 = 125, 1, _xlfn.PERCENTILE.INC(_xlfn._xlws.FILTER(INDEX( I$55:I$96, MAX( COUNT( J$9:J$50 )  - $B158 + 1, 1)) : INDEX( I$55:I$96, MAX( COUNT( J$9:J$50 )  - $C158 + 1, 1)), INDEX( I$101:I$142, MAX( COUNT( J$9:J$50 )  - $B158 + 1, 1)) : INDEX( I$101:I$142, MAX( COUNT( J$9:J$50 )  - $C158 + 1, 1)) &gt; 0), $D158))</f>
        <v>1.6587470473080808</v>
      </c>
      <c r="J158" s="8">
        <f>+IF(J$8 = 125, 1, _xlfn.PERCENTILE.INC(_xlfn._xlws.FILTER(INDEX( J$55:J$96, MAX( COUNT( K$9:K$50 )  - $B158 + 1, 1)) : INDEX( J$55:J$96, MAX( COUNT( K$9:K$50 )  - $C158 + 1, 1)), INDEX( J$101:J$142, MAX( COUNT( K$9:K$50 )  - $B158 + 1, 1)) : INDEX( J$101:J$142, MAX( COUNT( K$9:K$50 )  - $C158 + 1, 1)) &gt; 0), $D158))</f>
        <v>1.2296212057823186</v>
      </c>
      <c r="K158" s="8">
        <f>+IF(K$8 = 125, 1, _xlfn.PERCENTILE.INC(_xlfn._xlws.FILTER(INDEX( K$55:K$96, MAX( COUNT( L$9:L$50 )  - $B158 + 1, 1)) : INDEX( K$55:K$96, MAX( COUNT( L$9:L$50 )  - $C158 + 1, 1)), INDEX( K$101:K$142, MAX( COUNT( L$9:L$50 )  - $B158 + 1, 1)) : INDEX( K$101:K$142, MAX( COUNT( L$9:L$50 )  - $C158 + 1, 1)) &gt; 0), $D158))</f>
        <v>1.0389671203009936</v>
      </c>
      <c r="L158" s="8">
        <f>+IF(L$8 = 125, 1, _xlfn.PERCENTILE.INC(_xlfn._xlws.FILTER(INDEX( L$55:L$96, MAX( COUNT( M$9:M$50 )  - $B158 + 1, 1)) : INDEX( L$55:L$96, MAX( COUNT( M$9:M$50 )  - $C158 + 1, 1)), INDEX( L$101:L$142, MAX( COUNT( M$9:M$50 )  - $B158 + 1, 1)) : INDEX( L$101:L$142, MAX( COUNT( M$9:M$50 )  - $C158 + 1, 1)) &gt; 0), $D158))</f>
        <v>1.0356000719978533</v>
      </c>
      <c r="M158" s="8">
        <f>+IF(M$8 = 125, 1, _xlfn.PERCENTILE.INC(_xlfn._xlws.FILTER(INDEX( M$55:M$96, MAX( COUNT( N$9:N$50 )  - $B158 + 1, 1)) : INDEX( M$55:M$96, MAX( COUNT( N$9:N$50 )  - $C158 + 1, 1)), INDEX( M$101:M$142, MAX( COUNT( N$9:N$50 )  - $B158 + 1, 1)) : INDEX( M$101:M$142, MAX( COUNT( N$9:N$50 )  - $C158 + 1, 1)) &gt; 0), $D158))</f>
        <v>1.0124252513154663</v>
      </c>
      <c r="N158" s="8">
        <f>+IF(N$8 = 125, 1, _xlfn.PERCENTILE.INC(_xlfn._xlws.FILTER(INDEX( N$55:N$96, MAX( COUNT( O$9:O$50 )  - $B158 + 1, 1)) : INDEX( N$55:N$96, MAX( COUNT( O$9:O$50 )  - $C158 + 1, 1)), INDEX( N$101:N$142, MAX( COUNT( O$9:O$50 )  - $B158 + 1, 1)) : INDEX( N$101:N$142, MAX( COUNT( O$9:O$50 )  - $C158 + 1, 1)) &gt; 0), $D158))</f>
        <v>1.0030218687887273</v>
      </c>
      <c r="O158" s="8">
        <f>+IF(O$8 = 125, 1, _xlfn.PERCENTILE.INC(_xlfn._xlws.FILTER(INDEX( O$55:O$96, MAX( COUNT( P$9:P$50 )  - $B158 + 1, 1)) : INDEX( O$55:O$96, MAX( COUNT( P$9:P$50 )  - $C158 + 1, 1)), INDEX( O$101:O$142, MAX( COUNT( P$9:P$50 )  - $B158 + 1, 1)) : INDEX( O$101:O$142, MAX( COUNT( P$9:P$50 )  - $C158 + 1, 1)) &gt; 0), $D158))</f>
        <v>1.0005357615434978</v>
      </c>
      <c r="P158" s="8">
        <f>+IF(P$8 = 125, 1, _xlfn.PERCENTILE.INC(_xlfn._xlws.FILTER(INDEX( P$55:P$96, MAX( COUNT( Q$9:Q$50 )  - $B158 + 1, 1)) : INDEX( P$55:P$96, MAX( COUNT( Q$9:Q$50 )  - $C158 + 1, 1)), INDEX( P$101:P$142, MAX( COUNT( Q$9:Q$50 )  - $B158 + 1, 1)) : INDEX( P$101:P$142, MAX( COUNT( Q$9:Q$50 )  - $C158 + 1, 1)) &gt; 0), $D158))</f>
        <v>1.0030586746880552</v>
      </c>
      <c r="Q158" s="8">
        <f>+IF(Q$8 = 125, 1, _xlfn.PERCENTILE.INC(_xlfn._xlws.FILTER(INDEX( Q$55:Q$96, MAX( COUNT( R$9:R$50 )  - $B158 + 1, 1)) : INDEX( Q$55:Q$96, MAX( COUNT( R$9:R$50 )  - $C158 + 1, 1)), INDEX( Q$101:Q$142, MAX( COUNT( R$9:R$50 )  - $B158 + 1, 1)) : INDEX( Q$101:Q$142, MAX( COUNT( R$9:R$50 )  - $C158 + 1, 1)) &gt; 0), $D158))</f>
        <v>0.99934977824824878</v>
      </c>
      <c r="R158" s="8">
        <f>+IF(R$8 = 125, 1, _xlfn.PERCENTILE.INC(_xlfn._xlws.FILTER(INDEX( R$55:R$96, MAX( COUNT( S$9:S$50 )  - $B158 + 1, 1)) : INDEX( R$55:R$96, MAX( COUNT( S$9:S$50 )  - $C158 + 1, 1)), INDEX( R$101:R$142, MAX( COUNT( S$9:S$50 )  - $B158 + 1, 1)) : INDEX( R$101:R$142, MAX( COUNT( S$9:S$50 )  - $C158 + 1, 1)) &gt; 0), $D158))</f>
        <v>1</v>
      </c>
      <c r="S158" s="8">
        <f>+IF(S$8 = 125, 1, _xlfn.PERCENTILE.INC(_xlfn._xlws.FILTER(INDEX( S$55:S$96, MAX( COUNT( T$9:T$50 )  - $B158 + 1, 1)) : INDEX( S$55:S$96, MAX( COUNT( T$9:T$50 )  - $C158 + 1, 1)), INDEX( S$101:S$142, MAX( COUNT( T$9:T$50 )  - $B158 + 1, 1)) : INDEX( S$101:S$142, MAX( COUNT( T$9:T$50 )  - $C158 + 1, 1)) &gt; 0), $D158))</f>
        <v>1.0002448188733148</v>
      </c>
      <c r="T158" s="8">
        <f>+IF(T$8 = 125, 1, _xlfn.PERCENTILE.INC(_xlfn._xlws.FILTER(INDEX( T$55:T$96, MAX( COUNT( U$9:U$50 )  - $B158 + 1, 1)) : INDEX( T$55:T$96, MAX( COUNT( U$9:U$50 )  - $C158 + 1, 1)), INDEX( T$101:T$142, MAX( COUNT( U$9:U$50 )  - $B158 + 1, 1)) : INDEX( T$101:T$142, MAX( COUNT( U$9:U$50 )  - $C158 + 1, 1)) &gt; 0), $D158))</f>
        <v>1</v>
      </c>
      <c r="U158" s="8">
        <f>+IF(U$8 = 125, 1, _xlfn.PERCENTILE.INC(_xlfn._xlws.FILTER(INDEX( U$55:U$96, MAX( COUNT( V$9:V$50 )  - $B158 + 1, 1)) : INDEX( U$55:U$96, MAX( COUNT( V$9:V$50 )  - $C158 + 1, 1)), INDEX( U$101:U$142, MAX( COUNT( V$9:V$50 )  - $B158 + 1, 1)) : INDEX( U$101:U$142, MAX( COUNT( V$9:V$50 )  - $C158 + 1, 1)) &gt; 0), $D158))</f>
        <v>1</v>
      </c>
      <c r="V158" s="8">
        <f>+IF(V$8 = 125, 1, _xlfn.PERCENTILE.INC(_xlfn._xlws.FILTER(INDEX( V$55:V$96, MAX( COUNT( W$9:W$50 )  - $B158 + 1, 1)) : INDEX( V$55:V$96, MAX( COUNT( W$9:W$50 )  - $C158 + 1, 1)), INDEX( V$101:V$142, MAX( COUNT( W$9:W$50 )  - $B158 + 1, 1)) : INDEX( V$101:V$142, MAX( COUNT( W$9:W$50 )  - $C158 + 1, 1)) &gt; 0), $D158))</f>
        <v>1.0000677436279162</v>
      </c>
      <c r="W158" s="8">
        <f>+IF(W$8 = 125, 1, _xlfn.PERCENTILE.INC(_xlfn._xlws.FILTER(INDEX( W$55:W$96, MAX( COUNT( X$9:X$50 )  - $B158 + 1, 1)) : INDEX( W$55:W$96, MAX( COUNT( X$9:X$50 )  - $C158 + 1, 1)), INDEX( W$101:W$142, MAX( COUNT( X$9:X$50 )  - $B158 + 1, 1)) : INDEX( W$101:W$142, MAX( COUNT( X$9:X$50 )  - $C158 + 1, 1)) &gt; 0), $D158))</f>
        <v>1.0000678807452652</v>
      </c>
      <c r="X158" s="8">
        <f>+IF(X$8 = 125, 1, _xlfn.PERCENTILE.INC(_xlfn._xlws.FILTER(INDEX( X$55:X$96, MAX( COUNT( Y$9:Y$50 )  - $B158 + 1, 1)) : INDEX( X$55:X$96, MAX( COUNT( Y$9:Y$50 )  - $C158 + 1, 1)), INDEX( X$101:X$142, MAX( COUNT( Y$9:Y$50 )  - $B158 + 1, 1)) : INDEX( X$101:X$142, MAX( COUNT( Y$9:Y$50 )  - $C158 + 1, 1)) &gt; 0), $D158))</f>
        <v>1</v>
      </c>
      <c r="Y158" s="8">
        <f>+IF(Y$8 = 125, 1, _xlfn.PERCENTILE.INC(_xlfn._xlws.FILTER(INDEX( Y$55:Y$96, MAX( COUNT( Z$9:Z$50 )  - $B158 + 1, 1)) : INDEX( Y$55:Y$96, MAX( COUNT( Z$9:Z$50 )  - $C158 + 1, 1)), INDEX( Y$101:Y$142, MAX( COUNT( Z$9:Z$50 )  - $B158 + 1, 1)) : INDEX( Y$101:Y$142, MAX( COUNT( Z$9:Z$50 )  - $C158 + 1, 1)) &gt; 0), $D158))</f>
        <v>1.0006246739164015</v>
      </c>
      <c r="Z158" s="8">
        <f>+IF(Z$8 = 125, 1, _xlfn.PERCENTILE.INC(_xlfn._xlws.FILTER(INDEX( Z$55:Z$96, MAX( COUNT( AA$9:AA$50 )  - $B158 + 1, 1)) : INDEX( Z$55:Z$96, MAX( COUNT( AA$9:AA$50 )  - $C158 + 1, 1)), INDEX( Z$101:Z$142, MAX( COUNT( AA$9:AA$50 )  - $B158 + 1, 1)) : INDEX( Z$101:Z$142, MAX( COUNT( AA$9:AA$50 )  - $C158 + 1, 1)) &gt; 0), $D158))</f>
        <v>1</v>
      </c>
      <c r="AA158" s="8">
        <f>+IF(AA$8 = 125, 1, _xlfn.PERCENTILE.INC(_xlfn._xlws.FILTER(INDEX( AA$55:AA$96, MAX( COUNT( AB$9:AB$50 )  - $B158 + 1, 1)) : INDEX( AA$55:AA$96, MAX( COUNT( AB$9:AB$50 )  - $C158 + 1, 1)), INDEX( AA$101:AA$142, MAX( COUNT( AB$9:AB$50 )  - $B158 + 1, 1)) : INDEX( AA$101:AA$142, MAX( COUNT( AB$9:AB$50 )  - $C158 + 1, 1)) &gt; 0), $D158))</f>
        <v>1</v>
      </c>
      <c r="AB158" s="8">
        <f>+IF(AB$8 = 125, 1, _xlfn.PERCENTILE.INC(_xlfn._xlws.FILTER(INDEX( AB$55:AB$96, MAX( COUNT( AC$9:AC$50 )  - $B158 + 1, 1)) : INDEX( AB$55:AB$96, MAX( COUNT( AC$9:AC$50 )  - $C158 + 1, 1)), INDEX( AB$101:AB$142, MAX( COUNT( AC$9:AC$50 )  - $B158 + 1, 1)) : INDEX( AB$101:AB$142, MAX( COUNT( AC$9:AC$50 )  - $C158 + 1, 1)) &gt; 0), $D158))</f>
        <v>1</v>
      </c>
      <c r="AC158" s="8">
        <f>+IF(AC$8 = 125, 1, _xlfn.PERCENTILE.INC(_xlfn._xlws.FILTER(INDEX( AC$55:AC$96, MAX( COUNT( AD$9:AD$50 )  - $B158 + 1, 1)) : INDEX( AC$55:AC$96, MAX( COUNT( AD$9:AD$50 )  - $C158 + 1, 1)), INDEX( AC$101:AC$142, MAX( COUNT( AD$9:AD$50 )  - $B158 + 1, 1)) : INDEX( AC$101:AC$142, MAX( COUNT( AD$9:AD$50 )  - $C158 + 1, 1)) &gt; 0), $D158))</f>
        <v>1</v>
      </c>
      <c r="AD158" s="8">
        <f>+IF(AD$8 = 125, 1, _xlfn.PERCENTILE.INC(_xlfn._xlws.FILTER(INDEX( AD$55:AD$96, MAX( COUNT( AE$9:AE$50 )  - $B158 + 1, 1)) : INDEX( AD$55:AD$96, MAX( COUNT( AE$9:AE$50 )  - $C158 + 1, 1)), INDEX( AD$101:AD$142, MAX( COUNT( AE$9:AE$50 )  - $B158 + 1, 1)) : INDEX( AD$101:AD$142, MAX( COUNT( AE$9:AE$50 )  - $C158 + 1, 1)) &gt; 0), $D158))</f>
        <v>1.0001536932558703</v>
      </c>
      <c r="AE158" s="8">
        <f>+IF(AE$8 = 125, 1, _xlfn.PERCENTILE.INC(_xlfn._xlws.FILTER(INDEX( AE$55:AE$96, MAX( COUNT( AF$9:AF$50 )  - $B158 + 1, 1)) : INDEX( AE$55:AE$96, MAX( COUNT( AF$9:AF$50 )  - $C158 + 1, 1)), INDEX( AE$101:AE$142, MAX( COUNT( AF$9:AF$50 )  - $B158 + 1, 1)) : INDEX( AE$101:AE$142, MAX( COUNT( AF$9:AF$50 )  - $C158 + 1, 1)) &gt; 0), $D158))</f>
        <v>1</v>
      </c>
      <c r="AF158" s="8">
        <f>+IF(AF$8 = 125, 1, _xlfn.PERCENTILE.INC(_xlfn._xlws.FILTER(INDEX( AF$55:AF$96, MAX( COUNT( AG$9:AG$50 )  - $B158 + 1, 1)) : INDEX( AF$55:AF$96, MAX( COUNT( AG$9:AG$50 )  - $C158 + 1, 1)), INDEX( AF$101:AF$142, MAX( COUNT( AG$9:AG$50 )  - $B158 + 1, 1)) : INDEX( AF$101:AF$142, MAX( COUNT( AG$9:AG$50 )  - $C158 + 1, 1)) &gt; 0), $D158))</f>
        <v>1</v>
      </c>
      <c r="AG158" s="8">
        <f>+IF(AG$8 = 125, 1, _xlfn.PERCENTILE.INC(_xlfn._xlws.FILTER(INDEX( AG$55:AG$96, MAX( COUNT( AH$9:AH$50 )  - $B158 + 1, 1)) : INDEX( AG$55:AG$96, MAX( COUNT( AH$9:AH$50 )  - $C158 + 1, 1)), INDEX( AG$101:AG$142, MAX( COUNT( AH$9:AH$50 )  - $B158 + 1, 1)) : INDEX( AG$101:AG$142, MAX( COUNT( AH$9:AH$50 )  - $C158 + 1, 1)) &gt; 0), $D158))</f>
        <v>1</v>
      </c>
      <c r="AH158" s="8">
        <f>+IF(AH$8 = 125, 1, _xlfn.PERCENTILE.INC(_xlfn._xlws.FILTER(INDEX( AH$55:AH$96, MAX( COUNT( AI$9:AI$50 )  - $B158 + 1, 1)) : INDEX( AH$55:AH$96, MAX( COUNT( AI$9:AI$50 )  - $C158 + 1, 1)), INDEX( AH$101:AH$142, MAX( COUNT( AI$9:AI$50 )  - $B158 + 1, 1)) : INDEX( AH$101:AH$142, MAX( COUNT( AI$9:AI$50 )  - $C158 + 1, 1)) &gt; 0), $D158))</f>
        <v>1.0000668210658015</v>
      </c>
      <c r="AI158" s="8">
        <f>+IF(AI$8 = 125, 1, _xlfn.PERCENTILE.INC(_xlfn._xlws.FILTER(INDEX( AI$55:AI$96, MAX( COUNT( AJ$9:AJ$50 )  - $B158 + 1, 1)) : INDEX( AI$55:AI$96, MAX( COUNT( AJ$9:AJ$50 )  - $C158 + 1, 1)), INDEX( AI$101:AI$142, MAX( COUNT( AJ$9:AJ$50 )  - $B158 + 1, 1)) : INDEX( AI$101:AI$142, MAX( COUNT( AJ$9:AJ$50 )  - $C158 + 1, 1)) &gt; 0), $D158))</f>
        <v>1</v>
      </c>
      <c r="AJ158" s="8">
        <f>+IF(AJ$8 = 125, 1, _xlfn.PERCENTILE.INC(_xlfn._xlws.FILTER(INDEX( AJ$55:AJ$96, MAX( COUNT( AK$9:AK$50 )  - $B158 + 1, 1)) : INDEX( AJ$55:AJ$96, MAX( COUNT( AK$9:AK$50 )  - $C158 + 1, 1)), INDEX( AJ$101:AJ$142, MAX( COUNT( AK$9:AK$50 )  - $B158 + 1, 1)) : INDEX( AJ$101:AJ$142, MAX( COUNT( AK$9:AK$50 )  - $C158 + 1, 1)) &gt; 0), $D158))</f>
        <v>1.0000128411459275</v>
      </c>
      <c r="AK158" s="8">
        <f>+IF(AK$8 = 125, 1, _xlfn.PERCENTILE.INC(_xlfn._xlws.FILTER(INDEX( AK$55:AK$96, MAX( COUNT( AL$9:AL$50 )  - $B158 + 1, 1)) : INDEX( AK$55:AK$96, MAX( COUNT( AL$9:AL$50 )  - $C158 + 1, 1)), INDEX( AK$101:AK$142, MAX( COUNT( AL$9:AL$50 )  - $B158 + 1, 1)) : INDEX( AK$101:AK$142, MAX( COUNT( AL$9:AL$50 )  - $C158 + 1, 1)) &gt; 0), $D158))</f>
        <v>1.0000497937991488</v>
      </c>
      <c r="AL158" s="8">
        <f>+IF(AL$8 = 125, 1, _xlfn.PERCENTILE.INC(_xlfn._xlws.FILTER(INDEX( AL$55:AL$96, MAX( COUNT( AM$9:AM$50 )  - $B158 + 1, 1)) : INDEX( AL$55:AL$96, MAX( COUNT( AM$9:AM$50 )  - $C158 + 1, 1)), INDEX( AL$101:AL$142, MAX( COUNT( AM$9:AM$50 )  - $B158 + 1, 1)) : INDEX( AL$101:AL$142, MAX( COUNT( AM$9:AM$50 )  - $C158 + 1, 1)) &gt; 0), $D158))</f>
        <v>1.0004678164780891</v>
      </c>
      <c r="AM158" s="8">
        <f>+IF(AM$8 = 125, 1, _xlfn.PERCENTILE.INC(_xlfn._xlws.FILTER(INDEX( AM$55:AM$96, MAX( COUNT( AN$9:AN$50 )  - $B158 + 1, 1)) : INDEX( AM$55:AM$96, MAX( COUNT( AN$9:AN$50 )  - $C158 + 1, 1)), INDEX( AM$101:AM$142, MAX( COUNT( AN$9:AN$50 )  - $B158 + 1, 1)) : INDEX( AM$101:AM$142, MAX( COUNT( AN$9:AN$50 )  - $C158 + 1, 1)) &gt; 0), $D158))</f>
        <v>1</v>
      </c>
      <c r="AN158" s="8">
        <f>+IF(AN$8 = 125, 1, _xlfn.PERCENTILE.INC(_xlfn._xlws.FILTER(INDEX( AN$55:AN$96, MAX( COUNT( AO$9:AO$50 )  - $B158 + 1, 1)) : INDEX( AN$55:AN$96, MAX( COUNT( AO$9:AO$50 )  - $C158 + 1, 1)), INDEX( AN$101:AN$142, MAX( COUNT( AO$9:AO$50 )  - $B158 + 1, 1)) : INDEX( AN$101:AN$142, MAX( COUNT( AO$9:AO$50 )  - $C158 + 1, 1)) &gt; 0), $D158))</f>
        <v>1</v>
      </c>
      <c r="AO158" s="8">
        <f>+IF(AO$8 = 125, 1, _xlfn.PERCENTILE.INC(_xlfn._xlws.FILTER(INDEX( AO$55:AO$96, MAX( COUNT( AP$9:AP$50 )  - $B158 + 1, 1)) : INDEX( AO$55:AO$96, MAX( COUNT( AP$9:AP$50 )  - $C158 + 1, 1)), INDEX( AO$101:AO$142, MAX( COUNT( AP$9:AP$50 )  - $B158 + 1, 1)) : INDEX( AO$101:AO$142, MAX( COUNT( AP$9:AP$50 )  - $C158 + 1, 1)) &gt; 0), $D158))</f>
        <v>0.99873423338668099</v>
      </c>
      <c r="AP158" s="8">
        <f>+IF(AP$8 = 125, 1, _xlfn.PERCENTILE.INC(_xlfn._xlws.FILTER(INDEX( AP$55:AP$96, MAX( COUNT( AQ$9:AQ$50 )  - $B158 + 1, 1)) : INDEX( AP$55:AP$96, MAX( COUNT( AQ$9:AQ$50 )  - $C158 + 1, 1)), INDEX( AP$101:AP$142, MAX( COUNT( AQ$9:AQ$50 )  - $B158 + 1, 1)) : INDEX( AP$101:AP$142, MAX( COUNT( AQ$9:AQ$50 )  - $C158 + 1, 1)) &gt; 0), $D158))</f>
        <v>1</v>
      </c>
      <c r="AQ158" s="8">
        <f>+IF(AQ$8 = 125, 1, _xlfn.PERCENTILE.INC(_xlfn._xlws.FILTER(INDEX( AQ$55:AQ$96, MAX( COUNT( AR$9:AR$50 )  - $B158 + 1, 1)) : INDEX( AQ$55:AQ$96, MAX( COUNT( AR$9:AR$50 )  - $C158 + 1, 1)), INDEX( AQ$101:AQ$142, MAX( COUNT( AR$9:AR$50 )  - $B158 + 1, 1)) : INDEX( AQ$101:AQ$142, MAX( COUNT( AR$9:AR$50 )  - $C158 + 1, 1)) &gt; 0), $D158))</f>
        <v>1</v>
      </c>
      <c r="AR158" s="8">
        <f>+IF(AR$8 = 125, 1, _xlfn.PERCENTILE.INC(_xlfn._xlws.FILTER(INDEX( AR$55:AR$96, MAX( COUNT( AS$9:AS$50 )  - $B158 + 1, 1)) : INDEX( AR$55:AR$96, MAX( COUNT( AS$9:AS$50 )  - $C158 + 1, 1)), INDEX( AR$101:AR$142, MAX( COUNT( AS$9:AS$50 )  - $B158 + 1, 1)) : INDEX( AR$101:AR$142, MAX( COUNT( AS$9:AS$50 )  - $C158 + 1, 1)) &gt; 0), $D158))</f>
        <v>1.000371553691437</v>
      </c>
      <c r="AS158" s="8">
        <f>+IF(AS$8 = 125, 1, _xlfn.PERCENTILE.INC(_xlfn._xlws.FILTER(INDEX( AS$55:AS$96, MAX( COUNT( AT$9:AT$50 )  - $B158 + 1, 1)) : INDEX( AS$55:AS$96, MAX( COUNT( AT$9:AT$50 )  - $C158 + 1, 1)), INDEX( AS$101:AS$142, MAX( COUNT( AT$9:AT$50 )  - $B158 + 1, 1)) : INDEX( AS$101:AS$142, MAX( COUNT( AT$9:AT$50 )  - $C158 + 1, 1)) &gt; 0), $D158))</f>
        <v>1</v>
      </c>
      <c r="AT158" s="8">
        <f>+IF(AT$8 = 125, 1, _xlfn.PERCENTILE.INC(_xlfn._xlws.FILTER(INDEX( AT$55:AT$96, MAX( COUNT( AU$9:AU$50 )  - $B158 + 1, 1)) : INDEX( AT$55:AT$96, MAX( COUNT( AU$9:AU$50 )  - $C158 + 1, 1)), INDEX( AT$101:AT$142, MAX( COUNT( AU$9:AU$50 )  - $B158 + 1, 1)) : INDEX( AT$101:AT$142, MAX( COUNT( AU$9:AU$50 )  - $C158 + 1, 1)) &gt; 0), $D158))</f>
        <v>1.0000070563746997</v>
      </c>
      <c r="AU158" s="8">
        <f>+IF(AU$8 = 125, 1, _xlfn.PERCENTILE.INC(_xlfn._xlws.FILTER(INDEX( AU$55:AU$96, MAX( COUNT( AV$9:AV$50 )  - $B158 + 1, 1)) : INDEX( AU$55:AU$96, MAX( COUNT( AV$9:AV$50 )  - $C158 + 1, 1)), INDEX( AU$101:AU$142, MAX( COUNT( AV$9:AV$50 )  - $B158 + 1, 1)) : INDEX( AU$101:AU$142, MAX( COUNT( AV$9:AV$50 )  - $C158 + 1, 1)) &gt; 0), $D158))</f>
        <v>1</v>
      </c>
      <c r="AV158" s="8">
        <f>+IF(AV$8 = 125, 1, _xlfn.PERCENTILE.INC(_xlfn._xlws.FILTER(INDEX( AV$55:AV$96, MAX( COUNT( AW$9:AW$50 )  - $B158 + 1, 1)) : INDEX( AV$55:AV$96, MAX( COUNT( AW$9:AW$50 )  - $C158 + 1, 1)), INDEX( AV$101:AV$142, MAX( COUNT( AW$9:AW$50 )  - $B158 + 1, 1)) : INDEX( AV$101:AV$142, MAX( COUNT( AW$9:AW$50 )  - $C158 + 1, 1)) &gt; 0), $D158))</f>
        <v>1</v>
      </c>
      <c r="AW158" s="8">
        <f>+IF(AW$8 = 125, 1, _xlfn.PERCENTILE.INC(_xlfn._xlws.FILTER(INDEX( AW$55:AW$96, MAX( COUNT( AX$9:AX$50 )  - $B158 + 1, 1)) : INDEX( AW$55:AW$96, MAX( COUNT( AX$9:AX$50 )  - $C158 + 1, 1)), INDEX( AW$101:AW$142, MAX( COUNT( AX$9:AX$50 )  - $B158 + 1, 1)) : INDEX( AW$101:AW$142, MAX( COUNT( AX$9:AX$50 )  - $C158 + 1, 1)) &gt; 0), $D158))</f>
        <v>1</v>
      </c>
      <c r="AX158" s="8">
        <f>+IF(AX$8 = 125, 1, _xlfn.PERCENTILE.INC(_xlfn._xlws.FILTER(INDEX( AX$55:AX$96, MAX( COUNT( AY$9:AY$50 )  - $B158 + 1, 1)) : INDEX( AX$55:AX$96, MAX( COUNT( AY$9:AY$50 )  - $C158 + 1, 1)), INDEX( AX$101:AX$142, MAX( COUNT( AY$9:AY$50 )  - $B158 + 1, 1)) : INDEX( AX$101:AX$142, MAX( COUNT( AY$9:AY$50 )  - $C158 + 1, 1)) &gt; 0), $D158))</f>
        <v>1</v>
      </c>
      <c r="AY158" s="8">
        <f>+IF(AY$8 = 125, 1, _xlfn.PERCENTILE.INC(_xlfn._xlws.FILTER(INDEX( AY$55:AY$96, MAX( COUNT( AZ$9:AZ$50 )  - $B158 + 1, 1)) : INDEX( AY$55:AY$96, MAX( COUNT( AZ$9:AZ$50 )  - $C158 + 1, 1)), INDEX( AY$101:AY$142, MAX( COUNT( AZ$9:AZ$50 )  - $B158 + 1, 1)) : INDEX( AY$101:AY$142, MAX( COUNT( AZ$9:AZ$50 )  - $C158 + 1, 1)) &gt; 0), $D158))</f>
        <v>1</v>
      </c>
      <c r="AZ158" s="8">
        <f>+IF(AZ$8 = 125, 1, _xlfn.PERCENTILE.INC(_xlfn._xlws.FILTER(INDEX( AZ$55:AZ$96, MAX( COUNT( BA$9:BA$50 )  - $B158 + 1, 1)) : INDEX( AZ$55:AZ$96, MAX( COUNT( BA$9:BA$50 )  - $C158 + 1, 1)), INDEX( AZ$101:AZ$142, MAX( COUNT( BA$9:BA$50 )  - $B158 + 1, 1)) : INDEX( AZ$101:AZ$142, MAX( COUNT( BA$9:BA$50 )  - $C158 + 1, 1)) &gt; 0), $D158))</f>
        <v>1</v>
      </c>
      <c r="BA158" s="8">
        <f>+IF(BA$8 = 125, 1, _xlfn.PERCENTILE.INC(_xlfn._xlws.FILTER(INDEX( BA$55:BA$96, MAX( COUNT( BB$9:BB$50 )  - $B158 + 1, 1)) : INDEX( BA$55:BA$96, MAX( COUNT( BB$9:BB$50 )  - $C158 + 1, 1)), INDEX( BA$101:BA$142, MAX( COUNT( BB$9:BB$50 )  - $B158 + 1, 1)) : INDEX( BA$101:BA$142, MAX( COUNT( BB$9:BB$50 )  - $C158 + 1, 1)) &gt; 0), $D158))</f>
        <v>1</v>
      </c>
      <c r="BB158" s="8">
        <f>+IF(BB$8 = 125, 1, _xlfn.PERCENTILE.INC(_xlfn._xlws.FILTER(INDEX( BB$55:BB$96, MAX( COUNT( BC$9:BC$50 )  - $B158 + 1, 1)) : INDEX( BB$55:BB$96, MAX( COUNT( BC$9:BC$50 )  - $C158 + 1, 1)), INDEX( BB$101:BB$142, MAX( COUNT( BC$9:BC$50 )  - $B158 + 1, 1)) : INDEX( BB$101:BB$142, MAX( COUNT( BC$9:BC$50 )  - $C158 + 1, 1)) &gt; 0), $D158))</f>
        <v>1</v>
      </c>
      <c r="BC158" s="8">
        <f>+IF(BC$8 = 125, 1, _xlfn.PERCENTILE.INC(_xlfn._xlws.FILTER(INDEX( BC$55:BC$96, MAX( COUNT( BD$9:BD$50 )  - $B158 + 1, 1)) : INDEX( BC$55:BC$96, MAX( COUNT( BD$9:BD$50 )  - $C158 + 1, 1)), INDEX( BC$101:BC$142, MAX( COUNT( BD$9:BD$50 )  - $B158 + 1, 1)) : INDEX( BC$101:BC$142, MAX( COUNT( BD$9:BD$50 )  - $C158 + 1, 1)) &gt; 0), $D158))</f>
        <v>1</v>
      </c>
      <c r="BD158" s="8">
        <f>+IF(BD$8 = 125, 1, _xlfn.PERCENTILE.INC(_xlfn._xlws.FILTER(INDEX( BD$55:BD$96, MAX( COUNT( BE$9:BE$50 )  - $B158 + 1, 1)) : INDEX( BD$55:BD$96, MAX( COUNT( BE$9:BE$50 )  - $C158 + 1, 1)), INDEX( BD$101:BD$142, MAX( COUNT( BE$9:BE$50 )  - $B158 + 1, 1)) : INDEX( BD$101:BD$142, MAX( COUNT( BE$9:BE$50 )  - $C158 + 1, 1)) &gt; 0), $D158))</f>
        <v>1</v>
      </c>
      <c r="BE158" s="8">
        <f>+IF(BE$8 = 125, 1, _xlfn.PERCENTILE.INC(_xlfn._xlws.FILTER(INDEX( BE$55:BE$96, MAX( COUNT( BF$9:BF$50 )  - $B158 + 1, 1)) : INDEX( BE$55:BE$96, MAX( COUNT( BF$9:BF$50 )  - $C158 + 1, 1)), INDEX( BE$101:BE$142, MAX( COUNT( BF$9:BF$50 )  - $B158 + 1, 1)) : INDEX( BE$101:BE$142, MAX( COUNT( BF$9:BF$50 )  - $C158 + 1, 1)) &gt; 0), $D158))</f>
        <v>1.0000836504360124</v>
      </c>
      <c r="BF158" s="8">
        <f>+IF(BF$8 = 125, 1, _xlfn.PERCENTILE.INC(_xlfn._xlws.FILTER(INDEX( BF$55:BF$96, MAX( COUNT( BG$9:BG$50 )  - $B158 + 1, 1)) : INDEX( BF$55:BF$96, MAX( COUNT( BG$9:BG$50 )  - $C158 + 1, 1)), INDEX( BF$101:BF$142, MAX( COUNT( BG$9:BG$50 )  - $B158 + 1, 1)) : INDEX( BF$101:BF$142, MAX( COUNT( BG$9:BG$50 )  - $C158 + 1, 1)) &gt; 0), $D158))</f>
        <v>1</v>
      </c>
      <c r="BG158" s="8">
        <f>+IF(BG$8 = 125, 1, _xlfn.PERCENTILE.INC(_xlfn._xlws.FILTER(INDEX( BG$55:BG$96, MAX( COUNT( BH$9:BH$50 )  - $B158 + 1, 1)) : INDEX( BG$55:BG$96, MAX( COUNT( BH$9:BH$50 )  - $C158 + 1, 1)), INDEX( BG$101:BG$142, MAX( COUNT( BH$9:BH$50 )  - $B158 + 1, 1)) : INDEX( BG$101:BG$142, MAX( COUNT( BH$9:BH$50 )  - $C158 + 1, 1)) &gt; 0), $D158))</f>
        <v>1</v>
      </c>
      <c r="BH158" s="8">
        <f>+IF(BH$8 = 125, 1, _xlfn.PERCENTILE.INC(_xlfn._xlws.FILTER(INDEX( BH$55:BH$96, MAX( COUNT( BI$9:BI$50 )  - $B158 + 1, 1)) : INDEX( BH$55:BH$96, MAX( COUNT( BI$9:BI$50 )  - $C158 + 1, 1)), INDEX( BH$101:BH$142, MAX( COUNT( BI$9:BI$50 )  - $B158 + 1, 1)) : INDEX( BH$101:BH$142, MAX( COUNT( BI$9:BI$50 )  - $C158 + 1, 1)) &gt; 0), $D158))</f>
        <v>1</v>
      </c>
      <c r="BI158" s="8">
        <f>+IF(BI$8 = 125, 1, _xlfn.PERCENTILE.INC(_xlfn._xlws.FILTER(INDEX( BI$55:BI$96, MAX( COUNT( BJ$9:BJ$50 )  - $B158 + 1, 1)) : INDEX( BI$55:BI$96, MAX( COUNT( BJ$9:BJ$50 )  - $C158 + 1, 1)), INDEX( BI$101:BI$142, MAX( COUNT( BJ$9:BJ$50 )  - $B158 + 1, 1)) : INDEX( BI$101:BI$142, MAX( COUNT( BJ$9:BJ$50 )  - $C158 + 1, 1)) &gt; 0), $D158))</f>
        <v>1</v>
      </c>
      <c r="BJ158" s="8">
        <f>+IF(BJ$8 = 125, 1, _xlfn.PERCENTILE.INC(_xlfn._xlws.FILTER(INDEX( BJ$55:BJ$96, MAX( COUNT( BK$9:BK$50 )  - $B158 + 1, 1)) : INDEX( BJ$55:BJ$96, MAX( COUNT( BK$9:BK$50 )  - $C158 + 1, 1)), INDEX( BJ$101:BJ$142, MAX( COUNT( BK$9:BK$50 )  - $B158 + 1, 1)) : INDEX( BJ$101:BJ$142, MAX( COUNT( BK$9:BK$50 )  - $C158 + 1, 1)) &gt; 0), $D158))</f>
        <v>1</v>
      </c>
      <c r="BK158" s="8">
        <f>+IF(BK$8 = 125, 1, _xlfn.PERCENTILE.INC(_xlfn._xlws.FILTER(INDEX( BK$55:BK$96, MAX( COUNT( BL$9:BL$50 )  - $B158 + 1, 1)) : INDEX( BK$55:BK$96, MAX( COUNT( BL$9:BL$50 )  - $C158 + 1, 1)), INDEX( BK$101:BK$142, MAX( COUNT( BL$9:BL$50 )  - $B158 + 1, 1)) : INDEX( BK$101:BK$142, MAX( COUNT( BL$9:BL$50 )  - $C158 + 1, 1)) &gt; 0), $D158))</f>
        <v>1</v>
      </c>
      <c r="BL158" s="8">
        <f>+IF(BL$8 = 125, 1, _xlfn.PERCENTILE.INC(_xlfn._xlws.FILTER(INDEX( BL$55:BL$96, MAX( COUNT( BM$9:BM$50 )  - $B158 + 1, 1)) : INDEX( BL$55:BL$96, MAX( COUNT( BM$9:BM$50 )  - $C158 + 1, 1)), INDEX( BL$101:BL$142, MAX( COUNT( BM$9:BM$50 )  - $B158 + 1, 1)) : INDEX( BL$101:BL$142, MAX( COUNT( BM$9:BM$50 )  - $C158 + 1, 1)) &gt; 0), $D158))</f>
        <v>1.000226160048409</v>
      </c>
      <c r="BM158" s="8">
        <f>+IF(BM$8 = 125, 1, _xlfn.PERCENTILE.INC(_xlfn._xlws.FILTER(INDEX( BM$55:BM$96, MAX( COUNT( BN$9:BN$50 )  - $B158 + 1, 1)) : INDEX( BM$55:BM$96, MAX( COUNT( BN$9:BN$50 )  - $C158 + 1, 1)), INDEX( BM$101:BM$142, MAX( COUNT( BN$9:BN$50 )  - $B158 + 1, 1)) : INDEX( BM$101:BM$142, MAX( COUNT( BN$9:BN$50 )  - $C158 + 1, 1)) &gt; 0), $D158))</f>
        <v>1</v>
      </c>
      <c r="BN158" s="8">
        <f>+IF(BN$8 = 125, 1, _xlfn.PERCENTILE.INC(_xlfn._xlws.FILTER(INDEX( BN$55:BN$96, MAX( COUNT( BO$9:BO$50 )  - $B158 + 1, 1)) : INDEX( BN$55:BN$96, MAX( COUNT( BO$9:BO$50 )  - $C158 + 1, 1)), INDEX( BN$101:BN$142, MAX( COUNT( BO$9:BO$50 )  - $B158 + 1, 1)) : INDEX( BN$101:BN$142, MAX( COUNT( BO$9:BO$50 )  - $C158 + 1, 1)) &gt; 0), $D158))</f>
        <v>1</v>
      </c>
      <c r="BO158" s="8">
        <f>+IF(BO$8 = 125, 1, _xlfn.PERCENTILE.INC(_xlfn._xlws.FILTER(INDEX( BO$55:BO$96, MAX( COUNT( BP$9:BP$50 )  - $B158 + 1, 1)) : INDEX( BO$55:BO$96, MAX( COUNT( BP$9:BP$50 )  - $C158 + 1, 1)), INDEX( BO$101:BO$142, MAX( COUNT( BP$9:BP$50 )  - $B158 + 1, 1)) : INDEX( BO$101:BO$142, MAX( COUNT( BP$9:BP$50 )  - $C158 + 1, 1)) &gt; 0), $D158))</f>
        <v>1.0000843390691858</v>
      </c>
      <c r="BP158" s="8">
        <f>+IF(BP$8 = 125, 1, _xlfn.PERCENTILE.INC(_xlfn._xlws.FILTER(INDEX( BP$55:BP$96, MAX( COUNT( BQ$9:BQ$50 )  - $B158 + 1, 1)) : INDEX( BP$55:BP$96, MAX( COUNT( BQ$9:BQ$50 )  - $C158 + 1, 1)), INDEX( BP$101:BP$142, MAX( COUNT( BQ$9:BQ$50 )  - $B158 + 1, 1)) : INDEX( BP$101:BP$142, MAX( COUNT( BQ$9:BQ$50 )  - $C158 + 1, 1)) &gt; 0), $D158))</f>
        <v>1</v>
      </c>
      <c r="BQ158" s="8">
        <f>+IF(BQ$8 = 125, 1, _xlfn.PERCENTILE.INC(_xlfn._xlws.FILTER(INDEX( BQ$55:BQ$96, MAX( COUNT( BR$9:BR$50 )  - $B158 + 1, 1)) : INDEX( BQ$55:BQ$96, MAX( COUNT( BR$9:BR$50 )  - $C158 + 1, 1)), INDEX( BQ$101:BQ$142, MAX( COUNT( BR$9:BR$50 )  - $B158 + 1, 1)) : INDEX( BQ$101:BQ$142, MAX( COUNT( BR$9:BR$50 )  - $C158 + 1, 1)) &gt; 0), $D158))</f>
        <v>1</v>
      </c>
      <c r="BR158" s="8">
        <f>+IF(BR$8 = 125, 1, _xlfn.PERCENTILE.INC(_xlfn._xlws.FILTER(INDEX( BR$55:BR$96, MAX( COUNT( BS$9:BS$50 )  - $B158 + 1, 1)) : INDEX( BR$55:BR$96, MAX( COUNT( BS$9:BS$50 )  - $C158 + 1, 1)), INDEX( BR$101:BR$142, MAX( COUNT( BS$9:BS$50 )  - $B158 + 1, 1)) : INDEX( BR$101:BR$142, MAX( COUNT( BS$9:BS$50 )  - $C158 + 1, 1)) &gt; 0), $D158))</f>
        <v>1</v>
      </c>
      <c r="BS158" s="8">
        <f>+IF(BS$8 = 125, 1, _xlfn.PERCENTILE.INC(_xlfn._xlws.FILTER(INDEX( BS$55:BS$96, MAX( COUNT( BT$9:BT$50 )  - $B158 + 1, 1)) : INDEX( BS$55:BS$96, MAX( COUNT( BT$9:BT$50 )  - $C158 + 1, 1)), INDEX( BS$101:BS$142, MAX( COUNT( BT$9:BT$50 )  - $B158 + 1, 1)) : INDEX( BS$101:BS$142, MAX( COUNT( BT$9:BT$50 )  - $C158 + 1, 1)) &gt; 0), $D158))</f>
        <v>1</v>
      </c>
      <c r="BT158" s="8">
        <f>+IF(BT$8 = 125, 1, _xlfn.PERCENTILE.INC(_xlfn._xlws.FILTER(INDEX( BT$55:BT$96, MAX( COUNT( BU$9:BU$50 )  - $B158 + 1, 1)) : INDEX( BT$55:BT$96, MAX( COUNT( BU$9:BU$50 )  - $C158 + 1, 1)), INDEX( BT$101:BT$142, MAX( COUNT( BU$9:BU$50 )  - $B158 + 1, 1)) : INDEX( BT$101:BT$142, MAX( COUNT( BU$9:BU$50 )  - $C158 + 1, 1)) &gt; 0), $D158))</f>
        <v>1</v>
      </c>
      <c r="BU158" s="8">
        <f>+IF(BU$8 = 125, 1, _xlfn.PERCENTILE.INC(_xlfn._xlws.FILTER(INDEX( BU$55:BU$96, MAX( COUNT( BV$9:BV$50 )  - $B158 + 1, 1)) : INDEX( BU$55:BU$96, MAX( COUNT( BV$9:BV$50 )  - $C158 + 1, 1)), INDEX( BU$101:BU$142, MAX( COUNT( BV$9:BV$50 )  - $B158 + 1, 1)) : INDEX( BU$101:BU$142, MAX( COUNT( BV$9:BV$50 )  - $C158 + 1, 1)) &gt; 0), $D158))</f>
        <v>1</v>
      </c>
      <c r="BV158" s="8">
        <f>+IF(BV$8 = 125, 1, _xlfn.PERCENTILE.INC(_xlfn._xlws.FILTER(INDEX( BV$55:BV$96, MAX( COUNT( BW$9:BW$50 )  - $B158 + 1, 1)) : INDEX( BV$55:BV$96, MAX( COUNT( BW$9:BW$50 )  - $C158 + 1, 1)), INDEX( BV$101:BV$142, MAX( COUNT( BW$9:BW$50 )  - $B158 + 1, 1)) : INDEX( BV$101:BV$142, MAX( COUNT( BW$9:BW$50 )  - $C158 + 1, 1)) &gt; 0), $D158))</f>
        <v>1</v>
      </c>
      <c r="BW158" s="8">
        <f>+IF(BW$8 = 125, 1, _xlfn.PERCENTILE.INC(_xlfn._xlws.FILTER(INDEX( BW$55:BW$96, MAX( COUNT( BX$9:BX$50 )  - $B158 + 1, 1)) : INDEX( BW$55:BW$96, MAX( COUNT( BX$9:BX$50 )  - $C158 + 1, 1)), INDEX( BW$101:BW$142, MAX( COUNT( BX$9:BX$50 )  - $B158 + 1, 1)) : INDEX( BW$101:BW$142, MAX( COUNT( BX$9:BX$50 )  - $C158 + 1, 1)) &gt; 0), $D158))</f>
        <v>1</v>
      </c>
      <c r="BX158" s="8">
        <f>+IF(BX$8 = 125, 1, _xlfn.PERCENTILE.INC(_xlfn._xlws.FILTER(INDEX( BX$55:BX$96, MAX( COUNT( BY$9:BY$50 )  - $B158 + 1, 1)) : INDEX( BX$55:BX$96, MAX( COUNT( BY$9:BY$50 )  - $C158 + 1, 1)), INDEX( BX$101:BX$142, MAX( COUNT( BY$9:BY$50 )  - $B158 + 1, 1)) : INDEX( BX$101:BX$142, MAX( COUNT( BY$9:BY$50 )  - $C158 + 1, 1)) &gt; 0), $D158))</f>
        <v>1.0001874339124521</v>
      </c>
      <c r="BY158" s="8">
        <f>+IF(BY$8 = 125, 1, _xlfn.PERCENTILE.INC(_xlfn._xlws.FILTER(INDEX( BY$55:BY$96, MAX( COUNT( BZ$9:BZ$50 )  - $B158 + 1, 1)) : INDEX( BY$55:BY$96, MAX( COUNT( BZ$9:BZ$50 )  - $C158 + 1, 1)), INDEX( BY$101:BY$142, MAX( COUNT( BZ$9:BZ$50 )  - $B158 + 1, 1)) : INDEX( BY$101:BY$142, MAX( COUNT( BZ$9:BZ$50 )  - $C158 + 1, 1)) &gt; 0), $D158))</f>
        <v>1</v>
      </c>
      <c r="BZ158" s="8">
        <f>+IF(BZ$8 = 125, 1, _xlfn.PERCENTILE.INC(_xlfn._xlws.FILTER(INDEX( BZ$55:BZ$96, MAX( COUNT( CA$9:CA$50 )  - $B158 + 1, 1)) : INDEX( BZ$55:BZ$96, MAX( COUNT( CA$9:CA$50 )  - $C158 + 1, 1)), INDEX( BZ$101:BZ$142, MAX( COUNT( CA$9:CA$50 )  - $B158 + 1, 1)) : INDEX( BZ$101:BZ$142, MAX( COUNT( CA$9:CA$50 )  - $C158 + 1, 1)) &gt; 0), $D158))</f>
        <v>1.0000216710184708</v>
      </c>
      <c r="CA158" s="8">
        <f>+IF(CA$8 = 125, 1, _xlfn.PERCENTILE.INC(_xlfn._xlws.FILTER(INDEX( CA$55:CA$96, MAX( COUNT( CB$9:CB$50 )  - $B158 + 1, 1)) : INDEX( CA$55:CA$96, MAX( COUNT( CB$9:CB$50 )  - $C158 + 1, 1)), INDEX( CA$101:CA$142, MAX( COUNT( CB$9:CB$50 )  - $B158 + 1, 1)) : INDEX( CA$101:CA$142, MAX( COUNT( CB$9:CB$50 )  - $C158 + 1, 1)) &gt; 0), $D158))</f>
        <v>1.0000588497385379</v>
      </c>
      <c r="CB158" s="8">
        <f>+IF(CB$8 = 125, 1, _xlfn.PERCENTILE.INC(_xlfn._xlws.FILTER(INDEX( CB$55:CB$96, MAX( COUNT( CC$9:CC$50 )  - $B158 + 1, 1)) : INDEX( CB$55:CB$96, MAX( COUNT( CC$9:CC$50 )  - $C158 + 1, 1)), INDEX( CB$101:CB$142, MAX( COUNT( CC$9:CC$50 )  - $B158 + 1, 1)) : INDEX( CB$101:CB$142, MAX( COUNT( CC$9:CC$50 )  - $C158 + 1, 1)) &gt; 0), $D158))</f>
        <v>1</v>
      </c>
      <c r="CC158" s="8">
        <f>+IF(CC$8 = 125, 1, _xlfn.PERCENTILE.INC(_xlfn._xlws.FILTER(INDEX( CC$55:CC$96, MAX( COUNT( CD$9:CD$50 )  - $B158 + 1, 1)) : INDEX( CC$55:CC$96, MAX( COUNT( CD$9:CD$50 )  - $C158 + 1, 1)), INDEX( CC$101:CC$142, MAX( COUNT( CD$9:CD$50 )  - $B158 + 1, 1)) : INDEX( CC$101:CC$142, MAX( COUNT( CD$9:CD$50 )  - $C158 + 1, 1)) &gt; 0), $D158))</f>
        <v>1</v>
      </c>
      <c r="CD158" s="8">
        <f>+IF(CD$8 = 125, 1, _xlfn.PERCENTILE.INC(_xlfn._xlws.FILTER(INDEX( CD$55:CD$96, MAX( COUNT( CE$9:CE$50 )  - $B158 + 1, 1)) : INDEX( CD$55:CD$96, MAX( COUNT( CE$9:CE$50 )  - $C158 + 1, 1)), INDEX( CD$101:CD$142, MAX( COUNT( CE$9:CE$50 )  - $B158 + 1, 1)) : INDEX( CD$101:CD$142, MAX( COUNT( CE$9:CE$50 )  - $C158 + 1, 1)) &gt; 0), $D158))</f>
        <v>1</v>
      </c>
      <c r="CE158" s="8">
        <f>+IF(CE$8 = 125, 1, _xlfn.PERCENTILE.INC(_xlfn._xlws.FILTER(INDEX( CE$55:CE$96, MAX( COUNT( CF$9:CF$50 )  - $B158 + 1, 1)) : INDEX( CE$55:CE$96, MAX( COUNT( CF$9:CF$50 )  - $C158 + 1, 1)), INDEX( CE$101:CE$142, MAX( COUNT( CF$9:CF$50 )  - $B158 + 1, 1)) : INDEX( CE$101:CE$142, MAX( COUNT( CF$9:CF$50 )  - $C158 + 1, 1)) &gt; 0), $D158))</f>
        <v>1</v>
      </c>
      <c r="CF158" s="8">
        <f>+IF(CF$8 = 125, 1, _xlfn.PERCENTILE.INC(_xlfn._xlws.FILTER(INDEX( CF$55:CF$96, MAX( COUNT( CG$9:CG$50 )  - $B158 + 1, 1)) : INDEX( CF$55:CF$96, MAX( COUNT( CG$9:CG$50 )  - $C158 + 1, 1)), INDEX( CF$101:CF$142, MAX( COUNT( CG$9:CG$50 )  - $B158 + 1, 1)) : INDEX( CF$101:CF$142, MAX( COUNT( CG$9:CG$50 )  - $C158 + 1, 1)) &gt; 0), $D158))</f>
        <v>1</v>
      </c>
      <c r="CG158" s="8">
        <f>+IF(CG$8 = 125, 1, _xlfn.PERCENTILE.INC(_xlfn._xlws.FILTER(INDEX( CG$55:CG$96, MAX( COUNT( CH$9:CH$50 )  - $B158 + 1, 1)) : INDEX( CG$55:CG$96, MAX( COUNT( CH$9:CH$50 )  - $C158 + 1, 1)), INDEX( CG$101:CG$142, MAX( COUNT( CH$9:CH$50 )  - $B158 + 1, 1)) : INDEX( CG$101:CG$142, MAX( COUNT( CH$9:CH$50 )  - $C158 + 1, 1)) &gt; 0), $D158))</f>
        <v>1</v>
      </c>
      <c r="CH158" s="8">
        <f>+IF(CH$8 = 125, 1, _xlfn.PERCENTILE.INC(_xlfn._xlws.FILTER(INDEX( CH$55:CH$96, MAX( COUNT( CI$9:CI$50 )  - $B158 + 1, 1)) : INDEX( CH$55:CH$96, MAX( COUNT( CI$9:CI$50 )  - $C158 + 1, 1)), INDEX( CH$101:CH$142, MAX( COUNT( CI$9:CI$50 )  - $B158 + 1, 1)) : INDEX( CH$101:CH$142, MAX( COUNT( CI$9:CI$50 )  - $C158 + 1, 1)) &gt; 0), $D158))</f>
        <v>1.0000179490068068</v>
      </c>
      <c r="CI158" s="8">
        <f>+IF(CI$8 = 125, 1, _xlfn.PERCENTILE.INC(_xlfn._xlws.FILTER(INDEX( CI$55:CI$96, MAX( COUNT( CJ$9:CJ$50 )  - $B158 + 1, 1)) : INDEX( CI$55:CI$96, MAX( COUNT( CJ$9:CJ$50 )  - $C158 + 1, 1)), INDEX( CI$101:CI$142, MAX( COUNT( CJ$9:CJ$50 )  - $B158 + 1, 1)) : INDEX( CI$101:CI$142, MAX( COUNT( CJ$9:CJ$50 )  - $C158 + 1, 1)) &gt; 0), $D158))</f>
        <v>1</v>
      </c>
      <c r="CJ158" s="8">
        <f>+IF(CJ$8 = 125, 1, _xlfn.PERCENTILE.INC(_xlfn._xlws.FILTER(INDEX( CJ$55:CJ$96, MAX( COUNT( CK$9:CK$50 )  - $B158 + 1, 1)) : INDEX( CJ$55:CJ$96, MAX( COUNT( CK$9:CK$50 )  - $C158 + 1, 1)), INDEX( CJ$101:CJ$142, MAX( COUNT( CK$9:CK$50 )  - $B158 + 1, 1)) : INDEX( CJ$101:CJ$142, MAX( COUNT( CK$9:CK$50 )  - $C158 + 1, 1)) &gt; 0), $D158))</f>
        <v>1</v>
      </c>
      <c r="CK158" s="8">
        <f>+IF(CK$8 = 125, 1, _xlfn.PERCENTILE.INC(_xlfn._xlws.FILTER(INDEX( CK$55:CK$96, MAX( COUNT( CL$9:CL$50 )  - $B158 + 1, 1)) : INDEX( CK$55:CK$96, MAX( COUNT( CL$9:CL$50 )  - $C158 + 1, 1)), INDEX( CK$101:CK$142, MAX( COUNT( CL$9:CL$50 )  - $B158 + 1, 1)) : INDEX( CK$101:CK$142, MAX( COUNT( CL$9:CL$50 )  - $C158 + 1, 1)) &gt; 0), $D158))</f>
        <v>1</v>
      </c>
      <c r="CL158" s="8">
        <f>+IF(CL$8 = 125, 1, _xlfn.PERCENTILE.INC(_xlfn._xlws.FILTER(INDEX( CL$55:CL$96, MAX( COUNT( CM$9:CM$50 )  - $B158 + 1, 1)) : INDEX( CL$55:CL$96, MAX( COUNT( CM$9:CM$50 )  - $C158 + 1, 1)), INDEX( CL$101:CL$142, MAX( COUNT( CM$9:CM$50 )  - $B158 + 1, 1)) : INDEX( CL$101:CL$142, MAX( COUNT( CM$9:CM$50 )  - $C158 + 1, 1)) &gt; 0), $D158))</f>
        <v>1</v>
      </c>
      <c r="CM158" s="8">
        <f>+IF(CM$8 = 125, 1, _xlfn.PERCENTILE.INC(_xlfn._xlws.FILTER(INDEX( CM$55:CM$96, MAX( COUNT( CN$9:CN$50 )  - $B158 + 1, 1)) : INDEX( CM$55:CM$96, MAX( COUNT( CN$9:CN$50 )  - $C158 + 1, 1)), INDEX( CM$101:CM$142, MAX( COUNT( CN$9:CN$50 )  - $B158 + 1, 1)) : INDEX( CM$101:CM$142, MAX( COUNT( CN$9:CN$50 )  - $C158 + 1, 1)) &gt; 0), $D158))</f>
        <v>1.00016227254323</v>
      </c>
      <c r="CN158" s="8">
        <f>+IF(CN$8 = 125, 1, _xlfn.PERCENTILE.INC(_xlfn._xlws.FILTER(INDEX( CN$55:CN$96, MAX( COUNT( CO$9:CO$50 )  - $B158 + 1, 1)) : INDEX( CN$55:CN$96, MAX( COUNT( CO$9:CO$50 )  - $C158 + 1, 1)), INDEX( CN$101:CN$142, MAX( COUNT( CO$9:CO$50 )  - $B158 + 1, 1)) : INDEX( CN$101:CN$142, MAX( COUNT( CO$9:CO$50 )  - $C158 + 1, 1)) &gt; 0), $D158))</f>
        <v>1</v>
      </c>
      <c r="CO158" s="8">
        <f>+IF(CO$8 = 125, 1, _xlfn.PERCENTILE.INC(_xlfn._xlws.FILTER(INDEX( CO$55:CO$96, MAX( COUNT( CP$9:CP$50 )  - $B158 + 1, 1)) : INDEX( CO$55:CO$96, MAX( COUNT( CP$9:CP$50 )  - $C158 + 1, 1)), INDEX( CO$101:CO$142, MAX( COUNT( CP$9:CP$50 )  - $B158 + 1, 1)) : INDEX( CO$101:CO$142, MAX( COUNT( CP$9:CP$50 )  - $C158 + 1, 1)) &gt; 0), $D158))</f>
        <v>1</v>
      </c>
      <c r="CP158" s="8">
        <f>+IF(CP$8 = 125, 1, _xlfn.PERCENTILE.INC(_xlfn._xlws.FILTER(INDEX( CP$55:CP$96, MAX( COUNT( CQ$9:CQ$50 )  - $B158 + 1, 1)) : INDEX( CP$55:CP$96, MAX( COUNT( CQ$9:CQ$50 )  - $C158 + 1, 1)), INDEX( CP$101:CP$142, MAX( COUNT( CQ$9:CQ$50 )  - $B158 + 1, 1)) : INDEX( CP$101:CP$142, MAX( COUNT( CQ$9:CQ$50 )  - $C158 + 1, 1)) &gt; 0), $D158))</f>
        <v>1</v>
      </c>
      <c r="CQ158" s="8">
        <f>+IF(CQ$8 = 125, 1, _xlfn.PERCENTILE.INC(_xlfn._xlws.FILTER(INDEX( CQ$55:CQ$96, MAX( COUNT( CR$9:CR$50 )  - $B158 + 1, 1)) : INDEX( CQ$55:CQ$96, MAX( COUNT( CR$9:CR$50 )  - $C158 + 1, 1)), INDEX( CQ$101:CQ$142, MAX( COUNT( CR$9:CR$50 )  - $B158 + 1, 1)) : INDEX( CQ$101:CQ$142, MAX( COUNT( CR$9:CR$50 )  - $C158 + 1, 1)) &gt; 0), $D158))</f>
        <v>1</v>
      </c>
      <c r="CR158" s="8">
        <f>+IF(CR$8 = 125, 1, _xlfn.PERCENTILE.INC(_xlfn._xlws.FILTER(INDEX( CR$55:CR$96, MAX( COUNT( CS$9:CS$50 )  - $B158 + 1, 1)) : INDEX( CR$55:CR$96, MAX( COUNT( CS$9:CS$50 )  - $C158 + 1, 1)), INDEX( CR$101:CR$142, MAX( COUNT( CS$9:CS$50 )  - $B158 + 1, 1)) : INDEX( CR$101:CR$142, MAX( COUNT( CS$9:CS$50 )  - $C158 + 1, 1)) &gt; 0), $D158))</f>
        <v>1</v>
      </c>
      <c r="CS158" s="8">
        <f>+IF(CS$8 = 125, 1, _xlfn.PERCENTILE.INC(_xlfn._xlws.FILTER(INDEX( CS$55:CS$96, MAX( COUNT( CT$9:CT$50 )  - $B158 + 1, 1)) : INDEX( CS$55:CS$96, MAX( COUNT( CT$9:CT$50 )  - $C158 + 1, 1)), INDEX( CS$101:CS$142, MAX( COUNT( CT$9:CT$50 )  - $B158 + 1, 1)) : INDEX( CS$101:CS$142, MAX( COUNT( CT$9:CT$50 )  - $C158 + 1, 1)) &gt; 0), $D158))</f>
        <v>1</v>
      </c>
      <c r="CT158" s="8">
        <f>+IF(CT$8 = 125, 1, _xlfn.PERCENTILE.INC(_xlfn._xlws.FILTER(INDEX( CT$55:CT$96, MAX( COUNT( CU$9:CU$50 )  - $B158 + 1, 1)) : INDEX( CT$55:CT$96, MAX( COUNT( CU$9:CU$50 )  - $C158 + 1, 1)), INDEX( CT$101:CT$142, MAX( COUNT( CU$9:CU$50 )  - $B158 + 1, 1)) : INDEX( CT$101:CT$142, MAX( COUNT( CU$9:CU$50 )  - $C158 + 1, 1)) &gt; 0), $D158))</f>
        <v>1</v>
      </c>
      <c r="CU158" s="8">
        <f>+IF(CU$8 = 125, 1, _xlfn.PERCENTILE.INC(_xlfn._xlws.FILTER(INDEX( CU$55:CU$96, MAX( COUNT( CV$9:CV$50 )  - $B158 + 1, 1)) : INDEX( CU$55:CU$96, MAX( COUNT( CV$9:CV$50 )  - $C158 + 1, 1)), INDEX( CU$101:CU$142, MAX( COUNT( CV$9:CV$50 )  - $B158 + 1, 1)) : INDEX( CU$101:CU$142, MAX( COUNT( CV$9:CV$50 )  - $C158 + 1, 1)) &gt; 0), $D158))</f>
        <v>1</v>
      </c>
      <c r="CV158" s="8">
        <f>+IF(CV$8 = 125, 1, _xlfn.PERCENTILE.INC(_xlfn._xlws.FILTER(INDEX( CV$55:CV$96, MAX( COUNT( CW$9:CW$50 )  - $B158 + 1, 1)) : INDEX( CV$55:CV$96, MAX( COUNT( CW$9:CW$50 )  - $C158 + 1, 1)), INDEX( CV$101:CV$142, MAX( COUNT( CW$9:CW$50 )  - $B158 + 1, 1)) : INDEX( CV$101:CV$142, MAX( COUNT( CW$9:CW$50 )  - $C158 + 1, 1)) &gt; 0), $D158))</f>
        <v>1</v>
      </c>
      <c r="CW158" s="8">
        <f>+IF(CW$8 = 125, 1, _xlfn.PERCENTILE.INC(_xlfn._xlws.FILTER(INDEX( CW$55:CW$96, MAX( COUNT( CX$9:CX$50 )  - $B158 + 1, 1)) : INDEX( CW$55:CW$96, MAX( COUNT( CX$9:CX$50 )  - $C158 + 1, 1)), INDEX( CW$101:CW$142, MAX( COUNT( CX$9:CX$50 )  - $B158 + 1, 1)) : INDEX( CW$101:CW$142, MAX( COUNT( CX$9:CX$50 )  - $C158 + 1, 1)) &gt; 0), $D158))</f>
        <v>1</v>
      </c>
      <c r="CX158" s="8">
        <f>+IF(CX$8 = 125, 1, _xlfn.PERCENTILE.INC(_xlfn._xlws.FILTER(INDEX( CX$55:CX$96, MAX( COUNT( CY$9:CY$50 )  - $B158 + 1, 1)) : INDEX( CX$55:CX$96, MAX( COUNT( CY$9:CY$50 )  - $C158 + 1, 1)), INDEX( CX$101:CX$142, MAX( COUNT( CY$9:CY$50 )  - $B158 + 1, 1)) : INDEX( CX$101:CX$142, MAX( COUNT( CY$9:CY$50 )  - $C158 + 1, 1)) &gt; 0), $D158))</f>
        <v>1.0001788523518536</v>
      </c>
      <c r="CY158" s="8">
        <f>+IF(CY$8 = 125, 1, _xlfn.PERCENTILE.INC(_xlfn._xlws.FILTER(INDEX( CY$55:CY$96, MAX( COUNT( CZ$9:CZ$50 )  - $B158 + 1, 1)) : INDEX( CY$55:CY$96, MAX( COUNT( CZ$9:CZ$50 )  - $C158 + 1, 1)), INDEX( CY$101:CY$142, MAX( COUNT( CZ$9:CZ$50 )  - $B158 + 1, 1)) : INDEX( CY$101:CY$142, MAX( COUNT( CZ$9:CZ$50 )  - $C158 + 1, 1)) &gt; 0), $D158))</f>
        <v>1.000554894931631</v>
      </c>
      <c r="CZ158" s="8">
        <f>+IF(CZ$8 = 125, 1, _xlfn.PERCENTILE.INC(_xlfn._xlws.FILTER(INDEX( CZ$55:CZ$96, MAX( COUNT( DA$9:DA$50 )  - $B158 + 1, 1)) : INDEX( CZ$55:CZ$96, MAX( COUNT( DA$9:DA$50 )  - $C158 + 1, 1)), INDEX( CZ$101:CZ$142, MAX( COUNT( DA$9:DA$50 )  - $B158 + 1, 1)) : INDEX( CZ$101:CZ$142, MAX( COUNT( DA$9:DA$50 )  - $C158 + 1, 1)) &gt; 0), $D158))</f>
        <v>1.0002105517818762</v>
      </c>
      <c r="DA158" s="8">
        <f>+IF(DA$8 = 125, 1, _xlfn.PERCENTILE.INC(_xlfn._xlws.FILTER(INDEX( DA$55:DA$96, MAX( COUNT( DB$9:DB$50 )  - $B158 + 1, 1)) : INDEX( DA$55:DA$96, MAX( COUNT( DB$9:DB$50 )  - $C158 + 1, 1)), INDEX( DA$101:DA$142, MAX( COUNT( DB$9:DB$50 )  - $B158 + 1, 1)) : INDEX( DA$101:DA$142, MAX( COUNT( DB$9:DB$50 )  - $C158 + 1, 1)) &gt; 0), $D158))</f>
        <v>1.0000554729617492</v>
      </c>
      <c r="DB158" s="8">
        <f>+IF(DB$8 = 125, 1, _xlfn.PERCENTILE.INC(_xlfn._xlws.FILTER(INDEX( DB$55:DB$96, MAX( COUNT( DC$9:DC$50 )  - $B158 + 1, 1)) : INDEX( DB$55:DB$96, MAX( COUNT( DC$9:DC$50 )  - $C158 + 1, 1)), INDEX( DB$101:DB$142, MAX( COUNT( DC$9:DC$50 )  - $B158 + 1, 1)) : INDEX( DB$101:DB$142, MAX( COUNT( DC$9:DC$50 )  - $C158 + 1, 1)) &gt; 0), $D158))</f>
        <v>1</v>
      </c>
      <c r="DC158" s="8">
        <f>+IF(DC$8 = 125, 1, _xlfn.PERCENTILE.INC(_xlfn._xlws.FILTER(INDEX( DC$55:DC$96, MAX( COUNT( DD$9:DD$50 )  - $B158 + 1, 1)) : INDEX( DC$55:DC$96, MAX( COUNT( DD$9:DD$50 )  - $C158 + 1, 1)), INDEX( DC$101:DC$142, MAX( COUNT( DD$9:DD$50 )  - $B158 + 1, 1)) : INDEX( DC$101:DC$142, MAX( COUNT( DD$9:DD$50 )  - $C158 + 1, 1)) &gt; 0), $D158))</f>
        <v>1</v>
      </c>
      <c r="DD158" s="8">
        <f>+IF(DD$8 = 125, 1, _xlfn.PERCENTILE.INC(_xlfn._xlws.FILTER(INDEX( DD$55:DD$96, MAX( COUNT( DE$9:DE$50 )  - $B158 + 1, 1)) : INDEX( DD$55:DD$96, MAX( COUNT( DE$9:DE$50 )  - $C158 + 1, 1)), INDEX( DD$101:DD$142, MAX( COUNT( DE$9:DE$50 )  - $B158 + 1, 1)) : INDEX( DD$101:DD$142, MAX( COUNT( DE$9:DE$50 )  - $C158 + 1, 1)) &gt; 0), $D158))</f>
        <v>1</v>
      </c>
      <c r="DE158" s="8">
        <f>+IF(DE$8 = 125, 1, _xlfn.PERCENTILE.INC(_xlfn._xlws.FILTER(INDEX( DE$55:DE$96, MAX( COUNT( DF$9:DF$50 )  - $B158 + 1, 1)) : INDEX( DE$55:DE$96, MAX( COUNT( DF$9:DF$50 )  - $C158 + 1, 1)), INDEX( DE$101:DE$142, MAX( COUNT( DF$9:DF$50 )  - $B158 + 1, 1)) : INDEX( DE$101:DE$142, MAX( COUNT( DF$9:DF$50 )  - $C158 + 1, 1)) &gt; 0), $D158))</f>
        <v>1</v>
      </c>
      <c r="DF158" s="8">
        <f>+IF(DF$8 = 125, 1, _xlfn.PERCENTILE.INC(_xlfn._xlws.FILTER(INDEX( DF$55:DF$96, MAX( COUNT( DG$9:DG$50 )  - $B158 + 1, 1)) : INDEX( DF$55:DF$96, MAX( COUNT( DG$9:DG$50 )  - $C158 + 1, 1)), INDEX( DF$101:DF$142, MAX( COUNT( DG$9:DG$50 )  - $B158 + 1, 1)) : INDEX( DF$101:DF$142, MAX( COUNT( DG$9:DG$50 )  - $C158 + 1, 1)) &gt; 0), $D158))</f>
        <v>1</v>
      </c>
      <c r="DG158" s="8">
        <f>+IF(DG$8 = 125, 1, _xlfn.PERCENTILE.INC(_xlfn._xlws.FILTER(INDEX( DG$55:DG$96, MAX( COUNT( DH$9:DH$50 )  - $B158 + 1, 1)) : INDEX( DG$55:DG$96, MAX( COUNT( DH$9:DH$50 )  - $C158 + 1, 1)), INDEX( DG$101:DG$142, MAX( COUNT( DH$9:DH$50 )  - $B158 + 1, 1)) : INDEX( DG$101:DG$142, MAX( COUNT( DH$9:DH$50 )  - $C158 + 1, 1)) &gt; 0), $D158))</f>
        <v>1</v>
      </c>
      <c r="DH158" s="8">
        <f>+IF(DH$8 = 125, 1, _xlfn.PERCENTILE.INC(_xlfn._xlws.FILTER(INDEX( DH$55:DH$96, MAX( COUNT( DI$9:DI$50 )  - $B158 + 1, 1)) : INDEX( DH$55:DH$96, MAX( COUNT( DI$9:DI$50 )  - $C158 + 1, 1)), INDEX( DH$101:DH$142, MAX( COUNT( DI$9:DI$50 )  - $B158 + 1, 1)) : INDEX( DH$101:DH$142, MAX( COUNT( DI$9:DI$50 )  - $C158 + 1, 1)) &gt; 0), $D158))</f>
        <v>1</v>
      </c>
      <c r="DI158" s="8">
        <f>+IF(DI$8 = 125, 1, _xlfn.PERCENTILE.INC(_xlfn._xlws.FILTER(INDEX( DI$55:DI$96, MAX( COUNT( DJ$9:DJ$50 )  - $B158 + 1, 1)) : INDEX( DI$55:DI$96, MAX( COUNT( DJ$9:DJ$50 )  - $C158 + 1, 1)), INDEX( DI$101:DI$142, MAX( COUNT( DJ$9:DJ$50 )  - $B158 + 1, 1)) : INDEX( DI$101:DI$142, MAX( COUNT( DJ$9:DJ$50 )  - $C158 + 1, 1)) &gt; 0), $D158))</f>
        <v>1</v>
      </c>
      <c r="DJ158" s="8">
        <f>+IF(DJ$8 = 125, 1, _xlfn.PERCENTILE.INC(_xlfn._xlws.FILTER(INDEX( DJ$55:DJ$96, MAX( COUNT( DK$9:DK$50 )  - $B158 + 1, 1)) : INDEX( DJ$55:DJ$96, MAX( COUNT( DK$9:DK$50 )  - $C158 + 1, 1)), INDEX( DJ$101:DJ$142, MAX( COUNT( DK$9:DK$50 )  - $B158 + 1, 1)) : INDEX( DJ$101:DJ$142, MAX( COUNT( DK$9:DK$50 )  - $C158 + 1, 1)) &gt; 0), $D158))</f>
        <v>1</v>
      </c>
      <c r="DK158" s="8">
        <f>+IF(DK$8 = 125, 1, _xlfn.PERCENTILE.INC(_xlfn._xlws.FILTER(INDEX( DK$55:DK$96, MAX( COUNT( DL$9:DL$50 )  - $B158 + 1, 1)) : INDEX( DK$55:DK$96, MAX( COUNT( DL$9:DL$50 )  - $C158 + 1, 1)), INDEX( DK$101:DK$142, MAX( COUNT( DL$9:DL$50 )  - $B158 + 1, 1)) : INDEX( DK$101:DK$142, MAX( COUNT( DL$9:DL$50 )  - $C158 + 1, 1)) &gt; 0), $D158))</f>
        <v>1.0007915143953068</v>
      </c>
      <c r="DL158" s="8">
        <f>+IF(DL$8 = 125, 1, _xlfn.PERCENTILE.INC(_xlfn._xlws.FILTER(INDEX( DL$55:DL$96, MAX( COUNT( DM$9:DM$50 )  - $B158 + 1, 1)) : INDEX( DL$55:DL$96, MAX( COUNT( DM$9:DM$50 )  - $C158 + 1, 1)), INDEX( DL$101:DL$142, MAX( COUNT( DM$9:DM$50 )  - $B158 + 1, 1)) : INDEX( DL$101:DL$142, MAX( COUNT( DM$9:DM$50 )  - $C158 + 1, 1)) &gt; 0), $D158))</f>
        <v>1.0003868937258826</v>
      </c>
      <c r="DM158" s="8">
        <f>+IF(DM$8 = 125, 1, _xlfn.PERCENTILE.INC(_xlfn._xlws.FILTER(INDEX( DM$55:DM$96, MAX( COUNT( DN$9:DN$50 )  - $B158 + 1, 1)) : INDEX( DM$55:DM$96, MAX( COUNT( DN$9:DN$50 )  - $C158 + 1, 1)), INDEX( DM$101:DM$142, MAX( COUNT( DN$9:DN$50 )  - $B158 + 1, 1)) : INDEX( DM$101:DM$142, MAX( COUNT( DN$9:DN$50 )  - $C158 + 1, 1)) &gt; 0), $D158))</f>
        <v>1</v>
      </c>
      <c r="DN158" s="8">
        <f>+IF(DN$8 = 125, 1, _xlfn.PERCENTILE.INC(_xlfn._xlws.FILTER(INDEX( DN$55:DN$96, MAX( COUNT( DO$9:DO$50 )  - $B158 + 1, 1)) : INDEX( DN$55:DN$96, MAX( COUNT( DO$9:DO$50 )  - $C158 + 1, 1)), INDEX( DN$101:DN$142, MAX( COUNT( DO$9:DO$50 )  - $B158 + 1, 1)) : INDEX( DN$101:DN$142, MAX( COUNT( DO$9:DO$50 )  - $C158 + 1, 1)) &gt; 0), $D158))</f>
        <v>1</v>
      </c>
      <c r="DO158" s="8">
        <f>+IF(DO$8 = 125, 1, _xlfn.PERCENTILE.INC(_xlfn._xlws.FILTER(INDEX( DO$55:DO$96, MAX( COUNT( DP$9:DP$50 )  - $B158 + 1, 1)) : INDEX( DO$55:DO$96, MAX( COUNT( DP$9:DP$50 )  - $C158 + 1, 1)), INDEX( DO$101:DO$142, MAX( COUNT( DP$9:DP$50 )  - $B158 + 1, 1)) : INDEX( DO$101:DO$142, MAX( COUNT( DP$9:DP$50 )  - $C158 + 1, 1)) &gt; 0), $D158))</f>
        <v>1.0007031683645964</v>
      </c>
      <c r="DP158" s="8">
        <f>+IF(DP$8 = 125, 1, _xlfn.PERCENTILE.INC(_xlfn._xlws.FILTER(INDEX( DP$55:DP$96, MAX( COUNT( DQ$9:DQ$50 )  - $B158 + 1, 1)) : INDEX( DP$55:DP$96, MAX( COUNT( DQ$9:DQ$50 )  - $C158 + 1, 1)), INDEX( DP$101:DP$142, MAX( COUNT( DQ$9:DQ$50 )  - $B158 + 1, 1)) : INDEX( DP$101:DP$142, MAX( COUNT( DQ$9:DQ$50 )  - $C158 + 1, 1)) &gt; 0), $D158))</f>
        <v>1</v>
      </c>
      <c r="DQ158" s="8">
        <f>+IF(DQ$8 = 125, 1, _xlfn.PERCENTILE.INC(_xlfn._xlws.FILTER(INDEX( DQ$55:DQ$96, MAX( COUNT( DR$9:DR$50 )  - $B158 + 1, 1)) : INDEX( DQ$55:DQ$96, MAX( COUNT( DR$9:DR$50 )  - $C158 + 1, 1)), INDEX( DQ$101:DQ$142, MAX( COUNT( DR$9:DR$50 )  - $B158 + 1, 1)) : INDEX( DQ$101:DQ$142, MAX( COUNT( DR$9:DR$50 )  - $C158 + 1, 1)) &gt; 0), $D158))</f>
        <v>1</v>
      </c>
      <c r="DR158" s="8">
        <f>+IF(DR$8 = 125, 1, _xlfn.PERCENTILE.INC(_xlfn._xlws.FILTER(INDEX( DR$55:DR$96, MAX( COUNT( DS$9:DS$50 )  - $B158 + 1, 1)) : INDEX( DR$55:DR$96, MAX( COUNT( DS$9:DS$50 )  - $C158 + 1, 1)), INDEX( DR$101:DR$142, MAX( COUNT( DS$9:DS$50 )  - $B158 + 1, 1)) : INDEX( DR$101:DR$142, MAX( COUNT( DS$9:DS$50 )  - $C158 + 1, 1)) &gt; 0), $D158))</f>
        <v>1</v>
      </c>
      <c r="DS158" s="8">
        <f>+IF(DS$8 = 125, 1, _xlfn.PERCENTILE.INC(_xlfn._xlws.FILTER(INDEX( DS$55:DS$96, MAX( COUNT( DT$9:DT$50 )  - $B158 + 1, 1)) : INDEX( DS$55:DS$96, MAX( COUNT( DT$9:DT$50 )  - $C158 + 1, 1)), INDEX( DS$101:DS$142, MAX( COUNT( DT$9:DT$50 )  - $B158 + 1, 1)) : INDEX( DS$101:DS$142, MAX( COUNT( DT$9:DT$50 )  - $C158 + 1, 1)) &gt; 0), $D158))</f>
        <v>1.000217269338618</v>
      </c>
      <c r="DT158" s="8">
        <f>+IF(DT$8 = 125, 1, _xlfn.PERCENTILE.INC(_xlfn._xlws.FILTER(INDEX( DT$55:DT$96, MAX( COUNT( DU$9:DU$50 )  - $B158 + 1, 1)) : INDEX( DT$55:DT$96, MAX( COUNT( DU$9:DU$50 )  - $C158 + 1, 1)), INDEX( DT$101:DT$142, MAX( COUNT( DU$9:DU$50 )  - $B158 + 1, 1)) : INDEX( DT$101:DT$142, MAX( COUNT( DU$9:DU$50 )  - $C158 + 1, 1)) &gt; 0), $D158))</f>
        <v>1.0014130761270028</v>
      </c>
      <c r="DU158" s="8">
        <f>+IF(DU$8 = 125, 1, _xlfn.PERCENTILE.INC(_xlfn._xlws.FILTER(INDEX( DU$55:DU$96, MAX( COUNT( DV$9:DV$50 )  - $B158 + 1, 1)) : INDEX( DU$55:DU$96, MAX( COUNT( DV$9:DV$50 )  - $C158 + 1, 1)), INDEX( DU$101:DU$142, MAX( COUNT( DV$9:DV$50 )  - $B158 + 1, 1)) : INDEX( DU$101:DU$142, MAX( COUNT( DV$9:DV$50 )  - $C158 + 1, 1)) &gt; 0), $D158))</f>
        <v>1.0005439843307575</v>
      </c>
      <c r="DV158" s="8">
        <f>+IF(DV$8 = 125, 1, _xlfn.PERCENTILE.INC(_xlfn._xlws.FILTER(INDEX( DV$55:DV$96, MAX( COUNT( DW$9:DW$50 )  - $B158 + 1, 1)) : INDEX( DV$55:DV$96, MAX( COUNT( DW$9:DW$50 )  - $C158 + 1, 1)), INDEX( DV$101:DV$142, MAX( COUNT( DW$9:DW$50 )  - $B158 + 1, 1)) : INDEX( DV$101:DV$142, MAX( COUNT( DW$9:DW$50 )  - $C158 + 1, 1)) &gt; 0), $D158))</f>
        <v>1.0031647937612322</v>
      </c>
      <c r="DW158" s="8">
        <f>+IF(DW$8 = 125, 1, _xlfn.PERCENTILE.INC(_xlfn._xlws.FILTER(INDEX( DW$55:DW$96, MAX( COUNT( DX$9:DX$50 )  - $B158 + 1, 1)) : INDEX( DW$55:DW$96, MAX( COUNT( DX$9:DX$50 )  - $C158 + 1, 1)), INDEX( DW$101:DW$142, MAX( COUNT( DX$9:DX$50 )  - $B158 + 1, 1)) : INDEX( DW$101:DW$142, MAX( COUNT( DX$9:DX$50 )  - $C158 + 1, 1)) &gt; 0), $D158))</f>
        <v>1.0016286349346883</v>
      </c>
      <c r="DX158" s="8">
        <f>+IF(DX$8 = 125, 1, _xlfn.PERCENTILE.INC(_xlfn._xlws.FILTER(INDEX( DX$55:DX$96, MAX( COUNT( DY$9:DY$50 )  - $B158 + 1, 1)) : INDEX( DX$55:DX$96, MAX( COUNT( DY$9:DY$50 )  - $C158 + 1, 1)), INDEX( DX$101:DX$142, MAX( COUNT( DY$9:DY$50 )  - $B158 + 1, 1)) : INDEX( DX$101:DX$142, MAX( COUNT( DY$9:DY$50 )  - $C158 + 1, 1)) &gt; 0), $D158))</f>
        <v>1.0038513805404945</v>
      </c>
      <c r="DY158" s="8">
        <f>+IF(DY$8 = 125, 1, _xlfn.PERCENTILE.INC(_xlfn._xlws.FILTER(INDEX( DY$55:DY$96, MAX( COUNT( DZ$9:DZ$50 )  - $B158 + 1, 1)) : INDEX( DY$55:DY$96, MAX( COUNT( DZ$9:DZ$50 )  - $C158 + 1, 1)), INDEX( DY$101:DY$142, MAX( COUNT( DZ$9:DZ$50 )  - $B158 + 1, 1)) : INDEX( DY$101:DY$142, MAX( COUNT( DZ$9:DZ$50 )  - $C158 + 1, 1)) &gt; 0), $D158))</f>
        <v>1.0045542200871611</v>
      </c>
      <c r="DZ158" s="8">
        <f>+IF(DZ$8 = 125, 1, _xlfn.PERCENTILE.INC(_xlfn._xlws.FILTER(INDEX( DZ$55:DZ$96, MAX( COUNT( EA$9:EA$50 )  - $B158 + 1, 1)) : INDEX( DZ$55:DZ$96, MAX( COUNT( EA$9:EA$50 )  - $C158 + 1, 1)), INDEX( DZ$101:DZ$142, MAX( COUNT( EA$9:EA$50 )  - $B158 + 1, 1)) : INDEX( DZ$101:DZ$142, MAX( COUNT( EA$9:EA$50 )  - $C158 + 1, 1)) &gt; 0), $D158))</f>
        <v>1.0041088153957449</v>
      </c>
      <c r="EA158" s="8">
        <f>+IF(EA$8 = 125, 1, _xlfn.PERCENTILE.INC(_xlfn._xlws.FILTER(INDEX( EA$55:EA$96, MAX( COUNT( EB$9:EB$50 )  - $B158 + 1, 1)) : INDEX( EA$55:EA$96, MAX( COUNT( EB$9:EB$50 )  - $C158 + 1, 1)), INDEX( EA$101:EA$142, MAX( COUNT( EB$9:EB$50 )  - $B158 + 1, 1)) : INDEX( EA$101:EA$142, MAX( COUNT( EB$9:EB$50 )  - $C158 + 1, 1)) &gt; 0), $D158))</f>
        <v>1</v>
      </c>
      <c r="EB158" s="8">
        <f>+IF(EB$8 = 125, 1, _xlfn.PERCENTILE.INC(_xlfn._xlws.FILTER(INDEX( EB$55:EB$96, MAX( COUNT( EC$9:EC$50 )  - $B158 + 1, 1)) : INDEX( EB$55:EB$96, MAX( COUNT( EC$9:EC$50 )  - $C158 + 1, 1)), INDEX( EB$101:EB$142, MAX( COUNT( EC$9:EC$50 )  - $B158 + 1, 1)) : INDEX( EB$101:EB$142, MAX( COUNT( EC$9:EC$50 )  - $C158 + 1, 1)) &gt; 0), $D158))</f>
        <v>1.8379178252549684</v>
      </c>
      <c r="EC158" s="8">
        <f>+IF(EC$8 = 125, 1, _xlfn.PERCENTILE.INC(_xlfn._xlws.FILTER(INDEX( EC$55:EC$96, MAX( COUNT( ED$9:ED$50 )  - $B158 + 1, 1)) : INDEX( EC$55:EC$96, MAX( COUNT( ED$9:ED$50 )  - $C158 + 1, 1)), INDEX( EC$101:EC$142, MAX( COUNT( ED$9:ED$50 )  - $B158 + 1, 1)) : INDEX( EC$101:EC$142, MAX( COUNT( ED$9:ED$50 )  - $C158 + 1, 1)) &gt; 0), $D158))</f>
        <v>1.9875589436312764</v>
      </c>
      <c r="ED158" s="8">
        <f>+IF(ED$8 = 125, 1, _xlfn.PERCENTILE.INC(_xlfn._xlws.FILTER(INDEX( ED$55:ED$96, MAX( COUNT( EE$9:EE$50 )  - $B158 + 1, 1)) : INDEX( ED$55:ED$96, MAX( COUNT( EE$9:EE$50 )  - $C158 + 1, 1)), INDEX( ED$101:ED$142, MAX( COUNT( EE$9:EE$50 )  - $B158 + 1, 1)) : INDEX( ED$101:ED$142, MAX( COUNT( EE$9:EE$50 )  - $C158 + 1, 1)) &gt; 0), $D158))</f>
        <v>1.1677825004429156</v>
      </c>
      <c r="EE158" s="8">
        <f>+IF(EE$8 = 125, 1, _xlfn.PERCENTILE.INC(_xlfn._xlws.FILTER(INDEX( EE$55:EE$96, MAX( COUNT( EF$9:EF$50 )  - $B158 + 1, 1)) : INDEX( EE$55:EE$96, MAX( COUNT( EF$9:EF$50 )  - $C158 + 1, 1)), INDEX( EE$101:EE$142, MAX( COUNT( EF$9:EF$50 )  - $B158 + 1, 1)) : INDEX( EE$101:EE$142, MAX( COUNT( EF$9:EF$50 )  - $C158 + 1, 1)) &gt; 0), $D158))</f>
        <v>0.98446722904124562</v>
      </c>
      <c r="EF158" s="8">
        <f>+IF(EF$8 = 125, 1, _xlfn.PERCENTILE.INC(_xlfn._xlws.FILTER(INDEX( EF$55:EF$96, MAX( COUNT( EG$9:EG$50 )  - $B158 + 1, 1)) : INDEX( EF$55:EF$96, MAX( COUNT( EG$9:EG$50 )  - $C158 + 1, 1)), INDEX( EF$101:EF$142, MAX( COUNT( EG$9:EG$50 )  - $B158 + 1, 1)) : INDEX( EF$101:EF$142, MAX( COUNT( EG$9:EG$50 )  - $C158 + 1, 1)) &gt; 0), $D158))</f>
        <v>0.98898127855086504</v>
      </c>
      <c r="EG158" s="8">
        <f>+IF(EG$8 = 125, 1, _xlfn.PERCENTILE.INC(_xlfn._xlws.FILTER(INDEX( EG$55:EG$96, MAX( COUNT( EH$9:EH$50 )  - $B158 + 1, 1)) : INDEX( EG$55:EG$96, MAX( COUNT( EH$9:EH$50 )  - $C158 + 1, 1)), INDEX( EG$101:EG$142, MAX( COUNT( EH$9:EH$50 )  - $B158 + 1, 1)) : INDEX( EG$101:EG$142, MAX( COUNT( EH$9:EH$50 )  - $C158 + 1, 1)) &gt; 0), $D158))</f>
        <v>1.0190379510857284</v>
      </c>
      <c r="EH158" s="8">
        <f>+IF(EH$8 = 125, 1, _xlfn.PERCENTILE.INC(_xlfn._xlws.FILTER(INDEX( EH$55:EH$96, MAX( COUNT( EI$9:EI$50 )  - $B158 + 1, 1)) : INDEX( EH$55:EH$96, MAX( COUNT( EI$9:EI$50 )  - $C158 + 1, 1)), INDEX( EH$101:EH$142, MAX( COUNT( EI$9:EI$50 )  - $B158 + 1, 1)) : INDEX( EH$101:EH$142, MAX( COUNT( EI$9:EI$50 )  - $C158 + 1, 1)) &gt; 0), $D158))</f>
        <v>0.99603703234418761</v>
      </c>
      <c r="EI158" s="8">
        <f>+IF(EI$8 = 125, 1, _xlfn.PERCENTILE.INC(_xlfn._xlws.FILTER(INDEX( EI$55:EI$96, MAX( COUNT( EJ$9:EJ$50 )  - $B158 + 1, 1)) : INDEX( EI$55:EI$96, MAX( COUNT( EJ$9:EJ$50 )  - $C158 + 1, 1)), INDEX( EI$101:EI$142, MAX( COUNT( EJ$9:EJ$50 )  - $B158 + 1, 1)) : INDEX( EI$101:EI$142, MAX( COUNT( EJ$9:EJ$50 )  - $C158 + 1, 1)) &gt; 0), $D158))</f>
        <v>1.0000200319466246</v>
      </c>
      <c r="EJ158" s="8">
        <f>+IF(EJ$8 = 125, 1, _xlfn.PERCENTILE.INC(_xlfn._xlws.FILTER(INDEX( EJ$55:EJ$96, MAX( COUNT( EK$9:EK$50 )  - $B158 + 1, 1)) : INDEX( EJ$55:EJ$96, MAX( COUNT( EK$9:EK$50 )  - $C158 + 1, 1)), INDEX( EJ$101:EJ$142, MAX( COUNT( EK$9:EK$50 )  - $B158 + 1, 1)) : INDEX( EJ$101:EJ$142, MAX( COUNT( EK$9:EK$50 )  - $C158 + 1, 1)) &gt; 0), $D158))</f>
        <v>0.999903304634426</v>
      </c>
      <c r="EK158" s="8">
        <f>+IF(EK$8 = 125, 1, _xlfn.PERCENTILE.INC(_xlfn._xlws.FILTER(INDEX( EK$55:EK$96, MAX( COUNT( EL$9:EL$50 )  - $B158 + 1, 1)) : INDEX( EK$55:EK$96, MAX( COUNT( EL$9:EL$50 )  - $C158 + 1, 1)), INDEX( EK$101:EK$142, MAX( COUNT( EL$9:EL$50 )  - $B158 + 1, 1)) : INDEX( EK$101:EK$142, MAX( COUNT( EL$9:EL$50 )  - $C158 + 1, 1)) &gt; 0), $D158))</f>
        <v>1.0011350629997402</v>
      </c>
      <c r="EL158" s="8">
        <f>+IF(EL$8 = 125, 1, _xlfn.PERCENTILE.INC(_xlfn._xlws.FILTER(INDEX( EL$55:EL$96, MAX( COUNT( EM$9:EM$50 )  - $B158 + 1, 1)) : INDEX( EL$55:EL$96, MAX( COUNT( EM$9:EM$50 )  - $C158 + 1, 1)), INDEX( EL$101:EL$142, MAX( COUNT( EM$9:EM$50 )  - $B158 + 1, 1)) : INDEX( EL$101:EL$142, MAX( COUNT( EM$9:EM$50 )  - $C158 + 1, 1)) &gt; 0), $D158))</f>
        <v>0.99747747071687265</v>
      </c>
      <c r="EM158" s="8">
        <f>+IF(EM$8 = 125, 1, _xlfn.PERCENTILE.INC(_xlfn._xlws.FILTER(INDEX( EM$55:EM$96, MAX( COUNT( EN$9:EN$50 )  - $B158 + 1, 1)) : INDEX( EM$55:EM$96, MAX( COUNT( EN$9:EN$50 )  - $C158 + 1, 1)), INDEX( EM$101:EM$142, MAX( COUNT( EN$9:EN$50 )  - $B158 + 1, 1)) : INDEX( EM$101:EM$142, MAX( COUNT( EN$9:EN$50 )  - $C158 + 1, 1)) &gt; 0), $D158))</f>
        <v>0.99994113212158875</v>
      </c>
      <c r="EN158" s="8">
        <f>+IF(EN$8 = 125, 1, _xlfn.PERCENTILE.INC(_xlfn._xlws.FILTER(INDEX( EN$55:EN$96, MAX( COUNT( EO$9:EO$50 )  - $B158 + 1, 1)) : INDEX( EN$55:EN$96, MAX( COUNT( EO$9:EO$50 )  - $C158 + 1, 1)), INDEX( EN$101:EN$142, MAX( COUNT( EO$9:EO$50 )  - $B158 + 1, 1)) : INDEX( EN$101:EN$142, MAX( COUNT( EO$9:EO$50 )  - $C158 + 1, 1)) &gt; 0), $D158))</f>
        <v>0.99747588600471593</v>
      </c>
      <c r="EO158" s="8">
        <f>+IF(EO$8 = 125, 1, _xlfn.PERCENTILE.INC(_xlfn._xlws.FILTER(INDEX( EO$55:EO$96, MAX( COUNT( EP$9:EP$50 )  - $B158 + 1, 1)) : INDEX( EO$55:EO$96, MAX( COUNT( EP$9:EP$50 )  - $C158 + 1, 1)), INDEX( EO$101:EO$142, MAX( COUNT( EP$9:EP$50 )  - $B158 + 1, 1)) : INDEX( EO$101:EO$142, MAX( COUNT( EP$9:EP$50 )  - $C158 + 1, 1)) &gt; 0), $D158))</f>
        <v>0.99874621946978359</v>
      </c>
      <c r="EP158" s="8">
        <f>+IF(EP$8 = 125, 1, _xlfn.PERCENTILE.INC(_xlfn._xlws.FILTER(INDEX( EP$55:EP$96, MAX( COUNT( EQ$9:EQ$50 )  - $B158 + 1, 1)) : INDEX( EP$55:EP$96, MAX( COUNT( EQ$9:EQ$50 )  - $C158 + 1, 1)), INDEX( EP$101:EP$142, MAX( COUNT( EQ$9:EQ$50 )  - $B158 + 1, 1)) : INDEX( EP$101:EP$142, MAX( COUNT( EQ$9:EQ$50 )  - $C158 + 1, 1)) &gt; 0), $D158))</f>
        <v>1</v>
      </c>
      <c r="EQ158" s="8">
        <f>+IF(EQ$8 = 125, 1, _xlfn.PERCENTILE.INC(_xlfn._xlws.FILTER(INDEX( EQ$55:EQ$96, MAX( COUNT( ER$9:ER$50 )  - $B158 + 1, 1)) : INDEX( EQ$55:EQ$96, MAX( COUNT( ER$9:ER$50 )  - $C158 + 1, 1)), INDEX( EQ$101:EQ$142, MAX( COUNT( ER$9:ER$50 )  - $B158 + 1, 1)) : INDEX( EQ$101:EQ$142, MAX( COUNT( ER$9:ER$50 )  - $C158 + 1, 1)) &gt; 0), $D158))</f>
        <v>0.99730005812101175</v>
      </c>
      <c r="ER158" s="8">
        <f>+IF(ER$8 = 125, 1, _xlfn.PERCENTILE.INC(_xlfn._xlws.FILTER(INDEX( ER$55:ER$96, MAX( COUNT( ES$9:ES$50 )  - $B158 + 1, 1)) : INDEX( ER$55:ER$96, MAX( COUNT( ES$9:ES$50 )  - $C158 + 1, 1)), INDEX( ER$101:ER$142, MAX( COUNT( ES$9:ES$50 )  - $B158 + 1, 1)) : INDEX( ER$101:ER$142, MAX( COUNT( ES$9:ES$50 )  - $C158 + 1, 1)) &gt; 0), $D158))</f>
        <v>1.0000676505091874</v>
      </c>
      <c r="ES158" s="8">
        <f>+IF(ES$8 = 125, 1, _xlfn.PERCENTILE.INC(_xlfn._xlws.FILTER(INDEX( ES$55:ES$96, MAX( COUNT( ET$9:ET$50 )  - $B158 + 1, 1)) : INDEX( ES$55:ES$96, MAX( COUNT( ET$9:ET$50 )  - $C158 + 1, 1)), INDEX( ES$101:ES$142, MAX( COUNT( ET$9:ET$50 )  - $B158 + 1, 1)) : INDEX( ES$101:ES$142, MAX( COUNT( ET$9:ET$50 )  - $C158 + 1, 1)) &gt; 0), $D158))</f>
        <v>1</v>
      </c>
      <c r="ET158" s="8">
        <f>+IF(ET$8 = 125, 1, _xlfn.PERCENTILE.INC(_xlfn._xlws.FILTER(INDEX( ET$55:ET$96, MAX( COUNT( EU$9:EU$50 )  - $B158 + 1, 1)) : INDEX( ET$55:ET$96, MAX( COUNT( EU$9:EU$50 )  - $C158 + 1, 1)), INDEX( ET$101:ET$142, MAX( COUNT( EU$9:EU$50 )  - $B158 + 1, 1)) : INDEX( ET$101:ET$142, MAX( COUNT( EU$9:EU$50 )  - $C158 + 1, 1)) &gt; 0), $D158))</f>
        <v>1.0005940574972796</v>
      </c>
      <c r="EU158" s="8">
        <f>+IF(EU$8 = 125, 1, _xlfn.PERCENTILE.INC(_xlfn._xlws.FILTER(INDEX( EU$55:EU$96, MAX( COUNT( EV$9:EV$50 )  - $B158 + 1, 1)) : INDEX( EU$55:EU$96, MAX( COUNT( EV$9:EV$50 )  - $C158 + 1, 1)), INDEX( EU$101:EU$142, MAX( COUNT( EV$9:EV$50 )  - $B158 + 1, 1)) : INDEX( EU$101:EU$142, MAX( COUNT( EV$9:EV$50 )  - $C158 + 1, 1)) &gt; 0), $D158))</f>
        <v>0.99999956384478494</v>
      </c>
      <c r="EV158" s="8">
        <f>+IF(EV$8 = 125, 1, _xlfn.PERCENTILE.INC(_xlfn._xlws.FILTER(INDEX( EV$55:EV$96, MAX( COUNT( EW$9:EW$50 )  - $B158 + 1, 1)) : INDEX( EV$55:EV$96, MAX( COUNT( EW$9:EW$50 )  - $C158 + 1, 1)), INDEX( EV$101:EV$142, MAX( COUNT( EW$9:EW$50 )  - $B158 + 1, 1)) : INDEX( EV$101:EV$142, MAX( COUNT( EW$9:EW$50 )  - $C158 + 1, 1)) &gt; 0), $D158))</f>
        <v>1</v>
      </c>
      <c r="EW158" s="8">
        <f>+IF(EW$8 = 125, 1, _xlfn.PERCENTILE.INC(_xlfn._xlws.FILTER(INDEX( EW$55:EW$96, MAX( COUNT( EX$9:EX$50 )  - $B158 + 1, 1)) : INDEX( EW$55:EW$96, MAX( COUNT( EX$9:EX$50 )  - $C158 + 1, 1)), INDEX( EW$101:EW$142, MAX( COUNT( EX$9:EX$50 )  - $B158 + 1, 1)) : INDEX( EW$101:EW$142, MAX( COUNT( EX$9:EX$50 )  - $C158 + 1, 1)) &gt; 0), $D158))</f>
        <v>1</v>
      </c>
      <c r="EX158" s="8">
        <f>+IF(EX$8 = 125, 1, _xlfn.PERCENTILE.INC(_xlfn._xlws.FILTER(INDEX( EX$55:EX$96, MAX( COUNT( EY$9:EY$50 )  - $B158 + 1, 1)) : INDEX( EX$55:EX$96, MAX( COUNT( EY$9:EY$50 )  - $C158 + 1, 1)), INDEX( EX$101:EX$142, MAX( COUNT( EY$9:EY$50 )  - $B158 + 1, 1)) : INDEX( EX$101:EX$142, MAX( COUNT( EY$9:EY$50 )  - $C158 + 1, 1)) &gt; 0), $D158))</f>
        <v>1</v>
      </c>
      <c r="EY158" s="8">
        <f>+IF(EY$8 = 125, 1, _xlfn.PERCENTILE.INC(_xlfn._xlws.FILTER(INDEX( EY$55:EY$96, MAX( COUNT( EZ$9:EZ$50 )  - $B158 + 1, 1)) : INDEX( EY$55:EY$96, MAX( COUNT( EZ$9:EZ$50 )  - $C158 + 1, 1)), INDEX( EY$101:EY$142, MAX( COUNT( EZ$9:EZ$50 )  - $B158 + 1, 1)) : INDEX( EY$101:EY$142, MAX( COUNT( EZ$9:EZ$50 )  - $C158 + 1, 1)) &gt; 0), $D158))</f>
        <v>1.000153693255869</v>
      </c>
      <c r="EZ158" s="8">
        <f>+IF(EZ$8 = 125, 1, _xlfn.PERCENTILE.INC(_xlfn._xlws.FILTER(INDEX( EZ$55:EZ$96, MAX( COUNT( FA$9:FA$50 )  - $B158 + 1, 1)) : INDEX( EZ$55:EZ$96, MAX( COUNT( FA$9:FA$50 )  - $C158 + 1, 1)), INDEX( EZ$101:EZ$142, MAX( COUNT( FA$9:FA$50 )  - $B158 + 1, 1)) : INDEX( EZ$101:EZ$142, MAX( COUNT( FA$9:FA$50 )  - $C158 + 1, 1)) &gt; 0), $D158))</f>
        <v>1</v>
      </c>
      <c r="FA158" s="8">
        <f>+IF(FA$8 = 125, 1, _xlfn.PERCENTILE.INC(_xlfn._xlws.FILTER(INDEX( FA$55:FA$96, MAX( COUNT( FB$9:FB$50 )  - $B158 + 1, 1)) : INDEX( FA$55:FA$96, MAX( COUNT( FB$9:FB$50 )  - $C158 + 1, 1)), INDEX( FA$101:FA$142, MAX( COUNT( FB$9:FB$50 )  - $B158 + 1, 1)) : INDEX( FA$101:FA$142, MAX( COUNT( FB$9:FB$50 )  - $C158 + 1, 1)) &gt; 0), $D158))</f>
        <v>1</v>
      </c>
      <c r="FB158" s="8">
        <f>+IF(FB$8 = 125, 1, _xlfn.PERCENTILE.INC(_xlfn._xlws.FILTER(INDEX( FB$55:FB$96, MAX( COUNT( FC$9:FC$50 )  - $B158 + 1, 1)) : INDEX( FB$55:FB$96, MAX( COUNT( FC$9:FC$50 )  - $C158 + 1, 1)), INDEX( FB$101:FB$142, MAX( COUNT( FC$9:FC$50 )  - $B158 + 1, 1)) : INDEX( FB$101:FB$142, MAX( COUNT( FC$9:FC$50 )  - $C158 + 1, 1)) &gt; 0), $D158))</f>
        <v>1</v>
      </c>
      <c r="FC158" s="8">
        <f>+IF(FC$8 = 125, 1, _xlfn.PERCENTILE.INC(_xlfn._xlws.FILTER(INDEX( FC$55:FC$96, MAX( COUNT( FD$9:FD$50 )  - $B158 + 1, 1)) : INDEX( FC$55:FC$96, MAX( COUNT( FD$9:FD$50 )  - $C158 + 1, 1)), INDEX( FC$101:FC$142, MAX( COUNT( FD$9:FD$50 )  - $B158 + 1, 1)) : INDEX( FC$101:FC$142, MAX( COUNT( FD$9:FD$50 )  - $C158 + 1, 1)) &gt; 0), $D158))</f>
        <v>1.000039446502335</v>
      </c>
      <c r="FD158" s="8">
        <f>+IF(FD$8 = 125, 1, _xlfn.PERCENTILE.INC(_xlfn._xlws.FILTER(INDEX( FD$55:FD$96, MAX( COUNT( FE$9:FE$50 )  - $B158 + 1, 1)) : INDEX( FD$55:FD$96, MAX( COUNT( FE$9:FE$50 )  - $C158 + 1, 1)), INDEX( FD$101:FD$142, MAX( COUNT( FE$9:FE$50 )  - $B158 + 1, 1)) : INDEX( FD$101:FD$142, MAX( COUNT( FE$9:FE$50 )  - $C158 + 1, 1)) &gt; 0), $D158))</f>
        <v>1</v>
      </c>
      <c r="FE158" s="8">
        <f>+IF(FE$8 = 125, 1, _xlfn.PERCENTILE.INC(_xlfn._xlws.FILTER(INDEX( FE$55:FE$96, MAX( COUNT( FF$9:FF$50 )  - $B158 + 1, 1)) : INDEX( FE$55:FE$96, MAX( COUNT( FF$9:FF$50 )  - $C158 + 1, 1)), INDEX( FE$101:FE$142, MAX( COUNT( FF$9:FF$50 )  - $B158 + 1, 1)) : INDEX( FE$101:FE$142, MAX( COUNT( FF$9:FF$50 )  - $C158 + 1, 1)) &gt; 0), $D158))</f>
        <v>1.0000128411459273</v>
      </c>
      <c r="FF158" s="8">
        <f>+IF(FF$8 = 125, 1, _xlfn.PERCENTILE.INC(_xlfn._xlws.FILTER(INDEX( FF$55:FF$96, MAX( COUNT( FG$9:FG$50 )  - $B158 + 1, 1)) : INDEX( FF$55:FF$96, MAX( COUNT( FG$9:FG$50 )  - $C158 + 1, 1)), INDEX( FF$101:FF$142, MAX( COUNT( FG$9:FG$50 )  - $B158 + 1, 1)) : INDEX( FF$101:FF$142, MAX( COUNT( FG$9:FG$50 )  - $C158 + 1, 1)) &gt; 0), $D158))</f>
        <v>1.000141309544663</v>
      </c>
      <c r="FG158" s="8">
        <f>+IF(FG$8 = 125, 1, _xlfn.PERCENTILE.INC(_xlfn._xlws.FILTER(INDEX( FG$55:FG$96, MAX( COUNT( FH$9:FH$50 )  - $B158 + 1, 1)) : INDEX( FG$55:FG$96, MAX( COUNT( FH$9:FH$50 )  - $C158 + 1, 1)), INDEX( FG$101:FG$142, MAX( COUNT( FH$9:FH$50 )  - $B158 + 1, 1)) : INDEX( FG$101:FG$142, MAX( COUNT( FH$9:FH$50 )  - $C158 + 1, 1)) &gt; 0), $D158))</f>
        <v>1.0004722483688826</v>
      </c>
      <c r="FH158" s="8">
        <f>+IF(FH$8 = 125, 1, _xlfn.PERCENTILE.INC(_xlfn._xlws.FILTER(INDEX( FH$55:FH$96, MAX( COUNT( FI$9:FI$50 )  - $B158 + 1, 1)) : INDEX( FH$55:FH$96, MAX( COUNT( FI$9:FI$50 )  - $C158 + 1, 1)), INDEX( FH$101:FH$142, MAX( COUNT( FI$9:FI$50 )  - $B158 + 1, 1)) : INDEX( FH$101:FH$142, MAX( COUNT( FI$9:FI$50 )  - $C158 + 1, 1)) &gt; 0), $D158))</f>
        <v>0.99999983763062528</v>
      </c>
      <c r="FI158" s="8">
        <f>+IF(FI$8 = 125, 1, _xlfn.PERCENTILE.INC(_xlfn._xlws.FILTER(INDEX( FI$55:FI$96, MAX( COUNT( FJ$9:FJ$50 )  - $B158 + 1, 1)) : INDEX( FI$55:FI$96, MAX( COUNT( FJ$9:FJ$50 )  - $C158 + 1, 1)), INDEX( FI$101:FI$142, MAX( COUNT( FJ$9:FJ$50 )  - $B158 + 1, 1)) : INDEX( FI$101:FI$142, MAX( COUNT( FJ$9:FJ$50 )  - $C158 + 1, 1)) &gt; 0), $D158))</f>
        <v>1.0000000686273969</v>
      </c>
      <c r="FJ158" s="8">
        <f>+IF(FJ$8 = 125, 1, _xlfn.PERCENTILE.INC(_xlfn._xlws.FILTER(INDEX( FJ$55:FJ$96, MAX( COUNT( FK$9:FK$50 )  - $B158 + 1, 1)) : INDEX( FJ$55:FJ$96, MAX( COUNT( FK$9:FK$50 )  - $C158 + 1, 1)), INDEX( FJ$101:FJ$142, MAX( COUNT( FK$9:FK$50 )  - $B158 + 1, 1)) : INDEX( FJ$101:FJ$142, MAX( COUNT( FK$9:FK$50 )  - $C158 + 1, 1)) &gt; 0), $D158))</f>
        <v>1</v>
      </c>
      <c r="FK158" s="8">
        <f>+IF(FK$8 = 125, 1, _xlfn.PERCENTILE.INC(_xlfn._xlws.FILTER(INDEX( FK$55:FK$96, MAX( COUNT( FL$9:FL$50 )  - $B158 + 1, 1)) : INDEX( FK$55:FK$96, MAX( COUNT( FL$9:FL$50 )  - $C158 + 1, 1)), INDEX( FK$101:FK$142, MAX( COUNT( FL$9:FL$50 )  - $B158 + 1, 1)) : INDEX( FK$101:FK$142, MAX( COUNT( FL$9:FL$50 )  - $C158 + 1, 1)) &gt; 0), $D158))</f>
        <v>0.99843147196128545</v>
      </c>
      <c r="FL158" s="8">
        <f>+IF(FL$8 = 125, 1, _xlfn.PERCENTILE.INC(_xlfn._xlws.FILTER(INDEX( FL$55:FL$96, MAX( COUNT( FM$9:FM$50 )  - $B158 + 1, 1)) : INDEX( FL$55:FL$96, MAX( COUNT( FM$9:FM$50 )  - $C158 + 1, 1)), INDEX( FL$101:FL$142, MAX( COUNT( FM$9:FM$50 )  - $B158 + 1, 1)) : INDEX( FL$101:FL$142, MAX( COUNT( FM$9:FM$50 )  - $C158 + 1, 1)) &gt; 0), $D158))</f>
        <v>0.99998471631147789</v>
      </c>
      <c r="FM158" s="8">
        <f>+IF(FM$8 = 125, 1, _xlfn.PERCENTILE.INC(_xlfn._xlws.FILTER(INDEX( FM$55:FM$96, MAX( COUNT( FN$9:FN$50 )  - $B158 + 1, 1)) : INDEX( FM$55:FM$96, MAX( COUNT( FN$9:FN$50 )  - $C158 + 1, 1)), INDEX( FM$101:FM$142, MAX( COUNT( FN$9:FN$50 )  - $B158 + 1, 1)) : INDEX( FM$101:FM$142, MAX( COUNT( FN$9:FN$50 )  - $C158 + 1, 1)) &gt; 0), $D158))</f>
        <v>0.99946673466600688</v>
      </c>
      <c r="FN158" s="8">
        <f>+IF(FN$8 = 125, 1, _xlfn.PERCENTILE.INC(_xlfn._xlws.FILTER(INDEX( FN$55:FN$96, MAX( COUNT( FO$9:FO$50 )  - $B158 + 1, 1)) : INDEX( FN$55:FN$96, MAX( COUNT( FO$9:FO$50 )  - $C158 + 1, 1)), INDEX( FN$101:FN$142, MAX( COUNT( FO$9:FO$50 )  - $B158 + 1, 1)) : INDEX( FN$101:FN$142, MAX( COUNT( FO$9:FO$50 )  - $C158 + 1, 1)) &gt; 0), $D158))</f>
        <v>0.99999747746703804</v>
      </c>
      <c r="FO158" s="8">
        <f>+IF(FO$8 = 125, 1, _xlfn.PERCENTILE.INC(_xlfn._xlws.FILTER(INDEX( FO$55:FO$96, MAX( COUNT( FP$9:FP$50 )  - $B158 + 1, 1)) : INDEX( FO$55:FO$96, MAX( COUNT( FP$9:FP$50 )  - $C158 + 1, 1)), INDEX( FO$101:FO$142, MAX( COUNT( FP$9:FP$50 )  - $B158 + 1, 1)) : INDEX( FO$101:FO$142, MAX( COUNT( FP$9:FP$50 )  - $C158 + 1, 1)) &gt; 0), $D158))</f>
        <v>0.99999656659161684</v>
      </c>
      <c r="FP158" s="8">
        <f>+IF(FP$8 = 125, 1, _xlfn.PERCENTILE.INC(_xlfn._xlws.FILTER(INDEX( FP$55:FP$96, MAX( COUNT( FQ$9:FQ$50 )  - $B158 + 1, 1)) : INDEX( FP$55:FP$96, MAX( COUNT( FQ$9:FQ$50 )  - $C158 + 1, 1)), INDEX( FP$101:FP$142, MAX( COUNT( FQ$9:FQ$50 )  - $B158 + 1, 1)) : INDEX( FP$101:FP$142, MAX( COUNT( FQ$9:FQ$50 )  - $C158 + 1, 1)) &gt; 0), $D158))</f>
        <v>1</v>
      </c>
      <c r="FQ158" s="8">
        <f>+IF(FQ$8 = 125, 1, _xlfn.PERCENTILE.INC(_xlfn._xlws.FILTER(INDEX( FQ$55:FQ$96, MAX( COUNT( FR$9:FR$50 )  - $B158 + 1, 1)) : INDEX( FQ$55:FQ$96, MAX( COUNT( FR$9:FR$50 )  - $C158 + 1, 1)), INDEX( FQ$101:FQ$142, MAX( COUNT( FR$9:FR$50 )  - $B158 + 1, 1)) : INDEX( FQ$101:FQ$142, MAX( COUNT( FR$9:FR$50 )  - $C158 + 1, 1)) &gt; 0), $D158))</f>
        <v>0.9999999765120765</v>
      </c>
      <c r="FR158" s="8">
        <f>+IF(FR$8 = 125, 1, _xlfn.PERCENTILE.INC(_xlfn._xlws.FILTER(INDEX( FR$55:FR$96, MAX( COUNT( FS$9:FS$50 )  - $B158 + 1, 1)) : INDEX( FR$55:FR$96, MAX( COUNT( FS$9:FS$50 )  - $C158 + 1, 1)), INDEX( FR$101:FR$142, MAX( COUNT( FS$9:FS$50 )  - $B158 + 1, 1)) : INDEX( FR$101:FR$142, MAX( COUNT( FS$9:FS$50 )  - $C158 + 1, 1)) &gt; 0), $D158))</f>
        <v>0.9993375083399969</v>
      </c>
      <c r="FS158" s="8">
        <f>+IF(FS$8 = 125, 1, _xlfn.PERCENTILE.INC(_xlfn._xlws.FILTER(INDEX( FS$55:FS$96, MAX( COUNT( FT$9:FT$50 )  - $B158 + 1, 1)) : INDEX( FS$55:FS$96, MAX( COUNT( FT$9:FT$50 )  - $C158 + 1, 1)), INDEX( FS$101:FS$142, MAX( COUNT( FT$9:FT$50 )  - $B158 + 1, 1)) : INDEX( FS$101:FS$142, MAX( COUNT( FT$9:FT$50 )  - $C158 + 1, 1)) &gt; 0), $D158))</f>
        <v>1.0000132365589915</v>
      </c>
      <c r="FT158" s="8">
        <f>+IF(FT$8 = 125, 1, _xlfn.PERCENTILE.INC(_xlfn._xlws.FILTER(INDEX( FT$55:FT$96, MAX( COUNT( FU$9:FU$50 )  - $B158 + 1, 1)) : INDEX( FT$55:FT$96, MAX( COUNT( FU$9:FU$50 )  - $C158 + 1, 1)), INDEX( FT$101:FT$142, MAX( COUNT( FU$9:FU$50 )  - $B158 + 1, 1)) : INDEX( FT$101:FT$142, MAX( COUNT( FU$9:FU$50 )  - $C158 + 1, 1)) &gt; 0), $D158))</f>
        <v>1</v>
      </c>
      <c r="FU158" s="8">
        <f>+IF(FU$8 = 125, 1, _xlfn.PERCENTILE.INC(_xlfn._xlws.FILTER(INDEX( FU$55:FU$96, MAX( COUNT( FV$9:FV$50 )  - $B158 + 1, 1)) : INDEX( FU$55:FU$96, MAX( COUNT( FV$9:FV$50 )  - $C158 + 1, 1)), INDEX( FU$101:FU$142, MAX( COUNT( FV$9:FV$50 )  - $B158 + 1, 1)) : INDEX( FU$101:FU$142, MAX( COUNT( FV$9:FV$50 )  - $C158 + 1, 1)) &gt; 0), $D158))</f>
        <v>0.99815208509832853</v>
      </c>
      <c r="FV158" s="8">
        <f>+IF(FV$8 = 125, 1, _xlfn.PERCENTILE.INC(_xlfn._xlws.FILTER(INDEX( FV$55:FV$96, MAX( COUNT( FW$9:FW$50 )  - $B158 + 1, 1)) : INDEX( FV$55:FV$96, MAX( COUNT( FW$9:FW$50 )  - $C158 + 1, 1)), INDEX( FV$101:FV$142, MAX( COUNT( FW$9:FW$50 )  - $B158 + 1, 1)) : INDEX( FV$101:FV$142, MAX( COUNT( FW$9:FW$50 )  - $C158 + 1, 1)) &gt; 0), $D158))</f>
        <v>1</v>
      </c>
      <c r="FW158" s="8">
        <f>+IF(FW$8 = 125, 1, _xlfn.PERCENTILE.INC(_xlfn._xlws.FILTER(INDEX( FW$55:FW$96, MAX( COUNT( FX$9:FX$50 )  - $B158 + 1, 1)) : INDEX( FW$55:FW$96, MAX( COUNT( FX$9:FX$50 )  - $C158 + 1, 1)), INDEX( FW$101:FW$142, MAX( COUNT( FX$9:FX$50 )  - $B158 + 1, 1)) : INDEX( FW$101:FW$142, MAX( COUNT( FX$9:FX$50 )  - $C158 + 1, 1)) &gt; 0), $D158))</f>
        <v>1</v>
      </c>
      <c r="FX158" s="8">
        <f>+IF(FX$8 = 125, 1, _xlfn.PERCENTILE.INC(_xlfn._xlws.FILTER(INDEX( FX$55:FX$96, MAX( COUNT( FY$9:FY$50 )  - $B158 + 1, 1)) : INDEX( FX$55:FX$96, MAX( COUNT( FY$9:FY$50 )  - $C158 + 1, 1)), INDEX( FX$101:FX$142, MAX( COUNT( FY$9:FY$50 )  - $B158 + 1, 1)) : INDEX( FX$101:FX$142, MAX( COUNT( FY$9:FY$50 )  - $C158 + 1, 1)) &gt; 0), $D158))</f>
        <v>1.0000016770920994</v>
      </c>
      <c r="FY158" s="8">
        <f>+IF(FY$8 = 125, 1, _xlfn.PERCENTILE.INC(_xlfn._xlws.FILTER(INDEX( FY$55:FY$96, MAX( COUNT( FZ$9:FZ$50 )  - $B158 + 1, 1)) : INDEX( FY$55:FY$96, MAX( COUNT( FZ$9:FZ$50 )  - $C158 + 1, 1)), INDEX( FY$101:FY$142, MAX( COUNT( FZ$9:FZ$50 )  - $B158 + 1, 1)) : INDEX( FY$101:FY$142, MAX( COUNT( FZ$9:FZ$50 )  - $C158 + 1, 1)) &gt; 0), $D158))</f>
        <v>0.99970990112645786</v>
      </c>
      <c r="FZ158" s="8">
        <f>+IF(FZ$8 = 125, 1, _xlfn.PERCENTILE.INC(_xlfn._xlws.FILTER(INDEX( FZ$55:FZ$96, MAX( COUNT( GA$9:GA$50 )  - $B158 + 1, 1)) : INDEX( FZ$55:FZ$96, MAX( COUNT( GA$9:GA$50 )  - $C158 + 1, 1)), INDEX( FZ$101:FZ$142, MAX( COUNT( GA$9:GA$50 )  - $B158 + 1, 1)) : INDEX( FZ$101:FZ$142, MAX( COUNT( GA$9:GA$50 )  - $C158 + 1, 1)) &gt; 0), $D158))</f>
        <v>1.0000835833831174</v>
      </c>
      <c r="GA158" s="8">
        <f>+IF(GA$8 = 125, 1, _xlfn.PERCENTILE.INC(_xlfn._xlws.FILTER(INDEX( GA$55:GA$96, MAX( COUNT( GB$9:GB$50 )  - $B158 + 1, 1)) : INDEX( GA$55:GA$96, MAX( COUNT( GB$9:GB$50 )  - $C158 + 1, 1)), INDEX( GA$101:GA$142, MAX( COUNT( GB$9:GB$50 )  - $B158 + 1, 1)) : INDEX( GA$101:GA$142, MAX( COUNT( GB$9:GB$50 )  - $C158 + 1, 1)) &gt; 0), $D158))</f>
        <v>0.99995954757129091</v>
      </c>
      <c r="GB158" s="8">
        <f>+IF(GB$8 = 125, 1, _xlfn.PERCENTILE.INC(_xlfn._xlws.FILTER(INDEX( GB$55:GB$96, MAX( COUNT( GC$9:GC$50 )  - $B158 + 1, 1)) : INDEX( GB$55:GB$96, MAX( COUNT( GC$9:GC$50 )  - $C158 + 1, 1)), INDEX( GB$101:GB$142, MAX( COUNT( GC$9:GC$50 )  - $B158 + 1, 1)) : INDEX( GB$101:GB$142, MAX( COUNT( GC$9:GC$50 )  - $C158 + 1, 1)) &gt; 0), $D158))</f>
        <v>1</v>
      </c>
      <c r="GC158" s="8">
        <f>+IF(GC$8 = 125, 1, _xlfn.PERCENTILE.INC(_xlfn._xlws.FILTER(INDEX( GC$55:GC$96, MAX( COUNT( GD$9:GD$50 )  - $B158 + 1, 1)) : INDEX( GC$55:GC$96, MAX( COUNT( GD$9:GD$50 )  - $C158 + 1, 1)), INDEX( GC$101:GC$142, MAX( COUNT( GD$9:GD$50 )  - $B158 + 1, 1)) : INDEX( GC$101:GC$142, MAX( COUNT( GD$9:GD$50 )  - $C158 + 1, 1)) &gt; 0), $D158))</f>
        <v>1</v>
      </c>
      <c r="GD158" s="8">
        <f>+IF(GD$8 = 125, 1, _xlfn.PERCENTILE.INC(_xlfn._xlws.FILTER(INDEX( GD$55:GD$96, MAX( COUNT( GE$9:GE$50 )  - $B158 + 1, 1)) : INDEX( GD$55:GD$96, MAX( COUNT( GE$9:GE$50 )  - $C158 + 1, 1)), INDEX( GD$101:GD$142, MAX( COUNT( GE$9:GE$50 )  - $B158 + 1, 1)) : INDEX( GD$101:GD$142, MAX( COUNT( GE$9:GE$50 )  - $C158 + 1, 1)) &gt; 0), $D158))</f>
        <v>0.99997164715290965</v>
      </c>
      <c r="GE158" s="8">
        <f>+IF(GE$8 = 125, 1, _xlfn.PERCENTILE.INC(_xlfn._xlws.FILTER(INDEX( GE$55:GE$96, MAX( COUNT( GF$9:GF$50 )  - $B158 + 1, 1)) : INDEX( GE$55:GE$96, MAX( COUNT( GF$9:GF$50 )  - $C158 + 1, 1)), INDEX( GE$101:GE$142, MAX( COUNT( GF$9:GF$50 )  - $B158 + 1, 1)) : INDEX( GE$101:GE$142, MAX( COUNT( GF$9:GF$50 )  - $C158 + 1, 1)) &gt; 0), $D158))</f>
        <v>1</v>
      </c>
      <c r="GF158" s="8">
        <f>+IF(GF$8 = 125, 1, _xlfn.PERCENTILE.INC(_xlfn._xlws.FILTER(INDEX( GF$55:GF$96, MAX( COUNT( GG$9:GG$50 )  - $B158 + 1, 1)) : INDEX( GF$55:GF$96, MAX( COUNT( GG$9:GG$50 )  - $C158 + 1, 1)), INDEX( GF$101:GF$142, MAX( COUNT( GG$9:GG$50 )  - $B158 + 1, 1)) : INDEX( GF$101:GF$142, MAX( COUNT( GG$9:GG$50 )  - $C158 + 1, 1)) &gt; 0), $D158))</f>
        <v>1</v>
      </c>
      <c r="GG158" s="8">
        <f>+IF(GG$8 = 125, 1, _xlfn.PERCENTILE.INC(_xlfn._xlws.FILTER(INDEX( GG$55:GG$96, MAX( COUNT( GH$9:GH$50 )  - $B158 + 1, 1)) : INDEX( GG$55:GG$96, MAX( COUNT( GH$9:GH$50 )  - $C158 + 1, 1)), INDEX( GG$101:GG$142, MAX( COUNT( GH$9:GH$50 )  - $B158 + 1, 1)) : INDEX( GG$101:GG$142, MAX( COUNT( GH$9:GH$50 )  - $C158 + 1, 1)) &gt; 0), $D158))</f>
        <v>0.99971536115814563</v>
      </c>
      <c r="GH158" s="8">
        <f>+IF(GH$8 = 125, 1, _xlfn.PERCENTILE.INC(_xlfn._xlws.FILTER(INDEX( GH$55:GH$96, MAX( COUNT( GI$9:GI$50 )  - $B158 + 1, 1)) : INDEX( GH$55:GH$96, MAX( COUNT( GI$9:GI$50 )  - $C158 + 1, 1)), INDEX( GH$101:GH$142, MAX( COUNT( GI$9:GI$50 )  - $B158 + 1, 1)) : INDEX( GH$101:GH$142, MAX( COUNT( GI$9:GI$50 )  - $C158 + 1, 1)) &gt; 0), $D158))</f>
        <v>0.99999977418353803</v>
      </c>
      <c r="GI158" s="8">
        <f>+IF(GI$8 = 125, 1, _xlfn.PERCENTILE.INC(_xlfn._xlws.FILTER(INDEX( GI$55:GI$96, MAX( COUNT( GJ$9:GJ$50 )  - $B158 + 1, 1)) : INDEX( GI$55:GI$96, MAX( COUNT( GJ$9:GJ$50 )  - $C158 + 1, 1)), INDEX( GI$101:GI$142, MAX( COUNT( GJ$9:GJ$50 )  - $B158 + 1, 1)) : INDEX( GI$101:GI$142, MAX( COUNT( GJ$9:GJ$50 )  - $C158 + 1, 1)) &gt; 0), $D158))</f>
        <v>1</v>
      </c>
      <c r="GJ158" s="8">
        <f>+IF(GJ$8 = 125, 1, _xlfn.PERCENTILE.INC(_xlfn._xlws.FILTER(INDEX( GJ$55:GJ$96, MAX( COUNT( GK$9:GK$50 )  - $B158 + 1, 1)) : INDEX( GJ$55:GJ$96, MAX( COUNT( GK$9:GK$50 )  - $C158 + 1, 1)), INDEX( GJ$101:GJ$142, MAX( COUNT( GK$9:GK$50 )  - $B158 + 1, 1)) : INDEX( GJ$101:GJ$142, MAX( COUNT( GK$9:GK$50 )  - $C158 + 1, 1)) &gt; 0), $D158))</f>
        <v>1.0000843390691858</v>
      </c>
      <c r="GK158" s="8">
        <f>+IF(GK$8 = 125, 1, _xlfn.PERCENTILE.INC(_xlfn._xlws.FILTER(INDEX( GK$55:GK$96, MAX( COUNT( GL$9:GL$50 )  - $B158 + 1, 1)) : INDEX( GK$55:GK$96, MAX( COUNT( GL$9:GL$50 )  - $C158 + 1, 1)), INDEX( GK$101:GK$142, MAX( COUNT( GL$9:GL$50 )  - $B158 + 1, 1)) : INDEX( GK$101:GK$142, MAX( COUNT( GL$9:GL$50 )  - $C158 + 1, 1)) &gt; 0), $D158))</f>
        <v>1</v>
      </c>
      <c r="GL158" s="8">
        <f>+IF(GL$8 = 125, 1, _xlfn.PERCENTILE.INC(_xlfn._xlws.FILTER(INDEX( GL$55:GL$96, MAX( COUNT( GM$9:GM$50 )  - $B158 + 1, 1)) : INDEX( GL$55:GL$96, MAX( COUNT( GM$9:GM$50 )  - $C158 + 1, 1)), INDEX( GL$101:GL$142, MAX( COUNT( GM$9:GM$50 )  - $B158 + 1, 1)) : INDEX( GL$101:GL$142, MAX( COUNT( GM$9:GM$50 )  - $C158 + 1, 1)) &gt; 0), $D158))</f>
        <v>1</v>
      </c>
      <c r="GM158" s="8">
        <f>+IF(GM$8 = 125, 1, _xlfn.PERCENTILE.INC(_xlfn._xlws.FILTER(INDEX( GM$55:GM$96, MAX( COUNT( GN$9:GN$50 )  - $B158 + 1, 1)) : INDEX( GM$55:GM$96, MAX( COUNT( GN$9:GN$50 )  - $C158 + 1, 1)), INDEX( GM$101:GM$142, MAX( COUNT( GN$9:GN$50 )  - $B158 + 1, 1)) : INDEX( GM$101:GM$142, MAX( COUNT( GN$9:GN$50 )  - $C158 + 1, 1)) &gt; 0), $D158))</f>
        <v>1</v>
      </c>
      <c r="GN158" s="8">
        <f>+IF(GN$8 = 125, 1, _xlfn.PERCENTILE.INC(_xlfn._xlws.FILTER(INDEX( GN$55:GN$96, MAX( COUNT( GO$9:GO$50 )  - $B158 + 1, 1)) : INDEX( GN$55:GN$96, MAX( COUNT( GO$9:GO$50 )  - $C158 + 1, 1)), INDEX( GN$101:GN$142, MAX( COUNT( GO$9:GO$50 )  - $B158 + 1, 1)) : INDEX( GN$101:GN$142, MAX( COUNT( GO$9:GO$50 )  - $C158 + 1, 1)) &gt; 0), $D158))</f>
        <v>1</v>
      </c>
      <c r="GO158" s="8">
        <f>+IF(GO$8 = 125, 1, _xlfn.PERCENTILE.INC(_xlfn._xlws.FILTER(INDEX( GO$55:GO$96, MAX( COUNT( GP$9:GP$50 )  - $B158 + 1, 1)) : INDEX( GO$55:GO$96, MAX( COUNT( GP$9:GP$50 )  - $C158 + 1, 1)), INDEX( GO$101:GO$142, MAX( COUNT( GP$9:GP$50 )  - $B158 + 1, 1)) : INDEX( GO$101:GO$142, MAX( COUNT( GP$9:GP$50 )  - $C158 + 1, 1)) &gt; 0), $D158))</f>
        <v>1</v>
      </c>
      <c r="GP158" s="8">
        <f>+IF(GP$8 = 125, 1, _xlfn.PERCENTILE.INC(_xlfn._xlws.FILTER(INDEX( GP$55:GP$96, MAX( COUNT( GQ$9:GQ$50 )  - $B158 + 1, 1)) : INDEX( GP$55:GP$96, MAX( COUNT( GQ$9:GQ$50 )  - $C158 + 1, 1)), INDEX( GP$101:GP$142, MAX( COUNT( GQ$9:GQ$50 )  - $B158 + 1, 1)) : INDEX( GP$101:GP$142, MAX( COUNT( GQ$9:GQ$50 )  - $C158 + 1, 1)) &gt; 0), $D158))</f>
        <v>1</v>
      </c>
      <c r="GQ158" s="8">
        <f>+IF(GQ$8 = 125, 1, _xlfn.PERCENTILE.INC(_xlfn._xlws.FILTER(INDEX( GQ$55:GQ$96, MAX( COUNT( GR$9:GR$50 )  - $B158 + 1, 1)) : INDEX( GQ$55:GQ$96, MAX( COUNT( GR$9:GR$50 )  - $C158 + 1, 1)), INDEX( GQ$101:GQ$142, MAX( COUNT( GR$9:GR$50 )  - $B158 + 1, 1)) : INDEX( GQ$101:GQ$142, MAX( COUNT( GR$9:GR$50 )  - $C158 + 1, 1)) &gt; 0), $D158))</f>
        <v>0.99999207464419604</v>
      </c>
      <c r="GR158" s="8">
        <f>+IF(GR$8 = 125, 1, _xlfn.PERCENTILE.INC(_xlfn._xlws.FILTER(INDEX( GR$55:GR$96, MAX( COUNT( GS$9:GS$50 )  - $B158 + 1, 1)) : INDEX( GR$55:GR$96, MAX( COUNT( GS$9:GS$50 )  - $C158 + 1, 1)), INDEX( GR$101:GR$142, MAX( COUNT( GS$9:GS$50 )  - $B158 + 1, 1)) : INDEX( GR$101:GR$142, MAX( COUNT( GS$9:GS$50 )  - $C158 + 1, 1)) &gt; 0), $D158))</f>
        <v>0.99999977360580383</v>
      </c>
      <c r="GS158" s="8">
        <f>+IF(GS$8 = 125, 1, _xlfn.PERCENTILE.INC(_xlfn._xlws.FILTER(INDEX( GS$55:GS$96, MAX( COUNT( GT$9:GT$50 )  - $B158 + 1, 1)) : INDEX( GS$55:GS$96, MAX( COUNT( GT$9:GT$50 )  - $C158 + 1, 1)), INDEX( GS$101:GS$142, MAX( COUNT( GT$9:GT$50 )  - $B158 + 1, 1)) : INDEX( GS$101:GS$142, MAX( COUNT( GT$9:GT$50 )  - $C158 + 1, 1)) &gt; 0), $D158))</f>
        <v>0.99979718148816277</v>
      </c>
      <c r="GT158" s="8">
        <f>+IF(GT$8 = 125, 1, _xlfn.PERCENTILE.INC(_xlfn._xlws.FILTER(INDEX( GT$55:GT$96, MAX( COUNT( GU$9:GU$50 )  - $B158 + 1, 1)) : INDEX( GT$55:GT$96, MAX( COUNT( GU$9:GU$50 )  - $C158 + 1, 1)), INDEX( GT$101:GT$142, MAX( COUNT( GU$9:GU$50 )  - $B158 + 1, 1)) : INDEX( GT$101:GT$142, MAX( COUNT( GU$9:GU$50 )  - $C158 + 1, 1)) &gt; 0), $D158))</f>
        <v>1</v>
      </c>
      <c r="GU158" s="8">
        <f>+IF(GU$8 = 125, 1, _xlfn.PERCENTILE.INC(_xlfn._xlws.FILTER(INDEX( GU$55:GU$96, MAX( COUNT( GV$9:GV$50 )  - $B158 + 1, 1)) : INDEX( GU$55:GU$96, MAX( COUNT( GV$9:GV$50 )  - $C158 + 1, 1)), INDEX( GU$101:GU$142, MAX( COUNT( GV$9:GV$50 )  - $B158 + 1, 1)) : INDEX( GU$101:GU$142, MAX( COUNT( GV$9:GV$50 )  - $C158 + 1, 1)) &gt; 0), $D158))</f>
        <v>0.99994016165934629</v>
      </c>
      <c r="GV158" s="8">
        <f>+IF(GV$8 = 125, 1, _xlfn.PERCENTILE.INC(_xlfn._xlws.FILTER(INDEX( GV$55:GV$96, MAX( COUNT( GW$9:GW$50 )  - $B158 + 1, 1)) : INDEX( GV$55:GV$96, MAX( COUNT( GW$9:GW$50 )  - $C158 + 1, 1)), INDEX( GV$101:GV$142, MAX( COUNT( GW$9:GW$50 )  - $B158 + 1, 1)) : INDEX( GV$101:GV$142, MAX( COUNT( GW$9:GW$50 )  - $C158 + 1, 1)) &gt; 0), $D158))</f>
        <v>0.99996650568905732</v>
      </c>
      <c r="GW158" s="8">
        <f>+IF(GW$8 = 125, 1, _xlfn.PERCENTILE.INC(_xlfn._xlws.FILTER(INDEX( GW$55:GW$96, MAX( COUNT( GX$9:GX$50 )  - $B158 + 1, 1)) : INDEX( GW$55:GW$96, MAX( COUNT( GX$9:GX$50 )  - $C158 + 1, 1)), INDEX( GW$101:GW$142, MAX( COUNT( GX$9:GX$50 )  - $B158 + 1, 1)) : INDEX( GW$101:GW$142, MAX( COUNT( GX$9:GX$50 )  - $C158 + 1, 1)) &gt; 0), $D158))</f>
        <v>1</v>
      </c>
      <c r="GX158" s="8">
        <f>+IF(GX$8 = 125, 1, _xlfn.PERCENTILE.INC(_xlfn._xlws.FILTER(INDEX( GX$55:GX$96, MAX( COUNT( GY$9:GY$50 )  - $B158 + 1, 1)) : INDEX( GX$55:GX$96, MAX( COUNT( GY$9:GY$50 )  - $C158 + 1, 1)), INDEX( GX$101:GX$142, MAX( COUNT( GY$9:GY$50 )  - $B158 + 1, 1)) : INDEX( GX$101:GX$142, MAX( COUNT( GY$9:GY$50 )  - $C158 + 1, 1)) &gt; 0), $D158))</f>
        <v>1</v>
      </c>
      <c r="GY158" s="8">
        <f>+IF(GY$8 = 125, 1, _xlfn.PERCENTILE.INC(_xlfn._xlws.FILTER(INDEX( GY$55:GY$96, MAX( COUNT( GZ$9:GZ$50 )  - $B158 + 1, 1)) : INDEX( GY$55:GY$96, MAX( COUNT( GZ$9:GZ$50 )  - $C158 + 1, 1)), INDEX( GY$101:GY$142, MAX( COUNT( GZ$9:GZ$50 )  - $B158 + 1, 1)) : INDEX( GY$101:GY$142, MAX( COUNT( GZ$9:GZ$50 )  - $C158 + 1, 1)) &gt; 0), $D158))</f>
        <v>1</v>
      </c>
      <c r="GZ158" s="8">
        <f>+IF(GZ$8 = 125, 1, _xlfn.PERCENTILE.INC(_xlfn._xlws.FILTER(INDEX( GZ$55:GZ$96, MAX( COUNT( HA$9:HA$50 )  - $B158 + 1, 1)) : INDEX( GZ$55:GZ$96, MAX( COUNT( HA$9:HA$50 )  - $C158 + 1, 1)), INDEX( GZ$101:GZ$142, MAX( COUNT( HA$9:HA$50 )  - $B158 + 1, 1)) : INDEX( GZ$101:GZ$142, MAX( COUNT( HA$9:HA$50 )  - $C158 + 1, 1)) &gt; 0), $D158))</f>
        <v>1</v>
      </c>
      <c r="HA158" s="8">
        <f>+IF(HA$8 = 125, 1, _xlfn.PERCENTILE.INC(_xlfn._xlws.FILTER(INDEX( HA$55:HA$96, MAX( COUNT( HB$9:HB$50 )  - $B158 + 1, 1)) : INDEX( HA$55:HA$96, MAX( COUNT( HB$9:HB$50 )  - $C158 + 1, 1)), INDEX( HA$101:HA$142, MAX( COUNT( HB$9:HB$50 )  - $B158 + 1, 1)) : INDEX( HA$101:HA$142, MAX( COUNT( HB$9:HB$50 )  - $C158 + 1, 1)) &gt; 0), $D158))</f>
        <v>1</v>
      </c>
      <c r="HB158" s="8">
        <f>+IF(HB$8 = 125, 1, _xlfn.PERCENTILE.INC(_xlfn._xlws.FILTER(INDEX( HB$55:HB$96, MAX( COUNT( HC$9:HC$50 )  - $B158 + 1, 1)) : INDEX( HB$55:HB$96, MAX( COUNT( HC$9:HC$50 )  - $C158 + 1, 1)), INDEX( HB$101:HB$142, MAX( COUNT( HC$9:HC$50 )  - $B158 + 1, 1)) : INDEX( HB$101:HB$142, MAX( COUNT( HC$9:HC$50 )  - $C158 + 1, 1)) &gt; 0), $D158))</f>
        <v>0.99947620584608377</v>
      </c>
      <c r="HC158" s="8">
        <f>+IF(HC$8 = 125, 1, _xlfn.PERCENTILE.INC(_xlfn._xlws.FILTER(INDEX( HC$55:HC$96, MAX( COUNT( HD$9:HD$50 )  - $B158 + 1, 1)) : INDEX( HC$55:HC$96, MAX( COUNT( HD$9:HD$50 )  - $C158 + 1, 1)), INDEX( HC$101:HC$142, MAX( COUNT( HD$9:HD$50 )  - $B158 + 1, 1)) : INDEX( HC$101:HC$142, MAX( COUNT( HD$9:HD$50 )  - $C158 + 1, 1)) &gt; 0), $D158))</f>
        <v>1.0000179490068068</v>
      </c>
      <c r="HD158" s="8">
        <f>+IF(HD$8 = 125, 1, _xlfn.PERCENTILE.INC(_xlfn._xlws.FILTER(INDEX( HD$55:HD$96, MAX( COUNT( HE$9:HE$50 )  - $B158 + 1, 1)) : INDEX( HD$55:HD$96, MAX( COUNT( HE$9:HE$50 )  - $C158 + 1, 1)), INDEX( HD$101:HD$142, MAX( COUNT( HE$9:HE$50 )  - $B158 + 1, 1)) : INDEX( HD$101:HD$142, MAX( COUNT( HE$9:HE$50 )  - $C158 + 1, 1)) &gt; 0), $D158))</f>
        <v>1</v>
      </c>
      <c r="HE158" s="8">
        <f>+IF(HE$8 = 125, 1, _xlfn.PERCENTILE.INC(_xlfn._xlws.FILTER(INDEX( HE$55:HE$96, MAX( COUNT( HF$9:HF$50 )  - $B158 + 1, 1)) : INDEX( HE$55:HE$96, MAX( COUNT( HF$9:HF$50 )  - $C158 + 1, 1)), INDEX( HE$101:HE$142, MAX( COUNT( HF$9:HF$50 )  - $B158 + 1, 1)) : INDEX( HE$101:HE$142, MAX( COUNT( HF$9:HF$50 )  - $C158 + 1, 1)) &gt; 0), $D158))</f>
        <v>1</v>
      </c>
      <c r="HF158" s="8">
        <f>+IF(HF$8 = 125, 1, _xlfn.PERCENTILE.INC(_xlfn._xlws.FILTER(INDEX( HF$55:HF$96, MAX( COUNT( HG$9:HG$50 )  - $B158 + 1, 1)) : INDEX( HF$55:HF$96, MAX( COUNT( HG$9:HG$50 )  - $C158 + 1, 1)), INDEX( HF$101:HF$142, MAX( COUNT( HG$9:HG$50 )  - $B158 + 1, 1)) : INDEX( HF$101:HF$142, MAX( COUNT( HG$9:HG$50 )  - $C158 + 1, 1)) &gt; 0), $D158))</f>
        <v>1</v>
      </c>
      <c r="HG158" s="8">
        <f>+IF(HG$8 = 125, 1, _xlfn.PERCENTILE.INC(_xlfn._xlws.FILTER(INDEX( HG$55:HG$96, MAX( COUNT( HH$9:HH$50 )  - $B158 + 1, 1)) : INDEX( HG$55:HG$96, MAX( COUNT( HH$9:HH$50 )  - $C158 + 1, 1)), INDEX( HG$101:HG$142, MAX( COUNT( HH$9:HH$50 )  - $B158 + 1, 1)) : INDEX( HG$101:HG$142, MAX( COUNT( HH$9:HH$50 )  - $C158 + 1, 1)) &gt; 0), $D158))</f>
        <v>1</v>
      </c>
      <c r="HH158" s="8">
        <f>+IF(HH$8 = 125, 1, _xlfn.PERCENTILE.INC(_xlfn._xlws.FILTER(INDEX( HH$55:HH$96, MAX( COUNT( HI$9:HI$50 )  - $B158 + 1, 1)) : INDEX( HH$55:HH$96, MAX( COUNT( HI$9:HI$50 )  - $C158 + 1, 1)), INDEX( HH$101:HH$142, MAX( COUNT( HI$9:HI$50 )  - $B158 + 1, 1)) : INDEX( HH$101:HH$142, MAX( COUNT( HI$9:HI$50 )  - $C158 + 1, 1)) &gt; 0), $D158))</f>
        <v>1.0001612635471295</v>
      </c>
      <c r="HI158" s="8">
        <f>+IF(HI$8 = 125, 1, _xlfn.PERCENTILE.INC(_xlfn._xlws.FILTER(INDEX( HI$55:HI$96, MAX( COUNT( HJ$9:HJ$50 )  - $B158 + 1, 1)) : INDEX( HI$55:HI$96, MAX( COUNT( HJ$9:HJ$50 )  - $C158 + 1, 1)), INDEX( HI$101:HI$142, MAX( COUNT( HJ$9:HJ$50 )  - $B158 + 1, 1)) : INDEX( HI$101:HI$142, MAX( COUNT( HJ$9:HJ$50 )  - $C158 + 1, 1)) &gt; 0), $D158))</f>
        <v>1</v>
      </c>
      <c r="HJ158" s="8">
        <f>+IF(HJ$8 = 125, 1, _xlfn.PERCENTILE.INC(_xlfn._xlws.FILTER(INDEX( HJ$55:HJ$96, MAX( COUNT( HK$9:HK$50 )  - $B158 + 1, 1)) : INDEX( HJ$55:HJ$96, MAX( COUNT( HK$9:HK$50 )  - $C158 + 1, 1)), INDEX( HJ$101:HJ$142, MAX( COUNT( HK$9:HK$50 )  - $B158 + 1, 1)) : INDEX( HJ$101:HJ$142, MAX( COUNT( HK$9:HK$50 )  - $C158 + 1, 1)) &gt; 0), $D158))</f>
        <v>1</v>
      </c>
      <c r="HK158" s="8">
        <f>+IF(HK$8 = 125, 1, _xlfn.PERCENTILE.INC(_xlfn._xlws.FILTER(INDEX( HK$55:HK$96, MAX( COUNT( HL$9:HL$50 )  - $B158 + 1, 1)) : INDEX( HK$55:HK$96, MAX( COUNT( HL$9:HL$50 )  - $C158 + 1, 1)), INDEX( HK$101:HK$142, MAX( COUNT( HL$9:HL$50 )  - $B158 + 1, 1)) : INDEX( HK$101:HK$142, MAX( COUNT( HL$9:HL$50 )  - $C158 + 1, 1)) &gt; 0), $D158))</f>
        <v>1</v>
      </c>
      <c r="HL158" s="8">
        <f>+IF(HL$8 = 125, 1, _xlfn.PERCENTILE.INC(_xlfn._xlws.FILTER(INDEX( HL$55:HL$96, MAX( COUNT( HM$9:HM$50 )  - $B158 + 1, 1)) : INDEX( HL$55:HL$96, MAX( COUNT( HM$9:HM$50 )  - $C158 + 1, 1)), INDEX( HL$101:HL$142, MAX( COUNT( HM$9:HM$50 )  - $B158 + 1, 1)) : INDEX( HL$101:HL$142, MAX( COUNT( HM$9:HM$50 )  - $C158 + 1, 1)) &gt; 0), $D158))</f>
        <v>1</v>
      </c>
      <c r="HM158" s="8">
        <f>+IF(HM$8 = 125, 1, _xlfn.PERCENTILE.INC(_xlfn._xlws.FILTER(INDEX( HM$55:HM$96, MAX( COUNT( HN$9:HN$50 )  - $B158 + 1, 1)) : INDEX( HM$55:HM$96, MAX( COUNT( HN$9:HN$50 )  - $C158 + 1, 1)), INDEX( HM$101:HM$142, MAX( COUNT( HN$9:HN$50 )  - $B158 + 1, 1)) : INDEX( HM$101:HM$142, MAX( COUNT( HN$9:HN$50 )  - $C158 + 1, 1)) &gt; 0), $D158))</f>
        <v>1</v>
      </c>
      <c r="HN158" s="8">
        <f>+IF(HN$8 = 125, 1, _xlfn.PERCENTILE.INC(_xlfn._xlws.FILTER(INDEX( HN$55:HN$96, MAX( COUNT( HO$9:HO$50 )  - $B158 + 1, 1)) : INDEX( HN$55:HN$96, MAX( COUNT( HO$9:HO$50 )  - $C158 + 1, 1)), INDEX( HN$101:HN$142, MAX( COUNT( HO$9:HO$50 )  - $B158 + 1, 1)) : INDEX( HN$101:HN$142, MAX( COUNT( HO$9:HO$50 )  - $C158 + 1, 1)) &gt; 0), $D158))</f>
        <v>1</v>
      </c>
      <c r="HO158" s="8">
        <f>+IF(HO$8 = 125, 1, _xlfn.PERCENTILE.INC(_xlfn._xlws.FILTER(INDEX( HO$55:HO$96, MAX( COUNT( HP$9:HP$50 )  - $B158 + 1, 1)) : INDEX( HO$55:HO$96, MAX( COUNT( HP$9:HP$50 )  - $C158 + 1, 1)), INDEX( HO$101:HO$142, MAX( COUNT( HP$9:HP$50 )  - $B158 + 1, 1)) : INDEX( HO$101:HO$142, MAX( COUNT( HP$9:HP$50 )  - $C158 + 1, 1)) &gt; 0), $D158))</f>
        <v>1</v>
      </c>
      <c r="HP158" s="8">
        <f>+IF(HP$8 = 125, 1, _xlfn.PERCENTILE.INC(_xlfn._xlws.FILTER(INDEX( HP$55:HP$96, MAX( COUNT( HQ$9:HQ$50 )  - $B158 + 1, 1)) : INDEX( HP$55:HP$96, MAX( COUNT( HQ$9:HQ$50 )  - $C158 + 1, 1)), INDEX( HP$101:HP$142, MAX( COUNT( HQ$9:HQ$50 )  - $B158 + 1, 1)) : INDEX( HP$101:HP$142, MAX( COUNT( HQ$9:HQ$50 )  - $C158 + 1, 1)) &gt; 0), $D158))</f>
        <v>1</v>
      </c>
      <c r="HQ158" s="8">
        <f>+IF(HQ$8 = 125, 1, _xlfn.PERCENTILE.INC(_xlfn._xlws.FILTER(INDEX( HQ$55:HQ$96, MAX( COUNT( HR$9:HR$50 )  - $B158 + 1, 1)) : INDEX( HQ$55:HQ$96, MAX( COUNT( HR$9:HR$50 )  - $C158 + 1, 1)), INDEX( HQ$101:HQ$142, MAX( COUNT( HR$9:HR$50 )  - $B158 + 1, 1)) : INDEX( HQ$101:HQ$142, MAX( COUNT( HR$9:HR$50 )  - $C158 + 1, 1)) &gt; 0), $D158))</f>
        <v>1</v>
      </c>
      <c r="HR158" s="8">
        <f>+IF(HR$8 = 125, 1, _xlfn.PERCENTILE.INC(_xlfn._xlws.FILTER(INDEX( HR$55:HR$96, MAX( COUNT( HS$9:HS$50 )  - $B158 + 1, 1)) : INDEX( HR$55:HR$96, MAX( COUNT( HS$9:HS$50 )  - $C158 + 1, 1)), INDEX( HR$101:HR$142, MAX( COUNT( HS$9:HS$50 )  - $B158 + 1, 1)) : INDEX( HR$101:HR$142, MAX( COUNT( HS$9:HS$50 )  - $C158 + 1, 1)) &gt; 0), $D158))</f>
        <v>1</v>
      </c>
      <c r="HS158" s="8">
        <f>+IF(HS$8 = 125, 1, _xlfn.PERCENTILE.INC(_xlfn._xlws.FILTER(INDEX( HS$55:HS$96, MAX( COUNT( HT$9:HT$50 )  - $B158 + 1, 1)) : INDEX( HS$55:HS$96, MAX( COUNT( HT$9:HT$50 )  - $C158 + 1, 1)), INDEX( HS$101:HS$142, MAX( COUNT( HT$9:HT$50 )  - $B158 + 1, 1)) : INDEX( HS$101:HS$142, MAX( COUNT( HT$9:HT$50 )  - $C158 + 1, 1)) &gt; 0), $D158))</f>
        <v>1.0001788523518536</v>
      </c>
      <c r="HT158" s="8">
        <f>+IF(HT$8 = 125, 1, _xlfn.PERCENTILE.INC(_xlfn._xlws.FILTER(INDEX( HT$55:HT$96, MAX( COUNT( HU$9:HU$50 )  - $B158 + 1, 1)) : INDEX( HT$55:HT$96, MAX( COUNT( HU$9:HU$50 )  - $C158 + 1, 1)), INDEX( HT$101:HT$142, MAX( COUNT( HU$9:HU$50 )  - $B158 + 1, 1)) : INDEX( HT$101:HT$142, MAX( COUNT( HU$9:HU$50 )  - $C158 + 1, 1)) &gt; 0), $D158))</f>
        <v>1.000554894931631</v>
      </c>
      <c r="HU158" s="8">
        <f>+IF(HU$8 = 125, 1, _xlfn.PERCENTILE.INC(_xlfn._xlws.FILTER(INDEX( HU$55:HU$96, MAX( COUNT( HV$9:HV$50 )  - $B158 + 1, 1)) : INDEX( HU$55:HU$96, MAX( COUNT( HV$9:HV$50 )  - $C158 + 1, 1)), INDEX( HU$101:HU$142, MAX( COUNT( HV$9:HV$50 )  - $B158 + 1, 1)) : INDEX( HU$101:HU$142, MAX( COUNT( HV$9:HV$50 )  - $C158 + 1, 1)) &gt; 0), $D158))</f>
        <v>1.0002105517818762</v>
      </c>
      <c r="HV158" s="8">
        <f>+IF(HV$8 = 125, 1, _xlfn.PERCENTILE.INC(_xlfn._xlws.FILTER(INDEX( HV$55:HV$96, MAX( COUNT( HW$9:HW$50 )  - $B158 + 1, 1)) : INDEX( HV$55:HV$96, MAX( COUNT( HW$9:HW$50 )  - $C158 + 1, 1)), INDEX( HV$101:HV$142, MAX( COUNT( HW$9:HW$50 )  - $B158 + 1, 1)) : INDEX( HV$101:HV$142, MAX( COUNT( HW$9:HW$50 )  - $C158 + 1, 1)) &gt; 0), $D158))</f>
        <v>1.0000554729617492</v>
      </c>
      <c r="HW158" s="8">
        <f>+IF(HW$8 = 125, 1, _xlfn.PERCENTILE.INC(_xlfn._xlws.FILTER(INDEX( HW$55:HW$96, MAX( COUNT( HX$9:HX$50 )  - $B158 + 1, 1)) : INDEX( HW$55:HW$96, MAX( COUNT( HX$9:HX$50 )  - $C158 + 1, 1)), INDEX( HW$101:HW$142, MAX( COUNT( HX$9:HX$50 )  - $B158 + 1, 1)) : INDEX( HW$101:HW$142, MAX( COUNT( HX$9:HX$50 )  - $C158 + 1, 1)) &gt; 0), $D158))</f>
        <v>1</v>
      </c>
      <c r="HX158" s="8">
        <f>+IF(HX$8 = 125, 1, _xlfn.PERCENTILE.INC(_xlfn._xlws.FILTER(INDEX( HX$55:HX$96, MAX( COUNT( HY$9:HY$50 )  - $B158 + 1, 1)) : INDEX( HX$55:HX$96, MAX( COUNT( HY$9:HY$50 )  - $C158 + 1, 1)), INDEX( HX$101:HX$142, MAX( COUNT( HY$9:HY$50 )  - $B158 + 1, 1)) : INDEX( HX$101:HX$142, MAX( COUNT( HY$9:HY$50 )  - $C158 + 1, 1)) &gt; 0), $D158))</f>
        <v>1</v>
      </c>
      <c r="HY158" s="8">
        <f>+IF(HY$8 = 125, 1, _xlfn.PERCENTILE.INC(_xlfn._xlws.FILTER(INDEX( HY$55:HY$96, MAX( COUNT( HZ$9:HZ$50 )  - $B158 + 1, 1)) : INDEX( HY$55:HY$96, MAX( COUNT( HZ$9:HZ$50 )  - $C158 + 1, 1)), INDEX( HY$101:HY$142, MAX( COUNT( HZ$9:HZ$50 )  - $B158 + 1, 1)) : INDEX( HY$101:HY$142, MAX( COUNT( HZ$9:HZ$50 )  - $C158 + 1, 1)) &gt; 0), $D158))</f>
        <v>1</v>
      </c>
      <c r="HZ158" s="8">
        <f>+IF(HZ$8 = 125, 1, _xlfn.PERCENTILE.INC(_xlfn._xlws.FILTER(INDEX( HZ$55:HZ$96, MAX( COUNT( IA$9:IA$50 )  - $B158 + 1, 1)) : INDEX( HZ$55:HZ$96, MAX( COUNT( IA$9:IA$50 )  - $C158 + 1, 1)), INDEX( HZ$101:HZ$142, MAX( COUNT( IA$9:IA$50 )  - $B158 + 1, 1)) : INDEX( HZ$101:HZ$142, MAX( COUNT( IA$9:IA$50 )  - $C158 + 1, 1)) &gt; 0), $D158))</f>
        <v>1</v>
      </c>
      <c r="IA158" s="8">
        <f>+IF(IA$8 = 125, 1, _xlfn.PERCENTILE.INC(_xlfn._xlws.FILTER(INDEX( IA$55:IA$96, MAX( COUNT( IB$9:IB$50 )  - $B158 + 1, 1)) : INDEX( IA$55:IA$96, MAX( COUNT( IB$9:IB$50 )  - $C158 + 1, 1)), INDEX( IA$101:IA$142, MAX( COUNT( IB$9:IB$50 )  - $B158 + 1, 1)) : INDEX( IA$101:IA$142, MAX( COUNT( IB$9:IB$50 )  - $C158 + 1, 1)) &gt; 0), $D158))</f>
        <v>1</v>
      </c>
      <c r="IB158" s="8">
        <f>+IF(IB$8 = 125, 1, _xlfn.PERCENTILE.INC(_xlfn._xlws.FILTER(INDEX( IB$55:IB$96, MAX( COUNT( IC$9:IC$50 )  - $B158 + 1, 1)) : INDEX( IB$55:IB$96, MAX( COUNT( IC$9:IC$50 )  - $C158 + 1, 1)), INDEX( IB$101:IB$142, MAX( COUNT( IC$9:IC$50 )  - $B158 + 1, 1)) : INDEX( IB$101:IB$142, MAX( COUNT( IC$9:IC$50 )  - $C158 + 1, 1)) &gt; 0), $D158))</f>
        <v>1</v>
      </c>
      <c r="IC158" s="8">
        <f>+IF(IC$8 = 125, 1, _xlfn.PERCENTILE.INC(_xlfn._xlws.FILTER(INDEX( IC$55:IC$96, MAX( COUNT( ID$9:ID$50 )  - $B158 + 1, 1)) : INDEX( IC$55:IC$96, MAX( COUNT( ID$9:ID$50 )  - $C158 + 1, 1)), INDEX( IC$101:IC$142, MAX( COUNT( ID$9:ID$50 )  - $B158 + 1, 1)) : INDEX( IC$101:IC$142, MAX( COUNT( ID$9:ID$50 )  - $C158 + 1, 1)) &gt; 0), $D158))</f>
        <v>1</v>
      </c>
      <c r="ID158" s="8">
        <f>+IF(ID$8 = 125, 1, _xlfn.PERCENTILE.INC(_xlfn._xlws.FILTER(INDEX( ID$55:ID$96, MAX( COUNT( IE$9:IE$50 )  - $B158 + 1, 1)) : INDEX( ID$55:ID$96, MAX( COUNT( IE$9:IE$50 )  - $C158 + 1, 1)), INDEX( ID$101:ID$142, MAX( COUNT( IE$9:IE$50 )  - $B158 + 1, 1)) : INDEX( ID$101:ID$142, MAX( COUNT( IE$9:IE$50 )  - $C158 + 1, 1)) &gt; 0), $D158))</f>
        <v>1</v>
      </c>
      <c r="IE158" s="8">
        <f>+IF(IE$8 = 125, 1, _xlfn.PERCENTILE.INC(_xlfn._xlws.FILTER(INDEX( IE$55:IE$96, MAX( COUNT( IF$9:IF$50 )  - $B158 + 1, 1)) : INDEX( IE$55:IE$96, MAX( COUNT( IF$9:IF$50 )  - $C158 + 1, 1)), INDEX( IE$101:IE$142, MAX( COUNT( IF$9:IF$50 )  - $B158 + 1, 1)) : INDEX( IE$101:IE$142, MAX( COUNT( IF$9:IF$50 )  - $C158 + 1, 1)) &gt; 0), $D158))</f>
        <v>1</v>
      </c>
      <c r="IF158" s="8">
        <f>+IF(IF$8 = 125, 1, _xlfn.PERCENTILE.INC(_xlfn._xlws.FILTER(INDEX( IF$55:IF$96, MAX( COUNT( IG$9:IG$50 )  - $B158 + 1, 1)) : INDEX( IF$55:IF$96, MAX( COUNT( IG$9:IG$50 )  - $C158 + 1, 1)), INDEX( IF$101:IF$142, MAX( COUNT( IG$9:IG$50 )  - $B158 + 1, 1)) : INDEX( IF$101:IF$142, MAX( COUNT( IG$9:IG$50 )  - $C158 + 1, 1)) &gt; 0), $D158))</f>
        <v>1.0007915143953068</v>
      </c>
      <c r="IG158" s="8">
        <f>+IF(IG$8 = 125, 1, _xlfn.PERCENTILE.INC(_xlfn._xlws.FILTER(INDEX( IG$55:IG$96, MAX( COUNT( IH$9:IH$50 )  - $B158 + 1, 1)) : INDEX( IG$55:IG$96, MAX( COUNT( IH$9:IH$50 )  - $C158 + 1, 1)), INDEX( IG$101:IG$142, MAX( COUNT( IH$9:IH$50 )  - $B158 + 1, 1)) : INDEX( IG$101:IG$142, MAX( COUNT( IH$9:IH$50 )  - $C158 + 1, 1)) &gt; 0), $D158))</f>
        <v>1.0003868937258826</v>
      </c>
      <c r="IH158" s="8">
        <f>+IF(IH$8 = 125, 1, _xlfn.PERCENTILE.INC(_xlfn._xlws.FILTER(INDEX( IH$55:IH$96, MAX( COUNT( II$9:II$50 )  - $B158 + 1, 1)) : INDEX( IH$55:IH$96, MAX( COUNT( II$9:II$50 )  - $C158 + 1, 1)), INDEX( IH$101:IH$142, MAX( COUNT( II$9:II$50 )  - $B158 + 1, 1)) : INDEX( IH$101:IH$142, MAX( COUNT( II$9:II$50 )  - $C158 + 1, 1)) &gt; 0), $D158))</f>
        <v>1</v>
      </c>
      <c r="II158" s="8">
        <f>+IF(II$8 = 125, 1, _xlfn.PERCENTILE.INC(_xlfn._xlws.FILTER(INDEX( II$55:II$96, MAX( COUNT( IJ$9:IJ$50 )  - $B158 + 1, 1)) : INDEX( II$55:II$96, MAX( COUNT( IJ$9:IJ$50 )  - $C158 + 1, 1)), INDEX( II$101:II$142, MAX( COUNT( IJ$9:IJ$50 )  - $B158 + 1, 1)) : INDEX( II$101:II$142, MAX( COUNT( IJ$9:IJ$50 )  - $C158 + 1, 1)) &gt; 0), $D158))</f>
        <v>1</v>
      </c>
      <c r="IJ158" s="8">
        <f>+IF(IJ$8 = 125, 1, _xlfn.PERCENTILE.INC(_xlfn._xlws.FILTER(INDEX( IJ$55:IJ$96, MAX( COUNT( IK$9:IK$50 )  - $B158 + 1, 1)) : INDEX( IJ$55:IJ$96, MAX( COUNT( IK$9:IK$50 )  - $C158 + 1, 1)), INDEX( IJ$101:IJ$142, MAX( COUNT( IK$9:IK$50 )  - $B158 + 1, 1)) : INDEX( IJ$101:IJ$142, MAX( COUNT( IK$9:IK$50 )  - $C158 + 1, 1)) &gt; 0), $D158))</f>
        <v>1.0007031683645964</v>
      </c>
      <c r="IK158" s="8">
        <f>+IF(IK$8 = 125, 1, _xlfn.PERCENTILE.INC(_xlfn._xlws.FILTER(INDEX( IK$55:IK$96, MAX( COUNT( IL$9:IL$50 )  - $B158 + 1, 1)) : INDEX( IK$55:IK$96, MAX( COUNT( IL$9:IL$50 )  - $C158 + 1, 1)), INDEX( IK$101:IK$142, MAX( COUNT( IL$9:IL$50 )  - $B158 + 1, 1)) : INDEX( IK$101:IK$142, MAX( COUNT( IL$9:IL$50 )  - $C158 + 1, 1)) &gt; 0), $D158))</f>
        <v>1</v>
      </c>
      <c r="IL158" s="8">
        <f>+IF(IL$8 = 125, 1, _xlfn.PERCENTILE.INC(_xlfn._xlws.FILTER(INDEX( IL$55:IL$96, MAX( COUNT( IM$9:IM$50 )  - $B158 + 1, 1)) : INDEX( IL$55:IL$96, MAX( COUNT( IM$9:IM$50 )  - $C158 + 1, 1)), INDEX( IL$101:IL$142, MAX( COUNT( IM$9:IM$50 )  - $B158 + 1, 1)) : INDEX( IL$101:IL$142, MAX( COUNT( IM$9:IM$50 )  - $C158 + 1, 1)) &gt; 0), $D158))</f>
        <v>1.0000505789499032</v>
      </c>
      <c r="IM158" s="8">
        <f>+IF(IM$8 = 125, 1, _xlfn.PERCENTILE.INC(_xlfn._xlws.FILTER(INDEX( IM$55:IM$96, MAX( COUNT( IN$9:IN$50 )  - $B158 + 1, 1)) : INDEX( IM$55:IM$96, MAX( COUNT( IN$9:IN$50 )  - $C158 + 1, 1)), INDEX( IM$101:IM$142, MAX( COUNT( IN$9:IN$50 )  - $B158 + 1, 1)) : INDEX( IM$101:IM$142, MAX( COUNT( IN$9:IN$50 )  - $C158 + 1, 1)) &gt; 0), $D158))</f>
        <v>1</v>
      </c>
      <c r="IN158" s="8">
        <f>+IF(IN$8 = 125, 1, _xlfn.PERCENTILE.INC(_xlfn._xlws.FILTER(INDEX( IN$55:IN$96, MAX( COUNT( IO$9:IO$50 )  - $B158 + 1, 1)) : INDEX( IN$55:IN$96, MAX( COUNT( IO$9:IO$50 )  - $C158 + 1, 1)), INDEX( IN$101:IN$142, MAX( COUNT( IO$9:IO$50 )  - $B158 + 1, 1)) : INDEX( IN$101:IN$142, MAX( COUNT( IO$9:IO$50 )  - $C158 + 1, 1)) &gt; 0), $D158))</f>
        <v>1.000217269338618</v>
      </c>
      <c r="IO158" s="8">
        <f>+IF(IO$8 = 125, 1, _xlfn.PERCENTILE.INC(_xlfn._xlws.FILTER(INDEX( IO$55:IO$96, MAX( COUNT( IP$9:IP$50 )  - $B158 + 1, 1)) : INDEX( IO$55:IO$96, MAX( COUNT( IP$9:IP$50 )  - $C158 + 1, 1)), INDEX( IO$101:IO$142, MAX( COUNT( IP$9:IP$50 )  - $B158 + 1, 1)) : INDEX( IO$101:IO$142, MAX( COUNT( IP$9:IP$50 )  - $C158 + 1, 1)) &gt; 0), $D158))</f>
        <v>1.0015542964119872</v>
      </c>
      <c r="IP158" s="8">
        <f>+IF(IP$8 = 125, 1, _xlfn.PERCENTILE.INC(_xlfn._xlws.FILTER(INDEX( IP$55:IP$96, MAX( COUNT( IQ$9:IQ$50 )  - $B158 + 1, 1)) : INDEX( IP$55:IP$96, MAX( COUNT( IQ$9:IQ$50 )  - $C158 + 1, 1)), INDEX( IP$101:IP$142, MAX( COUNT( IQ$9:IQ$50 )  - $B158 + 1, 1)) : INDEX( IP$101:IP$142, MAX( COUNT( IQ$9:IQ$50 )  - $C158 + 1, 1)) &gt; 0), $D158))</f>
        <v>1.0005190701854592</v>
      </c>
      <c r="IQ158" s="8">
        <f>+IF(IQ$8 = 125, 1, _xlfn.PERCENTILE.INC(_xlfn._xlws.FILTER(INDEX( IQ$55:IQ$96, MAX( COUNT( IR$9:IR$50 )  - $B158 + 1, 1)) : INDEX( IQ$55:IQ$96, MAX( COUNT( IR$9:IR$50 )  - $C158 + 1, 1)), INDEX( IQ$101:IQ$142, MAX( COUNT( IR$9:IR$50 )  - $B158 + 1, 1)) : INDEX( IQ$101:IQ$142, MAX( COUNT( IR$9:IR$50 )  - $C158 + 1, 1)) &gt; 0), $D158))</f>
        <v>1.0033134713355067</v>
      </c>
      <c r="IR158" s="8">
        <f>+IF(IR$8 = 125, 1, _xlfn.PERCENTILE.INC(_xlfn._xlws.FILTER(INDEX( IR$55:IR$96, MAX( COUNT( IS$9:IS$50 )  - $B158 + 1, 1)) : INDEX( IR$55:IR$96, MAX( COUNT( IS$9:IS$50 )  - $C158 + 1, 1)), INDEX( IR$101:IR$142, MAX( COUNT( IS$9:IS$50 )  - $B158 + 1, 1)) : INDEX( IR$101:IR$142, MAX( COUNT( IS$9:IS$50 )  - $C158 + 1, 1)) &gt; 0), $D158))</f>
        <v>1.0017341390756405</v>
      </c>
      <c r="IS158" s="8">
        <f>+IF(IS$8 = 125, 1, _xlfn.PERCENTILE.INC(_xlfn._xlws.FILTER(INDEX( IS$55:IS$96, MAX( COUNT( IT$9:IT$50 )  - $B158 + 1, 1)) : INDEX( IS$55:IS$96, MAX( COUNT( IT$9:IT$50 )  - $C158 + 1, 1)), INDEX( IS$101:IS$142, MAX( COUNT( IT$9:IT$50 )  - $B158 + 1, 1)) : INDEX( IS$101:IS$142, MAX( COUNT( IT$9:IT$50 )  - $C158 + 1, 1)) &gt; 0), $D158))</f>
        <v>1.0055498790859507</v>
      </c>
      <c r="IT158" s="8">
        <f>+IF(IT$8 = 125, 1, _xlfn.PERCENTILE.INC(_xlfn._xlws.FILTER(INDEX( IT$55:IT$96, MAX( COUNT( IU$9:IU$50 )  - $B158 + 1, 1)) : INDEX( IT$55:IT$96, MAX( COUNT( IU$9:IU$50 )  - $C158 + 1, 1)), INDEX( IT$101:IT$142, MAX( COUNT( IU$9:IU$50 )  - $B158 + 1, 1)) : INDEX( IT$101:IT$142, MAX( COUNT( IU$9:IU$50 )  - $C158 + 1, 1)) &gt; 0), $D158))</f>
        <v>1.0050872730680325</v>
      </c>
      <c r="IU158" s="8">
        <f>+IF(IU$8 = 125, 1, _xlfn.PERCENTILE.INC(_xlfn._xlws.FILTER(INDEX( IU$55:IU$96, MAX( COUNT( IV$9:IV$50 )  - $B158 + 1, 1)) : INDEX( IU$55:IU$96, MAX( COUNT( IV$9:IV$50 )  - $C158 + 1, 1)), INDEX( IU$101:IU$142, MAX( COUNT( IV$9:IV$50 )  - $B158 + 1, 1)) : INDEX( IU$101:IU$142, MAX( COUNT( IV$9:IV$50 )  - $C158 + 1, 1)) &gt; 0), $D158))</f>
        <v>1.0045545119089383</v>
      </c>
      <c r="IV158" s="8">
        <f>+IF(IV$8 = 125, 1, _xlfn.PERCENTILE.INC(_xlfn._xlws.FILTER(INDEX( IV$55:IV$96, MAX( COUNT( IW$9:IW$50 )  - $B158 + 1, 1)) : INDEX( IV$55:IV$96, MAX( COUNT( IW$9:IW$50 )  - $C158 + 1, 1)), INDEX( IV$101:IV$142, MAX( COUNT( IW$9:IW$50 )  - $B158 + 1, 1)) : INDEX( IV$101:IV$142, MAX( COUNT( IW$9:IW$50 )  - $C158 + 1, 1)) &gt; 0), $D158))</f>
        <v>1</v>
      </c>
    </row>
    <row r="159" spans="2:256" x14ac:dyDescent="0.2">
      <c r="B159">
        <v>1</v>
      </c>
      <c r="C159">
        <v>4</v>
      </c>
      <c r="D159">
        <v>0.7</v>
      </c>
      <c r="F159" s="15" t="s">
        <v>19</v>
      </c>
      <c r="G159" s="8">
        <f>+IF(G$8 = 125, 1, _xlfn.PERCENTILE.INC(_xlfn._xlws.FILTER(INDEX( G$55:G$96, MAX( COUNT( H$9:H$50 )  - $B159 + 1, 1)) : INDEX( G$55:G$96, MAX( COUNT( H$9:H$50 )  - $C159 + 1, 1)), INDEX( G$101:G$142, MAX( COUNT( H$9:H$50 )  - $B159 + 1, 1)) : INDEX( G$101:G$142, MAX( COUNT( H$9:H$50 )  - $C159 + 1, 1)) &gt; 0), $D159))</f>
        <v>21.343750129553072</v>
      </c>
      <c r="H159" s="8">
        <f>+IF(H$8 = 125, 1, _xlfn.PERCENTILE.INC(_xlfn._xlws.FILTER(INDEX( H$55:H$96, MAX( COUNT( I$9:I$50 )  - $B159 + 1, 1)) : INDEX( H$55:H$96, MAX( COUNT( I$9:I$50 )  - $C159 + 1, 1)), INDEX( H$101:H$142, MAX( COUNT( I$9:I$50 )  - $B159 + 1, 1)) : INDEX( H$101:H$142, MAX( COUNT( I$9:I$50 )  - $C159 + 1, 1)) &gt; 0), $D159))</f>
        <v>2.3656270408324596</v>
      </c>
      <c r="I159" s="8">
        <f>+IF(I$8 = 125, 1, _xlfn.PERCENTILE.INC(_xlfn._xlws.FILTER(INDEX( I$55:I$96, MAX( COUNT( J$9:J$50 )  - $B159 + 1, 1)) : INDEX( I$55:I$96, MAX( COUNT( J$9:J$50 )  - $C159 + 1, 1)), INDEX( I$101:I$142, MAX( COUNT( J$9:J$50 )  - $B159 + 1, 1)) : INDEX( I$101:I$142, MAX( COUNT( J$9:J$50 )  - $C159 + 1, 1)) &gt; 0), $D159))</f>
        <v>1.8238221610145324</v>
      </c>
      <c r="J159" s="8">
        <f>+IF(J$8 = 125, 1, _xlfn.PERCENTILE.INC(_xlfn._xlws.FILTER(INDEX( J$55:J$96, MAX( COUNT( K$9:K$50 )  - $B159 + 1, 1)) : INDEX( J$55:J$96, MAX( COUNT( K$9:K$50 )  - $C159 + 1, 1)), INDEX( J$101:J$142, MAX( COUNT( K$9:K$50 )  - $B159 + 1, 1)) : INDEX( J$101:J$142, MAX( COUNT( K$9:K$50 )  - $C159 + 1, 1)) &gt; 0), $D159))</f>
        <v>1.5196415468648257</v>
      </c>
      <c r="K159" s="8">
        <f>+IF(K$8 = 125, 1, _xlfn.PERCENTILE.INC(_xlfn._xlws.FILTER(INDEX( K$55:K$96, MAX( COUNT( L$9:L$50 )  - $B159 + 1, 1)) : INDEX( K$55:K$96, MAX( COUNT( L$9:L$50 )  - $C159 + 1, 1)), INDEX( K$101:K$142, MAX( COUNT( L$9:L$50 )  - $B159 + 1, 1)) : INDEX( K$101:K$142, MAX( COUNT( L$9:L$50 )  - $C159 + 1, 1)) &gt; 0), $D159))</f>
        <v>1.0785787358725374</v>
      </c>
      <c r="L159" s="8">
        <f>+IF(L$8 = 125, 1, _xlfn.PERCENTILE.INC(_xlfn._xlws.FILTER(INDEX( L$55:L$96, MAX( COUNT( M$9:M$50 )  - $B159 + 1, 1)) : INDEX( L$55:L$96, MAX( COUNT( M$9:M$50 )  - $C159 + 1, 1)), INDEX( L$101:L$142, MAX( COUNT( M$9:M$50 )  - $B159 + 1, 1)) : INDEX( L$101:L$142, MAX( COUNT( M$9:M$50 )  - $C159 + 1, 1)) &gt; 0), $D159))</f>
        <v>1.1271183303046732</v>
      </c>
      <c r="M159" s="8">
        <f>+IF(M$8 = 125, 1, _xlfn.PERCENTILE.INC(_xlfn._xlws.FILTER(INDEX( M$55:M$96, MAX( COUNT( N$9:N$50 )  - $B159 + 1, 1)) : INDEX( M$55:M$96, MAX( COUNT( N$9:N$50 )  - $C159 + 1, 1)), INDEX( M$101:M$142, MAX( COUNT( N$9:N$50 )  - $B159 + 1, 1)) : INDEX( M$101:M$142, MAX( COUNT( N$9:N$50 )  - $C159 + 1, 1)) &gt; 0), $D159))</f>
        <v>1.0335840288836069</v>
      </c>
      <c r="N159" s="8">
        <f>+IF(N$8 = 125, 1, _xlfn.PERCENTILE.INC(_xlfn._xlws.FILTER(INDEX( N$55:N$96, MAX( COUNT( O$9:O$50 )  - $B159 + 1, 1)) : INDEX( N$55:N$96, MAX( COUNT( O$9:O$50 )  - $C159 + 1, 1)), INDEX( N$101:N$142, MAX( COUNT( O$9:O$50 )  - $B159 + 1, 1)) : INDEX( N$101:N$142, MAX( COUNT( O$9:O$50 )  - $C159 + 1, 1)) &gt; 0), $D159))</f>
        <v>1.0064475164397191</v>
      </c>
      <c r="O159" s="8">
        <f>+IF(O$8 = 125, 1, _xlfn.PERCENTILE.INC(_xlfn._xlws.FILTER(INDEX( O$55:O$96, MAX( COUNT( P$9:P$50 )  - $B159 + 1, 1)) : INDEX( O$55:O$96, MAX( COUNT( P$9:P$50 )  - $C159 + 1, 1)), INDEX( O$101:O$142, MAX( COUNT( P$9:P$50 )  - $B159 + 1, 1)) : INDEX( O$101:O$142, MAX( COUNT( P$9:P$50 )  - $C159 + 1, 1)) &gt; 0), $D159))</f>
        <v>1.0026377143459628</v>
      </c>
      <c r="P159" s="8">
        <f>+IF(P$8 = 125, 1, _xlfn.PERCENTILE.INC(_xlfn._xlws.FILTER(INDEX( P$55:P$96, MAX( COUNT( Q$9:Q$50 )  - $B159 + 1, 1)) : INDEX( P$55:P$96, MAX( COUNT( Q$9:Q$50 )  - $C159 + 1, 1)), INDEX( P$101:P$142, MAX( COUNT( Q$9:Q$50 )  - $B159 + 1, 1)) : INDEX( P$101:P$142, MAX( COUNT( Q$9:Q$50 )  - $C159 + 1, 1)) &gt; 0), $D159))</f>
        <v>1.0112145635732079</v>
      </c>
      <c r="Q159" s="8">
        <f>+IF(Q$8 = 125, 1, _xlfn.PERCENTILE.INC(_xlfn._xlws.FILTER(INDEX( Q$55:Q$96, MAX( COUNT( R$9:R$50 )  - $B159 + 1, 1)) : INDEX( Q$55:Q$96, MAX( COUNT( R$9:R$50 )  - $C159 + 1, 1)), INDEX( Q$101:Q$142, MAX( COUNT( R$9:R$50 )  - $B159 + 1, 1)) : INDEX( Q$101:Q$142, MAX( COUNT( R$9:R$50 )  - $C159 + 1, 1)) &gt; 0), $D159))</f>
        <v>1.0028508980703954</v>
      </c>
      <c r="R159" s="8">
        <f>+IF(R$8 = 125, 1, _xlfn.PERCENTILE.INC(_xlfn._xlws.FILTER(INDEX( R$55:R$96, MAX( COUNT( S$9:S$50 )  - $B159 + 1, 1)) : INDEX( R$55:R$96, MAX( COUNT( S$9:S$50 )  - $C159 + 1, 1)), INDEX( R$101:R$142, MAX( COUNT( S$9:S$50 )  - $B159 + 1, 1)) : INDEX( R$101:R$142, MAX( COUNT( S$9:S$50 )  - $C159 + 1, 1)) &gt; 0), $D159))</f>
        <v>1.0014708372796308</v>
      </c>
      <c r="S159" s="8">
        <f>+IF(S$8 = 125, 1, _xlfn.PERCENTILE.INC(_xlfn._xlws.FILTER(INDEX( S$55:S$96, MAX( COUNT( T$9:T$50 )  - $B159 + 1, 1)) : INDEX( S$55:S$96, MAX( COUNT( T$9:T$50 )  - $C159 + 1, 1)), INDEX( S$101:S$142, MAX( COUNT( T$9:T$50 )  - $B159 + 1, 1)) : INDEX( S$101:S$142, MAX( COUNT( T$9:T$50 )  - $C159 + 1, 1)) &gt; 0), $D159))</f>
        <v>1.0007369821833716</v>
      </c>
      <c r="T159" s="8">
        <f>+IF(T$8 = 125, 1, _xlfn.PERCENTILE.INC(_xlfn._xlws.FILTER(INDEX( T$55:T$96, MAX( COUNT( U$9:U$50 )  - $B159 + 1, 1)) : INDEX( T$55:T$96, MAX( COUNT( U$9:U$50 )  - $C159 + 1, 1)), INDEX( T$101:T$142, MAX( COUNT( U$9:U$50 )  - $B159 + 1, 1)) : INDEX( T$101:T$142, MAX( COUNT( U$9:U$50 )  - $C159 + 1, 1)) &gt; 0), $D159))</f>
        <v>1.0005722403191597</v>
      </c>
      <c r="U159" s="8">
        <f>+IF(U$8 = 125, 1, _xlfn.PERCENTILE.INC(_xlfn._xlws.FILTER(INDEX( U$55:U$96, MAX( COUNT( V$9:V$50 )  - $B159 + 1, 1)) : INDEX( U$55:U$96, MAX( COUNT( V$9:V$50 )  - $C159 + 1, 1)), INDEX( U$101:U$142, MAX( COUNT( V$9:V$50 )  - $B159 + 1, 1)) : INDEX( U$101:U$142, MAX( COUNT( V$9:V$50 )  - $C159 + 1, 1)) &gt; 0), $D159))</f>
        <v>1.0003869224572526</v>
      </c>
      <c r="V159" s="8">
        <f>+IF(V$8 = 125, 1, _xlfn.PERCENTILE.INC(_xlfn._xlws.FILTER(INDEX( V$55:V$96, MAX( COUNT( W$9:W$50 )  - $B159 + 1, 1)) : INDEX( V$55:V$96, MAX( COUNT( W$9:W$50 )  - $C159 + 1, 1)), INDEX( V$101:V$142, MAX( COUNT( W$9:W$50 )  - $B159 + 1, 1)) : INDEX( V$101:V$142, MAX( COUNT( W$9:W$50 )  - $C159 + 1, 1)) &gt; 0), $D159))</f>
        <v>1.0009056973917763</v>
      </c>
      <c r="W159" s="8">
        <f>+IF(W$8 = 125, 1, _xlfn.PERCENTILE.INC(_xlfn._xlws.FILTER(INDEX( W$55:W$96, MAX( COUNT( X$9:X$50 )  - $B159 + 1, 1)) : INDEX( W$55:W$96, MAX( COUNT( X$9:X$50 )  - $C159 + 1, 1)), INDEX( W$101:W$142, MAX( COUNT( X$9:X$50 )  - $B159 + 1, 1)) : INDEX( W$101:W$142, MAX( COUNT( X$9:X$50 )  - $C159 + 1, 1)) &gt; 0), $D159))</f>
        <v>1.0006836723076713</v>
      </c>
      <c r="X159" s="8">
        <f>+IF(X$8 = 125, 1, _xlfn.PERCENTILE.INC(_xlfn._xlws.FILTER(INDEX( X$55:X$96, MAX( COUNT( Y$9:Y$50 )  - $B159 + 1, 1)) : INDEX( X$55:X$96, MAX( COUNT( Y$9:Y$50 )  - $C159 + 1, 1)), INDEX( X$101:X$142, MAX( COUNT( Y$9:Y$50 )  - $B159 + 1, 1)) : INDEX( X$101:X$142, MAX( COUNT( Y$9:Y$50 )  - $C159 + 1, 1)) &gt; 0), $D159))</f>
        <v>1.0006906429323457</v>
      </c>
      <c r="Y159" s="8">
        <f>+IF(Y$8 = 125, 1, _xlfn.PERCENTILE.INC(_xlfn._xlws.FILTER(INDEX( Y$55:Y$96, MAX( COUNT( Z$9:Z$50 )  - $B159 + 1, 1)) : INDEX( Y$55:Y$96, MAX( COUNT( Z$9:Z$50 )  - $C159 + 1, 1)), INDEX( Y$101:Y$142, MAX( COUNT( Z$9:Z$50 )  - $B159 + 1, 1)) : INDEX( Y$101:Y$142, MAX( COUNT( Z$9:Z$50 )  - $C159 + 1, 1)) &gt; 0), $D159))</f>
        <v>1.0008506028661694</v>
      </c>
      <c r="Z159" s="8">
        <f>+IF(Z$8 = 125, 1, _xlfn.PERCENTILE.INC(_xlfn._xlws.FILTER(INDEX( Z$55:Z$96, MAX( COUNT( AA$9:AA$50 )  - $B159 + 1, 1)) : INDEX( Z$55:Z$96, MAX( COUNT( AA$9:AA$50 )  - $C159 + 1, 1)), INDEX( Z$101:Z$142, MAX( COUNT( AA$9:AA$50 )  - $B159 + 1, 1)) : INDEX( Z$101:Z$142, MAX( COUNT( AA$9:AA$50 )  - $C159 + 1, 1)) &gt; 0), $D159))</f>
        <v>1.0001436437318021</v>
      </c>
      <c r="AA159" s="8">
        <f>+IF(AA$8 = 125, 1, _xlfn.PERCENTILE.INC(_xlfn._xlws.FILTER(INDEX( AA$55:AA$96, MAX( COUNT( AB$9:AB$50 )  - $B159 + 1, 1)) : INDEX( AA$55:AA$96, MAX( COUNT( AB$9:AB$50 )  - $C159 + 1, 1)), INDEX( AA$101:AA$142, MAX( COUNT( AB$9:AB$50 )  - $B159 + 1, 1)) : INDEX( AA$101:AA$142, MAX( COUNT( AB$9:AB$50 )  - $C159 + 1, 1)) &gt; 0), $D159))</f>
        <v>1.0000333955163754</v>
      </c>
      <c r="AB159" s="8">
        <f>+IF(AB$8 = 125, 1, _xlfn.PERCENTILE.INC(_xlfn._xlws.FILTER(INDEX( AB$55:AB$96, MAX( COUNT( AC$9:AC$50 )  - $B159 + 1, 1)) : INDEX( AB$55:AB$96, MAX( COUNT( AC$9:AC$50 )  - $C159 + 1, 1)), INDEX( AB$101:AB$142, MAX( COUNT( AC$9:AC$50 )  - $B159 + 1, 1)) : INDEX( AB$101:AB$142, MAX( COUNT( AC$9:AC$50 )  - $C159 + 1, 1)) &gt; 0), $D159))</f>
        <v>1.0000022517854337</v>
      </c>
      <c r="AC159" s="8">
        <f>+IF(AC$8 = 125, 1, _xlfn.PERCENTILE.INC(_xlfn._xlws.FILTER(INDEX( AC$55:AC$96, MAX( COUNT( AD$9:AD$50 )  - $B159 + 1, 1)) : INDEX( AC$55:AC$96, MAX( COUNT( AD$9:AD$50 )  - $C159 + 1, 1)), INDEX( AC$101:AC$142, MAX( COUNT( AD$9:AD$50 )  - $B159 + 1, 1)) : INDEX( AC$101:AC$142, MAX( COUNT( AD$9:AD$50 )  - $C159 + 1, 1)) &gt; 0), $D159))</f>
        <v>1.0012337664493491</v>
      </c>
      <c r="AD159" s="8">
        <f>+IF(AD$8 = 125, 1, _xlfn.PERCENTILE.INC(_xlfn._xlws.FILTER(INDEX( AD$55:AD$96, MAX( COUNT( AE$9:AE$50 )  - $B159 + 1, 1)) : INDEX( AD$55:AD$96, MAX( COUNT( AE$9:AE$50 )  - $C159 + 1, 1)), INDEX( AD$101:AD$142, MAX( COUNT( AE$9:AE$50 )  - $B159 + 1, 1)) : INDEX( AD$101:AD$142, MAX( COUNT( AE$9:AE$50 )  - $C159 + 1, 1)) &gt; 0), $D159))</f>
        <v>1.0105951085292613</v>
      </c>
      <c r="AE159" s="8">
        <f>+IF(AE$8 = 125, 1, _xlfn.PERCENTILE.INC(_xlfn._xlws.FILTER(INDEX( AE$55:AE$96, MAX( COUNT( AF$9:AF$50 )  - $B159 + 1, 1)) : INDEX( AE$55:AE$96, MAX( COUNT( AF$9:AF$50 )  - $C159 + 1, 1)), INDEX( AE$101:AE$142, MAX( COUNT( AF$9:AF$50 )  - $B159 + 1, 1)) : INDEX( AE$101:AE$142, MAX( COUNT( AF$9:AF$50 )  - $C159 + 1, 1)) &gt; 0), $D159))</f>
        <v>1.0004488417031032</v>
      </c>
      <c r="AF159" s="8">
        <f>+IF(AF$8 = 125, 1, _xlfn.PERCENTILE.INC(_xlfn._xlws.FILTER(INDEX( AF$55:AF$96, MAX( COUNT( AG$9:AG$50 )  - $B159 + 1, 1)) : INDEX( AF$55:AF$96, MAX( COUNT( AG$9:AG$50 )  - $C159 + 1, 1)), INDEX( AF$101:AF$142, MAX( COUNT( AG$9:AG$50 )  - $B159 + 1, 1)) : INDEX( AF$101:AF$142, MAX( COUNT( AG$9:AG$50 )  - $C159 + 1, 1)) &gt; 0), $D159))</f>
        <v>1</v>
      </c>
      <c r="AG159" s="8">
        <f>+IF(AG$8 = 125, 1, _xlfn.PERCENTILE.INC(_xlfn._xlws.FILTER(INDEX( AG$55:AG$96, MAX( COUNT( AH$9:AH$50 )  - $B159 + 1, 1)) : INDEX( AG$55:AG$96, MAX( COUNT( AH$9:AH$50 )  - $C159 + 1, 1)), INDEX( AG$101:AG$142, MAX( COUNT( AH$9:AH$50 )  - $B159 + 1, 1)) : INDEX( AG$101:AG$142, MAX( COUNT( AH$9:AH$50 )  - $C159 + 1, 1)) &gt; 0), $D159))</f>
        <v>1.0000322915849351</v>
      </c>
      <c r="AH159" s="8">
        <f>+IF(AH$8 = 125, 1, _xlfn.PERCENTILE.INC(_xlfn._xlws.FILTER(INDEX( AH$55:AH$96, MAX( COUNT( AI$9:AI$50 )  - $B159 + 1, 1)) : INDEX( AH$55:AH$96, MAX( COUNT( AI$9:AI$50 )  - $C159 + 1, 1)), INDEX( AH$101:AH$142, MAX( COUNT( AI$9:AI$50 )  - $B159 + 1, 1)) : INDEX( AH$101:AH$142, MAX( COUNT( AI$9:AI$50 )  - $C159 + 1, 1)) &gt; 0), $D159))</f>
        <v>1.000326054805752</v>
      </c>
      <c r="AI159" s="8">
        <f>+IF(AI$8 = 125, 1, _xlfn.PERCENTILE.INC(_xlfn._xlws.FILTER(INDEX( AI$55:AI$96, MAX( COUNT( AJ$9:AJ$50 )  - $B159 + 1, 1)) : INDEX( AI$55:AI$96, MAX( COUNT( AJ$9:AJ$50 )  - $C159 + 1, 1)), INDEX( AI$101:AI$142, MAX( COUNT( AJ$9:AJ$50 )  - $B159 + 1, 1)) : INDEX( AI$101:AI$142, MAX( COUNT( AJ$9:AJ$50 )  - $C159 + 1, 1)) &gt; 0), $D159))</f>
        <v>1.000103158768074</v>
      </c>
      <c r="AJ159" s="8">
        <f>+IF(AJ$8 = 125, 1, _xlfn.PERCENTILE.INC(_xlfn._xlws.FILTER(INDEX( AJ$55:AJ$96, MAX( COUNT( AK$9:AK$50 )  - $B159 + 1, 1)) : INDEX( AJ$55:AJ$96, MAX( COUNT( AK$9:AK$50 )  - $C159 + 1, 1)), INDEX( AJ$101:AJ$142, MAX( COUNT( AK$9:AK$50 )  - $B159 + 1, 1)) : INDEX( AJ$101:AJ$142, MAX( COUNT( AK$9:AK$50 )  - $C159 + 1, 1)) &gt; 0), $D159))</f>
        <v>1.0008319935489454</v>
      </c>
      <c r="AK159" s="8">
        <f>+IF(AK$8 = 125, 1, _xlfn.PERCENTILE.INC(_xlfn._xlws.FILTER(INDEX( AK$55:AK$96, MAX( COUNT( AL$9:AL$50 )  - $B159 + 1, 1)) : INDEX( AK$55:AK$96, MAX( COUNT( AL$9:AL$50 )  - $C159 + 1, 1)), INDEX( AK$101:AK$142, MAX( COUNT( AL$9:AL$50 )  - $B159 + 1, 1)) : INDEX( AK$101:AK$142, MAX( COUNT( AL$9:AL$50 )  - $C159 + 1, 1)) &gt; 0), $D159))</f>
        <v>1.000336328639162</v>
      </c>
      <c r="AL159" s="8">
        <f>+IF(AL$8 = 125, 1, _xlfn.PERCENTILE.INC(_xlfn._xlws.FILTER(INDEX( AL$55:AL$96, MAX( COUNT( AM$9:AM$50 )  - $B159 + 1, 1)) : INDEX( AL$55:AL$96, MAX( COUNT( AM$9:AM$50 )  - $C159 + 1, 1)), INDEX( AL$101:AL$142, MAX( COUNT( AM$9:AM$50 )  - $B159 + 1, 1)) : INDEX( AL$101:AL$142, MAX( COUNT( AM$9:AM$50 )  - $C159 + 1, 1)) &gt; 0), $D159))</f>
        <v>1.0016908135647142</v>
      </c>
      <c r="AM159" s="8">
        <f>+IF(AM$8 = 125, 1, _xlfn.PERCENTILE.INC(_xlfn._xlws.FILTER(INDEX( AM$55:AM$96, MAX( COUNT( AN$9:AN$50 )  - $B159 + 1, 1)) : INDEX( AM$55:AM$96, MAX( COUNT( AN$9:AN$50 )  - $C159 + 1, 1)), INDEX( AM$101:AM$142, MAX( COUNT( AN$9:AN$50 )  - $B159 + 1, 1)) : INDEX( AM$101:AM$142, MAX( COUNT( AN$9:AN$50 )  - $C159 + 1, 1)) &gt; 0), $D159))</f>
        <v>1.0004808576118691</v>
      </c>
      <c r="AN159" s="8">
        <f>+IF(AN$8 = 125, 1, _xlfn.PERCENTILE.INC(_xlfn._xlws.FILTER(INDEX( AN$55:AN$96, MAX( COUNT( AO$9:AO$50 )  - $B159 + 1, 1)) : INDEX( AN$55:AN$96, MAX( COUNT( AO$9:AO$50 )  - $C159 + 1, 1)), INDEX( AN$101:AN$142, MAX( COUNT( AO$9:AO$50 )  - $B159 + 1, 1)) : INDEX( AN$101:AN$142, MAX( COUNT( AO$9:AO$50 )  - $C159 + 1, 1)) &gt; 0), $D159))</f>
        <v>1.0000031095862627</v>
      </c>
      <c r="AO159" s="8">
        <f>+IF(AO$8 = 125, 1, _xlfn.PERCENTILE.INC(_xlfn._xlws.FILTER(INDEX( AO$55:AO$96, MAX( COUNT( AP$9:AP$50 )  - $B159 + 1, 1)) : INDEX( AO$55:AO$96, MAX( COUNT( AP$9:AP$50 )  - $C159 + 1, 1)), INDEX( AO$101:AO$142, MAX( COUNT( AP$9:AP$50 )  - $B159 + 1, 1)) : INDEX( AO$101:AO$142, MAX( COUNT( AP$9:AP$50 )  - $C159 + 1, 1)) &gt; 0), $D159))</f>
        <v>1</v>
      </c>
      <c r="AP159" s="8">
        <f>+IF(AP$8 = 125, 1, _xlfn.PERCENTILE.INC(_xlfn._xlws.FILTER(INDEX( AP$55:AP$96, MAX( COUNT( AQ$9:AQ$50 )  - $B159 + 1, 1)) : INDEX( AP$55:AP$96, MAX( COUNT( AQ$9:AQ$50 )  - $C159 + 1, 1)), INDEX( AP$101:AP$142, MAX( COUNT( AQ$9:AQ$50 )  - $B159 + 1, 1)) : INDEX( AP$101:AP$142, MAX( COUNT( AQ$9:AQ$50 )  - $C159 + 1, 1)) &gt; 0), $D159))</f>
        <v>1.0014869440091165</v>
      </c>
      <c r="AQ159" s="8">
        <f>+IF(AQ$8 = 125, 1, _xlfn.PERCENTILE.INC(_xlfn._xlws.FILTER(INDEX( AQ$55:AQ$96, MAX( COUNT( AR$9:AR$50 )  - $B159 + 1, 1)) : INDEX( AQ$55:AQ$96, MAX( COUNT( AR$9:AR$50 )  - $C159 + 1, 1)), INDEX( AQ$101:AQ$142, MAX( COUNT( AR$9:AR$50 )  - $B159 + 1, 1)) : INDEX( AQ$101:AQ$142, MAX( COUNT( AR$9:AR$50 )  - $C159 + 1, 1)) &gt; 0), $D159))</f>
        <v>1.0000606031133803</v>
      </c>
      <c r="AR159" s="8">
        <f>+IF(AR$8 = 125, 1, _xlfn.PERCENTILE.INC(_xlfn._xlws.FILTER(INDEX( AR$55:AR$96, MAX( COUNT( AS$9:AS$50 )  - $B159 + 1, 1)) : INDEX( AR$55:AR$96, MAX( COUNT( AS$9:AS$50 )  - $C159 + 1, 1)), INDEX( AR$101:AR$142, MAX( COUNT( AS$9:AS$50 )  - $B159 + 1, 1)) : INDEX( AR$101:AR$142, MAX( COUNT( AS$9:AS$50 )  - $C159 + 1, 1)) &gt; 0), $D159))</f>
        <v>1.0016843131088109</v>
      </c>
      <c r="AS159" s="8">
        <f>+IF(AS$8 = 125, 1, _xlfn.PERCENTILE.INC(_xlfn._xlws.FILTER(INDEX( AS$55:AS$96, MAX( COUNT( AT$9:AT$50 )  - $B159 + 1, 1)) : INDEX( AS$55:AS$96, MAX( COUNT( AT$9:AT$50 )  - $C159 + 1, 1)), INDEX( AS$101:AS$142, MAX( COUNT( AT$9:AT$50 )  - $B159 + 1, 1)) : INDEX( AS$101:AS$142, MAX( COUNT( AT$9:AT$50 )  - $C159 + 1, 1)) &gt; 0), $D159))</f>
        <v>1.0000160195015293</v>
      </c>
      <c r="AT159" s="8">
        <f>+IF(AT$8 = 125, 1, _xlfn.PERCENTILE.INC(_xlfn._xlws.FILTER(INDEX( AT$55:AT$96, MAX( COUNT( AU$9:AU$50 )  - $B159 + 1, 1)) : INDEX( AT$55:AT$96, MAX( COUNT( AU$9:AU$50 )  - $C159 + 1, 1)), INDEX( AT$101:AT$142, MAX( COUNT( AU$9:AU$50 )  - $B159 + 1, 1)) : INDEX( AT$101:AT$142, MAX( COUNT( AU$9:AU$50 )  - $C159 + 1, 1)) &gt; 0), $D159))</f>
        <v>1.0002149945690217</v>
      </c>
      <c r="AU159" s="8">
        <f>+IF(AU$8 = 125, 1, _xlfn.PERCENTILE.INC(_xlfn._xlws.FILTER(INDEX( AU$55:AU$96, MAX( COUNT( AV$9:AV$50 )  - $B159 + 1, 1)) : INDEX( AU$55:AU$96, MAX( COUNT( AV$9:AV$50 )  - $C159 + 1, 1)), INDEX( AU$101:AU$142, MAX( COUNT( AV$9:AV$50 )  - $B159 + 1, 1)) : INDEX( AU$101:AU$142, MAX( COUNT( AV$9:AV$50 )  - $C159 + 1, 1)) &gt; 0), $D159))</f>
        <v>1.0001611613295338</v>
      </c>
      <c r="AV159" s="8">
        <f>+IF(AV$8 = 125, 1, _xlfn.PERCENTILE.INC(_xlfn._xlws.FILTER(INDEX( AV$55:AV$96, MAX( COUNT( AW$9:AW$50 )  - $B159 + 1, 1)) : INDEX( AV$55:AV$96, MAX( COUNT( AW$9:AW$50 )  - $C159 + 1, 1)), INDEX( AV$101:AV$142, MAX( COUNT( AW$9:AW$50 )  - $B159 + 1, 1)) : INDEX( AV$101:AV$142, MAX( COUNT( AW$9:AW$50 )  - $C159 + 1, 1)) &gt; 0), $D159))</f>
        <v>1.0001751243275214</v>
      </c>
      <c r="AW159" s="8">
        <f>+IF(AW$8 = 125, 1, _xlfn.PERCENTILE.INC(_xlfn._xlws.FILTER(INDEX( AW$55:AW$96, MAX( COUNT( AX$9:AX$50 )  - $B159 + 1, 1)) : INDEX( AW$55:AW$96, MAX( COUNT( AX$9:AX$50 )  - $C159 + 1, 1)), INDEX( AW$101:AW$142, MAX( COUNT( AX$9:AX$50 )  - $B159 + 1, 1)) : INDEX( AW$101:AW$142, MAX( COUNT( AX$9:AX$50 )  - $C159 + 1, 1)) &gt; 0), $D159))</f>
        <v>1.0000086355087974</v>
      </c>
      <c r="AX159" s="8">
        <f>+IF(AX$8 = 125, 1, _xlfn.PERCENTILE.INC(_xlfn._xlws.FILTER(INDEX( AX$55:AX$96, MAX( COUNT( AY$9:AY$50 )  - $B159 + 1, 1)) : INDEX( AX$55:AX$96, MAX( COUNT( AY$9:AY$50 )  - $C159 + 1, 1)), INDEX( AX$101:AX$142, MAX( COUNT( AY$9:AY$50 )  - $B159 + 1, 1)) : INDEX( AX$101:AX$142, MAX( COUNT( AY$9:AY$50 )  - $C159 + 1, 1)) &gt; 0), $D159))</f>
        <v>1.0000451616903927</v>
      </c>
      <c r="AY159" s="8">
        <f>+IF(AY$8 = 125, 1, _xlfn.PERCENTILE.INC(_xlfn._xlws.FILTER(INDEX( AY$55:AY$96, MAX( COUNT( AZ$9:AZ$50 )  - $B159 + 1, 1)) : INDEX( AY$55:AY$96, MAX( COUNT( AZ$9:AZ$50 )  - $C159 + 1, 1)), INDEX( AY$101:AY$142, MAX( COUNT( AZ$9:AZ$50 )  - $B159 + 1, 1)) : INDEX( AY$101:AY$142, MAX( COUNT( AZ$9:AZ$50 )  - $C159 + 1, 1)) &gt; 0), $D159))</f>
        <v>1.0008056696352161</v>
      </c>
      <c r="AZ159" s="8">
        <f>+IF(AZ$8 = 125, 1, _xlfn.PERCENTILE.INC(_xlfn._xlws.FILTER(INDEX( AZ$55:AZ$96, MAX( COUNT( BA$9:BA$50 )  - $B159 + 1, 1)) : INDEX( AZ$55:AZ$96, MAX( COUNT( BA$9:BA$50 )  - $C159 + 1, 1)), INDEX( AZ$101:AZ$142, MAX( COUNT( BA$9:BA$50 )  - $B159 + 1, 1)) : INDEX( AZ$101:AZ$142, MAX( COUNT( BA$9:BA$50 )  - $C159 + 1, 1)) &gt; 0), $D159))</f>
        <v>1.0000116816749491</v>
      </c>
      <c r="BA159" s="8">
        <f>+IF(BA$8 = 125, 1, _xlfn.PERCENTILE.INC(_xlfn._xlws.FILTER(INDEX( BA$55:BA$96, MAX( COUNT( BB$9:BB$50 )  - $B159 + 1, 1)) : INDEX( BA$55:BA$96, MAX( COUNT( BB$9:BB$50 )  - $C159 + 1, 1)), INDEX( BA$101:BA$142, MAX( COUNT( BB$9:BB$50 )  - $B159 + 1, 1)) : INDEX( BA$101:BA$142, MAX( COUNT( BB$9:BB$50 )  - $C159 + 1, 1)) &gt; 0), $D159))</f>
        <v>1.0002165216881063</v>
      </c>
      <c r="BB159" s="8">
        <f>+IF(BB$8 = 125, 1, _xlfn.PERCENTILE.INC(_xlfn._xlws.FILTER(INDEX( BB$55:BB$96, MAX( COUNT( BC$9:BC$50 )  - $B159 + 1, 1)) : INDEX( BB$55:BB$96, MAX( COUNT( BC$9:BC$50 )  - $C159 + 1, 1)), INDEX( BB$101:BB$142, MAX( COUNT( BC$9:BC$50 )  - $B159 + 1, 1)) : INDEX( BB$101:BB$142, MAX( COUNT( BC$9:BC$50 )  - $C159 + 1, 1)) &gt; 0), $D159))</f>
        <v>1.000046720179198</v>
      </c>
      <c r="BC159" s="8">
        <f>+IF(BC$8 = 125, 1, _xlfn.PERCENTILE.INC(_xlfn._xlws.FILTER(INDEX( BC$55:BC$96, MAX( COUNT( BD$9:BD$50 )  - $B159 + 1, 1)) : INDEX( BC$55:BC$96, MAX( COUNT( BD$9:BD$50 )  - $C159 + 1, 1)), INDEX( BC$101:BC$142, MAX( COUNT( BD$9:BD$50 )  - $B159 + 1, 1)) : INDEX( BC$101:BC$142, MAX( COUNT( BD$9:BD$50 )  - $C159 + 1, 1)) &gt; 0), $D159))</f>
        <v>1.000094079696721</v>
      </c>
      <c r="BD159" s="8">
        <f>+IF(BD$8 = 125, 1, _xlfn.PERCENTILE.INC(_xlfn._xlws.FILTER(INDEX( BD$55:BD$96, MAX( COUNT( BE$9:BE$50 )  - $B159 + 1, 1)) : INDEX( BD$55:BD$96, MAX( COUNT( BE$9:BE$50 )  - $C159 + 1, 1)), INDEX( BD$101:BD$142, MAX( COUNT( BE$9:BE$50 )  - $B159 + 1, 1)) : INDEX( BD$101:BD$142, MAX( COUNT( BE$9:BE$50 )  - $C159 + 1, 1)) &gt; 0), $D159))</f>
        <v>1.0000023231448432</v>
      </c>
      <c r="BE159" s="8">
        <f>+IF(BE$8 = 125, 1, _xlfn.PERCENTILE.INC(_xlfn._xlws.FILTER(INDEX( BE$55:BE$96, MAX( COUNT( BF$9:BF$50 )  - $B159 + 1, 1)) : INDEX( BE$55:BE$96, MAX( COUNT( BF$9:BF$50 )  - $C159 + 1, 1)), INDEX( BE$101:BE$142, MAX( COUNT( BF$9:BF$50 )  - $B159 + 1, 1)) : INDEX( BE$101:BE$142, MAX( COUNT( BF$9:BF$50 )  - $C159 + 1, 1)) &gt; 0), $D159))</f>
        <v>1.0001905981593524</v>
      </c>
      <c r="BF159" s="8">
        <f>+IF(BF$8 = 125, 1, _xlfn.PERCENTILE.INC(_xlfn._xlws.FILTER(INDEX( BF$55:BF$96, MAX( COUNT( BG$9:BG$50 )  - $B159 + 1, 1)) : INDEX( BF$55:BF$96, MAX( COUNT( BG$9:BG$50 )  - $C159 + 1, 1)), INDEX( BF$101:BF$142, MAX( COUNT( BG$9:BG$50 )  - $B159 + 1, 1)) : INDEX( BF$101:BF$142, MAX( COUNT( BG$9:BG$50 )  - $C159 + 1, 1)) &gt; 0), $D159))</f>
        <v>1.000439877660694</v>
      </c>
      <c r="BG159" s="8">
        <f>+IF(BG$8 = 125, 1, _xlfn.PERCENTILE.INC(_xlfn._xlws.FILTER(INDEX( BG$55:BG$96, MAX( COUNT( BH$9:BH$50 )  - $B159 + 1, 1)) : INDEX( BG$55:BG$96, MAX( COUNT( BH$9:BH$50 )  - $C159 + 1, 1)), INDEX( BG$101:BG$142, MAX( COUNT( BH$9:BH$50 )  - $B159 + 1, 1)) : INDEX( BG$101:BG$142, MAX( COUNT( BH$9:BH$50 )  - $C159 + 1, 1)) &gt; 0), $D159))</f>
        <v>1</v>
      </c>
      <c r="BH159" s="8">
        <f>+IF(BH$8 = 125, 1, _xlfn.PERCENTILE.INC(_xlfn._xlws.FILTER(INDEX( BH$55:BH$96, MAX( COUNT( BI$9:BI$50 )  - $B159 + 1, 1)) : INDEX( BH$55:BH$96, MAX( COUNT( BI$9:BI$50 )  - $C159 + 1, 1)), INDEX( BH$101:BH$142, MAX( COUNT( BI$9:BI$50 )  - $B159 + 1, 1)) : INDEX( BH$101:BH$142, MAX( COUNT( BI$9:BI$50 )  - $C159 + 1, 1)) &gt; 0), $D159))</f>
        <v>1</v>
      </c>
      <c r="BI159" s="8">
        <f>+IF(BI$8 = 125, 1, _xlfn.PERCENTILE.INC(_xlfn._xlws.FILTER(INDEX( BI$55:BI$96, MAX( COUNT( BJ$9:BJ$50 )  - $B159 + 1, 1)) : INDEX( BI$55:BI$96, MAX( COUNT( BJ$9:BJ$50 )  - $C159 + 1, 1)), INDEX( BI$101:BI$142, MAX( COUNT( BJ$9:BJ$50 )  - $B159 + 1, 1)) : INDEX( BI$101:BI$142, MAX( COUNT( BJ$9:BJ$50 )  - $C159 + 1, 1)) &gt; 0), $D159))</f>
        <v>1.0000321855111496</v>
      </c>
      <c r="BJ159" s="8">
        <f>+IF(BJ$8 = 125, 1, _xlfn.PERCENTILE.INC(_xlfn._xlws.FILTER(INDEX( BJ$55:BJ$96, MAX( COUNT( BK$9:BK$50 )  - $B159 + 1, 1)) : INDEX( BJ$55:BJ$96, MAX( COUNT( BK$9:BK$50 )  - $C159 + 1, 1)), INDEX( BJ$101:BJ$142, MAX( COUNT( BK$9:BK$50 )  - $B159 + 1, 1)) : INDEX( BJ$101:BJ$142, MAX( COUNT( BK$9:BK$50 )  - $C159 + 1, 1)) &gt; 0), $D159))</f>
        <v>1.0000509436227356</v>
      </c>
      <c r="BK159" s="8">
        <f>+IF(BK$8 = 125, 1, _xlfn.PERCENTILE.INC(_xlfn._xlws.FILTER(INDEX( BK$55:BK$96, MAX( COUNT( BL$9:BL$50 )  - $B159 + 1, 1)) : INDEX( BK$55:BK$96, MAX( COUNT( BL$9:BL$50 )  - $C159 + 1, 1)), INDEX( BK$101:BK$142, MAX( COUNT( BL$9:BL$50 )  - $B159 + 1, 1)) : INDEX( BK$101:BK$142, MAX( COUNT( BL$9:BL$50 )  - $C159 + 1, 1)) &gt; 0), $D159))</f>
        <v>1.0000688203517765</v>
      </c>
      <c r="BL159" s="8">
        <f>+IF(BL$8 = 125, 1, _xlfn.PERCENTILE.INC(_xlfn._xlws.FILTER(INDEX( BL$55:BL$96, MAX( COUNT( BM$9:BM$50 )  - $B159 + 1, 1)) : INDEX( BL$55:BL$96, MAX( COUNT( BM$9:BM$50 )  - $C159 + 1, 1)), INDEX( BL$101:BL$142, MAX( COUNT( BM$9:BM$50 )  - $B159 + 1, 1)) : INDEX( BL$101:BL$142, MAX( COUNT( BM$9:BM$50 )  - $C159 + 1, 1)) &gt; 0), $D159))</f>
        <v>1.0005604167313362</v>
      </c>
      <c r="BM159" s="8">
        <f>+IF(BM$8 = 125, 1, _xlfn.PERCENTILE.INC(_xlfn._xlws.FILTER(INDEX( BM$55:BM$96, MAX( COUNT( BN$9:BN$50 )  - $B159 + 1, 1)) : INDEX( BM$55:BM$96, MAX( COUNT( BN$9:BN$50 )  - $C159 + 1, 1)), INDEX( BM$101:BM$142, MAX( COUNT( BN$9:BN$50 )  - $B159 + 1, 1)) : INDEX( BM$101:BM$142, MAX( COUNT( BN$9:BN$50 )  - $C159 + 1, 1)) &gt; 0), $D159))</f>
        <v>1.000115210733717</v>
      </c>
      <c r="BN159" s="8">
        <f>+IF(BN$8 = 125, 1, _xlfn.PERCENTILE.INC(_xlfn._xlws.FILTER(INDEX( BN$55:BN$96, MAX( COUNT( BO$9:BO$50 )  - $B159 + 1, 1)) : INDEX( BN$55:BN$96, MAX( COUNT( BO$9:BO$50 )  - $C159 + 1, 1)), INDEX( BN$101:BN$142, MAX( COUNT( BO$9:BO$50 )  - $B159 + 1, 1)) : INDEX( BN$101:BN$142, MAX( COUNT( BO$9:BO$50 )  - $C159 + 1, 1)) &gt; 0), $D159))</f>
        <v>1.0005871158994457</v>
      </c>
      <c r="BO159" s="8">
        <f>+IF(BO$8 = 125, 1, _xlfn.PERCENTILE.INC(_xlfn._xlws.FILTER(INDEX( BO$55:BO$96, MAX( COUNT( BP$9:BP$50 )  - $B159 + 1, 1)) : INDEX( BO$55:BO$96, MAX( COUNT( BP$9:BP$50 )  - $C159 + 1, 1)), INDEX( BO$101:BO$142, MAX( COUNT( BP$9:BP$50 )  - $B159 + 1, 1)) : INDEX( BO$101:BO$142, MAX( COUNT( BP$9:BP$50 )  - $C159 + 1, 1)) &gt; 0), $D159))</f>
        <v>1.0007034969648336</v>
      </c>
      <c r="BP159" s="8">
        <f>+IF(BP$8 = 125, 1, _xlfn.PERCENTILE.INC(_xlfn._xlws.FILTER(INDEX( BP$55:BP$96, MAX( COUNT( BQ$9:BQ$50 )  - $B159 + 1, 1)) : INDEX( BP$55:BP$96, MAX( COUNT( BQ$9:BQ$50 )  - $C159 + 1, 1)), INDEX( BP$101:BP$142, MAX( COUNT( BQ$9:BQ$50 )  - $B159 + 1, 1)) : INDEX( BP$101:BP$142, MAX( COUNT( BQ$9:BQ$50 )  - $C159 + 1, 1)) &gt; 0), $D159))</f>
        <v>1.0004380574727412</v>
      </c>
      <c r="BQ159" s="8">
        <f>+IF(BQ$8 = 125, 1, _xlfn.PERCENTILE.INC(_xlfn._xlws.FILTER(INDEX( BQ$55:BQ$96, MAX( COUNT( BR$9:BR$50 )  - $B159 + 1, 1)) : INDEX( BQ$55:BQ$96, MAX( COUNT( BR$9:BR$50 )  - $C159 + 1, 1)), INDEX( BQ$101:BQ$142, MAX( COUNT( BR$9:BR$50 )  - $B159 + 1, 1)) : INDEX( BQ$101:BQ$142, MAX( COUNT( BR$9:BR$50 )  - $C159 + 1, 1)) &gt; 0), $D159))</f>
        <v>1</v>
      </c>
      <c r="BR159" s="8">
        <f>+IF(BR$8 = 125, 1, _xlfn.PERCENTILE.INC(_xlfn._xlws.FILTER(INDEX( BR$55:BR$96, MAX( COUNT( BS$9:BS$50 )  - $B159 + 1, 1)) : INDEX( BR$55:BR$96, MAX( COUNT( BS$9:BS$50 )  - $C159 + 1, 1)), INDEX( BR$101:BR$142, MAX( COUNT( BS$9:BS$50 )  - $B159 + 1, 1)) : INDEX( BR$101:BR$142, MAX( COUNT( BS$9:BS$50 )  - $C159 + 1, 1)) &gt; 0), $D159))</f>
        <v>1.0001457695159162</v>
      </c>
      <c r="BS159" s="8">
        <f>+IF(BS$8 = 125, 1, _xlfn.PERCENTILE.INC(_xlfn._xlws.FILTER(INDEX( BS$55:BS$96, MAX( COUNT( BT$9:BT$50 )  - $B159 + 1, 1)) : INDEX( BS$55:BS$96, MAX( COUNT( BT$9:BT$50 )  - $C159 + 1, 1)), INDEX( BS$101:BS$142, MAX( COUNT( BT$9:BT$50 )  - $B159 + 1, 1)) : INDEX( BS$101:BS$142, MAX( COUNT( BT$9:BT$50 )  - $C159 + 1, 1)) &gt; 0), $D159))</f>
        <v>1.0000829904698727</v>
      </c>
      <c r="BT159" s="8">
        <f>+IF(BT$8 = 125, 1, _xlfn.PERCENTILE.INC(_xlfn._xlws.FILTER(INDEX( BT$55:BT$96, MAX( COUNT( BU$9:BU$50 )  - $B159 + 1, 1)) : INDEX( BT$55:BT$96, MAX( COUNT( BU$9:BU$50 )  - $C159 + 1, 1)), INDEX( BT$101:BT$142, MAX( COUNT( BU$9:BU$50 )  - $B159 + 1, 1)) : INDEX( BT$101:BT$142, MAX( COUNT( BU$9:BU$50 )  - $C159 + 1, 1)) &gt; 0), $D159))</f>
        <v>1.0000037553085055</v>
      </c>
      <c r="BU159" s="8">
        <f>+IF(BU$8 = 125, 1, _xlfn.PERCENTILE.INC(_xlfn._xlws.FILTER(INDEX( BU$55:BU$96, MAX( COUNT( BV$9:BV$50 )  - $B159 + 1, 1)) : INDEX( BU$55:BU$96, MAX( COUNT( BV$9:BV$50 )  - $C159 + 1, 1)), INDEX( BU$101:BU$142, MAX( COUNT( BV$9:BV$50 )  - $B159 + 1, 1)) : INDEX( BU$101:BU$142, MAX( COUNT( BV$9:BV$50 )  - $C159 + 1, 1)) &gt; 0), $D159))</f>
        <v>1.0001083022236992</v>
      </c>
      <c r="BV159" s="8">
        <f>+IF(BV$8 = 125, 1, _xlfn.PERCENTILE.INC(_xlfn._xlws.FILTER(INDEX( BV$55:BV$96, MAX( COUNT( BW$9:BW$50 )  - $B159 + 1, 1)) : INDEX( BV$55:BV$96, MAX( COUNT( BW$9:BW$50 )  - $C159 + 1, 1)), INDEX( BV$101:BV$142, MAX( COUNT( BW$9:BW$50 )  - $B159 + 1, 1)) : INDEX( BV$101:BV$142, MAX( COUNT( BW$9:BW$50 )  - $C159 + 1, 1)) &gt; 0), $D159))</f>
        <v>1.0001451124616019</v>
      </c>
      <c r="BW159" s="8">
        <f>+IF(BW$8 = 125, 1, _xlfn.PERCENTILE.INC(_xlfn._xlws.FILTER(INDEX( BW$55:BW$96, MAX( COUNT( BX$9:BX$50 )  - $B159 + 1, 1)) : INDEX( BW$55:BW$96, MAX( COUNT( BX$9:BX$50 )  - $C159 + 1, 1)), INDEX( BW$101:BW$142, MAX( COUNT( BX$9:BX$50 )  - $B159 + 1, 1)) : INDEX( BW$101:BW$142, MAX( COUNT( BX$9:BX$50 )  - $C159 + 1, 1)) &gt; 0), $D159))</f>
        <v>1.0000615858834803</v>
      </c>
      <c r="BX159" s="8">
        <f>+IF(BX$8 = 125, 1, _xlfn.PERCENTILE.INC(_xlfn._xlws.FILTER(INDEX( BX$55:BX$96, MAX( COUNT( BY$9:BY$50 )  - $B159 + 1, 1)) : INDEX( BX$55:BX$96, MAX( COUNT( BY$9:BY$50 )  - $C159 + 1, 1)), INDEX( BX$101:BX$142, MAX( COUNT( BY$9:BY$50 )  - $B159 + 1, 1)) : INDEX( BX$101:BX$142, MAX( COUNT( BY$9:BY$50 )  - $C159 + 1, 1)) &gt; 0), $D159))</f>
        <v>1.0010913778306989</v>
      </c>
      <c r="BY159" s="8">
        <f>+IF(BY$8 = 125, 1, _xlfn.PERCENTILE.INC(_xlfn._xlws.FILTER(INDEX( BY$55:BY$96, MAX( COUNT( BZ$9:BZ$50 )  - $B159 + 1, 1)) : INDEX( BY$55:BY$96, MAX( COUNT( BZ$9:BZ$50 )  - $C159 + 1, 1)), INDEX( BY$101:BY$142, MAX( COUNT( BZ$9:BZ$50 )  - $B159 + 1, 1)) : INDEX( BY$101:BY$142, MAX( COUNT( BZ$9:BZ$50 )  - $C159 + 1, 1)) &gt; 0), $D159))</f>
        <v>1.0000951689520876</v>
      </c>
      <c r="BZ159" s="8">
        <f>+IF(BZ$8 = 125, 1, _xlfn.PERCENTILE.INC(_xlfn._xlws.FILTER(INDEX( BZ$55:BZ$96, MAX( COUNT( CA$9:CA$50 )  - $B159 + 1, 1)) : INDEX( BZ$55:BZ$96, MAX( COUNT( CA$9:CA$50 )  - $C159 + 1, 1)), INDEX( BZ$101:BZ$142, MAX( COUNT( CA$9:CA$50 )  - $B159 + 1, 1)) : INDEX( BZ$101:BZ$142, MAX( COUNT( CA$9:CA$50 )  - $C159 + 1, 1)) &gt; 0), $D159))</f>
        <v>1.0001131683586744</v>
      </c>
      <c r="CA159" s="8">
        <f>+IF(CA$8 = 125, 1, _xlfn.PERCENTILE.INC(_xlfn._xlws.FILTER(INDEX( CA$55:CA$96, MAX( COUNT( CB$9:CB$50 )  - $B159 + 1, 1)) : INDEX( CA$55:CA$96, MAX( COUNT( CB$9:CB$50 )  - $C159 + 1, 1)), INDEX( CA$101:CA$142, MAX( COUNT( CB$9:CB$50 )  - $B159 + 1, 1)) : INDEX( CA$101:CA$142, MAX( COUNT( CB$9:CB$50 )  - $C159 + 1, 1)) &gt; 0), $D159))</f>
        <v>1.0000732231670331</v>
      </c>
      <c r="CB159" s="8">
        <f>+IF(CB$8 = 125, 1, _xlfn.PERCENTILE.INC(_xlfn._xlws.FILTER(INDEX( CB$55:CB$96, MAX( COUNT( CC$9:CC$50 )  - $B159 + 1, 1)) : INDEX( CB$55:CB$96, MAX( COUNT( CC$9:CC$50 )  - $C159 + 1, 1)), INDEX( CB$101:CB$142, MAX( COUNT( CC$9:CC$50 )  - $B159 + 1, 1)) : INDEX( CB$101:CB$142, MAX( COUNT( CC$9:CC$50 )  - $C159 + 1, 1)) &gt; 0), $D159))</f>
        <v>1.0007260949258683</v>
      </c>
      <c r="CC159" s="8">
        <f>+IF(CC$8 = 125, 1, _xlfn.PERCENTILE.INC(_xlfn._xlws.FILTER(INDEX( CC$55:CC$96, MAX( COUNT( CD$9:CD$50 )  - $B159 + 1, 1)) : INDEX( CC$55:CC$96, MAX( COUNT( CD$9:CD$50 )  - $C159 + 1, 1)), INDEX( CC$101:CC$142, MAX( COUNT( CD$9:CD$50 )  - $B159 + 1, 1)) : INDEX( CC$101:CC$142, MAX( COUNT( CD$9:CD$50 )  - $C159 + 1, 1)) &gt; 0), $D159))</f>
        <v>1.000172887151346</v>
      </c>
      <c r="CD159" s="8">
        <f>+IF(CD$8 = 125, 1, _xlfn.PERCENTILE.INC(_xlfn._xlws.FILTER(INDEX( CD$55:CD$96, MAX( COUNT( CE$9:CE$50 )  - $B159 + 1, 1)) : INDEX( CD$55:CD$96, MAX( COUNT( CE$9:CE$50 )  - $C159 + 1, 1)), INDEX( CD$101:CD$142, MAX( COUNT( CE$9:CE$50 )  - $B159 + 1, 1)) : INDEX( CD$101:CD$142, MAX( COUNT( CE$9:CE$50 )  - $C159 + 1, 1)) &gt; 0), $D159))</f>
        <v>1.0000089082610319</v>
      </c>
      <c r="CE159" s="8">
        <f>+IF(CE$8 = 125, 1, _xlfn.PERCENTILE.INC(_xlfn._xlws.FILTER(INDEX( CE$55:CE$96, MAX( COUNT( CF$9:CF$50 )  - $B159 + 1, 1)) : INDEX( CE$55:CE$96, MAX( COUNT( CF$9:CF$50 )  - $C159 + 1, 1)), INDEX( CE$101:CE$142, MAX( COUNT( CF$9:CF$50 )  - $B159 + 1, 1)) : INDEX( CE$101:CE$142, MAX( COUNT( CF$9:CF$50 )  - $C159 + 1, 1)) &gt; 0), $D159))</f>
        <v>1.0003843998949782</v>
      </c>
      <c r="CF159" s="8">
        <f>+IF(CF$8 = 125, 1, _xlfn.PERCENTILE.INC(_xlfn._xlws.FILTER(INDEX( CF$55:CF$96, MAX( COUNT( CG$9:CG$50 )  - $B159 + 1, 1)) : INDEX( CF$55:CF$96, MAX( COUNT( CG$9:CG$50 )  - $C159 + 1, 1)), INDEX( CF$101:CF$142, MAX( COUNT( CG$9:CG$50 )  - $B159 + 1, 1)) : INDEX( CF$101:CF$142, MAX( COUNT( CG$9:CG$50 )  - $C159 + 1, 1)) &gt; 0), $D159))</f>
        <v>1.0003871713076826</v>
      </c>
      <c r="CG159" s="8">
        <f>+IF(CG$8 = 125, 1, _xlfn.PERCENTILE.INC(_xlfn._xlws.FILTER(INDEX( CG$55:CG$96, MAX( COUNT( CH$9:CH$50 )  - $B159 + 1, 1)) : INDEX( CG$55:CG$96, MAX( COUNT( CH$9:CH$50 )  - $C159 + 1, 1)), INDEX( CG$101:CG$142, MAX( COUNT( CH$9:CH$50 )  - $B159 + 1, 1)) : INDEX( CG$101:CG$142, MAX( COUNT( CH$9:CH$50 )  - $C159 + 1, 1)) &gt; 0), $D159))</f>
        <v>1.0003459129760934</v>
      </c>
      <c r="CH159" s="8">
        <f>+IF(CH$8 = 125, 1, _xlfn.PERCENTILE.INC(_xlfn._xlws.FILTER(INDEX( CH$55:CH$96, MAX( COUNT( CI$9:CI$50 )  - $B159 + 1, 1)) : INDEX( CH$55:CH$96, MAX( COUNT( CI$9:CI$50 )  - $C159 + 1, 1)), INDEX( CH$101:CH$142, MAX( COUNT( CI$9:CI$50 )  - $B159 + 1, 1)) : INDEX( CH$101:CH$142, MAX( COUNT( CI$9:CI$50 )  - $C159 + 1, 1)) &gt; 0), $D159))</f>
        <v>1.0005759221461481</v>
      </c>
      <c r="CI159" s="8">
        <f>+IF(CI$8 = 125, 1, _xlfn.PERCENTILE.INC(_xlfn._xlws.FILTER(INDEX( CI$55:CI$96, MAX( COUNT( CJ$9:CJ$50 )  - $B159 + 1, 1)) : INDEX( CI$55:CI$96, MAX( COUNT( CJ$9:CJ$50 )  - $C159 + 1, 1)), INDEX( CI$101:CI$142, MAX( COUNT( CJ$9:CJ$50 )  - $B159 + 1, 1)) : INDEX( CI$101:CI$142, MAX( COUNT( CJ$9:CJ$50 )  - $C159 + 1, 1)) &gt; 0), $D159))</f>
        <v>1.0000225377040728</v>
      </c>
      <c r="CJ159" s="8">
        <f>+IF(CJ$8 = 125, 1, _xlfn.PERCENTILE.INC(_xlfn._xlws.FILTER(INDEX( CJ$55:CJ$96, MAX( COUNT( CK$9:CK$50 )  - $B159 + 1, 1)) : INDEX( CJ$55:CJ$96, MAX( COUNT( CK$9:CK$50 )  - $C159 + 1, 1)), INDEX( CJ$101:CJ$142, MAX( COUNT( CK$9:CK$50 )  - $B159 + 1, 1)) : INDEX( CJ$101:CJ$142, MAX( COUNT( CK$9:CK$50 )  - $C159 + 1, 1)) &gt; 0), $D159))</f>
        <v>1.0006655759153544</v>
      </c>
      <c r="CK159" s="8">
        <f>+IF(CK$8 = 125, 1, _xlfn.PERCENTILE.INC(_xlfn._xlws.FILTER(INDEX( CK$55:CK$96, MAX( COUNT( CL$9:CL$50 )  - $B159 + 1, 1)) : INDEX( CK$55:CK$96, MAX( COUNT( CL$9:CL$50 )  - $C159 + 1, 1)), INDEX( CK$101:CK$142, MAX( COUNT( CL$9:CL$50 )  - $B159 + 1, 1)) : INDEX( CK$101:CK$142, MAX( COUNT( CL$9:CL$50 )  - $C159 + 1, 1)) &gt; 0), $D159))</f>
        <v>1.0000086844383211</v>
      </c>
      <c r="CL159" s="8">
        <f>+IF(CL$8 = 125, 1, _xlfn.PERCENTILE.INC(_xlfn._xlws.FILTER(INDEX( CL$55:CL$96, MAX( COUNT( CM$9:CM$50 )  - $B159 + 1, 1)) : INDEX( CL$55:CL$96, MAX( COUNT( CM$9:CM$50 )  - $C159 + 1, 1)), INDEX( CL$101:CL$142, MAX( COUNT( CM$9:CM$50 )  - $B159 + 1, 1)) : INDEX( CL$101:CL$142, MAX( COUNT( CM$9:CM$50 )  - $C159 + 1, 1)) &gt; 0), $D159))</f>
        <v>1.0003022515933524</v>
      </c>
      <c r="CM159" s="8">
        <f>+IF(CM$8 = 125, 1, _xlfn.PERCENTILE.INC(_xlfn._xlws.FILTER(INDEX( CM$55:CM$96, MAX( COUNT( CN$9:CN$50 )  - $B159 + 1, 1)) : INDEX( CM$55:CM$96, MAX( COUNT( CN$9:CN$50 )  - $C159 + 1, 1)), INDEX( CM$101:CM$142, MAX( COUNT( CN$9:CN$50 )  - $B159 + 1, 1)) : INDEX( CM$101:CM$142, MAX( COUNT( CN$9:CN$50 )  - $C159 + 1, 1)) &gt; 0), $D159))</f>
        <v>1.0016258286495756</v>
      </c>
      <c r="CN159" s="8">
        <f>+IF(CN$8 = 125, 1, _xlfn.PERCENTILE.INC(_xlfn._xlws.FILTER(INDEX( CN$55:CN$96, MAX( COUNT( CO$9:CO$50 )  - $B159 + 1, 1)) : INDEX( CN$55:CN$96, MAX( COUNT( CO$9:CO$50 )  - $C159 + 1, 1)), INDEX( CN$101:CN$142, MAX( COUNT( CO$9:CO$50 )  - $B159 + 1, 1)) : INDEX( CN$101:CN$142, MAX( COUNT( CO$9:CO$50 )  - $C159 + 1, 1)) &gt; 0), $D159))</f>
        <v>1.0000812857742054</v>
      </c>
      <c r="CO159" s="8">
        <f>+IF(CO$8 = 125, 1, _xlfn.PERCENTILE.INC(_xlfn._xlws.FILTER(INDEX( CO$55:CO$96, MAX( COUNT( CP$9:CP$50 )  - $B159 + 1, 1)) : INDEX( CO$55:CO$96, MAX( COUNT( CP$9:CP$50 )  - $C159 + 1, 1)), INDEX( CO$101:CO$142, MAX( COUNT( CP$9:CP$50 )  - $B159 + 1, 1)) : INDEX( CO$101:CO$142, MAX( COUNT( CP$9:CP$50 )  - $C159 + 1, 1)) &gt; 0), $D159))</f>
        <v>1.0172053512899695</v>
      </c>
      <c r="CP159" s="8">
        <f>+IF(CP$8 = 125, 1, _xlfn.PERCENTILE.INC(_xlfn._xlws.FILTER(INDEX( CP$55:CP$96, MAX( COUNT( CQ$9:CQ$50 )  - $B159 + 1, 1)) : INDEX( CP$55:CP$96, MAX( COUNT( CQ$9:CQ$50 )  - $C159 + 1, 1)), INDEX( CP$101:CP$142, MAX( COUNT( CQ$9:CQ$50 )  - $B159 + 1, 1)) : INDEX( CP$101:CP$142, MAX( COUNT( CQ$9:CQ$50 )  - $C159 + 1, 1)) &gt; 0), $D159))</f>
        <v>1</v>
      </c>
      <c r="CQ159" s="8">
        <f>+IF(CQ$8 = 125, 1, _xlfn.PERCENTILE.INC(_xlfn._xlws.FILTER(INDEX( CQ$55:CQ$96, MAX( COUNT( CR$9:CR$50 )  - $B159 + 1, 1)) : INDEX( CQ$55:CQ$96, MAX( COUNT( CR$9:CR$50 )  - $C159 + 1, 1)), INDEX( CQ$101:CQ$142, MAX( COUNT( CR$9:CR$50 )  - $B159 + 1, 1)) : INDEX( CQ$101:CQ$142, MAX( COUNT( CR$9:CR$50 )  - $C159 + 1, 1)) &gt; 0), $D159))</f>
        <v>1.0000678985838916</v>
      </c>
      <c r="CR159" s="8">
        <f>+IF(CR$8 = 125, 1, _xlfn.PERCENTILE.INC(_xlfn._xlws.FILTER(INDEX( CR$55:CR$96, MAX( COUNT( CS$9:CS$50 )  - $B159 + 1, 1)) : INDEX( CR$55:CR$96, MAX( COUNT( CS$9:CS$50 )  - $C159 + 1, 1)), INDEX( CR$101:CR$142, MAX( COUNT( CS$9:CS$50 )  - $B159 + 1, 1)) : INDEX( CR$101:CR$142, MAX( COUNT( CS$9:CS$50 )  - $C159 + 1, 1)) &gt; 0), $D159))</f>
        <v>1.0016101646173168</v>
      </c>
      <c r="CS159" s="8">
        <f>+IF(CS$8 = 125, 1, _xlfn.PERCENTILE.INC(_xlfn._xlws.FILTER(INDEX( CS$55:CS$96, MAX( COUNT( CT$9:CT$50 )  - $B159 + 1, 1)) : INDEX( CS$55:CS$96, MAX( COUNT( CT$9:CT$50 )  - $C159 + 1, 1)), INDEX( CS$101:CS$142, MAX( COUNT( CT$9:CT$50 )  - $B159 + 1, 1)) : INDEX( CS$101:CS$142, MAX( COUNT( CT$9:CT$50 )  - $C159 + 1, 1)) &gt; 0), $D159))</f>
        <v>1.0005264297504923</v>
      </c>
      <c r="CT159" s="8">
        <f>+IF(CT$8 = 125, 1, _xlfn.PERCENTILE.INC(_xlfn._xlws.FILTER(INDEX( CT$55:CT$96, MAX( COUNT( CU$9:CU$50 )  - $B159 + 1, 1)) : INDEX( CT$55:CT$96, MAX( COUNT( CU$9:CU$50 )  - $C159 + 1, 1)), INDEX( CT$101:CT$142, MAX( COUNT( CU$9:CU$50 )  - $B159 + 1, 1)) : INDEX( CT$101:CT$142, MAX( COUNT( CU$9:CU$50 )  - $C159 + 1, 1)) &gt; 0), $D159))</f>
        <v>1.000070490439396</v>
      </c>
      <c r="CU159" s="8">
        <f>+IF(CU$8 = 125, 1, _xlfn.PERCENTILE.INC(_xlfn._xlws.FILTER(INDEX( CU$55:CU$96, MAX( COUNT( CV$9:CV$50 )  - $B159 + 1, 1)) : INDEX( CU$55:CU$96, MAX( COUNT( CV$9:CV$50 )  - $C159 + 1, 1)), INDEX( CU$101:CU$142, MAX( COUNT( CV$9:CV$50 )  - $B159 + 1, 1)) : INDEX( CU$101:CU$142, MAX( COUNT( CV$9:CV$50 )  - $C159 + 1, 1)) &gt; 0), $D159))</f>
        <v>1.0000039213738383</v>
      </c>
      <c r="CV159" s="8">
        <f>+IF(CV$8 = 125, 1, _xlfn.PERCENTILE.INC(_xlfn._xlws.FILTER(INDEX( CV$55:CV$96, MAX( COUNT( CW$9:CW$50 )  - $B159 + 1, 1)) : INDEX( CV$55:CV$96, MAX( COUNT( CW$9:CW$50 )  - $C159 + 1, 1)), INDEX( CV$101:CV$142, MAX( COUNT( CW$9:CW$50 )  - $B159 + 1, 1)) : INDEX( CV$101:CV$142, MAX( COUNT( CW$9:CW$50 )  - $C159 + 1, 1)) &gt; 0), $D159))</f>
        <v>1.0000558057017013</v>
      </c>
      <c r="CW159" s="8">
        <f>+IF(CW$8 = 125, 1, _xlfn.PERCENTILE.INC(_xlfn._xlws.FILTER(INDEX( CW$55:CW$96, MAX( COUNT( CX$9:CX$50 )  - $B159 + 1, 1)) : INDEX( CW$55:CW$96, MAX( COUNT( CX$9:CX$50 )  - $C159 + 1, 1)), INDEX( CW$101:CW$142, MAX( COUNT( CX$9:CX$50 )  - $B159 + 1, 1)) : INDEX( CW$101:CW$142, MAX( COUNT( CX$9:CX$50 )  - $C159 + 1, 1)) &gt; 0), $D159))</f>
        <v>1.0004005434221117</v>
      </c>
      <c r="CX159" s="8">
        <f>+IF(CX$8 = 125, 1, _xlfn.PERCENTILE.INC(_xlfn._xlws.FILTER(INDEX( CX$55:CX$96, MAX( COUNT( CY$9:CY$50 )  - $B159 + 1, 1)) : INDEX( CX$55:CX$96, MAX( COUNT( CY$9:CY$50 )  - $C159 + 1, 1)), INDEX( CX$101:CX$142, MAX( COUNT( CY$9:CY$50 )  - $B159 + 1, 1)) : INDEX( CX$101:CX$142, MAX( COUNT( CY$9:CY$50 )  - $C159 + 1, 1)) &gt; 0), $D159))</f>
        <v>1.0007489974691235</v>
      </c>
      <c r="CY159" s="8">
        <f>+IF(CY$8 = 125, 1, _xlfn.PERCENTILE.INC(_xlfn._xlws.FILTER(INDEX( CY$55:CY$96, MAX( COUNT( CZ$9:CZ$50 )  - $B159 + 1, 1)) : INDEX( CY$55:CY$96, MAX( COUNT( CZ$9:CZ$50 )  - $C159 + 1, 1)), INDEX( CY$101:CY$142, MAX( COUNT( CZ$9:CZ$50 )  - $B159 + 1, 1)) : INDEX( CY$101:CY$142, MAX( COUNT( CZ$9:CZ$50 )  - $C159 + 1, 1)) &gt; 0), $D159))</f>
        <v>1.0009786228192374</v>
      </c>
      <c r="CZ159" s="8">
        <f>+IF(CZ$8 = 125, 1, _xlfn.PERCENTILE.INC(_xlfn._xlws.FILTER(INDEX( CZ$55:CZ$96, MAX( COUNT( DA$9:DA$50 )  - $B159 + 1, 1)) : INDEX( CZ$55:CZ$96, MAX( COUNT( DA$9:DA$50 )  - $C159 + 1, 1)), INDEX( CZ$101:CZ$142, MAX( COUNT( DA$9:DA$50 )  - $B159 + 1, 1)) : INDEX( CZ$101:CZ$142, MAX( COUNT( DA$9:DA$50 )  - $C159 + 1, 1)) &gt; 0), $D159))</f>
        <v>1.0005432927490676</v>
      </c>
      <c r="DA159" s="8">
        <f>+IF(DA$8 = 125, 1, _xlfn.PERCENTILE.INC(_xlfn._xlws.FILTER(INDEX( DA$55:DA$96, MAX( COUNT( DB$9:DB$50 )  - $B159 + 1, 1)) : INDEX( DA$55:DA$96, MAX( COUNT( DB$9:DB$50 )  - $C159 + 1, 1)), INDEX( DA$101:DA$142, MAX( COUNT( DB$9:DB$50 )  - $B159 + 1, 1)) : INDEX( DA$101:DA$142, MAX( COUNT( DB$9:DB$50 )  - $C159 + 1, 1)) &gt; 0), $D159))</f>
        <v>1.0004550939982415</v>
      </c>
      <c r="DB159" s="8">
        <f>+IF(DB$8 = 125, 1, _xlfn.PERCENTILE.INC(_xlfn._xlws.FILTER(INDEX( DB$55:DB$96, MAX( COUNT( DC$9:DC$50 )  - $B159 + 1, 1)) : INDEX( DB$55:DB$96, MAX( COUNT( DC$9:DC$50 )  - $C159 + 1, 1)), INDEX( DB$101:DB$142, MAX( COUNT( DC$9:DC$50 )  - $B159 + 1, 1)) : INDEX( DB$101:DB$142, MAX( COUNT( DC$9:DC$50 )  - $C159 + 1, 1)) &gt; 0), $D159))</f>
        <v>1.0000051297015449</v>
      </c>
      <c r="DC159" s="8">
        <f>+IF(DC$8 = 125, 1, _xlfn.PERCENTILE.INC(_xlfn._xlws.FILTER(INDEX( DC$55:DC$96, MAX( COUNT( DD$9:DD$50 )  - $B159 + 1, 1)) : INDEX( DC$55:DC$96, MAX( COUNT( DD$9:DD$50 )  - $C159 + 1, 1)), INDEX( DC$101:DC$142, MAX( COUNT( DD$9:DD$50 )  - $B159 + 1, 1)) : INDEX( DC$101:DC$142, MAX( COUNT( DD$9:DD$50 )  - $C159 + 1, 1)) &gt; 0), $D159))</f>
        <v>1.0001233822821369</v>
      </c>
      <c r="DD159" s="8">
        <f>+IF(DD$8 = 125, 1, _xlfn.PERCENTILE.INC(_xlfn._xlws.FILTER(INDEX( DD$55:DD$96, MAX( COUNT( DE$9:DE$50 )  - $B159 + 1, 1)) : INDEX( DD$55:DD$96, MAX( COUNT( DE$9:DE$50 )  - $C159 + 1, 1)), INDEX( DD$101:DD$142, MAX( COUNT( DE$9:DE$50 )  - $B159 + 1, 1)) : INDEX( DD$101:DD$142, MAX( COUNT( DE$9:DE$50 )  - $C159 + 1, 1)) &gt; 0), $D159))</f>
        <v>1.0000079627606002</v>
      </c>
      <c r="DE159" s="8">
        <f>+IF(DE$8 = 125, 1, _xlfn.PERCENTILE.INC(_xlfn._xlws.FILTER(INDEX( DE$55:DE$96, MAX( COUNT( DF$9:DF$50 )  - $B159 + 1, 1)) : INDEX( DE$55:DE$96, MAX( COUNT( DF$9:DF$50 )  - $C159 + 1, 1)), INDEX( DE$101:DE$142, MAX( COUNT( DF$9:DF$50 )  - $B159 + 1, 1)) : INDEX( DE$101:DE$142, MAX( COUNT( DF$9:DF$50 )  - $C159 + 1, 1)) &gt; 0), $D159))</f>
        <v>1.0003066788054173</v>
      </c>
      <c r="DF159" s="8">
        <f>+IF(DF$8 = 125, 1, _xlfn.PERCENTILE.INC(_xlfn._xlws.FILTER(INDEX( DF$55:DF$96, MAX( COUNT( DG$9:DG$50 )  - $B159 + 1, 1)) : INDEX( DF$55:DF$96, MAX( COUNT( DG$9:DG$50 )  - $C159 + 1, 1)), INDEX( DF$101:DF$142, MAX( COUNT( DG$9:DG$50 )  - $B159 + 1, 1)) : INDEX( DF$101:DF$142, MAX( COUNT( DG$9:DG$50 )  - $C159 + 1, 1)) &gt; 0), $D159))</f>
        <v>1.000274929905856</v>
      </c>
      <c r="DG159" s="8">
        <f>+IF(DG$8 = 125, 1, _xlfn.PERCENTILE.INC(_xlfn._xlws.FILTER(INDEX( DG$55:DG$96, MAX( COUNT( DH$9:DH$50 )  - $B159 + 1, 1)) : INDEX( DG$55:DG$96, MAX( COUNT( DH$9:DH$50 )  - $C159 + 1, 1)), INDEX( DG$101:DG$142, MAX( COUNT( DH$9:DH$50 )  - $B159 + 1, 1)) : INDEX( DG$101:DG$142, MAX( COUNT( DH$9:DH$50 )  - $C159 + 1, 1)) &gt; 0), $D159))</f>
        <v>1.0003247992852469</v>
      </c>
      <c r="DH159" s="8">
        <f>+IF(DH$8 = 125, 1, _xlfn.PERCENTILE.INC(_xlfn._xlws.FILTER(INDEX( DH$55:DH$96, MAX( COUNT( DI$9:DI$50 )  - $B159 + 1, 1)) : INDEX( DH$55:DH$96, MAX( COUNT( DI$9:DI$50 )  - $C159 + 1, 1)), INDEX( DH$101:DH$142, MAX( COUNT( DI$9:DI$50 )  - $B159 + 1, 1)) : INDEX( DH$101:DH$142, MAX( COUNT( DI$9:DI$50 )  - $C159 + 1, 1)) &gt; 0), $D159))</f>
        <v>1.0000539004795024</v>
      </c>
      <c r="DI159" s="8">
        <f>+IF(DI$8 = 125, 1, _xlfn.PERCENTILE.INC(_xlfn._xlws.FILTER(INDEX( DI$55:DI$96, MAX( COUNT( DJ$9:DJ$50 )  - $B159 + 1, 1)) : INDEX( DI$55:DI$96, MAX( COUNT( DJ$9:DJ$50 )  - $C159 + 1, 1)), INDEX( DI$101:DI$142, MAX( COUNT( DJ$9:DJ$50 )  - $B159 + 1, 1)) : INDEX( DI$101:DI$142, MAX( COUNT( DJ$9:DJ$50 )  - $C159 + 1, 1)) &gt; 0), $D159))</f>
        <v>1.0001484940907772</v>
      </c>
      <c r="DJ159" s="8">
        <f>+IF(DJ$8 = 125, 1, _xlfn.PERCENTILE.INC(_xlfn._xlws.FILTER(INDEX( DJ$55:DJ$96, MAX( COUNT( DK$9:DK$50 )  - $B159 + 1, 1)) : INDEX( DJ$55:DJ$96, MAX( COUNT( DK$9:DK$50 )  - $C159 + 1, 1)), INDEX( DJ$101:DJ$142, MAX( COUNT( DK$9:DK$50 )  - $B159 + 1, 1)) : INDEX( DJ$101:DJ$142, MAX( COUNT( DK$9:DK$50 )  - $C159 + 1, 1)) &gt; 0), $D159))</f>
        <v>1.0005510858759159</v>
      </c>
      <c r="DK159" s="8">
        <f>+IF(DK$8 = 125, 1, _xlfn.PERCENTILE.INC(_xlfn._xlws.FILTER(INDEX( DK$55:DK$96, MAX( COUNT( DL$9:DL$50 )  - $B159 + 1, 1)) : INDEX( DK$55:DK$96, MAX( COUNT( DL$9:DL$50 )  - $C159 + 1, 1)), INDEX( DK$101:DK$142, MAX( COUNT( DL$9:DL$50 )  - $B159 + 1, 1)) : INDEX( DK$101:DK$142, MAX( COUNT( DL$9:DL$50 )  - $C159 + 1, 1)) &gt; 0), $D159))</f>
        <v>1.0011259227406282</v>
      </c>
      <c r="DL159" s="8">
        <f>+IF(DL$8 = 125, 1, _xlfn.PERCENTILE.INC(_xlfn._xlws.FILTER(INDEX( DL$55:DL$96, MAX( COUNT( DM$9:DM$50 )  - $B159 + 1, 1)) : INDEX( DL$55:DL$96, MAX( COUNT( DM$9:DM$50 )  - $C159 + 1, 1)), INDEX( DL$101:DL$142, MAX( COUNT( DM$9:DM$50 )  - $B159 + 1, 1)) : INDEX( DL$101:DL$142, MAX( COUNT( DM$9:DM$50 )  - $C159 + 1, 1)) &gt; 0), $D159))</f>
        <v>1.0004400565917495</v>
      </c>
      <c r="DM159" s="8">
        <f>+IF(DM$8 = 125, 1, _xlfn.PERCENTILE.INC(_xlfn._xlws.FILTER(INDEX( DM$55:DM$96, MAX( COUNT( DN$9:DN$50 )  - $B159 + 1, 1)) : INDEX( DM$55:DM$96, MAX( COUNT( DN$9:DN$50 )  - $C159 + 1, 1)), INDEX( DM$101:DM$142, MAX( COUNT( DN$9:DN$50 )  - $B159 + 1, 1)) : INDEX( DM$101:DM$142, MAX( COUNT( DN$9:DN$50 )  - $C159 + 1, 1)) &gt; 0), $D159))</f>
        <v>1</v>
      </c>
      <c r="DN159" s="8">
        <f>+IF(DN$8 = 125, 1, _xlfn.PERCENTILE.INC(_xlfn._xlws.FILTER(INDEX( DN$55:DN$96, MAX( COUNT( DO$9:DO$50 )  - $B159 + 1, 1)) : INDEX( DN$55:DN$96, MAX( COUNT( DO$9:DO$50 )  - $C159 + 1, 1)), INDEX( DN$101:DN$142, MAX( COUNT( DO$9:DO$50 )  - $B159 + 1, 1)) : INDEX( DN$101:DN$142, MAX( COUNT( DO$9:DO$50 )  - $C159 + 1, 1)) &gt; 0), $D159))</f>
        <v>1.0001851902048164</v>
      </c>
      <c r="DO159" s="8">
        <f>+IF(DO$8 = 125, 1, _xlfn.PERCENTILE.INC(_xlfn._xlws.FILTER(INDEX( DO$55:DO$96, MAX( COUNT( DP$9:DP$50 )  - $B159 + 1, 1)) : INDEX( DO$55:DO$96, MAX( COUNT( DP$9:DP$50 )  - $C159 + 1, 1)), INDEX( DO$101:DO$142, MAX( COUNT( DP$9:DP$50 )  - $B159 + 1, 1)) : INDEX( DO$101:DO$142, MAX( COUNT( DP$9:DP$50 )  - $C159 + 1, 1)) &gt; 0), $D159))</f>
        <v>1.0013663063818594</v>
      </c>
      <c r="DP159" s="8">
        <f>+IF(DP$8 = 125, 1, _xlfn.PERCENTILE.INC(_xlfn._xlws.FILTER(INDEX( DP$55:DP$96, MAX( COUNT( DQ$9:DQ$50 )  - $B159 + 1, 1)) : INDEX( DP$55:DP$96, MAX( COUNT( DQ$9:DQ$50 )  - $C159 + 1, 1)), INDEX( DP$101:DP$142, MAX( COUNT( DQ$9:DQ$50 )  - $B159 + 1, 1)) : INDEX( DP$101:DP$142, MAX( COUNT( DQ$9:DQ$50 )  - $C159 + 1, 1)) &gt; 0), $D159))</f>
        <v>1.0005901122439842</v>
      </c>
      <c r="DQ159" s="8">
        <f>+IF(DQ$8 = 125, 1, _xlfn.PERCENTILE.INC(_xlfn._xlws.FILTER(INDEX( DQ$55:DQ$96, MAX( COUNT( DR$9:DR$50 )  - $B159 + 1, 1)) : INDEX( DQ$55:DQ$96, MAX( COUNT( DR$9:DR$50 )  - $C159 + 1, 1)), INDEX( DQ$101:DQ$142, MAX( COUNT( DR$9:DR$50 )  - $B159 + 1, 1)) : INDEX( DQ$101:DQ$142, MAX( COUNT( DR$9:DR$50 )  - $C159 + 1, 1)) &gt; 0), $D159))</f>
        <v>1.0002423735805344</v>
      </c>
      <c r="DR159" s="8">
        <f>+IF(DR$8 = 125, 1, _xlfn.PERCENTILE.INC(_xlfn._xlws.FILTER(INDEX( DR$55:DR$96, MAX( COUNT( DS$9:DS$50 )  - $B159 + 1, 1)) : INDEX( DR$55:DR$96, MAX( COUNT( DS$9:DS$50 )  - $C159 + 1, 1)), INDEX( DR$101:DR$142, MAX( COUNT( DS$9:DS$50 )  - $B159 + 1, 1)) : INDEX( DR$101:DR$142, MAX( COUNT( DS$9:DS$50 )  - $C159 + 1, 1)) &gt; 0), $D159))</f>
        <v>1.0013824547451953</v>
      </c>
      <c r="DS159" s="8">
        <f>+IF(DS$8 = 125, 1, _xlfn.PERCENTILE.INC(_xlfn._xlws.FILTER(INDEX( DS$55:DS$96, MAX( COUNT( DT$9:DT$50 )  - $B159 + 1, 1)) : INDEX( DS$55:DS$96, MAX( COUNT( DT$9:DT$50 )  - $C159 + 1, 1)), INDEX( DS$101:DS$142, MAX( COUNT( DT$9:DT$50 )  - $B159 + 1, 1)) : INDEX( DS$101:DS$142, MAX( COUNT( DT$9:DT$50 )  - $C159 + 1, 1)) &gt; 0), $D159))</f>
        <v>1.0028918390358397</v>
      </c>
      <c r="DT159" s="8">
        <f>+IF(DT$8 = 125, 1, _xlfn.PERCENTILE.INC(_xlfn._xlws.FILTER(INDEX( DT$55:DT$96, MAX( COUNT( DU$9:DU$50 )  - $B159 + 1, 1)) : INDEX( DT$55:DT$96, MAX( COUNT( DU$9:DU$50 )  - $C159 + 1, 1)), INDEX( DT$101:DT$142, MAX( COUNT( DU$9:DU$50 )  - $B159 + 1, 1)) : INDEX( DT$101:DT$142, MAX( COUNT( DU$9:DU$50 )  - $C159 + 1, 1)) &gt; 0), $D159))</f>
        <v>1.0031528043510363</v>
      </c>
      <c r="DU159" s="8">
        <f>+IF(DU$8 = 125, 1, _xlfn.PERCENTILE.INC(_xlfn._xlws.FILTER(INDEX( DU$55:DU$96, MAX( COUNT( DV$9:DV$50 )  - $B159 + 1, 1)) : INDEX( DU$55:DU$96, MAX( COUNT( DV$9:DV$50 )  - $C159 + 1, 1)), INDEX( DU$101:DU$142, MAX( COUNT( DV$9:DV$50 )  - $B159 + 1, 1)) : INDEX( DU$101:DU$142, MAX( COUNT( DV$9:DV$50 )  - $C159 + 1, 1)) &gt; 0), $D159))</f>
        <v>1.0012692967717673</v>
      </c>
      <c r="DV159" s="8">
        <f>+IF(DV$8 = 125, 1, _xlfn.PERCENTILE.INC(_xlfn._xlws.FILTER(INDEX( DV$55:DV$96, MAX( COUNT( DW$9:DW$50 )  - $B159 + 1, 1)) : INDEX( DV$55:DV$96, MAX( COUNT( DW$9:DW$50 )  - $C159 + 1, 1)), INDEX( DV$101:DV$142, MAX( COUNT( DW$9:DW$50 )  - $B159 + 1, 1)) : INDEX( DV$101:DV$142, MAX( COUNT( DW$9:DW$50 )  - $C159 + 1, 1)) &gt; 0), $D159))</f>
        <v>1.0036386951121095</v>
      </c>
      <c r="DW159" s="8">
        <f>+IF(DW$8 = 125, 1, _xlfn.PERCENTILE.INC(_xlfn._xlws.FILTER(INDEX( DW$55:DW$96, MAX( COUNT( DX$9:DX$50 )  - $B159 + 1, 1)) : INDEX( DW$55:DW$96, MAX( COUNT( DX$9:DX$50 )  - $C159 + 1, 1)), INDEX( DW$101:DW$142, MAX( COUNT( DX$9:DX$50 )  - $B159 + 1, 1)) : INDEX( DW$101:DW$142, MAX( COUNT( DX$9:DX$50 )  - $C159 + 1, 1)) &gt; 0), $D159))</f>
        <v>1.0026867732996492</v>
      </c>
      <c r="DX159" s="8">
        <f>+IF(DX$8 = 125, 1, _xlfn.PERCENTILE.INC(_xlfn._xlws.FILTER(INDEX( DX$55:DX$96, MAX( COUNT( DY$9:DY$50 )  - $B159 + 1, 1)) : INDEX( DX$55:DX$96, MAX( COUNT( DY$9:DY$50 )  - $C159 + 1, 1)), INDEX( DX$101:DX$142, MAX( COUNT( DY$9:DY$50 )  - $B159 + 1, 1)) : INDEX( DX$101:DX$142, MAX( COUNT( DY$9:DY$50 )  - $C159 + 1, 1)) &gt; 0), $D159))</f>
        <v>1.0038513805404945</v>
      </c>
      <c r="DY159" s="8">
        <f>+IF(DY$8 = 125, 1, _xlfn.PERCENTILE.INC(_xlfn._xlws.FILTER(INDEX( DY$55:DY$96, MAX( COUNT( DZ$9:DZ$50 )  - $B159 + 1, 1)) : INDEX( DY$55:DY$96, MAX( COUNT( DZ$9:DZ$50 )  - $C159 + 1, 1)), INDEX( DY$101:DY$142, MAX( COUNT( DZ$9:DZ$50 )  - $B159 + 1, 1)) : INDEX( DY$101:DY$142, MAX( COUNT( DZ$9:DZ$50 )  - $C159 + 1, 1)) &gt; 0), $D159))</f>
        <v>1.0045542200871611</v>
      </c>
      <c r="DZ159" s="8">
        <f>+IF(DZ$8 = 125, 1, _xlfn.PERCENTILE.INC(_xlfn._xlws.FILTER(INDEX( DZ$55:DZ$96, MAX( COUNT( EA$9:EA$50 )  - $B159 + 1, 1)) : INDEX( DZ$55:DZ$96, MAX( COUNT( EA$9:EA$50 )  - $C159 + 1, 1)), INDEX( DZ$101:DZ$142, MAX( COUNT( EA$9:EA$50 )  - $B159 + 1, 1)) : INDEX( DZ$101:DZ$142, MAX( COUNT( EA$9:EA$50 )  - $C159 + 1, 1)) &gt; 0), $D159))</f>
        <v>1.0041088153957449</v>
      </c>
      <c r="EA159" s="8">
        <f>+IF(EA$8 = 125, 1, _xlfn.PERCENTILE.INC(_xlfn._xlws.FILTER(INDEX( EA$55:EA$96, MAX( COUNT( EB$9:EB$50 )  - $B159 + 1, 1)) : INDEX( EA$55:EA$96, MAX( COUNT( EB$9:EB$50 )  - $C159 + 1, 1)), INDEX( EA$101:EA$142, MAX( COUNT( EB$9:EB$50 )  - $B159 + 1, 1)) : INDEX( EA$101:EA$142, MAX( COUNT( EB$9:EB$50 )  - $C159 + 1, 1)) &gt; 0), $D159))</f>
        <v>1</v>
      </c>
      <c r="EB159" s="8">
        <f>+IF(EB$8 = 125, 1, _xlfn.PERCENTILE.INC(_xlfn._xlws.FILTER(INDEX( EB$55:EB$96, MAX( COUNT( EC$9:EC$50 )  - $B159 + 1, 1)) : INDEX( EB$55:EB$96, MAX( COUNT( EC$9:EC$50 )  - $C159 + 1, 1)), INDEX( EB$101:EB$142, MAX( COUNT( EC$9:EC$50 )  - $B159 + 1, 1)) : INDEX( EB$101:EB$142, MAX( COUNT( EC$9:EC$50 )  - $C159 + 1, 1)) &gt; 0), $D159))</f>
        <v>2.6637311746139041</v>
      </c>
      <c r="EC159" s="8">
        <f>+IF(EC$8 = 125, 1, _xlfn.PERCENTILE.INC(_xlfn._xlws.FILTER(INDEX( EC$55:EC$96, MAX( COUNT( ED$9:ED$50 )  - $B159 + 1, 1)) : INDEX( EC$55:EC$96, MAX( COUNT( ED$9:ED$50 )  - $C159 + 1, 1)), INDEX( EC$101:EC$142, MAX( COUNT( ED$9:ED$50 )  - $B159 + 1, 1)) : INDEX( EC$101:EC$142, MAX( COUNT( ED$9:ED$50 )  - $C159 + 1, 1)) &gt; 0), $D159))</f>
        <v>2.1897464070086663</v>
      </c>
      <c r="ED159" s="8">
        <f>+IF(ED$8 = 125, 1, _xlfn.PERCENTILE.INC(_xlfn._xlws.FILTER(INDEX( ED$55:ED$96, MAX( COUNT( EE$9:EE$50 )  - $B159 + 1, 1)) : INDEX( ED$55:ED$96, MAX( COUNT( EE$9:EE$50 )  - $C159 + 1, 1)), INDEX( ED$101:ED$142, MAX( COUNT( EE$9:EE$50 )  - $B159 + 1, 1)) : INDEX( ED$101:ED$142, MAX( COUNT( EE$9:EE$50 )  - $C159 + 1, 1)) &gt; 0), $D159))</f>
        <v>1.2940568466160183</v>
      </c>
      <c r="EE159" s="8">
        <f>+IF(EE$8 = 125, 1, _xlfn.PERCENTILE.INC(_xlfn._xlws.FILTER(INDEX( EE$55:EE$96, MAX( COUNT( EF$9:EF$50 )  - $B159 + 1, 1)) : INDEX( EE$55:EE$96, MAX( COUNT( EF$9:EF$50 )  - $C159 + 1, 1)), INDEX( EE$101:EE$142, MAX( COUNT( EF$9:EF$50 )  - $B159 + 1, 1)) : INDEX( EE$101:EE$142, MAX( COUNT( EF$9:EF$50 )  - $C159 + 1, 1)) &gt; 0), $D159))</f>
        <v>1.0059279277517488</v>
      </c>
      <c r="EF159" s="8">
        <f>+IF(EF$8 = 125, 1, _xlfn.PERCENTILE.INC(_xlfn._xlws.FILTER(INDEX( EF$55:EF$96, MAX( COUNT( EG$9:EG$50 )  - $B159 + 1, 1)) : INDEX( EF$55:EF$96, MAX( COUNT( EG$9:EG$50 )  - $C159 + 1, 1)), INDEX( EF$101:EF$142, MAX( COUNT( EG$9:EG$50 )  - $B159 + 1, 1)) : INDEX( EF$101:EF$142, MAX( COUNT( EG$9:EG$50 )  - $C159 + 1, 1)) &gt; 0), $D159))</f>
        <v>1.0132791579840807</v>
      </c>
      <c r="EG159" s="8">
        <f>+IF(EG$8 = 125, 1, _xlfn.PERCENTILE.INC(_xlfn._xlws.FILTER(INDEX( EG$55:EG$96, MAX( COUNT( EH$9:EH$50 )  - $B159 + 1, 1)) : INDEX( EG$55:EG$96, MAX( COUNT( EH$9:EH$50 )  - $C159 + 1, 1)), INDEX( EG$101:EG$142, MAX( COUNT( EH$9:EH$50 )  - $B159 + 1, 1)) : INDEX( EG$101:EG$142, MAX( COUNT( EH$9:EH$50 )  - $C159 + 1, 1)) &gt; 0), $D159))</f>
        <v>1.0289666924947261</v>
      </c>
      <c r="EH159" s="8">
        <f>+IF(EH$8 = 125, 1, _xlfn.PERCENTILE.INC(_xlfn._xlws.FILTER(INDEX( EH$55:EH$96, MAX( COUNT( EI$9:EI$50 )  - $B159 + 1, 1)) : INDEX( EH$55:EH$96, MAX( COUNT( EI$9:EI$50 )  - $C159 + 1, 1)), INDEX( EH$101:EH$142, MAX( COUNT( EI$9:EI$50 )  - $B159 + 1, 1)) : INDEX( EH$101:EH$142, MAX( COUNT( EI$9:EI$50 )  - $C159 + 1, 1)) &gt; 0), $D159))</f>
        <v>1.0072055350144342</v>
      </c>
      <c r="EI159" s="8">
        <f>+IF(EI$8 = 125, 1, _xlfn.PERCENTILE.INC(_xlfn._xlws.FILTER(INDEX( EI$55:EI$96, MAX( COUNT( EJ$9:EJ$50 )  - $B159 + 1, 1)) : INDEX( EI$55:EI$96, MAX( COUNT( EJ$9:EJ$50 )  - $C159 + 1, 1)), INDEX( EI$101:EI$142, MAX( COUNT( EJ$9:EJ$50 )  - $B159 + 1, 1)) : INDEX( EI$101:EI$142, MAX( COUNT( EJ$9:EJ$50 )  - $C159 + 1, 1)) &gt; 0), $D159))</f>
        <v>1.0044999018062912</v>
      </c>
      <c r="EJ159" s="8">
        <f>+IF(EJ$8 = 125, 1, _xlfn.PERCENTILE.INC(_xlfn._xlws.FILTER(INDEX( EJ$55:EJ$96, MAX( COUNT( EK$9:EK$50 )  - $B159 + 1, 1)) : INDEX( EJ$55:EJ$96, MAX( COUNT( EK$9:EK$50 )  - $C159 + 1, 1)), INDEX( EJ$101:EJ$142, MAX( COUNT( EK$9:EK$50 )  - $B159 + 1, 1)) : INDEX( EJ$101:EJ$142, MAX( COUNT( EK$9:EK$50 )  - $C159 + 1, 1)) &gt; 0), $D159))</f>
        <v>1.0006143504502802</v>
      </c>
      <c r="EK159" s="8">
        <f>+IF(EK$8 = 125, 1, _xlfn.PERCENTILE.INC(_xlfn._xlws.FILTER(INDEX( EK$55:EK$96, MAX( COUNT( EL$9:EL$50 )  - $B159 + 1, 1)) : INDEX( EK$55:EK$96, MAX( COUNT( EL$9:EL$50 )  - $C159 + 1, 1)), INDEX( EK$101:EK$142, MAX( COUNT( EL$9:EL$50 )  - $B159 + 1, 1)) : INDEX( EK$101:EK$142, MAX( COUNT( EL$9:EL$50 )  - $C159 + 1, 1)) &gt; 0), $D159))</f>
        <v>1.0034315644048342</v>
      </c>
      <c r="EL159" s="8">
        <f>+IF(EL$8 = 125, 1, _xlfn.PERCENTILE.INC(_xlfn._xlws.FILTER(INDEX( EL$55:EL$96, MAX( COUNT( EM$9:EM$50 )  - $B159 + 1, 1)) : INDEX( EL$55:EL$96, MAX( COUNT( EM$9:EM$50 )  - $C159 + 1, 1)), INDEX( EL$101:EL$142, MAX( COUNT( EM$9:EM$50 )  - $B159 + 1, 1)) : INDEX( EL$101:EL$142, MAX( COUNT( EM$9:EM$50 )  - $C159 + 1, 1)) &gt; 0), $D159))</f>
        <v>1.0002571657393018</v>
      </c>
      <c r="EM159" s="8">
        <f>+IF(EM$8 = 125, 1, _xlfn.PERCENTILE.INC(_xlfn._xlws.FILTER(INDEX( EM$55:EM$96, MAX( COUNT( EN$9:EN$50 )  - $B159 + 1, 1)) : INDEX( EM$55:EM$96, MAX( COUNT( EN$9:EN$50 )  - $C159 + 1, 1)), INDEX( EM$101:EM$142, MAX( COUNT( EN$9:EN$50 )  - $B159 + 1, 1)) : INDEX( EM$101:EM$142, MAX( COUNT( EN$9:EN$50 )  - $C159 + 1, 1)) &gt; 0), $D159))</f>
        <v>1.000007197259893</v>
      </c>
      <c r="EN159" s="8">
        <f>+IF(EN$8 = 125, 1, _xlfn.PERCENTILE.INC(_xlfn._xlws.FILTER(INDEX( EN$55:EN$96, MAX( COUNT( EO$9:EO$50 )  - $B159 + 1, 1)) : INDEX( EN$55:EN$96, MAX( COUNT( EO$9:EO$50 )  - $C159 + 1, 1)), INDEX( EN$101:EN$142, MAX( COUNT( EO$9:EO$50 )  - $B159 + 1, 1)) : INDEX( EN$101:EN$142, MAX( COUNT( EO$9:EO$50 )  - $C159 + 1, 1)) &gt; 0), $D159))</f>
        <v>1.0007039962784605</v>
      </c>
      <c r="EO159" s="8">
        <f>+IF(EO$8 = 125, 1, _xlfn.PERCENTILE.INC(_xlfn._xlws.FILTER(INDEX( EO$55:EO$96, MAX( COUNT( EP$9:EP$50 )  - $B159 + 1, 1)) : INDEX( EO$55:EO$96, MAX( COUNT( EP$9:EP$50 )  - $C159 + 1, 1)), INDEX( EO$101:EO$142, MAX( COUNT( EP$9:EP$50 )  - $B159 + 1, 1)) : INDEX( EO$101:EO$142, MAX( COUNT( EP$9:EP$50 )  - $C159 + 1, 1)) &gt; 0), $D159))</f>
        <v>1.0000677878237481</v>
      </c>
      <c r="EP159" s="8">
        <f>+IF(EP$8 = 125, 1, _xlfn.PERCENTILE.INC(_xlfn._xlws.FILTER(INDEX( EP$55:EP$96, MAX( COUNT( EQ$9:EQ$50 )  - $B159 + 1, 1)) : INDEX( EP$55:EP$96, MAX( COUNT( EQ$9:EQ$50 )  - $C159 + 1, 1)), INDEX( EP$101:EP$142, MAX( COUNT( EQ$9:EQ$50 )  - $B159 + 1, 1)) : INDEX( EP$101:EP$142, MAX( COUNT( EQ$9:EQ$50 )  - $C159 + 1, 1)) &gt; 0), $D159))</f>
        <v>1.0003826582836837</v>
      </c>
      <c r="EQ159" s="8">
        <f>+IF(EQ$8 = 125, 1, _xlfn.PERCENTILE.INC(_xlfn._xlws.FILTER(INDEX( EQ$55:EQ$96, MAX( COUNT( ER$9:ER$50 )  - $B159 + 1, 1)) : INDEX( EQ$55:EQ$96, MAX( COUNT( ER$9:ER$50 )  - $C159 + 1, 1)), INDEX( EQ$101:EQ$142, MAX( COUNT( ER$9:ER$50 )  - $B159 + 1, 1)) : INDEX( EQ$101:EQ$142, MAX( COUNT( ER$9:ER$50 )  - $C159 + 1, 1)) &gt; 0), $D159))</f>
        <v>1.0000679060686584</v>
      </c>
      <c r="ER159" s="8">
        <f>+IF(ER$8 = 125, 1, _xlfn.PERCENTILE.INC(_xlfn._xlws.FILTER(INDEX( ER$55:ER$96, MAX( COUNT( ES$9:ES$50 )  - $B159 + 1, 1)) : INDEX( ER$55:ER$96, MAX( COUNT( ES$9:ES$50 )  - $C159 + 1, 1)), INDEX( ER$101:ER$142, MAX( COUNT( ES$9:ES$50 )  - $B159 + 1, 1)) : INDEX( ER$101:ER$142, MAX( COUNT( ES$9:ES$50 )  - $C159 + 1, 1)) &gt; 0), $D159))</f>
        <v>1.0070284226197772</v>
      </c>
      <c r="ES159" s="8">
        <f>+IF(ES$8 = 125, 1, _xlfn.PERCENTILE.INC(_xlfn._xlws.FILTER(INDEX( ES$55:ES$96, MAX( COUNT( ET$9:ET$50 )  - $B159 + 1, 1)) : INDEX( ES$55:ES$96, MAX( COUNT( ET$9:ET$50 )  - $C159 + 1, 1)), INDEX( ES$101:ES$142, MAX( COUNT( ET$9:ET$50 )  - $B159 + 1, 1)) : INDEX( ES$101:ES$142, MAX( COUNT( ET$9:ET$50 )  - $C159 + 1, 1)) &gt; 0), $D159))</f>
        <v>1.0007427878441431</v>
      </c>
      <c r="ET159" s="8">
        <f>+IF(ET$8 = 125, 1, _xlfn.PERCENTILE.INC(_xlfn._xlws.FILTER(INDEX( ET$55:ET$96, MAX( COUNT( EU$9:EU$50 )  - $B159 + 1, 1)) : INDEX( ET$55:ET$96, MAX( COUNT( EU$9:EU$50 )  - $C159 + 1, 1)), INDEX( ET$101:ET$142, MAX( COUNT( EU$9:EU$50 )  - $B159 + 1, 1)) : INDEX( ET$101:ET$142, MAX( COUNT( EU$9:EU$50 )  - $C159 + 1, 1)) &gt; 0), $D159))</f>
        <v>1.0008321767312212</v>
      </c>
      <c r="EU159" s="8">
        <f>+IF(EU$8 = 125, 1, _xlfn.PERCENTILE.INC(_xlfn._xlws.FILTER(INDEX( EU$55:EU$96, MAX( COUNT( EV$9:EV$50 )  - $B159 + 1, 1)) : INDEX( EU$55:EU$96, MAX( COUNT( EV$9:EV$50 )  - $C159 + 1, 1)), INDEX( EU$101:EU$142, MAX( COUNT( EV$9:EV$50 )  - $B159 + 1, 1)) : INDEX( EU$101:EU$142, MAX( COUNT( EV$9:EV$50 )  - $C159 + 1, 1)) &gt; 0), $D159))</f>
        <v>1.0000043813821962</v>
      </c>
      <c r="EV159" s="8">
        <f>+IF(EV$8 = 125, 1, _xlfn.PERCENTILE.INC(_xlfn._xlws.FILTER(INDEX( EV$55:EV$96, MAX( COUNT( EW$9:EW$50 )  - $B159 + 1, 1)) : INDEX( EV$55:EV$96, MAX( COUNT( EW$9:EW$50 )  - $C159 + 1, 1)), INDEX( EV$101:EV$142, MAX( COUNT( EW$9:EW$50 )  - $B159 + 1, 1)) : INDEX( EV$101:EV$142, MAX( COUNT( EW$9:EW$50 )  - $C159 + 1, 1)) &gt; 0), $D159))</f>
        <v>1.0006053368591512</v>
      </c>
      <c r="EW159" s="8">
        <f>+IF(EW$8 = 125, 1, _xlfn.PERCENTILE.INC(_xlfn._xlws.FILTER(INDEX( EW$55:EW$96, MAX( COUNT( EX$9:EX$50 )  - $B159 + 1, 1)) : INDEX( EW$55:EW$96, MAX( COUNT( EX$9:EX$50 )  - $C159 + 1, 1)), INDEX( EW$101:EW$142, MAX( COUNT( EX$9:EX$50 )  - $B159 + 1, 1)) : INDEX( EW$101:EW$142, MAX( COUNT( EX$9:EX$50 )  - $C159 + 1, 1)) &gt; 0), $D159))</f>
        <v>1.0000231789930023</v>
      </c>
      <c r="EX159" s="8">
        <f>+IF(EX$8 = 125, 1, _xlfn.PERCENTILE.INC(_xlfn._xlws.FILTER(INDEX( EX$55:EX$96, MAX( COUNT( EY$9:EY$50 )  - $B159 + 1, 1)) : INDEX( EX$55:EX$96, MAX( COUNT( EY$9:EY$50 )  - $C159 + 1, 1)), INDEX( EX$101:EX$142, MAX( COUNT( EY$9:EY$50 )  - $B159 + 1, 1)) : INDEX( EX$101:EX$142, MAX( COUNT( EY$9:EY$50 )  - $C159 + 1, 1)) &gt; 0), $D159))</f>
        <v>1.0001326330896136</v>
      </c>
      <c r="EY159" s="8">
        <f>+IF(EY$8 = 125, 1, _xlfn.PERCENTILE.INC(_xlfn._xlws.FILTER(INDEX( EY$55:EY$96, MAX( COUNT( EZ$9:EZ$50 )  - $B159 + 1, 1)) : INDEX( EY$55:EY$96, MAX( COUNT( EZ$9:EZ$50 )  - $C159 + 1, 1)), INDEX( EY$101:EY$142, MAX( COUNT( EZ$9:EZ$50 )  - $B159 + 1, 1)) : INDEX( EY$101:EY$142, MAX( COUNT( EZ$9:EZ$50 )  - $C159 + 1, 1)) &gt; 0), $D159))</f>
        <v>1.0040200497195781</v>
      </c>
      <c r="EZ159" s="8">
        <f>+IF(EZ$8 = 125, 1, _xlfn.PERCENTILE.INC(_xlfn._xlws.FILTER(INDEX( EZ$55:EZ$96, MAX( COUNT( FA$9:FA$50 )  - $B159 + 1, 1)) : INDEX( EZ$55:EZ$96, MAX( COUNT( FA$9:FA$50 )  - $C159 + 1, 1)), INDEX( EZ$101:EZ$142, MAX( COUNT( FA$9:FA$50 )  - $B159 + 1, 1)) : INDEX( EZ$101:EZ$142, MAX( COUNT( FA$9:FA$50 )  - $C159 + 1, 1)) &gt; 0), $D159))</f>
        <v>1.0004025161211276</v>
      </c>
      <c r="FA159" s="8">
        <f>+IF(FA$8 = 125, 1, _xlfn.PERCENTILE.INC(_xlfn._xlws.FILTER(INDEX( FA$55:FA$96, MAX( COUNT( FB$9:FB$50 )  - $B159 + 1, 1)) : INDEX( FA$55:FA$96, MAX( COUNT( FB$9:FB$50 )  - $C159 + 1, 1)), INDEX( FA$101:FA$142, MAX( COUNT( FB$9:FB$50 )  - $B159 + 1, 1)) : INDEX( FA$101:FA$142, MAX( COUNT( FB$9:FB$50 )  - $C159 + 1, 1)) &gt; 0), $D159))</f>
        <v>1</v>
      </c>
      <c r="FB159" s="8">
        <f>+IF(FB$8 = 125, 1, _xlfn.PERCENTILE.INC(_xlfn._xlws.FILTER(INDEX( FB$55:FB$96, MAX( COUNT( FC$9:FC$50 )  - $B159 + 1, 1)) : INDEX( FB$55:FB$96, MAX( COUNT( FC$9:FC$50 )  - $C159 + 1, 1)), INDEX( FB$101:FB$142, MAX( COUNT( FC$9:FC$50 )  - $B159 + 1, 1)) : INDEX( FB$101:FB$142, MAX( COUNT( FC$9:FC$50 )  - $C159 + 1, 1)) &gt; 0), $D159))</f>
        <v>1.0000322791829648</v>
      </c>
      <c r="FC159" s="8">
        <f>+IF(FC$8 = 125, 1, _xlfn.PERCENTILE.INC(_xlfn._xlws.FILTER(INDEX( FC$55:FC$96, MAX( COUNT( FD$9:FD$50 )  - $B159 + 1, 1)) : INDEX( FC$55:FC$96, MAX( COUNT( FD$9:FD$50 )  - $C159 + 1, 1)), INDEX( FC$101:FC$142, MAX( COUNT( FD$9:FD$50 )  - $B159 + 1, 1)) : INDEX( FC$101:FC$142, MAX( COUNT( FD$9:FD$50 )  - $C159 + 1, 1)) &gt; 0), $D159))</f>
        <v>1.0000980276274247</v>
      </c>
      <c r="FD159" s="8">
        <f>+IF(FD$8 = 125, 1, _xlfn.PERCENTILE.INC(_xlfn._xlws.FILTER(INDEX( FD$55:FD$96, MAX( COUNT( FE$9:FE$50 )  - $B159 + 1, 1)) : INDEX( FD$55:FD$96, MAX( COUNT( FE$9:FE$50 )  - $C159 + 1, 1)), INDEX( FD$101:FD$142, MAX( COUNT( FE$9:FE$50 )  - $B159 + 1, 1)) : INDEX( FD$101:FD$142, MAX( COUNT( FE$9:FE$50 )  - $C159 + 1, 1)) &gt; 0), $D159))</f>
        <v>1.0023429370824619</v>
      </c>
      <c r="FE159" s="8">
        <f>+IF(FE$8 = 125, 1, _xlfn.PERCENTILE.INC(_xlfn._xlws.FILTER(INDEX( FE$55:FE$96, MAX( COUNT( FF$9:FF$50 )  - $B159 + 1, 1)) : INDEX( FE$55:FE$96, MAX( COUNT( FF$9:FF$50 )  - $C159 + 1, 1)), INDEX( FE$101:FE$142, MAX( COUNT( FF$9:FF$50 )  - $B159 + 1, 1)) : INDEX( FE$101:FE$142, MAX( COUNT( FF$9:FF$50 )  - $C159 + 1, 1)) &gt; 0), $D159))</f>
        <v>1.0007669354013078</v>
      </c>
      <c r="FF159" s="8">
        <f>+IF(FF$8 = 125, 1, _xlfn.PERCENTILE.INC(_xlfn._xlws.FILTER(INDEX( FF$55:FF$96, MAX( COUNT( FG$9:FG$50 )  - $B159 + 1, 1)) : INDEX( FF$55:FF$96, MAX( COUNT( FG$9:FG$50 )  - $C159 + 1, 1)), INDEX( FF$101:FF$142, MAX( COUNT( FG$9:FG$50 )  - $B159 + 1, 1)) : INDEX( FF$101:FF$142, MAX( COUNT( FG$9:FG$50 )  - $C159 + 1, 1)) &gt; 0), $D159))</f>
        <v>1.0004246560777055</v>
      </c>
      <c r="FG159" s="8">
        <f>+IF(FG$8 = 125, 1, _xlfn.PERCENTILE.INC(_xlfn._xlws.FILTER(INDEX( FG$55:FG$96, MAX( COUNT( FH$9:FH$50 )  - $B159 + 1, 1)) : INDEX( FG$55:FG$96, MAX( COUNT( FH$9:FH$50 )  - $C159 + 1, 1)), INDEX( FG$101:FG$142, MAX( COUNT( FH$9:FH$50 )  - $B159 + 1, 1)) : INDEX( FG$101:FG$142, MAX( COUNT( FH$9:FH$50 )  - $C159 + 1, 1)) &gt; 0), $D159))</f>
        <v>1.0039007133354001</v>
      </c>
      <c r="FH159" s="8">
        <f>+IF(FH$8 = 125, 1, _xlfn.PERCENTILE.INC(_xlfn._xlws.FILTER(INDEX( FH$55:FH$96, MAX( COUNT( FI$9:FI$50 )  - $B159 + 1, 1)) : INDEX( FH$55:FH$96, MAX( COUNT( FI$9:FI$50 )  - $C159 + 1, 1)), INDEX( FH$101:FH$142, MAX( COUNT( FI$9:FI$50 )  - $B159 + 1, 1)) : INDEX( FH$101:FH$142, MAX( COUNT( FI$9:FI$50 )  - $C159 + 1, 1)) &gt; 0), $D159))</f>
        <v>1.0000751074915144</v>
      </c>
      <c r="FI159" s="8">
        <f>+IF(FI$8 = 125, 1, _xlfn.PERCENTILE.INC(_xlfn._xlws.FILTER(INDEX( FI$55:FI$96, MAX( COUNT( FJ$9:FJ$50 )  - $B159 + 1, 1)) : INDEX( FI$55:FI$96, MAX( COUNT( FJ$9:FJ$50 )  - $C159 + 1, 1)), INDEX( FI$101:FI$142, MAX( COUNT( FJ$9:FJ$50 )  - $B159 + 1, 1)) : INDEX( FI$101:FI$142, MAX( COUNT( FJ$9:FJ$50 )  - $C159 + 1, 1)) &gt; 0), $D159))</f>
        <v>1.0018283981642058</v>
      </c>
      <c r="FJ159" s="8">
        <f>+IF(FJ$8 = 125, 1, _xlfn.PERCENTILE.INC(_xlfn._xlws.FILTER(INDEX( FJ$55:FJ$96, MAX( COUNT( FK$9:FK$50 )  - $B159 + 1, 1)) : INDEX( FJ$55:FJ$96, MAX( COUNT( FK$9:FK$50 )  - $C159 + 1, 1)), INDEX( FJ$101:FJ$142, MAX( COUNT( FK$9:FK$50 )  - $B159 + 1, 1)) : INDEX( FJ$101:FJ$142, MAX( COUNT( FK$9:FK$50 )  - $C159 + 1, 1)) &gt; 0), $D159))</f>
        <v>1.0002084903362214</v>
      </c>
      <c r="FK159" s="8">
        <f>+IF(FK$8 = 125, 1, _xlfn.PERCENTILE.INC(_xlfn._xlws.FILTER(INDEX( FK$55:FK$96, MAX( COUNT( FL$9:FL$50 )  - $B159 + 1, 1)) : INDEX( FK$55:FK$96, MAX( COUNT( FL$9:FL$50 )  - $C159 + 1, 1)), INDEX( FK$101:FK$142, MAX( COUNT( FL$9:FL$50 )  - $B159 + 1, 1)) : INDEX( FK$101:FK$142, MAX( COUNT( FL$9:FL$50 )  - $C159 + 1, 1)) &gt; 0), $D159))</f>
        <v>1</v>
      </c>
      <c r="FL159" s="8">
        <f>+IF(FL$8 = 125, 1, _xlfn.PERCENTILE.INC(_xlfn._xlws.FILTER(INDEX( FL$55:FL$96, MAX( COUNT( FM$9:FM$50 )  - $B159 + 1, 1)) : INDEX( FL$55:FL$96, MAX( COUNT( FM$9:FM$50 )  - $C159 + 1, 1)), INDEX( FL$101:FL$142, MAX( COUNT( FM$9:FM$50 )  - $B159 + 1, 1)) : INDEX( FL$101:FL$142, MAX( COUNT( FM$9:FM$50 )  - $C159 + 1, 1)) &gt; 0), $D159))</f>
        <v>1.0000945484533916</v>
      </c>
      <c r="FM159" s="8">
        <f>+IF(FM$8 = 125, 1, _xlfn.PERCENTILE.INC(_xlfn._xlws.FILTER(INDEX( FM$55:FM$96, MAX( COUNT( FN$9:FN$50 )  - $B159 + 1, 1)) : INDEX( FM$55:FM$96, MAX( COUNT( FN$9:FN$50 )  - $C159 + 1, 1)), INDEX( FM$101:FM$142, MAX( COUNT( FN$9:FN$50 )  - $B159 + 1, 1)) : INDEX( FM$101:FM$142, MAX( COUNT( FN$9:FN$50 )  - $C159 + 1, 1)) &gt; 0), $D159))</f>
        <v>1.0004082425144629</v>
      </c>
      <c r="FN159" s="8">
        <f>+IF(FN$8 = 125, 1, _xlfn.PERCENTILE.INC(_xlfn._xlws.FILTER(INDEX( FN$55:FN$96, MAX( COUNT( FO$9:FO$50 )  - $B159 + 1, 1)) : INDEX( FN$55:FN$96, MAX( COUNT( FO$9:FO$50 )  - $C159 + 1, 1)), INDEX( FN$101:FN$142, MAX( COUNT( FO$9:FO$50 )  - $B159 + 1, 1)) : INDEX( FN$101:FN$142, MAX( COUNT( FO$9:FO$50 )  - $C159 + 1, 1)) &gt; 0), $D159))</f>
        <v>1.0000160100654496</v>
      </c>
      <c r="FO159" s="8">
        <f>+IF(FO$8 = 125, 1, _xlfn.PERCENTILE.INC(_xlfn._xlws.FILTER(INDEX( FO$55:FO$96, MAX( COUNT( FP$9:FP$50 )  - $B159 + 1, 1)) : INDEX( FO$55:FO$96, MAX( COUNT( FP$9:FP$50 )  - $C159 + 1, 1)), INDEX( FO$101:FO$142, MAX( COUNT( FP$9:FP$50 )  - $B159 + 1, 1)) : INDEX( FO$101:FO$142, MAX( COUNT( FP$9:FP$50 )  - $C159 + 1, 1)) &gt; 0), $D159))</f>
        <v>1.0001493208695991</v>
      </c>
      <c r="FP159" s="8">
        <f>+IF(FP$8 = 125, 1, _xlfn.PERCENTILE.INC(_xlfn._xlws.FILTER(INDEX( FP$55:FP$96, MAX( COUNT( FQ$9:FQ$50 )  - $B159 + 1, 1)) : INDEX( FP$55:FP$96, MAX( COUNT( FQ$9:FQ$50 )  - $C159 + 1, 1)), INDEX( FP$101:FP$142, MAX( COUNT( FQ$9:FQ$50 )  - $B159 + 1, 1)) : INDEX( FP$101:FP$142, MAX( COUNT( FQ$9:FQ$50 )  - $C159 + 1, 1)) &gt; 0), $D159))</f>
        <v>1.0001606862737014</v>
      </c>
      <c r="FQ159" s="8">
        <f>+IF(FQ$8 = 125, 1, _xlfn.PERCENTILE.INC(_xlfn._xlws.FILTER(INDEX( FQ$55:FQ$96, MAX( COUNT( FR$9:FR$50 )  - $B159 + 1, 1)) : INDEX( FQ$55:FQ$96, MAX( COUNT( FR$9:FR$50 )  - $C159 + 1, 1)), INDEX( FQ$101:FQ$142, MAX( COUNT( FR$9:FR$50 )  - $B159 + 1, 1)) : INDEX( FQ$101:FQ$142, MAX( COUNT( FR$9:FR$50 )  - $C159 + 1, 1)) &gt; 0), $D159))</f>
        <v>1.0000617400895262</v>
      </c>
      <c r="FR159" s="8">
        <f>+IF(FR$8 = 125, 1, _xlfn.PERCENTILE.INC(_xlfn._xlws.FILTER(INDEX( FR$55:FR$96, MAX( COUNT( FS$9:FS$50 )  - $B159 + 1, 1)) : INDEX( FR$55:FR$96, MAX( COUNT( FS$9:FS$50 )  - $C159 + 1, 1)), INDEX( FR$101:FR$142, MAX( COUNT( FS$9:FS$50 )  - $B159 + 1, 1)) : INDEX( FR$101:FR$142, MAX( COUNT( FS$9:FS$50 )  - $C159 + 1, 1)) &gt; 0), $D159))</f>
        <v>1.0000006659834157</v>
      </c>
      <c r="FS159" s="8">
        <f>+IF(FS$8 = 125, 1, _xlfn.PERCENTILE.INC(_xlfn._xlws.FILTER(INDEX( FS$55:FS$96, MAX( COUNT( FT$9:FT$50 )  - $B159 + 1, 1)) : INDEX( FS$55:FS$96, MAX( COUNT( FT$9:FT$50 )  - $C159 + 1, 1)), INDEX( FS$101:FS$142, MAX( COUNT( FT$9:FT$50 )  - $B159 + 1, 1)) : INDEX( FS$101:FS$142, MAX( COUNT( FT$9:FT$50 )  - $C159 + 1, 1)) &gt; 0), $D159))</f>
        <v>1.000997201167473</v>
      </c>
      <c r="FT159" s="8">
        <f>+IF(FT$8 = 125, 1, _xlfn.PERCENTILE.INC(_xlfn._xlws.FILTER(INDEX( FT$55:FT$96, MAX( COUNT( FU$9:FU$50 )  - $B159 + 1, 1)) : INDEX( FT$55:FT$96, MAX( COUNT( FU$9:FU$50 )  - $C159 + 1, 1)), INDEX( FT$101:FT$142, MAX( COUNT( FU$9:FU$50 )  - $B159 + 1, 1)) : INDEX( FT$101:FT$142, MAX( COUNT( FU$9:FU$50 )  - $C159 + 1, 1)) &gt; 0), $D159))</f>
        <v>1.0008001287774466</v>
      </c>
      <c r="FU159" s="8">
        <f>+IF(FU$8 = 125, 1, _xlfn.PERCENTILE.INC(_xlfn._xlws.FILTER(INDEX( FU$55:FU$96, MAX( COUNT( FV$9:FV$50 )  - $B159 + 1, 1)) : INDEX( FU$55:FU$96, MAX( COUNT( FV$9:FV$50 )  - $C159 + 1, 1)), INDEX( FU$101:FU$142, MAX( COUNT( FV$9:FV$50 )  - $B159 + 1, 1)) : INDEX( FU$101:FU$142, MAX( COUNT( FV$9:FV$50 )  - $C159 + 1, 1)) &gt; 0), $D159))</f>
        <v>1</v>
      </c>
      <c r="FV159" s="8">
        <f>+IF(FV$8 = 125, 1, _xlfn.PERCENTILE.INC(_xlfn._xlws.FILTER(INDEX( FV$55:FV$96, MAX( COUNT( FW$9:FW$50 )  - $B159 + 1, 1)) : INDEX( FV$55:FV$96, MAX( COUNT( FW$9:FW$50 )  - $C159 + 1, 1)), INDEX( FV$101:FV$142, MAX( COUNT( FW$9:FW$50 )  - $B159 + 1, 1)) : INDEX( FV$101:FV$142, MAX( COUNT( FW$9:FW$50 )  - $C159 + 1, 1)) &gt; 0), $D159))</f>
        <v>1.0002157866049903</v>
      </c>
      <c r="FW159" s="8">
        <f>+IF(FW$8 = 125, 1, _xlfn.PERCENTILE.INC(_xlfn._xlws.FILTER(INDEX( FW$55:FW$96, MAX( COUNT( FX$9:FX$50 )  - $B159 + 1, 1)) : INDEX( FW$55:FW$96, MAX( COUNT( FX$9:FX$50 )  - $C159 + 1, 1)), INDEX( FW$101:FW$142, MAX( COUNT( FX$9:FX$50 )  - $B159 + 1, 1)) : INDEX( FW$101:FW$142, MAX( COUNT( FX$9:FX$50 )  - $C159 + 1, 1)) &gt; 0), $D159))</f>
        <v>1.0000467069322692</v>
      </c>
      <c r="FX159" s="8">
        <f>+IF(FX$8 = 125, 1, _xlfn.PERCENTILE.INC(_xlfn._xlws.FILTER(INDEX( FX$55:FX$96, MAX( COUNT( FY$9:FY$50 )  - $B159 + 1, 1)) : INDEX( FX$55:FX$96, MAX( COUNT( FY$9:FY$50 )  - $C159 + 1, 1)), INDEX( FX$101:FX$142, MAX( COUNT( FY$9:FY$50 )  - $B159 + 1, 1)) : INDEX( FX$101:FX$142, MAX( COUNT( FY$9:FY$50 )  - $C159 + 1, 1)) &gt; 0), $D159))</f>
        <v>1.0000931235957322</v>
      </c>
      <c r="FY159" s="8">
        <f>+IF(FY$8 = 125, 1, _xlfn.PERCENTILE.INC(_xlfn._xlws.FILTER(INDEX( FY$55:FY$96, MAX( COUNT( FZ$9:FZ$50 )  - $B159 + 1, 1)) : INDEX( FY$55:FY$96, MAX( COUNT( FZ$9:FZ$50 )  - $C159 + 1, 1)), INDEX( FY$101:FY$142, MAX( COUNT( FZ$9:FZ$50 )  - $B159 + 1, 1)) : INDEX( FY$101:FY$142, MAX( COUNT( FZ$9:FZ$50 )  - $C159 + 1, 1)) &gt; 0), $D159))</f>
        <v>1.0000023231448432</v>
      </c>
      <c r="FZ159" s="8">
        <f>+IF(FZ$8 = 125, 1, _xlfn.PERCENTILE.INC(_xlfn._xlws.FILTER(INDEX( FZ$55:FZ$96, MAX( COUNT( GA$9:GA$50 )  - $B159 + 1, 1)) : INDEX( FZ$55:FZ$96, MAX( COUNT( GA$9:GA$50 )  - $C159 + 1, 1)), INDEX( FZ$101:FZ$142, MAX( COUNT( GA$9:GA$50 )  - $B159 + 1, 1)) : INDEX( FZ$101:FZ$142, MAX( COUNT( GA$9:GA$50 )  - $C159 + 1, 1)) &gt; 0), $D159))</f>
        <v>1.0001902019904532</v>
      </c>
      <c r="GA159" s="8">
        <f>+IF(GA$8 = 125, 1, _xlfn.PERCENTILE.INC(_xlfn._xlws.FILTER(INDEX( GA$55:GA$96, MAX( COUNT( GB$9:GB$50 )  - $B159 + 1, 1)) : INDEX( GA$55:GA$96, MAX( COUNT( GB$9:GB$50 )  - $C159 + 1, 1)), INDEX( GA$101:GA$142, MAX( COUNT( GB$9:GB$50 )  - $B159 + 1, 1)) : INDEX( GA$101:GA$142, MAX( COUNT( GB$9:GB$50 )  - $C159 + 1, 1)) &gt; 0), $D159))</f>
        <v>1.0000531409064446</v>
      </c>
      <c r="GB159" s="8">
        <f>+IF(GB$8 = 125, 1, _xlfn.PERCENTILE.INC(_xlfn._xlws.FILTER(INDEX( GB$55:GB$96, MAX( COUNT( GC$9:GC$50 )  - $B159 + 1, 1)) : INDEX( GB$55:GB$96, MAX( COUNT( GC$9:GC$50 )  - $C159 + 1, 1)), INDEX( GB$101:GB$142, MAX( COUNT( GC$9:GC$50 )  - $B159 + 1, 1)) : INDEX( GB$101:GB$142, MAX( COUNT( GC$9:GC$50 )  - $C159 + 1, 1)) &gt; 0), $D159))</f>
        <v>1</v>
      </c>
      <c r="GC159" s="8">
        <f>+IF(GC$8 = 125, 1, _xlfn.PERCENTILE.INC(_xlfn._xlws.FILTER(INDEX( GC$55:GC$96, MAX( COUNT( GD$9:GD$50 )  - $B159 + 1, 1)) : INDEX( GC$55:GC$96, MAX( COUNT( GD$9:GD$50 )  - $C159 + 1, 1)), INDEX( GC$101:GC$142, MAX( COUNT( GD$9:GD$50 )  - $B159 + 1, 1)) : INDEX( GC$101:GC$142, MAX( COUNT( GD$9:GD$50 )  - $C159 + 1, 1)) &gt; 0), $D159))</f>
        <v>1</v>
      </c>
      <c r="GD159" s="8">
        <f>+IF(GD$8 = 125, 1, _xlfn.PERCENTILE.INC(_xlfn._xlws.FILTER(INDEX( GD$55:GD$96, MAX( COUNT( GE$9:GE$50 )  - $B159 + 1, 1)) : INDEX( GD$55:GD$96, MAX( COUNT( GE$9:GE$50 )  - $C159 + 1, 1)), INDEX( GD$101:GD$142, MAX( COUNT( GE$9:GE$50 )  - $B159 + 1, 1)) : INDEX( GD$101:GD$142, MAX( COUNT( GE$9:GE$50 )  - $C159 + 1, 1)) &gt; 0), $D159))</f>
        <v>1.0000344744982561</v>
      </c>
      <c r="GE159" s="8">
        <f>+IF(GE$8 = 125, 1, _xlfn.PERCENTILE.INC(_xlfn._xlws.FILTER(INDEX( GE$55:GE$96, MAX( COUNT( GF$9:GF$50 )  - $B159 + 1, 1)) : INDEX( GE$55:GE$96, MAX( COUNT( GF$9:GF$50 )  - $C159 + 1, 1)), INDEX( GE$101:GE$142, MAX( COUNT( GF$9:GF$50 )  - $B159 + 1, 1)) : INDEX( GE$101:GE$142, MAX( COUNT( GF$9:GF$50 )  - $C159 + 1, 1)) &gt; 0), $D159))</f>
        <v>1.0000509436227356</v>
      </c>
      <c r="GF159" s="8">
        <f>+IF(GF$8 = 125, 1, _xlfn.PERCENTILE.INC(_xlfn._xlws.FILTER(INDEX( GF$55:GF$96, MAX( COUNT( GG$9:GG$50 )  - $B159 + 1, 1)) : INDEX( GF$55:GF$96, MAX( COUNT( GG$9:GG$50 )  - $C159 + 1, 1)), INDEX( GF$101:GF$142, MAX( COUNT( GG$9:GG$50 )  - $B159 + 1, 1)) : INDEX( GF$101:GF$142, MAX( COUNT( GG$9:GG$50 )  - $C159 + 1, 1)) &gt; 0), $D159))</f>
        <v>1.0000688203517765</v>
      </c>
      <c r="GG159" s="8">
        <f>+IF(GG$8 = 125, 1, _xlfn.PERCENTILE.INC(_xlfn._xlws.FILTER(INDEX( GG$55:GG$96, MAX( COUNT( GH$9:GH$50 )  - $B159 + 1, 1)) : INDEX( GG$55:GG$96, MAX( COUNT( GH$9:GH$50 )  - $C159 + 1, 1)), INDEX( GG$101:GG$142, MAX( COUNT( GH$9:GH$50 )  - $B159 + 1, 1)) : INDEX( GG$101:GG$142, MAX( COUNT( GH$9:GH$50 )  - $C159 + 1, 1)) &gt; 0), $D159))</f>
        <v>1.0005604167313362</v>
      </c>
      <c r="GH159" s="8">
        <f>+IF(GH$8 = 125, 1, _xlfn.PERCENTILE.INC(_xlfn._xlws.FILTER(INDEX( GH$55:GH$96, MAX( COUNT( GI$9:GI$50 )  - $B159 + 1, 1)) : INDEX( GH$55:GH$96, MAX( COUNT( GI$9:GI$50 )  - $C159 + 1, 1)), INDEX( GH$101:GH$142, MAX( COUNT( GI$9:GI$50 )  - $B159 + 1, 1)) : INDEX( GH$101:GH$142, MAX( COUNT( GI$9:GI$50 )  - $C159 + 1, 1)) &gt; 0), $D159))</f>
        <v>1.0000060005111779</v>
      </c>
      <c r="GI159" s="8">
        <f>+IF(GI$8 = 125, 1, _xlfn.PERCENTILE.INC(_xlfn._xlws.FILTER(INDEX( GI$55:GI$96, MAX( COUNT( GJ$9:GJ$50 )  - $B159 + 1, 1)) : INDEX( GI$55:GI$96, MAX( COUNT( GJ$9:GJ$50 )  - $C159 + 1, 1)), INDEX( GI$101:GI$142, MAX( COUNT( GJ$9:GJ$50 )  - $B159 + 1, 1)) : INDEX( GI$101:GI$142, MAX( COUNT( GJ$9:GJ$50 )  - $C159 + 1, 1)) &gt; 0), $D159))</f>
        <v>1.0005867818039442</v>
      </c>
      <c r="GJ159" s="8">
        <f>+IF(GJ$8 = 125, 1, _xlfn.PERCENTILE.INC(_xlfn._xlws.FILTER(INDEX( GJ$55:GJ$96, MAX( COUNT( GK$9:GK$50 )  - $B159 + 1, 1)) : INDEX( GJ$55:GJ$96, MAX( COUNT( GK$9:GK$50 )  - $C159 + 1, 1)), INDEX( GJ$101:GJ$142, MAX( COUNT( GK$9:GK$50 )  - $B159 + 1, 1)) : INDEX( GJ$101:GJ$142, MAX( COUNT( GK$9:GK$50 )  - $C159 + 1, 1)) &gt; 0), $D159))</f>
        <v>1.000703228344811</v>
      </c>
      <c r="GK159" s="8">
        <f>+IF(GK$8 = 125, 1, _xlfn.PERCENTILE.INC(_xlfn._xlws.FILTER(INDEX( GK$55:GK$96, MAX( COUNT( GL$9:GL$50 )  - $B159 + 1, 1)) : INDEX( GK$55:GK$96, MAX( COUNT( GL$9:GL$50 )  - $C159 + 1, 1)), INDEX( GK$101:GK$142, MAX( COUNT( GL$9:GL$50 )  - $B159 + 1, 1)) : INDEX( GK$101:GK$142, MAX( COUNT( GL$9:GL$50 )  - $C159 + 1, 1)) &gt; 0), $D159))</f>
        <v>1.0004380574727412</v>
      </c>
      <c r="GL159" s="8">
        <f>+IF(GL$8 = 125, 1, _xlfn.PERCENTILE.INC(_xlfn._xlws.FILTER(INDEX( GL$55:GL$96, MAX( COUNT( GM$9:GM$50 )  - $B159 + 1, 1)) : INDEX( GL$55:GL$96, MAX( COUNT( GM$9:GM$50 )  - $C159 + 1, 1)), INDEX( GL$101:GL$142, MAX( COUNT( GM$9:GM$50 )  - $B159 + 1, 1)) : INDEX( GL$101:GL$142, MAX( COUNT( GM$9:GM$50 )  - $C159 + 1, 1)) &gt; 0), $D159))</f>
        <v>1</v>
      </c>
      <c r="GM159" s="8">
        <f>+IF(GM$8 = 125, 1, _xlfn.PERCENTILE.INC(_xlfn._xlws.FILTER(INDEX( GM$55:GM$96, MAX( COUNT( GN$9:GN$50 )  - $B159 + 1, 1)) : INDEX( GM$55:GM$96, MAX( COUNT( GN$9:GN$50 )  - $C159 + 1, 1)), INDEX( GM$101:GM$142, MAX( COUNT( GN$9:GN$50 )  - $B159 + 1, 1)) : INDEX( GM$101:GM$142, MAX( COUNT( GN$9:GN$50 )  - $C159 + 1, 1)) &gt; 0), $D159))</f>
        <v>1.0001457601166865</v>
      </c>
      <c r="GN159" s="8">
        <f>+IF(GN$8 = 125, 1, _xlfn.PERCENTILE.INC(_xlfn._xlws.FILTER(INDEX( GN$55:GN$96, MAX( COUNT( GO$9:GO$50 )  - $B159 + 1, 1)) : INDEX( GN$55:GN$96, MAX( COUNT( GO$9:GO$50 )  - $C159 + 1, 1)), INDEX( GN$101:GN$142, MAX( COUNT( GO$9:GO$50 )  - $B159 + 1, 1)) : INDEX( GN$101:GN$142, MAX( COUNT( GO$9:GO$50 )  - $C159 + 1, 1)) &gt; 0), $D159))</f>
        <v>1.0004199429687668</v>
      </c>
      <c r="GO159" s="8">
        <f>+IF(GO$8 = 125, 1, _xlfn.PERCENTILE.INC(_xlfn._xlws.FILTER(INDEX( GO$55:GO$96, MAX( COUNT( GP$9:GP$50 )  - $B159 + 1, 1)) : INDEX( GO$55:GO$96, MAX( COUNT( GP$9:GP$50 )  - $C159 + 1, 1)), INDEX( GO$101:GO$142, MAX( COUNT( GP$9:GP$50 )  - $B159 + 1, 1)) : INDEX( GO$101:GO$142, MAX( COUNT( GP$9:GP$50 )  - $C159 + 1, 1)) &gt; 0), $D159))</f>
        <v>1.0000037428507962</v>
      </c>
      <c r="GP159" s="8">
        <f>+IF(GP$8 = 125, 1, _xlfn.PERCENTILE.INC(_xlfn._xlws.FILTER(INDEX( GP$55:GP$96, MAX( COUNT( GQ$9:GQ$50 )  - $B159 + 1, 1)) : INDEX( GP$55:GP$96, MAX( COUNT( GQ$9:GQ$50 )  - $C159 + 1, 1)), INDEX( GP$101:GP$142, MAX( COUNT( GQ$9:GQ$50 )  - $B159 + 1, 1)) : INDEX( GP$101:GP$142, MAX( COUNT( GQ$9:GQ$50 )  - $C159 + 1, 1)) &gt; 0), $D159))</f>
        <v>1.0001091749756446</v>
      </c>
      <c r="GQ159" s="8">
        <f>+IF(GQ$8 = 125, 1, _xlfn.PERCENTILE.INC(_xlfn._xlws.FILTER(INDEX( GQ$55:GQ$96, MAX( COUNT( GR$9:GR$50 )  - $B159 + 1, 1)) : INDEX( GQ$55:GQ$96, MAX( COUNT( GR$9:GR$50 )  - $C159 + 1, 1)), INDEX( GQ$101:GQ$142, MAX( COUNT( GR$9:GR$50 )  - $B159 + 1, 1)) : INDEX( GQ$101:GQ$142, MAX( COUNT( GR$9:GR$50 )  - $C159 + 1, 1)) &gt; 0), $D159))</f>
        <v>1.000075834245409</v>
      </c>
      <c r="GR159" s="8">
        <f>+IF(GR$8 = 125, 1, _xlfn.PERCENTILE.INC(_xlfn._xlws.FILTER(INDEX( GR$55:GR$96, MAX( COUNT( GS$9:GS$50 )  - $B159 + 1, 1)) : INDEX( GR$55:GR$96, MAX( COUNT( GS$9:GS$50 )  - $C159 + 1, 1)), INDEX( GR$101:GR$142, MAX( COUNT( GS$9:GS$50 )  - $B159 + 1, 1)) : INDEX( GR$101:GR$142, MAX( COUNT( GS$9:GS$50 )  - $C159 + 1, 1)) &gt; 0), $D159))</f>
        <v>1</v>
      </c>
      <c r="GS159" s="8">
        <f>+IF(GS$8 = 125, 1, _xlfn.PERCENTILE.INC(_xlfn._xlws.FILTER(INDEX( GS$55:GS$96, MAX( COUNT( GT$9:GT$50 )  - $B159 + 1, 1)) : INDEX( GS$55:GS$96, MAX( COUNT( GT$9:GT$50 )  - $C159 + 1, 1)), INDEX( GS$101:GS$142, MAX( COUNT( GT$9:GT$50 )  - $B159 + 1, 1)) : INDEX( GS$101:GS$142, MAX( COUNT( GT$9:GT$50 )  - $C159 + 1, 1)) &gt; 0), $D159))</f>
        <v>1.0010904603839239</v>
      </c>
      <c r="GT159" s="8">
        <f>+IF(GT$8 = 125, 1, _xlfn.PERCENTILE.INC(_xlfn._xlws.FILTER(INDEX( GT$55:GT$96, MAX( COUNT( GU$9:GU$50 )  - $B159 + 1, 1)) : INDEX( GT$55:GT$96, MAX( COUNT( GU$9:GU$50 )  - $C159 + 1, 1)), INDEX( GT$101:GT$142, MAX( COUNT( GU$9:GU$50 )  - $B159 + 1, 1)) : INDEX( GT$101:GT$142, MAX( COUNT( GU$9:GU$50 )  - $C159 + 1, 1)) &gt; 0), $D159))</f>
        <v>1.0000247227524617</v>
      </c>
      <c r="GU159" s="8">
        <f>+IF(GU$8 = 125, 1, _xlfn.PERCENTILE.INC(_xlfn._xlws.FILTER(INDEX( GU$55:GU$96, MAX( COUNT( GV$9:GV$50 )  - $B159 + 1, 1)) : INDEX( GU$55:GU$96, MAX( COUNT( GV$9:GV$50 )  - $C159 + 1, 1)), INDEX( GU$101:GU$142, MAX( COUNT( GV$9:GV$50 )  - $B159 + 1, 1)) : INDEX( GU$101:GU$142, MAX( COUNT( GV$9:GV$50 )  - $C159 + 1, 1)) &gt; 0), $D159))</f>
        <v>1.000046175363974</v>
      </c>
      <c r="GV159" s="8">
        <f>+IF(GV$8 = 125, 1, _xlfn.PERCENTILE.INC(_xlfn._xlws.FILTER(INDEX( GV$55:GV$96, MAX( COUNT( GW$9:GW$50 )  - $B159 + 1, 1)) : INDEX( GV$55:GV$96, MAX( COUNT( GW$9:GW$50 )  - $C159 + 1, 1)), INDEX( GV$101:GV$142, MAX( COUNT( GW$9:GW$50 )  - $B159 + 1, 1)) : INDEX( GV$101:GV$142, MAX( COUNT( GW$9:GW$50 )  - $C159 + 1, 1)) &gt; 0), $D159))</f>
        <v>1.0000731411736041</v>
      </c>
      <c r="GW159" s="8">
        <f>+IF(GW$8 = 125, 1, _xlfn.PERCENTILE.INC(_xlfn._xlws.FILTER(INDEX( GW$55:GW$96, MAX( COUNT( GX$9:GX$50 )  - $B159 + 1, 1)) : INDEX( GW$55:GW$96, MAX( COUNT( GX$9:GX$50 )  - $C159 + 1, 1)), INDEX( GW$101:GW$142, MAX( COUNT( GX$9:GX$50 )  - $B159 + 1, 1)) : INDEX( GW$101:GW$142, MAX( COUNT( GX$9:GX$50 )  - $C159 + 1, 1)) &gt; 0), $D159))</f>
        <v>1.000725751587449</v>
      </c>
      <c r="GX159" s="8">
        <f>+IF(GX$8 = 125, 1, _xlfn.PERCENTILE.INC(_xlfn._xlws.FILTER(INDEX( GX$55:GX$96, MAX( COUNT( GY$9:GY$50 )  - $B159 + 1, 1)) : INDEX( GX$55:GX$96, MAX( COUNT( GY$9:GY$50 )  - $C159 + 1, 1)), INDEX( GX$101:GX$142, MAX( COUNT( GY$9:GY$50 )  - $B159 + 1, 1)) : INDEX( GX$101:GX$142, MAX( COUNT( GY$9:GY$50 )  - $C159 + 1, 1)) &gt; 0), $D159))</f>
        <v>1.0001725373580412</v>
      </c>
      <c r="GY159" s="8">
        <f>+IF(GY$8 = 125, 1, _xlfn.PERCENTILE.INC(_xlfn._xlws.FILTER(INDEX( GY$55:GY$96, MAX( COUNT( GZ$9:GZ$50 )  - $B159 + 1, 1)) : INDEX( GY$55:GY$96, MAX( COUNT( GZ$9:GZ$50 )  - $C159 + 1, 1)), INDEX( GY$101:GY$142, MAX( COUNT( GZ$9:GZ$50 )  - $B159 + 1, 1)) : INDEX( GY$101:GY$142, MAX( COUNT( GZ$9:GZ$50 )  - $C159 + 1, 1)) &gt; 0), $D159))</f>
        <v>1.0000115138746417</v>
      </c>
      <c r="GZ159" s="8">
        <f>+IF(GZ$8 = 125, 1, _xlfn.PERCENTILE.INC(_xlfn._xlws.FILTER(INDEX( GZ$55:GZ$96, MAX( COUNT( HA$9:HA$50 )  - $B159 + 1, 1)) : INDEX( GZ$55:GZ$96, MAX( COUNT( HA$9:HA$50 )  - $C159 + 1, 1)), INDEX( GZ$101:GZ$142, MAX( COUNT( HA$9:HA$50 )  - $B159 + 1, 1)) : INDEX( GZ$101:GZ$142, MAX( COUNT( HA$9:HA$50 )  - $C159 + 1, 1)) &gt; 0), $D159))</f>
        <v>1.0003831531574474</v>
      </c>
      <c r="HA159" s="8">
        <f>+IF(HA$8 = 125, 1, _xlfn.PERCENTILE.INC(_xlfn._xlws.FILTER(INDEX( HA$55:HA$96, MAX( COUNT( HB$9:HB$50 )  - $B159 + 1, 1)) : INDEX( HA$55:HA$96, MAX( COUNT( HB$9:HB$50 )  - $C159 + 1, 1)), INDEX( HA$101:HA$142, MAX( COUNT( HB$9:HB$50 )  - $B159 + 1, 1)) : INDEX( HA$101:HA$142, MAX( COUNT( HB$9:HB$50 )  - $C159 + 1, 1)) &gt; 0), $D159))</f>
        <v>1.0003867337632075</v>
      </c>
      <c r="HB159" s="8">
        <f>+IF(HB$8 = 125, 1, _xlfn.PERCENTILE.INC(_xlfn._xlws.FILTER(INDEX( HB$55:HB$96, MAX( COUNT( HC$9:HC$50 )  - $B159 + 1, 1)) : INDEX( HB$55:HB$96, MAX( COUNT( HC$9:HC$50 )  - $C159 + 1, 1)), INDEX( HB$101:HB$142, MAX( COUNT( HC$9:HC$50 )  - $B159 + 1, 1)) : INDEX( HB$101:HB$142, MAX( COUNT( HC$9:HC$50 )  - $C159 + 1, 1)) &gt; 0), $D159))</f>
        <v>1.000031603503531</v>
      </c>
      <c r="HC159" s="8">
        <f>+IF(HC$8 = 125, 1, _xlfn.PERCENTILE.INC(_xlfn._xlws.FILTER(INDEX( HC$55:HC$96, MAX( COUNT( HD$9:HD$50 )  - $B159 + 1, 1)) : INDEX( HC$55:HC$96, MAX( COUNT( HD$9:HD$50 )  - $C159 + 1, 1)), INDEX( HC$101:HC$142, MAX( COUNT( HD$9:HD$50 )  - $B159 + 1, 1)) : INDEX( HC$101:HC$142, MAX( COUNT( HD$9:HD$50 )  - $C159 + 1, 1)) &gt; 0), $D159))</f>
        <v>1.000575922146131</v>
      </c>
      <c r="HD159" s="8">
        <f>+IF(HD$8 = 125, 1, _xlfn.PERCENTILE.INC(_xlfn._xlws.FILTER(INDEX( HD$55:HD$96, MAX( COUNT( HE$9:HE$50 )  - $B159 + 1, 1)) : INDEX( HD$55:HD$96, MAX( COUNT( HE$9:HE$50 )  - $C159 + 1, 1)), INDEX( HD$101:HD$142, MAX( COUNT( HE$9:HE$50 )  - $B159 + 1, 1)) : INDEX( HD$101:HD$142, MAX( COUNT( HE$9:HE$50 )  - $C159 + 1, 1)) &gt; 0), $D159))</f>
        <v>1.0000225377040721</v>
      </c>
      <c r="HE159" s="8">
        <f>+IF(HE$8 = 125, 1, _xlfn.PERCENTILE.INC(_xlfn._xlws.FILTER(INDEX( HE$55:HE$96, MAX( COUNT( HF$9:HF$50 )  - $B159 + 1, 1)) : INDEX( HE$55:HE$96, MAX( COUNT( HF$9:HF$50 )  - $C159 + 1, 1)), INDEX( HE$101:HE$142, MAX( COUNT( HF$9:HF$50 )  - $B159 + 1, 1)) : INDEX( HE$101:HE$142, MAX( COUNT( HF$9:HF$50 )  - $C159 + 1, 1)) &gt; 0), $D159))</f>
        <v>1.0006609087891039</v>
      </c>
      <c r="HF159" s="8">
        <f>+IF(HF$8 = 125, 1, _xlfn.PERCENTILE.INC(_xlfn._xlws.FILTER(INDEX( HF$55:HF$96, MAX( COUNT( HG$9:HG$50 )  - $B159 + 1, 1)) : INDEX( HF$55:HF$96, MAX( COUNT( HG$9:HG$50 )  - $C159 + 1, 1)), INDEX( HF$101:HF$142, MAX( COUNT( HG$9:HG$50 )  - $B159 + 1, 1)) : INDEX( HF$101:HF$142, MAX( COUNT( HG$9:HG$50 )  - $C159 + 1, 1)) &gt; 0), $D159))</f>
        <v>1.0027775337221663</v>
      </c>
      <c r="HG159" s="8">
        <f>+IF(HG$8 = 125, 1, _xlfn.PERCENTILE.INC(_xlfn._xlws.FILTER(INDEX( HG$55:HG$96, MAX( COUNT( HH$9:HH$50 )  - $B159 + 1, 1)) : INDEX( HG$55:HG$96, MAX( COUNT( HH$9:HH$50 )  - $C159 + 1, 1)), INDEX( HG$101:HG$142, MAX( COUNT( HH$9:HH$50 )  - $B159 + 1, 1)) : INDEX( HG$101:HG$142, MAX( COUNT( HH$9:HH$50 )  - $C159 + 1, 1)) &gt; 0), $D159))</f>
        <v>1.0003003081960553</v>
      </c>
      <c r="HH159" s="8">
        <f>+IF(HH$8 = 125, 1, _xlfn.PERCENTILE.INC(_xlfn._xlws.FILTER(INDEX( HH$55:HH$96, MAX( COUNT( HI$9:HI$50 )  - $B159 + 1, 1)) : INDEX( HH$55:HH$96, MAX( COUNT( HI$9:HI$50 )  - $C159 + 1, 1)), INDEX( HH$101:HH$142, MAX( COUNT( HI$9:HI$50 )  - $B159 + 1, 1)) : INDEX( HH$101:HH$142, MAX( COUNT( HI$9:HI$50 )  - $C159 + 1, 1)) &gt; 0), $D159))</f>
        <v>1.0016124050519448</v>
      </c>
      <c r="HI159" s="8">
        <f>+IF(HI$8 = 125, 1, _xlfn.PERCENTILE.INC(_xlfn._xlws.FILTER(INDEX( HI$55:HI$96, MAX( COUNT( HJ$9:HJ$50 )  - $B159 + 1, 1)) : INDEX( HI$55:HI$96, MAX( COUNT( HJ$9:HJ$50 )  - $C159 + 1, 1)), INDEX( HI$101:HI$142, MAX( COUNT( HJ$9:HJ$50 )  - $B159 + 1, 1)) : INDEX( HI$101:HI$142, MAX( COUNT( HJ$9:HJ$50 )  - $C159 + 1, 1)) &gt; 0), $D159))</f>
        <v>1.0052080657212641</v>
      </c>
      <c r="HJ159" s="8">
        <f>+IF(HJ$8 = 125, 1, _xlfn.PERCENTILE.INC(_xlfn._xlws.FILTER(INDEX( HJ$55:HJ$96, MAX( COUNT( HK$9:HK$50 )  - $B159 + 1, 1)) : INDEX( HJ$55:HJ$96, MAX( COUNT( HK$9:HK$50 )  - $C159 + 1, 1)), INDEX( HJ$101:HJ$142, MAX( COUNT( HK$9:HK$50 )  - $B159 + 1, 1)) : INDEX( HJ$101:HJ$142, MAX( COUNT( HK$9:HK$50 )  - $C159 + 1, 1)) &gt; 0), $D159))</f>
        <v>1.0020763221294668</v>
      </c>
      <c r="HK159" s="8">
        <f>+IF(HK$8 = 125, 1, _xlfn.PERCENTILE.INC(_xlfn._xlws.FILTER(INDEX( HK$55:HK$96, MAX( COUNT( HL$9:HL$50 )  - $B159 + 1, 1)) : INDEX( HK$55:HK$96, MAX( COUNT( HL$9:HL$50 )  - $C159 + 1, 1)), INDEX( HK$101:HK$142, MAX( COUNT( HL$9:HL$50 )  - $B159 + 1, 1)) : INDEX( HK$101:HK$142, MAX( COUNT( HL$9:HL$50 )  - $C159 + 1, 1)) &gt; 0), $D159))</f>
        <v>1</v>
      </c>
      <c r="HL159" s="8">
        <f>+IF(HL$8 = 125, 1, _xlfn.PERCENTILE.INC(_xlfn._xlws.FILTER(INDEX( HL$55:HL$96, MAX( COUNT( HM$9:HM$50 )  - $B159 + 1, 1)) : INDEX( HL$55:HL$96, MAX( COUNT( HM$9:HM$50 )  - $C159 + 1, 1)), INDEX( HL$101:HL$142, MAX( COUNT( HM$9:HM$50 )  - $B159 + 1, 1)) : INDEX( HL$101:HL$142, MAX( COUNT( HM$9:HM$50 )  - $C159 + 1, 1)) &gt; 0), $D159))</f>
        <v>1.0000678180254972</v>
      </c>
      <c r="HM159" s="8">
        <f>+IF(HM$8 = 125, 1, _xlfn.PERCENTILE.INC(_xlfn._xlws.FILTER(INDEX( HM$55:HM$96, MAX( COUNT( HN$9:HN$50 )  - $B159 + 1, 1)) : INDEX( HM$55:HM$96, MAX( COUNT( HN$9:HN$50 )  - $C159 + 1, 1)), INDEX( HM$101:HM$142, MAX( COUNT( HN$9:HN$50 )  - $B159 + 1, 1)) : INDEX( HM$101:HM$142, MAX( COUNT( HN$9:HN$50 )  - $C159 + 1, 1)) &gt; 0), $D159))</f>
        <v>1.0016093738958307</v>
      </c>
      <c r="HN159" s="8">
        <f>+IF(HN$8 = 125, 1, _xlfn.PERCENTILE.INC(_xlfn._xlws.FILTER(INDEX( HN$55:HN$96, MAX( COUNT( HO$9:HO$50 )  - $B159 + 1, 1)) : INDEX( HN$55:HN$96, MAX( COUNT( HO$9:HO$50 )  - $C159 + 1, 1)), INDEX( HN$101:HN$142, MAX( COUNT( HO$9:HO$50 )  - $B159 + 1, 1)) : INDEX( HN$101:HN$142, MAX( COUNT( HO$9:HO$50 )  - $C159 + 1, 1)) &gt; 0), $D159))</f>
        <v>1.0005237352076453</v>
      </c>
      <c r="HO159" s="8">
        <f>+IF(HO$8 = 125, 1, _xlfn.PERCENTILE.INC(_xlfn._xlws.FILTER(INDEX( HO$55:HO$96, MAX( COUNT( HP$9:HP$50 )  - $B159 + 1, 1)) : INDEX( HO$55:HO$96, MAX( COUNT( HP$9:HP$50 )  - $C159 + 1, 1)), INDEX( HO$101:HO$142, MAX( COUNT( HP$9:HP$50 )  - $B159 + 1, 1)) : INDEX( HO$101:HO$142, MAX( COUNT( HP$9:HP$50 )  - $C159 + 1, 1)) &gt; 0), $D159))</f>
        <v>1.0000704237840921</v>
      </c>
      <c r="HP159" s="8">
        <f>+IF(HP$8 = 125, 1, _xlfn.PERCENTILE.INC(_xlfn._xlws.FILTER(INDEX( HP$55:HP$96, MAX( COUNT( HQ$9:HQ$50 )  - $B159 + 1, 1)) : INDEX( HP$55:HP$96, MAX( COUNT( HQ$9:HQ$50 )  - $C159 + 1, 1)), INDEX( HP$101:HP$142, MAX( COUNT( HQ$9:HQ$50 )  - $B159 + 1, 1)) : INDEX( HP$101:HP$142, MAX( COUNT( HQ$9:HQ$50 )  - $C159 + 1, 1)) &gt; 0), $D159))</f>
        <v>1.0000039167338544</v>
      </c>
      <c r="HQ159" s="8">
        <f>+IF(HQ$8 = 125, 1, _xlfn.PERCENTILE.INC(_xlfn._xlws.FILTER(INDEX( HQ$55:HQ$96, MAX( COUNT( HR$9:HR$50 )  - $B159 + 1, 1)) : INDEX( HQ$55:HQ$96, MAX( COUNT( HR$9:HR$50 )  - $C159 + 1, 1)), INDEX( HQ$101:HQ$142, MAX( COUNT( HR$9:HR$50 )  - $B159 + 1, 1)) : INDEX( HQ$101:HQ$142, MAX( COUNT( HR$9:HR$50 )  - $C159 + 1, 1)) &gt; 0), $D159))</f>
        <v>1.0000563361826924</v>
      </c>
      <c r="HR159" s="8">
        <f>+IF(HR$8 = 125, 1, _xlfn.PERCENTILE.INC(_xlfn._xlws.FILTER(INDEX( HR$55:HR$96, MAX( COUNT( HS$9:HS$50 )  - $B159 + 1, 1)) : INDEX( HR$55:HR$96, MAX( COUNT( HS$9:HS$50 )  - $C159 + 1, 1)), INDEX( HR$101:HR$142, MAX( COUNT( HS$9:HS$50 )  - $B159 + 1, 1)) : INDEX( HR$101:HR$142, MAX( COUNT( HS$9:HS$50 )  - $C159 + 1, 1)) &gt; 0), $D159))</f>
        <v>1.0004004182941373</v>
      </c>
      <c r="HS159" s="8">
        <f>+IF(HS$8 = 125, 1, _xlfn.PERCENTILE.INC(_xlfn._xlws.FILTER(INDEX( HS$55:HS$96, MAX( COUNT( HT$9:HT$50 )  - $B159 + 1, 1)) : INDEX( HS$55:HS$96, MAX( COUNT( HT$9:HT$50 )  - $C159 + 1, 1)), INDEX( HS$101:HS$142, MAX( COUNT( HT$9:HT$50 )  - $B159 + 1, 1)) : INDEX( HS$101:HS$142, MAX( COUNT( HT$9:HT$50 )  - $C159 + 1, 1)) &gt; 0), $D159))</f>
        <v>1.0007483022766899</v>
      </c>
      <c r="HT159" s="8">
        <f>+IF(HT$8 = 125, 1, _xlfn.PERCENTILE.INC(_xlfn._xlws.FILTER(INDEX( HT$55:HT$96, MAX( COUNT( HU$9:HU$50 )  - $B159 + 1, 1)) : INDEX( HT$55:HT$96, MAX( COUNT( HU$9:HU$50 )  - $C159 + 1, 1)), INDEX( HT$101:HT$142, MAX( COUNT( HU$9:HU$50 )  - $B159 + 1, 1)) : INDEX( HT$101:HT$142, MAX( COUNT( HU$9:HU$50 )  - $C159 + 1, 1)) &gt; 0), $D159))</f>
        <v>1.0009776231177507</v>
      </c>
      <c r="HU159" s="8">
        <f>+IF(HU$8 = 125, 1, _xlfn.PERCENTILE.INC(_xlfn._xlws.FILTER(INDEX( HU$55:HU$96, MAX( COUNT( HV$9:HV$50 )  - $B159 + 1, 1)) : INDEX( HU$55:HU$96, MAX( COUNT( HV$9:HV$50 )  - $C159 + 1, 1)), INDEX( HU$101:HU$142, MAX( COUNT( HV$9:HV$50 )  - $B159 + 1, 1)) : INDEX( HU$101:HU$142, MAX( COUNT( HV$9:HV$50 )  - $C159 + 1, 1)) &gt; 0), $D159))</f>
        <v>1.000543260614088</v>
      </c>
      <c r="HV159" s="8">
        <f>+IF(HV$8 = 125, 1, _xlfn.PERCENTILE.INC(_xlfn._xlws.FILTER(INDEX( HV$55:HV$96, MAX( COUNT( HW$9:HW$50 )  - $B159 + 1, 1)) : INDEX( HV$55:HV$96, MAX( COUNT( HW$9:HW$50 )  - $C159 + 1, 1)), INDEX( HV$101:HV$142, MAX( COUNT( HW$9:HW$50 )  - $B159 + 1, 1)) : INDEX( HV$101:HV$142, MAX( COUNT( HW$9:HW$50 )  - $C159 + 1, 1)) &gt; 0), $D159))</f>
        <v>1.0004549336693147</v>
      </c>
      <c r="HW159" s="8">
        <f>+IF(HW$8 = 125, 1, _xlfn.PERCENTILE.INC(_xlfn._xlws.FILTER(INDEX( HW$55:HW$96, MAX( COUNT( HX$9:HX$50 )  - $B159 + 1, 1)) : INDEX( HW$55:HW$96, MAX( COUNT( HX$9:HX$50 )  - $C159 + 1, 1)), INDEX( HW$101:HW$142, MAX( COUNT( HX$9:HX$50 )  - $B159 + 1, 1)) : INDEX( HW$101:HW$142, MAX( COUNT( HX$9:HX$50 )  - $C159 + 1, 1)) &gt; 0), $D159))</f>
        <v>1.0000051276921997</v>
      </c>
      <c r="HX159" s="8">
        <f>+IF(HX$8 = 125, 1, _xlfn.PERCENTILE.INC(_xlfn._xlws.FILTER(INDEX( HX$55:HX$96, MAX( COUNT( HY$9:HY$50 )  - $B159 + 1, 1)) : INDEX( HX$55:HX$96, MAX( COUNT( HY$9:HY$50 )  - $C159 + 1, 1)), INDEX( HX$101:HX$142, MAX( COUNT( HY$9:HY$50 )  - $B159 + 1, 1)) : INDEX( HX$101:HX$142, MAX( COUNT( HY$9:HY$50 )  - $C159 + 1, 1)) &gt; 0), $D159))</f>
        <v>1.0001233822821369</v>
      </c>
      <c r="HY159" s="8">
        <f>+IF(HY$8 = 125, 1, _xlfn.PERCENTILE.INC(_xlfn._xlws.FILTER(INDEX( HY$55:HY$96, MAX( COUNT( HZ$9:HZ$50 )  - $B159 + 1, 1)) : INDEX( HY$55:HY$96, MAX( COUNT( HZ$9:HZ$50 )  - $C159 + 1, 1)), INDEX( HY$101:HY$142, MAX( COUNT( HZ$9:HZ$50 )  - $B159 + 1, 1)) : INDEX( HY$101:HY$142, MAX( COUNT( HZ$9:HZ$50 )  - $C159 + 1, 1)) &gt; 0), $D159))</f>
        <v>1.0000079627606002</v>
      </c>
      <c r="HZ159" s="8">
        <f>+IF(HZ$8 = 125, 1, _xlfn.PERCENTILE.INC(_xlfn._xlws.FILTER(INDEX( HZ$55:HZ$96, MAX( COUNT( IA$9:IA$50 )  - $B159 + 1, 1)) : INDEX( HZ$55:HZ$96, MAX( COUNT( IA$9:IA$50 )  - $C159 + 1, 1)), INDEX( HZ$101:HZ$142, MAX( COUNT( IA$9:IA$50 )  - $B159 + 1, 1)) : INDEX( HZ$101:HZ$142, MAX( COUNT( IA$9:IA$50 )  - $C159 + 1, 1)) &gt; 0), $D159))</f>
        <v>1.0003066788054173</v>
      </c>
      <c r="IA159" s="8">
        <f>+IF(IA$8 = 125, 1, _xlfn.PERCENTILE.INC(_xlfn._xlws.FILTER(INDEX( IA$55:IA$96, MAX( COUNT( IB$9:IB$50 )  - $B159 + 1, 1)) : INDEX( IA$55:IA$96, MAX( COUNT( IB$9:IB$50 )  - $C159 + 1, 1)), INDEX( IA$101:IA$142, MAX( COUNT( IB$9:IB$50 )  - $B159 + 1, 1)) : INDEX( IA$101:IA$142, MAX( COUNT( IB$9:IB$50 )  - $C159 + 1, 1)) &gt; 0), $D159))</f>
        <v>1.000274929905856</v>
      </c>
      <c r="IB159" s="8">
        <f>+IF(IB$8 = 125, 1, _xlfn.PERCENTILE.INC(_xlfn._xlws.FILTER(INDEX( IB$55:IB$96, MAX( COUNT( IC$9:IC$50 )  - $B159 + 1, 1)) : INDEX( IB$55:IB$96, MAX( COUNT( IC$9:IC$50 )  - $C159 + 1, 1)), INDEX( IB$101:IB$142, MAX( COUNT( IC$9:IC$50 )  - $B159 + 1, 1)) : INDEX( IB$101:IB$142, MAX( COUNT( IC$9:IC$50 )  - $C159 + 1, 1)) &gt; 0), $D159))</f>
        <v>1.0003247992852469</v>
      </c>
      <c r="IC159" s="8">
        <f>+IF(IC$8 = 125, 1, _xlfn.PERCENTILE.INC(_xlfn._xlws.FILTER(INDEX( IC$55:IC$96, MAX( COUNT( ID$9:ID$50 )  - $B159 + 1, 1)) : INDEX( IC$55:IC$96, MAX( COUNT( ID$9:ID$50 )  - $C159 + 1, 1)), INDEX( IC$101:IC$142, MAX( COUNT( ID$9:ID$50 )  - $B159 + 1, 1)) : INDEX( IC$101:IC$142, MAX( COUNT( ID$9:ID$50 )  - $C159 + 1, 1)) &gt; 0), $D159))</f>
        <v>1.0000539004795024</v>
      </c>
      <c r="ID159" s="8">
        <f>+IF(ID$8 = 125, 1, _xlfn.PERCENTILE.INC(_xlfn._xlws.FILTER(INDEX( ID$55:ID$96, MAX( COUNT( IE$9:IE$50 )  - $B159 + 1, 1)) : INDEX( ID$55:ID$96, MAX( COUNT( IE$9:IE$50 )  - $C159 + 1, 1)), INDEX( ID$101:ID$142, MAX( COUNT( IE$9:IE$50 )  - $B159 + 1, 1)) : INDEX( ID$101:ID$142, MAX( COUNT( IE$9:IE$50 )  - $C159 + 1, 1)) &gt; 0), $D159))</f>
        <v>1.000349791967766</v>
      </c>
      <c r="IE159" s="8">
        <f>+IF(IE$8 = 125, 1, _xlfn.PERCENTILE.INC(_xlfn._xlws.FILTER(INDEX( IE$55:IE$96, MAX( COUNT( IF$9:IF$50 )  - $B159 + 1, 1)) : INDEX( IE$55:IE$96, MAX( COUNT( IF$9:IF$50 )  - $C159 + 1, 1)), INDEX( IE$101:IE$142, MAX( COUNT( IF$9:IF$50 )  - $B159 + 1, 1)) : INDEX( IE$101:IE$142, MAX( COUNT( IF$9:IF$50 )  - $C159 + 1, 1)) &gt; 0), $D159))</f>
        <v>1.0005501590961721</v>
      </c>
      <c r="IF159" s="8">
        <f>+IF(IF$8 = 125, 1, _xlfn.PERCENTILE.INC(_xlfn._xlws.FILTER(INDEX( IF$55:IF$96, MAX( COUNT( IG$9:IG$50 )  - $B159 + 1, 1)) : INDEX( IF$55:IF$96, MAX( COUNT( IG$9:IG$50 )  - $C159 + 1, 1)), INDEX( IF$101:IF$142, MAX( COUNT( IG$9:IG$50 )  - $B159 + 1, 1)) : INDEX( IF$101:IF$142, MAX( COUNT( IG$9:IG$50 )  - $C159 + 1, 1)) &gt; 0), $D159))</f>
        <v>1.0008584979163611</v>
      </c>
      <c r="IG159" s="8">
        <f>+IF(IG$8 = 125, 1, _xlfn.PERCENTILE.INC(_xlfn._xlws.FILTER(INDEX( IG$55:IG$96, MAX( COUNT( IH$9:IH$50 )  - $B159 + 1, 1)) : INDEX( IG$55:IG$96, MAX( COUNT( IH$9:IH$50 )  - $C159 + 1, 1)), INDEX( IG$101:IG$142, MAX( COUNT( IH$9:IH$50 )  - $B159 + 1, 1)) : INDEX( IG$101:IG$142, MAX( COUNT( IH$9:IH$50 )  - $C159 + 1, 1)) &gt; 0), $D159))</f>
        <v>1.0004400565917495</v>
      </c>
      <c r="IH159" s="8">
        <f>+IF(IH$8 = 125, 1, _xlfn.PERCENTILE.INC(_xlfn._xlws.FILTER(INDEX( IH$55:IH$96, MAX( COUNT( II$9:II$50 )  - $B159 + 1, 1)) : INDEX( IH$55:IH$96, MAX( COUNT( II$9:II$50 )  - $C159 + 1, 1)), INDEX( IH$101:IH$142, MAX( COUNT( II$9:II$50 )  - $B159 + 1, 1)) : INDEX( IH$101:IH$142, MAX( COUNT( II$9:II$50 )  - $C159 + 1, 1)) &gt; 0), $D159))</f>
        <v>1</v>
      </c>
      <c r="II159" s="8">
        <f>+IF(II$8 = 125, 1, _xlfn.PERCENTILE.INC(_xlfn._xlws.FILTER(INDEX( II$55:II$96, MAX( COUNT( IJ$9:IJ$50 )  - $B159 + 1, 1)) : INDEX( II$55:II$96, MAX( COUNT( IJ$9:IJ$50 )  - $C159 + 1, 1)), INDEX( II$101:II$142, MAX( COUNT( IJ$9:IJ$50 )  - $B159 + 1, 1)) : INDEX( II$101:II$142, MAX( COUNT( IJ$9:IJ$50 )  - $C159 + 1, 1)) &gt; 0), $D159))</f>
        <v>1.0001851902048164</v>
      </c>
      <c r="IJ159" s="8">
        <f>+IF(IJ$8 = 125, 1, _xlfn.PERCENTILE.INC(_xlfn._xlws.FILTER(INDEX( IJ$55:IJ$96, MAX( COUNT( IK$9:IK$50 )  - $B159 + 1, 1)) : INDEX( IJ$55:IJ$96, MAX( COUNT( IK$9:IK$50 )  - $C159 + 1, 1)), INDEX( IJ$101:IJ$142, MAX( COUNT( IK$9:IK$50 )  - $B159 + 1, 1)) : INDEX( IJ$101:IJ$142, MAX( COUNT( IK$9:IK$50 )  - $C159 + 1, 1)) &gt; 0), $D159))</f>
        <v>1.0014197176558348</v>
      </c>
      <c r="IK159" s="8">
        <f>+IF(IK$8 = 125, 1, _xlfn.PERCENTILE.INC(_xlfn._xlws.FILTER(INDEX( IK$55:IK$96, MAX( COUNT( IL$9:IL$50 )  - $B159 + 1, 1)) : INDEX( IK$55:IK$96, MAX( COUNT( IL$9:IL$50 )  - $C159 + 1, 1)), INDEX( IK$101:IK$142, MAX( COUNT( IL$9:IL$50 )  - $B159 + 1, 1)) : INDEX( IK$101:IK$142, MAX( COUNT( IL$9:IL$50 )  - $C159 + 1, 1)) &gt; 0), $D159))</f>
        <v>1.0006243784554025</v>
      </c>
      <c r="IL159" s="8">
        <f>+IF(IL$8 = 125, 1, _xlfn.PERCENTILE.INC(_xlfn._xlws.FILTER(INDEX( IL$55:IL$96, MAX( COUNT( IM$9:IM$50 )  - $B159 + 1, 1)) : INDEX( IL$55:IL$96, MAX( COUNT( IM$9:IM$50 )  - $C159 + 1, 1)), INDEX( IL$101:IL$142, MAX( COUNT( IM$9:IM$50 )  - $B159 + 1, 1)) : INDEX( IL$101:IL$142, MAX( COUNT( IM$9:IM$50 )  - $C159 + 1, 1)) &gt; 0), $D159))</f>
        <v>1.0020407934019233</v>
      </c>
      <c r="IM159" s="8">
        <f>+IF(IM$8 = 125, 1, _xlfn.PERCENTILE.INC(_xlfn._xlws.FILTER(INDEX( IM$55:IM$96, MAX( COUNT( IN$9:IN$50 )  - $B159 + 1, 1)) : INDEX( IM$55:IM$96, MAX( COUNT( IN$9:IN$50 )  - $C159 + 1, 1)), INDEX( IM$101:IM$142, MAX( COUNT( IN$9:IN$50 )  - $B159 + 1, 1)) : INDEX( IM$101:IM$142, MAX( COUNT( IN$9:IN$50 )  - $C159 + 1, 1)) &gt; 0), $D159))</f>
        <v>1.001506020859398</v>
      </c>
      <c r="IN159" s="8">
        <f>+IF(IN$8 = 125, 1, _xlfn.PERCENTILE.INC(_xlfn._xlws.FILTER(INDEX( IN$55:IN$96, MAX( COUNT( IO$9:IO$50 )  - $B159 + 1, 1)) : INDEX( IN$55:IN$96, MAX( COUNT( IO$9:IO$50 )  - $C159 + 1, 1)), INDEX( IN$101:IN$142, MAX( COUNT( IO$9:IO$50 )  - $B159 + 1, 1)) : INDEX( IN$101:IN$142, MAX( COUNT( IO$9:IO$50 )  - $C159 + 1, 1)) &gt; 0), $D159))</f>
        <v>1.0032803905931014</v>
      </c>
      <c r="IO159" s="8">
        <f>+IF(IO$8 = 125, 1, _xlfn.PERCENTILE.INC(_xlfn._xlws.FILTER(INDEX( IO$55:IO$96, MAX( COUNT( IP$9:IP$50 )  - $B159 + 1, 1)) : INDEX( IO$55:IO$96, MAX( COUNT( IP$9:IP$50 )  - $C159 + 1, 1)), INDEX( IO$101:IO$142, MAX( COUNT( IP$9:IP$50 )  - $B159 + 1, 1)) : INDEX( IO$101:IO$142, MAX( COUNT( IP$9:IP$50 )  - $C159 + 1, 1)) &gt; 0), $D159))</f>
        <v>1.0032940246360207</v>
      </c>
      <c r="IP159" s="8">
        <f>+IF(IP$8 = 125, 1, _xlfn.PERCENTILE.INC(_xlfn._xlws.FILTER(INDEX( IP$55:IP$96, MAX( COUNT( IQ$9:IQ$50 )  - $B159 + 1, 1)) : INDEX( IP$55:IP$96, MAX( COUNT( IQ$9:IQ$50 )  - $C159 + 1, 1)), INDEX( IP$101:IP$142, MAX( COUNT( IQ$9:IQ$50 )  - $B159 + 1, 1)) : INDEX( IP$101:IP$142, MAX( COUNT( IQ$9:IQ$50 )  - $C159 + 1, 1)) &gt; 0), $D159))</f>
        <v>1.0012111637660717</v>
      </c>
      <c r="IQ159" s="8">
        <f>+IF(IQ$8 = 125, 1, _xlfn.PERCENTILE.INC(_xlfn._xlws.FILTER(INDEX( IQ$55:IQ$96, MAX( COUNT( IR$9:IR$50 )  - $B159 + 1, 1)) : INDEX( IQ$55:IQ$96, MAX( COUNT( IR$9:IR$50 )  - $C159 + 1, 1)), INDEX( IQ$101:IQ$142, MAX( COUNT( IR$9:IR$50 )  - $B159 + 1, 1)) : INDEX( IQ$101:IQ$142, MAX( COUNT( IR$9:IR$50 )  - $C159 + 1, 1)) &gt; 0), $D159))</f>
        <v>1.0037024140725126</v>
      </c>
      <c r="IR159" s="8">
        <f>+IF(IR$8 = 125, 1, _xlfn.PERCENTILE.INC(_xlfn._xlws.FILTER(INDEX( IR$55:IR$96, MAX( COUNT( IS$9:IS$50 )  - $B159 + 1, 1)) : INDEX( IR$55:IR$96, MAX( COUNT( IS$9:IS$50 )  - $C159 + 1, 1)), INDEX( IR$101:IR$142, MAX( COUNT( IS$9:IS$50 )  - $B159 + 1, 1)) : INDEX( IR$101:IR$142, MAX( COUNT( IS$9:IS$50 )  - $C159 + 1, 1)) &gt; 0), $D159))</f>
        <v>1.0029329496285373</v>
      </c>
      <c r="IS159" s="8">
        <f>+IF(IS$8 = 125, 1, _xlfn.PERCENTILE.INC(_xlfn._xlws.FILTER(INDEX( IS$55:IS$96, MAX( COUNT( IT$9:IT$50 )  - $B159 + 1, 1)) : INDEX( IS$55:IS$96, MAX( COUNT( IT$9:IT$50 )  - $C159 + 1, 1)), INDEX( IS$101:IS$142, MAX( COUNT( IT$9:IT$50 )  - $B159 + 1, 1)) : INDEX( IS$101:IS$142, MAX( COUNT( IT$9:IT$50 )  - $C159 + 1, 1)) &gt; 0), $D159))</f>
        <v>1.0055498790859507</v>
      </c>
      <c r="IT159" s="8">
        <f>+IF(IT$8 = 125, 1, _xlfn.PERCENTILE.INC(_xlfn._xlws.FILTER(INDEX( IT$55:IT$96, MAX( COUNT( IU$9:IU$50 )  - $B159 + 1, 1)) : INDEX( IT$55:IT$96, MAX( COUNT( IU$9:IU$50 )  - $C159 + 1, 1)), INDEX( IT$101:IT$142, MAX( COUNT( IU$9:IU$50 )  - $B159 + 1, 1)) : INDEX( IT$101:IT$142, MAX( COUNT( IU$9:IU$50 )  - $C159 + 1, 1)) &gt; 0), $D159))</f>
        <v>1.0050872730680325</v>
      </c>
      <c r="IU159" s="8">
        <f>+IF(IU$8 = 125, 1, _xlfn.PERCENTILE.INC(_xlfn._xlws.FILTER(INDEX( IU$55:IU$96, MAX( COUNT( IV$9:IV$50 )  - $B159 + 1, 1)) : INDEX( IU$55:IU$96, MAX( COUNT( IV$9:IV$50 )  - $C159 + 1, 1)), INDEX( IU$101:IU$142, MAX( COUNT( IV$9:IV$50 )  - $B159 + 1, 1)) : INDEX( IU$101:IU$142, MAX( COUNT( IV$9:IV$50 )  - $C159 + 1, 1)) &gt; 0), $D159))</f>
        <v>1.0045545119089383</v>
      </c>
      <c r="IV159" s="8">
        <f>+IF(IV$8 = 125, 1, _xlfn.PERCENTILE.INC(_xlfn._xlws.FILTER(INDEX( IV$55:IV$96, MAX( COUNT( IW$9:IW$50 )  - $B159 + 1, 1)) : INDEX( IV$55:IV$96, MAX( COUNT( IW$9:IW$50 )  - $C159 + 1, 1)), INDEX( IV$101:IV$142, MAX( COUNT( IW$9:IW$50 )  - $B159 + 1, 1)) : INDEX( IV$101:IV$142, MAX( COUNT( IW$9:IW$50 )  - $C159 + 1, 1)) &gt; 0), $D159))</f>
        <v>1</v>
      </c>
    </row>
    <row r="160" spans="2:256" x14ac:dyDescent="0.2">
      <c r="F160" s="15" t="s">
        <v>20</v>
      </c>
      <c r="G160" s="14">
        <f>+IFERROR(G155, 1)</f>
        <v>6.4355734733026386</v>
      </c>
      <c r="H160" s="14">
        <f t="shared" ref="H160:BS160" si="356">+IFERROR(H155, 1)</f>
        <v>2.2371469373269464</v>
      </c>
      <c r="I160" s="14">
        <f t="shared" si="356"/>
        <v>1.7471322732692549</v>
      </c>
      <c r="J160" s="14">
        <f t="shared" si="356"/>
        <v>1.4150672030653473</v>
      </c>
      <c r="K160" s="14">
        <f t="shared" si="356"/>
        <v>1.0619361747073903</v>
      </c>
      <c r="L160" s="14">
        <f t="shared" si="356"/>
        <v>1.1038900390021256</v>
      </c>
      <c r="M160" s="14">
        <f t="shared" si="356"/>
        <v>1.0220123864154478</v>
      </c>
      <c r="N160" s="14">
        <f t="shared" si="356"/>
        <v>1.0098065134797072</v>
      </c>
      <c r="O160" s="14">
        <f t="shared" si="356"/>
        <v>1.0036985081157903</v>
      </c>
      <c r="P160" s="14">
        <f t="shared" si="356"/>
        <v>1.0097692123342745</v>
      </c>
      <c r="Q160" s="14">
        <f t="shared" si="356"/>
        <v>0.99979014362379925</v>
      </c>
      <c r="R160" s="14">
        <f t="shared" si="356"/>
        <v>1.0040309553694711</v>
      </c>
      <c r="S160" s="14">
        <f t="shared" si="356"/>
        <v>1.0005393110644387</v>
      </c>
      <c r="T160" s="14">
        <f t="shared" si="356"/>
        <v>1.0007192875916551</v>
      </c>
      <c r="U160" s="14">
        <f t="shared" si="356"/>
        <v>1.0002654273935836</v>
      </c>
      <c r="V160" s="14">
        <f t="shared" si="356"/>
        <v>1.0006346555964694</v>
      </c>
      <c r="W160" s="14">
        <f t="shared" si="356"/>
        <v>1.0005159970994089</v>
      </c>
      <c r="X160" s="14">
        <f t="shared" si="356"/>
        <v>1.0003027534176248</v>
      </c>
      <c r="Y160" s="14">
        <f t="shared" si="356"/>
        <v>1.000783880171791</v>
      </c>
      <c r="Z160" s="14">
        <f t="shared" si="356"/>
        <v>1.0003712703449994</v>
      </c>
      <c r="AA160" s="14">
        <f t="shared" si="356"/>
        <v>1.0000452586304318</v>
      </c>
      <c r="AB160" s="14">
        <f t="shared" si="356"/>
        <v>1.0000078256009919</v>
      </c>
      <c r="AC160" s="14">
        <f t="shared" si="356"/>
        <v>1.0013299550619017</v>
      </c>
      <c r="AD160" s="14">
        <f t="shared" si="356"/>
        <v>1.0146697514141787</v>
      </c>
      <c r="AE160" s="14">
        <f t="shared" si="356"/>
        <v>1.0002159704875326</v>
      </c>
      <c r="AF160" s="14">
        <f t="shared" si="356"/>
        <v>1</v>
      </c>
      <c r="AG160" s="14">
        <f t="shared" si="356"/>
        <v>1.0001581641225004</v>
      </c>
      <c r="AH160" s="14">
        <f t="shared" si="356"/>
        <v>1.0002763983043936</v>
      </c>
      <c r="AI160" s="14">
        <f t="shared" si="356"/>
        <v>1.0000343955977464</v>
      </c>
      <c r="AJ160" s="14">
        <f t="shared" si="356"/>
        <v>1.0022230880982246</v>
      </c>
      <c r="AK160" s="14">
        <f t="shared" si="356"/>
        <v>1.0002686945992743</v>
      </c>
      <c r="AL160" s="14">
        <f t="shared" si="356"/>
        <v>1.0010753526292135</v>
      </c>
      <c r="AM160" s="14">
        <f t="shared" si="356"/>
        <v>1.0002108158383669</v>
      </c>
      <c r="AN160" s="14">
        <f t="shared" si="356"/>
        <v>1.0000045745114641</v>
      </c>
      <c r="AO160" s="14">
        <f t="shared" si="356"/>
        <v>0.99536903071639127</v>
      </c>
      <c r="AP160" s="14">
        <f t="shared" si="356"/>
        <v>1.0053963053200321</v>
      </c>
      <c r="AQ160" s="14">
        <f t="shared" si="356"/>
        <v>1.0000315510761173</v>
      </c>
      <c r="AR160" s="14">
        <f t="shared" si="356"/>
        <v>1.0045780495532832</v>
      </c>
      <c r="AS160" s="14">
        <f t="shared" si="356"/>
        <v>1.0000151372187969</v>
      </c>
      <c r="AT160" s="14">
        <f t="shared" si="356"/>
        <v>1.0002883998751377</v>
      </c>
      <c r="AU160" s="14">
        <f t="shared" si="356"/>
        <v>1.0002163756851441</v>
      </c>
      <c r="AV160" s="14">
        <f t="shared" si="356"/>
        <v>1.0004316013243968</v>
      </c>
      <c r="AW160" s="14">
        <f t="shared" si="356"/>
        <v>1.0000227426728046</v>
      </c>
      <c r="AX160" s="14">
        <f t="shared" si="356"/>
        <v>1.0000451621457305</v>
      </c>
      <c r="AY160" s="14">
        <f t="shared" si="356"/>
        <v>1.0007238291544474</v>
      </c>
      <c r="AZ160" s="14">
        <f t="shared" si="356"/>
        <v>1.0000152860610043</v>
      </c>
      <c r="BA160" s="14">
        <f t="shared" si="356"/>
        <v>1.0001227375655859</v>
      </c>
      <c r="BB160" s="14">
        <f t="shared" si="356"/>
        <v>1.0001116479658443</v>
      </c>
      <c r="BC160" s="14">
        <f t="shared" si="356"/>
        <v>1.0000754152726798</v>
      </c>
      <c r="BD160" s="14">
        <f t="shared" si="356"/>
        <v>1.0000043416446356</v>
      </c>
      <c r="BE160" s="14">
        <f t="shared" si="356"/>
        <v>1.0002845898341803</v>
      </c>
      <c r="BF160" s="14">
        <f t="shared" si="356"/>
        <v>1.0002589687601797</v>
      </c>
      <c r="BG160" s="14">
        <f t="shared" si="356"/>
        <v>1</v>
      </c>
      <c r="BH160" s="14">
        <f t="shared" si="356"/>
        <v>1</v>
      </c>
      <c r="BI160" s="14">
        <f t="shared" si="356"/>
        <v>1.000065841637015</v>
      </c>
      <c r="BJ160" s="14">
        <f t="shared" si="356"/>
        <v>1.0000859255511547</v>
      </c>
      <c r="BK160" s="14">
        <f t="shared" si="356"/>
        <v>1.0000450862554251</v>
      </c>
      <c r="BL160" s="14">
        <f t="shared" si="356"/>
        <v>1.0003425621326336</v>
      </c>
      <c r="BM160" s="14">
        <f t="shared" si="356"/>
        <v>1.0001740053374113</v>
      </c>
      <c r="BN160" s="14">
        <f t="shared" si="356"/>
        <v>1.0004914138386052</v>
      </c>
      <c r="BO160" s="14">
        <f t="shared" si="356"/>
        <v>1.0005257651585471</v>
      </c>
      <c r="BP160" s="14">
        <f t="shared" si="356"/>
        <v>1.000287509242288</v>
      </c>
      <c r="BQ160" s="14">
        <f t="shared" si="356"/>
        <v>1</v>
      </c>
      <c r="BR160" s="14">
        <f t="shared" si="356"/>
        <v>1.0000921573341437</v>
      </c>
      <c r="BS160" s="14">
        <f t="shared" si="356"/>
        <v>1.0000680757097624</v>
      </c>
      <c r="BT160" s="14">
        <f t="shared" ref="BT160:EE160" si="357">+IFERROR(BT155, 1)</f>
        <v>1.0000121745235009</v>
      </c>
      <c r="BU160" s="14">
        <f t="shared" si="357"/>
        <v>1.0001097561336165</v>
      </c>
      <c r="BV160" s="14">
        <f t="shared" si="357"/>
        <v>1.0000670557925637</v>
      </c>
      <c r="BW160" s="14">
        <f t="shared" si="357"/>
        <v>1.0001394804090764</v>
      </c>
      <c r="BX160" s="14">
        <f t="shared" si="357"/>
        <v>1.0010314186188873</v>
      </c>
      <c r="BY160" s="14">
        <f t="shared" si="357"/>
        <v>1.0002973722800628</v>
      </c>
      <c r="BZ160" s="14">
        <f t="shared" si="357"/>
        <v>1.0000919942631934</v>
      </c>
      <c r="CA160" s="14">
        <f t="shared" si="357"/>
        <v>1.0000674488925954</v>
      </c>
      <c r="CB160" s="14">
        <f t="shared" si="357"/>
        <v>1.0011728465073695</v>
      </c>
      <c r="CC160" s="14">
        <f t="shared" si="357"/>
        <v>1.000171035244015</v>
      </c>
      <c r="CD160" s="14">
        <f t="shared" si="357"/>
        <v>1.000028788857672</v>
      </c>
      <c r="CE160" s="14">
        <f t="shared" si="357"/>
        <v>1.0005194704805462</v>
      </c>
      <c r="CF160" s="14">
        <f t="shared" si="357"/>
        <v>1.0007538472933641</v>
      </c>
      <c r="CG160" s="14">
        <f t="shared" si="357"/>
        <v>1.0002382623373125</v>
      </c>
      <c r="CH160" s="14">
        <f t="shared" si="357"/>
        <v>1.0004507134949918</v>
      </c>
      <c r="CI160" s="14">
        <f t="shared" si="357"/>
        <v>1.0000549141140997</v>
      </c>
      <c r="CJ160" s="14">
        <f t="shared" si="357"/>
        <v>1.0003366941635625</v>
      </c>
      <c r="CK160" s="14">
        <f t="shared" si="357"/>
        <v>1.0000221798984466</v>
      </c>
      <c r="CL160" s="14">
        <f t="shared" si="357"/>
        <v>1.0005334452639758</v>
      </c>
      <c r="CM160" s="14">
        <f t="shared" si="357"/>
        <v>1.0009048688312465</v>
      </c>
      <c r="CN160" s="14">
        <f t="shared" si="357"/>
        <v>1.0000779506911068</v>
      </c>
      <c r="CO160" s="14">
        <f t="shared" si="357"/>
        <v>1.0406283003824315</v>
      </c>
      <c r="CP160" s="14">
        <f t="shared" si="357"/>
        <v>1</v>
      </c>
      <c r="CQ160" s="14">
        <f t="shared" si="357"/>
        <v>1.0001525567944252</v>
      </c>
      <c r="CR160" s="14">
        <f t="shared" si="357"/>
        <v>1.0008301117931291</v>
      </c>
      <c r="CS160" s="14">
        <f t="shared" si="357"/>
        <v>1.0006125148532108</v>
      </c>
      <c r="CT160" s="14">
        <f t="shared" si="357"/>
        <v>1.000049618665932</v>
      </c>
      <c r="CU160" s="14">
        <f t="shared" si="357"/>
        <v>1.0000093476209653</v>
      </c>
      <c r="CV160" s="14">
        <f t="shared" si="357"/>
        <v>1.0001367475894296</v>
      </c>
      <c r="CW160" s="14">
        <f t="shared" si="357"/>
        <v>1.0003078971519956</v>
      </c>
      <c r="CX160" s="14">
        <f t="shared" si="357"/>
        <v>1.0008516151498421</v>
      </c>
      <c r="CY160" s="14">
        <f t="shared" si="357"/>
        <v>1.0009183687991574</v>
      </c>
      <c r="CZ160" s="14">
        <f t="shared" si="357"/>
        <v>1.0004213498677792</v>
      </c>
      <c r="DA160" s="14">
        <f t="shared" si="357"/>
        <v>1.0002634493912874</v>
      </c>
      <c r="DB160" s="14">
        <f t="shared" si="357"/>
        <v>1.000013394784272</v>
      </c>
      <c r="DC160" s="14">
        <f t="shared" si="357"/>
        <v>1.0001267711881203</v>
      </c>
      <c r="DD160" s="14">
        <f t="shared" si="357"/>
        <v>1.0000207098870422</v>
      </c>
      <c r="DE160" s="14">
        <f t="shared" si="357"/>
        <v>1.0002138471832676</v>
      </c>
      <c r="DF160" s="14">
        <f t="shared" si="357"/>
        <v>1.0005532733574507</v>
      </c>
      <c r="DG160" s="14">
        <f t="shared" si="357"/>
        <v>1.0006550658947577</v>
      </c>
      <c r="DH160" s="14">
        <f t="shared" si="357"/>
        <v>1.0001547598576079</v>
      </c>
      <c r="DI160" s="14">
        <f t="shared" si="357"/>
        <v>1.0001647984458506</v>
      </c>
      <c r="DJ160" s="14">
        <f t="shared" si="357"/>
        <v>1.0003801772950014</v>
      </c>
      <c r="DK160" s="14">
        <f t="shared" si="357"/>
        <v>1.0013141818424376</v>
      </c>
      <c r="DL160" s="14">
        <f t="shared" si="357"/>
        <v>1.0004069381878891</v>
      </c>
      <c r="DM160" s="14">
        <f t="shared" si="357"/>
        <v>1</v>
      </c>
      <c r="DN160" s="14">
        <f t="shared" si="357"/>
        <v>1.0003705999634322</v>
      </c>
      <c r="DO160" s="14">
        <f t="shared" si="357"/>
        <v>1.0025309995166212</v>
      </c>
      <c r="DP160" s="14">
        <f t="shared" si="357"/>
        <v>1.0017738164245442</v>
      </c>
      <c r="DQ160" s="14">
        <f t="shared" si="357"/>
        <v>1.0009868809331604</v>
      </c>
      <c r="DR160" s="14">
        <f t="shared" si="357"/>
        <v>1.0021350333481833</v>
      </c>
      <c r="DS160" s="14">
        <f t="shared" si="357"/>
        <v>1.0042088404295531</v>
      </c>
      <c r="DT160" s="14">
        <f t="shared" si="357"/>
        <v>1.0022411297730938</v>
      </c>
      <c r="DU160" s="14">
        <f t="shared" si="357"/>
        <v>1.001405577912083</v>
      </c>
      <c r="DV160" s="14">
        <f t="shared" si="357"/>
        <v>1.0030753771113994</v>
      </c>
      <c r="DW160" s="14">
        <f t="shared" si="357"/>
        <v>1.0028858809348911</v>
      </c>
      <c r="DX160" s="14">
        <f t="shared" si="357"/>
        <v>1.0038513805404945</v>
      </c>
      <c r="DY160" s="14">
        <f t="shared" si="357"/>
        <v>1.0045542200871611</v>
      </c>
      <c r="DZ160" s="14">
        <f t="shared" si="357"/>
        <v>1.0041088153957449</v>
      </c>
      <c r="EA160" s="14">
        <f t="shared" si="357"/>
        <v>1</v>
      </c>
      <c r="EB160" s="14">
        <f t="shared" si="357"/>
        <v>2.373555320114884</v>
      </c>
      <c r="EC160" s="14">
        <f t="shared" si="357"/>
        <v>2.1546567853875094</v>
      </c>
      <c r="ED160" s="14">
        <f t="shared" si="357"/>
        <v>1.2253630518202556</v>
      </c>
      <c r="EE160" s="14">
        <f t="shared" si="357"/>
        <v>0.98781212336321023</v>
      </c>
      <c r="EF160" s="14">
        <f t="shared" ref="EF160:GQ160" si="358">+IFERROR(EF155, 1)</f>
        <v>1.0076978860088204</v>
      </c>
      <c r="EG160" s="14">
        <f t="shared" si="358"/>
        <v>1.0294909939221288</v>
      </c>
      <c r="EH160" s="14">
        <f t="shared" si="358"/>
        <v>0.99922448519236173</v>
      </c>
      <c r="EI160" s="14">
        <f t="shared" si="358"/>
        <v>1.0098166537056608</v>
      </c>
      <c r="EJ160" s="14">
        <f t="shared" si="358"/>
        <v>0.99997933037191522</v>
      </c>
      <c r="EK160" s="14">
        <f t="shared" si="358"/>
        <v>1.0048924576427436</v>
      </c>
      <c r="EL160" s="14">
        <f t="shared" si="358"/>
        <v>0.99409546133282456</v>
      </c>
      <c r="EM160" s="14">
        <f t="shared" si="358"/>
        <v>0.99995329905516506</v>
      </c>
      <c r="EN160" s="14">
        <f t="shared" si="358"/>
        <v>0.99330272193223257</v>
      </c>
      <c r="EO160" s="14">
        <f t="shared" si="358"/>
        <v>0.99855113939074636</v>
      </c>
      <c r="EP160" s="14">
        <f t="shared" si="358"/>
        <v>1.0002598105267071</v>
      </c>
      <c r="EQ160" s="14">
        <f t="shared" si="358"/>
        <v>0.9922186795106257</v>
      </c>
      <c r="ER160" s="14">
        <f t="shared" si="358"/>
        <v>1.0091670674376267</v>
      </c>
      <c r="ES160" s="14">
        <f t="shared" si="358"/>
        <v>1.0004616010180194</v>
      </c>
      <c r="ET160" s="14">
        <f t="shared" si="358"/>
        <v>1.0007630001918841</v>
      </c>
      <c r="EU160" s="14">
        <f t="shared" si="358"/>
        <v>1.0000075337212995</v>
      </c>
      <c r="EV160" s="14">
        <f t="shared" si="358"/>
        <v>1.0010744976037893</v>
      </c>
      <c r="EW160" s="14">
        <f t="shared" si="358"/>
        <v>1.0000116567458255</v>
      </c>
      <c r="EX160" s="14">
        <f t="shared" si="358"/>
        <v>1.0002193137049129</v>
      </c>
      <c r="EY160" s="14">
        <f t="shared" si="358"/>
        <v>1.0056401057740318</v>
      </c>
      <c r="EZ160" s="14">
        <f t="shared" si="358"/>
        <v>1.0001983934322896</v>
      </c>
      <c r="FA160" s="14">
        <f t="shared" si="358"/>
        <v>1</v>
      </c>
      <c r="FB160" s="14">
        <f t="shared" si="358"/>
        <v>1.0001555526618291</v>
      </c>
      <c r="FC160" s="14">
        <f t="shared" si="358"/>
        <v>1.0000756025152591</v>
      </c>
      <c r="FD160" s="14">
        <f t="shared" si="358"/>
        <v>1.003716749153688</v>
      </c>
      <c r="FE160" s="14">
        <f t="shared" si="358"/>
        <v>1.0021715065501604</v>
      </c>
      <c r="FF160" s="14">
        <f t="shared" si="358"/>
        <v>1.0004643245657996</v>
      </c>
      <c r="FG160" s="14">
        <f t="shared" si="358"/>
        <v>1.0040205289175699</v>
      </c>
      <c r="FH160" s="14">
        <f t="shared" si="358"/>
        <v>1.0001111883886715</v>
      </c>
      <c r="FI160" s="14">
        <f t="shared" si="358"/>
        <v>1.0047016386593854</v>
      </c>
      <c r="FJ160" s="14">
        <f t="shared" si="358"/>
        <v>1.0007517883054844</v>
      </c>
      <c r="FK160" s="14">
        <f t="shared" si="358"/>
        <v>0.99672206277551867</v>
      </c>
      <c r="FL160" s="14">
        <f t="shared" si="358"/>
        <v>0.99998607948120877</v>
      </c>
      <c r="FM160" s="14">
        <f t="shared" si="358"/>
        <v>0.99795884186646278</v>
      </c>
      <c r="FN160" s="14">
        <f t="shared" si="358"/>
        <v>1.0000057217337115</v>
      </c>
      <c r="FO160" s="14">
        <f t="shared" si="358"/>
        <v>1.0002488112731835</v>
      </c>
      <c r="FP160" s="14">
        <f t="shared" si="358"/>
        <v>1.0002147960093468</v>
      </c>
      <c r="FQ160" s="14">
        <f t="shared" si="358"/>
        <v>1.0002179775004136</v>
      </c>
      <c r="FR160" s="14">
        <f t="shared" si="358"/>
        <v>0.99766216184332779</v>
      </c>
      <c r="FS160" s="14">
        <f t="shared" si="358"/>
        <v>1.0023767271110418</v>
      </c>
      <c r="FT160" s="14">
        <f t="shared" si="358"/>
        <v>1.0007180242073517</v>
      </c>
      <c r="FU160" s="14">
        <f t="shared" si="358"/>
        <v>0.99521966213692969</v>
      </c>
      <c r="FV160" s="14">
        <f t="shared" si="358"/>
        <v>1.0001223951439997</v>
      </c>
      <c r="FW160" s="14">
        <f t="shared" si="358"/>
        <v>1.0001113365208951</v>
      </c>
      <c r="FX160" s="14">
        <f t="shared" si="358"/>
        <v>1.0000748648138635</v>
      </c>
      <c r="FY160" s="14">
        <f t="shared" si="358"/>
        <v>0.99910877492410333</v>
      </c>
      <c r="FZ160" s="14">
        <f t="shared" si="358"/>
        <v>1.0002840968004043</v>
      </c>
      <c r="GA160" s="14">
        <f t="shared" si="358"/>
        <v>1.0000242479799233</v>
      </c>
      <c r="GB160" s="14">
        <f t="shared" si="358"/>
        <v>1</v>
      </c>
      <c r="GC160" s="14">
        <f t="shared" si="358"/>
        <v>1</v>
      </c>
      <c r="GD160" s="14">
        <f t="shared" si="358"/>
        <v>0.99999675646415465</v>
      </c>
      <c r="GE160" s="14">
        <f t="shared" si="358"/>
        <v>1.0000857786201518</v>
      </c>
      <c r="GF160" s="14">
        <f t="shared" si="358"/>
        <v>1.0000450091654274</v>
      </c>
      <c r="GG160" s="14">
        <f t="shared" si="358"/>
        <v>0.99863221971968708</v>
      </c>
      <c r="GH160" s="14">
        <f t="shared" si="358"/>
        <v>1.0000112712180396</v>
      </c>
      <c r="GI160" s="14">
        <f t="shared" si="358"/>
        <v>1.000491121520537</v>
      </c>
      <c r="GJ160" s="14">
        <f t="shared" si="358"/>
        <v>1.000525452560082</v>
      </c>
      <c r="GK160" s="14">
        <f t="shared" si="358"/>
        <v>1.0002873068866727</v>
      </c>
      <c r="GL160" s="14">
        <f t="shared" si="358"/>
        <v>1</v>
      </c>
      <c r="GM160" s="14">
        <f t="shared" si="358"/>
        <v>1.0000920924903229</v>
      </c>
      <c r="GN160" s="14">
        <f t="shared" si="358"/>
        <v>1.000665116307393</v>
      </c>
      <c r="GO160" s="14">
        <f t="shared" si="358"/>
        <v>1.0000121532884976</v>
      </c>
      <c r="GP160" s="14">
        <f t="shared" si="358"/>
        <v>1.0001098420636394</v>
      </c>
      <c r="GQ160" s="14">
        <f t="shared" si="358"/>
        <v>1.0001541342209448</v>
      </c>
      <c r="GR160" s="14">
        <f t="shared" ref="GR160:IV160" si="359">+IFERROR(GR155, 1)</f>
        <v>0.99999948550810169</v>
      </c>
      <c r="GS160" s="14">
        <f t="shared" si="359"/>
        <v>1.0004999142411919</v>
      </c>
      <c r="GT160" s="14">
        <f t="shared" si="359"/>
        <v>1.0000773183927658</v>
      </c>
      <c r="GU160" s="14">
        <f t="shared" si="359"/>
        <v>0.99987392827734545</v>
      </c>
      <c r="GV160" s="14">
        <f t="shared" si="359"/>
        <v>0.99999023673680731</v>
      </c>
      <c r="GW160" s="14">
        <f t="shared" si="359"/>
        <v>1.0011705159120736</v>
      </c>
      <c r="GX160" s="14">
        <f t="shared" si="359"/>
        <v>1.0001706957725718</v>
      </c>
      <c r="GY160" s="14">
        <f t="shared" si="359"/>
        <v>1.0000294250435064</v>
      </c>
      <c r="GZ160" s="14">
        <f t="shared" si="359"/>
        <v>1.0005186473576855</v>
      </c>
      <c r="HA160" s="14">
        <f t="shared" si="359"/>
        <v>1.0007526534097739</v>
      </c>
      <c r="HB160" s="14">
        <f t="shared" si="359"/>
        <v>0.99865535564917074</v>
      </c>
      <c r="HC160" s="14">
        <f t="shared" si="359"/>
        <v>1.0004433993959656</v>
      </c>
      <c r="HD160" s="14">
        <f t="shared" si="359"/>
        <v>1.0000540233725053</v>
      </c>
      <c r="HE160" s="14">
        <f t="shared" si="359"/>
        <v>1.0003312330667222</v>
      </c>
      <c r="HF160" s="14">
        <f t="shared" si="359"/>
        <v>1.0071781200861498</v>
      </c>
      <c r="HG160" s="14">
        <f t="shared" si="359"/>
        <v>1.0005195101443682</v>
      </c>
      <c r="HH160" s="14">
        <f t="shared" si="359"/>
        <v>1.0008812433369265</v>
      </c>
      <c r="HI160" s="14">
        <f t="shared" si="359"/>
        <v>1.014305482941374</v>
      </c>
      <c r="HJ160" s="14">
        <f t="shared" si="359"/>
        <v>1.0014097443614167</v>
      </c>
      <c r="HK160" s="14">
        <f t="shared" si="359"/>
        <v>1</v>
      </c>
      <c r="HL160" s="14">
        <f t="shared" si="359"/>
        <v>1.0001520610485173</v>
      </c>
      <c r="HM160" s="14">
        <f t="shared" si="359"/>
        <v>1.0008274146863971</v>
      </c>
      <c r="HN160" s="14">
        <f t="shared" si="359"/>
        <v>1.0006105263834963</v>
      </c>
      <c r="HO160" s="14">
        <f t="shared" si="359"/>
        <v>1.0000494829092899</v>
      </c>
      <c r="HP160" s="14">
        <f t="shared" si="359"/>
        <v>1.0000093220471451</v>
      </c>
      <c r="HQ160" s="14">
        <f t="shared" si="359"/>
        <v>1.0001365137603588</v>
      </c>
      <c r="HR160" s="14">
        <f t="shared" si="359"/>
        <v>1.0003077736414017</v>
      </c>
      <c r="HS160" s="14">
        <f t="shared" si="359"/>
        <v>1.0008512736360293</v>
      </c>
      <c r="HT160" s="14">
        <f t="shared" si="359"/>
        <v>1.0009180008291094</v>
      </c>
      <c r="HU160" s="14">
        <f t="shared" si="359"/>
        <v>1.0004213067285908</v>
      </c>
      <c r="HV160" s="14">
        <f t="shared" si="359"/>
        <v>1.0002634224298292</v>
      </c>
      <c r="HW160" s="14">
        <f t="shared" si="359"/>
        <v>1.0000133934138085</v>
      </c>
      <c r="HX160" s="14">
        <f t="shared" si="359"/>
        <v>1.0001267711881203</v>
      </c>
      <c r="HY160" s="14">
        <f t="shared" si="359"/>
        <v>1.0000207098870422</v>
      </c>
      <c r="HZ160" s="14">
        <f t="shared" si="359"/>
        <v>1.0002138471832676</v>
      </c>
      <c r="IA160" s="14">
        <f t="shared" si="359"/>
        <v>1.0005532733574507</v>
      </c>
      <c r="IB160" s="14">
        <f t="shared" si="359"/>
        <v>1.0006550658947577</v>
      </c>
      <c r="IC160" s="14">
        <f t="shared" si="359"/>
        <v>1.0001547598576079</v>
      </c>
      <c r="ID160" s="14">
        <f t="shared" si="359"/>
        <v>1.0006875720346715</v>
      </c>
      <c r="IE160" s="14">
        <f t="shared" si="359"/>
        <v>1.0003799786849112</v>
      </c>
      <c r="IF160" s="14">
        <f t="shared" si="359"/>
        <v>1.0007912795953435</v>
      </c>
      <c r="IG160" s="14">
        <f t="shared" si="359"/>
        <v>1.0004069381878891</v>
      </c>
      <c r="IH160" s="14">
        <f t="shared" si="359"/>
        <v>1</v>
      </c>
      <c r="II160" s="14">
        <f t="shared" si="359"/>
        <v>1.0003705999634322</v>
      </c>
      <c r="IJ160" s="14">
        <f t="shared" si="359"/>
        <v>1.0026133727292312</v>
      </c>
      <c r="IK160" s="14">
        <f t="shared" si="359"/>
        <v>1.0017864879876321</v>
      </c>
      <c r="IL160" s="14">
        <f t="shared" si="359"/>
        <v>1.0013857083984385</v>
      </c>
      <c r="IM160" s="14">
        <f t="shared" si="359"/>
        <v>1.002165247223606</v>
      </c>
      <c r="IN160" s="14">
        <f t="shared" si="359"/>
        <v>1.0044919380212143</v>
      </c>
      <c r="IO160" s="14">
        <f t="shared" si="359"/>
        <v>1.0023644476352298</v>
      </c>
      <c r="IP160" s="14">
        <f t="shared" si="359"/>
        <v>1.00128562641312</v>
      </c>
      <c r="IQ160" s="14">
        <f t="shared" si="359"/>
        <v>1.0032713040037065</v>
      </c>
      <c r="IR160" s="14">
        <f t="shared" si="359"/>
        <v>1.0030623648643942</v>
      </c>
      <c r="IS160" s="14">
        <f t="shared" si="359"/>
        <v>1.0055498790859507</v>
      </c>
      <c r="IT160" s="14">
        <f t="shared" si="359"/>
        <v>1.0050872730680325</v>
      </c>
      <c r="IU160" s="14">
        <f t="shared" si="359"/>
        <v>1.0045545119089383</v>
      </c>
      <c r="IV160" s="14">
        <f t="shared" si="359"/>
        <v>1</v>
      </c>
    </row>
    <row r="161" spans="1:256" x14ac:dyDescent="0.2">
      <c r="F161" s="15" t="s">
        <v>21</v>
      </c>
      <c r="G161" s="8">
        <f>+IF(G$8 = 125, 1, G160 * H161)</f>
        <v>49.605119069447944</v>
      </c>
      <c r="H161" s="8">
        <f t="shared" ref="H161:BS161" si="360">+IF(H$8 = 125, 1, H160 * I161)</f>
        <v>7.707956295616861</v>
      </c>
      <c r="I161" s="8">
        <f t="shared" si="360"/>
        <v>3.4454403360857055</v>
      </c>
      <c r="J161" s="8">
        <f t="shared" si="360"/>
        <v>1.9720546571087925</v>
      </c>
      <c r="K161" s="8">
        <f t="shared" si="360"/>
        <v>1.3936120156250442</v>
      </c>
      <c r="L161" s="8">
        <f t="shared" si="360"/>
        <v>1.3123312387479831</v>
      </c>
      <c r="M161" s="8">
        <f t="shared" si="360"/>
        <v>1.1888242418912307</v>
      </c>
      <c r="N161" s="8">
        <f t="shared" si="360"/>
        <v>1.163219015437621</v>
      </c>
      <c r="O161" s="8">
        <f t="shared" si="360"/>
        <v>1.15192267024429</v>
      </c>
      <c r="P161" s="8">
        <f t="shared" si="360"/>
        <v>1.1476779739433467</v>
      </c>
      <c r="Q161" s="8">
        <f t="shared" si="360"/>
        <v>1.1365745359677482</v>
      </c>
      <c r="R161" s="8">
        <f t="shared" si="360"/>
        <v>1.1368131034460549</v>
      </c>
      <c r="S161" s="8">
        <f t="shared" si="360"/>
        <v>1.1322490580260263</v>
      </c>
      <c r="T161" s="8">
        <f t="shared" si="360"/>
        <v>1.1316387527257337</v>
      </c>
      <c r="U161" s="8">
        <f t="shared" si="360"/>
        <v>1.130825364073027</v>
      </c>
      <c r="V161" s="8">
        <f t="shared" si="360"/>
        <v>1.130525291691473</v>
      </c>
      <c r="W161" s="8">
        <f t="shared" si="360"/>
        <v>1.1298082525610478</v>
      </c>
      <c r="X161" s="8">
        <f t="shared" si="360"/>
        <v>1.1292255754395426</v>
      </c>
      <c r="Y161" s="8">
        <f t="shared" si="360"/>
        <v>1.1288838020103826</v>
      </c>
      <c r="Z161" s="8">
        <f t="shared" si="360"/>
        <v>1.1279995855015195</v>
      </c>
      <c r="AA161" s="8">
        <f t="shared" si="360"/>
        <v>1.127580948133891</v>
      </c>
      <c r="AB161" s="8">
        <f t="shared" si="360"/>
        <v>1.1275299176740461</v>
      </c>
      <c r="AC161" s="8">
        <f t="shared" si="360"/>
        <v>1.1275210941438534</v>
      </c>
      <c r="AD161" s="8">
        <f t="shared" si="360"/>
        <v>1.1260235334457267</v>
      </c>
      <c r="AE161" s="8">
        <f t="shared" si="360"/>
        <v>1.1097438667865585</v>
      </c>
      <c r="AF161" s="8">
        <f t="shared" si="360"/>
        <v>1.1095042466134979</v>
      </c>
      <c r="AG161" s="8">
        <f t="shared" si="360"/>
        <v>1.1095042466134979</v>
      </c>
      <c r="AH161" s="8">
        <f t="shared" si="360"/>
        <v>1.1093287905987685</v>
      </c>
      <c r="AI161" s="8">
        <f t="shared" si="360"/>
        <v>1.1090222587269216</v>
      </c>
      <c r="AJ161" s="8">
        <f t="shared" si="360"/>
        <v>1.1089841145554102</v>
      </c>
      <c r="AK161" s="8">
        <f t="shared" si="360"/>
        <v>1.1065242137454354</v>
      </c>
      <c r="AL161" s="8">
        <f t="shared" si="360"/>
        <v>1.10622697653127</v>
      </c>
      <c r="AM161" s="8">
        <f t="shared" si="360"/>
        <v>1.1050386702917891</v>
      </c>
      <c r="AN161" s="8">
        <f t="shared" si="360"/>
        <v>1.1048057597393171</v>
      </c>
      <c r="AO161" s="8">
        <f t="shared" si="360"/>
        <v>1.1048007058158227</v>
      </c>
      <c r="AP161" s="8">
        <f t="shared" si="360"/>
        <v>1.1099408076024535</v>
      </c>
      <c r="AQ161" s="8">
        <f t="shared" si="360"/>
        <v>1.103983376236044</v>
      </c>
      <c r="AR161" s="8">
        <f t="shared" si="360"/>
        <v>1.1039485454714564</v>
      </c>
      <c r="AS161" s="8">
        <f t="shared" si="360"/>
        <v>1.0989176460329402</v>
      </c>
      <c r="AT161" s="8">
        <f t="shared" si="360"/>
        <v>1.0989010117278895</v>
      </c>
      <c r="AU161" s="8">
        <f t="shared" si="360"/>
        <v>1.0985841801874952</v>
      </c>
      <c r="AV161" s="8">
        <f t="shared" si="360"/>
        <v>1.0983465247056863</v>
      </c>
      <c r="AW161" s="8">
        <f t="shared" si="360"/>
        <v>1.097872681402374</v>
      </c>
      <c r="AX161" s="8">
        <f t="shared" si="360"/>
        <v>1.0978477134110387</v>
      </c>
      <c r="AY161" s="8">
        <f t="shared" si="360"/>
        <v>1.097798134491706</v>
      </c>
      <c r="AZ161" s="8">
        <f t="shared" si="360"/>
        <v>1.0970040909481298</v>
      </c>
      <c r="BA161" s="8">
        <f t="shared" si="360"/>
        <v>1.0969873223329996</v>
      </c>
      <c r="BB161" s="8">
        <f t="shared" si="360"/>
        <v>1.0968526973031263</v>
      </c>
      <c r="BC161" s="8">
        <f t="shared" si="360"/>
        <v>1.0967302496016784</v>
      </c>
      <c r="BD161" s="8">
        <f t="shared" si="360"/>
        <v>1.0966475456279912</v>
      </c>
      <c r="BE161" s="8">
        <f t="shared" si="360"/>
        <v>1.0966427843947291</v>
      </c>
      <c r="BF161" s="8">
        <f t="shared" si="360"/>
        <v>1.0963307797998989</v>
      </c>
      <c r="BG161" s="8">
        <f t="shared" si="360"/>
        <v>1.0960469378832964</v>
      </c>
      <c r="BH161" s="8">
        <f t="shared" si="360"/>
        <v>1.0960469378832964</v>
      </c>
      <c r="BI161" s="8">
        <f t="shared" si="360"/>
        <v>1.0960469378832964</v>
      </c>
      <c r="BJ161" s="8">
        <f t="shared" si="360"/>
        <v>1.0959747771098445</v>
      </c>
      <c r="BK161" s="8">
        <f t="shared" si="360"/>
        <v>1.0958806129641758</v>
      </c>
      <c r="BL161" s="8">
        <f t="shared" si="360"/>
        <v>1.0958312060385176</v>
      </c>
      <c r="BM161" s="8">
        <f t="shared" si="360"/>
        <v>1.0954559443140273</v>
      </c>
      <c r="BN161" s="8">
        <f t="shared" si="360"/>
        <v>1.0952653622951063</v>
      </c>
      <c r="BO161" s="8">
        <f t="shared" si="360"/>
        <v>1.0947273981021786</v>
      </c>
      <c r="BP161" s="8">
        <f t="shared" si="360"/>
        <v>1.0941521310335312</v>
      </c>
      <c r="BQ161" s="8">
        <f t="shared" si="360"/>
        <v>1.0938376426017207</v>
      </c>
      <c r="BR161" s="8">
        <f t="shared" si="360"/>
        <v>1.0938376426017207</v>
      </c>
      <c r="BS161" s="8">
        <f t="shared" si="360"/>
        <v>1.0937368467296713</v>
      </c>
      <c r="BT161" s="8">
        <f t="shared" ref="BT161:EE161" si="361">+IF(BT$8 = 125, 1, BT160 * BU161)</f>
        <v>1.093662394885899</v>
      </c>
      <c r="BU161" s="8">
        <f t="shared" si="361"/>
        <v>1.09364908022947</v>
      </c>
      <c r="BV161" s="8">
        <f t="shared" si="361"/>
        <v>1.0935290587079889</v>
      </c>
      <c r="BW161" s="8">
        <f t="shared" si="361"/>
        <v>1.0934557361669668</v>
      </c>
      <c r="BX161" s="8">
        <f t="shared" si="361"/>
        <v>1.0933032417835582</v>
      </c>
      <c r="BY161" s="8">
        <f t="shared" si="361"/>
        <v>1.0921767503481332</v>
      </c>
      <c r="BZ161" s="8">
        <f t="shared" si="361"/>
        <v>1.0918520638104268</v>
      </c>
      <c r="CA161" s="8">
        <f t="shared" si="361"/>
        <v>1.0917516289237337</v>
      </c>
      <c r="CB161" s="8">
        <f t="shared" si="361"/>
        <v>1.0916779964518022</v>
      </c>
      <c r="CC161" s="8">
        <f t="shared" si="361"/>
        <v>1.09039912564565</v>
      </c>
      <c r="CD161" s="8">
        <f t="shared" si="361"/>
        <v>1.0902126608571721</v>
      </c>
      <c r="CE161" s="8">
        <f t="shared" si="361"/>
        <v>1.0901812757835869</v>
      </c>
      <c r="CF161" s="8">
        <f t="shared" si="361"/>
        <v>1.0896152528245917</v>
      </c>
      <c r="CG161" s="8">
        <f t="shared" si="361"/>
        <v>1.0887944680618136</v>
      </c>
      <c r="CH161" s="8">
        <f t="shared" si="361"/>
        <v>1.0885351111419861</v>
      </c>
      <c r="CI161" s="8">
        <f t="shared" si="361"/>
        <v>1.0880447147059136</v>
      </c>
      <c r="CJ161" s="8">
        <f t="shared" si="361"/>
        <v>1.0879849689751884</v>
      </c>
      <c r="CK161" s="8">
        <f t="shared" si="361"/>
        <v>1.087618774081774</v>
      </c>
      <c r="CL161" s="8">
        <f t="shared" si="361"/>
        <v>1.0875946513428563</v>
      </c>
      <c r="CM161" s="8">
        <f t="shared" si="361"/>
        <v>1.0870147884520849</v>
      </c>
      <c r="CN161" s="8">
        <f t="shared" si="361"/>
        <v>1.0860320718805061</v>
      </c>
      <c r="CO161" s="8">
        <f t="shared" si="361"/>
        <v>1.0859474215284923</v>
      </c>
      <c r="CP161" s="8">
        <f t="shared" si="361"/>
        <v>1.0435497680866512</v>
      </c>
      <c r="CQ161" s="8">
        <f t="shared" si="361"/>
        <v>1.0435497680866512</v>
      </c>
      <c r="CR161" s="8">
        <f t="shared" si="361"/>
        <v>1.0433905917626385</v>
      </c>
      <c r="CS161" s="8">
        <f t="shared" si="361"/>
        <v>1.0425251793166537</v>
      </c>
      <c r="CT161" s="8">
        <f t="shared" si="361"/>
        <v>1.0418870080488565</v>
      </c>
      <c r="CU161" s="8">
        <f t="shared" si="361"/>
        <v>1.0418353135704763</v>
      </c>
      <c r="CV161" s="8">
        <f t="shared" si="361"/>
        <v>1.0418255749798895</v>
      </c>
      <c r="CW161" s="8">
        <f t="shared" si="361"/>
        <v>1.0416831273232785</v>
      </c>
      <c r="CX161" s="8">
        <f t="shared" si="361"/>
        <v>1.0413624947769415</v>
      </c>
      <c r="CY161" s="8">
        <f t="shared" si="361"/>
        <v>1.0404764093037251</v>
      </c>
      <c r="CZ161" s="8">
        <f t="shared" si="361"/>
        <v>1.0395217449671017</v>
      </c>
      <c r="DA161" s="8">
        <f t="shared" si="361"/>
        <v>1.0390839270918102</v>
      </c>
      <c r="DB161" s="8">
        <f t="shared" si="361"/>
        <v>1.0388102531629513</v>
      </c>
      <c r="DC161" s="8">
        <f t="shared" si="361"/>
        <v>1.0387963387100918</v>
      </c>
      <c r="DD161" s="8">
        <f t="shared" si="361"/>
        <v>1.0386646659563299</v>
      </c>
      <c r="DE161" s="8">
        <f t="shared" si="361"/>
        <v>1.0386431557738967</v>
      </c>
      <c r="DF161" s="8">
        <f t="shared" si="361"/>
        <v>1.0384210923482524</v>
      </c>
      <c r="DG161" s="8">
        <f t="shared" si="361"/>
        <v>1.0378468793208109</v>
      </c>
      <c r="DH161" s="8">
        <f t="shared" si="361"/>
        <v>1.0371674662864943</v>
      </c>
      <c r="DI161" s="8">
        <f t="shared" si="361"/>
        <v>1.0370069792340495</v>
      </c>
      <c r="DJ161" s="8">
        <f t="shared" si="361"/>
        <v>1.0368361102544779</v>
      </c>
      <c r="DK161" s="8">
        <f t="shared" si="361"/>
        <v>1.0364420785086448</v>
      </c>
      <c r="DL161" s="8">
        <f t="shared" si="361"/>
        <v>1.0350817928110947</v>
      </c>
      <c r="DM161" s="8">
        <f t="shared" si="361"/>
        <v>1.0346607498404747</v>
      </c>
      <c r="DN161" s="8">
        <f t="shared" si="361"/>
        <v>1.0346607498404747</v>
      </c>
      <c r="DO161" s="8">
        <f t="shared" si="361"/>
        <v>1.034277446656565</v>
      </c>
      <c r="DP161" s="8">
        <f t="shared" si="361"/>
        <v>1.0316662997505819</v>
      </c>
      <c r="DQ161" s="8">
        <f t="shared" si="361"/>
        <v>1.0298395534360518</v>
      </c>
      <c r="DR161" s="8">
        <f t="shared" si="361"/>
        <v>1.0288242264234211</v>
      </c>
      <c r="DS161" s="8">
        <f t="shared" si="361"/>
        <v>1.0266323321579407</v>
      </c>
      <c r="DT161" s="8">
        <f t="shared" si="361"/>
        <v>1.0223295103823185</v>
      </c>
      <c r="DU161" s="8">
        <f t="shared" si="361"/>
        <v>1.0200434606128894</v>
      </c>
      <c r="DV161" s="8">
        <f t="shared" si="361"/>
        <v>1.0186117224747901</v>
      </c>
      <c r="DW161" s="8">
        <f t="shared" si="361"/>
        <v>1.0154887117338394</v>
      </c>
      <c r="DX161" s="8">
        <f t="shared" si="361"/>
        <v>1.0125665651880551</v>
      </c>
      <c r="DY161" s="8">
        <f t="shared" si="361"/>
        <v>1.0086817479325159</v>
      </c>
      <c r="DZ161" s="8">
        <f t="shared" si="361"/>
        <v>1.0041088153957449</v>
      </c>
      <c r="EA161" s="8">
        <f t="shared" si="361"/>
        <v>1</v>
      </c>
      <c r="EB161" s="8">
        <f t="shared" si="361"/>
        <v>7.0346587026937533</v>
      </c>
      <c r="EC161" s="8">
        <f t="shared" si="361"/>
        <v>2.963764376198851</v>
      </c>
      <c r="ED161" s="8">
        <f t="shared" si="361"/>
        <v>1.3755157648765977</v>
      </c>
      <c r="EE161" s="8">
        <f t="shared" si="361"/>
        <v>1.122537327066695</v>
      </c>
      <c r="EF161" s="8">
        <f t="shared" ref="EF161:GQ161" si="362">+IF(EF$8 = 125, 1, EF160 * EG161)</f>
        <v>1.1363874774534908</v>
      </c>
      <c r="EG161" s="8">
        <f t="shared" si="362"/>
        <v>1.1277065212018753</v>
      </c>
      <c r="EH161" s="8">
        <f t="shared" si="362"/>
        <v>1.0954020266904594</v>
      </c>
      <c r="EI161" s="8">
        <f t="shared" si="362"/>
        <v>1.0962521864939914</v>
      </c>
      <c r="EJ161" s="8">
        <f t="shared" si="362"/>
        <v>1.0855952736282806</v>
      </c>
      <c r="EK161" s="8">
        <f t="shared" si="362"/>
        <v>1.0856177129426494</v>
      </c>
      <c r="EL161" s="8">
        <f t="shared" si="362"/>
        <v>1.0803322332513765</v>
      </c>
      <c r="EM161" s="8">
        <f t="shared" si="362"/>
        <v>1.0867489846527725</v>
      </c>
      <c r="EN161" s="8">
        <f t="shared" si="362"/>
        <v>1.0867997392274407</v>
      </c>
      <c r="EO161" s="8">
        <f t="shared" si="362"/>
        <v>1.0941274147656941</v>
      </c>
      <c r="EP161" s="8">
        <f t="shared" si="362"/>
        <v>1.095714953000066</v>
      </c>
      <c r="EQ161" s="8">
        <f t="shared" si="362"/>
        <v>1.0954303486642087</v>
      </c>
      <c r="ER161" s="8">
        <f t="shared" si="362"/>
        <v>1.1040210905971739</v>
      </c>
      <c r="ES161" s="8">
        <f t="shared" si="362"/>
        <v>1.0939923885946761</v>
      </c>
      <c r="ET161" s="8">
        <f t="shared" si="362"/>
        <v>1.0934876335898194</v>
      </c>
      <c r="EU161" s="8">
        <f t="shared" si="362"/>
        <v>1.0926539384251381</v>
      </c>
      <c r="EV161" s="8">
        <f t="shared" si="362"/>
        <v>1.0926457067369044</v>
      </c>
      <c r="EW161" s="8">
        <f t="shared" si="362"/>
        <v>1.0914729216979391</v>
      </c>
      <c r="EX161" s="8">
        <f t="shared" si="362"/>
        <v>1.0914601988238228</v>
      </c>
      <c r="EY161" s="8">
        <f t="shared" si="362"/>
        <v>1.0912208791299425</v>
      </c>
      <c r="EZ161" s="8">
        <f t="shared" si="362"/>
        <v>1.0851007958657735</v>
      </c>
      <c r="FA161" s="8">
        <f t="shared" si="362"/>
        <v>1.0848855616955473</v>
      </c>
      <c r="FB161" s="8">
        <f t="shared" si="362"/>
        <v>1.0848855616955473</v>
      </c>
      <c r="FC161" s="8">
        <f t="shared" si="362"/>
        <v>1.0847168311051381</v>
      </c>
      <c r="FD161" s="8">
        <f t="shared" si="362"/>
        <v>1.0846348299838537</v>
      </c>
      <c r="FE161" s="8">
        <f t="shared" si="362"/>
        <v>1.0806184423029646</v>
      </c>
      <c r="FF161" s="8">
        <f t="shared" si="362"/>
        <v>1.0782769568283248</v>
      </c>
      <c r="FG161" s="8">
        <f t="shared" si="362"/>
        <v>1.0777765187142438</v>
      </c>
      <c r="FH161" s="8">
        <f t="shared" si="362"/>
        <v>1.0734606391725774</v>
      </c>
      <c r="FI161" s="8">
        <f t="shared" si="362"/>
        <v>1.0733412960833713</v>
      </c>
      <c r="FJ161" s="8">
        <f t="shared" si="362"/>
        <v>1.0683184487641271</v>
      </c>
      <c r="FK161" s="8">
        <f t="shared" si="362"/>
        <v>1.067515902792489</v>
      </c>
      <c r="FL161" s="8">
        <f t="shared" si="362"/>
        <v>1.0710266609528383</v>
      </c>
      <c r="FM161" s="8">
        <f t="shared" si="362"/>
        <v>1.0710415704071454</v>
      </c>
      <c r="FN161" s="8">
        <f t="shared" si="362"/>
        <v>1.0732322070557514</v>
      </c>
      <c r="FO161" s="8">
        <f t="shared" si="362"/>
        <v>1.0732260663419875</v>
      </c>
      <c r="FP161" s="8">
        <f t="shared" si="362"/>
        <v>1.0729591020217395</v>
      </c>
      <c r="FQ161" s="8">
        <f t="shared" si="362"/>
        <v>1.0727286841812655</v>
      </c>
      <c r="FR161" s="8">
        <f t="shared" si="362"/>
        <v>1.0724949044227932</v>
      </c>
      <c r="FS161" s="8">
        <f t="shared" si="362"/>
        <v>1.0750080993762465</v>
      </c>
      <c r="FT161" s="8">
        <f t="shared" si="362"/>
        <v>1.0724591566232151</v>
      </c>
      <c r="FU161" s="8">
        <f t="shared" si="362"/>
        <v>1.071689657506357</v>
      </c>
      <c r="FV161" s="8">
        <f t="shared" si="362"/>
        <v>1.0768373036413201</v>
      </c>
      <c r="FW161" s="8">
        <f t="shared" si="362"/>
        <v>1.0767055201141404</v>
      </c>
      <c r="FX161" s="8">
        <f t="shared" si="362"/>
        <v>1.0765856568126653</v>
      </c>
      <c r="FY161" s="8">
        <f t="shared" si="362"/>
        <v>1.0765050644613912</v>
      </c>
      <c r="FZ161" s="8">
        <f t="shared" si="362"/>
        <v>1.0774653285806315</v>
      </c>
      <c r="GA161" s="8">
        <f t="shared" si="362"/>
        <v>1.0771593110668316</v>
      </c>
      <c r="GB161" s="8">
        <f t="shared" si="362"/>
        <v>1.0771331927627987</v>
      </c>
      <c r="GC161" s="8">
        <f t="shared" si="362"/>
        <v>1.0771331927627987</v>
      </c>
      <c r="GD161" s="8">
        <f t="shared" si="362"/>
        <v>1.0771331927627987</v>
      </c>
      <c r="GE161" s="8">
        <f t="shared" si="362"/>
        <v>1.0771366864942518</v>
      </c>
      <c r="GF161" s="8">
        <f t="shared" si="362"/>
        <v>1.0770442991204308</v>
      </c>
      <c r="GG161" s="8">
        <f t="shared" si="362"/>
        <v>1.076995824437204</v>
      </c>
      <c r="GH161" s="8">
        <f t="shared" si="362"/>
        <v>1.078470935715967</v>
      </c>
      <c r="GI161" s="8">
        <f t="shared" si="362"/>
        <v>1.078458780171909</v>
      </c>
      <c r="GJ161" s="8">
        <f t="shared" si="362"/>
        <v>1.0779293858528973</v>
      </c>
      <c r="GK161" s="8">
        <f t="shared" si="362"/>
        <v>1.0773632825579389</v>
      </c>
      <c r="GL161" s="8">
        <f t="shared" si="362"/>
        <v>1.0770538375730869</v>
      </c>
      <c r="GM161" s="8">
        <f t="shared" si="362"/>
        <v>1.0770538375730869</v>
      </c>
      <c r="GN161" s="8">
        <f t="shared" si="362"/>
        <v>1.0769546581366543</v>
      </c>
      <c r="GO161" s="8">
        <f t="shared" si="362"/>
        <v>1.0762388341374198</v>
      </c>
      <c r="GP161" s="8">
        <f t="shared" si="362"/>
        <v>1.0762257544553375</v>
      </c>
      <c r="GQ161" s="8">
        <f t="shared" si="362"/>
        <v>1.0761075525810642</v>
      </c>
      <c r="GR161" s="8">
        <f t="shared" ref="GR161:IV161" si="363">+IF(GR$8 = 125, 1, GR160 * GS161)</f>
        <v>1.0759417131433269</v>
      </c>
      <c r="GS161" s="8">
        <f t="shared" si="363"/>
        <v>1.0759422667069061</v>
      </c>
      <c r="GT161" s="8">
        <f t="shared" si="363"/>
        <v>1.0754046566040256</v>
      </c>
      <c r="GU161" s="8">
        <f t="shared" si="363"/>
        <v>1.0753215144728201</v>
      </c>
      <c r="GV161" s="8">
        <f t="shared" si="363"/>
        <v>1.0754570992019576</v>
      </c>
      <c r="GW161" s="8">
        <f t="shared" si="363"/>
        <v>1.0754675992751845</v>
      </c>
      <c r="GX161" s="8">
        <f t="shared" si="363"/>
        <v>1.0742102191207916</v>
      </c>
      <c r="GY161" s="8">
        <f t="shared" si="363"/>
        <v>1.074026887271506</v>
      </c>
      <c r="GZ161" s="8">
        <f t="shared" si="363"/>
        <v>1.0739952849135217</v>
      </c>
      <c r="HA161" s="8">
        <f t="shared" si="363"/>
        <v>1.0734385488465248</v>
      </c>
      <c r="HB161" s="8">
        <f t="shared" si="363"/>
        <v>1.0726312292943663</v>
      </c>
      <c r="HC161" s="8">
        <f t="shared" si="363"/>
        <v>1.074075478819325</v>
      </c>
      <c r="HD161" s="8">
        <f t="shared" si="363"/>
        <v>1.073599445473693</v>
      </c>
      <c r="HE161" s="8">
        <f t="shared" si="363"/>
        <v>1.073541449144086</v>
      </c>
      <c r="HF161" s="8">
        <f t="shared" si="363"/>
        <v>1.0731859744626016</v>
      </c>
      <c r="HG161" s="8">
        <f t="shared" si="363"/>
        <v>1.0655374189133553</v>
      </c>
      <c r="HH161" s="8">
        <f t="shared" si="363"/>
        <v>1.0649841488444391</v>
      </c>
      <c r="HI161" s="8">
        <f t="shared" si="363"/>
        <v>1.0640464649869892</v>
      </c>
      <c r="HJ161" s="8">
        <f t="shared" si="363"/>
        <v>1.0490394490438637</v>
      </c>
      <c r="HK161" s="8">
        <f t="shared" si="363"/>
        <v>1.0475626534998614</v>
      </c>
      <c r="HL161" s="8">
        <f t="shared" si="363"/>
        <v>1.0475626534998614</v>
      </c>
      <c r="HM161" s="8">
        <f t="shared" si="363"/>
        <v>1.0474033842430328</v>
      </c>
      <c r="HN161" s="8">
        <f t="shared" si="363"/>
        <v>1.0465374637756399</v>
      </c>
      <c r="HO161" s="8">
        <f t="shared" si="363"/>
        <v>1.0458989148936271</v>
      </c>
      <c r="HP161" s="8">
        <f t="shared" si="363"/>
        <v>1.0458471633333128</v>
      </c>
      <c r="HQ161" s="8">
        <f t="shared" si="363"/>
        <v>1.0458374139876336</v>
      </c>
      <c r="HR161" s="8">
        <f t="shared" si="363"/>
        <v>1.0456946622770991</v>
      </c>
      <c r="HS161" s="8">
        <f t="shared" si="363"/>
        <v>1.0453729240456429</v>
      </c>
      <c r="HT161" s="8">
        <f t="shared" si="363"/>
        <v>1.0444837825383078</v>
      </c>
      <c r="HU161" s="8">
        <f t="shared" si="363"/>
        <v>1.0435258249657922</v>
      </c>
      <c r="HV161" s="8">
        <f t="shared" si="363"/>
        <v>1.0430863656614378</v>
      </c>
      <c r="HW161" s="8">
        <f t="shared" si="363"/>
        <v>1.0428116656786104</v>
      </c>
      <c r="HX161" s="8">
        <f t="shared" si="363"/>
        <v>1.0427976990575083</v>
      </c>
      <c r="HY161" s="8">
        <f t="shared" si="363"/>
        <v>1.0426655191108385</v>
      </c>
      <c r="HZ161" s="8">
        <f t="shared" si="363"/>
        <v>1.0426439260729043</v>
      </c>
      <c r="IA161" s="8">
        <f t="shared" si="363"/>
        <v>1.0424210072767193</v>
      </c>
      <c r="IB161" s="8">
        <f t="shared" si="363"/>
        <v>1.0418445824266582</v>
      </c>
      <c r="IC161" s="8">
        <f t="shared" si="363"/>
        <v>1.0411625523477164</v>
      </c>
      <c r="ID161" s="8">
        <f t="shared" si="363"/>
        <v>1.0410014471119917</v>
      </c>
      <c r="IE161" s="8">
        <f t="shared" si="363"/>
        <v>1.0402861754297108</v>
      </c>
      <c r="IF161" s="8">
        <f t="shared" si="363"/>
        <v>1.0398910390002605</v>
      </c>
      <c r="IG161" s="8">
        <f t="shared" si="363"/>
        <v>1.0390688450250349</v>
      </c>
      <c r="IH161" s="8">
        <f t="shared" si="363"/>
        <v>1.038646180230594</v>
      </c>
      <c r="II161" s="8">
        <f t="shared" si="363"/>
        <v>1.038646180230594</v>
      </c>
      <c r="IJ161" s="8">
        <f t="shared" si="363"/>
        <v>1.0382614005935009</v>
      </c>
      <c r="IK161" s="8">
        <f t="shared" si="363"/>
        <v>1.0355551091117323</v>
      </c>
      <c r="IL161" s="8">
        <f t="shared" si="363"/>
        <v>1.0337084014697921</v>
      </c>
      <c r="IM161" s="8">
        <f t="shared" si="363"/>
        <v>1.0322779652238583</v>
      </c>
      <c r="IN161" s="8">
        <f t="shared" si="363"/>
        <v>1.0300476573935051</v>
      </c>
      <c r="IO161" s="8">
        <f t="shared" si="363"/>
        <v>1.0254414380095813</v>
      </c>
      <c r="IP161" s="8">
        <f t="shared" si="363"/>
        <v>1.0230225547492178</v>
      </c>
      <c r="IQ161" s="8">
        <f t="shared" si="363"/>
        <v>1.0217090186483206</v>
      </c>
      <c r="IR161" s="8">
        <f t="shared" si="363"/>
        <v>1.0183775959414325</v>
      </c>
      <c r="IS161" s="8">
        <f t="shared" si="363"/>
        <v>1.0152684734404414</v>
      </c>
      <c r="IT161" s="8">
        <f t="shared" si="363"/>
        <v>1.0096649550227432</v>
      </c>
      <c r="IU161" s="8">
        <f t="shared" si="363"/>
        <v>1.0045545119089383</v>
      </c>
      <c r="IV161" s="8">
        <f t="shared" si="363"/>
        <v>1</v>
      </c>
    </row>
    <row r="162" spans="1:256" x14ac:dyDescent="0.2">
      <c r="F162" s="15" t="s">
        <v>22</v>
      </c>
      <c r="G162" s="13">
        <f>+IF(G$8 = 125, 1, 1 / G161)</f>
        <v>2.0159209750106322E-2</v>
      </c>
      <c r="H162" s="13">
        <f t="shared" ref="H162:BS162" si="364">+IF(H$8 = 125, 1, 1 / H161)</f>
        <v>0.12973607551052815</v>
      </c>
      <c r="I162" s="13">
        <f t="shared" si="364"/>
        <v>0.29023866398919551</v>
      </c>
      <c r="J162" s="13">
        <f t="shared" si="364"/>
        <v>0.50708533680607459</v>
      </c>
      <c r="K162" s="13">
        <f t="shared" si="364"/>
        <v>0.71755982926962159</v>
      </c>
      <c r="L162" s="13">
        <f t="shared" si="364"/>
        <v>0.76200274021827019</v>
      </c>
      <c r="M162" s="13">
        <f t="shared" si="364"/>
        <v>0.84116723461927279</v>
      </c>
      <c r="N162" s="13">
        <f t="shared" si="364"/>
        <v>0.85968333282772591</v>
      </c>
      <c r="O162" s="13">
        <f t="shared" si="364"/>
        <v>0.86811382901938072</v>
      </c>
      <c r="P162" s="13">
        <f t="shared" si="364"/>
        <v>0.87132455506143869</v>
      </c>
      <c r="Q162" s="13">
        <f t="shared" si="364"/>
        <v>0.87983670965190119</v>
      </c>
      <c r="R162" s="13">
        <f t="shared" si="364"/>
        <v>0.87965207030836523</v>
      </c>
      <c r="S162" s="13">
        <f t="shared" si="364"/>
        <v>0.88319790854444113</v>
      </c>
      <c r="T162" s="13">
        <f t="shared" si="364"/>
        <v>0.88367422694860831</v>
      </c>
      <c r="U162" s="13">
        <f t="shared" si="364"/>
        <v>0.88430984285511793</v>
      </c>
      <c r="V162" s="13">
        <f t="shared" si="364"/>
        <v>0.88454456291182726</v>
      </c>
      <c r="W162" s="13">
        <f t="shared" si="364"/>
        <v>0.88510594406900589</v>
      </c>
      <c r="X162" s="13">
        <f t="shared" si="364"/>
        <v>0.88556265616881502</v>
      </c>
      <c r="Y162" s="13">
        <f t="shared" si="364"/>
        <v>0.88583076328949106</v>
      </c>
      <c r="Z162" s="13">
        <f t="shared" si="364"/>
        <v>0.88652514846039632</v>
      </c>
      <c r="AA162" s="13">
        <f t="shared" si="364"/>
        <v>0.88685428895811591</v>
      </c>
      <c r="AB162" s="13">
        <f t="shared" si="364"/>
        <v>0.88689442676862673</v>
      </c>
      <c r="AC162" s="13">
        <f t="shared" si="364"/>
        <v>0.88690136725053259</v>
      </c>
      <c r="AD162" s="13">
        <f t="shared" si="364"/>
        <v>0.88808090621331504</v>
      </c>
      <c r="AE162" s="13">
        <f t="shared" si="364"/>
        <v>0.90110883234314287</v>
      </c>
      <c r="AF162" s="13">
        <f t="shared" si="364"/>
        <v>0.90130344525698392</v>
      </c>
      <c r="AG162" s="13">
        <f t="shared" si="364"/>
        <v>0.90130344525698392</v>
      </c>
      <c r="AH162" s="13">
        <f t="shared" si="364"/>
        <v>0.90144599912550949</v>
      </c>
      <c r="AI162" s="13">
        <f t="shared" si="364"/>
        <v>0.90169515727117022</v>
      </c>
      <c r="AJ162" s="13">
        <f t="shared" si="364"/>
        <v>0.90172617161508961</v>
      </c>
      <c r="AK162" s="13">
        <f t="shared" si="364"/>
        <v>0.90373078833506471</v>
      </c>
      <c r="AL162" s="13">
        <f t="shared" si="364"/>
        <v>0.90397361591708814</v>
      </c>
      <c r="AM162" s="13">
        <f t="shared" si="364"/>
        <v>0.90494570632170424</v>
      </c>
      <c r="AN162" s="13">
        <f t="shared" si="364"/>
        <v>0.90513648320945905</v>
      </c>
      <c r="AO162" s="13">
        <f t="shared" si="364"/>
        <v>0.90514062376667814</v>
      </c>
      <c r="AP162" s="13">
        <f t="shared" si="364"/>
        <v>0.90094894534066816</v>
      </c>
      <c r="AQ162" s="13">
        <f t="shared" si="364"/>
        <v>0.90581074092748726</v>
      </c>
      <c r="AR162" s="13">
        <f t="shared" si="364"/>
        <v>0.90583932023112212</v>
      </c>
      <c r="AS162" s="13">
        <f t="shared" si="364"/>
        <v>0.90998629752645255</v>
      </c>
      <c r="AT162" s="13">
        <f t="shared" si="364"/>
        <v>0.9100000721881405</v>
      </c>
      <c r="AU162" s="13">
        <f t="shared" si="364"/>
        <v>0.91026251609533482</v>
      </c>
      <c r="AV162" s="13">
        <f t="shared" si="364"/>
        <v>0.91045947477091593</v>
      </c>
      <c r="AW162" s="13">
        <f t="shared" si="364"/>
        <v>0.91085243028603657</v>
      </c>
      <c r="AX162" s="13">
        <f t="shared" si="364"/>
        <v>0.91087314550483189</v>
      </c>
      <c r="AY162" s="13">
        <f t="shared" si="364"/>
        <v>0.91091428249057116</v>
      </c>
      <c r="AZ162" s="13">
        <f t="shared" si="364"/>
        <v>0.91157362880544035</v>
      </c>
      <c r="BA162" s="13">
        <f t="shared" si="364"/>
        <v>0.91158756317554024</v>
      </c>
      <c r="BB162" s="13">
        <f t="shared" si="364"/>
        <v>0.91169944921386281</v>
      </c>
      <c r="BC162" s="13">
        <f t="shared" si="364"/>
        <v>0.9118012386028288</v>
      </c>
      <c r="BD162" s="13">
        <f t="shared" si="364"/>
        <v>0.91187000234186788</v>
      </c>
      <c r="BE162" s="13">
        <f t="shared" si="364"/>
        <v>0.91187396135737198</v>
      </c>
      <c r="BF162" s="13">
        <f t="shared" si="364"/>
        <v>0.9121334714168281</v>
      </c>
      <c r="BG162" s="13">
        <f t="shared" si="364"/>
        <v>0.91236968549103947</v>
      </c>
      <c r="BH162" s="13">
        <f t="shared" si="364"/>
        <v>0.91236968549103947</v>
      </c>
      <c r="BI162" s="13">
        <f t="shared" si="364"/>
        <v>0.91236968549103947</v>
      </c>
      <c r="BJ162" s="13">
        <f t="shared" si="364"/>
        <v>0.9124297574046949</v>
      </c>
      <c r="BK162" s="13">
        <f t="shared" si="364"/>
        <v>0.91250815843448985</v>
      </c>
      <c r="BL162" s="13">
        <f t="shared" si="364"/>
        <v>0.91254930001039847</v>
      </c>
      <c r="BM162" s="13">
        <f t="shared" si="364"/>
        <v>0.91286190484474328</v>
      </c>
      <c r="BN162" s="13">
        <f t="shared" si="364"/>
        <v>0.91302074768850572</v>
      </c>
      <c r="BO162" s="13">
        <f t="shared" si="364"/>
        <v>0.91346941871885357</v>
      </c>
      <c r="BP162" s="13">
        <f t="shared" si="364"/>
        <v>0.91394968911261409</v>
      </c>
      <c r="BQ162" s="13">
        <f t="shared" si="364"/>
        <v>0.91421245809522023</v>
      </c>
      <c r="BR162" s="13">
        <f t="shared" si="364"/>
        <v>0.91421245809522023</v>
      </c>
      <c r="BS162" s="13">
        <f t="shared" si="364"/>
        <v>0.91429670947819919</v>
      </c>
      <c r="BT162" s="13">
        <f t="shared" ref="BT162:EE162" si="365">+IF(BT$8 = 125, 1, 1 / BT161)</f>
        <v>0.91435895087563035</v>
      </c>
      <c r="BU162" s="13">
        <f t="shared" si="365"/>
        <v>0.91437008276016607</v>
      </c>
      <c r="BV162" s="13">
        <f t="shared" si="365"/>
        <v>0.91447044048514448</v>
      </c>
      <c r="BW162" s="13">
        <f t="shared" si="365"/>
        <v>0.91453176102530731</v>
      </c>
      <c r="BX162" s="13">
        <f t="shared" si="365"/>
        <v>0.91465932028944863</v>
      </c>
      <c r="BY162" s="13">
        <f t="shared" si="365"/>
        <v>0.91560271694233397</v>
      </c>
      <c r="BZ162" s="13">
        <f t="shared" si="365"/>
        <v>0.91587499180990273</v>
      </c>
      <c r="CA162" s="13">
        <f t="shared" si="365"/>
        <v>0.91595924705495158</v>
      </c>
      <c r="CB162" s="13">
        <f t="shared" si="365"/>
        <v>0.91602102749182801</v>
      </c>
      <c r="CC162" s="13">
        <f t="shared" si="365"/>
        <v>0.91709537955459874</v>
      </c>
      <c r="CD162" s="13">
        <f t="shared" si="365"/>
        <v>0.91725223518662591</v>
      </c>
      <c r="CE162" s="13">
        <f t="shared" si="365"/>
        <v>0.91727864183067398</v>
      </c>
      <c r="CF162" s="13">
        <f t="shared" si="365"/>
        <v>0.91775514100754041</v>
      </c>
      <c r="CG162" s="13">
        <f t="shared" si="365"/>
        <v>0.9184469882365599</v>
      </c>
      <c r="CH162" s="13">
        <f t="shared" si="365"/>
        <v>0.91866581956267479</v>
      </c>
      <c r="CI162" s="13">
        <f t="shared" si="365"/>
        <v>0.91907987464493945</v>
      </c>
      <c r="CJ162" s="13">
        <f t="shared" si="365"/>
        <v>0.91913034510204261</v>
      </c>
      <c r="CK162" s="13">
        <f t="shared" si="365"/>
        <v>0.91943981092479166</v>
      </c>
      <c r="CL162" s="13">
        <f t="shared" si="365"/>
        <v>0.9194602040064257</v>
      </c>
      <c r="CM162" s="13">
        <f t="shared" si="365"/>
        <v>0.91995068569766703</v>
      </c>
      <c r="CN162" s="13">
        <f t="shared" si="365"/>
        <v>0.92078312039943877</v>
      </c>
      <c r="CO162" s="13">
        <f t="shared" si="365"/>
        <v>0.92085489608003335</v>
      </c>
      <c r="CP162" s="13">
        <f t="shared" si="365"/>
        <v>0.95826766540660557</v>
      </c>
      <c r="CQ162" s="13">
        <f t="shared" si="365"/>
        <v>0.95826766540660557</v>
      </c>
      <c r="CR162" s="13">
        <f t="shared" si="365"/>
        <v>0.95841385564984138</v>
      </c>
      <c r="CS162" s="13">
        <f t="shared" si="365"/>
        <v>0.95920944629411464</v>
      </c>
      <c r="CT162" s="13">
        <f t="shared" si="365"/>
        <v>0.95979697632730987</v>
      </c>
      <c r="CU162" s="13">
        <f t="shared" si="365"/>
        <v>0.95984460017284079</v>
      </c>
      <c r="CV162" s="13">
        <f t="shared" si="365"/>
        <v>0.95985357243634872</v>
      </c>
      <c r="CW162" s="13">
        <f t="shared" si="365"/>
        <v>0.95998483009858482</v>
      </c>
      <c r="CX162" s="13">
        <f t="shared" si="365"/>
        <v>0.96028040669373127</v>
      </c>
      <c r="CY162" s="13">
        <f t="shared" si="365"/>
        <v>0.9610981960361682</v>
      </c>
      <c r="CZ162" s="13">
        <f t="shared" si="365"/>
        <v>0.9619808386323343</v>
      </c>
      <c r="DA162" s="13">
        <f t="shared" si="365"/>
        <v>0.96238616913149799</v>
      </c>
      <c r="DB162" s="13">
        <f t="shared" si="365"/>
        <v>0.9626397091819392</v>
      </c>
      <c r="DC162" s="13">
        <f t="shared" si="365"/>
        <v>0.96265260353317517</v>
      </c>
      <c r="DD162" s="13">
        <f t="shared" si="365"/>
        <v>0.96277464014747227</v>
      </c>
      <c r="DE162" s="13">
        <f t="shared" si="365"/>
        <v>0.96279457910151678</v>
      </c>
      <c r="DF162" s="13">
        <f t="shared" si="365"/>
        <v>0.96300047001032285</v>
      </c>
      <c r="DG162" s="13">
        <f t="shared" si="365"/>
        <v>0.96353327251359211</v>
      </c>
      <c r="DH162" s="13">
        <f t="shared" si="365"/>
        <v>0.96416445029888009</v>
      </c>
      <c r="DI162" s="13">
        <f t="shared" si="365"/>
        <v>0.964313664251919</v>
      </c>
      <c r="DJ162" s="13">
        <f t="shared" si="365"/>
        <v>0.96447258164510019</v>
      </c>
      <c r="DK162" s="13">
        <f t="shared" si="365"/>
        <v>0.96483925222229305</v>
      </c>
      <c r="DL162" s="13">
        <f t="shared" si="365"/>
        <v>0.96610722644843472</v>
      </c>
      <c r="DM162" s="13">
        <f t="shared" si="365"/>
        <v>0.96650037237247211</v>
      </c>
      <c r="DN162" s="13">
        <f t="shared" si="365"/>
        <v>0.96650037237247211</v>
      </c>
      <c r="DO162" s="13">
        <f t="shared" si="365"/>
        <v>0.9668585573751306</v>
      </c>
      <c r="DP162" s="13">
        <f t="shared" si="365"/>
        <v>0.96930567591648809</v>
      </c>
      <c r="DQ162" s="13">
        <f t="shared" si="365"/>
        <v>0.97102504624483266</v>
      </c>
      <c r="DR162" s="13">
        <f t="shared" si="365"/>
        <v>0.9719833323485928</v>
      </c>
      <c r="DS162" s="13">
        <f t="shared" si="365"/>
        <v>0.97405854917703538</v>
      </c>
      <c r="DT162" s="13">
        <f t="shared" si="365"/>
        <v>0.97815820617956339</v>
      </c>
      <c r="DU162" s="13">
        <f t="shared" si="365"/>
        <v>0.9803503856582283</v>
      </c>
      <c r="DV162" s="13">
        <f t="shared" si="365"/>
        <v>0.98172834450641144</v>
      </c>
      <c r="DW162" s="13">
        <f t="shared" si="365"/>
        <v>0.98474752938671861</v>
      </c>
      <c r="DX162" s="13">
        <f t="shared" si="365"/>
        <v>0.98758939350745678</v>
      </c>
      <c r="DY162" s="13">
        <f t="shared" si="365"/>
        <v>0.99139297607961008</v>
      </c>
      <c r="DZ162" s="13">
        <f t="shared" si="365"/>
        <v>0.99590799788554241</v>
      </c>
      <c r="EA162" s="13">
        <f t="shared" si="365"/>
        <v>1</v>
      </c>
      <c r="EB162" s="13">
        <f t="shared" si="365"/>
        <v>0.14215330725527225</v>
      </c>
      <c r="EC162" s="13">
        <f t="shared" si="365"/>
        <v>0.33740873870767718</v>
      </c>
      <c r="ED162" s="13">
        <f t="shared" si="365"/>
        <v>0.72700002830553778</v>
      </c>
      <c r="EE162" s="13">
        <f t="shared" si="365"/>
        <v>0.89083897335788598</v>
      </c>
      <c r="EF162" s="13">
        <f t="shared" ref="EF162:GQ162" si="366">+IF(EF$8 = 125, 1, 1 / EF161)</f>
        <v>0.87998153784735567</v>
      </c>
      <c r="EG162" s="13">
        <f t="shared" si="366"/>
        <v>0.88675553541557106</v>
      </c>
      <c r="EH162" s="13">
        <f t="shared" si="366"/>
        <v>0.91290683752092572</v>
      </c>
      <c r="EI162" s="13">
        <f t="shared" si="366"/>
        <v>0.91219886475043399</v>
      </c>
      <c r="EJ162" s="13">
        <f t="shared" si="366"/>
        <v>0.92115360511638589</v>
      </c>
      <c r="EK162" s="13">
        <f t="shared" si="366"/>
        <v>0.92113456521395909</v>
      </c>
      <c r="EL162" s="13">
        <f t="shared" si="366"/>
        <v>0.92564117705753535</v>
      </c>
      <c r="EM162" s="13">
        <f t="shared" si="366"/>
        <v>0.92017569293566936</v>
      </c>
      <c r="EN162" s="13">
        <f t="shared" si="366"/>
        <v>0.92013271986139522</v>
      </c>
      <c r="EO162" s="13">
        <f t="shared" si="366"/>
        <v>0.91397033517723225</v>
      </c>
      <c r="EP162" s="13">
        <f t="shared" si="366"/>
        <v>0.91264611956056763</v>
      </c>
      <c r="EQ162" s="13">
        <f t="shared" si="366"/>
        <v>0.91288323462958776</v>
      </c>
      <c r="ER162" s="13">
        <f t="shared" si="366"/>
        <v>0.90577979761155825</v>
      </c>
      <c r="ES162" s="13">
        <f t="shared" si="366"/>
        <v>0.91408314209990338</v>
      </c>
      <c r="ET162" s="13">
        <f t="shared" si="366"/>
        <v>0.91450508380885109</v>
      </c>
      <c r="EU162" s="13">
        <f t="shared" si="366"/>
        <v>0.91520285136327617</v>
      </c>
      <c r="EV162" s="13">
        <f t="shared" si="366"/>
        <v>0.91520974624649087</v>
      </c>
      <c r="EW162" s="13">
        <f t="shared" si="366"/>
        <v>0.9161931369257974</v>
      </c>
      <c r="EX162" s="13">
        <f t="shared" si="366"/>
        <v>0.91620381675632145</v>
      </c>
      <c r="EY162" s="13">
        <f t="shared" si="366"/>
        <v>0.91640475280982969</v>
      </c>
      <c r="EZ162" s="13">
        <f t="shared" si="366"/>
        <v>0.9215733725475026</v>
      </c>
      <c r="FA162" s="13">
        <f t="shared" si="366"/>
        <v>0.92175620665198899</v>
      </c>
      <c r="FB162" s="13">
        <f t="shared" si="366"/>
        <v>0.92175620665198899</v>
      </c>
      <c r="FC162" s="13">
        <f t="shared" si="366"/>
        <v>0.92189958828349117</v>
      </c>
      <c r="FD162" s="13">
        <f t="shared" si="366"/>
        <v>0.92196928621118168</v>
      </c>
      <c r="FE162" s="13">
        <f t="shared" si="366"/>
        <v>0.92539601477543343</v>
      </c>
      <c r="FF162" s="13">
        <f t="shared" si="366"/>
        <v>0.92740551828301054</v>
      </c>
      <c r="FG162" s="13">
        <f t="shared" si="366"/>
        <v>0.92783613544760746</v>
      </c>
      <c r="FH162" s="13">
        <f t="shared" si="366"/>
        <v>0.93156652746094093</v>
      </c>
      <c r="FI162" s="13">
        <f t="shared" si="366"/>
        <v>0.93167010684206963</v>
      </c>
      <c r="FJ162" s="13">
        <f t="shared" si="366"/>
        <v>0.93605048303419214</v>
      </c>
      <c r="FK162" s="13">
        <f t="shared" si="366"/>
        <v>0.93675419484068034</v>
      </c>
      <c r="FL162" s="13">
        <f t="shared" si="366"/>
        <v>0.93368357339522301</v>
      </c>
      <c r="FM162" s="13">
        <f t="shared" si="366"/>
        <v>0.93367057603549442</v>
      </c>
      <c r="FN162" s="13">
        <f t="shared" si="366"/>
        <v>0.93176480674517514</v>
      </c>
      <c r="FO162" s="13">
        <f t="shared" si="366"/>
        <v>0.93177013805528119</v>
      </c>
      <c r="FP162" s="13">
        <f t="shared" si="366"/>
        <v>0.93200197296964515</v>
      </c>
      <c r="FQ162" s="13">
        <f t="shared" si="366"/>
        <v>0.9322021632741424</v>
      </c>
      <c r="FR162" s="13">
        <f t="shared" si="366"/>
        <v>0.93240536237157301</v>
      </c>
      <c r="FS162" s="13">
        <f t="shared" si="366"/>
        <v>0.93022554953793501</v>
      </c>
      <c r="FT162" s="13">
        <f t="shared" si="366"/>
        <v>0.93243644182090557</v>
      </c>
      <c r="FU162" s="13">
        <f t="shared" si="366"/>
        <v>0.93310595375794991</v>
      </c>
      <c r="FV162" s="13">
        <f t="shared" si="366"/>
        <v>0.92864539203694452</v>
      </c>
      <c r="FW162" s="13">
        <f t="shared" si="366"/>
        <v>0.9287590537234276</v>
      </c>
      <c r="FX162" s="13">
        <f t="shared" si="366"/>
        <v>0.92886245852521909</v>
      </c>
      <c r="FY162" s="13">
        <f t="shared" si="366"/>
        <v>0.92893199764028145</v>
      </c>
      <c r="FZ162" s="13">
        <f t="shared" si="366"/>
        <v>0.92810411015018157</v>
      </c>
      <c r="GA162" s="13">
        <f t="shared" si="366"/>
        <v>0.92836778155831745</v>
      </c>
      <c r="GB162" s="13">
        <f t="shared" si="366"/>
        <v>0.92839029260164607</v>
      </c>
      <c r="GC162" s="13">
        <f t="shared" si="366"/>
        <v>0.92839029260164607</v>
      </c>
      <c r="GD162" s="13">
        <f t="shared" si="366"/>
        <v>0.92839029260164607</v>
      </c>
      <c r="GE162" s="13">
        <f t="shared" si="366"/>
        <v>0.92838728133445358</v>
      </c>
      <c r="GF162" s="13">
        <f t="shared" si="366"/>
        <v>0.92846691711441298</v>
      </c>
      <c r="GG162" s="13">
        <f t="shared" si="366"/>
        <v>0.92850870663547924</v>
      </c>
      <c r="GH162" s="13">
        <f t="shared" si="366"/>
        <v>0.92723871073644437</v>
      </c>
      <c r="GI162" s="13">
        <f t="shared" si="366"/>
        <v>0.92724916184612782</v>
      </c>
      <c r="GJ162" s="13">
        <f t="shared" si="366"/>
        <v>0.92770455386441042</v>
      </c>
      <c r="GK162" s="13">
        <f t="shared" si="366"/>
        <v>0.92819201859723821</v>
      </c>
      <c r="GL162" s="13">
        <f t="shared" si="366"/>
        <v>0.92845869455633578</v>
      </c>
      <c r="GM162" s="13">
        <f t="shared" si="366"/>
        <v>0.92845869455633578</v>
      </c>
      <c r="GN162" s="13">
        <f t="shared" si="366"/>
        <v>0.92854419862967941</v>
      </c>
      <c r="GO162" s="13">
        <f t="shared" si="366"/>
        <v>0.92916178851832321</v>
      </c>
      <c r="GP162" s="13">
        <f t="shared" si="366"/>
        <v>0.92917308088959993</v>
      </c>
      <c r="GQ162" s="13">
        <f t="shared" si="366"/>
        <v>0.92927514317828286</v>
      </c>
      <c r="GR162" s="13">
        <f t="shared" ref="GR162:IV162" si="367">+IF(GR$8 = 125, 1, 1 / GR161)</f>
        <v>0.92941837627851998</v>
      </c>
      <c r="GS162" s="13">
        <f t="shared" si="367"/>
        <v>0.92941789810029529</v>
      </c>
      <c r="GT162" s="13">
        <f t="shared" si="367"/>
        <v>0.92988252734357435</v>
      </c>
      <c r="GU162" s="13">
        <f t="shared" si="367"/>
        <v>0.92995442436604947</v>
      </c>
      <c r="GV162" s="13">
        <f t="shared" si="367"/>
        <v>0.92983718340977939</v>
      </c>
      <c r="GW162" s="13">
        <f t="shared" si="367"/>
        <v>0.92982810516463144</v>
      </c>
      <c r="GX162" s="13">
        <f t="shared" si="367"/>
        <v>0.93091648375721991</v>
      </c>
      <c r="GY162" s="13">
        <f t="shared" si="367"/>
        <v>0.93107538726561456</v>
      </c>
      <c r="GZ162" s="13">
        <f t="shared" si="367"/>
        <v>0.93110278419939263</v>
      </c>
      <c r="HA162" s="13">
        <f t="shared" si="367"/>
        <v>0.93158569819815118</v>
      </c>
      <c r="HB162" s="13">
        <f t="shared" si="367"/>
        <v>0.93228685935039679</v>
      </c>
      <c r="HC162" s="13">
        <f t="shared" si="367"/>
        <v>0.93103326509161877</v>
      </c>
      <c r="HD162" s="13">
        <f t="shared" si="367"/>
        <v>0.93144608467898427</v>
      </c>
      <c r="HE162" s="13">
        <f t="shared" si="367"/>
        <v>0.93149640453778548</v>
      </c>
      <c r="HF162" s="13">
        <f t="shared" si="367"/>
        <v>0.93180494694850124</v>
      </c>
      <c r="HG162" s="13">
        <f t="shared" si="367"/>
        <v>0.93849355475456608</v>
      </c>
      <c r="HH162" s="13">
        <f t="shared" si="367"/>
        <v>0.9389811116766853</v>
      </c>
      <c r="HI162" s="13">
        <f t="shared" si="367"/>
        <v>0.93980858252485022</v>
      </c>
      <c r="HJ162" s="13">
        <f t="shared" si="367"/>
        <v>0.9532529981703165</v>
      </c>
      <c r="HK162" s="13">
        <f t="shared" si="367"/>
        <v>0.95459684120949073</v>
      </c>
      <c r="HL162" s="13">
        <f t="shared" si="367"/>
        <v>0.95459684120949073</v>
      </c>
      <c r="HM162" s="13">
        <f t="shared" si="367"/>
        <v>0.95474199820607641</v>
      </c>
      <c r="HN162" s="13">
        <f t="shared" si="367"/>
        <v>0.95553196575711241</v>
      </c>
      <c r="HO162" s="13">
        <f t="shared" si="367"/>
        <v>0.95611534323248126</v>
      </c>
      <c r="HP162" s="13">
        <f t="shared" si="367"/>
        <v>0.95616265460128103</v>
      </c>
      <c r="HQ162" s="13">
        <f t="shared" si="367"/>
        <v>0.95617156799462555</v>
      </c>
      <c r="HR162" s="13">
        <f t="shared" si="367"/>
        <v>0.95630209857092063</v>
      </c>
      <c r="HS162" s="13">
        <f t="shared" si="367"/>
        <v>0.95659642315007787</v>
      </c>
      <c r="HT162" s="13">
        <f t="shared" si="367"/>
        <v>0.95741074846542551</v>
      </c>
      <c r="HU162" s="13">
        <f t="shared" si="367"/>
        <v>0.95828965232631502</v>
      </c>
      <c r="HV162" s="13">
        <f t="shared" si="367"/>
        <v>0.95869338620477895</v>
      </c>
      <c r="HW162" s="13">
        <f t="shared" si="367"/>
        <v>0.95894592754603425</v>
      </c>
      <c r="HX162" s="13">
        <f t="shared" si="367"/>
        <v>0.95895877110566186</v>
      </c>
      <c r="HY162" s="13">
        <f t="shared" si="367"/>
        <v>0.95908033944843341</v>
      </c>
      <c r="HZ162" s="13">
        <f t="shared" si="367"/>
        <v>0.95910020189392775</v>
      </c>
      <c r="IA162" s="13">
        <f t="shared" si="367"/>
        <v>0.95930530277057413</v>
      </c>
      <c r="IB162" s="13">
        <f t="shared" si="367"/>
        <v>0.95983606083625828</v>
      </c>
      <c r="IC162" s="13">
        <f t="shared" si="367"/>
        <v>0.96046481670427064</v>
      </c>
      <c r="ID162" s="13">
        <f t="shared" si="367"/>
        <v>0.96061345810254117</v>
      </c>
      <c r="IE162" s="13">
        <f t="shared" si="367"/>
        <v>0.96127394905246166</v>
      </c>
      <c r="IF162" s="13">
        <f t="shared" si="367"/>
        <v>0.96163921266346208</v>
      </c>
      <c r="IG162" s="13">
        <f t="shared" si="367"/>
        <v>0.96240013815052494</v>
      </c>
      <c r="IH162" s="13">
        <f t="shared" si="367"/>
        <v>0.96279177551876816</v>
      </c>
      <c r="II162" s="13">
        <f t="shared" si="367"/>
        <v>0.96279177551876816</v>
      </c>
      <c r="IJ162" s="13">
        <f t="shared" si="367"/>
        <v>0.96314858611556819</v>
      </c>
      <c r="IK162" s="13">
        <f t="shared" si="367"/>
        <v>0.96566565236472024</v>
      </c>
      <c r="IL162" s="13">
        <f t="shared" si="367"/>
        <v>0.96739080245273867</v>
      </c>
      <c r="IM162" s="13">
        <f t="shared" si="367"/>
        <v>0.9687313240122698</v>
      </c>
      <c r="IN162" s="13">
        <f t="shared" si="367"/>
        <v>0.97082886682200753</v>
      </c>
      <c r="IO162" s="13">
        <f t="shared" si="367"/>
        <v>0.97518976992097761</v>
      </c>
      <c r="IP162" s="13">
        <f t="shared" si="367"/>
        <v>0.97749555506636754</v>
      </c>
      <c r="IQ162" s="13">
        <f t="shared" si="367"/>
        <v>0.97875224917066816</v>
      </c>
      <c r="IR162" s="13">
        <f t="shared" si="367"/>
        <v>0.98195404532201691</v>
      </c>
      <c r="IS162" s="13">
        <f t="shared" si="367"/>
        <v>0.98496114688886083</v>
      </c>
      <c r="IT162" s="13">
        <f t="shared" si="367"/>
        <v>0.99042756215845329</v>
      </c>
      <c r="IU162" s="13">
        <f t="shared" si="367"/>
        <v>0.99546613762125913</v>
      </c>
      <c r="IV162" s="13">
        <f t="shared" si="367"/>
        <v>1</v>
      </c>
    </row>
    <row r="164" spans="1:256" x14ac:dyDescent="0.2">
      <c r="F164" s="15" t="s">
        <v>40</v>
      </c>
      <c r="G164" s="13" cm="1">
        <f t="array" ref="G164">IF(G$8 &lt;= 122, G162 / INDEX($G162:$EA162, 1, ROUNDUP(COUNT($G162:G162) / 3, 0) * 3), 100%)</f>
        <v>6.9457354416628564E-2</v>
      </c>
      <c r="H164" s="13" cm="1">
        <f t="array" ref="H164">IF(H$8 &lt;= 122, H162 / INDEX($G162:$EA162, 1, ROUNDUP(COUNT($G162:H162) / 3, 0) * 3), 100%)</f>
        <v>0.44699790760943464</v>
      </c>
      <c r="I164" s="13" cm="1">
        <f t="array" ref="I164">IF(I$8 &lt;= 122, I162 / INDEX($G162:$EA162, 1, ROUNDUP(COUNT($G162:I162) / 3, 0) * 3), 100%)</f>
        <v>1</v>
      </c>
      <c r="J164" s="13" cm="1">
        <f t="array" ref="J164">IF(J$8 &lt;= 122, J162 / INDEX($G162:$EA162, 1, ROUNDUP(COUNT($G162:J162) / 3, 0) * 3), 100%)</f>
        <v>0.66546392820165401</v>
      </c>
      <c r="K164" s="13" cm="1">
        <f t="array" ref="K164">IF(K$8 &lt;= 122, K162 / INDEX($G162:$EA162, 1, ROUNDUP(COUNT($G162:K162) / 3, 0) * 3), 100%)</f>
        <v>0.94167617962119365</v>
      </c>
      <c r="L164" s="13" cm="1">
        <f t="array" ref="L164">IF(L$8 &lt;= 122, L162 / INDEX($G162:$EA162, 1, ROUNDUP(COUNT($G162:L162) / 3, 0) * 3), 100%)</f>
        <v>1</v>
      </c>
      <c r="M164" s="13" cm="1">
        <f t="array" ref="M164">IF(M$8 &lt;= 122, M162 / INDEX($G162:$EA162, 1, ROUNDUP(COUNT($G162:M162) / 3, 0) * 3), 100%)</f>
        <v>0.96895960702463779</v>
      </c>
      <c r="N164" s="13" cm="1">
        <f t="array" ref="N164">IF(N$8 &lt;= 122, N162 / INDEX($G162:$EA162, 1, ROUNDUP(COUNT($G162:N162) / 3, 0) * 3), 100%)</f>
        <v>0.9902887203154247</v>
      </c>
      <c r="O164" s="13" cm="1">
        <f t="array" ref="O164">IF(O$8 &lt;= 122, O162 / INDEX($G162:$EA162, 1, ROUNDUP(COUNT($G162:O162) / 3, 0) * 3), 100%)</f>
        <v>1</v>
      </c>
      <c r="P164" s="13" cm="1">
        <f t="array" ref="P164">IF(P$8 &lt;= 122, P162 / INDEX($G162:$EA162, 1, ROUNDUP(COUNT($G162:P162) / 3, 0) * 3), 100%)</f>
        <v>0.99053317154814713</v>
      </c>
      <c r="Q164" s="13" cm="1">
        <f t="array" ref="Q164">IF(Q$8 &lt;= 122, Q162 / INDEX($G162:$EA162, 1, ROUNDUP(COUNT($G162:Q162) / 3, 0) * 3), 100%)</f>
        <v>1.0002099004251435</v>
      </c>
      <c r="R164" s="13" cm="1">
        <f t="array" ref="R164">IF(R$8 &lt;= 122, R162 / INDEX($G162:$EA162, 1, ROUNDUP(COUNT($G162:R162) / 3, 0) * 3), 100%)</f>
        <v>1</v>
      </c>
      <c r="S164" s="13" cm="1">
        <f t="array" ref="S164">IF(S$8 &lt;= 122, S162 / INDEX($G162:$EA162, 1, ROUNDUP(COUNT($G162:S162) / 3, 0) * 3), 100%)</f>
        <v>0.99874259647830366</v>
      </c>
      <c r="T164" s="13" cm="1">
        <f t="array" ref="T164">IF(T$8 &lt;= 122, T162 / INDEX($G162:$EA162, 1, ROUNDUP(COUNT($G162:T162) / 3, 0) * 3), 100%)</f>
        <v>0.99928122941111064</v>
      </c>
      <c r="U164" s="13" cm="1">
        <f t="array" ref="U164">IF(U$8 &lt;= 122, U162 / INDEX($G162:$EA162, 1, ROUNDUP(COUNT($G162:U162) / 3, 0) * 3), 100%)</f>
        <v>1</v>
      </c>
      <c r="V164" s="13" cm="1">
        <f t="array" ref="V164">IF(V$8 &lt;= 122, V162 / INDEX($G162:$EA162, 1, ROUNDUP(COUNT($G162:V162) / 3, 0) * 3), 100%)</f>
        <v>0.99885034305602682</v>
      </c>
      <c r="W164" s="13" cm="1">
        <f t="array" ref="W164">IF(W$8 &lt;= 122, W162 / INDEX($G162:$EA162, 1, ROUNDUP(COUNT($G162:W162) / 3, 0) * 3), 100%)</f>
        <v>0.99948426901628284</v>
      </c>
      <c r="X164" s="13" cm="1">
        <f t="array" ref="X164">IF(X$8 &lt;= 122, X162 / INDEX($G162:$EA162, 1, ROUNDUP(COUNT($G162:X162) / 3, 0) * 3), 100%)</f>
        <v>1</v>
      </c>
      <c r="Y164" s="13" cm="1">
        <f t="array" ref="Y164">IF(Y$8 &lt;= 122, Y162 / INDEX($G162:$EA162, 1, ROUNDUP(COUNT($G162:Y162) / 3, 0) * 3), 100%)</f>
        <v>0.9988458919561326</v>
      </c>
      <c r="Z164" s="13" cm="1">
        <f t="array" ref="Z164">IF(Z$8 &lt;= 122, Z162 / INDEX($G162:$EA162, 1, ROUNDUP(COUNT($G162:Z162) / 3, 0) * 3), 100%)</f>
        <v>0.99962886744551205</v>
      </c>
      <c r="AA164" s="13" cm="1">
        <f t="array" ref="AA164">IF(AA$8 &lt;= 122, AA162 / INDEX($G162:$EA162, 1, ROUNDUP(COUNT($G162:AA162) / 3, 0) * 3), 100%)</f>
        <v>1</v>
      </c>
      <c r="AB164" s="13" cm="1">
        <f t="array" ref="AB164">IF(AB$8 &lt;= 122, AB162 / INDEX($G162:$EA162, 1, ROUNDUP(COUNT($G162:AB162) / 3, 0) * 3), 100%)</f>
        <v>0.99866399622333135</v>
      </c>
      <c r="AC164" s="13" cm="1">
        <f t="array" ref="AC164">IF(AC$8 &lt;= 122, AC162 / INDEX($G162:$EA162, 1, ROUNDUP(COUNT($G162:AC162) / 3, 0) * 3), 100%)</f>
        <v>0.99867181136929084</v>
      </c>
      <c r="AD164" s="13" cm="1">
        <f t="array" ref="AD164">IF(AD$8 &lt;= 122, AD162 / INDEX($G162:$EA162, 1, ROUNDUP(COUNT($G162:AD162) / 3, 0) * 3), 100%)</f>
        <v>1</v>
      </c>
      <c r="AE164" s="13" cm="1">
        <f t="array" ref="AE164">IF(AE$8 &lt;= 122, AE162 / INDEX($G162:$EA162, 1, ROUNDUP(COUNT($G162:AE162) / 3, 0) * 3), 100%)</f>
        <v>0.99978407614564757</v>
      </c>
      <c r="AF164" s="13" cm="1">
        <f t="array" ref="AF164">IF(AF$8 &lt;= 122, AF162 / INDEX($G162:$EA162, 1, ROUNDUP(COUNT($G162:AF162) / 3, 0) * 3), 100%)</f>
        <v>1</v>
      </c>
      <c r="AG164" s="13" cm="1">
        <f t="array" ref="AG164">IF(AG$8 &lt;= 122, AG162 / INDEX($G162:$EA162, 1, ROUNDUP(COUNT($G162:AG162) / 3, 0) * 3), 100%)</f>
        <v>1</v>
      </c>
      <c r="AH164" s="13" cm="1">
        <f t="array" ref="AH164">IF(AH$8 &lt;= 122, AH162 / INDEX($G162:$EA162, 1, ROUNDUP(COUNT($G162:AH162) / 3, 0) * 3), 100%)</f>
        <v>0.99968929315972022</v>
      </c>
      <c r="AI164" s="13" cm="1">
        <f t="array" ref="AI164">IF(AI$8 &lt;= 122, AI162 / INDEX($G162:$EA162, 1, ROUNDUP(COUNT($G162:AI162) / 3, 0) * 3), 100%)</f>
        <v>0.99996560558527003</v>
      </c>
      <c r="AJ164" s="13" cm="1">
        <f t="array" ref="AJ164">IF(AJ$8 &lt;= 122, AJ162 / INDEX($G162:$EA162, 1, ROUNDUP(COUNT($G162:AJ162) / 3, 0) * 3), 100%)</f>
        <v>1</v>
      </c>
      <c r="AK164" s="13" cm="1">
        <f t="array" ref="AK164">IF(AK$8 &lt;= 122, AK162 / INDEX($G162:$EA162, 1, ROUNDUP(COUNT($G162:AK162) / 3, 0) * 3), 100%)</f>
        <v>0.99865746864353022</v>
      </c>
      <c r="AL164" s="13" cm="1">
        <f t="array" ref="AL164">IF(AL$8 &lt;= 122, AL162 / INDEX($G162:$EA162, 1, ROUNDUP(COUNT($G162:AL162) / 3, 0) * 3), 100%)</f>
        <v>0.99892580251187957</v>
      </c>
      <c r="AM164" s="13" cm="1">
        <f t="array" ref="AM164">IF(AM$8 &lt;= 122, AM162 / INDEX($G162:$EA162, 1, ROUNDUP(COUNT($G162:AM162) / 3, 0) * 3), 100%)</f>
        <v>1</v>
      </c>
      <c r="AN164" s="13" cm="1">
        <f t="array" ref="AN164">IF(AN$8 &lt;= 122, AN162 / INDEX($G162:$EA162, 1, ROUNDUP(COUNT($G162:AN162) / 3, 0) * 3), 100%)</f>
        <v>1.0046479191639517</v>
      </c>
      <c r="AO164" s="13" cm="1">
        <f t="array" ref="AO164">IF(AO$8 &lt;= 122, AO162 / INDEX($G162:$EA162, 1, ROUNDUP(COUNT($G162:AO162) / 3, 0) * 3), 100%)</f>
        <v>1.0046525149373753</v>
      </c>
      <c r="AP164" s="13" cm="1">
        <f t="array" ref="AP164">IF(AP$8 &lt;= 122, AP162 / INDEX($G162:$EA162, 1, ROUNDUP(COUNT($G162:AP162) / 3, 0) * 3), 100%)</f>
        <v>1</v>
      </c>
      <c r="AQ164" s="13" cm="1">
        <f t="array" ref="AQ164">IF(AQ$8 &lt;= 122, AQ162 / INDEX($G162:$EA162, 1, ROUNDUP(COUNT($G162:AQ162) / 3, 0) * 3), 100%)</f>
        <v>0.99541140717138776</v>
      </c>
      <c r="AR164" s="13" cm="1">
        <f t="array" ref="AR164">IF(AR$8 &lt;= 122, AR162 / INDEX($G162:$EA162, 1, ROUNDUP(COUNT($G162:AR162) / 3, 0) * 3), 100%)</f>
        <v>0.99544281347246344</v>
      </c>
      <c r="AS164" s="13" cm="1">
        <f t="array" ref="AS164">IF(AS$8 &lt;= 122, AS162 / INDEX($G162:$EA162, 1, ROUNDUP(COUNT($G162:AS162) / 3, 0) * 3), 100%)</f>
        <v>1</v>
      </c>
      <c r="AT164" s="13" cm="1">
        <f t="array" ref="AT164">IF(AT$8 &lt;= 122, AT162 / INDEX($G162:$EA162, 1, ROUNDUP(COUNT($G162:AT162) / 3, 0) * 3), 100%)</f>
        <v>0.99949541676976783</v>
      </c>
      <c r="AU164" s="13" cm="1">
        <f t="array" ref="AU164">IF(AU$8 &lt;= 122, AU162 / INDEX($G162:$EA162, 1, ROUNDUP(COUNT($G162:AU162) / 3, 0) * 3), 100%)</f>
        <v>0.9997836711231648</v>
      </c>
      <c r="AV164" s="13" cm="1">
        <f t="array" ref="AV164">IF(AV$8 &lt;= 122, AV162 / INDEX($G162:$EA162, 1, ROUNDUP(COUNT($G162:AV162) / 3, 0) * 3), 100%)</f>
        <v>1</v>
      </c>
      <c r="AW164" s="13" cm="1">
        <f t="array" ref="AW164">IF(AW$8 &lt;= 122, AW162 / INDEX($G162:$EA162, 1, ROUNDUP(COUNT($G162:AW162) / 3, 0) * 3), 100%)</f>
        <v>0.99993209876524769</v>
      </c>
      <c r="AX164" s="13" cm="1">
        <f t="array" ref="AX164">IF(AX$8 &lt;= 122, AX162 / INDEX($G162:$EA162, 1, ROUNDUP(COUNT($G162:AX162) / 3, 0) * 3), 100%)</f>
        <v>0.99995483989379685</v>
      </c>
      <c r="AY164" s="13" cm="1">
        <f t="array" ref="AY164">IF(AY$8 &lt;= 122, AY162 / INDEX($G162:$EA162, 1, ROUNDUP(COUNT($G162:AY162) / 3, 0) * 3), 100%)</f>
        <v>1</v>
      </c>
      <c r="AZ164" s="13" cm="1">
        <f t="array" ref="AZ164">IF(AZ$8 &lt;= 122, AZ162 / INDEX($G162:$EA162, 1, ROUNDUP(COUNT($G162:AZ162) / 3, 0) * 3), 100%)</f>
        <v>0.99986199354564609</v>
      </c>
      <c r="BA164" s="13" cm="1">
        <f t="array" ref="BA164">IF(BA$8 &lt;= 122, BA162 / INDEX($G162:$EA162, 1, ROUNDUP(COUNT($G162:BA162) / 3, 0) * 3), 100%)</f>
        <v>0.99987727749707533</v>
      </c>
      <c r="BB164" s="13" cm="1">
        <f t="array" ref="BB164">IF(BB$8 &lt;= 122, BB162 / INDEX($G162:$EA162, 1, ROUNDUP(COUNT($G162:BB162) / 3, 0) * 3), 100%)</f>
        <v>1</v>
      </c>
      <c r="BC164" s="13" cm="1">
        <f t="array" ref="BC164">IF(BC$8 &lt;= 122, BC162 / INDEX($G162:$EA162, 1, ROUNDUP(COUNT($G162:BC162) / 3, 0) * 3), 100%)</f>
        <v>0.99992024911596888</v>
      </c>
      <c r="BD164" s="13" cm="1">
        <f t="array" ref="BD164">IF(BD$8 &lt;= 122, BD162 / INDEX($G162:$EA162, 1, ROUNDUP(COUNT($G162:BD162) / 3, 0) * 3), 100%)</f>
        <v>0.99999565837421411</v>
      </c>
      <c r="BE164" s="13" cm="1">
        <f t="array" ref="BE164">IF(BE$8 &lt;= 122, BE162 / INDEX($G162:$EA162, 1, ROUNDUP(COUNT($G162:BE162) / 3, 0) * 3), 100%)</f>
        <v>1</v>
      </c>
      <c r="BF164" s="13" cm="1">
        <f t="array" ref="BF164">IF(BF$8 &lt;= 122, BF162 / INDEX($G162:$EA162, 1, ROUNDUP(COUNT($G162:BF162) / 3, 0) * 3), 100%)</f>
        <v>0.99974109828727564</v>
      </c>
      <c r="BG164" s="13" cm="1">
        <f t="array" ref="BG164">IF(BG$8 &lt;= 122, BG162 / INDEX($G162:$EA162, 1, ROUNDUP(COUNT($G162:BG162) / 3, 0) * 3), 100%)</f>
        <v>1</v>
      </c>
      <c r="BH164" s="13" cm="1">
        <f t="array" ref="BH164">IF(BH$8 &lt;= 122, BH162 / INDEX($G162:$EA162, 1, ROUNDUP(COUNT($G162:BH162) / 3, 0) * 3), 100%)</f>
        <v>1</v>
      </c>
      <c r="BI164" s="13" cm="1">
        <f t="array" ref="BI164">IF(BI$8 &lt;= 122, BI162 / INDEX($G162:$EA162, 1, ROUNDUP(COUNT($G162:BI162) / 3, 0) * 3), 100%)</f>
        <v>0.99984825018585266</v>
      </c>
      <c r="BJ164" s="13" cm="1">
        <f t="array" ref="BJ164">IF(BJ$8 &lt;= 122, BJ162 / INDEX($G162:$EA162, 1, ROUNDUP(COUNT($G162:BJ162) / 3, 0) * 3), 100%)</f>
        <v>0.99991408183141128</v>
      </c>
      <c r="BK164" s="13" cm="1">
        <f t="array" ref="BK164">IF(BK$8 &lt;= 122, BK162 / INDEX($G162:$EA162, 1, ROUNDUP(COUNT($G162:BK162) / 3, 0) * 3), 100%)</f>
        <v>1</v>
      </c>
      <c r="BL164" s="13" cm="1">
        <f t="array" ref="BL164">IF(BL$8 &lt;= 122, BL162 / INDEX($G162:$EA162, 1, ROUNDUP(COUNT($G162:BL162) / 3, 0) * 3), 100%)</f>
        <v>0.99948363968803466</v>
      </c>
      <c r="BM164" s="13" cm="1">
        <f t="array" ref="BM164">IF(BM$8 &lt;= 122, BM162 / INDEX($G162:$EA162, 1, ROUNDUP(COUNT($G162:BM162) / 3, 0) * 3), 100%)</f>
        <v>0.99982602493517858</v>
      </c>
      <c r="BN164" s="13" cm="1">
        <f t="array" ref="BN164">IF(BN$8 &lt;= 122, BN162 / INDEX($G162:$EA162, 1, ROUNDUP(COUNT($G162:BN162) / 3, 0) * 3), 100%)</f>
        <v>1</v>
      </c>
      <c r="BO164" s="13" cm="1">
        <f t="array" ref="BO164">IF(BO$8 &lt;= 122, BO162 / INDEX($G162:$EA162, 1, ROUNDUP(COUNT($G162:BO162) / 3, 0) * 3), 100%)</f>
        <v>0.99918723556019484</v>
      </c>
      <c r="BP164" s="13" cm="1">
        <f t="array" ref="BP164">IF(BP$8 &lt;= 122, BP162 / INDEX($G162:$EA162, 1, ROUNDUP(COUNT($G162:BP162) / 3, 0) * 3), 100%)</f>
        <v>0.99971257339551722</v>
      </c>
      <c r="BQ164" s="13" cm="1">
        <f t="array" ref="BQ164">IF(BQ$8 &lt;= 122, BQ162 / INDEX($G162:$EA162, 1, ROUNDUP(COUNT($G162:BQ162) / 3, 0) * 3), 100%)</f>
        <v>1</v>
      </c>
      <c r="BR164" s="13" cm="1">
        <f t="array" ref="BR164">IF(BR$8 &lt;= 122, BR162 / INDEX($G162:$EA162, 1, ROUNDUP(COUNT($G162:BR162) / 3, 0) * 3), 100%)</f>
        <v>0.99983978635494319</v>
      </c>
      <c r="BS164" s="13" cm="1">
        <f t="array" ref="BS164">IF(BS$8 &lt;= 122, BS162 / INDEX($G162:$EA162, 1, ROUNDUP(COUNT($G162:BS162) / 3, 0) * 3), 100%)</f>
        <v>0.99993192892422444</v>
      </c>
      <c r="BT164" s="13" cm="1">
        <f t="array" ref="BT164">IF(BT$8 &lt;= 122, BT162 / INDEX($G162:$EA162, 1, ROUNDUP(COUNT($G162:BT162) / 3, 0) * 3), 100%)</f>
        <v>1</v>
      </c>
      <c r="BU164" s="13" cm="1">
        <f t="array" ref="BU164">IF(BU$8 &lt;= 122, BU162 / INDEX($G162:$EA162, 1, ROUNDUP(COUNT($G162:BU162) / 3, 0) * 3), 100%)</f>
        <v>0.99982321197356783</v>
      </c>
      <c r="BV164" s="13" cm="1">
        <f t="array" ref="BV164">IF(BV$8 &lt;= 122, BV162 / INDEX($G162:$EA162, 1, ROUNDUP(COUNT($G162:BV162) / 3, 0) * 3), 100%)</f>
        <v>0.99993294870361404</v>
      </c>
      <c r="BW164" s="13" cm="1">
        <f t="array" ref="BW164">IF(BW$8 &lt;= 122, BW162 / INDEX($G162:$EA162, 1, ROUNDUP(COUNT($G162:BW162) / 3, 0) * 3), 100%)</f>
        <v>1</v>
      </c>
      <c r="BX164" s="13" cm="1">
        <f t="array" ref="BX164">IF(BX$8 &lt;= 122, BX162 / INDEX($G162:$EA162, 1, ROUNDUP(COUNT($G162:BX162) / 3, 0) * 3), 100%)</f>
        <v>0.99867266654147668</v>
      </c>
      <c r="BY164" s="13" cm="1">
        <f t="array" ref="BY164">IF(BY$8 &lt;= 122, BY162 / INDEX($G162:$EA162, 1, ROUNDUP(COUNT($G162:BY162) / 3, 0) * 3), 100%)</f>
        <v>0.99970271612392136</v>
      </c>
      <c r="BZ164" s="13" cm="1">
        <f t="array" ref="BZ164">IF(BZ$8 &lt;= 122, BZ162 / INDEX($G162:$EA162, 1, ROUNDUP(COUNT($G162:BZ162) / 3, 0) * 3), 100%)</f>
        <v>1</v>
      </c>
      <c r="CA164" s="13" cm="1">
        <f t="array" ref="CA164">IF(CA$8 &lt;= 122, CA162 / INDEX($G162:$EA162, 1, ROUNDUP(COUNT($G162:CA162) / 3, 0) * 3), 100%)</f>
        <v>0.99876116211576715</v>
      </c>
      <c r="CB164" s="13" cm="1">
        <f t="array" ref="CB164">IF(CB$8 &lt;= 122, CB162 / INDEX($G162:$EA162, 1, ROUNDUP(COUNT($G162:CB162) / 3, 0) * 3), 100%)</f>
        <v>0.99882852745011919</v>
      </c>
      <c r="CC164" s="13" cm="1">
        <f t="array" ref="CC164">IF(CC$8 &lt;= 122, CC162 / INDEX($G162:$EA162, 1, ROUNDUP(COUNT($G162:CC162) / 3, 0) * 3), 100%)</f>
        <v>1</v>
      </c>
      <c r="CD164" s="13" cm="1">
        <f t="array" ref="CD164">IF(CD$8 &lt;= 122, CD162 / INDEX($G162:$EA162, 1, ROUNDUP(COUNT($G162:CD162) / 3, 0) * 3), 100%)</f>
        <v>0.99945202614679729</v>
      </c>
      <c r="CE164" s="13" cm="1">
        <f t="array" ref="CE164">IF(CE$8 &lt;= 122, CE162 / INDEX($G162:$EA162, 1, ROUNDUP(COUNT($G162:CE162) / 3, 0) * 3), 100%)</f>
        <v>0.99948079922892796</v>
      </c>
      <c r="CF164" s="13" cm="1">
        <f t="array" ref="CF164">IF(CF$8 &lt;= 122, CF162 / INDEX($G162:$EA162, 1, ROUNDUP(COUNT($G162:CF162) / 3, 0) * 3), 100%)</f>
        <v>1</v>
      </c>
      <c r="CG164" s="13" cm="1">
        <f t="array" ref="CG164">IF(CG$8 &lt;= 122, CG162 / INDEX($G162:$EA162, 1, ROUNDUP(COUNT($G162:CG162) / 3, 0) * 3), 100%)</f>
        <v>0.99931139128835345</v>
      </c>
      <c r="CH164" s="13" cm="1">
        <f t="array" ref="CH164">IF(CH$8 &lt;= 122, CH162 / INDEX($G162:$EA162, 1, ROUNDUP(COUNT($G162:CH162) / 3, 0) * 3), 100%)</f>
        <v>0.99954948955614487</v>
      </c>
      <c r="CI164" s="13" cm="1">
        <f t="array" ref="CI164">IF(CI$8 &lt;= 122, CI162 / INDEX($G162:$EA162, 1, ROUNDUP(COUNT($G162:CI162) / 3, 0) * 3), 100%)</f>
        <v>1</v>
      </c>
      <c r="CJ164" s="13" cm="1">
        <f t="array" ref="CJ164">IF(CJ$8 &lt;= 122, CJ162 / INDEX($G162:$EA162, 1, ROUNDUP(COUNT($G162:CJ162) / 3, 0) * 3), 100%)</f>
        <v>0.99964124721989511</v>
      </c>
      <c r="CK164" s="13" cm="1">
        <f t="array" ref="CK164">IF(CK$8 &lt;= 122, CK162 / INDEX($G162:$EA162, 1, ROUNDUP(COUNT($G162:CK162) / 3, 0) * 3), 100%)</f>
        <v>0.99997782059349039</v>
      </c>
      <c r="CL164" s="13" cm="1">
        <f t="array" ref="CL164">IF(CL$8 &lt;= 122, CL162 / INDEX($G162:$EA162, 1, ROUNDUP(COUNT($G162:CL162) / 3, 0) * 3), 100%)</f>
        <v>1</v>
      </c>
      <c r="CM164" s="13" cm="1">
        <f t="array" ref="CM164">IF(CM$8 &lt;= 122, CM162 / INDEX($G162:$EA162, 1, ROUNDUP(COUNT($G162:CM162) / 3, 0) * 3), 100%)</f>
        <v>0.99901807506675</v>
      </c>
      <c r="CN164" s="13" cm="1">
        <f t="array" ref="CN164">IF(CN$8 &lt;= 122, CN162 / INDEX($G162:$EA162, 1, ROUNDUP(COUNT($G162:CN162) / 3, 0) * 3), 100%)</f>
        <v>0.99992205538472989</v>
      </c>
      <c r="CO164" s="13" cm="1">
        <f t="array" ref="CO164">IF(CO$8 &lt;= 122, CO162 / INDEX($G162:$EA162, 1, ROUNDUP(COUNT($G162:CO162) / 3, 0) * 3), 100%)</f>
        <v>1</v>
      </c>
      <c r="CP164" s="13" cm="1">
        <f t="array" ref="CP164">IF(CP$8 &lt;= 122, CP162 / INDEX($G162:$EA162, 1, ROUNDUP(COUNT($G162:CP162) / 3, 0) * 3), 100%)</f>
        <v>0.9998474664756003</v>
      </c>
      <c r="CQ164" s="13" cm="1">
        <f t="array" ref="CQ164">IF(CQ$8 &lt;= 122, CQ162 / INDEX($G162:$EA162, 1, ROUNDUP(COUNT($G162:CQ162) / 3, 0) * 3), 100%)</f>
        <v>0.9998474664756003</v>
      </c>
      <c r="CR164" s="13" cm="1">
        <f t="array" ref="CR164">IF(CR$8 &lt;= 122, CR162 / INDEX($G162:$EA162, 1, ROUNDUP(COUNT($G162:CR162) / 3, 0) * 3), 100%)</f>
        <v>1</v>
      </c>
      <c r="CS164" s="13" cm="1">
        <f t="array" ref="CS164">IF(CS$8 &lt;= 122, CS162 / INDEX($G162:$EA162, 1, ROUNDUP(COUNT($G162:CS162) / 3, 0) * 3), 100%)</f>
        <v>0.99933827425959187</v>
      </c>
      <c r="CT164" s="13" cm="1">
        <f t="array" ref="CT164">IF(CT$8 &lt;= 122, CT162 / INDEX($G162:$EA162, 1, ROUNDUP(COUNT($G162:CT162) / 3, 0) * 3), 100%)</f>
        <v>0.99995038379595791</v>
      </c>
      <c r="CU164" s="13" cm="1">
        <f t="array" ref="CU164">IF(CU$8 &lt;= 122, CU162 / INDEX($G162:$EA162, 1, ROUNDUP(COUNT($G162:CU162) / 3, 0) * 3), 100%)</f>
        <v>1</v>
      </c>
      <c r="CV164" s="13" cm="1">
        <f t="array" ref="CV164">IF(CV$8 &lt;= 122, CV162 / INDEX($G162:$EA162, 1, ROUNDUP(COUNT($G162:CV162) / 3, 0) * 3), 100%)</f>
        <v>0.99955551081287586</v>
      </c>
      <c r="CW164" s="13" cm="1">
        <f t="array" ref="CW164">IF(CW$8 &lt;= 122, CW162 / INDEX($G162:$EA162, 1, ROUNDUP(COUNT($G162:CW162) / 3, 0) * 3), 100%)</f>
        <v>0.99969219761948058</v>
      </c>
      <c r="CX164" s="13" cm="1">
        <f t="array" ref="CX164">IF(CX$8 &lt;= 122, CX162 / INDEX($G162:$EA162, 1, ROUNDUP(COUNT($G162:CX162) / 3, 0) * 3), 100%)</f>
        <v>1</v>
      </c>
      <c r="CY164" s="13" cm="1">
        <f t="array" ref="CY164">IF(CY$8 &lt;= 122, CY162 / INDEX($G162:$EA162, 1, ROUNDUP(COUNT($G162:CY162) / 3, 0) * 3), 100%)</f>
        <v>0.99866168785811615</v>
      </c>
      <c r="CZ164" s="13" cm="1">
        <f t="array" ref="CZ164">IF(CZ$8 &lt;= 122, CZ162 / INDEX($G162:$EA162, 1, ROUNDUP(COUNT($G162:CZ162) / 3, 0) * 3), 100%)</f>
        <v>0.99957882759315886</v>
      </c>
      <c r="DA164" s="13" cm="1">
        <f t="array" ref="DA164">IF(DA$8 &lt;= 122, DA162 / INDEX($G162:$EA162, 1, ROUNDUP(COUNT($G162:DA162) / 3, 0) * 3), 100%)</f>
        <v>1</v>
      </c>
      <c r="DB164" s="13" cm="1">
        <f t="array" ref="DB164">IF(DB$8 &lt;= 122, DB162 / INDEX($G162:$EA162, 1, ROUNDUP(COUNT($G162:DB162) / 3, 0) * 3), 100%)</f>
        <v>0.99985985197375737</v>
      </c>
      <c r="DC164" s="13" cm="1">
        <f t="array" ref="DC164">IF(DC$8 &lt;= 122, DC162 / INDEX($G162:$EA162, 1, ROUNDUP(COUNT($G162:DC162) / 3, 0) * 3), 100%)</f>
        <v>0.99987324488077667</v>
      </c>
      <c r="DD164" s="13" cm="1">
        <f t="array" ref="DD164">IF(DD$8 &lt;= 122, DD162 / INDEX($G162:$EA162, 1, ROUNDUP(COUNT($G162:DD162) / 3, 0) * 3), 100%)</f>
        <v>1</v>
      </c>
      <c r="DE164" s="13" cm="1">
        <f t="array" ref="DE164">IF(DE$8 &lt;= 122, DE162 / INDEX($G162:$EA162, 1, ROUNDUP(COUNT($G162:DE162) / 3, 0) * 3), 100%)</f>
        <v>0.99923334934750274</v>
      </c>
      <c r="DF164" s="13" cm="1">
        <f t="array" ref="DF164">IF(DF$8 &lt;= 122, DF162 / INDEX($G162:$EA162, 1, ROUNDUP(COUNT($G162:DF162) / 3, 0) * 3), 100%)</f>
        <v>0.9994470325846877</v>
      </c>
      <c r="DG164" s="13" cm="1">
        <f t="array" ref="DG164">IF(DG$8 &lt;= 122, DG162 / INDEX($G162:$EA162, 1, ROUNDUP(COUNT($G162:DG162) / 3, 0) * 3), 100%)</f>
        <v>1</v>
      </c>
      <c r="DH164" s="13" cm="1">
        <f t="array" ref="DH164">IF(DH$8 &lt;= 122, DH162 / INDEX($G162:$EA162, 1, ROUNDUP(COUNT($G162:DH162) / 3, 0) * 3), 100%)</f>
        <v>0.99968051829353766</v>
      </c>
      <c r="DI164" s="13" cm="1">
        <f t="array" ref="DI164">IF(DI$8 &lt;= 122, DI162 / INDEX($G162:$EA162, 1, ROUNDUP(COUNT($G162:DI162) / 3, 0) * 3), 100%)</f>
        <v>0.99983522870820218</v>
      </c>
      <c r="DJ164" s="13" cm="1">
        <f t="array" ref="DJ164">IF(DJ$8 &lt;= 122, DJ162 / INDEX($G162:$EA162, 1, ROUNDUP(COUNT($G162:DJ162) / 3, 0) * 3), 100%)</f>
        <v>1</v>
      </c>
      <c r="DK164" s="13" cm="1">
        <f t="array" ref="DK164">IF(DK$8 &lt;= 122, DK162 / INDEX($G162:$EA162, 1, ROUNDUP(COUNT($G162:DK162) / 3, 0) * 3), 100%)</f>
        <v>0.99828130417984062</v>
      </c>
      <c r="DL164" s="13" cm="1">
        <f t="array" ref="DL164">IF(DL$8 &lt;= 122, DL162 / INDEX($G162:$EA162, 1, ROUNDUP(COUNT($G162:DL162) / 3, 0) * 3), 100%)</f>
        <v>0.99959322734343881</v>
      </c>
      <c r="DM164" s="13" cm="1">
        <f t="array" ref="DM164">IF(DM$8 &lt;= 122, DM162 / INDEX($G162:$EA162, 1, ROUNDUP(COUNT($G162:DM162) / 3, 0) * 3), 100%)</f>
        <v>1</v>
      </c>
      <c r="DN164" s="13" cm="1">
        <f t="array" ref="DN164">IF(DN$8 &lt;= 122, DN162 / INDEX($G162:$EA162, 1, ROUNDUP(COUNT($G162:DN162) / 3, 0) * 3), 100%)</f>
        <v>0.99710586287306779</v>
      </c>
      <c r="DO164" s="13" cm="1">
        <f t="array" ref="DO164">IF(DO$8 &lt;= 122, DO162 / INDEX($G162:$EA162, 1, ROUNDUP(COUNT($G162:DO162) / 3, 0) * 3), 100%)</f>
        <v>0.9974753902693867</v>
      </c>
      <c r="DP164" s="13" cm="1">
        <f t="array" ref="DP164">IF(DP$8 &lt;= 122, DP162 / INDEX($G162:$EA162, 1, ROUNDUP(COUNT($G162:DP162) / 3, 0) * 3), 100%)</f>
        <v>1</v>
      </c>
      <c r="DQ164" s="13" cm="1">
        <f t="array" ref="DQ164">IF(DQ$8 &lt;= 122, DQ162 / INDEX($G162:$EA162, 1, ROUNDUP(COUNT($G162:DQ162) / 3, 0) * 3), 100%)</f>
        <v>0.99688570781010477</v>
      </c>
      <c r="DR164" s="13" cm="1">
        <f t="array" ref="DR164">IF(DR$8 &lt;= 122, DR162 / INDEX($G162:$EA162, 1, ROUNDUP(COUNT($G162:DR162) / 3, 0) * 3), 100%)</f>
        <v>0.99786951530768253</v>
      </c>
      <c r="DS164" s="13" cm="1">
        <f t="array" ref="DS164">IF(DS$8 &lt;= 122, DS162 / INDEX($G162:$EA162, 1, ROUNDUP(COUNT($G162:DS162) / 3, 0) * 3), 100%)</f>
        <v>1</v>
      </c>
      <c r="DT164" s="13" cm="1">
        <f t="array" ref="DT164">IF(DT$8 &lt;= 122, DT162 / INDEX($G162:$EA162, 1, ROUNDUP(COUNT($G162:DT162) / 3, 0) * 3), 100%)</f>
        <v>0.99636341524941607</v>
      </c>
      <c r="DU164" s="13" cm="1">
        <f t="array" ref="DU164">IF(DU$8 &lt;= 122, DU162 / INDEX($G162:$EA162, 1, ROUNDUP(COUNT($G162:DU162) / 3, 0) * 3), 100%)</f>
        <v>0.99859639496415276</v>
      </c>
      <c r="DV164" s="13" cm="1">
        <f t="array" ref="DV164">IF(DV$8 &lt;= 122, DV162 / INDEX($G162:$EA162, 1, ROUNDUP(COUNT($G162:DV162) / 3, 0) * 3), 100%)</f>
        <v>1</v>
      </c>
      <c r="DW164" s="13" cm="1">
        <f t="array" ref="DW164">IF(DW$8 &lt;= 122, DW162 / INDEX($G162:$EA162, 1, ROUNDUP(COUNT($G162:DW162) / 3, 0) * 3), 100%)</f>
        <v>0.99329685921402189</v>
      </c>
      <c r="DX164" s="13" cm="1">
        <f t="array" ref="DX164">IF(DX$8 &lt;= 122, DX162 / INDEX($G162:$EA162, 1, ROUNDUP(COUNT($G162:DX162) / 3, 0) * 3), 100%)</f>
        <v>0.99616339568271473</v>
      </c>
      <c r="DY164" s="13" cm="1">
        <f t="array" ref="DY164">IF(DY$8 &lt;= 122, DY162 / INDEX($G162:$EA162, 1, ROUNDUP(COUNT($G162:DY162) / 3, 0) * 3), 100%)</f>
        <v>1</v>
      </c>
      <c r="DZ164" s="13" cm="1">
        <f t="array" ref="DZ164">IF(DZ$8 &lt;= 122, DZ162 / INDEX($G162:$EA162, 1, ROUNDUP(COUNT($G162:DZ162) / 3, 0) * 3), 100%)</f>
        <v>1</v>
      </c>
      <c r="EA164" s="13" cm="1">
        <f t="array" ref="EA164">IF(EA$8 &lt;= 122, EA162 / INDEX($G162:$EA162, 1, ROUNDUP(COUNT($G162:EA162) / 3, 0) * 3), 100%)</f>
        <v>1</v>
      </c>
      <c r="EB164" s="13" cm="1">
        <f t="array" ref="EB164">IF(EB$8 &lt;= 122, EB162 / INDEX($EB162:$IV162, 1, ROUNDUP(COUNT($EB162:EB162) / 3, 0) * 3), 100%)</f>
        <v>0.19553411515897381</v>
      </c>
      <c r="EC164" s="13" cm="1">
        <f t="array" ref="EC164">IF(EC$8 &lt;= 122, EC162 / INDEX($EB162:$IV162, 1, ROUNDUP(COUNT($EB162:EC162) / 3, 0) * 3), 100%)</f>
        <v>0.46411103929953867</v>
      </c>
      <c r="ED164" s="13" cm="1">
        <f t="array" ref="ED164">IF(ED$8 &lt;= 122, ED162 / INDEX($EB162:$IV162, 1, ROUNDUP(COUNT($EB162:ED162) / 3, 0) * 3), 100%)</f>
        <v>1</v>
      </c>
      <c r="EE164" s="13" cm="1">
        <f t="array" ref="EE164">IF(EE$8 &lt;= 122, EE162 / INDEX($EB162:$IV162, 1, ROUNDUP(COUNT($EB162:EE162) / 3, 0) * 3), 100%)</f>
        <v>1.0046049195964717</v>
      </c>
      <c r="EF164" s="13" cm="1">
        <f t="array" ref="EF164">IF(EF$8 &lt;= 122, EF162 / INDEX($EB162:$IV162, 1, ROUNDUP(COUNT($EB162:EF162) / 3, 0) * 3), 100%)</f>
        <v>0.99236091876771781</v>
      </c>
      <c r="EG164" s="13" cm="1">
        <f t="array" ref="EG164">IF(EG$8 &lt;= 122, EG162 / INDEX($EB162:$IV162, 1, ROUNDUP(COUNT($EB162:EG162) / 3, 0) * 3), 100%)</f>
        <v>1</v>
      </c>
      <c r="EH164" s="13" cm="1">
        <f t="array" ref="EH164">IF(EH$8 &lt;= 122, EH162 / INDEX($EB162:$IV162, 1, ROUNDUP(COUNT($EB162:EH162) / 3, 0) * 3), 100%)</f>
        <v>0.99104734807565753</v>
      </c>
      <c r="EI164" s="13" cm="1">
        <f t="array" ref="EI164">IF(EI$8 &lt;= 122, EI162 / INDEX($EB162:$IV162, 1, ROUNDUP(COUNT($EB162:EI162) / 3, 0) * 3), 100%)</f>
        <v>0.99027877618215421</v>
      </c>
      <c r="EJ164" s="13" cm="1">
        <f t="array" ref="EJ164">IF(EJ$8 &lt;= 122, EJ162 / INDEX($EB162:$IV162, 1, ROUNDUP(COUNT($EB162:EJ162) / 3, 0) * 3), 100%)</f>
        <v>1</v>
      </c>
      <c r="EK164" s="13" cm="1">
        <f t="array" ref="EK164">IF(EK$8 &lt;= 122, EK162 / INDEX($EB162:$IV162, 1, ROUNDUP(COUNT($EB162:EK162) / 3, 0) * 3), 100%)</f>
        <v>1.001042053474843</v>
      </c>
      <c r="EL164" s="13" cm="1">
        <f t="array" ref="EL164">IF(EL$8 &lt;= 122, EL162 / INDEX($EB162:$IV162, 1, ROUNDUP(COUNT($EB162:EL162) / 3, 0) * 3), 100%)</f>
        <v>1.0059396093200736</v>
      </c>
      <c r="EM164" s="13" cm="1">
        <f t="array" ref="EM164">IF(EM$8 &lt;= 122, EM162 / INDEX($EB162:$IV162, 1, ROUNDUP(COUNT($EB162:EM162) / 3, 0) * 3), 100%)</f>
        <v>1</v>
      </c>
      <c r="EN164" s="13" cm="1">
        <f t="array" ref="EN164">IF(EN$8 &lt;= 122, EN162 / INDEX($EB162:$IV162, 1, ROUNDUP(COUNT($EB162:EN162) / 3, 0) * 3), 100%)</f>
        <v>1.0082031798967517</v>
      </c>
      <c r="EO164" s="13" cm="1">
        <f t="array" ref="EO164">IF(EO$8 &lt;= 122, EO162 / INDEX($EB162:$IV162, 1, ROUNDUP(COUNT($EB162:EO162) / 3, 0) * 3), 100%)</f>
        <v>1.0014509628521757</v>
      </c>
      <c r="EP164" s="13" cm="1">
        <f t="array" ref="EP164">IF(EP$8 &lt;= 122, EP162 / INDEX($EB162:$IV162, 1, ROUNDUP(COUNT($EB162:EP162) / 3, 0) * 3), 100%)</f>
        <v>1</v>
      </c>
      <c r="EQ164" s="13" cm="1">
        <f t="array" ref="EQ164">IF(EQ$8 &lt;= 122, EQ162 / INDEX($EB162:$IV162, 1, ROUNDUP(COUNT($EB162:EQ162) / 3, 0) * 3), 100%)</f>
        <v>0.99868731036045677</v>
      </c>
      <c r="ER164" s="13" cm="1">
        <f t="array" ref="ER164">IF(ER$8 &lt;= 122, ER162 / INDEX($EB162:$IV162, 1, ROUNDUP(COUNT($EB162:ER162) / 3, 0) * 3), 100%)</f>
        <v>0.99091620432987082</v>
      </c>
      <c r="ES164" s="13" cm="1">
        <f t="array" ref="ES164">IF(ES$8 &lt;= 122, ES162 / INDEX($EB162:$IV162, 1, ROUNDUP(COUNT($EB162:ES162) / 3, 0) * 3), 100%)</f>
        <v>1</v>
      </c>
      <c r="ET164" s="13" cm="1">
        <f t="array" ref="ET164">IF(ET$8 &lt;= 122, ET162 / INDEX($EB162:$IV162, 1, ROUNDUP(COUNT($EB162:ET162) / 3, 0) * 3), 100%)</f>
        <v>0.99923005361281414</v>
      </c>
      <c r="EU164" s="13" cm="1">
        <f t="array" ref="EU164">IF(EU$8 &lt;= 122, EU162 / INDEX($EB162:$IV162, 1, ROUNDUP(COUNT($EB162:EU162) / 3, 0) * 3), 100%)</f>
        <v>0.99999246633545702</v>
      </c>
      <c r="EV164" s="13" cm="1">
        <f t="array" ref="EV164">IF(EV$8 &lt;= 122, EV162 / INDEX($EB162:$IV162, 1, ROUNDUP(COUNT($EB162:EV162) / 3, 0) * 3), 100%)</f>
        <v>1</v>
      </c>
      <c r="EW164" s="13" cm="1">
        <f t="array" ref="EW164">IF(EW$8 &lt;= 122, EW162 / INDEX($EB162:$IV162, 1, ROUNDUP(COUNT($EB162:EW162) / 3, 0) * 3), 100%)</f>
        <v>0.99976908032898848</v>
      </c>
      <c r="EX164" s="13" cm="1">
        <f t="array" ref="EX164">IF(EX$8 &lt;= 122, EX162 / INDEX($EB162:$IV162, 1, ROUNDUP(COUNT($EB162:EX162) / 3, 0) * 3), 100%)</f>
        <v>0.99978073438304182</v>
      </c>
      <c r="EY164" s="13" cm="1">
        <f t="array" ref="EY164">IF(EY$8 &lt;= 122, EY162 / INDEX($EB162:$IV162, 1, ROUNDUP(COUNT($EB162:EY162) / 3, 0) * 3), 100%)</f>
        <v>1</v>
      </c>
      <c r="EZ164" s="13" cm="1">
        <f t="array" ref="EZ164">IF(EZ$8 &lt;= 122, EZ162 / INDEX($EB162:$IV162, 1, ROUNDUP(COUNT($EB162:EZ162) / 3, 0) * 3), 100%)</f>
        <v>0.99980164591985721</v>
      </c>
      <c r="FA164" s="13" cm="1">
        <f t="array" ref="FA164">IF(FA$8 &lt;= 122, FA162 / INDEX($EB162:$IV162, 1, ROUNDUP(COUNT($EB162:FA162) / 3, 0) * 3), 100%)</f>
        <v>1</v>
      </c>
      <c r="FB164" s="13" cm="1">
        <f t="array" ref="FB164">IF(FB$8 &lt;= 122, FB162 / INDEX($EB162:$IV162, 1, ROUNDUP(COUNT($EB162:FB162) / 3, 0) * 3), 100%)</f>
        <v>1</v>
      </c>
      <c r="FC164" s="13" cm="1">
        <f t="array" ref="FC164">IF(FC$8 &lt;= 122, FC162 / INDEX($EB162:$IV162, 1, ROUNDUP(COUNT($EB162:FC162) / 3, 0) * 3), 100%)</f>
        <v>0.99622169705065056</v>
      </c>
      <c r="FD164" s="13" cm="1">
        <f t="array" ref="FD164">IF(FD$8 &lt;= 122, FD162 / INDEX($EB162:$IV162, 1, ROUNDUP(COUNT($EB162:FD162) / 3, 0) * 3), 100%)</f>
        <v>0.99629701391670322</v>
      </c>
      <c r="FE164" s="13" cm="1">
        <f t="array" ref="FE164">IF(FE$8 &lt;= 122, FE162 / INDEX($EB162:$IV162, 1, ROUNDUP(COUNT($EB162:FE162) / 3, 0) * 3), 100%)</f>
        <v>1</v>
      </c>
      <c r="FF164" s="13" cm="1">
        <f t="array" ref="FF164">IF(FF$8 &lt;= 122, FF162 / INDEX($EB162:$IV162, 1, ROUNDUP(COUNT($EB162:FF162) / 3, 0) * 3), 100%)</f>
        <v>0.99553332042825593</v>
      </c>
      <c r="FG164" s="13" cm="1">
        <f t="array" ref="FG164">IF(FG$8 &lt;= 122, FG162 / INDEX($EB162:$IV162, 1, ROUNDUP(COUNT($EB162:FG162) / 3, 0) * 3), 100%)</f>
        <v>0.9959955710050028</v>
      </c>
      <c r="FH164" s="13" cm="1">
        <f t="array" ref="FH164">IF(FH$8 &lt;= 122, FH162 / INDEX($EB162:$IV162, 1, ROUNDUP(COUNT($EB162:FH162) / 3, 0) * 3), 100%)</f>
        <v>1</v>
      </c>
      <c r="FI164" s="13" cm="1">
        <f t="array" ref="FI164">IF(FI$8 &lt;= 122, FI162 / INDEX($EB162:$IV162, 1, ROUNDUP(COUNT($EB162:FI162) / 3, 0) * 3), 100%)</f>
        <v>0.99457265521028659</v>
      </c>
      <c r="FJ164" s="13" cm="1">
        <f t="array" ref="FJ164">IF(FJ$8 &lt;= 122, FJ162 / INDEX($EB162:$IV162, 1, ROUNDUP(COUNT($EB162:FJ162) / 3, 0) * 3), 100%)</f>
        <v>0.99924877645559096</v>
      </c>
      <c r="FK164" s="13" cm="1">
        <f t="array" ref="FK164">IF(FK$8 &lt;= 122, FK162 / INDEX($EB162:$IV162, 1, ROUNDUP(COUNT($EB162:FK162) / 3, 0) * 3), 100%)</f>
        <v>1</v>
      </c>
      <c r="FL164" s="13" cm="1">
        <f t="array" ref="FL164">IF(FL$8 &lt;= 122, FL162 / INDEX($EB162:$IV162, 1, ROUNDUP(COUNT($EB162:FL162) / 3, 0) * 3), 100%)</f>
        <v>1.0020592821666559</v>
      </c>
      <c r="FM164" s="13" cm="1">
        <f t="array" ref="FM164">IF(FM$8 &lt;= 122, FM162 / INDEX($EB162:$IV162, 1, ROUNDUP(COUNT($EB162:FM162) / 3, 0) * 3), 100%)</f>
        <v>1.0020453329815884</v>
      </c>
      <c r="FN164" s="13" cm="1">
        <f t="array" ref="FN164">IF(FN$8 &lt;= 122, FN162 / INDEX($EB162:$IV162, 1, ROUNDUP(COUNT($EB162:FN162) / 3, 0) * 3), 100%)</f>
        <v>1</v>
      </c>
      <c r="FO164" s="13" cm="1">
        <f t="array" ref="FO164">IF(FO$8 &lt;= 122, FO162 / INDEX($EB162:$IV162, 1, ROUNDUP(COUNT($EB162:FO162) / 3, 0) * 3), 100%)</f>
        <v>0.99953655415543785</v>
      </c>
      <c r="FP164" s="13" cm="1">
        <f t="array" ref="FP164">IF(FP$8 &lt;= 122, FP162 / INDEX($EB162:$IV162, 1, ROUNDUP(COUNT($EB162:FP162) / 3, 0) * 3), 100%)</f>
        <v>0.99978525011807085</v>
      </c>
      <c r="FQ164" s="13" cm="1">
        <f t="array" ref="FQ164">IF(FQ$8 &lt;= 122, FQ162 / INDEX($EB162:$IV162, 1, ROUNDUP(COUNT($EB162:FQ162) / 3, 0) * 3), 100%)</f>
        <v>1</v>
      </c>
      <c r="FR164" s="13" cm="1">
        <f t="array" ref="FR164">IF(FR$8 &lt;= 122, FR162 / INDEX($EB162:$IV162, 1, ROUNDUP(COUNT($EB162:FR162) / 3, 0) * 3), 100%)</f>
        <v>0.99996666855998051</v>
      </c>
      <c r="FS164" s="13" cm="1">
        <f t="array" ref="FS164">IF(FS$8 &lt;= 122, FS162 / INDEX($EB162:$IV162, 1, ROUNDUP(COUNT($EB162:FS162) / 3, 0) * 3), 100%)</f>
        <v>0.99762890832682061</v>
      </c>
      <c r="FT164" s="13" cm="1">
        <f t="array" ref="FT164">IF(FT$8 &lt;= 122, FT162 / INDEX($EB162:$IV162, 1, ROUNDUP(COUNT($EB162:FT162) / 3, 0) * 3), 100%)</f>
        <v>1</v>
      </c>
      <c r="FU164" s="13" cm="1">
        <f t="array" ref="FU164">IF(FU$8 &lt;= 122, FU162 / INDEX($EB162:$IV162, 1, ROUNDUP(COUNT($EB162:FU162) / 3, 0) * 3), 100%)</f>
        <v>1.0046803312625545</v>
      </c>
      <c r="FV164" s="13" cm="1">
        <f t="array" ref="FV164">IF(FV$8 &lt;= 122, FV162 / INDEX($EB162:$IV162, 1, ROUNDUP(COUNT($EB162:FV162) / 3, 0) * 3), 100%)</f>
        <v>0.99987761983473822</v>
      </c>
      <c r="FW164" s="13" cm="1">
        <f t="array" ref="FW164">IF(FW$8 &lt;= 122, FW162 / INDEX($EB162:$IV162, 1, ROUNDUP(COUNT($EB162:FW162) / 3, 0) * 3), 100%)</f>
        <v>1</v>
      </c>
      <c r="FX164" s="13" cm="1">
        <f t="array" ref="FX164">IF(FX$8 &lt;= 122, FX162 / INDEX($EB162:$IV162, 1, ROUNDUP(COUNT($EB162:FX162) / 3, 0) * 3), 100%)</f>
        <v>1.0008170940810883</v>
      </c>
      <c r="FY164" s="13" cm="1">
        <f t="array" ref="FY164">IF(FY$8 &lt;= 122, FY162 / INDEX($EB162:$IV162, 1, ROUNDUP(COUNT($EB162:FY162) / 3, 0) * 3), 100%)</f>
        <v>1.0008920200665483</v>
      </c>
      <c r="FZ164" s="13" cm="1">
        <f t="array" ref="FZ164">IF(FZ$8 &lt;= 122, FZ162 / INDEX($EB162:$IV162, 1, ROUNDUP(COUNT($EB162:FZ162) / 3, 0) * 3), 100%)</f>
        <v>1</v>
      </c>
      <c r="GA164" s="13" cm="1">
        <f t="array" ref="GA164">IF(GA$8 &lt;= 122, GA162 / INDEX($EB162:$IV162, 1, ROUNDUP(COUNT($EB162:GA162) / 3, 0) * 3), 100%)</f>
        <v>0.99997575260802707</v>
      </c>
      <c r="GB164" s="13" cm="1">
        <f t="array" ref="GB164">IF(GB$8 &lt;= 122, GB162 / INDEX($EB162:$IV162, 1, ROUNDUP(COUNT($EB162:GB162) / 3, 0) * 3), 100%)</f>
        <v>1</v>
      </c>
      <c r="GC164" s="13" cm="1">
        <f t="array" ref="GC164">IF(GC$8 &lt;= 122, GC162 / INDEX($EB162:$IV162, 1, ROUNDUP(COUNT($EB162:GC162) / 3, 0) * 3), 100%)</f>
        <v>1</v>
      </c>
      <c r="GD164" s="13" cm="1">
        <f t="array" ref="GD164">IF(GD$8 &lt;= 122, GD162 / INDEX($EB162:$IV162, 1, ROUNDUP(COUNT($EB162:GD162) / 3, 0) * 3), 100%)</f>
        <v>0.99991747200535153</v>
      </c>
      <c r="GE164" s="13" cm="1">
        <f t="array" ref="GE164">IF(GE$8 &lt;= 122, GE162 / INDEX($EB162:$IV162, 1, ROUNDUP(COUNT($EB162:GE162) / 3, 0) * 3), 100%)</f>
        <v>0.99991422873718872</v>
      </c>
      <c r="GF164" s="13" cm="1">
        <f t="array" ref="GF164">IF(GF$8 &lt;= 122, GF162 / INDEX($EB162:$IV162, 1, ROUNDUP(COUNT($EB162:GF162) / 3, 0) * 3), 100%)</f>
        <v>1</v>
      </c>
      <c r="GG164" s="13" cm="1">
        <f t="array" ref="GG164">IF(GG$8 &lt;= 122, GG162 / INDEX($EB162:$IV162, 1, ROUNDUP(COUNT($EB162:GG162) / 3, 0) * 3), 100%)</f>
        <v>1.0013583671370958</v>
      </c>
      <c r="GH164" s="13" cm="1">
        <f t="array" ref="GH164">IF(GH$8 &lt;= 122, GH162 / INDEX($EB162:$IV162, 1, ROUNDUP(COUNT($EB162:GH162) / 3, 0) * 3), 100%)</f>
        <v>0.99998872890899937</v>
      </c>
      <c r="GI164" s="13" cm="1">
        <f t="array" ref="GI164">IF(GI$8 &lt;= 122, GI162 / INDEX($EB162:$IV162, 1, ROUNDUP(COUNT($EB162:GI162) / 3, 0) * 3), 100%)</f>
        <v>1</v>
      </c>
      <c r="GJ164" s="13" cm="1">
        <f t="array" ref="GJ164">IF(GJ$8 &lt;= 122, GJ162 / INDEX($EB162:$IV162, 1, ROUNDUP(COUNT($EB162:GJ162) / 3, 0) * 3), 100%)</f>
        <v>0.99918774987369174</v>
      </c>
      <c r="GK164" s="13" cm="1">
        <f t="array" ref="GK164">IF(GK$8 &lt;= 122, GK162 / INDEX($EB162:$IV162, 1, ROUNDUP(COUNT($EB162:GK162) / 3, 0) * 3), 100%)</f>
        <v>0.99971277563486549</v>
      </c>
      <c r="GL164" s="13" cm="1">
        <f t="array" ref="GL164">IF(GL$8 &lt;= 122, GL162 / INDEX($EB162:$IV162, 1, ROUNDUP(COUNT($EB162:GL162) / 3, 0) * 3), 100%)</f>
        <v>1</v>
      </c>
      <c r="GM164" s="13" cm="1">
        <f t="array" ref="GM164">IF(GM$8 &lt;= 122, GM162 / INDEX($EB162:$IV162, 1, ROUNDUP(COUNT($EB162:GM162) / 3, 0) * 3), 100%)</f>
        <v>0.99924330297406161</v>
      </c>
      <c r="GN164" s="13" cm="1">
        <f t="array" ref="GN164">IF(GN$8 &lt;= 122, GN162 / INDEX($EB162:$IV162, 1, ROUNDUP(COUNT($EB162:GN162) / 3, 0) * 3), 100%)</f>
        <v>0.99933532577827089</v>
      </c>
      <c r="GO164" s="13" cm="1">
        <f t="array" ref="GO164">IF(GO$8 &lt;= 122, GO162 / INDEX($EB162:$IV162, 1, ROUNDUP(COUNT($EB162:GO162) / 3, 0) * 3), 100%)</f>
        <v>1</v>
      </c>
      <c r="GP164" s="13" cm="1">
        <f t="array" ref="GP164">IF(GP$8 &lt;= 122, GP162 / INDEX($EB162:$IV162, 1, ROUNDUP(COUNT($EB162:GP162) / 3, 0) * 3), 100%)</f>
        <v>0.99973607645901919</v>
      </c>
      <c r="GQ164" s="13" cm="1">
        <f t="array" ref="GQ164">IF(GQ$8 &lt;= 122, GQ162 / INDEX($EB162:$IV162, 1, ROUNDUP(COUNT($EB162:GQ162) / 3, 0) * 3), 100%)</f>
        <v>0.999845889532752</v>
      </c>
      <c r="GR164" s="13" cm="1">
        <f t="array" ref="GR164">IF(GR$8 &lt;= 122, GR162 / INDEX($EB162:$IV162, 1, ROUNDUP(COUNT($EB162:GR162) / 3, 0) * 3), 100%)</f>
        <v>1</v>
      </c>
      <c r="GS164" s="13" cm="1">
        <f t="array" ref="GS164">IF(GS$8 &lt;= 122, GS162 / INDEX($EB162:$IV162, 1, ROUNDUP(COUNT($EB162:GS162) / 3, 0) * 3), 100%)</f>
        <v>0.99942306176335483</v>
      </c>
      <c r="GT164" s="13" cm="1">
        <f t="array" ref="GT164">IF(GT$8 &lt;= 122, GT162 / INDEX($EB162:$IV162, 1, ROUNDUP(COUNT($EB162:GT162) / 3, 0) * 3), 100%)</f>
        <v>0.99992268758490599</v>
      </c>
      <c r="GU164" s="13" cm="1">
        <f t="array" ref="GU164">IF(GU$8 &lt;= 122, GU162 / INDEX($EB162:$IV162, 1, ROUNDUP(COUNT($EB162:GU162) / 3, 0) * 3), 100%)</f>
        <v>1</v>
      </c>
      <c r="GV164" s="13" cm="1">
        <f t="array" ref="GV164">IF(GV$8 &lt;= 122, GV162 / INDEX($EB162:$IV162, 1, ROUNDUP(COUNT($EB162:GV162) / 3, 0) * 3), 100%)</f>
        <v>0.99884060453727874</v>
      </c>
      <c r="GW164" s="13" cm="1">
        <f t="array" ref="GW164">IF(GW$8 &lt;= 122, GW162 / INDEX($EB162:$IV162, 1, ROUNDUP(COUNT($EB162:GW162) / 3, 0) * 3), 100%)</f>
        <v>0.99883085259356919</v>
      </c>
      <c r="GX164" s="13" cm="1">
        <f t="array" ref="GX164">IF(GX$8 &lt;= 122, GX162 / INDEX($EB162:$IV162, 1, ROUNDUP(COUNT($EB162:GX162) / 3, 0) * 3), 100%)</f>
        <v>1</v>
      </c>
      <c r="GY164" s="13" cm="1">
        <f t="array" ref="GY164">IF(GY$8 &lt;= 122, GY162 / INDEX($EB162:$IV162, 1, ROUNDUP(COUNT($EB162:GY162) / 3, 0) * 3), 100%)</f>
        <v>0.99945221257311734</v>
      </c>
      <c r="GZ164" s="13" cm="1">
        <f t="array" ref="GZ164">IF(GZ$8 &lt;= 122, GZ162 / INDEX($EB162:$IV162, 1, ROUNDUP(COUNT($EB162:GZ162) / 3, 0) * 3), 100%)</f>
        <v>0.99948162149795494</v>
      </c>
      <c r="HA164" s="13" cm="1">
        <f t="array" ref="HA164">IF(HA$8 &lt;= 122, HA162 / INDEX($EB162:$IV162, 1, ROUNDUP(COUNT($EB162:HA162) / 3, 0) * 3), 100%)</f>
        <v>1</v>
      </c>
      <c r="HB164" s="13" cm="1">
        <f t="array" ref="HB164">IF(HB$8 &lt;= 122, HB162 / INDEX($EB162:$IV162, 1, ROUNDUP(COUNT($EB162:HB162) / 3, 0) * 3), 100%)</f>
        <v>1.0009026552209968</v>
      </c>
      <c r="HC164" s="13" cm="1">
        <f t="array" ref="HC164">IF(HC$8 &lt;= 122, HC162 / INDEX($EB162:$IV162, 1, ROUNDUP(COUNT($EB162:HC162) / 3, 0) * 3), 100%)</f>
        <v>0.99955679711992373</v>
      </c>
      <c r="HD164" s="13" cm="1">
        <f t="array" ref="HD164">IF(HD$8 &lt;= 122, HD162 / INDEX($EB162:$IV162, 1, ROUNDUP(COUNT($EB162:HD162) / 3, 0) * 3), 100%)</f>
        <v>1</v>
      </c>
      <c r="HE164" s="13" cm="1">
        <f t="array" ref="HE164">IF(HE$8 &lt;= 122, HE162 / INDEX($EB162:$IV162, 1, ROUNDUP(COUNT($EB162:HE162) / 3, 0) * 3), 100%)</f>
        <v>0.99254427461826256</v>
      </c>
      <c r="HF164" s="13" cm="1">
        <f t="array" ref="HF164">IF(HF$8 &lt;= 122, HF162 / INDEX($EB162:$IV162, 1, ROUNDUP(COUNT($EB162:HF162) / 3, 0) * 3), 100%)</f>
        <v>0.99287303810220195</v>
      </c>
      <c r="HG164" s="13" cm="1">
        <f t="array" ref="HG164">IF(HG$8 &lt;= 122, HG162 / INDEX($EB162:$IV162, 1, ROUNDUP(COUNT($EB162:HG162) / 3, 0) * 3), 100%)</f>
        <v>1</v>
      </c>
      <c r="HH164" s="13" cm="1">
        <f t="array" ref="HH164">IF(HH$8 &lt;= 122, HH162 / INDEX($EB162:$IV162, 1, ROUNDUP(COUNT($EB162:HH162) / 3, 0) * 3), 100%)</f>
        <v>0.98502822805590451</v>
      </c>
      <c r="HI164" s="13" cm="1">
        <f t="array" ref="HI164">IF(HI$8 &lt;= 122, HI162 / INDEX($EB162:$IV162, 1, ROUNDUP(COUNT($EB162:HI162) / 3, 0) * 3), 100%)</f>
        <v>0.98589627761856335</v>
      </c>
      <c r="HJ164" s="13" cm="1">
        <f t="array" ref="HJ164">IF(HJ$8 &lt;= 122, HJ162 / INDEX($EB162:$IV162, 1, ROUNDUP(COUNT($EB162:HJ162) / 3, 0) * 3), 100%)</f>
        <v>1</v>
      </c>
      <c r="HK164" s="13" cm="1">
        <f t="array" ref="HK164">IF(HK$8 &lt;= 122, HK162 / INDEX($EB162:$IV162, 1, ROUNDUP(COUNT($EB162:HK162) / 3, 0) * 3), 100%)</f>
        <v>0.99984796207052962</v>
      </c>
      <c r="HL164" s="13" cm="1">
        <f t="array" ref="HL164">IF(HL$8 &lt;= 122, HL162 / INDEX($EB162:$IV162, 1, ROUNDUP(COUNT($EB162:HL162) / 3, 0) * 3), 100%)</f>
        <v>0.99984796207052962</v>
      </c>
      <c r="HM164" s="13" cm="1">
        <f t="array" ref="HM164">IF(HM$8 &lt;= 122, HM162 / INDEX($EB162:$IV162, 1, ROUNDUP(COUNT($EB162:HM162) / 3, 0) * 3), 100%)</f>
        <v>1</v>
      </c>
      <c r="HN164" s="13" cm="1">
        <f t="array" ref="HN164">IF(HN$8 &lt;= 122, HN162 / INDEX($EB162:$IV162, 1, ROUNDUP(COUNT($EB162:HN162) / 3, 0) * 3), 100%)</f>
        <v>0.99934039586138024</v>
      </c>
      <c r="HO164" s="13" cm="1">
        <f t="array" ref="HO164">IF(HO$8 &lt;= 122, HO162 / INDEX($EB162:$IV162, 1, ROUNDUP(COUNT($EB162:HO162) / 3, 0) * 3), 100%)</f>
        <v>0.99995051953914738</v>
      </c>
      <c r="HP164" s="13" cm="1">
        <f t="array" ref="HP164">IF(HP$8 &lt;= 122, HP162 / INDEX($EB162:$IV162, 1, ROUNDUP(COUNT($EB162:HP162) / 3, 0) * 3), 100%)</f>
        <v>1</v>
      </c>
      <c r="HQ164" s="13" cm="1">
        <f t="array" ref="HQ164">IF(HQ$8 &lt;= 122, HQ162 / INDEX($EB162:$IV162, 1, ROUNDUP(COUNT($EB162:HQ162) / 3, 0) * 3), 100%)</f>
        <v>0.99955586792384898</v>
      </c>
      <c r="HR164" s="13" cm="1">
        <f t="array" ref="HR164">IF(HR$8 &lt;= 122, HR162 / INDEX($EB162:$IV162, 1, ROUNDUP(COUNT($EB162:HR162) / 3, 0) * 3), 100%)</f>
        <v>0.99969232105406791</v>
      </c>
      <c r="HS164" s="13" cm="1">
        <f t="array" ref="HS164">IF(HS$8 &lt;= 122, HS162 / INDEX($EB162:$IV162, 1, ROUNDUP(COUNT($EB162:HS162) / 3, 0) * 3), 100%)</f>
        <v>1</v>
      </c>
      <c r="HT164" s="13" cm="1">
        <f t="array" ref="HT164">IF(HT$8 &lt;= 122, HT162 / INDEX($EB162:$IV162, 1, ROUNDUP(COUNT($EB162:HT162) / 3, 0) * 3), 100%)</f>
        <v>0.99866209806199757</v>
      </c>
      <c r="HU164" s="13" cm="1">
        <f t="array" ref="HU164">IF(HU$8 &lt;= 122, HU162 / INDEX($EB162:$IV162, 1, ROUNDUP(COUNT($EB162:HU162) / 3, 0) * 3), 100%)</f>
        <v>0.9995788706960187</v>
      </c>
      <c r="HV164" s="13" cm="1">
        <f t="array" ref="HV164">IF(HV$8 &lt;= 122, HV162 / INDEX($EB162:$IV162, 1, ROUNDUP(COUNT($EB162:HV162) / 3, 0) * 3), 100%)</f>
        <v>1</v>
      </c>
      <c r="HW164" s="13" cm="1">
        <f t="array" ref="HW164">IF(HW$8 &lt;= 122, HW162 / INDEX($EB162:$IV162, 1, ROUNDUP(COUNT($EB162:HW162) / 3, 0) * 3), 100%)</f>
        <v>0.99985985334401029</v>
      </c>
      <c r="HX164" s="13" cm="1">
        <f t="array" ref="HX164">IF(HX$8 &lt;= 122, HX162 / INDEX($EB162:$IV162, 1, ROUNDUP(COUNT($EB162:HX162) / 3, 0) * 3), 100%)</f>
        <v>0.99987324488077667</v>
      </c>
      <c r="HY164" s="13" cm="1">
        <f t="array" ref="HY164">IF(HY$8 &lt;= 122, HY162 / INDEX($EB162:$IV162, 1, ROUNDUP(COUNT($EB162:HY162) / 3, 0) * 3), 100%)</f>
        <v>1</v>
      </c>
      <c r="HZ164" s="13" cm="1">
        <f t="array" ref="HZ164">IF(HZ$8 &lt;= 122, HZ162 / INDEX($EB162:$IV162, 1, ROUNDUP(COUNT($EB162:HZ162) / 3, 0) * 3), 100%)</f>
        <v>0.99923334934750274</v>
      </c>
      <c r="IA164" s="13" cm="1">
        <f t="array" ref="IA164">IF(IA$8 &lt;= 122, IA162 / INDEX($EB162:$IV162, 1, ROUNDUP(COUNT($EB162:IA162) / 3, 0) * 3), 100%)</f>
        <v>0.9994470325846877</v>
      </c>
      <c r="IB164" s="13" cm="1">
        <f t="array" ref="IB164">IF(IB$8 &lt;= 122, IB162 / INDEX($EB162:$IV162, 1, ROUNDUP(COUNT($EB162:IB162) / 3, 0) * 3), 100%)</f>
        <v>1</v>
      </c>
      <c r="IC164" s="13" cm="1">
        <f t="array" ref="IC164">IF(IC$8 &lt;= 122, IC162 / INDEX($EB162:$IV162, 1, ROUNDUP(COUNT($EB162:IC162) / 3, 0) * 3), 100%)</f>
        <v>0.99915827080408393</v>
      </c>
      <c r="ID164" s="13" cm="1">
        <f t="array" ref="ID164">IF(ID$8 &lt;= 122, ID162 / INDEX($EB162:$IV162, 1, ROUNDUP(COUNT($EB162:ID162) / 3, 0) * 3), 100%)</f>
        <v>0.99931290039580123</v>
      </c>
      <c r="IE164" s="13" cm="1">
        <f t="array" ref="IE164">IF(IE$8 &lt;= 122, IE162 / INDEX($EB162:$IV162, 1, ROUNDUP(COUNT($EB162:IE162) / 3, 0) * 3), 100%)</f>
        <v>1</v>
      </c>
      <c r="IF164" s="13" cm="1">
        <f t="array" ref="IF164">IF(IF$8 &lt;= 122, IF162 / INDEX($EB162:$IV162, 1, ROUNDUP(COUNT($EB162:IF162) / 3, 0) * 3), 100%)</f>
        <v>0.99880289499286068</v>
      </c>
      <c r="IG164" s="13" cm="1">
        <f t="array" ref="IG164">IF(IG$8 &lt;= 122, IG162 / INDEX($EB162:$IV162, 1, ROUNDUP(COUNT($EB162:IG162) / 3, 0) * 3), 100%)</f>
        <v>0.99959322734343858</v>
      </c>
      <c r="IH164" s="13" cm="1">
        <f t="array" ref="IH164">IF(IH$8 &lt;= 122, IH162 / INDEX($EB162:$IV162, 1, ROUNDUP(COUNT($EB162:IH162) / 3, 0) * 3), 100%)</f>
        <v>1</v>
      </c>
      <c r="II164" s="13" cm="1">
        <f t="array" ref="II164">IF(II$8 &lt;= 122, II162 / INDEX($EB162:$IV162, 1, ROUNDUP(COUNT($EB162:II162) / 3, 0) * 3), 100%)</f>
        <v>0.99702394214921641</v>
      </c>
      <c r="IJ164" s="13" cm="1">
        <f t="array" ref="IJ164">IF(IJ$8 &lt;= 122, IJ162 / INDEX($EB162:$IV162, 1, ROUNDUP(COUNT($EB162:IJ162) / 3, 0) * 3), 100%)</f>
        <v>0.99739343918571788</v>
      </c>
      <c r="IK164" s="13" cm="1">
        <f t="array" ref="IK164">IF(IK$8 &lt;= 122, IK162 / INDEX($EB162:$IV162, 1, ROUNDUP(COUNT($EB162:IK162) / 3, 0) * 3), 100%)</f>
        <v>1</v>
      </c>
      <c r="IL164" s="13" cm="1">
        <f t="array" ref="IL164">IF(IL$8 &lt;= 122, IL162 / INDEX($EB162:$IV162, 1, ROUNDUP(COUNT($EB162:IL162) / 3, 0) * 3), 100%)</f>
        <v>0.99645862985046652</v>
      </c>
      <c r="IM164" s="13" cm="1">
        <f t="array" ref="IM164">IF(IM$8 &lt;= 122, IM162 / INDEX($EB162:$IV162, 1, ROUNDUP(COUNT($EB162:IM162) / 3, 0) * 3), 100%)</f>
        <v>0.99783943094254701</v>
      </c>
      <c r="IN164" s="13" cm="1">
        <f t="array" ref="IN164">IF(IN$8 &lt;= 122, IN162 / INDEX($EB162:$IV162, 1, ROUNDUP(COUNT($EB162:IN162) / 3, 0) * 3), 100%)</f>
        <v>1</v>
      </c>
      <c r="IO164" s="13" cm="1">
        <f t="array" ref="IO164">IF(IO$8 &lt;= 122, IO162 / INDEX($EB162:$IV162, 1, ROUNDUP(COUNT($EB162:IO162) / 3, 0) * 3), 100%)</f>
        <v>0.99636018282184369</v>
      </c>
      <c r="IP164" s="13" cm="1">
        <f t="array" ref="IP164">IF(IP$8 &lt;= 122, IP162 / INDEX($EB162:$IV162, 1, ROUNDUP(COUNT($EB162:IP162) / 3, 0) * 3), 100%)</f>
        <v>0.99871602429995388</v>
      </c>
      <c r="IQ164" s="13" cm="1">
        <f t="array" ref="IQ164">IF(IQ$8 &lt;= 122, IQ162 / INDEX($EB162:$IV162, 1, ROUNDUP(COUNT($EB162:IQ162) / 3, 0) * 3), 100%)</f>
        <v>1</v>
      </c>
      <c r="IR164" s="13" cm="1">
        <f t="array" ref="IR164">IF(IR$8 &lt;= 122, IR162 / INDEX($EB162:$IV162, 1, ROUNDUP(COUNT($EB162:IR162) / 3, 0) * 3), 100%)</f>
        <v>0.99144458700445504</v>
      </c>
      <c r="IS164" s="13" cm="1">
        <f t="array" ref="IS164">IF(IS$8 &lt;= 122, IS162 / INDEX($EB162:$IV162, 1, ROUNDUP(COUNT($EB162:IS162) / 3, 0) * 3), 100%)</f>
        <v>0.99448075207269127</v>
      </c>
      <c r="IT164" s="13" cm="1">
        <f t="array" ref="IT164">IF(IT$8 &lt;= 122, IT162 / INDEX($EB162:$IV162, 1, ROUNDUP(COUNT($EB162:IT162) / 3, 0) * 3), 100%)</f>
        <v>1</v>
      </c>
      <c r="IU164" s="13" cm="1">
        <f t="array" ref="IU164">IF(IU$8 &lt;= 122, IU162 / INDEX($EB162:$IV162, 1, ROUNDUP(COUNT($EB162:IU162) / 3, 0) * 3), 100%)</f>
        <v>1</v>
      </c>
      <c r="IV164" s="13" cm="1">
        <f t="array" ref="IV164">IF(IV$8 &lt;= 122, IV162 / INDEX($EB162:$IV162, 1, ROUNDUP(COUNT($EB162:IV162) / 3, 0) * 3), 100%)</f>
        <v>1</v>
      </c>
    </row>
    <row r="165" spans="1:256" x14ac:dyDescent="0.2">
      <c r="A165" s="20"/>
      <c r="B165" t="s">
        <v>67</v>
      </c>
    </row>
    <row r="166" spans="1:256" x14ac:dyDescent="0.2">
      <c r="Q166" s="29" t="s">
        <v>56</v>
      </c>
      <c r="R166" s="29"/>
      <c r="S166" s="29"/>
      <c r="T166" s="29"/>
      <c r="U166" s="29"/>
      <c r="V166" s="29"/>
      <c r="W166" s="29"/>
      <c r="X166" s="29"/>
      <c r="Y166" s="29"/>
      <c r="AA166" s="29" t="s">
        <v>59</v>
      </c>
      <c r="AB166" s="29"/>
      <c r="AC166" s="29"/>
      <c r="AD166" s="29"/>
      <c r="AE166" s="29"/>
      <c r="AG166" s="29" t="s">
        <v>61</v>
      </c>
      <c r="AH166" s="29"/>
      <c r="AI166" s="29"/>
      <c r="AK166" s="29" t="s">
        <v>66</v>
      </c>
      <c r="AL166" s="29"/>
      <c r="AM166" s="29"/>
      <c r="AN166" s="29"/>
    </row>
    <row r="167" spans="1:256" x14ac:dyDescent="0.2">
      <c r="A167" s="10" t="s">
        <v>34</v>
      </c>
      <c r="B167" s="10" t="s">
        <v>23</v>
      </c>
      <c r="C167" s="10" t="s">
        <v>5</v>
      </c>
      <c r="D167" s="10" t="s">
        <v>24</v>
      </c>
      <c r="E167" s="10" t="s">
        <v>25</v>
      </c>
      <c r="F167" s="10" t="s">
        <v>28</v>
      </c>
      <c r="G167" s="10" t="s">
        <v>43</v>
      </c>
      <c r="H167" s="10" t="s">
        <v>44</v>
      </c>
      <c r="I167" s="10" t="s">
        <v>45</v>
      </c>
      <c r="J167" s="10" t="s">
        <v>26</v>
      </c>
      <c r="L167" s="10" t="s">
        <v>46</v>
      </c>
      <c r="M167" s="10" t="s">
        <v>47</v>
      </c>
      <c r="N167" s="10" t="s">
        <v>48</v>
      </c>
      <c r="O167" s="10" t="s">
        <v>49</v>
      </c>
      <c r="Q167" s="10" t="s">
        <v>50</v>
      </c>
      <c r="R167" s="10" t="s">
        <v>51</v>
      </c>
      <c r="S167" s="10" t="s">
        <v>52</v>
      </c>
      <c r="T167" s="10" t="s">
        <v>53</v>
      </c>
      <c r="U167" s="10" t="s">
        <v>54</v>
      </c>
      <c r="V167" s="10" t="s">
        <v>55</v>
      </c>
      <c r="W167" s="10" t="s">
        <v>24</v>
      </c>
      <c r="X167" s="10" t="s">
        <v>43</v>
      </c>
      <c r="Y167" s="10" t="s">
        <v>44</v>
      </c>
      <c r="AA167" s="10" t="s">
        <v>57</v>
      </c>
      <c r="AB167" s="10" t="s">
        <v>58</v>
      </c>
      <c r="AC167" s="10" t="s">
        <v>24</v>
      </c>
      <c r="AD167" s="10" t="s">
        <v>43</v>
      </c>
      <c r="AE167" s="10" t="s">
        <v>44</v>
      </c>
      <c r="AG167" s="10" t="s">
        <v>60</v>
      </c>
      <c r="AH167" s="10" t="s">
        <v>24</v>
      </c>
      <c r="AI167" s="10" t="s">
        <v>44</v>
      </c>
      <c r="AK167" s="10" t="s">
        <v>62</v>
      </c>
      <c r="AL167" s="10" t="s">
        <v>63</v>
      </c>
      <c r="AM167" s="10" t="s">
        <v>64</v>
      </c>
      <c r="AN167" s="10" t="s">
        <v>65</v>
      </c>
    </row>
    <row r="168" spans="1:256" x14ac:dyDescent="0.2">
      <c r="A168" t="e" cm="1">
        <f t="array" ref="A168">_xlfn._xlws.FILTER(Aux_Totales!$F:$F, Aux_Totales!$A:$A =#REF!)</f>
        <v>#REF!</v>
      </c>
      <c r="B168" s="16">
        <f xml:space="preserve"> SUMIFS(Aux_Totales!$G:$G, Aux_Totales!$F:$F, $A168, Aux_Totales!$A:$A,#REF!)</f>
        <v>0</v>
      </c>
      <c r="C168" s="16">
        <f xml:space="preserve"> SUMIFS(Aux_Totales!$H:$H, Aux_Totales!$F:$F, $A168, Aux_Totales!$A:$A,#REF!)</f>
        <v>0</v>
      </c>
      <c r="D168" s="16">
        <f t="shared" ref="D168:D208" si="368">IF(E168 = "Mantener", L168, IF(E168 = "Completar diagonal", W168, IF(E168 = "Bornhuetter-Ferguson", AC168, IF(E168 = "Sin IBNR", C168, AH168))))</f>
        <v>0</v>
      </c>
      <c r="E168" s="20" t="s">
        <v>41</v>
      </c>
      <c r="F168" s="16">
        <f xml:space="preserve"> SUMIFS(Aux_Totales!$P:$P, Aux_Totales!$F:$F, $A168, Aux_Totales!$A:$A,#REF!)</f>
        <v>0</v>
      </c>
      <c r="G168" s="13">
        <f t="shared" ref="G168:G208" si="369">IFERROR(D168 / F168, 0)</f>
        <v>0</v>
      </c>
      <c r="H168" s="9">
        <f t="shared" ref="H168:H210" si="370">D168 - L168</f>
        <v>0</v>
      </c>
      <c r="I168" s="9" t="str">
        <f t="shared" ref="I168:I208" si="371">IFERROR(IF(ABS(W168 / L168 - 1) &gt; 0.05, "Completar diagonal ajusta mas de 5%", ""), "")</f>
        <v/>
      </c>
      <c r="J168" s="20"/>
      <c r="L168" s="16">
        <f>SUMIFS(Aux_Anterior!$W:$W, Aux_Anterior!$F:$F, $A168, Aux_Anterior!$A:$A,#REF!, Aux_Anterior!$AB:$AB, 202404, Aux_Anterior!$AA:$AA, 0)</f>
        <v>0</v>
      </c>
      <c r="M168" s="16">
        <f>SUMIFS(Aux_Anterior!$X:$X, Aux_Anterior!$F:$F, $A168, Aux_Anterior!$A:$A,#REF!, Aux_Anterior!$AB:$AB, 202404, Aux_Anterior!$AA:$AA, 0)</f>
        <v>0</v>
      </c>
      <c r="N168" s="16">
        <f>SUMIFS(Aux_Anterior!$P:$P, Aux_Anterior!$F:$F, $A168, Aux_Anterior!$A:$A,#REF!, Aux_Anterior!$AB:$AB, 202404, Aux_Anterior!$AA:$AA, 0)</f>
        <v>0</v>
      </c>
      <c r="O168" s="13">
        <f t="shared" ref="O168:O209" si="372">IFERROR(L168 / N168,0)</f>
        <v>0</v>
      </c>
      <c r="Q168" s="16" cm="1">
        <f t="array" ref="Q168">INDEX($G$9:$EA$50, COUNTA($A$168:$A168), 125 - (COUNTA($A$168:$A168) - 1) * 3 - 2)</f>
        <v>36206868760</v>
      </c>
      <c r="R168" s="16" cm="1">
        <f t="array" ref="R168">INDEX($EB$9:$IV$50, COUNTA($A$168:$A168), 125 - (COUNTA($A$168:$A168) - 1) * 3 - 2)</f>
        <v>30434100035.419979</v>
      </c>
      <c r="S168" s="13">
        <f t="shared" ref="S168:S208" si="373">IFERROR(IF($C$2 = "Pago", Q167, R167) / L167, 100%)</f>
        <v>1</v>
      </c>
      <c r="T168" s="28" cm="1">
        <f t="array" ref="T168">IFERROR(INDEX(IF($C$2 = "Pago", $G$164:$EA$164, $EB$164:$IV$164), 1, (COUNTA($A168:$A$209) - 1) * 3 + 2), 100%)</f>
        <v>0.44699790760943464</v>
      </c>
      <c r="U168" s="16">
        <f t="shared" ref="U168:U208" si="374">IF($C$2 = "Pago", $B168, $C168) / T168</f>
        <v>0</v>
      </c>
      <c r="V168" s="13">
        <f t="shared" ref="V168:V208" si="375">T168 * S168</f>
        <v>0.44699790760943464</v>
      </c>
      <c r="W168" s="16">
        <f t="shared" ref="W168:W208" si="376">U168 / S168</f>
        <v>0</v>
      </c>
      <c r="X168" s="13" t="e">
        <f t="shared" ref="X168:X208" si="377">W168 / $F168</f>
        <v>#DIV/0!</v>
      </c>
      <c r="Y168" s="9">
        <f t="shared" ref="Y168:Y208" si="378">W168 - M168</f>
        <v>0</v>
      </c>
      <c r="AA168" s="28">
        <f t="shared" ref="AA168:AA208" si="379">O168</f>
        <v>0</v>
      </c>
      <c r="AB168" s="28">
        <f t="shared" ref="AB168:AB208" si="380">V168</f>
        <v>0.44699790760943464</v>
      </c>
      <c r="AC168" s="16">
        <f t="shared" ref="AC168:AC208" si="381">IF($C$2 = "Pago", $B168, $C168) + AA168 * $F168 * (1 - AB168)</f>
        <v>0</v>
      </c>
      <c r="AD168" s="13">
        <f t="shared" ref="AD168:AD208" si="382">IFERROR(AC168 / $F168, 0)</f>
        <v>0</v>
      </c>
      <c r="AE168" s="16">
        <f t="shared" ref="AE168:AE208" si="383">AC168 - L168</f>
        <v>0</v>
      </c>
      <c r="AG168" s="28">
        <f t="shared" ref="AG168:AG208" si="384">O168</f>
        <v>0</v>
      </c>
      <c r="AH168" s="16">
        <f t="shared" ref="AH168:AH208" si="385">AG168 * $F168</f>
        <v>0</v>
      </c>
      <c r="AI168" s="16">
        <f t="shared" ref="AI168:AI208" si="386">AH168 - L168</f>
        <v>0</v>
      </c>
      <c r="AK168" s="28">
        <f t="shared" ref="AK168:AK209" si="387">IFERROR(1 / (1), 100%)</f>
        <v>1</v>
      </c>
      <c r="AL168" s="9">
        <f t="shared" ref="AL168:AL210" si="388">IFERROR((D168 - M168) * IF(AK168 = "", 100%, AK168), 0)</f>
        <v>0</v>
      </c>
      <c r="AM168" s="9">
        <f t="shared" ref="AM168:AM210" si="389">IFERROR(M168 + AL168, 0)</f>
        <v>0</v>
      </c>
      <c r="AN168" s="30"/>
    </row>
    <row r="169" spans="1:256" x14ac:dyDescent="0.2">
      <c r="B169" s="16">
        <f xml:space="preserve"> SUMIFS(Aux_Totales!$G:$G, Aux_Totales!$F:$F, $A169, Aux_Totales!$A:$A,#REF!)</f>
        <v>0</v>
      </c>
      <c r="C169" s="16">
        <f xml:space="preserve"> SUMIFS(Aux_Totales!$H:$H, Aux_Totales!$F:$F, $A169, Aux_Totales!$A:$A,#REF!)</f>
        <v>0</v>
      </c>
      <c r="D169" s="16">
        <f t="shared" si="368"/>
        <v>0</v>
      </c>
      <c r="E169" s="20" t="s">
        <v>41</v>
      </c>
      <c r="F169" s="16">
        <f xml:space="preserve"> SUMIFS(Aux_Totales!$P:$P, Aux_Totales!$F:$F, $A169, Aux_Totales!$A:$A,#REF!)</f>
        <v>0</v>
      </c>
      <c r="G169" s="13">
        <f t="shared" si="369"/>
        <v>0</v>
      </c>
      <c r="H169" s="9">
        <f t="shared" si="370"/>
        <v>0</v>
      </c>
      <c r="I169" s="9" t="str">
        <f t="shared" si="371"/>
        <v/>
      </c>
      <c r="J169" s="20"/>
      <c r="L169" s="16">
        <f>SUMIFS(Aux_Anterior!$W:$W, Aux_Anterior!$F:$F, $A169, Aux_Anterior!$A:$A,#REF!, Aux_Anterior!$AB:$AB, 202404, Aux_Anterior!$AA:$AA, 0)</f>
        <v>0</v>
      </c>
      <c r="M169" s="16">
        <f>SUMIFS(Aux_Anterior!$X:$X, Aux_Anterior!$F:$F, $A169, Aux_Anterior!$A:$A,#REF!, Aux_Anterior!$AB:$AB, 202404, Aux_Anterior!$AA:$AA, 0)</f>
        <v>0</v>
      </c>
      <c r="N169" s="16">
        <f>SUMIFS(Aux_Anterior!$P:$P, Aux_Anterior!$F:$F, $A169, Aux_Anterior!$A:$A,#REF!, Aux_Anterior!$AB:$AB, 202404, Aux_Anterior!$AA:$AA, 0)</f>
        <v>0</v>
      </c>
      <c r="O169" s="13">
        <f t="shared" si="372"/>
        <v>0</v>
      </c>
      <c r="Q169" s="16" cm="1">
        <f t="array" ref="Q169">INDEX($G$9:$EA$50, COUNTA($A$168:$A169), 125 - (COUNTA($A$168:$A169) - 1) * 3 - 2)</f>
        <v>36206868760</v>
      </c>
      <c r="R169" s="16" cm="1">
        <f t="array" ref="R169">INDEX($EB$9:$IV$50, COUNTA($A$168:$A169), 125 - (COUNTA($A$168:$A169) - 1) * 3 - 2)</f>
        <v>30434100035.419979</v>
      </c>
      <c r="S169" s="13">
        <f t="shared" si="373"/>
        <v>1</v>
      </c>
      <c r="T169" s="28" cm="1">
        <f t="array" ref="T169">IFERROR(INDEX(IF($C$2 = "Pago", $G$164:$EA$164, $EB$164:$IV$164), 1, (COUNTA($A169:$A$209) - 1) * 3 + 2), 100%)</f>
        <v>1</v>
      </c>
      <c r="U169" s="16">
        <f t="shared" si="374"/>
        <v>0</v>
      </c>
      <c r="V169" s="13">
        <f t="shared" si="375"/>
        <v>1</v>
      </c>
      <c r="W169" s="16">
        <f t="shared" si="376"/>
        <v>0</v>
      </c>
      <c r="X169" s="13" t="e">
        <f t="shared" si="377"/>
        <v>#DIV/0!</v>
      </c>
      <c r="Y169" s="9">
        <f t="shared" si="378"/>
        <v>0</v>
      </c>
      <c r="AA169" s="28">
        <f t="shared" si="379"/>
        <v>0</v>
      </c>
      <c r="AB169" s="28">
        <f t="shared" si="380"/>
        <v>1</v>
      </c>
      <c r="AC169" s="16">
        <f t="shared" si="381"/>
        <v>0</v>
      </c>
      <c r="AD169" s="13">
        <f t="shared" si="382"/>
        <v>0</v>
      </c>
      <c r="AE169" s="16">
        <f t="shared" si="383"/>
        <v>0</v>
      </c>
      <c r="AG169" s="28">
        <f t="shared" si="384"/>
        <v>0</v>
      </c>
      <c r="AH169" s="16">
        <f t="shared" si="385"/>
        <v>0</v>
      </c>
      <c r="AI169" s="16">
        <f t="shared" si="386"/>
        <v>0</v>
      </c>
      <c r="AK169" s="28">
        <f t="shared" si="387"/>
        <v>1</v>
      </c>
      <c r="AL169" s="9">
        <f t="shared" si="388"/>
        <v>0</v>
      </c>
      <c r="AM169" s="9">
        <f t="shared" si="389"/>
        <v>0</v>
      </c>
      <c r="AN169" s="30"/>
    </row>
    <row r="170" spans="1:256" x14ac:dyDescent="0.2">
      <c r="B170" s="16">
        <f xml:space="preserve"> SUMIFS(Aux_Totales!$G:$G, Aux_Totales!$F:$F, $A170, Aux_Totales!$A:$A,#REF!)</f>
        <v>0</v>
      </c>
      <c r="C170" s="16">
        <f xml:space="preserve"> SUMIFS(Aux_Totales!$H:$H, Aux_Totales!$F:$F, $A170, Aux_Totales!$A:$A,#REF!)</f>
        <v>0</v>
      </c>
      <c r="D170" s="16">
        <f t="shared" si="368"/>
        <v>0</v>
      </c>
      <c r="E170" s="20" t="s">
        <v>41</v>
      </c>
      <c r="F170" s="16">
        <f xml:space="preserve"> SUMIFS(Aux_Totales!$P:$P, Aux_Totales!$F:$F, $A170, Aux_Totales!$A:$A,#REF!)</f>
        <v>0</v>
      </c>
      <c r="G170" s="13">
        <f t="shared" si="369"/>
        <v>0</v>
      </c>
      <c r="H170" s="9">
        <f t="shared" si="370"/>
        <v>0</v>
      </c>
      <c r="I170" s="9" t="str">
        <f t="shared" si="371"/>
        <v/>
      </c>
      <c r="J170" s="20"/>
      <c r="L170" s="16">
        <f>SUMIFS(Aux_Anterior!$W:$W, Aux_Anterior!$F:$F, $A170, Aux_Anterior!$A:$A,#REF!, Aux_Anterior!$AB:$AB, 202404, Aux_Anterior!$AA:$AA, 0)</f>
        <v>0</v>
      </c>
      <c r="M170" s="16">
        <f>SUMIFS(Aux_Anterior!$X:$X, Aux_Anterior!$F:$F, $A170, Aux_Anterior!$A:$A,#REF!, Aux_Anterior!$AB:$AB, 202404, Aux_Anterior!$AA:$AA, 0)</f>
        <v>0</v>
      </c>
      <c r="N170" s="16">
        <f>SUMIFS(Aux_Anterior!$P:$P, Aux_Anterior!$F:$F, $A170, Aux_Anterior!$A:$A,#REF!, Aux_Anterior!$AB:$AB, 202404, Aux_Anterior!$AA:$AA, 0)</f>
        <v>0</v>
      </c>
      <c r="O170" s="13">
        <f t="shared" si="372"/>
        <v>0</v>
      </c>
      <c r="Q170" s="16" cm="1">
        <f t="array" ref="Q170">INDEX($G$9:$EA$50, COUNTA($A$168:$A170), 125 - (COUNTA($A$168:$A170) - 1) * 3 - 2)</f>
        <v>36206868760</v>
      </c>
      <c r="R170" s="16" cm="1">
        <f t="array" ref="R170">INDEX($EB$9:$IV$50, COUNTA($A$168:$A170), 125 - (COUNTA($A$168:$A170) - 1) * 3 - 2)</f>
        <v>30434100035.419979</v>
      </c>
      <c r="S170" s="13">
        <f t="shared" si="373"/>
        <v>1</v>
      </c>
      <c r="T170" s="28" cm="1">
        <f t="array" ref="T170">IFERROR(INDEX(IF($C$2 = "Pago", $G$164:$EA$164, $EB$164:$IV$164), 1, (COUNTA($A170:$A$209) - 1) * 3 + 2), 100%)</f>
        <v>1</v>
      </c>
      <c r="U170" s="16">
        <f t="shared" si="374"/>
        <v>0</v>
      </c>
      <c r="V170" s="13">
        <f t="shared" si="375"/>
        <v>1</v>
      </c>
      <c r="W170" s="16">
        <f t="shared" si="376"/>
        <v>0</v>
      </c>
      <c r="X170" s="13" t="e">
        <f t="shared" si="377"/>
        <v>#DIV/0!</v>
      </c>
      <c r="Y170" s="9">
        <f t="shared" si="378"/>
        <v>0</v>
      </c>
      <c r="AA170" s="28">
        <f t="shared" si="379"/>
        <v>0</v>
      </c>
      <c r="AB170" s="28">
        <f t="shared" si="380"/>
        <v>1</v>
      </c>
      <c r="AC170" s="16">
        <f t="shared" si="381"/>
        <v>0</v>
      </c>
      <c r="AD170" s="13">
        <f t="shared" si="382"/>
        <v>0</v>
      </c>
      <c r="AE170" s="16">
        <f t="shared" si="383"/>
        <v>0</v>
      </c>
      <c r="AG170" s="28">
        <f t="shared" si="384"/>
        <v>0</v>
      </c>
      <c r="AH170" s="16">
        <f t="shared" si="385"/>
        <v>0</v>
      </c>
      <c r="AI170" s="16">
        <f t="shared" si="386"/>
        <v>0</v>
      </c>
      <c r="AK170" s="28">
        <f t="shared" si="387"/>
        <v>1</v>
      </c>
      <c r="AL170" s="9">
        <f t="shared" si="388"/>
        <v>0</v>
      </c>
      <c r="AM170" s="9">
        <f t="shared" si="389"/>
        <v>0</v>
      </c>
      <c r="AN170" s="30"/>
    </row>
    <row r="171" spans="1:256" x14ac:dyDescent="0.2">
      <c r="B171" s="16">
        <f xml:space="preserve"> SUMIFS(Aux_Totales!$G:$G, Aux_Totales!$F:$F, $A171, Aux_Totales!$A:$A,#REF!)</f>
        <v>0</v>
      </c>
      <c r="C171" s="16">
        <f xml:space="preserve"> SUMIFS(Aux_Totales!$H:$H, Aux_Totales!$F:$F, $A171, Aux_Totales!$A:$A,#REF!)</f>
        <v>0</v>
      </c>
      <c r="D171" s="16">
        <f t="shared" si="368"/>
        <v>0</v>
      </c>
      <c r="E171" s="20" t="s">
        <v>41</v>
      </c>
      <c r="F171" s="16">
        <f xml:space="preserve"> SUMIFS(Aux_Totales!$P:$P, Aux_Totales!$F:$F, $A171, Aux_Totales!$A:$A,#REF!)</f>
        <v>0</v>
      </c>
      <c r="G171" s="13">
        <f t="shared" si="369"/>
        <v>0</v>
      </c>
      <c r="H171" s="9">
        <f t="shared" si="370"/>
        <v>0</v>
      </c>
      <c r="I171" s="9" t="str">
        <f t="shared" si="371"/>
        <v/>
      </c>
      <c r="J171" s="20"/>
      <c r="L171" s="16">
        <f>SUMIFS(Aux_Anterior!$W:$W, Aux_Anterior!$F:$F, $A171, Aux_Anterior!$A:$A,#REF!, Aux_Anterior!$AB:$AB, 202404, Aux_Anterior!$AA:$AA, 0)</f>
        <v>0</v>
      </c>
      <c r="M171" s="16">
        <f>SUMIFS(Aux_Anterior!$X:$X, Aux_Anterior!$F:$F, $A171, Aux_Anterior!$A:$A,#REF!, Aux_Anterior!$AB:$AB, 202404, Aux_Anterior!$AA:$AA, 0)</f>
        <v>0</v>
      </c>
      <c r="N171" s="16">
        <f>SUMIFS(Aux_Anterior!$P:$P, Aux_Anterior!$F:$F, $A171, Aux_Anterior!$A:$A,#REF!, Aux_Anterior!$AB:$AB, 202404, Aux_Anterior!$AA:$AA, 0)</f>
        <v>0</v>
      </c>
      <c r="O171" s="13">
        <f t="shared" si="372"/>
        <v>0</v>
      </c>
      <c r="Q171" s="16" cm="1">
        <f t="array" ref="Q171">INDEX($G$9:$EA$50, COUNTA($A$168:$A171), 125 - (COUNTA($A$168:$A171) - 1) * 3 - 2)</f>
        <v>36206868760</v>
      </c>
      <c r="R171" s="16" cm="1">
        <f t="array" ref="R171">INDEX($EB$9:$IV$50, COUNTA($A$168:$A171), 125 - (COUNTA($A$168:$A171) - 1) * 3 - 2)</f>
        <v>30434100035.419979</v>
      </c>
      <c r="S171" s="13">
        <f t="shared" si="373"/>
        <v>1</v>
      </c>
      <c r="T171" s="28" cm="1">
        <f t="array" ref="T171">IFERROR(INDEX(IF($C$2 = "Pago", $G$164:$EA$164, $EB$164:$IV$164), 1, (COUNTA($A171:$A$209) - 1) * 3 + 2), 100%)</f>
        <v>1</v>
      </c>
      <c r="U171" s="16">
        <f t="shared" si="374"/>
        <v>0</v>
      </c>
      <c r="V171" s="13">
        <f t="shared" si="375"/>
        <v>1</v>
      </c>
      <c r="W171" s="16">
        <f t="shared" si="376"/>
        <v>0</v>
      </c>
      <c r="X171" s="13" t="e">
        <f t="shared" si="377"/>
        <v>#DIV/0!</v>
      </c>
      <c r="Y171" s="9">
        <f t="shared" si="378"/>
        <v>0</v>
      </c>
      <c r="AA171" s="28">
        <f t="shared" si="379"/>
        <v>0</v>
      </c>
      <c r="AB171" s="28">
        <f t="shared" si="380"/>
        <v>1</v>
      </c>
      <c r="AC171" s="16">
        <f t="shared" si="381"/>
        <v>0</v>
      </c>
      <c r="AD171" s="13">
        <f t="shared" si="382"/>
        <v>0</v>
      </c>
      <c r="AE171" s="16">
        <f t="shared" si="383"/>
        <v>0</v>
      </c>
      <c r="AG171" s="28">
        <f t="shared" si="384"/>
        <v>0</v>
      </c>
      <c r="AH171" s="16">
        <f t="shared" si="385"/>
        <v>0</v>
      </c>
      <c r="AI171" s="16">
        <f t="shared" si="386"/>
        <v>0</v>
      </c>
      <c r="AK171" s="28">
        <f t="shared" si="387"/>
        <v>1</v>
      </c>
      <c r="AL171" s="9">
        <f t="shared" si="388"/>
        <v>0</v>
      </c>
      <c r="AM171" s="9">
        <f t="shared" si="389"/>
        <v>0</v>
      </c>
      <c r="AN171" s="30"/>
    </row>
    <row r="172" spans="1:256" x14ac:dyDescent="0.2">
      <c r="B172" s="16">
        <f xml:space="preserve"> SUMIFS(Aux_Totales!$G:$G, Aux_Totales!$F:$F, $A172, Aux_Totales!$A:$A,#REF!)</f>
        <v>0</v>
      </c>
      <c r="C172" s="16">
        <f xml:space="preserve"> SUMIFS(Aux_Totales!$H:$H, Aux_Totales!$F:$F, $A172, Aux_Totales!$A:$A,#REF!)</f>
        <v>0</v>
      </c>
      <c r="D172" s="16">
        <f t="shared" si="368"/>
        <v>0</v>
      </c>
      <c r="E172" s="20" t="s">
        <v>41</v>
      </c>
      <c r="F172" s="16">
        <f xml:space="preserve"> SUMIFS(Aux_Totales!$P:$P, Aux_Totales!$F:$F, $A172, Aux_Totales!$A:$A,#REF!)</f>
        <v>0</v>
      </c>
      <c r="G172" s="13">
        <f t="shared" si="369"/>
        <v>0</v>
      </c>
      <c r="H172" s="9">
        <f t="shared" si="370"/>
        <v>0</v>
      </c>
      <c r="I172" s="9" t="str">
        <f t="shared" si="371"/>
        <v/>
      </c>
      <c r="J172" s="20"/>
      <c r="L172" s="16">
        <f>SUMIFS(Aux_Anterior!$W:$W, Aux_Anterior!$F:$F, $A172, Aux_Anterior!$A:$A,#REF!, Aux_Anterior!$AB:$AB, 202404, Aux_Anterior!$AA:$AA, 0)</f>
        <v>0</v>
      </c>
      <c r="M172" s="16">
        <f>SUMIFS(Aux_Anterior!$X:$X, Aux_Anterior!$F:$F, $A172, Aux_Anterior!$A:$A,#REF!, Aux_Anterior!$AB:$AB, 202404, Aux_Anterior!$AA:$AA, 0)</f>
        <v>0</v>
      </c>
      <c r="N172" s="16">
        <f>SUMIFS(Aux_Anterior!$P:$P, Aux_Anterior!$F:$F, $A172, Aux_Anterior!$A:$A,#REF!, Aux_Anterior!$AB:$AB, 202404, Aux_Anterior!$AA:$AA, 0)</f>
        <v>0</v>
      </c>
      <c r="O172" s="13">
        <f t="shared" si="372"/>
        <v>0</v>
      </c>
      <c r="Q172" s="16" cm="1">
        <f t="array" ref="Q172">INDEX($G$9:$EA$50, COUNTA($A$168:$A172), 125 - (COUNTA($A$168:$A172) - 1) * 3 - 2)</f>
        <v>36206868760</v>
      </c>
      <c r="R172" s="16" cm="1">
        <f t="array" ref="R172">INDEX($EB$9:$IV$50, COUNTA($A$168:$A172), 125 - (COUNTA($A$168:$A172) - 1) * 3 - 2)</f>
        <v>30434100035.419979</v>
      </c>
      <c r="S172" s="13">
        <f t="shared" si="373"/>
        <v>1</v>
      </c>
      <c r="T172" s="28" cm="1">
        <f t="array" ref="T172">IFERROR(INDEX(IF($C$2 = "Pago", $G$164:$EA$164, $EB$164:$IV$164), 1, (COUNTA($A172:$A$209) - 1) * 3 + 2), 100%)</f>
        <v>1</v>
      </c>
      <c r="U172" s="16">
        <f t="shared" si="374"/>
        <v>0</v>
      </c>
      <c r="V172" s="13">
        <f t="shared" si="375"/>
        <v>1</v>
      </c>
      <c r="W172" s="16">
        <f t="shared" si="376"/>
        <v>0</v>
      </c>
      <c r="X172" s="13" t="e">
        <f t="shared" si="377"/>
        <v>#DIV/0!</v>
      </c>
      <c r="Y172" s="9">
        <f t="shared" si="378"/>
        <v>0</v>
      </c>
      <c r="AA172" s="28">
        <f t="shared" si="379"/>
        <v>0</v>
      </c>
      <c r="AB172" s="28">
        <f t="shared" si="380"/>
        <v>1</v>
      </c>
      <c r="AC172" s="16">
        <f t="shared" si="381"/>
        <v>0</v>
      </c>
      <c r="AD172" s="13">
        <f t="shared" si="382"/>
        <v>0</v>
      </c>
      <c r="AE172" s="16">
        <f t="shared" si="383"/>
        <v>0</v>
      </c>
      <c r="AG172" s="28">
        <f t="shared" si="384"/>
        <v>0</v>
      </c>
      <c r="AH172" s="16">
        <f t="shared" si="385"/>
        <v>0</v>
      </c>
      <c r="AI172" s="16">
        <f t="shared" si="386"/>
        <v>0</v>
      </c>
      <c r="AK172" s="28">
        <f t="shared" si="387"/>
        <v>1</v>
      </c>
      <c r="AL172" s="9">
        <f t="shared" si="388"/>
        <v>0</v>
      </c>
      <c r="AM172" s="9">
        <f t="shared" si="389"/>
        <v>0</v>
      </c>
      <c r="AN172" s="30"/>
    </row>
    <row r="173" spans="1:256" x14ac:dyDescent="0.2">
      <c r="B173" s="16">
        <f xml:space="preserve"> SUMIFS(Aux_Totales!$G:$G, Aux_Totales!$F:$F, $A173, Aux_Totales!$A:$A,#REF!)</f>
        <v>0</v>
      </c>
      <c r="C173" s="16">
        <f xml:space="preserve"> SUMIFS(Aux_Totales!$H:$H, Aux_Totales!$F:$F, $A173, Aux_Totales!$A:$A,#REF!)</f>
        <v>0</v>
      </c>
      <c r="D173" s="16">
        <f t="shared" si="368"/>
        <v>0</v>
      </c>
      <c r="E173" s="20" t="s">
        <v>41</v>
      </c>
      <c r="F173" s="16">
        <f xml:space="preserve"> SUMIFS(Aux_Totales!$P:$P, Aux_Totales!$F:$F, $A173, Aux_Totales!$A:$A,#REF!)</f>
        <v>0</v>
      </c>
      <c r="G173" s="13">
        <f t="shared" si="369"/>
        <v>0</v>
      </c>
      <c r="H173" s="9">
        <f t="shared" si="370"/>
        <v>0</v>
      </c>
      <c r="I173" s="9" t="str">
        <f t="shared" si="371"/>
        <v/>
      </c>
      <c r="J173" s="20"/>
      <c r="L173" s="16">
        <f>SUMIFS(Aux_Anterior!$W:$W, Aux_Anterior!$F:$F, $A173, Aux_Anterior!$A:$A,#REF!, Aux_Anterior!$AB:$AB, 202404, Aux_Anterior!$AA:$AA, 0)</f>
        <v>0</v>
      </c>
      <c r="M173" s="16">
        <f>SUMIFS(Aux_Anterior!$X:$X, Aux_Anterior!$F:$F, $A173, Aux_Anterior!$A:$A,#REF!, Aux_Anterior!$AB:$AB, 202404, Aux_Anterior!$AA:$AA, 0)</f>
        <v>0</v>
      </c>
      <c r="N173" s="16">
        <f>SUMIFS(Aux_Anterior!$P:$P, Aux_Anterior!$F:$F, $A173, Aux_Anterior!$A:$A,#REF!, Aux_Anterior!$AB:$AB, 202404, Aux_Anterior!$AA:$AA, 0)</f>
        <v>0</v>
      </c>
      <c r="O173" s="13">
        <f t="shared" si="372"/>
        <v>0</v>
      </c>
      <c r="Q173" s="16" cm="1">
        <f t="array" ref="Q173">INDEX($G$9:$EA$50, COUNTA($A$168:$A173), 125 - (COUNTA($A$168:$A173) - 1) * 3 - 2)</f>
        <v>36206868760</v>
      </c>
      <c r="R173" s="16" cm="1">
        <f t="array" ref="R173">INDEX($EB$9:$IV$50, COUNTA($A$168:$A173), 125 - (COUNTA($A$168:$A173) - 1) * 3 - 2)</f>
        <v>30434100035.419979</v>
      </c>
      <c r="S173" s="13">
        <f t="shared" si="373"/>
        <v>1</v>
      </c>
      <c r="T173" s="28" cm="1">
        <f t="array" ref="T173">IFERROR(INDEX(IF($C$2 = "Pago", $G$164:$EA$164, $EB$164:$IV$164), 1, (COUNTA($A173:$A$209) - 1) * 3 + 2), 100%)</f>
        <v>1</v>
      </c>
      <c r="U173" s="16">
        <f t="shared" si="374"/>
        <v>0</v>
      </c>
      <c r="V173" s="13">
        <f t="shared" si="375"/>
        <v>1</v>
      </c>
      <c r="W173" s="16">
        <f t="shared" si="376"/>
        <v>0</v>
      </c>
      <c r="X173" s="13" t="e">
        <f t="shared" si="377"/>
        <v>#DIV/0!</v>
      </c>
      <c r="Y173" s="9">
        <f t="shared" si="378"/>
        <v>0</v>
      </c>
      <c r="AA173" s="28">
        <f t="shared" si="379"/>
        <v>0</v>
      </c>
      <c r="AB173" s="28">
        <f t="shared" si="380"/>
        <v>1</v>
      </c>
      <c r="AC173" s="16">
        <f t="shared" si="381"/>
        <v>0</v>
      </c>
      <c r="AD173" s="13">
        <f t="shared" si="382"/>
        <v>0</v>
      </c>
      <c r="AE173" s="16">
        <f t="shared" si="383"/>
        <v>0</v>
      </c>
      <c r="AG173" s="28">
        <f t="shared" si="384"/>
        <v>0</v>
      </c>
      <c r="AH173" s="16">
        <f t="shared" si="385"/>
        <v>0</v>
      </c>
      <c r="AI173" s="16">
        <f t="shared" si="386"/>
        <v>0</v>
      </c>
      <c r="AK173" s="28">
        <f t="shared" si="387"/>
        <v>1</v>
      </c>
      <c r="AL173" s="9">
        <f t="shared" si="388"/>
        <v>0</v>
      </c>
      <c r="AM173" s="9">
        <f t="shared" si="389"/>
        <v>0</v>
      </c>
      <c r="AN173" s="30"/>
    </row>
    <row r="174" spans="1:256" x14ac:dyDescent="0.2">
      <c r="B174" s="16">
        <f xml:space="preserve"> SUMIFS(Aux_Totales!$G:$G, Aux_Totales!$F:$F, $A174, Aux_Totales!$A:$A,#REF!)</f>
        <v>0</v>
      </c>
      <c r="C174" s="16">
        <f xml:space="preserve"> SUMIFS(Aux_Totales!$H:$H, Aux_Totales!$F:$F, $A174, Aux_Totales!$A:$A,#REF!)</f>
        <v>0</v>
      </c>
      <c r="D174" s="16">
        <f t="shared" si="368"/>
        <v>0</v>
      </c>
      <c r="E174" s="20" t="s">
        <v>41</v>
      </c>
      <c r="F174" s="16">
        <f xml:space="preserve"> SUMIFS(Aux_Totales!$P:$P, Aux_Totales!$F:$F, $A174, Aux_Totales!$A:$A,#REF!)</f>
        <v>0</v>
      </c>
      <c r="G174" s="13">
        <f t="shared" si="369"/>
        <v>0</v>
      </c>
      <c r="H174" s="9">
        <f t="shared" si="370"/>
        <v>0</v>
      </c>
      <c r="I174" s="9" t="str">
        <f t="shared" si="371"/>
        <v/>
      </c>
      <c r="J174" s="20"/>
      <c r="L174" s="16">
        <f>SUMIFS(Aux_Anterior!$W:$W, Aux_Anterior!$F:$F, $A174, Aux_Anterior!$A:$A,#REF!, Aux_Anterior!$AB:$AB, 202404, Aux_Anterior!$AA:$AA, 0)</f>
        <v>0</v>
      </c>
      <c r="M174" s="16">
        <f>SUMIFS(Aux_Anterior!$X:$X, Aux_Anterior!$F:$F, $A174, Aux_Anterior!$A:$A,#REF!, Aux_Anterior!$AB:$AB, 202404, Aux_Anterior!$AA:$AA, 0)</f>
        <v>0</v>
      </c>
      <c r="N174" s="16">
        <f>SUMIFS(Aux_Anterior!$P:$P, Aux_Anterior!$F:$F, $A174, Aux_Anterior!$A:$A,#REF!, Aux_Anterior!$AB:$AB, 202404, Aux_Anterior!$AA:$AA, 0)</f>
        <v>0</v>
      </c>
      <c r="O174" s="13">
        <f t="shared" si="372"/>
        <v>0</v>
      </c>
      <c r="Q174" s="16" cm="1">
        <f t="array" ref="Q174">INDEX($G$9:$EA$50, COUNTA($A$168:$A174), 125 - (COUNTA($A$168:$A174) - 1) * 3 - 2)</f>
        <v>36206868760</v>
      </c>
      <c r="R174" s="16" cm="1">
        <f t="array" ref="R174">INDEX($EB$9:$IV$50, COUNTA($A$168:$A174), 125 - (COUNTA($A$168:$A174) - 1) * 3 - 2)</f>
        <v>30434100035.419979</v>
      </c>
      <c r="S174" s="13">
        <f t="shared" si="373"/>
        <v>1</v>
      </c>
      <c r="T174" s="28" cm="1">
        <f t="array" ref="T174">IFERROR(INDEX(IF($C$2 = "Pago", $G$164:$EA$164, $EB$164:$IV$164), 1, (COUNTA($A174:$A$209) - 1) * 3 + 2), 100%)</f>
        <v>1</v>
      </c>
      <c r="U174" s="16">
        <f t="shared" si="374"/>
        <v>0</v>
      </c>
      <c r="V174" s="13">
        <f t="shared" si="375"/>
        <v>1</v>
      </c>
      <c r="W174" s="16">
        <f t="shared" si="376"/>
        <v>0</v>
      </c>
      <c r="X174" s="13" t="e">
        <f t="shared" si="377"/>
        <v>#DIV/0!</v>
      </c>
      <c r="Y174" s="9">
        <f t="shared" si="378"/>
        <v>0</v>
      </c>
      <c r="AA174" s="28">
        <f t="shared" si="379"/>
        <v>0</v>
      </c>
      <c r="AB174" s="28">
        <f t="shared" si="380"/>
        <v>1</v>
      </c>
      <c r="AC174" s="16">
        <f t="shared" si="381"/>
        <v>0</v>
      </c>
      <c r="AD174" s="13">
        <f t="shared" si="382"/>
        <v>0</v>
      </c>
      <c r="AE174" s="16">
        <f t="shared" si="383"/>
        <v>0</v>
      </c>
      <c r="AG174" s="28">
        <f t="shared" si="384"/>
        <v>0</v>
      </c>
      <c r="AH174" s="16">
        <f t="shared" si="385"/>
        <v>0</v>
      </c>
      <c r="AI174" s="16">
        <f t="shared" si="386"/>
        <v>0</v>
      </c>
      <c r="AK174" s="28">
        <f t="shared" si="387"/>
        <v>1</v>
      </c>
      <c r="AL174" s="9">
        <f t="shared" si="388"/>
        <v>0</v>
      </c>
      <c r="AM174" s="9">
        <f t="shared" si="389"/>
        <v>0</v>
      </c>
      <c r="AN174" s="30"/>
    </row>
    <row r="175" spans="1:256" x14ac:dyDescent="0.2">
      <c r="B175" s="16">
        <f xml:space="preserve"> SUMIFS(Aux_Totales!$G:$G, Aux_Totales!$F:$F, $A175, Aux_Totales!$A:$A,#REF!)</f>
        <v>0</v>
      </c>
      <c r="C175" s="16">
        <f xml:space="preserve"> SUMIFS(Aux_Totales!$H:$H, Aux_Totales!$F:$F, $A175, Aux_Totales!$A:$A,#REF!)</f>
        <v>0</v>
      </c>
      <c r="D175" s="16">
        <f t="shared" si="368"/>
        <v>0</v>
      </c>
      <c r="E175" s="20" t="s">
        <v>41</v>
      </c>
      <c r="F175" s="16">
        <f xml:space="preserve"> SUMIFS(Aux_Totales!$P:$P, Aux_Totales!$F:$F, $A175, Aux_Totales!$A:$A,#REF!)</f>
        <v>0</v>
      </c>
      <c r="G175" s="13">
        <f t="shared" si="369"/>
        <v>0</v>
      </c>
      <c r="H175" s="9">
        <f t="shared" si="370"/>
        <v>0</v>
      </c>
      <c r="I175" s="9" t="str">
        <f t="shared" si="371"/>
        <v/>
      </c>
      <c r="J175" s="20"/>
      <c r="L175" s="16">
        <f>SUMIFS(Aux_Anterior!$W:$W, Aux_Anterior!$F:$F, $A175, Aux_Anterior!$A:$A,#REF!, Aux_Anterior!$AB:$AB, 202404, Aux_Anterior!$AA:$AA, 0)</f>
        <v>0</v>
      </c>
      <c r="M175" s="16">
        <f>SUMIFS(Aux_Anterior!$X:$X, Aux_Anterior!$F:$F, $A175, Aux_Anterior!$A:$A,#REF!, Aux_Anterior!$AB:$AB, 202404, Aux_Anterior!$AA:$AA, 0)</f>
        <v>0</v>
      </c>
      <c r="N175" s="16">
        <f>SUMIFS(Aux_Anterior!$P:$P, Aux_Anterior!$F:$F, $A175, Aux_Anterior!$A:$A,#REF!, Aux_Anterior!$AB:$AB, 202404, Aux_Anterior!$AA:$AA, 0)</f>
        <v>0</v>
      </c>
      <c r="O175" s="13">
        <f t="shared" si="372"/>
        <v>0</v>
      </c>
      <c r="Q175" s="16" cm="1">
        <f t="array" ref="Q175">INDEX($G$9:$EA$50, COUNTA($A$168:$A175), 125 - (COUNTA($A$168:$A175) - 1) * 3 - 2)</f>
        <v>36206868760</v>
      </c>
      <c r="R175" s="16" cm="1">
        <f t="array" ref="R175">INDEX($EB$9:$IV$50, COUNTA($A$168:$A175), 125 - (COUNTA($A$168:$A175) - 1) * 3 - 2)</f>
        <v>30434100035.419979</v>
      </c>
      <c r="S175" s="13">
        <f t="shared" si="373"/>
        <v>1</v>
      </c>
      <c r="T175" s="28" cm="1">
        <f t="array" ref="T175">IFERROR(INDEX(IF($C$2 = "Pago", $G$164:$EA$164, $EB$164:$IV$164), 1, (COUNTA($A175:$A$209) - 1) * 3 + 2), 100%)</f>
        <v>1</v>
      </c>
      <c r="U175" s="16">
        <f t="shared" si="374"/>
        <v>0</v>
      </c>
      <c r="V175" s="13">
        <f t="shared" si="375"/>
        <v>1</v>
      </c>
      <c r="W175" s="16">
        <f t="shared" si="376"/>
        <v>0</v>
      </c>
      <c r="X175" s="13" t="e">
        <f t="shared" si="377"/>
        <v>#DIV/0!</v>
      </c>
      <c r="Y175" s="9">
        <f t="shared" si="378"/>
        <v>0</v>
      </c>
      <c r="AA175" s="28">
        <f t="shared" si="379"/>
        <v>0</v>
      </c>
      <c r="AB175" s="28">
        <f t="shared" si="380"/>
        <v>1</v>
      </c>
      <c r="AC175" s="16">
        <f t="shared" si="381"/>
        <v>0</v>
      </c>
      <c r="AD175" s="13">
        <f t="shared" si="382"/>
        <v>0</v>
      </c>
      <c r="AE175" s="16">
        <f t="shared" si="383"/>
        <v>0</v>
      </c>
      <c r="AG175" s="28">
        <f t="shared" si="384"/>
        <v>0</v>
      </c>
      <c r="AH175" s="16">
        <f t="shared" si="385"/>
        <v>0</v>
      </c>
      <c r="AI175" s="16">
        <f t="shared" si="386"/>
        <v>0</v>
      </c>
      <c r="AK175" s="28">
        <f t="shared" si="387"/>
        <v>1</v>
      </c>
      <c r="AL175" s="9">
        <f t="shared" si="388"/>
        <v>0</v>
      </c>
      <c r="AM175" s="9">
        <f t="shared" si="389"/>
        <v>0</v>
      </c>
      <c r="AN175" s="30"/>
    </row>
    <row r="176" spans="1:256" x14ac:dyDescent="0.2">
      <c r="B176" s="16">
        <f xml:space="preserve"> SUMIFS(Aux_Totales!$G:$G, Aux_Totales!$F:$F, $A176, Aux_Totales!$A:$A,#REF!)</f>
        <v>0</v>
      </c>
      <c r="C176" s="16">
        <f xml:space="preserve"> SUMIFS(Aux_Totales!$H:$H, Aux_Totales!$F:$F, $A176, Aux_Totales!$A:$A,#REF!)</f>
        <v>0</v>
      </c>
      <c r="D176" s="16">
        <f t="shared" si="368"/>
        <v>0</v>
      </c>
      <c r="E176" s="20" t="s">
        <v>41</v>
      </c>
      <c r="F176" s="16">
        <f xml:space="preserve"> SUMIFS(Aux_Totales!$P:$P, Aux_Totales!$F:$F, $A176, Aux_Totales!$A:$A,#REF!)</f>
        <v>0</v>
      </c>
      <c r="G176" s="13">
        <f t="shared" si="369"/>
        <v>0</v>
      </c>
      <c r="H176" s="9">
        <f t="shared" si="370"/>
        <v>0</v>
      </c>
      <c r="I176" s="9" t="str">
        <f t="shared" si="371"/>
        <v/>
      </c>
      <c r="J176" s="20"/>
      <c r="L176" s="16">
        <f>SUMIFS(Aux_Anterior!$W:$W, Aux_Anterior!$F:$F, $A176, Aux_Anterior!$A:$A,#REF!, Aux_Anterior!$AB:$AB, 202404, Aux_Anterior!$AA:$AA, 0)</f>
        <v>0</v>
      </c>
      <c r="M176" s="16">
        <f>SUMIFS(Aux_Anterior!$X:$X, Aux_Anterior!$F:$F, $A176, Aux_Anterior!$A:$A,#REF!, Aux_Anterior!$AB:$AB, 202404, Aux_Anterior!$AA:$AA, 0)</f>
        <v>0</v>
      </c>
      <c r="N176" s="16">
        <f>SUMIFS(Aux_Anterior!$P:$P, Aux_Anterior!$F:$F, $A176, Aux_Anterior!$A:$A,#REF!, Aux_Anterior!$AB:$AB, 202404, Aux_Anterior!$AA:$AA, 0)</f>
        <v>0</v>
      </c>
      <c r="O176" s="13">
        <f t="shared" si="372"/>
        <v>0</v>
      </c>
      <c r="Q176" s="16" cm="1">
        <f t="array" ref="Q176">INDEX($G$9:$EA$50, COUNTA($A$168:$A176), 125 - (COUNTA($A$168:$A176) - 1) * 3 - 2)</f>
        <v>36206868760</v>
      </c>
      <c r="R176" s="16" cm="1">
        <f t="array" ref="R176">INDEX($EB$9:$IV$50, COUNTA($A$168:$A176), 125 - (COUNTA($A$168:$A176) - 1) * 3 - 2)</f>
        <v>30434100035.419979</v>
      </c>
      <c r="S176" s="13">
        <f t="shared" si="373"/>
        <v>1</v>
      </c>
      <c r="T176" s="28" cm="1">
        <f t="array" ref="T176">IFERROR(INDEX(IF($C$2 = "Pago", $G$164:$EA$164, $EB$164:$IV$164), 1, (COUNTA($A176:$A$209) - 1) * 3 + 2), 100%)</f>
        <v>1</v>
      </c>
      <c r="U176" s="16">
        <f t="shared" si="374"/>
        <v>0</v>
      </c>
      <c r="V176" s="13">
        <f t="shared" si="375"/>
        <v>1</v>
      </c>
      <c r="W176" s="16">
        <f t="shared" si="376"/>
        <v>0</v>
      </c>
      <c r="X176" s="13" t="e">
        <f t="shared" si="377"/>
        <v>#DIV/0!</v>
      </c>
      <c r="Y176" s="9">
        <f t="shared" si="378"/>
        <v>0</v>
      </c>
      <c r="AA176" s="28">
        <f t="shared" si="379"/>
        <v>0</v>
      </c>
      <c r="AB176" s="28">
        <f t="shared" si="380"/>
        <v>1</v>
      </c>
      <c r="AC176" s="16">
        <f t="shared" si="381"/>
        <v>0</v>
      </c>
      <c r="AD176" s="13">
        <f t="shared" si="382"/>
        <v>0</v>
      </c>
      <c r="AE176" s="16">
        <f t="shared" si="383"/>
        <v>0</v>
      </c>
      <c r="AG176" s="28">
        <f t="shared" si="384"/>
        <v>0</v>
      </c>
      <c r="AH176" s="16">
        <f t="shared" si="385"/>
        <v>0</v>
      </c>
      <c r="AI176" s="16">
        <f t="shared" si="386"/>
        <v>0</v>
      </c>
      <c r="AK176" s="28">
        <f t="shared" si="387"/>
        <v>1</v>
      </c>
      <c r="AL176" s="9">
        <f t="shared" si="388"/>
        <v>0</v>
      </c>
      <c r="AM176" s="9">
        <f t="shared" si="389"/>
        <v>0</v>
      </c>
      <c r="AN176" s="30"/>
    </row>
    <row r="177" spans="2:40" x14ac:dyDescent="0.2">
      <c r="B177" s="16">
        <f xml:space="preserve"> SUMIFS(Aux_Totales!$G:$G, Aux_Totales!$F:$F, $A177, Aux_Totales!$A:$A,#REF!)</f>
        <v>0</v>
      </c>
      <c r="C177" s="16">
        <f xml:space="preserve"> SUMIFS(Aux_Totales!$H:$H, Aux_Totales!$F:$F, $A177, Aux_Totales!$A:$A,#REF!)</f>
        <v>0</v>
      </c>
      <c r="D177" s="16">
        <f t="shared" si="368"/>
        <v>0</v>
      </c>
      <c r="E177" s="20" t="s">
        <v>41</v>
      </c>
      <c r="F177" s="16">
        <f xml:space="preserve"> SUMIFS(Aux_Totales!$P:$P, Aux_Totales!$F:$F, $A177, Aux_Totales!$A:$A,#REF!)</f>
        <v>0</v>
      </c>
      <c r="G177" s="13">
        <f t="shared" si="369"/>
        <v>0</v>
      </c>
      <c r="H177" s="9">
        <f t="shared" si="370"/>
        <v>0</v>
      </c>
      <c r="I177" s="9" t="str">
        <f t="shared" si="371"/>
        <v/>
      </c>
      <c r="J177" s="20"/>
      <c r="L177" s="16">
        <f>SUMIFS(Aux_Anterior!$W:$W, Aux_Anterior!$F:$F, $A177, Aux_Anterior!$A:$A,#REF!, Aux_Anterior!$AB:$AB, 202404, Aux_Anterior!$AA:$AA, 0)</f>
        <v>0</v>
      </c>
      <c r="M177" s="16">
        <f>SUMIFS(Aux_Anterior!$X:$X, Aux_Anterior!$F:$F, $A177, Aux_Anterior!$A:$A,#REF!, Aux_Anterior!$AB:$AB, 202404, Aux_Anterior!$AA:$AA, 0)</f>
        <v>0</v>
      </c>
      <c r="N177" s="16">
        <f>SUMIFS(Aux_Anterior!$P:$P, Aux_Anterior!$F:$F, $A177, Aux_Anterior!$A:$A,#REF!, Aux_Anterior!$AB:$AB, 202404, Aux_Anterior!$AA:$AA, 0)</f>
        <v>0</v>
      </c>
      <c r="O177" s="13">
        <f t="shared" si="372"/>
        <v>0</v>
      </c>
      <c r="Q177" s="16" cm="1">
        <f t="array" ref="Q177">INDEX($G$9:$EA$50, COUNTA($A$168:$A177), 125 - (COUNTA($A$168:$A177) - 1) * 3 - 2)</f>
        <v>36206868760</v>
      </c>
      <c r="R177" s="16" cm="1">
        <f t="array" ref="R177">INDEX($EB$9:$IV$50, COUNTA($A$168:$A177), 125 - (COUNTA($A$168:$A177) - 1) * 3 - 2)</f>
        <v>30434100035.419979</v>
      </c>
      <c r="S177" s="13">
        <f t="shared" si="373"/>
        <v>1</v>
      </c>
      <c r="T177" s="28" cm="1">
        <f t="array" ref="T177">IFERROR(INDEX(IF($C$2 = "Pago", $G$164:$EA$164, $EB$164:$IV$164), 1, (COUNTA($A177:$A$209) - 1) * 3 + 2), 100%)</f>
        <v>1</v>
      </c>
      <c r="U177" s="16">
        <f t="shared" si="374"/>
        <v>0</v>
      </c>
      <c r="V177" s="13">
        <f t="shared" si="375"/>
        <v>1</v>
      </c>
      <c r="W177" s="16">
        <f t="shared" si="376"/>
        <v>0</v>
      </c>
      <c r="X177" s="13" t="e">
        <f t="shared" si="377"/>
        <v>#DIV/0!</v>
      </c>
      <c r="Y177" s="9">
        <f t="shared" si="378"/>
        <v>0</v>
      </c>
      <c r="AA177" s="28">
        <f t="shared" si="379"/>
        <v>0</v>
      </c>
      <c r="AB177" s="28">
        <f t="shared" si="380"/>
        <v>1</v>
      </c>
      <c r="AC177" s="16">
        <f t="shared" si="381"/>
        <v>0</v>
      </c>
      <c r="AD177" s="13">
        <f t="shared" si="382"/>
        <v>0</v>
      </c>
      <c r="AE177" s="16">
        <f t="shared" si="383"/>
        <v>0</v>
      </c>
      <c r="AG177" s="28">
        <f t="shared" si="384"/>
        <v>0</v>
      </c>
      <c r="AH177" s="16">
        <f t="shared" si="385"/>
        <v>0</v>
      </c>
      <c r="AI177" s="16">
        <f t="shared" si="386"/>
        <v>0</v>
      </c>
      <c r="AK177" s="28">
        <f t="shared" si="387"/>
        <v>1</v>
      </c>
      <c r="AL177" s="9">
        <f t="shared" si="388"/>
        <v>0</v>
      </c>
      <c r="AM177" s="9">
        <f t="shared" si="389"/>
        <v>0</v>
      </c>
      <c r="AN177" s="30"/>
    </row>
    <row r="178" spans="2:40" x14ac:dyDescent="0.2">
      <c r="B178" s="16">
        <f xml:space="preserve"> SUMIFS(Aux_Totales!$G:$G, Aux_Totales!$F:$F, $A178, Aux_Totales!$A:$A,#REF!)</f>
        <v>0</v>
      </c>
      <c r="C178" s="16">
        <f xml:space="preserve"> SUMIFS(Aux_Totales!$H:$H, Aux_Totales!$F:$F, $A178, Aux_Totales!$A:$A,#REF!)</f>
        <v>0</v>
      </c>
      <c r="D178" s="16">
        <f t="shared" si="368"/>
        <v>0</v>
      </c>
      <c r="E178" s="20" t="s">
        <v>41</v>
      </c>
      <c r="F178" s="16">
        <f xml:space="preserve"> SUMIFS(Aux_Totales!$P:$P, Aux_Totales!$F:$F, $A178, Aux_Totales!$A:$A,#REF!)</f>
        <v>0</v>
      </c>
      <c r="G178" s="13">
        <f t="shared" si="369"/>
        <v>0</v>
      </c>
      <c r="H178" s="9">
        <f t="shared" si="370"/>
        <v>0</v>
      </c>
      <c r="I178" s="9" t="str">
        <f t="shared" si="371"/>
        <v/>
      </c>
      <c r="J178" s="20"/>
      <c r="L178" s="16">
        <f>SUMIFS(Aux_Anterior!$W:$W, Aux_Anterior!$F:$F, $A178, Aux_Anterior!$A:$A,#REF!, Aux_Anterior!$AB:$AB, 202404, Aux_Anterior!$AA:$AA, 0)</f>
        <v>0</v>
      </c>
      <c r="M178" s="16">
        <f>SUMIFS(Aux_Anterior!$X:$X, Aux_Anterior!$F:$F, $A178, Aux_Anterior!$A:$A,#REF!, Aux_Anterior!$AB:$AB, 202404, Aux_Anterior!$AA:$AA, 0)</f>
        <v>0</v>
      </c>
      <c r="N178" s="16">
        <f>SUMIFS(Aux_Anterior!$P:$P, Aux_Anterior!$F:$F, $A178, Aux_Anterior!$A:$A,#REF!, Aux_Anterior!$AB:$AB, 202404, Aux_Anterior!$AA:$AA, 0)</f>
        <v>0</v>
      </c>
      <c r="O178" s="13">
        <f t="shared" si="372"/>
        <v>0</v>
      </c>
      <c r="Q178" s="16" cm="1">
        <f t="array" ref="Q178">INDEX($G$9:$EA$50, COUNTA($A$168:$A178), 125 - (COUNTA($A$168:$A178) - 1) * 3 - 2)</f>
        <v>36206868760</v>
      </c>
      <c r="R178" s="16" cm="1">
        <f t="array" ref="R178">INDEX($EB$9:$IV$50, COUNTA($A$168:$A178), 125 - (COUNTA($A$168:$A178) - 1) * 3 - 2)</f>
        <v>30434100035.419979</v>
      </c>
      <c r="S178" s="13">
        <f t="shared" si="373"/>
        <v>1</v>
      </c>
      <c r="T178" s="28" cm="1">
        <f t="array" ref="T178">IFERROR(INDEX(IF($C$2 = "Pago", $G$164:$EA$164, $EB$164:$IV$164), 1, (COUNTA($A178:$A$209) - 1) * 3 + 2), 100%)</f>
        <v>1</v>
      </c>
      <c r="U178" s="16">
        <f t="shared" si="374"/>
        <v>0</v>
      </c>
      <c r="V178" s="13">
        <f t="shared" si="375"/>
        <v>1</v>
      </c>
      <c r="W178" s="16">
        <f t="shared" si="376"/>
        <v>0</v>
      </c>
      <c r="X178" s="13" t="e">
        <f t="shared" si="377"/>
        <v>#DIV/0!</v>
      </c>
      <c r="Y178" s="9">
        <f t="shared" si="378"/>
        <v>0</v>
      </c>
      <c r="AA178" s="28">
        <f t="shared" si="379"/>
        <v>0</v>
      </c>
      <c r="AB178" s="28">
        <f t="shared" si="380"/>
        <v>1</v>
      </c>
      <c r="AC178" s="16">
        <f t="shared" si="381"/>
        <v>0</v>
      </c>
      <c r="AD178" s="13">
        <f t="shared" si="382"/>
        <v>0</v>
      </c>
      <c r="AE178" s="16">
        <f t="shared" si="383"/>
        <v>0</v>
      </c>
      <c r="AG178" s="28">
        <f t="shared" si="384"/>
        <v>0</v>
      </c>
      <c r="AH178" s="16">
        <f t="shared" si="385"/>
        <v>0</v>
      </c>
      <c r="AI178" s="16">
        <f t="shared" si="386"/>
        <v>0</v>
      </c>
      <c r="AK178" s="28">
        <f t="shared" si="387"/>
        <v>1</v>
      </c>
      <c r="AL178" s="9">
        <f t="shared" si="388"/>
        <v>0</v>
      </c>
      <c r="AM178" s="9">
        <f t="shared" si="389"/>
        <v>0</v>
      </c>
      <c r="AN178" s="30"/>
    </row>
    <row r="179" spans="2:40" x14ac:dyDescent="0.2">
      <c r="B179" s="16">
        <f xml:space="preserve"> SUMIFS(Aux_Totales!$G:$G, Aux_Totales!$F:$F, $A179, Aux_Totales!$A:$A,#REF!)</f>
        <v>0</v>
      </c>
      <c r="C179" s="16">
        <f xml:space="preserve"> SUMIFS(Aux_Totales!$H:$H, Aux_Totales!$F:$F, $A179, Aux_Totales!$A:$A,#REF!)</f>
        <v>0</v>
      </c>
      <c r="D179" s="16">
        <f t="shared" si="368"/>
        <v>0</v>
      </c>
      <c r="E179" s="20" t="s">
        <v>41</v>
      </c>
      <c r="F179" s="16">
        <f xml:space="preserve"> SUMIFS(Aux_Totales!$P:$P, Aux_Totales!$F:$F, $A179, Aux_Totales!$A:$A,#REF!)</f>
        <v>0</v>
      </c>
      <c r="G179" s="13">
        <f t="shared" si="369"/>
        <v>0</v>
      </c>
      <c r="H179" s="9">
        <f t="shared" si="370"/>
        <v>0</v>
      </c>
      <c r="I179" s="9" t="str">
        <f t="shared" si="371"/>
        <v/>
      </c>
      <c r="J179" s="20"/>
      <c r="L179" s="16">
        <f>SUMIFS(Aux_Anterior!$W:$W, Aux_Anterior!$F:$F, $A179, Aux_Anterior!$A:$A,#REF!, Aux_Anterior!$AB:$AB, 202404, Aux_Anterior!$AA:$AA, 0)</f>
        <v>0</v>
      </c>
      <c r="M179" s="16">
        <f>SUMIFS(Aux_Anterior!$X:$X, Aux_Anterior!$F:$F, $A179, Aux_Anterior!$A:$A,#REF!, Aux_Anterior!$AB:$AB, 202404, Aux_Anterior!$AA:$AA, 0)</f>
        <v>0</v>
      </c>
      <c r="N179" s="16">
        <f>SUMIFS(Aux_Anterior!$P:$P, Aux_Anterior!$F:$F, $A179, Aux_Anterior!$A:$A,#REF!, Aux_Anterior!$AB:$AB, 202404, Aux_Anterior!$AA:$AA, 0)</f>
        <v>0</v>
      </c>
      <c r="O179" s="13">
        <f t="shared" si="372"/>
        <v>0</v>
      </c>
      <c r="Q179" s="16" cm="1">
        <f t="array" ref="Q179">INDEX($G$9:$EA$50, COUNTA($A$168:$A179), 125 - (COUNTA($A$168:$A179) - 1) * 3 - 2)</f>
        <v>36206868760</v>
      </c>
      <c r="R179" s="16" cm="1">
        <f t="array" ref="R179">INDEX($EB$9:$IV$50, COUNTA($A$168:$A179), 125 - (COUNTA($A$168:$A179) - 1) * 3 - 2)</f>
        <v>30434100035.419979</v>
      </c>
      <c r="S179" s="13">
        <f t="shared" si="373"/>
        <v>1</v>
      </c>
      <c r="T179" s="28" cm="1">
        <f t="array" ref="T179">IFERROR(INDEX(IF($C$2 = "Pago", $G$164:$EA$164, $EB$164:$IV$164), 1, (COUNTA($A179:$A$209) - 1) * 3 + 2), 100%)</f>
        <v>1</v>
      </c>
      <c r="U179" s="16">
        <f t="shared" si="374"/>
        <v>0</v>
      </c>
      <c r="V179" s="13">
        <f t="shared" si="375"/>
        <v>1</v>
      </c>
      <c r="W179" s="16">
        <f t="shared" si="376"/>
        <v>0</v>
      </c>
      <c r="X179" s="13" t="e">
        <f t="shared" si="377"/>
        <v>#DIV/0!</v>
      </c>
      <c r="Y179" s="9">
        <f t="shared" si="378"/>
        <v>0</v>
      </c>
      <c r="AA179" s="28">
        <f t="shared" si="379"/>
        <v>0</v>
      </c>
      <c r="AB179" s="28">
        <f t="shared" si="380"/>
        <v>1</v>
      </c>
      <c r="AC179" s="16">
        <f t="shared" si="381"/>
        <v>0</v>
      </c>
      <c r="AD179" s="13">
        <f t="shared" si="382"/>
        <v>0</v>
      </c>
      <c r="AE179" s="16">
        <f t="shared" si="383"/>
        <v>0</v>
      </c>
      <c r="AG179" s="28">
        <f t="shared" si="384"/>
        <v>0</v>
      </c>
      <c r="AH179" s="16">
        <f t="shared" si="385"/>
        <v>0</v>
      </c>
      <c r="AI179" s="16">
        <f t="shared" si="386"/>
        <v>0</v>
      </c>
      <c r="AK179" s="28">
        <f t="shared" si="387"/>
        <v>1</v>
      </c>
      <c r="AL179" s="9">
        <f t="shared" si="388"/>
        <v>0</v>
      </c>
      <c r="AM179" s="9">
        <f t="shared" si="389"/>
        <v>0</v>
      </c>
      <c r="AN179" s="30"/>
    </row>
    <row r="180" spans="2:40" x14ac:dyDescent="0.2">
      <c r="B180" s="16">
        <f xml:space="preserve"> SUMIFS(Aux_Totales!$G:$G, Aux_Totales!$F:$F, $A180, Aux_Totales!$A:$A,#REF!)</f>
        <v>0</v>
      </c>
      <c r="C180" s="16">
        <f xml:space="preserve"> SUMIFS(Aux_Totales!$H:$H, Aux_Totales!$F:$F, $A180, Aux_Totales!$A:$A,#REF!)</f>
        <v>0</v>
      </c>
      <c r="D180" s="16">
        <f t="shared" si="368"/>
        <v>0</v>
      </c>
      <c r="E180" s="20" t="s">
        <v>41</v>
      </c>
      <c r="F180" s="16">
        <f xml:space="preserve"> SUMIFS(Aux_Totales!$P:$P, Aux_Totales!$F:$F, $A180, Aux_Totales!$A:$A,#REF!)</f>
        <v>0</v>
      </c>
      <c r="G180" s="13">
        <f t="shared" si="369"/>
        <v>0</v>
      </c>
      <c r="H180" s="9">
        <f t="shared" si="370"/>
        <v>0</v>
      </c>
      <c r="I180" s="9" t="str">
        <f t="shared" si="371"/>
        <v/>
      </c>
      <c r="J180" s="20"/>
      <c r="L180" s="16">
        <f>SUMIFS(Aux_Anterior!$W:$W, Aux_Anterior!$F:$F, $A180, Aux_Anterior!$A:$A,#REF!, Aux_Anterior!$AB:$AB, 202404, Aux_Anterior!$AA:$AA, 0)</f>
        <v>0</v>
      </c>
      <c r="M180" s="16">
        <f>SUMIFS(Aux_Anterior!$X:$X, Aux_Anterior!$F:$F, $A180, Aux_Anterior!$A:$A,#REF!, Aux_Anterior!$AB:$AB, 202404, Aux_Anterior!$AA:$AA, 0)</f>
        <v>0</v>
      </c>
      <c r="N180" s="16">
        <f>SUMIFS(Aux_Anterior!$P:$P, Aux_Anterior!$F:$F, $A180, Aux_Anterior!$A:$A,#REF!, Aux_Anterior!$AB:$AB, 202404, Aux_Anterior!$AA:$AA, 0)</f>
        <v>0</v>
      </c>
      <c r="O180" s="13">
        <f t="shared" si="372"/>
        <v>0</v>
      </c>
      <c r="Q180" s="16" cm="1">
        <f t="array" ref="Q180">INDEX($G$9:$EA$50, COUNTA($A$168:$A180), 125 - (COUNTA($A$168:$A180) - 1) * 3 - 2)</f>
        <v>36206868760</v>
      </c>
      <c r="R180" s="16" cm="1">
        <f t="array" ref="R180">INDEX($EB$9:$IV$50, COUNTA($A$168:$A180), 125 - (COUNTA($A$168:$A180) - 1) * 3 - 2)</f>
        <v>30434100035.419979</v>
      </c>
      <c r="S180" s="13">
        <f t="shared" si="373"/>
        <v>1</v>
      </c>
      <c r="T180" s="28" cm="1">
        <f t="array" ref="T180">IFERROR(INDEX(IF($C$2 = "Pago", $G$164:$EA$164, $EB$164:$IV$164), 1, (COUNTA($A180:$A$209) - 1) * 3 + 2), 100%)</f>
        <v>1</v>
      </c>
      <c r="U180" s="16">
        <f t="shared" si="374"/>
        <v>0</v>
      </c>
      <c r="V180" s="13">
        <f t="shared" si="375"/>
        <v>1</v>
      </c>
      <c r="W180" s="16">
        <f t="shared" si="376"/>
        <v>0</v>
      </c>
      <c r="X180" s="13" t="e">
        <f t="shared" si="377"/>
        <v>#DIV/0!</v>
      </c>
      <c r="Y180" s="9">
        <f t="shared" si="378"/>
        <v>0</v>
      </c>
      <c r="AA180" s="28">
        <f t="shared" si="379"/>
        <v>0</v>
      </c>
      <c r="AB180" s="28">
        <f t="shared" si="380"/>
        <v>1</v>
      </c>
      <c r="AC180" s="16">
        <f t="shared" si="381"/>
        <v>0</v>
      </c>
      <c r="AD180" s="13">
        <f t="shared" si="382"/>
        <v>0</v>
      </c>
      <c r="AE180" s="16">
        <f t="shared" si="383"/>
        <v>0</v>
      </c>
      <c r="AG180" s="28">
        <f t="shared" si="384"/>
        <v>0</v>
      </c>
      <c r="AH180" s="16">
        <f t="shared" si="385"/>
        <v>0</v>
      </c>
      <c r="AI180" s="16">
        <f t="shared" si="386"/>
        <v>0</v>
      </c>
      <c r="AK180" s="28">
        <f t="shared" si="387"/>
        <v>1</v>
      </c>
      <c r="AL180" s="9">
        <f t="shared" si="388"/>
        <v>0</v>
      </c>
      <c r="AM180" s="9">
        <f t="shared" si="389"/>
        <v>0</v>
      </c>
      <c r="AN180" s="30"/>
    </row>
    <row r="181" spans="2:40" x14ac:dyDescent="0.2">
      <c r="B181" s="16">
        <f xml:space="preserve"> SUMIFS(Aux_Totales!$G:$G, Aux_Totales!$F:$F, $A181, Aux_Totales!$A:$A,#REF!)</f>
        <v>0</v>
      </c>
      <c r="C181" s="16">
        <f xml:space="preserve"> SUMIFS(Aux_Totales!$H:$H, Aux_Totales!$F:$F, $A181, Aux_Totales!$A:$A,#REF!)</f>
        <v>0</v>
      </c>
      <c r="D181" s="16">
        <f t="shared" si="368"/>
        <v>0</v>
      </c>
      <c r="E181" s="20" t="s">
        <v>41</v>
      </c>
      <c r="F181" s="16">
        <f xml:space="preserve"> SUMIFS(Aux_Totales!$P:$P, Aux_Totales!$F:$F, $A181, Aux_Totales!$A:$A,#REF!)</f>
        <v>0</v>
      </c>
      <c r="G181" s="13">
        <f t="shared" si="369"/>
        <v>0</v>
      </c>
      <c r="H181" s="9">
        <f t="shared" si="370"/>
        <v>0</v>
      </c>
      <c r="I181" s="9" t="str">
        <f t="shared" si="371"/>
        <v/>
      </c>
      <c r="J181" s="20"/>
      <c r="L181" s="16">
        <f>SUMIFS(Aux_Anterior!$W:$W, Aux_Anterior!$F:$F, $A181, Aux_Anterior!$A:$A,#REF!, Aux_Anterior!$AB:$AB, 202404, Aux_Anterior!$AA:$AA, 0)</f>
        <v>0</v>
      </c>
      <c r="M181" s="16">
        <f>SUMIFS(Aux_Anterior!$X:$X, Aux_Anterior!$F:$F, $A181, Aux_Anterior!$A:$A,#REF!, Aux_Anterior!$AB:$AB, 202404, Aux_Anterior!$AA:$AA, 0)</f>
        <v>0</v>
      </c>
      <c r="N181" s="16">
        <f>SUMIFS(Aux_Anterior!$P:$P, Aux_Anterior!$F:$F, $A181, Aux_Anterior!$A:$A,#REF!, Aux_Anterior!$AB:$AB, 202404, Aux_Anterior!$AA:$AA, 0)</f>
        <v>0</v>
      </c>
      <c r="O181" s="13">
        <f t="shared" si="372"/>
        <v>0</v>
      </c>
      <c r="Q181" s="16" cm="1">
        <f t="array" ref="Q181">INDEX($G$9:$EA$50, COUNTA($A$168:$A181), 125 - (COUNTA($A$168:$A181) - 1) * 3 - 2)</f>
        <v>36206868760</v>
      </c>
      <c r="R181" s="16" cm="1">
        <f t="array" ref="R181">INDEX($EB$9:$IV$50, COUNTA($A$168:$A181), 125 - (COUNTA($A$168:$A181) - 1) * 3 - 2)</f>
        <v>30434100035.419979</v>
      </c>
      <c r="S181" s="13">
        <f t="shared" si="373"/>
        <v>1</v>
      </c>
      <c r="T181" s="28" cm="1">
        <f t="array" ref="T181">IFERROR(INDEX(IF($C$2 = "Pago", $G$164:$EA$164, $EB$164:$IV$164), 1, (COUNTA($A181:$A$209) - 1) * 3 + 2), 100%)</f>
        <v>1</v>
      </c>
      <c r="U181" s="16">
        <f t="shared" si="374"/>
        <v>0</v>
      </c>
      <c r="V181" s="13">
        <f t="shared" si="375"/>
        <v>1</v>
      </c>
      <c r="W181" s="16">
        <f t="shared" si="376"/>
        <v>0</v>
      </c>
      <c r="X181" s="13" t="e">
        <f t="shared" si="377"/>
        <v>#DIV/0!</v>
      </c>
      <c r="Y181" s="9">
        <f t="shared" si="378"/>
        <v>0</v>
      </c>
      <c r="AA181" s="28">
        <f t="shared" si="379"/>
        <v>0</v>
      </c>
      <c r="AB181" s="28">
        <f t="shared" si="380"/>
        <v>1</v>
      </c>
      <c r="AC181" s="16">
        <f t="shared" si="381"/>
        <v>0</v>
      </c>
      <c r="AD181" s="13">
        <f t="shared" si="382"/>
        <v>0</v>
      </c>
      <c r="AE181" s="16">
        <f t="shared" si="383"/>
        <v>0</v>
      </c>
      <c r="AG181" s="28">
        <f t="shared" si="384"/>
        <v>0</v>
      </c>
      <c r="AH181" s="16">
        <f t="shared" si="385"/>
        <v>0</v>
      </c>
      <c r="AI181" s="16">
        <f t="shared" si="386"/>
        <v>0</v>
      </c>
      <c r="AK181" s="28">
        <f t="shared" si="387"/>
        <v>1</v>
      </c>
      <c r="AL181" s="9">
        <f t="shared" si="388"/>
        <v>0</v>
      </c>
      <c r="AM181" s="9">
        <f t="shared" si="389"/>
        <v>0</v>
      </c>
      <c r="AN181" s="30"/>
    </row>
    <row r="182" spans="2:40" x14ac:dyDescent="0.2">
      <c r="B182" s="16">
        <f xml:space="preserve"> SUMIFS(Aux_Totales!$G:$G, Aux_Totales!$F:$F, $A182, Aux_Totales!$A:$A,#REF!)</f>
        <v>0</v>
      </c>
      <c r="C182" s="16">
        <f xml:space="preserve"> SUMIFS(Aux_Totales!$H:$H, Aux_Totales!$F:$F, $A182, Aux_Totales!$A:$A,#REF!)</f>
        <v>0</v>
      </c>
      <c r="D182" s="16">
        <f t="shared" si="368"/>
        <v>0</v>
      </c>
      <c r="E182" s="20" t="s">
        <v>41</v>
      </c>
      <c r="F182" s="16">
        <f xml:space="preserve"> SUMIFS(Aux_Totales!$P:$P, Aux_Totales!$F:$F, $A182, Aux_Totales!$A:$A,#REF!)</f>
        <v>0</v>
      </c>
      <c r="G182" s="13">
        <f t="shared" si="369"/>
        <v>0</v>
      </c>
      <c r="H182" s="9">
        <f t="shared" si="370"/>
        <v>0</v>
      </c>
      <c r="I182" s="9" t="str">
        <f t="shared" si="371"/>
        <v/>
      </c>
      <c r="J182" s="20"/>
      <c r="L182" s="16">
        <f>SUMIFS(Aux_Anterior!$W:$W, Aux_Anterior!$F:$F, $A182, Aux_Anterior!$A:$A,#REF!, Aux_Anterior!$AB:$AB, 202404, Aux_Anterior!$AA:$AA, 0)</f>
        <v>0</v>
      </c>
      <c r="M182" s="16">
        <f>SUMIFS(Aux_Anterior!$X:$X, Aux_Anterior!$F:$F, $A182, Aux_Anterior!$A:$A,#REF!, Aux_Anterior!$AB:$AB, 202404, Aux_Anterior!$AA:$AA, 0)</f>
        <v>0</v>
      </c>
      <c r="N182" s="16">
        <f>SUMIFS(Aux_Anterior!$P:$P, Aux_Anterior!$F:$F, $A182, Aux_Anterior!$A:$A,#REF!, Aux_Anterior!$AB:$AB, 202404, Aux_Anterior!$AA:$AA, 0)</f>
        <v>0</v>
      </c>
      <c r="O182" s="13">
        <f t="shared" si="372"/>
        <v>0</v>
      </c>
      <c r="Q182" s="16" cm="1">
        <f t="array" ref="Q182">INDEX($G$9:$EA$50, COUNTA($A$168:$A182), 125 - (COUNTA($A$168:$A182) - 1) * 3 - 2)</f>
        <v>36206868760</v>
      </c>
      <c r="R182" s="16" cm="1">
        <f t="array" ref="R182">INDEX($EB$9:$IV$50, COUNTA($A$168:$A182), 125 - (COUNTA($A$168:$A182) - 1) * 3 - 2)</f>
        <v>30434100035.419979</v>
      </c>
      <c r="S182" s="13">
        <f t="shared" si="373"/>
        <v>1</v>
      </c>
      <c r="T182" s="28" cm="1">
        <f t="array" ref="T182">IFERROR(INDEX(IF($C$2 = "Pago", $G$164:$EA$164, $EB$164:$IV$164), 1, (COUNTA($A182:$A$209) - 1) * 3 + 2), 100%)</f>
        <v>1</v>
      </c>
      <c r="U182" s="16">
        <f t="shared" si="374"/>
        <v>0</v>
      </c>
      <c r="V182" s="13">
        <f t="shared" si="375"/>
        <v>1</v>
      </c>
      <c r="W182" s="16">
        <f t="shared" si="376"/>
        <v>0</v>
      </c>
      <c r="X182" s="13" t="e">
        <f t="shared" si="377"/>
        <v>#DIV/0!</v>
      </c>
      <c r="Y182" s="9">
        <f t="shared" si="378"/>
        <v>0</v>
      </c>
      <c r="AA182" s="28">
        <f t="shared" si="379"/>
        <v>0</v>
      </c>
      <c r="AB182" s="28">
        <f t="shared" si="380"/>
        <v>1</v>
      </c>
      <c r="AC182" s="16">
        <f t="shared" si="381"/>
        <v>0</v>
      </c>
      <c r="AD182" s="13">
        <f t="shared" si="382"/>
        <v>0</v>
      </c>
      <c r="AE182" s="16">
        <f t="shared" si="383"/>
        <v>0</v>
      </c>
      <c r="AG182" s="28">
        <f t="shared" si="384"/>
        <v>0</v>
      </c>
      <c r="AH182" s="16">
        <f t="shared" si="385"/>
        <v>0</v>
      </c>
      <c r="AI182" s="16">
        <f t="shared" si="386"/>
        <v>0</v>
      </c>
      <c r="AK182" s="28">
        <f t="shared" si="387"/>
        <v>1</v>
      </c>
      <c r="AL182" s="9">
        <f t="shared" si="388"/>
        <v>0</v>
      </c>
      <c r="AM182" s="9">
        <f t="shared" si="389"/>
        <v>0</v>
      </c>
      <c r="AN182" s="30"/>
    </row>
    <row r="183" spans="2:40" x14ac:dyDescent="0.2">
      <c r="B183" s="16">
        <f xml:space="preserve"> SUMIFS(Aux_Totales!$G:$G, Aux_Totales!$F:$F, $A183, Aux_Totales!$A:$A,#REF!)</f>
        <v>0</v>
      </c>
      <c r="C183" s="16">
        <f xml:space="preserve"> SUMIFS(Aux_Totales!$H:$H, Aux_Totales!$F:$F, $A183, Aux_Totales!$A:$A,#REF!)</f>
        <v>0</v>
      </c>
      <c r="D183" s="16">
        <f t="shared" si="368"/>
        <v>0</v>
      </c>
      <c r="E183" s="20" t="s">
        <v>41</v>
      </c>
      <c r="F183" s="16">
        <f xml:space="preserve"> SUMIFS(Aux_Totales!$P:$P, Aux_Totales!$F:$F, $A183, Aux_Totales!$A:$A,#REF!)</f>
        <v>0</v>
      </c>
      <c r="G183" s="13">
        <f t="shared" si="369"/>
        <v>0</v>
      </c>
      <c r="H183" s="9">
        <f t="shared" si="370"/>
        <v>0</v>
      </c>
      <c r="I183" s="9" t="str">
        <f t="shared" si="371"/>
        <v/>
      </c>
      <c r="J183" s="20"/>
      <c r="L183" s="16">
        <f>SUMIFS(Aux_Anterior!$W:$W, Aux_Anterior!$F:$F, $A183, Aux_Anterior!$A:$A,#REF!, Aux_Anterior!$AB:$AB, 202404, Aux_Anterior!$AA:$AA, 0)</f>
        <v>0</v>
      </c>
      <c r="M183" s="16">
        <f>SUMIFS(Aux_Anterior!$X:$X, Aux_Anterior!$F:$F, $A183, Aux_Anterior!$A:$A,#REF!, Aux_Anterior!$AB:$AB, 202404, Aux_Anterior!$AA:$AA, 0)</f>
        <v>0</v>
      </c>
      <c r="N183" s="16">
        <f>SUMIFS(Aux_Anterior!$P:$P, Aux_Anterior!$F:$F, $A183, Aux_Anterior!$A:$A,#REF!, Aux_Anterior!$AB:$AB, 202404, Aux_Anterior!$AA:$AA, 0)</f>
        <v>0</v>
      </c>
      <c r="O183" s="13">
        <f t="shared" si="372"/>
        <v>0</v>
      </c>
      <c r="Q183" s="16" cm="1">
        <f t="array" ref="Q183">INDEX($G$9:$EA$50, COUNTA($A$168:$A183), 125 - (COUNTA($A$168:$A183) - 1) * 3 - 2)</f>
        <v>36206868760</v>
      </c>
      <c r="R183" s="16" cm="1">
        <f t="array" ref="R183">INDEX($EB$9:$IV$50, COUNTA($A$168:$A183), 125 - (COUNTA($A$168:$A183) - 1) * 3 - 2)</f>
        <v>30434100035.419979</v>
      </c>
      <c r="S183" s="13">
        <f t="shared" si="373"/>
        <v>1</v>
      </c>
      <c r="T183" s="28" cm="1">
        <f t="array" ref="T183">IFERROR(INDEX(IF($C$2 = "Pago", $G$164:$EA$164, $EB$164:$IV$164), 1, (COUNTA($A183:$A$209) - 1) * 3 + 2), 100%)</f>
        <v>1</v>
      </c>
      <c r="U183" s="16">
        <f t="shared" si="374"/>
        <v>0</v>
      </c>
      <c r="V183" s="13">
        <f t="shared" si="375"/>
        <v>1</v>
      </c>
      <c r="W183" s="16">
        <f t="shared" si="376"/>
        <v>0</v>
      </c>
      <c r="X183" s="13" t="e">
        <f t="shared" si="377"/>
        <v>#DIV/0!</v>
      </c>
      <c r="Y183" s="9">
        <f t="shared" si="378"/>
        <v>0</v>
      </c>
      <c r="AA183" s="28">
        <f t="shared" si="379"/>
        <v>0</v>
      </c>
      <c r="AB183" s="28">
        <f t="shared" si="380"/>
        <v>1</v>
      </c>
      <c r="AC183" s="16">
        <f t="shared" si="381"/>
        <v>0</v>
      </c>
      <c r="AD183" s="13">
        <f t="shared" si="382"/>
        <v>0</v>
      </c>
      <c r="AE183" s="16">
        <f t="shared" si="383"/>
        <v>0</v>
      </c>
      <c r="AG183" s="28">
        <f t="shared" si="384"/>
        <v>0</v>
      </c>
      <c r="AH183" s="16">
        <f t="shared" si="385"/>
        <v>0</v>
      </c>
      <c r="AI183" s="16">
        <f t="shared" si="386"/>
        <v>0</v>
      </c>
      <c r="AK183" s="28">
        <f t="shared" si="387"/>
        <v>1</v>
      </c>
      <c r="AL183" s="9">
        <f t="shared" si="388"/>
        <v>0</v>
      </c>
      <c r="AM183" s="9">
        <f t="shared" si="389"/>
        <v>0</v>
      </c>
      <c r="AN183" s="30"/>
    </row>
    <row r="184" spans="2:40" x14ac:dyDescent="0.2">
      <c r="B184" s="16">
        <f xml:space="preserve"> SUMIFS(Aux_Totales!$G:$G, Aux_Totales!$F:$F, $A184, Aux_Totales!$A:$A,#REF!)</f>
        <v>0</v>
      </c>
      <c r="C184" s="16">
        <f xml:space="preserve"> SUMIFS(Aux_Totales!$H:$H, Aux_Totales!$F:$F, $A184, Aux_Totales!$A:$A,#REF!)</f>
        <v>0</v>
      </c>
      <c r="D184" s="16">
        <f t="shared" si="368"/>
        <v>0</v>
      </c>
      <c r="E184" s="20" t="s">
        <v>41</v>
      </c>
      <c r="F184" s="16">
        <f xml:space="preserve"> SUMIFS(Aux_Totales!$P:$P, Aux_Totales!$F:$F, $A184, Aux_Totales!$A:$A,#REF!)</f>
        <v>0</v>
      </c>
      <c r="G184" s="13">
        <f t="shared" si="369"/>
        <v>0</v>
      </c>
      <c r="H184" s="9">
        <f t="shared" si="370"/>
        <v>0</v>
      </c>
      <c r="I184" s="9" t="str">
        <f t="shared" si="371"/>
        <v/>
      </c>
      <c r="J184" s="20"/>
      <c r="L184" s="16">
        <f>SUMIFS(Aux_Anterior!$W:$W, Aux_Anterior!$F:$F, $A184, Aux_Anterior!$A:$A,#REF!, Aux_Anterior!$AB:$AB, 202404, Aux_Anterior!$AA:$AA, 0)</f>
        <v>0</v>
      </c>
      <c r="M184" s="16">
        <f>SUMIFS(Aux_Anterior!$X:$X, Aux_Anterior!$F:$F, $A184, Aux_Anterior!$A:$A,#REF!, Aux_Anterior!$AB:$AB, 202404, Aux_Anterior!$AA:$AA, 0)</f>
        <v>0</v>
      </c>
      <c r="N184" s="16">
        <f>SUMIFS(Aux_Anterior!$P:$P, Aux_Anterior!$F:$F, $A184, Aux_Anterior!$A:$A,#REF!, Aux_Anterior!$AB:$AB, 202404, Aux_Anterior!$AA:$AA, 0)</f>
        <v>0</v>
      </c>
      <c r="O184" s="13">
        <f t="shared" si="372"/>
        <v>0</v>
      </c>
      <c r="Q184" s="16" cm="1">
        <f t="array" ref="Q184">INDEX($G$9:$EA$50, COUNTA($A$168:$A184), 125 - (COUNTA($A$168:$A184) - 1) * 3 - 2)</f>
        <v>36206868760</v>
      </c>
      <c r="R184" s="16" cm="1">
        <f t="array" ref="R184">INDEX($EB$9:$IV$50, COUNTA($A$168:$A184), 125 - (COUNTA($A$168:$A184) - 1) * 3 - 2)</f>
        <v>30434100035.419979</v>
      </c>
      <c r="S184" s="13">
        <f t="shared" si="373"/>
        <v>1</v>
      </c>
      <c r="T184" s="28" cm="1">
        <f t="array" ref="T184">IFERROR(INDEX(IF($C$2 = "Pago", $G$164:$EA$164, $EB$164:$IV$164), 1, (COUNTA($A184:$A$209) - 1) * 3 + 2), 100%)</f>
        <v>1</v>
      </c>
      <c r="U184" s="16">
        <f t="shared" si="374"/>
        <v>0</v>
      </c>
      <c r="V184" s="13">
        <f t="shared" si="375"/>
        <v>1</v>
      </c>
      <c r="W184" s="16">
        <f t="shared" si="376"/>
        <v>0</v>
      </c>
      <c r="X184" s="13" t="e">
        <f t="shared" si="377"/>
        <v>#DIV/0!</v>
      </c>
      <c r="Y184" s="9">
        <f t="shared" si="378"/>
        <v>0</v>
      </c>
      <c r="AA184" s="28">
        <f t="shared" si="379"/>
        <v>0</v>
      </c>
      <c r="AB184" s="28">
        <f t="shared" si="380"/>
        <v>1</v>
      </c>
      <c r="AC184" s="16">
        <f t="shared" si="381"/>
        <v>0</v>
      </c>
      <c r="AD184" s="13">
        <f t="shared" si="382"/>
        <v>0</v>
      </c>
      <c r="AE184" s="16">
        <f t="shared" si="383"/>
        <v>0</v>
      </c>
      <c r="AG184" s="28">
        <f t="shared" si="384"/>
        <v>0</v>
      </c>
      <c r="AH184" s="16">
        <f t="shared" si="385"/>
        <v>0</v>
      </c>
      <c r="AI184" s="16">
        <f t="shared" si="386"/>
        <v>0</v>
      </c>
      <c r="AK184" s="28">
        <f t="shared" si="387"/>
        <v>1</v>
      </c>
      <c r="AL184" s="9">
        <f t="shared" si="388"/>
        <v>0</v>
      </c>
      <c r="AM184" s="9">
        <f t="shared" si="389"/>
        <v>0</v>
      </c>
      <c r="AN184" s="30"/>
    </row>
    <row r="185" spans="2:40" x14ac:dyDescent="0.2">
      <c r="B185" s="16">
        <f xml:space="preserve"> SUMIFS(Aux_Totales!$G:$G, Aux_Totales!$F:$F, $A185, Aux_Totales!$A:$A,#REF!)</f>
        <v>0</v>
      </c>
      <c r="C185" s="16">
        <f xml:space="preserve"> SUMIFS(Aux_Totales!$H:$H, Aux_Totales!$F:$F, $A185, Aux_Totales!$A:$A,#REF!)</f>
        <v>0</v>
      </c>
      <c r="D185" s="16">
        <f t="shared" si="368"/>
        <v>0</v>
      </c>
      <c r="E185" s="20" t="s">
        <v>41</v>
      </c>
      <c r="F185" s="16">
        <f xml:space="preserve"> SUMIFS(Aux_Totales!$P:$P, Aux_Totales!$F:$F, $A185, Aux_Totales!$A:$A,#REF!)</f>
        <v>0</v>
      </c>
      <c r="G185" s="13">
        <f t="shared" si="369"/>
        <v>0</v>
      </c>
      <c r="H185" s="9">
        <f t="shared" si="370"/>
        <v>0</v>
      </c>
      <c r="I185" s="9" t="str">
        <f t="shared" si="371"/>
        <v/>
      </c>
      <c r="J185" s="20"/>
      <c r="L185" s="16">
        <f>SUMIFS(Aux_Anterior!$W:$W, Aux_Anterior!$F:$F, $A185, Aux_Anterior!$A:$A,#REF!, Aux_Anterior!$AB:$AB, 202404, Aux_Anterior!$AA:$AA, 0)</f>
        <v>0</v>
      </c>
      <c r="M185" s="16">
        <f>SUMIFS(Aux_Anterior!$X:$X, Aux_Anterior!$F:$F, $A185, Aux_Anterior!$A:$A,#REF!, Aux_Anterior!$AB:$AB, 202404, Aux_Anterior!$AA:$AA, 0)</f>
        <v>0</v>
      </c>
      <c r="N185" s="16">
        <f>SUMIFS(Aux_Anterior!$P:$P, Aux_Anterior!$F:$F, $A185, Aux_Anterior!$A:$A,#REF!, Aux_Anterior!$AB:$AB, 202404, Aux_Anterior!$AA:$AA, 0)</f>
        <v>0</v>
      </c>
      <c r="O185" s="13">
        <f t="shared" si="372"/>
        <v>0</v>
      </c>
      <c r="Q185" s="16" cm="1">
        <f t="array" ref="Q185">INDEX($G$9:$EA$50, COUNTA($A$168:$A185), 125 - (COUNTA($A$168:$A185) - 1) * 3 - 2)</f>
        <v>36206868760</v>
      </c>
      <c r="R185" s="16" cm="1">
        <f t="array" ref="R185">INDEX($EB$9:$IV$50, COUNTA($A$168:$A185), 125 - (COUNTA($A$168:$A185) - 1) * 3 - 2)</f>
        <v>30434100035.419979</v>
      </c>
      <c r="S185" s="13">
        <f t="shared" si="373"/>
        <v>1</v>
      </c>
      <c r="T185" s="28" cm="1">
        <f t="array" ref="T185">IFERROR(INDEX(IF($C$2 = "Pago", $G$164:$EA$164, $EB$164:$IV$164), 1, (COUNTA($A185:$A$209) - 1) * 3 + 2), 100%)</f>
        <v>1</v>
      </c>
      <c r="U185" s="16">
        <f t="shared" si="374"/>
        <v>0</v>
      </c>
      <c r="V185" s="13">
        <f t="shared" si="375"/>
        <v>1</v>
      </c>
      <c r="W185" s="16">
        <f t="shared" si="376"/>
        <v>0</v>
      </c>
      <c r="X185" s="13" t="e">
        <f t="shared" si="377"/>
        <v>#DIV/0!</v>
      </c>
      <c r="Y185" s="9">
        <f t="shared" si="378"/>
        <v>0</v>
      </c>
      <c r="AA185" s="28">
        <f t="shared" si="379"/>
        <v>0</v>
      </c>
      <c r="AB185" s="28">
        <f t="shared" si="380"/>
        <v>1</v>
      </c>
      <c r="AC185" s="16">
        <f t="shared" si="381"/>
        <v>0</v>
      </c>
      <c r="AD185" s="13">
        <f t="shared" si="382"/>
        <v>0</v>
      </c>
      <c r="AE185" s="16">
        <f t="shared" si="383"/>
        <v>0</v>
      </c>
      <c r="AG185" s="28">
        <f t="shared" si="384"/>
        <v>0</v>
      </c>
      <c r="AH185" s="16">
        <f t="shared" si="385"/>
        <v>0</v>
      </c>
      <c r="AI185" s="16">
        <f t="shared" si="386"/>
        <v>0</v>
      </c>
      <c r="AK185" s="28">
        <f t="shared" si="387"/>
        <v>1</v>
      </c>
      <c r="AL185" s="9">
        <f t="shared" si="388"/>
        <v>0</v>
      </c>
      <c r="AM185" s="9">
        <f t="shared" si="389"/>
        <v>0</v>
      </c>
      <c r="AN185" s="30"/>
    </row>
    <row r="186" spans="2:40" x14ac:dyDescent="0.2">
      <c r="B186" s="16">
        <f xml:space="preserve"> SUMIFS(Aux_Totales!$G:$G, Aux_Totales!$F:$F, $A186, Aux_Totales!$A:$A,#REF!)</f>
        <v>0</v>
      </c>
      <c r="C186" s="16">
        <f xml:space="preserve"> SUMIFS(Aux_Totales!$H:$H, Aux_Totales!$F:$F, $A186, Aux_Totales!$A:$A,#REF!)</f>
        <v>0</v>
      </c>
      <c r="D186" s="16">
        <f t="shared" si="368"/>
        <v>0</v>
      </c>
      <c r="E186" s="20" t="s">
        <v>41</v>
      </c>
      <c r="F186" s="16">
        <f xml:space="preserve"> SUMIFS(Aux_Totales!$P:$P, Aux_Totales!$F:$F, $A186, Aux_Totales!$A:$A,#REF!)</f>
        <v>0</v>
      </c>
      <c r="G186" s="13">
        <f t="shared" si="369"/>
        <v>0</v>
      </c>
      <c r="H186" s="9">
        <f t="shared" si="370"/>
        <v>0</v>
      </c>
      <c r="I186" s="9" t="str">
        <f t="shared" si="371"/>
        <v/>
      </c>
      <c r="J186" s="20"/>
      <c r="L186" s="16">
        <f>SUMIFS(Aux_Anterior!$W:$W, Aux_Anterior!$F:$F, $A186, Aux_Anterior!$A:$A,#REF!, Aux_Anterior!$AB:$AB, 202404, Aux_Anterior!$AA:$AA, 0)</f>
        <v>0</v>
      </c>
      <c r="M186" s="16">
        <f>SUMIFS(Aux_Anterior!$X:$X, Aux_Anterior!$F:$F, $A186, Aux_Anterior!$A:$A,#REF!, Aux_Anterior!$AB:$AB, 202404, Aux_Anterior!$AA:$AA, 0)</f>
        <v>0</v>
      </c>
      <c r="N186" s="16">
        <f>SUMIFS(Aux_Anterior!$P:$P, Aux_Anterior!$F:$F, $A186, Aux_Anterior!$A:$A,#REF!, Aux_Anterior!$AB:$AB, 202404, Aux_Anterior!$AA:$AA, 0)</f>
        <v>0</v>
      </c>
      <c r="O186" s="13">
        <f t="shared" si="372"/>
        <v>0</v>
      </c>
      <c r="Q186" s="16" cm="1">
        <f t="array" ref="Q186">INDEX($G$9:$EA$50, COUNTA($A$168:$A186), 125 - (COUNTA($A$168:$A186) - 1) * 3 - 2)</f>
        <v>36206868760</v>
      </c>
      <c r="R186" s="16" cm="1">
        <f t="array" ref="R186">INDEX($EB$9:$IV$50, COUNTA($A$168:$A186), 125 - (COUNTA($A$168:$A186) - 1) * 3 - 2)</f>
        <v>30434100035.419979</v>
      </c>
      <c r="S186" s="13">
        <f t="shared" si="373"/>
        <v>1</v>
      </c>
      <c r="T186" s="28" cm="1">
        <f t="array" ref="T186">IFERROR(INDEX(IF($C$2 = "Pago", $G$164:$EA$164, $EB$164:$IV$164), 1, (COUNTA($A186:$A$209) - 1) * 3 + 2), 100%)</f>
        <v>1</v>
      </c>
      <c r="U186" s="16">
        <f t="shared" si="374"/>
        <v>0</v>
      </c>
      <c r="V186" s="13">
        <f t="shared" si="375"/>
        <v>1</v>
      </c>
      <c r="W186" s="16">
        <f t="shared" si="376"/>
        <v>0</v>
      </c>
      <c r="X186" s="13" t="e">
        <f t="shared" si="377"/>
        <v>#DIV/0!</v>
      </c>
      <c r="Y186" s="9">
        <f t="shared" si="378"/>
        <v>0</v>
      </c>
      <c r="AA186" s="28">
        <f t="shared" si="379"/>
        <v>0</v>
      </c>
      <c r="AB186" s="28">
        <f t="shared" si="380"/>
        <v>1</v>
      </c>
      <c r="AC186" s="16">
        <f t="shared" si="381"/>
        <v>0</v>
      </c>
      <c r="AD186" s="13">
        <f t="shared" si="382"/>
        <v>0</v>
      </c>
      <c r="AE186" s="16">
        <f t="shared" si="383"/>
        <v>0</v>
      </c>
      <c r="AG186" s="28">
        <f t="shared" si="384"/>
        <v>0</v>
      </c>
      <c r="AH186" s="16">
        <f t="shared" si="385"/>
        <v>0</v>
      </c>
      <c r="AI186" s="16">
        <f t="shared" si="386"/>
        <v>0</v>
      </c>
      <c r="AK186" s="28">
        <f t="shared" si="387"/>
        <v>1</v>
      </c>
      <c r="AL186" s="9">
        <f t="shared" si="388"/>
        <v>0</v>
      </c>
      <c r="AM186" s="9">
        <f t="shared" si="389"/>
        <v>0</v>
      </c>
      <c r="AN186" s="30"/>
    </row>
    <row r="187" spans="2:40" x14ac:dyDescent="0.2">
      <c r="B187" s="16">
        <f xml:space="preserve"> SUMIFS(Aux_Totales!$G:$G, Aux_Totales!$F:$F, $A187, Aux_Totales!$A:$A,#REF!)</f>
        <v>0</v>
      </c>
      <c r="C187" s="16">
        <f xml:space="preserve"> SUMIFS(Aux_Totales!$H:$H, Aux_Totales!$F:$F, $A187, Aux_Totales!$A:$A,#REF!)</f>
        <v>0</v>
      </c>
      <c r="D187" s="16">
        <f t="shared" si="368"/>
        <v>0</v>
      </c>
      <c r="E187" s="20" t="s">
        <v>41</v>
      </c>
      <c r="F187" s="16">
        <f xml:space="preserve"> SUMIFS(Aux_Totales!$P:$P, Aux_Totales!$F:$F, $A187, Aux_Totales!$A:$A,#REF!)</f>
        <v>0</v>
      </c>
      <c r="G187" s="13">
        <f t="shared" si="369"/>
        <v>0</v>
      </c>
      <c r="H187" s="9">
        <f t="shared" si="370"/>
        <v>0</v>
      </c>
      <c r="I187" s="9" t="str">
        <f t="shared" si="371"/>
        <v/>
      </c>
      <c r="J187" s="20"/>
      <c r="L187" s="16">
        <f>SUMIFS(Aux_Anterior!$W:$W, Aux_Anterior!$F:$F, $A187, Aux_Anterior!$A:$A,#REF!, Aux_Anterior!$AB:$AB, 202404, Aux_Anterior!$AA:$AA, 0)</f>
        <v>0</v>
      </c>
      <c r="M187" s="16">
        <f>SUMIFS(Aux_Anterior!$X:$X, Aux_Anterior!$F:$F, $A187, Aux_Anterior!$A:$A,#REF!, Aux_Anterior!$AB:$AB, 202404, Aux_Anterior!$AA:$AA, 0)</f>
        <v>0</v>
      </c>
      <c r="N187" s="16">
        <f>SUMIFS(Aux_Anterior!$P:$P, Aux_Anterior!$F:$F, $A187, Aux_Anterior!$A:$A,#REF!, Aux_Anterior!$AB:$AB, 202404, Aux_Anterior!$AA:$AA, 0)</f>
        <v>0</v>
      </c>
      <c r="O187" s="13">
        <f t="shared" si="372"/>
        <v>0</v>
      </c>
      <c r="Q187" s="16" cm="1">
        <f t="array" ref="Q187">INDEX($G$9:$EA$50, COUNTA($A$168:$A187), 125 - (COUNTA($A$168:$A187) - 1) * 3 - 2)</f>
        <v>36206868760</v>
      </c>
      <c r="R187" s="16" cm="1">
        <f t="array" ref="R187">INDEX($EB$9:$IV$50, COUNTA($A$168:$A187), 125 - (COUNTA($A$168:$A187) - 1) * 3 - 2)</f>
        <v>30434100035.419979</v>
      </c>
      <c r="S187" s="13">
        <f t="shared" si="373"/>
        <v>1</v>
      </c>
      <c r="T187" s="28" cm="1">
        <f t="array" ref="T187">IFERROR(INDEX(IF($C$2 = "Pago", $G$164:$EA$164, $EB$164:$IV$164), 1, (COUNTA($A187:$A$209) - 1) * 3 + 2), 100%)</f>
        <v>1</v>
      </c>
      <c r="U187" s="16">
        <f t="shared" si="374"/>
        <v>0</v>
      </c>
      <c r="V187" s="13">
        <f t="shared" si="375"/>
        <v>1</v>
      </c>
      <c r="W187" s="16">
        <f t="shared" si="376"/>
        <v>0</v>
      </c>
      <c r="X187" s="13" t="e">
        <f t="shared" si="377"/>
        <v>#DIV/0!</v>
      </c>
      <c r="Y187" s="9">
        <f t="shared" si="378"/>
        <v>0</v>
      </c>
      <c r="AA187" s="28">
        <f t="shared" si="379"/>
        <v>0</v>
      </c>
      <c r="AB187" s="28">
        <f t="shared" si="380"/>
        <v>1</v>
      </c>
      <c r="AC187" s="16">
        <f t="shared" si="381"/>
        <v>0</v>
      </c>
      <c r="AD187" s="13">
        <f t="shared" si="382"/>
        <v>0</v>
      </c>
      <c r="AE187" s="16">
        <f t="shared" si="383"/>
        <v>0</v>
      </c>
      <c r="AG187" s="28">
        <f t="shared" si="384"/>
        <v>0</v>
      </c>
      <c r="AH187" s="16">
        <f t="shared" si="385"/>
        <v>0</v>
      </c>
      <c r="AI187" s="16">
        <f t="shared" si="386"/>
        <v>0</v>
      </c>
      <c r="AK187" s="28">
        <f t="shared" si="387"/>
        <v>1</v>
      </c>
      <c r="AL187" s="9">
        <f t="shared" si="388"/>
        <v>0</v>
      </c>
      <c r="AM187" s="9">
        <f t="shared" si="389"/>
        <v>0</v>
      </c>
      <c r="AN187" s="30"/>
    </row>
    <row r="188" spans="2:40" x14ac:dyDescent="0.2">
      <c r="B188" s="16">
        <f xml:space="preserve"> SUMIFS(Aux_Totales!$G:$G, Aux_Totales!$F:$F, $A188, Aux_Totales!$A:$A,#REF!)</f>
        <v>0</v>
      </c>
      <c r="C188" s="16">
        <f xml:space="preserve"> SUMIFS(Aux_Totales!$H:$H, Aux_Totales!$F:$F, $A188, Aux_Totales!$A:$A,#REF!)</f>
        <v>0</v>
      </c>
      <c r="D188" s="16">
        <f t="shared" si="368"/>
        <v>0</v>
      </c>
      <c r="E188" s="20" t="s">
        <v>41</v>
      </c>
      <c r="F188" s="16">
        <f xml:space="preserve"> SUMIFS(Aux_Totales!$P:$P, Aux_Totales!$F:$F, $A188, Aux_Totales!$A:$A,#REF!)</f>
        <v>0</v>
      </c>
      <c r="G188" s="13">
        <f t="shared" si="369"/>
        <v>0</v>
      </c>
      <c r="H188" s="9">
        <f t="shared" si="370"/>
        <v>0</v>
      </c>
      <c r="I188" s="9" t="str">
        <f t="shared" si="371"/>
        <v/>
      </c>
      <c r="J188" s="20"/>
      <c r="L188" s="16">
        <f>SUMIFS(Aux_Anterior!$W:$W, Aux_Anterior!$F:$F, $A188, Aux_Anterior!$A:$A,#REF!, Aux_Anterior!$AB:$AB, 202404, Aux_Anterior!$AA:$AA, 0)</f>
        <v>0</v>
      </c>
      <c r="M188" s="16">
        <f>SUMIFS(Aux_Anterior!$X:$X, Aux_Anterior!$F:$F, $A188, Aux_Anterior!$A:$A,#REF!, Aux_Anterior!$AB:$AB, 202404, Aux_Anterior!$AA:$AA, 0)</f>
        <v>0</v>
      </c>
      <c r="N188" s="16">
        <f>SUMIFS(Aux_Anterior!$P:$P, Aux_Anterior!$F:$F, $A188, Aux_Anterior!$A:$A,#REF!, Aux_Anterior!$AB:$AB, 202404, Aux_Anterior!$AA:$AA, 0)</f>
        <v>0</v>
      </c>
      <c r="O188" s="13">
        <f t="shared" si="372"/>
        <v>0</v>
      </c>
      <c r="Q188" s="16" cm="1">
        <f t="array" ref="Q188">INDEX($G$9:$EA$50, COUNTA($A$168:$A188), 125 - (COUNTA($A$168:$A188) - 1) * 3 - 2)</f>
        <v>36206868760</v>
      </c>
      <c r="R188" s="16" cm="1">
        <f t="array" ref="R188">INDEX($EB$9:$IV$50, COUNTA($A$168:$A188), 125 - (COUNTA($A$168:$A188) - 1) * 3 - 2)</f>
        <v>30434100035.419979</v>
      </c>
      <c r="S188" s="13">
        <f t="shared" si="373"/>
        <v>1</v>
      </c>
      <c r="T188" s="28" cm="1">
        <f t="array" ref="T188">IFERROR(INDEX(IF($C$2 = "Pago", $G$164:$EA$164, $EB$164:$IV$164), 1, (COUNTA($A188:$A$209) - 1) * 3 + 2), 100%)</f>
        <v>1</v>
      </c>
      <c r="U188" s="16">
        <f t="shared" si="374"/>
        <v>0</v>
      </c>
      <c r="V188" s="13">
        <f t="shared" si="375"/>
        <v>1</v>
      </c>
      <c r="W188" s="16">
        <f t="shared" si="376"/>
        <v>0</v>
      </c>
      <c r="X188" s="13" t="e">
        <f t="shared" si="377"/>
        <v>#DIV/0!</v>
      </c>
      <c r="Y188" s="9">
        <f t="shared" si="378"/>
        <v>0</v>
      </c>
      <c r="AA188" s="28">
        <f t="shared" si="379"/>
        <v>0</v>
      </c>
      <c r="AB188" s="28">
        <f t="shared" si="380"/>
        <v>1</v>
      </c>
      <c r="AC188" s="16">
        <f t="shared" si="381"/>
        <v>0</v>
      </c>
      <c r="AD188" s="13">
        <f t="shared" si="382"/>
        <v>0</v>
      </c>
      <c r="AE188" s="16">
        <f t="shared" si="383"/>
        <v>0</v>
      </c>
      <c r="AG188" s="28">
        <f t="shared" si="384"/>
        <v>0</v>
      </c>
      <c r="AH188" s="16">
        <f t="shared" si="385"/>
        <v>0</v>
      </c>
      <c r="AI188" s="16">
        <f t="shared" si="386"/>
        <v>0</v>
      </c>
      <c r="AK188" s="28">
        <f t="shared" si="387"/>
        <v>1</v>
      </c>
      <c r="AL188" s="9">
        <f t="shared" si="388"/>
        <v>0</v>
      </c>
      <c r="AM188" s="9">
        <f t="shared" si="389"/>
        <v>0</v>
      </c>
      <c r="AN188" s="30"/>
    </row>
    <row r="189" spans="2:40" x14ac:dyDescent="0.2">
      <c r="B189" s="16">
        <f xml:space="preserve"> SUMIFS(Aux_Totales!$G:$G, Aux_Totales!$F:$F, $A189, Aux_Totales!$A:$A,#REF!)</f>
        <v>0</v>
      </c>
      <c r="C189" s="16">
        <f xml:space="preserve"> SUMIFS(Aux_Totales!$H:$H, Aux_Totales!$F:$F, $A189, Aux_Totales!$A:$A,#REF!)</f>
        <v>0</v>
      </c>
      <c r="D189" s="16">
        <f t="shared" si="368"/>
        <v>0</v>
      </c>
      <c r="E189" s="20" t="s">
        <v>41</v>
      </c>
      <c r="F189" s="16">
        <f xml:space="preserve"> SUMIFS(Aux_Totales!$P:$P, Aux_Totales!$F:$F, $A189, Aux_Totales!$A:$A,#REF!)</f>
        <v>0</v>
      </c>
      <c r="G189" s="13">
        <f t="shared" si="369"/>
        <v>0</v>
      </c>
      <c r="H189" s="9">
        <f t="shared" si="370"/>
        <v>0</v>
      </c>
      <c r="I189" s="9" t="str">
        <f t="shared" si="371"/>
        <v/>
      </c>
      <c r="J189" s="20"/>
      <c r="L189" s="16">
        <f>SUMIFS(Aux_Anterior!$W:$W, Aux_Anterior!$F:$F, $A189, Aux_Anterior!$A:$A,#REF!, Aux_Anterior!$AB:$AB, 202404, Aux_Anterior!$AA:$AA, 0)</f>
        <v>0</v>
      </c>
      <c r="M189" s="16">
        <f>SUMIFS(Aux_Anterior!$X:$X, Aux_Anterior!$F:$F, $A189, Aux_Anterior!$A:$A,#REF!, Aux_Anterior!$AB:$AB, 202404, Aux_Anterior!$AA:$AA, 0)</f>
        <v>0</v>
      </c>
      <c r="N189" s="16">
        <f>SUMIFS(Aux_Anterior!$P:$P, Aux_Anterior!$F:$F, $A189, Aux_Anterior!$A:$A,#REF!, Aux_Anterior!$AB:$AB, 202404, Aux_Anterior!$AA:$AA, 0)</f>
        <v>0</v>
      </c>
      <c r="O189" s="13">
        <f t="shared" si="372"/>
        <v>0</v>
      </c>
      <c r="Q189" s="16" cm="1">
        <f t="array" ref="Q189">INDEX($G$9:$EA$50, COUNTA($A$168:$A189), 125 - (COUNTA($A$168:$A189) - 1) * 3 - 2)</f>
        <v>36206868760</v>
      </c>
      <c r="R189" s="16" cm="1">
        <f t="array" ref="R189">INDEX($EB$9:$IV$50, COUNTA($A$168:$A189), 125 - (COUNTA($A$168:$A189) - 1) * 3 - 2)</f>
        <v>30434100035.419979</v>
      </c>
      <c r="S189" s="13">
        <f t="shared" si="373"/>
        <v>1</v>
      </c>
      <c r="T189" s="28" cm="1">
        <f t="array" ref="T189">IFERROR(INDEX(IF($C$2 = "Pago", $G$164:$EA$164, $EB$164:$IV$164), 1, (COUNTA($A189:$A$209) - 1) * 3 + 2), 100%)</f>
        <v>1</v>
      </c>
      <c r="U189" s="16">
        <f t="shared" si="374"/>
        <v>0</v>
      </c>
      <c r="V189" s="13">
        <f t="shared" si="375"/>
        <v>1</v>
      </c>
      <c r="W189" s="16">
        <f t="shared" si="376"/>
        <v>0</v>
      </c>
      <c r="X189" s="13" t="e">
        <f t="shared" si="377"/>
        <v>#DIV/0!</v>
      </c>
      <c r="Y189" s="9">
        <f t="shared" si="378"/>
        <v>0</v>
      </c>
      <c r="AA189" s="28">
        <f t="shared" si="379"/>
        <v>0</v>
      </c>
      <c r="AB189" s="28">
        <f t="shared" si="380"/>
        <v>1</v>
      </c>
      <c r="AC189" s="16">
        <f t="shared" si="381"/>
        <v>0</v>
      </c>
      <c r="AD189" s="13">
        <f t="shared" si="382"/>
        <v>0</v>
      </c>
      <c r="AE189" s="16">
        <f t="shared" si="383"/>
        <v>0</v>
      </c>
      <c r="AG189" s="28">
        <f t="shared" si="384"/>
        <v>0</v>
      </c>
      <c r="AH189" s="16">
        <f t="shared" si="385"/>
        <v>0</v>
      </c>
      <c r="AI189" s="16">
        <f t="shared" si="386"/>
        <v>0</v>
      </c>
      <c r="AK189" s="28">
        <f t="shared" si="387"/>
        <v>1</v>
      </c>
      <c r="AL189" s="9">
        <f t="shared" si="388"/>
        <v>0</v>
      </c>
      <c r="AM189" s="9">
        <f t="shared" si="389"/>
        <v>0</v>
      </c>
      <c r="AN189" s="30"/>
    </row>
    <row r="190" spans="2:40" x14ac:dyDescent="0.2">
      <c r="B190" s="16">
        <f xml:space="preserve"> SUMIFS(Aux_Totales!$G:$G, Aux_Totales!$F:$F, $A190, Aux_Totales!$A:$A,#REF!)</f>
        <v>0</v>
      </c>
      <c r="C190" s="16">
        <f xml:space="preserve"> SUMIFS(Aux_Totales!$H:$H, Aux_Totales!$F:$F, $A190, Aux_Totales!$A:$A,#REF!)</f>
        <v>0</v>
      </c>
      <c r="D190" s="16">
        <f t="shared" si="368"/>
        <v>0</v>
      </c>
      <c r="E190" s="20" t="s">
        <v>41</v>
      </c>
      <c r="F190" s="16">
        <f xml:space="preserve"> SUMIFS(Aux_Totales!$P:$P, Aux_Totales!$F:$F, $A190, Aux_Totales!$A:$A,#REF!)</f>
        <v>0</v>
      </c>
      <c r="G190" s="13">
        <f t="shared" si="369"/>
        <v>0</v>
      </c>
      <c r="H190" s="9">
        <f t="shared" si="370"/>
        <v>0</v>
      </c>
      <c r="I190" s="9" t="str">
        <f t="shared" si="371"/>
        <v/>
      </c>
      <c r="J190" s="20"/>
      <c r="L190" s="16">
        <f>SUMIFS(Aux_Anterior!$W:$W, Aux_Anterior!$F:$F, $A190, Aux_Anterior!$A:$A,#REF!, Aux_Anterior!$AB:$AB, 202404, Aux_Anterior!$AA:$AA, 0)</f>
        <v>0</v>
      </c>
      <c r="M190" s="16">
        <f>SUMIFS(Aux_Anterior!$X:$X, Aux_Anterior!$F:$F, $A190, Aux_Anterior!$A:$A,#REF!, Aux_Anterior!$AB:$AB, 202404, Aux_Anterior!$AA:$AA, 0)</f>
        <v>0</v>
      </c>
      <c r="N190" s="16">
        <f>SUMIFS(Aux_Anterior!$P:$P, Aux_Anterior!$F:$F, $A190, Aux_Anterior!$A:$A,#REF!, Aux_Anterior!$AB:$AB, 202404, Aux_Anterior!$AA:$AA, 0)</f>
        <v>0</v>
      </c>
      <c r="O190" s="13">
        <f t="shared" si="372"/>
        <v>0</v>
      </c>
      <c r="Q190" s="16" cm="1">
        <f t="array" ref="Q190">INDEX($G$9:$EA$50, COUNTA($A$168:$A190), 125 - (COUNTA($A$168:$A190) - 1) * 3 - 2)</f>
        <v>36206868760</v>
      </c>
      <c r="R190" s="16" cm="1">
        <f t="array" ref="R190">INDEX($EB$9:$IV$50, COUNTA($A$168:$A190), 125 - (COUNTA($A$168:$A190) - 1) * 3 - 2)</f>
        <v>30434100035.419979</v>
      </c>
      <c r="S190" s="13">
        <f t="shared" si="373"/>
        <v>1</v>
      </c>
      <c r="T190" s="28" cm="1">
        <f t="array" ref="T190">IFERROR(INDEX(IF($C$2 = "Pago", $G$164:$EA$164, $EB$164:$IV$164), 1, (COUNTA($A190:$A$209) - 1) * 3 + 2), 100%)</f>
        <v>1</v>
      </c>
      <c r="U190" s="16">
        <f t="shared" si="374"/>
        <v>0</v>
      </c>
      <c r="V190" s="13">
        <f t="shared" si="375"/>
        <v>1</v>
      </c>
      <c r="W190" s="16">
        <f t="shared" si="376"/>
        <v>0</v>
      </c>
      <c r="X190" s="13" t="e">
        <f t="shared" si="377"/>
        <v>#DIV/0!</v>
      </c>
      <c r="Y190" s="9">
        <f t="shared" si="378"/>
        <v>0</v>
      </c>
      <c r="AA190" s="28">
        <f t="shared" si="379"/>
        <v>0</v>
      </c>
      <c r="AB190" s="28">
        <f t="shared" si="380"/>
        <v>1</v>
      </c>
      <c r="AC190" s="16">
        <f t="shared" si="381"/>
        <v>0</v>
      </c>
      <c r="AD190" s="13">
        <f t="shared" si="382"/>
        <v>0</v>
      </c>
      <c r="AE190" s="16">
        <f t="shared" si="383"/>
        <v>0</v>
      </c>
      <c r="AG190" s="28">
        <f t="shared" si="384"/>
        <v>0</v>
      </c>
      <c r="AH190" s="16">
        <f t="shared" si="385"/>
        <v>0</v>
      </c>
      <c r="AI190" s="16">
        <f t="shared" si="386"/>
        <v>0</v>
      </c>
      <c r="AK190" s="28">
        <f t="shared" si="387"/>
        <v>1</v>
      </c>
      <c r="AL190" s="9">
        <f t="shared" si="388"/>
        <v>0</v>
      </c>
      <c r="AM190" s="9">
        <f t="shared" si="389"/>
        <v>0</v>
      </c>
      <c r="AN190" s="30"/>
    </row>
    <row r="191" spans="2:40" x14ac:dyDescent="0.2">
      <c r="B191" s="16">
        <f xml:space="preserve"> SUMIFS(Aux_Totales!$G:$G, Aux_Totales!$F:$F, $A191, Aux_Totales!$A:$A,#REF!)</f>
        <v>0</v>
      </c>
      <c r="C191" s="16">
        <f xml:space="preserve"> SUMIFS(Aux_Totales!$H:$H, Aux_Totales!$F:$F, $A191, Aux_Totales!$A:$A,#REF!)</f>
        <v>0</v>
      </c>
      <c r="D191" s="16">
        <f t="shared" si="368"/>
        <v>0</v>
      </c>
      <c r="E191" s="20" t="s">
        <v>41</v>
      </c>
      <c r="F191" s="16">
        <f xml:space="preserve"> SUMIFS(Aux_Totales!$P:$P, Aux_Totales!$F:$F, $A191, Aux_Totales!$A:$A,#REF!)</f>
        <v>0</v>
      </c>
      <c r="G191" s="13">
        <f t="shared" si="369"/>
        <v>0</v>
      </c>
      <c r="H191" s="9">
        <f t="shared" si="370"/>
        <v>0</v>
      </c>
      <c r="I191" s="9" t="str">
        <f t="shared" si="371"/>
        <v/>
      </c>
      <c r="J191" s="20"/>
      <c r="L191" s="16">
        <f>SUMIFS(Aux_Anterior!$W:$W, Aux_Anterior!$F:$F, $A191, Aux_Anterior!$A:$A,#REF!, Aux_Anterior!$AB:$AB, 202404, Aux_Anterior!$AA:$AA, 0)</f>
        <v>0</v>
      </c>
      <c r="M191" s="16">
        <f>SUMIFS(Aux_Anterior!$X:$X, Aux_Anterior!$F:$F, $A191, Aux_Anterior!$A:$A,#REF!, Aux_Anterior!$AB:$AB, 202404, Aux_Anterior!$AA:$AA, 0)</f>
        <v>0</v>
      </c>
      <c r="N191" s="16">
        <f>SUMIFS(Aux_Anterior!$P:$P, Aux_Anterior!$F:$F, $A191, Aux_Anterior!$A:$A,#REF!, Aux_Anterior!$AB:$AB, 202404, Aux_Anterior!$AA:$AA, 0)</f>
        <v>0</v>
      </c>
      <c r="O191" s="13">
        <f t="shared" si="372"/>
        <v>0</v>
      </c>
      <c r="Q191" s="16" cm="1">
        <f t="array" ref="Q191">INDEX($G$9:$EA$50, COUNTA($A$168:$A191), 125 - (COUNTA($A$168:$A191) - 1) * 3 - 2)</f>
        <v>36206868760</v>
      </c>
      <c r="R191" s="16" cm="1">
        <f t="array" ref="R191">INDEX($EB$9:$IV$50, COUNTA($A$168:$A191), 125 - (COUNTA($A$168:$A191) - 1) * 3 - 2)</f>
        <v>30434100035.419979</v>
      </c>
      <c r="S191" s="13">
        <f t="shared" si="373"/>
        <v>1</v>
      </c>
      <c r="T191" s="28" cm="1">
        <f t="array" ref="T191">IFERROR(INDEX(IF($C$2 = "Pago", $G$164:$EA$164, $EB$164:$IV$164), 1, (COUNTA($A191:$A$209) - 1) * 3 + 2), 100%)</f>
        <v>1</v>
      </c>
      <c r="U191" s="16">
        <f t="shared" si="374"/>
        <v>0</v>
      </c>
      <c r="V191" s="13">
        <f t="shared" si="375"/>
        <v>1</v>
      </c>
      <c r="W191" s="16">
        <f t="shared" si="376"/>
        <v>0</v>
      </c>
      <c r="X191" s="13" t="e">
        <f t="shared" si="377"/>
        <v>#DIV/0!</v>
      </c>
      <c r="Y191" s="9">
        <f t="shared" si="378"/>
        <v>0</v>
      </c>
      <c r="AA191" s="28">
        <f t="shared" si="379"/>
        <v>0</v>
      </c>
      <c r="AB191" s="28">
        <f t="shared" si="380"/>
        <v>1</v>
      </c>
      <c r="AC191" s="16">
        <f t="shared" si="381"/>
        <v>0</v>
      </c>
      <c r="AD191" s="13">
        <f t="shared" si="382"/>
        <v>0</v>
      </c>
      <c r="AE191" s="16">
        <f t="shared" si="383"/>
        <v>0</v>
      </c>
      <c r="AG191" s="28">
        <f t="shared" si="384"/>
        <v>0</v>
      </c>
      <c r="AH191" s="16">
        <f t="shared" si="385"/>
        <v>0</v>
      </c>
      <c r="AI191" s="16">
        <f t="shared" si="386"/>
        <v>0</v>
      </c>
      <c r="AK191" s="28">
        <f t="shared" si="387"/>
        <v>1</v>
      </c>
      <c r="AL191" s="9">
        <f t="shared" si="388"/>
        <v>0</v>
      </c>
      <c r="AM191" s="9">
        <f t="shared" si="389"/>
        <v>0</v>
      </c>
      <c r="AN191" s="30"/>
    </row>
    <row r="192" spans="2:40" x14ac:dyDescent="0.2">
      <c r="B192" s="16">
        <f xml:space="preserve"> SUMIFS(Aux_Totales!$G:$G, Aux_Totales!$F:$F, $A192, Aux_Totales!$A:$A,#REF!)</f>
        <v>0</v>
      </c>
      <c r="C192" s="16">
        <f xml:space="preserve"> SUMIFS(Aux_Totales!$H:$H, Aux_Totales!$F:$F, $A192, Aux_Totales!$A:$A,#REF!)</f>
        <v>0</v>
      </c>
      <c r="D192" s="16">
        <f t="shared" si="368"/>
        <v>0</v>
      </c>
      <c r="E192" s="20" t="s">
        <v>41</v>
      </c>
      <c r="F192" s="16">
        <f xml:space="preserve"> SUMIFS(Aux_Totales!$P:$P, Aux_Totales!$F:$F, $A192, Aux_Totales!$A:$A,#REF!)</f>
        <v>0</v>
      </c>
      <c r="G192" s="13">
        <f t="shared" si="369"/>
        <v>0</v>
      </c>
      <c r="H192" s="9">
        <f t="shared" si="370"/>
        <v>0</v>
      </c>
      <c r="I192" s="9" t="str">
        <f t="shared" si="371"/>
        <v/>
      </c>
      <c r="J192" s="20"/>
      <c r="L192" s="16">
        <f>SUMIFS(Aux_Anterior!$W:$W, Aux_Anterior!$F:$F, $A192, Aux_Anterior!$A:$A,#REF!, Aux_Anterior!$AB:$AB, 202404, Aux_Anterior!$AA:$AA, 0)</f>
        <v>0</v>
      </c>
      <c r="M192" s="16">
        <f>SUMIFS(Aux_Anterior!$X:$X, Aux_Anterior!$F:$F, $A192, Aux_Anterior!$A:$A,#REF!, Aux_Anterior!$AB:$AB, 202404, Aux_Anterior!$AA:$AA, 0)</f>
        <v>0</v>
      </c>
      <c r="N192" s="16">
        <f>SUMIFS(Aux_Anterior!$P:$P, Aux_Anterior!$F:$F, $A192, Aux_Anterior!$A:$A,#REF!, Aux_Anterior!$AB:$AB, 202404, Aux_Anterior!$AA:$AA, 0)</f>
        <v>0</v>
      </c>
      <c r="O192" s="13">
        <f t="shared" si="372"/>
        <v>0</v>
      </c>
      <c r="Q192" s="16" cm="1">
        <f t="array" ref="Q192">INDEX($G$9:$EA$50, COUNTA($A$168:$A192), 125 - (COUNTA($A$168:$A192) - 1) * 3 - 2)</f>
        <v>36206868760</v>
      </c>
      <c r="R192" s="16" cm="1">
        <f t="array" ref="R192">INDEX($EB$9:$IV$50, COUNTA($A$168:$A192), 125 - (COUNTA($A$168:$A192) - 1) * 3 - 2)</f>
        <v>30434100035.419979</v>
      </c>
      <c r="S192" s="13">
        <f t="shared" si="373"/>
        <v>1</v>
      </c>
      <c r="T192" s="28" cm="1">
        <f t="array" ref="T192">IFERROR(INDEX(IF($C$2 = "Pago", $G$164:$EA$164, $EB$164:$IV$164), 1, (COUNTA($A192:$A$209) - 1) * 3 + 2), 100%)</f>
        <v>1</v>
      </c>
      <c r="U192" s="16">
        <f t="shared" si="374"/>
        <v>0</v>
      </c>
      <c r="V192" s="13">
        <f t="shared" si="375"/>
        <v>1</v>
      </c>
      <c r="W192" s="16">
        <f t="shared" si="376"/>
        <v>0</v>
      </c>
      <c r="X192" s="13" t="e">
        <f t="shared" si="377"/>
        <v>#DIV/0!</v>
      </c>
      <c r="Y192" s="9">
        <f t="shared" si="378"/>
        <v>0</v>
      </c>
      <c r="AA192" s="28">
        <f t="shared" si="379"/>
        <v>0</v>
      </c>
      <c r="AB192" s="28">
        <f t="shared" si="380"/>
        <v>1</v>
      </c>
      <c r="AC192" s="16">
        <f t="shared" si="381"/>
        <v>0</v>
      </c>
      <c r="AD192" s="13">
        <f t="shared" si="382"/>
        <v>0</v>
      </c>
      <c r="AE192" s="16">
        <f t="shared" si="383"/>
        <v>0</v>
      </c>
      <c r="AG192" s="28">
        <f t="shared" si="384"/>
        <v>0</v>
      </c>
      <c r="AH192" s="16">
        <f t="shared" si="385"/>
        <v>0</v>
      </c>
      <c r="AI192" s="16">
        <f t="shared" si="386"/>
        <v>0</v>
      </c>
      <c r="AK192" s="28">
        <f t="shared" si="387"/>
        <v>1</v>
      </c>
      <c r="AL192" s="9">
        <f t="shared" si="388"/>
        <v>0</v>
      </c>
      <c r="AM192" s="9">
        <f t="shared" si="389"/>
        <v>0</v>
      </c>
      <c r="AN192" s="30"/>
    </row>
    <row r="193" spans="2:40" x14ac:dyDescent="0.2">
      <c r="B193" s="16">
        <f xml:space="preserve"> SUMIFS(Aux_Totales!$G:$G, Aux_Totales!$F:$F, $A193, Aux_Totales!$A:$A,#REF!)</f>
        <v>0</v>
      </c>
      <c r="C193" s="16">
        <f xml:space="preserve"> SUMIFS(Aux_Totales!$H:$H, Aux_Totales!$F:$F, $A193, Aux_Totales!$A:$A,#REF!)</f>
        <v>0</v>
      </c>
      <c r="D193" s="16">
        <f t="shared" si="368"/>
        <v>0</v>
      </c>
      <c r="E193" s="20" t="s">
        <v>41</v>
      </c>
      <c r="F193" s="16">
        <f xml:space="preserve"> SUMIFS(Aux_Totales!$P:$P, Aux_Totales!$F:$F, $A193, Aux_Totales!$A:$A,#REF!)</f>
        <v>0</v>
      </c>
      <c r="G193" s="13">
        <f t="shared" si="369"/>
        <v>0</v>
      </c>
      <c r="H193" s="9">
        <f t="shared" si="370"/>
        <v>0</v>
      </c>
      <c r="I193" s="9" t="str">
        <f t="shared" si="371"/>
        <v/>
      </c>
      <c r="J193" s="20"/>
      <c r="L193" s="16">
        <f>SUMIFS(Aux_Anterior!$W:$W, Aux_Anterior!$F:$F, $A193, Aux_Anterior!$A:$A,#REF!, Aux_Anterior!$AB:$AB, 202404, Aux_Anterior!$AA:$AA, 0)</f>
        <v>0</v>
      </c>
      <c r="M193" s="16">
        <f>SUMIFS(Aux_Anterior!$X:$X, Aux_Anterior!$F:$F, $A193, Aux_Anterior!$A:$A,#REF!, Aux_Anterior!$AB:$AB, 202404, Aux_Anterior!$AA:$AA, 0)</f>
        <v>0</v>
      </c>
      <c r="N193" s="16">
        <f>SUMIFS(Aux_Anterior!$P:$P, Aux_Anterior!$F:$F, $A193, Aux_Anterior!$A:$A,#REF!, Aux_Anterior!$AB:$AB, 202404, Aux_Anterior!$AA:$AA, 0)</f>
        <v>0</v>
      </c>
      <c r="O193" s="13">
        <f t="shared" si="372"/>
        <v>0</v>
      </c>
      <c r="Q193" s="16" cm="1">
        <f t="array" ref="Q193">INDEX($G$9:$EA$50, COUNTA($A$168:$A193), 125 - (COUNTA($A$168:$A193) - 1) * 3 - 2)</f>
        <v>36206868760</v>
      </c>
      <c r="R193" s="16" cm="1">
        <f t="array" ref="R193">INDEX($EB$9:$IV$50, COUNTA($A$168:$A193), 125 - (COUNTA($A$168:$A193) - 1) * 3 - 2)</f>
        <v>30434100035.419979</v>
      </c>
      <c r="S193" s="13">
        <f t="shared" si="373"/>
        <v>1</v>
      </c>
      <c r="T193" s="28" cm="1">
        <f t="array" ref="T193">IFERROR(INDEX(IF($C$2 = "Pago", $G$164:$EA$164, $EB$164:$IV$164), 1, (COUNTA($A193:$A$209) - 1) * 3 + 2), 100%)</f>
        <v>1</v>
      </c>
      <c r="U193" s="16">
        <f t="shared" si="374"/>
        <v>0</v>
      </c>
      <c r="V193" s="13">
        <f t="shared" si="375"/>
        <v>1</v>
      </c>
      <c r="W193" s="16">
        <f t="shared" si="376"/>
        <v>0</v>
      </c>
      <c r="X193" s="13" t="e">
        <f t="shared" si="377"/>
        <v>#DIV/0!</v>
      </c>
      <c r="Y193" s="9">
        <f t="shared" si="378"/>
        <v>0</v>
      </c>
      <c r="AA193" s="28">
        <f t="shared" si="379"/>
        <v>0</v>
      </c>
      <c r="AB193" s="28">
        <f t="shared" si="380"/>
        <v>1</v>
      </c>
      <c r="AC193" s="16">
        <f t="shared" si="381"/>
        <v>0</v>
      </c>
      <c r="AD193" s="13">
        <f t="shared" si="382"/>
        <v>0</v>
      </c>
      <c r="AE193" s="16">
        <f t="shared" si="383"/>
        <v>0</v>
      </c>
      <c r="AG193" s="28">
        <f t="shared" si="384"/>
        <v>0</v>
      </c>
      <c r="AH193" s="16">
        <f t="shared" si="385"/>
        <v>0</v>
      </c>
      <c r="AI193" s="16">
        <f t="shared" si="386"/>
        <v>0</v>
      </c>
      <c r="AK193" s="28">
        <f t="shared" si="387"/>
        <v>1</v>
      </c>
      <c r="AL193" s="9">
        <f t="shared" si="388"/>
        <v>0</v>
      </c>
      <c r="AM193" s="9">
        <f t="shared" si="389"/>
        <v>0</v>
      </c>
      <c r="AN193" s="30"/>
    </row>
    <row r="194" spans="2:40" x14ac:dyDescent="0.2">
      <c r="B194" s="16">
        <f xml:space="preserve"> SUMIFS(Aux_Totales!$G:$G, Aux_Totales!$F:$F, $A194, Aux_Totales!$A:$A,#REF!)</f>
        <v>0</v>
      </c>
      <c r="C194" s="16">
        <f xml:space="preserve"> SUMIFS(Aux_Totales!$H:$H, Aux_Totales!$F:$F, $A194, Aux_Totales!$A:$A,#REF!)</f>
        <v>0</v>
      </c>
      <c r="D194" s="16">
        <f t="shared" si="368"/>
        <v>0</v>
      </c>
      <c r="E194" s="20" t="s">
        <v>41</v>
      </c>
      <c r="F194" s="16">
        <f xml:space="preserve"> SUMIFS(Aux_Totales!$P:$P, Aux_Totales!$F:$F, $A194, Aux_Totales!$A:$A,#REF!)</f>
        <v>0</v>
      </c>
      <c r="G194" s="13">
        <f t="shared" si="369"/>
        <v>0</v>
      </c>
      <c r="H194" s="9">
        <f t="shared" si="370"/>
        <v>0</v>
      </c>
      <c r="I194" s="9" t="str">
        <f t="shared" si="371"/>
        <v/>
      </c>
      <c r="J194" s="20"/>
      <c r="L194" s="16">
        <f>SUMIFS(Aux_Anterior!$W:$W, Aux_Anterior!$F:$F, $A194, Aux_Anterior!$A:$A,#REF!, Aux_Anterior!$AB:$AB, 202404, Aux_Anterior!$AA:$AA, 0)</f>
        <v>0</v>
      </c>
      <c r="M194" s="16">
        <f>SUMIFS(Aux_Anterior!$X:$X, Aux_Anterior!$F:$F, $A194, Aux_Anterior!$A:$A,#REF!, Aux_Anterior!$AB:$AB, 202404, Aux_Anterior!$AA:$AA, 0)</f>
        <v>0</v>
      </c>
      <c r="N194" s="16">
        <f>SUMIFS(Aux_Anterior!$P:$P, Aux_Anterior!$F:$F, $A194, Aux_Anterior!$A:$A,#REF!, Aux_Anterior!$AB:$AB, 202404, Aux_Anterior!$AA:$AA, 0)</f>
        <v>0</v>
      </c>
      <c r="O194" s="13">
        <f t="shared" si="372"/>
        <v>0</v>
      </c>
      <c r="Q194" s="16" cm="1">
        <f t="array" ref="Q194">INDEX($G$9:$EA$50, COUNTA($A$168:$A194), 125 - (COUNTA($A$168:$A194) - 1) * 3 - 2)</f>
        <v>36206868760</v>
      </c>
      <c r="R194" s="16" cm="1">
        <f t="array" ref="R194">INDEX($EB$9:$IV$50, COUNTA($A$168:$A194), 125 - (COUNTA($A$168:$A194) - 1) * 3 - 2)</f>
        <v>30434100035.419979</v>
      </c>
      <c r="S194" s="13">
        <f t="shared" si="373"/>
        <v>1</v>
      </c>
      <c r="T194" s="28" cm="1">
        <f t="array" ref="T194">IFERROR(INDEX(IF($C$2 = "Pago", $G$164:$EA$164, $EB$164:$IV$164), 1, (COUNTA($A194:$A$209) - 1) * 3 + 2), 100%)</f>
        <v>1</v>
      </c>
      <c r="U194" s="16">
        <f t="shared" si="374"/>
        <v>0</v>
      </c>
      <c r="V194" s="13">
        <f t="shared" si="375"/>
        <v>1</v>
      </c>
      <c r="W194" s="16">
        <f t="shared" si="376"/>
        <v>0</v>
      </c>
      <c r="X194" s="13" t="e">
        <f t="shared" si="377"/>
        <v>#DIV/0!</v>
      </c>
      <c r="Y194" s="9">
        <f t="shared" si="378"/>
        <v>0</v>
      </c>
      <c r="AA194" s="28">
        <f t="shared" si="379"/>
        <v>0</v>
      </c>
      <c r="AB194" s="28">
        <f t="shared" si="380"/>
        <v>1</v>
      </c>
      <c r="AC194" s="16">
        <f t="shared" si="381"/>
        <v>0</v>
      </c>
      <c r="AD194" s="13">
        <f t="shared" si="382"/>
        <v>0</v>
      </c>
      <c r="AE194" s="16">
        <f t="shared" si="383"/>
        <v>0</v>
      </c>
      <c r="AG194" s="28">
        <f t="shared" si="384"/>
        <v>0</v>
      </c>
      <c r="AH194" s="16">
        <f t="shared" si="385"/>
        <v>0</v>
      </c>
      <c r="AI194" s="16">
        <f t="shared" si="386"/>
        <v>0</v>
      </c>
      <c r="AK194" s="28">
        <f t="shared" si="387"/>
        <v>1</v>
      </c>
      <c r="AL194" s="9">
        <f t="shared" si="388"/>
        <v>0</v>
      </c>
      <c r="AM194" s="9">
        <f t="shared" si="389"/>
        <v>0</v>
      </c>
      <c r="AN194" s="30"/>
    </row>
    <row r="195" spans="2:40" x14ac:dyDescent="0.2">
      <c r="B195" s="16">
        <f xml:space="preserve"> SUMIFS(Aux_Totales!$G:$G, Aux_Totales!$F:$F, $A195, Aux_Totales!$A:$A,#REF!)</f>
        <v>0</v>
      </c>
      <c r="C195" s="16">
        <f xml:space="preserve"> SUMIFS(Aux_Totales!$H:$H, Aux_Totales!$F:$F, $A195, Aux_Totales!$A:$A,#REF!)</f>
        <v>0</v>
      </c>
      <c r="D195" s="16">
        <f t="shared" si="368"/>
        <v>0</v>
      </c>
      <c r="E195" s="20" t="s">
        <v>41</v>
      </c>
      <c r="F195" s="16">
        <f xml:space="preserve"> SUMIFS(Aux_Totales!$P:$P, Aux_Totales!$F:$F, $A195, Aux_Totales!$A:$A,#REF!)</f>
        <v>0</v>
      </c>
      <c r="G195" s="13">
        <f t="shared" si="369"/>
        <v>0</v>
      </c>
      <c r="H195" s="9">
        <f t="shared" si="370"/>
        <v>0</v>
      </c>
      <c r="I195" s="9" t="str">
        <f t="shared" si="371"/>
        <v/>
      </c>
      <c r="J195" s="20"/>
      <c r="L195" s="16">
        <f>SUMIFS(Aux_Anterior!$W:$W, Aux_Anterior!$F:$F, $A195, Aux_Anterior!$A:$A,#REF!, Aux_Anterior!$AB:$AB, 202404, Aux_Anterior!$AA:$AA, 0)</f>
        <v>0</v>
      </c>
      <c r="M195" s="16">
        <f>SUMIFS(Aux_Anterior!$X:$X, Aux_Anterior!$F:$F, $A195, Aux_Anterior!$A:$A,#REF!, Aux_Anterior!$AB:$AB, 202404, Aux_Anterior!$AA:$AA, 0)</f>
        <v>0</v>
      </c>
      <c r="N195" s="16">
        <f>SUMIFS(Aux_Anterior!$P:$P, Aux_Anterior!$F:$F, $A195, Aux_Anterior!$A:$A,#REF!, Aux_Anterior!$AB:$AB, 202404, Aux_Anterior!$AA:$AA, 0)</f>
        <v>0</v>
      </c>
      <c r="O195" s="13">
        <f t="shared" si="372"/>
        <v>0</v>
      </c>
      <c r="Q195" s="16" cm="1">
        <f t="array" ref="Q195">INDEX($G$9:$EA$50, COUNTA($A$168:$A195), 125 - (COUNTA($A$168:$A195) - 1) * 3 - 2)</f>
        <v>36206868760</v>
      </c>
      <c r="R195" s="16" cm="1">
        <f t="array" ref="R195">INDEX($EB$9:$IV$50, COUNTA($A$168:$A195), 125 - (COUNTA($A$168:$A195) - 1) * 3 - 2)</f>
        <v>30434100035.419979</v>
      </c>
      <c r="S195" s="13">
        <f t="shared" si="373"/>
        <v>1</v>
      </c>
      <c r="T195" s="28" cm="1">
        <f t="array" ref="T195">IFERROR(INDEX(IF($C$2 = "Pago", $G$164:$EA$164, $EB$164:$IV$164), 1, (COUNTA($A195:$A$209) - 1) * 3 + 2), 100%)</f>
        <v>1</v>
      </c>
      <c r="U195" s="16">
        <f t="shared" si="374"/>
        <v>0</v>
      </c>
      <c r="V195" s="13">
        <f t="shared" si="375"/>
        <v>1</v>
      </c>
      <c r="W195" s="16">
        <f t="shared" si="376"/>
        <v>0</v>
      </c>
      <c r="X195" s="13" t="e">
        <f t="shared" si="377"/>
        <v>#DIV/0!</v>
      </c>
      <c r="Y195" s="9">
        <f t="shared" si="378"/>
        <v>0</v>
      </c>
      <c r="AA195" s="28">
        <f t="shared" si="379"/>
        <v>0</v>
      </c>
      <c r="AB195" s="28">
        <f t="shared" si="380"/>
        <v>1</v>
      </c>
      <c r="AC195" s="16">
        <f t="shared" si="381"/>
        <v>0</v>
      </c>
      <c r="AD195" s="13">
        <f t="shared" si="382"/>
        <v>0</v>
      </c>
      <c r="AE195" s="16">
        <f t="shared" si="383"/>
        <v>0</v>
      </c>
      <c r="AG195" s="28">
        <f t="shared" si="384"/>
        <v>0</v>
      </c>
      <c r="AH195" s="16">
        <f t="shared" si="385"/>
        <v>0</v>
      </c>
      <c r="AI195" s="16">
        <f t="shared" si="386"/>
        <v>0</v>
      </c>
      <c r="AK195" s="28">
        <f t="shared" si="387"/>
        <v>1</v>
      </c>
      <c r="AL195" s="9">
        <f t="shared" si="388"/>
        <v>0</v>
      </c>
      <c r="AM195" s="9">
        <f t="shared" si="389"/>
        <v>0</v>
      </c>
      <c r="AN195" s="30"/>
    </row>
    <row r="196" spans="2:40" x14ac:dyDescent="0.2">
      <c r="B196" s="16">
        <f xml:space="preserve"> SUMIFS(Aux_Totales!$G:$G, Aux_Totales!$F:$F, $A196, Aux_Totales!$A:$A,#REF!)</f>
        <v>0</v>
      </c>
      <c r="C196" s="16">
        <f xml:space="preserve"> SUMIFS(Aux_Totales!$H:$H, Aux_Totales!$F:$F, $A196, Aux_Totales!$A:$A,#REF!)</f>
        <v>0</v>
      </c>
      <c r="D196" s="16">
        <f t="shared" si="368"/>
        <v>0</v>
      </c>
      <c r="E196" s="20" t="s">
        <v>41</v>
      </c>
      <c r="F196" s="16">
        <f xml:space="preserve"> SUMIFS(Aux_Totales!$P:$P, Aux_Totales!$F:$F, $A196, Aux_Totales!$A:$A,#REF!)</f>
        <v>0</v>
      </c>
      <c r="G196" s="13">
        <f t="shared" si="369"/>
        <v>0</v>
      </c>
      <c r="H196" s="9">
        <f t="shared" si="370"/>
        <v>0</v>
      </c>
      <c r="I196" s="9" t="str">
        <f t="shared" si="371"/>
        <v/>
      </c>
      <c r="J196" s="20"/>
      <c r="L196" s="16">
        <f>SUMIFS(Aux_Anterior!$W:$W, Aux_Anterior!$F:$F, $A196, Aux_Anterior!$A:$A,#REF!, Aux_Anterior!$AB:$AB, 202404, Aux_Anterior!$AA:$AA, 0)</f>
        <v>0</v>
      </c>
      <c r="M196" s="16">
        <f>SUMIFS(Aux_Anterior!$X:$X, Aux_Anterior!$F:$F, $A196, Aux_Anterior!$A:$A,#REF!, Aux_Anterior!$AB:$AB, 202404, Aux_Anterior!$AA:$AA, 0)</f>
        <v>0</v>
      </c>
      <c r="N196" s="16">
        <f>SUMIFS(Aux_Anterior!$P:$P, Aux_Anterior!$F:$F, $A196, Aux_Anterior!$A:$A,#REF!, Aux_Anterior!$AB:$AB, 202404, Aux_Anterior!$AA:$AA, 0)</f>
        <v>0</v>
      </c>
      <c r="O196" s="13">
        <f t="shared" si="372"/>
        <v>0</v>
      </c>
      <c r="Q196" s="16" cm="1">
        <f t="array" ref="Q196">INDEX($G$9:$EA$50, COUNTA($A$168:$A196), 125 - (COUNTA($A$168:$A196) - 1) * 3 - 2)</f>
        <v>36206868760</v>
      </c>
      <c r="R196" s="16" cm="1">
        <f t="array" ref="R196">INDEX($EB$9:$IV$50, COUNTA($A$168:$A196), 125 - (COUNTA($A$168:$A196) - 1) * 3 - 2)</f>
        <v>30434100035.419979</v>
      </c>
      <c r="S196" s="13">
        <f t="shared" si="373"/>
        <v>1</v>
      </c>
      <c r="T196" s="28" cm="1">
        <f t="array" ref="T196">IFERROR(INDEX(IF($C$2 = "Pago", $G$164:$EA$164, $EB$164:$IV$164), 1, (COUNTA($A196:$A$209) - 1) * 3 + 2), 100%)</f>
        <v>1</v>
      </c>
      <c r="U196" s="16">
        <f t="shared" si="374"/>
        <v>0</v>
      </c>
      <c r="V196" s="13">
        <f t="shared" si="375"/>
        <v>1</v>
      </c>
      <c r="W196" s="16">
        <f t="shared" si="376"/>
        <v>0</v>
      </c>
      <c r="X196" s="13" t="e">
        <f t="shared" si="377"/>
        <v>#DIV/0!</v>
      </c>
      <c r="Y196" s="9">
        <f t="shared" si="378"/>
        <v>0</v>
      </c>
      <c r="AA196" s="28">
        <f t="shared" si="379"/>
        <v>0</v>
      </c>
      <c r="AB196" s="28">
        <f t="shared" si="380"/>
        <v>1</v>
      </c>
      <c r="AC196" s="16">
        <f t="shared" si="381"/>
        <v>0</v>
      </c>
      <c r="AD196" s="13">
        <f t="shared" si="382"/>
        <v>0</v>
      </c>
      <c r="AE196" s="16">
        <f t="shared" si="383"/>
        <v>0</v>
      </c>
      <c r="AG196" s="28">
        <f t="shared" si="384"/>
        <v>0</v>
      </c>
      <c r="AH196" s="16">
        <f t="shared" si="385"/>
        <v>0</v>
      </c>
      <c r="AI196" s="16">
        <f t="shared" si="386"/>
        <v>0</v>
      </c>
      <c r="AK196" s="28">
        <f t="shared" si="387"/>
        <v>1</v>
      </c>
      <c r="AL196" s="9">
        <f t="shared" si="388"/>
        <v>0</v>
      </c>
      <c r="AM196" s="9">
        <f t="shared" si="389"/>
        <v>0</v>
      </c>
      <c r="AN196" s="30"/>
    </row>
    <row r="197" spans="2:40" x14ac:dyDescent="0.2">
      <c r="B197" s="16">
        <f xml:space="preserve"> SUMIFS(Aux_Totales!$G:$G, Aux_Totales!$F:$F, $A197, Aux_Totales!$A:$A,#REF!)</f>
        <v>0</v>
      </c>
      <c r="C197" s="16">
        <f xml:space="preserve"> SUMIFS(Aux_Totales!$H:$H, Aux_Totales!$F:$F, $A197, Aux_Totales!$A:$A,#REF!)</f>
        <v>0</v>
      </c>
      <c r="D197" s="16">
        <f t="shared" si="368"/>
        <v>0</v>
      </c>
      <c r="E197" s="20" t="s">
        <v>41</v>
      </c>
      <c r="F197" s="16">
        <f xml:space="preserve"> SUMIFS(Aux_Totales!$P:$P, Aux_Totales!$F:$F, $A197, Aux_Totales!$A:$A,#REF!)</f>
        <v>0</v>
      </c>
      <c r="G197" s="13">
        <f t="shared" si="369"/>
        <v>0</v>
      </c>
      <c r="H197" s="9">
        <f t="shared" si="370"/>
        <v>0</v>
      </c>
      <c r="I197" s="9" t="str">
        <f t="shared" si="371"/>
        <v/>
      </c>
      <c r="J197" s="20"/>
      <c r="L197" s="16">
        <f>SUMIFS(Aux_Anterior!$W:$W, Aux_Anterior!$F:$F, $A197, Aux_Anterior!$A:$A,#REF!, Aux_Anterior!$AB:$AB, 202404, Aux_Anterior!$AA:$AA, 0)</f>
        <v>0</v>
      </c>
      <c r="M197" s="16">
        <f>SUMIFS(Aux_Anterior!$X:$X, Aux_Anterior!$F:$F, $A197, Aux_Anterior!$A:$A,#REF!, Aux_Anterior!$AB:$AB, 202404, Aux_Anterior!$AA:$AA, 0)</f>
        <v>0</v>
      </c>
      <c r="N197" s="16">
        <f>SUMIFS(Aux_Anterior!$P:$P, Aux_Anterior!$F:$F, $A197, Aux_Anterior!$A:$A,#REF!, Aux_Anterior!$AB:$AB, 202404, Aux_Anterior!$AA:$AA, 0)</f>
        <v>0</v>
      </c>
      <c r="O197" s="13">
        <f t="shared" si="372"/>
        <v>0</v>
      </c>
      <c r="Q197" s="16" cm="1">
        <f t="array" ref="Q197">INDEX($G$9:$EA$50, COUNTA($A$168:$A197), 125 - (COUNTA($A$168:$A197) - 1) * 3 - 2)</f>
        <v>36206868760</v>
      </c>
      <c r="R197" s="16" cm="1">
        <f t="array" ref="R197">INDEX($EB$9:$IV$50, COUNTA($A$168:$A197), 125 - (COUNTA($A$168:$A197) - 1) * 3 - 2)</f>
        <v>30434100035.419979</v>
      </c>
      <c r="S197" s="13">
        <f t="shared" si="373"/>
        <v>1</v>
      </c>
      <c r="T197" s="28" cm="1">
        <f t="array" ref="T197">IFERROR(INDEX(IF($C$2 = "Pago", $G$164:$EA$164, $EB$164:$IV$164), 1, (COUNTA($A197:$A$209) - 1) * 3 + 2), 100%)</f>
        <v>1</v>
      </c>
      <c r="U197" s="16">
        <f t="shared" si="374"/>
        <v>0</v>
      </c>
      <c r="V197" s="13">
        <f t="shared" si="375"/>
        <v>1</v>
      </c>
      <c r="W197" s="16">
        <f t="shared" si="376"/>
        <v>0</v>
      </c>
      <c r="X197" s="13" t="e">
        <f t="shared" si="377"/>
        <v>#DIV/0!</v>
      </c>
      <c r="Y197" s="9">
        <f t="shared" si="378"/>
        <v>0</v>
      </c>
      <c r="AA197" s="28">
        <f t="shared" si="379"/>
        <v>0</v>
      </c>
      <c r="AB197" s="28">
        <f t="shared" si="380"/>
        <v>1</v>
      </c>
      <c r="AC197" s="16">
        <f t="shared" si="381"/>
        <v>0</v>
      </c>
      <c r="AD197" s="13">
        <f t="shared" si="382"/>
        <v>0</v>
      </c>
      <c r="AE197" s="16">
        <f t="shared" si="383"/>
        <v>0</v>
      </c>
      <c r="AG197" s="28">
        <f t="shared" si="384"/>
        <v>0</v>
      </c>
      <c r="AH197" s="16">
        <f t="shared" si="385"/>
        <v>0</v>
      </c>
      <c r="AI197" s="16">
        <f t="shared" si="386"/>
        <v>0</v>
      </c>
      <c r="AK197" s="28">
        <f t="shared" si="387"/>
        <v>1</v>
      </c>
      <c r="AL197" s="9">
        <f t="shared" si="388"/>
        <v>0</v>
      </c>
      <c r="AM197" s="9">
        <f t="shared" si="389"/>
        <v>0</v>
      </c>
      <c r="AN197" s="30"/>
    </row>
    <row r="198" spans="2:40" x14ac:dyDescent="0.2">
      <c r="B198" s="16">
        <f xml:space="preserve"> SUMIFS(Aux_Totales!$G:$G, Aux_Totales!$F:$F, $A198, Aux_Totales!$A:$A,#REF!)</f>
        <v>0</v>
      </c>
      <c r="C198" s="16">
        <f xml:space="preserve"> SUMIFS(Aux_Totales!$H:$H, Aux_Totales!$F:$F, $A198, Aux_Totales!$A:$A,#REF!)</f>
        <v>0</v>
      </c>
      <c r="D198" s="16">
        <f t="shared" si="368"/>
        <v>0</v>
      </c>
      <c r="E198" s="20" t="s">
        <v>41</v>
      </c>
      <c r="F198" s="16">
        <f xml:space="preserve"> SUMIFS(Aux_Totales!$P:$P, Aux_Totales!$F:$F, $A198, Aux_Totales!$A:$A,#REF!)</f>
        <v>0</v>
      </c>
      <c r="G198" s="13">
        <f t="shared" si="369"/>
        <v>0</v>
      </c>
      <c r="H198" s="9">
        <f t="shared" si="370"/>
        <v>0</v>
      </c>
      <c r="I198" s="9" t="str">
        <f t="shared" si="371"/>
        <v/>
      </c>
      <c r="J198" s="20"/>
      <c r="L198" s="16">
        <f>SUMIFS(Aux_Anterior!$W:$W, Aux_Anterior!$F:$F, $A198, Aux_Anterior!$A:$A,#REF!, Aux_Anterior!$AB:$AB, 202404, Aux_Anterior!$AA:$AA, 0)</f>
        <v>0</v>
      </c>
      <c r="M198" s="16">
        <f>SUMIFS(Aux_Anterior!$X:$X, Aux_Anterior!$F:$F, $A198, Aux_Anterior!$A:$A,#REF!, Aux_Anterior!$AB:$AB, 202404, Aux_Anterior!$AA:$AA, 0)</f>
        <v>0</v>
      </c>
      <c r="N198" s="16">
        <f>SUMIFS(Aux_Anterior!$P:$P, Aux_Anterior!$F:$F, $A198, Aux_Anterior!$A:$A,#REF!, Aux_Anterior!$AB:$AB, 202404, Aux_Anterior!$AA:$AA, 0)</f>
        <v>0</v>
      </c>
      <c r="O198" s="13">
        <f t="shared" si="372"/>
        <v>0</v>
      </c>
      <c r="Q198" s="16" cm="1">
        <f t="array" ref="Q198">INDEX($G$9:$EA$50, COUNTA($A$168:$A198), 125 - (COUNTA($A$168:$A198) - 1) * 3 - 2)</f>
        <v>36206868760</v>
      </c>
      <c r="R198" s="16" cm="1">
        <f t="array" ref="R198">INDEX($EB$9:$IV$50, COUNTA($A$168:$A198), 125 - (COUNTA($A$168:$A198) - 1) * 3 - 2)</f>
        <v>30434100035.419979</v>
      </c>
      <c r="S198" s="13">
        <f t="shared" si="373"/>
        <v>1</v>
      </c>
      <c r="T198" s="28" cm="1">
        <f t="array" ref="T198">IFERROR(INDEX(IF($C$2 = "Pago", $G$164:$EA$164, $EB$164:$IV$164), 1, (COUNTA($A198:$A$209) - 1) * 3 + 2), 100%)</f>
        <v>1</v>
      </c>
      <c r="U198" s="16">
        <f t="shared" si="374"/>
        <v>0</v>
      </c>
      <c r="V198" s="13">
        <f t="shared" si="375"/>
        <v>1</v>
      </c>
      <c r="W198" s="16">
        <f t="shared" si="376"/>
        <v>0</v>
      </c>
      <c r="X198" s="13" t="e">
        <f t="shared" si="377"/>
        <v>#DIV/0!</v>
      </c>
      <c r="Y198" s="9">
        <f t="shared" si="378"/>
        <v>0</v>
      </c>
      <c r="AA198" s="28">
        <f t="shared" si="379"/>
        <v>0</v>
      </c>
      <c r="AB198" s="28">
        <f t="shared" si="380"/>
        <v>1</v>
      </c>
      <c r="AC198" s="16">
        <f t="shared" si="381"/>
        <v>0</v>
      </c>
      <c r="AD198" s="13">
        <f t="shared" si="382"/>
        <v>0</v>
      </c>
      <c r="AE198" s="16">
        <f t="shared" si="383"/>
        <v>0</v>
      </c>
      <c r="AG198" s="28">
        <f t="shared" si="384"/>
        <v>0</v>
      </c>
      <c r="AH198" s="16">
        <f t="shared" si="385"/>
        <v>0</v>
      </c>
      <c r="AI198" s="16">
        <f t="shared" si="386"/>
        <v>0</v>
      </c>
      <c r="AK198" s="28">
        <f t="shared" si="387"/>
        <v>1</v>
      </c>
      <c r="AL198" s="9">
        <f t="shared" si="388"/>
        <v>0</v>
      </c>
      <c r="AM198" s="9">
        <f t="shared" si="389"/>
        <v>0</v>
      </c>
      <c r="AN198" s="30"/>
    </row>
    <row r="199" spans="2:40" x14ac:dyDescent="0.2">
      <c r="B199" s="16">
        <f xml:space="preserve"> SUMIFS(Aux_Totales!$G:$G, Aux_Totales!$F:$F, $A199, Aux_Totales!$A:$A,#REF!)</f>
        <v>0</v>
      </c>
      <c r="C199" s="16">
        <f xml:space="preserve"> SUMIFS(Aux_Totales!$H:$H, Aux_Totales!$F:$F, $A199, Aux_Totales!$A:$A,#REF!)</f>
        <v>0</v>
      </c>
      <c r="D199" s="16">
        <f t="shared" si="368"/>
        <v>0</v>
      </c>
      <c r="E199" s="20" t="s">
        <v>41</v>
      </c>
      <c r="F199" s="16">
        <f xml:space="preserve"> SUMIFS(Aux_Totales!$P:$P, Aux_Totales!$F:$F, $A199, Aux_Totales!$A:$A,#REF!)</f>
        <v>0</v>
      </c>
      <c r="G199" s="13">
        <f t="shared" si="369"/>
        <v>0</v>
      </c>
      <c r="H199" s="9">
        <f t="shared" si="370"/>
        <v>0</v>
      </c>
      <c r="I199" s="9" t="str">
        <f t="shared" si="371"/>
        <v/>
      </c>
      <c r="J199" s="20"/>
      <c r="L199" s="16">
        <f>SUMIFS(Aux_Anterior!$W:$W, Aux_Anterior!$F:$F, $A199, Aux_Anterior!$A:$A,#REF!, Aux_Anterior!$AB:$AB, 202404, Aux_Anterior!$AA:$AA, 0)</f>
        <v>0</v>
      </c>
      <c r="M199" s="16">
        <f>SUMIFS(Aux_Anterior!$X:$X, Aux_Anterior!$F:$F, $A199, Aux_Anterior!$A:$A,#REF!, Aux_Anterior!$AB:$AB, 202404, Aux_Anterior!$AA:$AA, 0)</f>
        <v>0</v>
      </c>
      <c r="N199" s="16">
        <f>SUMIFS(Aux_Anterior!$P:$P, Aux_Anterior!$F:$F, $A199, Aux_Anterior!$A:$A,#REF!, Aux_Anterior!$AB:$AB, 202404, Aux_Anterior!$AA:$AA, 0)</f>
        <v>0</v>
      </c>
      <c r="O199" s="13">
        <f t="shared" si="372"/>
        <v>0</v>
      </c>
      <c r="Q199" s="16" cm="1">
        <f t="array" ref="Q199">INDEX($G$9:$EA$50, COUNTA($A$168:$A199), 125 - (COUNTA($A$168:$A199) - 1) * 3 - 2)</f>
        <v>36206868760</v>
      </c>
      <c r="R199" s="16" cm="1">
        <f t="array" ref="R199">INDEX($EB$9:$IV$50, COUNTA($A$168:$A199), 125 - (COUNTA($A$168:$A199) - 1) * 3 - 2)</f>
        <v>30434100035.419979</v>
      </c>
      <c r="S199" s="13">
        <f t="shared" si="373"/>
        <v>1</v>
      </c>
      <c r="T199" s="28" cm="1">
        <f t="array" ref="T199">IFERROR(INDEX(IF($C$2 = "Pago", $G$164:$EA$164, $EB$164:$IV$164), 1, (COUNTA($A199:$A$209) - 1) * 3 + 2), 100%)</f>
        <v>1</v>
      </c>
      <c r="U199" s="16">
        <f t="shared" si="374"/>
        <v>0</v>
      </c>
      <c r="V199" s="13">
        <f t="shared" si="375"/>
        <v>1</v>
      </c>
      <c r="W199" s="16">
        <f t="shared" si="376"/>
        <v>0</v>
      </c>
      <c r="X199" s="13" t="e">
        <f t="shared" si="377"/>
        <v>#DIV/0!</v>
      </c>
      <c r="Y199" s="9">
        <f t="shared" si="378"/>
        <v>0</v>
      </c>
      <c r="AA199" s="28">
        <f t="shared" si="379"/>
        <v>0</v>
      </c>
      <c r="AB199" s="28">
        <f t="shared" si="380"/>
        <v>1</v>
      </c>
      <c r="AC199" s="16">
        <f t="shared" si="381"/>
        <v>0</v>
      </c>
      <c r="AD199" s="13">
        <f t="shared" si="382"/>
        <v>0</v>
      </c>
      <c r="AE199" s="16">
        <f t="shared" si="383"/>
        <v>0</v>
      </c>
      <c r="AG199" s="28">
        <f t="shared" si="384"/>
        <v>0</v>
      </c>
      <c r="AH199" s="16">
        <f t="shared" si="385"/>
        <v>0</v>
      </c>
      <c r="AI199" s="16">
        <f t="shared" si="386"/>
        <v>0</v>
      </c>
      <c r="AK199" s="28">
        <f t="shared" si="387"/>
        <v>1</v>
      </c>
      <c r="AL199" s="9">
        <f t="shared" si="388"/>
        <v>0</v>
      </c>
      <c r="AM199" s="9">
        <f t="shared" si="389"/>
        <v>0</v>
      </c>
      <c r="AN199" s="30"/>
    </row>
    <row r="200" spans="2:40" x14ac:dyDescent="0.2">
      <c r="B200" s="16">
        <f xml:space="preserve"> SUMIFS(Aux_Totales!$G:$G, Aux_Totales!$F:$F, $A200, Aux_Totales!$A:$A,#REF!)</f>
        <v>0</v>
      </c>
      <c r="C200" s="16">
        <f xml:space="preserve"> SUMIFS(Aux_Totales!$H:$H, Aux_Totales!$F:$F, $A200, Aux_Totales!$A:$A,#REF!)</f>
        <v>0</v>
      </c>
      <c r="D200" s="16">
        <f t="shared" si="368"/>
        <v>0</v>
      </c>
      <c r="E200" s="20" t="s">
        <v>41</v>
      </c>
      <c r="F200" s="16">
        <f xml:space="preserve"> SUMIFS(Aux_Totales!$P:$P, Aux_Totales!$F:$F, $A200, Aux_Totales!$A:$A,#REF!)</f>
        <v>0</v>
      </c>
      <c r="G200" s="13">
        <f t="shared" si="369"/>
        <v>0</v>
      </c>
      <c r="H200" s="9">
        <f t="shared" si="370"/>
        <v>0</v>
      </c>
      <c r="I200" s="9" t="str">
        <f t="shared" si="371"/>
        <v/>
      </c>
      <c r="J200" s="20"/>
      <c r="L200" s="16">
        <f>SUMIFS(Aux_Anterior!$W:$W, Aux_Anterior!$F:$F, $A200, Aux_Anterior!$A:$A,#REF!, Aux_Anterior!$AB:$AB, 202404, Aux_Anterior!$AA:$AA, 0)</f>
        <v>0</v>
      </c>
      <c r="M200" s="16">
        <f>SUMIFS(Aux_Anterior!$X:$X, Aux_Anterior!$F:$F, $A200, Aux_Anterior!$A:$A,#REF!, Aux_Anterior!$AB:$AB, 202404, Aux_Anterior!$AA:$AA, 0)</f>
        <v>0</v>
      </c>
      <c r="N200" s="16">
        <f>SUMIFS(Aux_Anterior!$P:$P, Aux_Anterior!$F:$F, $A200, Aux_Anterior!$A:$A,#REF!, Aux_Anterior!$AB:$AB, 202404, Aux_Anterior!$AA:$AA, 0)</f>
        <v>0</v>
      </c>
      <c r="O200" s="13">
        <f t="shared" si="372"/>
        <v>0</v>
      </c>
      <c r="Q200" s="16" cm="1">
        <f t="array" ref="Q200">INDEX($G$9:$EA$50, COUNTA($A$168:$A200), 125 - (COUNTA($A$168:$A200) - 1) * 3 - 2)</f>
        <v>36206868760</v>
      </c>
      <c r="R200" s="16" cm="1">
        <f t="array" ref="R200">INDEX($EB$9:$IV$50, COUNTA($A$168:$A200), 125 - (COUNTA($A$168:$A200) - 1) * 3 - 2)</f>
        <v>30434100035.419979</v>
      </c>
      <c r="S200" s="13">
        <f t="shared" si="373"/>
        <v>1</v>
      </c>
      <c r="T200" s="28" cm="1">
        <f t="array" ref="T200">IFERROR(INDEX(IF($C$2 = "Pago", $G$164:$EA$164, $EB$164:$IV$164), 1, (COUNTA($A200:$A$209) - 1) * 3 + 2), 100%)</f>
        <v>1</v>
      </c>
      <c r="U200" s="16">
        <f t="shared" si="374"/>
        <v>0</v>
      </c>
      <c r="V200" s="13">
        <f t="shared" si="375"/>
        <v>1</v>
      </c>
      <c r="W200" s="16">
        <f t="shared" si="376"/>
        <v>0</v>
      </c>
      <c r="X200" s="13" t="e">
        <f t="shared" si="377"/>
        <v>#DIV/0!</v>
      </c>
      <c r="Y200" s="9">
        <f t="shared" si="378"/>
        <v>0</v>
      </c>
      <c r="AA200" s="28">
        <f t="shared" si="379"/>
        <v>0</v>
      </c>
      <c r="AB200" s="28">
        <f t="shared" si="380"/>
        <v>1</v>
      </c>
      <c r="AC200" s="16">
        <f t="shared" si="381"/>
        <v>0</v>
      </c>
      <c r="AD200" s="13">
        <f t="shared" si="382"/>
        <v>0</v>
      </c>
      <c r="AE200" s="16">
        <f t="shared" si="383"/>
        <v>0</v>
      </c>
      <c r="AG200" s="28">
        <f t="shared" si="384"/>
        <v>0</v>
      </c>
      <c r="AH200" s="16">
        <f t="shared" si="385"/>
        <v>0</v>
      </c>
      <c r="AI200" s="16">
        <f t="shared" si="386"/>
        <v>0</v>
      </c>
      <c r="AK200" s="28">
        <f t="shared" si="387"/>
        <v>1</v>
      </c>
      <c r="AL200" s="9">
        <f t="shared" si="388"/>
        <v>0</v>
      </c>
      <c r="AM200" s="9">
        <f t="shared" si="389"/>
        <v>0</v>
      </c>
      <c r="AN200" s="30"/>
    </row>
    <row r="201" spans="2:40" x14ac:dyDescent="0.2">
      <c r="B201" s="16">
        <f xml:space="preserve"> SUMIFS(Aux_Totales!$G:$G, Aux_Totales!$F:$F, $A201, Aux_Totales!$A:$A,#REF!)</f>
        <v>0</v>
      </c>
      <c r="C201" s="16">
        <f xml:space="preserve"> SUMIFS(Aux_Totales!$H:$H, Aux_Totales!$F:$F, $A201, Aux_Totales!$A:$A,#REF!)</f>
        <v>0</v>
      </c>
      <c r="D201" s="16">
        <f t="shared" si="368"/>
        <v>0</v>
      </c>
      <c r="E201" s="20" t="s">
        <v>41</v>
      </c>
      <c r="F201" s="16">
        <f xml:space="preserve"> SUMIFS(Aux_Totales!$P:$P, Aux_Totales!$F:$F, $A201, Aux_Totales!$A:$A,#REF!)</f>
        <v>0</v>
      </c>
      <c r="G201" s="13">
        <f t="shared" si="369"/>
        <v>0</v>
      </c>
      <c r="H201" s="9">
        <f t="shared" si="370"/>
        <v>0</v>
      </c>
      <c r="I201" s="9" t="str">
        <f t="shared" si="371"/>
        <v/>
      </c>
      <c r="J201" s="20"/>
      <c r="L201" s="16">
        <f>SUMIFS(Aux_Anterior!$W:$W, Aux_Anterior!$F:$F, $A201, Aux_Anterior!$A:$A,#REF!, Aux_Anterior!$AB:$AB, 202404, Aux_Anterior!$AA:$AA, 0)</f>
        <v>0</v>
      </c>
      <c r="M201" s="16">
        <f>SUMIFS(Aux_Anterior!$X:$X, Aux_Anterior!$F:$F, $A201, Aux_Anterior!$A:$A,#REF!, Aux_Anterior!$AB:$AB, 202404, Aux_Anterior!$AA:$AA, 0)</f>
        <v>0</v>
      </c>
      <c r="N201" s="16">
        <f>SUMIFS(Aux_Anterior!$P:$P, Aux_Anterior!$F:$F, $A201, Aux_Anterior!$A:$A,#REF!, Aux_Anterior!$AB:$AB, 202404, Aux_Anterior!$AA:$AA, 0)</f>
        <v>0</v>
      </c>
      <c r="O201" s="13">
        <f t="shared" si="372"/>
        <v>0</v>
      </c>
      <c r="Q201" s="16" cm="1">
        <f t="array" ref="Q201">INDEX($G$9:$EA$50, COUNTA($A$168:$A201), 125 - (COUNTA($A$168:$A201) - 1) * 3 - 2)</f>
        <v>36206868760</v>
      </c>
      <c r="R201" s="16" cm="1">
        <f t="array" ref="R201">INDEX($EB$9:$IV$50, COUNTA($A$168:$A201), 125 - (COUNTA($A$168:$A201) - 1) * 3 - 2)</f>
        <v>30434100035.419979</v>
      </c>
      <c r="S201" s="13">
        <f t="shared" si="373"/>
        <v>1</v>
      </c>
      <c r="T201" s="28" cm="1">
        <f t="array" ref="T201">IFERROR(INDEX(IF($C$2 = "Pago", $G$164:$EA$164, $EB$164:$IV$164), 1, (COUNTA($A201:$A$209) - 1) * 3 + 2), 100%)</f>
        <v>1</v>
      </c>
      <c r="U201" s="16">
        <f t="shared" si="374"/>
        <v>0</v>
      </c>
      <c r="V201" s="13">
        <f t="shared" si="375"/>
        <v>1</v>
      </c>
      <c r="W201" s="16">
        <f t="shared" si="376"/>
        <v>0</v>
      </c>
      <c r="X201" s="13" t="e">
        <f t="shared" si="377"/>
        <v>#DIV/0!</v>
      </c>
      <c r="Y201" s="9">
        <f t="shared" si="378"/>
        <v>0</v>
      </c>
      <c r="AA201" s="28">
        <f t="shared" si="379"/>
        <v>0</v>
      </c>
      <c r="AB201" s="28">
        <f t="shared" si="380"/>
        <v>1</v>
      </c>
      <c r="AC201" s="16">
        <f t="shared" si="381"/>
        <v>0</v>
      </c>
      <c r="AD201" s="13">
        <f t="shared" si="382"/>
        <v>0</v>
      </c>
      <c r="AE201" s="16">
        <f t="shared" si="383"/>
        <v>0</v>
      </c>
      <c r="AG201" s="28">
        <f t="shared" si="384"/>
        <v>0</v>
      </c>
      <c r="AH201" s="16">
        <f t="shared" si="385"/>
        <v>0</v>
      </c>
      <c r="AI201" s="16">
        <f t="shared" si="386"/>
        <v>0</v>
      </c>
      <c r="AK201" s="28">
        <f t="shared" si="387"/>
        <v>1</v>
      </c>
      <c r="AL201" s="9">
        <f t="shared" si="388"/>
        <v>0</v>
      </c>
      <c r="AM201" s="9">
        <f t="shared" si="389"/>
        <v>0</v>
      </c>
      <c r="AN201" s="30"/>
    </row>
    <row r="202" spans="2:40" x14ac:dyDescent="0.2">
      <c r="B202" s="16">
        <f xml:space="preserve"> SUMIFS(Aux_Totales!$G:$G, Aux_Totales!$F:$F, $A202, Aux_Totales!$A:$A,#REF!)</f>
        <v>0</v>
      </c>
      <c r="C202" s="16">
        <f xml:space="preserve"> SUMIFS(Aux_Totales!$H:$H, Aux_Totales!$F:$F, $A202, Aux_Totales!$A:$A,#REF!)</f>
        <v>0</v>
      </c>
      <c r="D202" s="16">
        <f t="shared" si="368"/>
        <v>0</v>
      </c>
      <c r="E202" s="20" t="s">
        <v>41</v>
      </c>
      <c r="F202" s="16">
        <f xml:space="preserve"> SUMIFS(Aux_Totales!$P:$P, Aux_Totales!$F:$F, $A202, Aux_Totales!$A:$A,#REF!)</f>
        <v>0</v>
      </c>
      <c r="G202" s="13">
        <f t="shared" si="369"/>
        <v>0</v>
      </c>
      <c r="H202" s="9">
        <f t="shared" si="370"/>
        <v>0</v>
      </c>
      <c r="I202" s="9" t="str">
        <f t="shared" si="371"/>
        <v/>
      </c>
      <c r="J202" s="20"/>
      <c r="L202" s="16">
        <f>SUMIFS(Aux_Anterior!$W:$W, Aux_Anterior!$F:$F, $A202, Aux_Anterior!$A:$A,#REF!, Aux_Anterior!$AB:$AB, 202404, Aux_Anterior!$AA:$AA, 0)</f>
        <v>0</v>
      </c>
      <c r="M202" s="16">
        <f>SUMIFS(Aux_Anterior!$X:$X, Aux_Anterior!$F:$F, $A202, Aux_Anterior!$A:$A,#REF!, Aux_Anterior!$AB:$AB, 202404, Aux_Anterior!$AA:$AA, 0)</f>
        <v>0</v>
      </c>
      <c r="N202" s="16">
        <f>SUMIFS(Aux_Anterior!$P:$P, Aux_Anterior!$F:$F, $A202, Aux_Anterior!$A:$A,#REF!, Aux_Anterior!$AB:$AB, 202404, Aux_Anterior!$AA:$AA, 0)</f>
        <v>0</v>
      </c>
      <c r="O202" s="13">
        <f t="shared" si="372"/>
        <v>0</v>
      </c>
      <c r="Q202" s="16" cm="1">
        <f t="array" ref="Q202">INDEX($G$9:$EA$50, COUNTA($A$168:$A202), 125 - (COUNTA($A$168:$A202) - 1) * 3 - 2)</f>
        <v>36206868760</v>
      </c>
      <c r="R202" s="16" cm="1">
        <f t="array" ref="R202">INDEX($EB$9:$IV$50, COUNTA($A$168:$A202), 125 - (COUNTA($A$168:$A202) - 1) * 3 - 2)</f>
        <v>30434100035.419979</v>
      </c>
      <c r="S202" s="13">
        <f t="shared" si="373"/>
        <v>1</v>
      </c>
      <c r="T202" s="28" cm="1">
        <f t="array" ref="T202">IFERROR(INDEX(IF($C$2 = "Pago", $G$164:$EA$164, $EB$164:$IV$164), 1, (COUNTA($A202:$A$209) - 1) * 3 + 2), 100%)</f>
        <v>1</v>
      </c>
      <c r="U202" s="16">
        <f t="shared" si="374"/>
        <v>0</v>
      </c>
      <c r="V202" s="13">
        <f t="shared" si="375"/>
        <v>1</v>
      </c>
      <c r="W202" s="16">
        <f t="shared" si="376"/>
        <v>0</v>
      </c>
      <c r="X202" s="13" t="e">
        <f t="shared" si="377"/>
        <v>#DIV/0!</v>
      </c>
      <c r="Y202" s="9">
        <f t="shared" si="378"/>
        <v>0</v>
      </c>
      <c r="AA202" s="28">
        <f t="shared" si="379"/>
        <v>0</v>
      </c>
      <c r="AB202" s="28">
        <f t="shared" si="380"/>
        <v>1</v>
      </c>
      <c r="AC202" s="16">
        <f t="shared" si="381"/>
        <v>0</v>
      </c>
      <c r="AD202" s="13">
        <f t="shared" si="382"/>
        <v>0</v>
      </c>
      <c r="AE202" s="16">
        <f t="shared" si="383"/>
        <v>0</v>
      </c>
      <c r="AG202" s="28">
        <f t="shared" si="384"/>
        <v>0</v>
      </c>
      <c r="AH202" s="16">
        <f t="shared" si="385"/>
        <v>0</v>
      </c>
      <c r="AI202" s="16">
        <f t="shared" si="386"/>
        <v>0</v>
      </c>
      <c r="AK202" s="28">
        <f t="shared" si="387"/>
        <v>1</v>
      </c>
      <c r="AL202" s="9">
        <f t="shared" si="388"/>
        <v>0</v>
      </c>
      <c r="AM202" s="9">
        <f t="shared" si="389"/>
        <v>0</v>
      </c>
      <c r="AN202" s="30"/>
    </row>
    <row r="203" spans="2:40" x14ac:dyDescent="0.2">
      <c r="B203" s="16">
        <f xml:space="preserve"> SUMIFS(Aux_Totales!$G:$G, Aux_Totales!$F:$F, $A203, Aux_Totales!$A:$A,#REF!)</f>
        <v>0</v>
      </c>
      <c r="C203" s="16">
        <f xml:space="preserve"> SUMIFS(Aux_Totales!$H:$H, Aux_Totales!$F:$F, $A203, Aux_Totales!$A:$A,#REF!)</f>
        <v>0</v>
      </c>
      <c r="D203" s="16">
        <f t="shared" si="368"/>
        <v>0</v>
      </c>
      <c r="E203" s="20" t="s">
        <v>41</v>
      </c>
      <c r="F203" s="16">
        <f xml:space="preserve"> SUMIFS(Aux_Totales!$P:$P, Aux_Totales!$F:$F, $A203, Aux_Totales!$A:$A,#REF!)</f>
        <v>0</v>
      </c>
      <c r="G203" s="13">
        <f t="shared" si="369"/>
        <v>0</v>
      </c>
      <c r="H203" s="9">
        <f t="shared" si="370"/>
        <v>0</v>
      </c>
      <c r="I203" s="9" t="str">
        <f t="shared" si="371"/>
        <v/>
      </c>
      <c r="J203" s="20"/>
      <c r="L203" s="16">
        <f>SUMIFS(Aux_Anterior!$W:$W, Aux_Anterior!$F:$F, $A203, Aux_Anterior!$A:$A,#REF!, Aux_Anterior!$AB:$AB, 202404, Aux_Anterior!$AA:$AA, 0)</f>
        <v>0</v>
      </c>
      <c r="M203" s="16">
        <f>SUMIFS(Aux_Anterior!$X:$X, Aux_Anterior!$F:$F, $A203, Aux_Anterior!$A:$A,#REF!, Aux_Anterior!$AB:$AB, 202404, Aux_Anterior!$AA:$AA, 0)</f>
        <v>0</v>
      </c>
      <c r="N203" s="16">
        <f>SUMIFS(Aux_Anterior!$P:$P, Aux_Anterior!$F:$F, $A203, Aux_Anterior!$A:$A,#REF!, Aux_Anterior!$AB:$AB, 202404, Aux_Anterior!$AA:$AA, 0)</f>
        <v>0</v>
      </c>
      <c r="O203" s="13">
        <f t="shared" si="372"/>
        <v>0</v>
      </c>
      <c r="Q203" s="16" cm="1">
        <f t="array" ref="Q203">INDEX($G$9:$EA$50, COUNTA($A$168:$A203), 125 - (COUNTA($A$168:$A203) - 1) * 3 - 2)</f>
        <v>36206868760</v>
      </c>
      <c r="R203" s="16" cm="1">
        <f t="array" ref="R203">INDEX($EB$9:$IV$50, COUNTA($A$168:$A203), 125 - (COUNTA($A$168:$A203) - 1) * 3 - 2)</f>
        <v>30434100035.419979</v>
      </c>
      <c r="S203" s="13">
        <f t="shared" si="373"/>
        <v>1</v>
      </c>
      <c r="T203" s="28" cm="1">
        <f t="array" ref="T203">IFERROR(INDEX(IF($C$2 = "Pago", $G$164:$EA$164, $EB$164:$IV$164), 1, (COUNTA($A203:$A$209) - 1) * 3 + 2), 100%)</f>
        <v>1</v>
      </c>
      <c r="U203" s="16">
        <f t="shared" si="374"/>
        <v>0</v>
      </c>
      <c r="V203" s="13">
        <f t="shared" si="375"/>
        <v>1</v>
      </c>
      <c r="W203" s="16">
        <f t="shared" si="376"/>
        <v>0</v>
      </c>
      <c r="X203" s="13" t="e">
        <f t="shared" si="377"/>
        <v>#DIV/0!</v>
      </c>
      <c r="Y203" s="9">
        <f t="shared" si="378"/>
        <v>0</v>
      </c>
      <c r="AA203" s="28">
        <f t="shared" si="379"/>
        <v>0</v>
      </c>
      <c r="AB203" s="28">
        <f t="shared" si="380"/>
        <v>1</v>
      </c>
      <c r="AC203" s="16">
        <f t="shared" si="381"/>
        <v>0</v>
      </c>
      <c r="AD203" s="13">
        <f t="shared" si="382"/>
        <v>0</v>
      </c>
      <c r="AE203" s="16">
        <f t="shared" si="383"/>
        <v>0</v>
      </c>
      <c r="AG203" s="28">
        <f t="shared" si="384"/>
        <v>0</v>
      </c>
      <c r="AH203" s="16">
        <f t="shared" si="385"/>
        <v>0</v>
      </c>
      <c r="AI203" s="16">
        <f t="shared" si="386"/>
        <v>0</v>
      </c>
      <c r="AK203" s="28">
        <f t="shared" si="387"/>
        <v>1</v>
      </c>
      <c r="AL203" s="9">
        <f t="shared" si="388"/>
        <v>0</v>
      </c>
      <c r="AM203" s="9">
        <f t="shared" si="389"/>
        <v>0</v>
      </c>
      <c r="AN203" s="30"/>
    </row>
    <row r="204" spans="2:40" x14ac:dyDescent="0.2">
      <c r="B204" s="16">
        <f xml:space="preserve"> SUMIFS(Aux_Totales!$G:$G, Aux_Totales!$F:$F, $A204, Aux_Totales!$A:$A,#REF!)</f>
        <v>0</v>
      </c>
      <c r="C204" s="16">
        <f xml:space="preserve"> SUMIFS(Aux_Totales!$H:$H, Aux_Totales!$F:$F, $A204, Aux_Totales!$A:$A,#REF!)</f>
        <v>0</v>
      </c>
      <c r="D204" s="16">
        <f t="shared" si="368"/>
        <v>0</v>
      </c>
      <c r="E204" s="20" t="s">
        <v>41</v>
      </c>
      <c r="F204" s="16">
        <f xml:space="preserve"> SUMIFS(Aux_Totales!$P:$P, Aux_Totales!$F:$F, $A204, Aux_Totales!$A:$A,#REF!)</f>
        <v>0</v>
      </c>
      <c r="G204" s="13">
        <f t="shared" si="369"/>
        <v>0</v>
      </c>
      <c r="H204" s="9">
        <f t="shared" si="370"/>
        <v>0</v>
      </c>
      <c r="I204" s="9" t="str">
        <f t="shared" si="371"/>
        <v/>
      </c>
      <c r="J204" s="20"/>
      <c r="L204" s="16">
        <f>SUMIFS(Aux_Anterior!$W:$W, Aux_Anterior!$F:$F, $A204, Aux_Anterior!$A:$A,#REF!, Aux_Anterior!$AB:$AB, 202404, Aux_Anterior!$AA:$AA, 0)</f>
        <v>0</v>
      </c>
      <c r="M204" s="16">
        <f>SUMIFS(Aux_Anterior!$X:$X, Aux_Anterior!$F:$F, $A204, Aux_Anterior!$A:$A,#REF!, Aux_Anterior!$AB:$AB, 202404, Aux_Anterior!$AA:$AA, 0)</f>
        <v>0</v>
      </c>
      <c r="N204" s="16">
        <f>SUMIFS(Aux_Anterior!$P:$P, Aux_Anterior!$F:$F, $A204, Aux_Anterior!$A:$A,#REF!, Aux_Anterior!$AB:$AB, 202404, Aux_Anterior!$AA:$AA, 0)</f>
        <v>0</v>
      </c>
      <c r="O204" s="13">
        <f t="shared" si="372"/>
        <v>0</v>
      </c>
      <c r="Q204" s="16" cm="1">
        <f t="array" ref="Q204">INDEX($G$9:$EA$50, COUNTA($A$168:$A204), 125 - (COUNTA($A$168:$A204) - 1) * 3 - 2)</f>
        <v>36206868760</v>
      </c>
      <c r="R204" s="16" cm="1">
        <f t="array" ref="R204">INDEX($EB$9:$IV$50, COUNTA($A$168:$A204), 125 - (COUNTA($A$168:$A204) - 1) * 3 - 2)</f>
        <v>30434100035.419979</v>
      </c>
      <c r="S204" s="13">
        <f t="shared" si="373"/>
        <v>1</v>
      </c>
      <c r="T204" s="28" cm="1">
        <f t="array" ref="T204">IFERROR(INDEX(IF($C$2 = "Pago", $G$164:$EA$164, $EB$164:$IV$164), 1, (COUNTA($A204:$A$209) - 1) * 3 + 2), 100%)</f>
        <v>1</v>
      </c>
      <c r="U204" s="16">
        <f t="shared" si="374"/>
        <v>0</v>
      </c>
      <c r="V204" s="13">
        <f t="shared" si="375"/>
        <v>1</v>
      </c>
      <c r="W204" s="16">
        <f t="shared" si="376"/>
        <v>0</v>
      </c>
      <c r="X204" s="13" t="e">
        <f t="shared" si="377"/>
        <v>#DIV/0!</v>
      </c>
      <c r="Y204" s="9">
        <f t="shared" si="378"/>
        <v>0</v>
      </c>
      <c r="AA204" s="28">
        <f t="shared" si="379"/>
        <v>0</v>
      </c>
      <c r="AB204" s="28">
        <f t="shared" si="380"/>
        <v>1</v>
      </c>
      <c r="AC204" s="16">
        <f t="shared" si="381"/>
        <v>0</v>
      </c>
      <c r="AD204" s="13">
        <f t="shared" si="382"/>
        <v>0</v>
      </c>
      <c r="AE204" s="16">
        <f t="shared" si="383"/>
        <v>0</v>
      </c>
      <c r="AG204" s="28">
        <f t="shared" si="384"/>
        <v>0</v>
      </c>
      <c r="AH204" s="16">
        <f t="shared" si="385"/>
        <v>0</v>
      </c>
      <c r="AI204" s="16">
        <f t="shared" si="386"/>
        <v>0</v>
      </c>
      <c r="AK204" s="28">
        <f t="shared" si="387"/>
        <v>1</v>
      </c>
      <c r="AL204" s="9">
        <f t="shared" si="388"/>
        <v>0</v>
      </c>
      <c r="AM204" s="9">
        <f t="shared" si="389"/>
        <v>0</v>
      </c>
      <c r="AN204" s="30"/>
    </row>
    <row r="205" spans="2:40" x14ac:dyDescent="0.2">
      <c r="B205" s="16">
        <f xml:space="preserve"> SUMIFS(Aux_Totales!$G:$G, Aux_Totales!$F:$F, $A205, Aux_Totales!$A:$A,#REF!)</f>
        <v>0</v>
      </c>
      <c r="C205" s="16">
        <f xml:space="preserve"> SUMIFS(Aux_Totales!$H:$H, Aux_Totales!$F:$F, $A205, Aux_Totales!$A:$A,#REF!)</f>
        <v>0</v>
      </c>
      <c r="D205" s="16">
        <f t="shared" si="368"/>
        <v>0</v>
      </c>
      <c r="E205" s="20" t="s">
        <v>41</v>
      </c>
      <c r="F205" s="16">
        <f xml:space="preserve"> SUMIFS(Aux_Totales!$P:$P, Aux_Totales!$F:$F, $A205, Aux_Totales!$A:$A,#REF!)</f>
        <v>0</v>
      </c>
      <c r="G205" s="13">
        <f t="shared" si="369"/>
        <v>0</v>
      </c>
      <c r="H205" s="9">
        <f t="shared" si="370"/>
        <v>0</v>
      </c>
      <c r="I205" s="9" t="str">
        <f t="shared" si="371"/>
        <v/>
      </c>
      <c r="J205" s="20"/>
      <c r="L205" s="16">
        <f>SUMIFS(Aux_Anterior!$W:$W, Aux_Anterior!$F:$F, $A205, Aux_Anterior!$A:$A,#REF!, Aux_Anterior!$AB:$AB, 202404, Aux_Anterior!$AA:$AA, 0)</f>
        <v>0</v>
      </c>
      <c r="M205" s="16">
        <f>SUMIFS(Aux_Anterior!$X:$X, Aux_Anterior!$F:$F, $A205, Aux_Anterior!$A:$A,#REF!, Aux_Anterior!$AB:$AB, 202404, Aux_Anterior!$AA:$AA, 0)</f>
        <v>0</v>
      </c>
      <c r="N205" s="16">
        <f>SUMIFS(Aux_Anterior!$P:$P, Aux_Anterior!$F:$F, $A205, Aux_Anterior!$A:$A,#REF!, Aux_Anterior!$AB:$AB, 202404, Aux_Anterior!$AA:$AA, 0)</f>
        <v>0</v>
      </c>
      <c r="O205" s="13">
        <f t="shared" si="372"/>
        <v>0</v>
      </c>
      <c r="Q205" s="16" cm="1">
        <f t="array" ref="Q205">INDEX($G$9:$EA$50, COUNTA($A$168:$A205), 125 - (COUNTA($A$168:$A205) - 1) * 3 - 2)</f>
        <v>36206868760</v>
      </c>
      <c r="R205" s="16" cm="1">
        <f t="array" ref="R205">INDEX($EB$9:$IV$50, COUNTA($A$168:$A205), 125 - (COUNTA($A$168:$A205) - 1) * 3 - 2)</f>
        <v>30434100035.419979</v>
      </c>
      <c r="S205" s="13">
        <f t="shared" si="373"/>
        <v>1</v>
      </c>
      <c r="T205" s="28" cm="1">
        <f t="array" ref="T205">IFERROR(INDEX(IF($C$2 = "Pago", $G$164:$EA$164, $EB$164:$IV$164), 1, (COUNTA($A205:$A$209) - 1) * 3 + 2), 100%)</f>
        <v>1</v>
      </c>
      <c r="U205" s="16">
        <f t="shared" si="374"/>
        <v>0</v>
      </c>
      <c r="V205" s="13">
        <f t="shared" si="375"/>
        <v>1</v>
      </c>
      <c r="W205" s="16">
        <f t="shared" si="376"/>
        <v>0</v>
      </c>
      <c r="X205" s="13" t="e">
        <f t="shared" si="377"/>
        <v>#DIV/0!</v>
      </c>
      <c r="Y205" s="9">
        <f t="shared" si="378"/>
        <v>0</v>
      </c>
      <c r="AA205" s="28">
        <f t="shared" si="379"/>
        <v>0</v>
      </c>
      <c r="AB205" s="28">
        <f t="shared" si="380"/>
        <v>1</v>
      </c>
      <c r="AC205" s="16">
        <f t="shared" si="381"/>
        <v>0</v>
      </c>
      <c r="AD205" s="13">
        <f t="shared" si="382"/>
        <v>0</v>
      </c>
      <c r="AE205" s="16">
        <f t="shared" si="383"/>
        <v>0</v>
      </c>
      <c r="AG205" s="28">
        <f t="shared" si="384"/>
        <v>0</v>
      </c>
      <c r="AH205" s="16">
        <f t="shared" si="385"/>
        <v>0</v>
      </c>
      <c r="AI205" s="16">
        <f t="shared" si="386"/>
        <v>0</v>
      </c>
      <c r="AK205" s="28">
        <f t="shared" si="387"/>
        <v>1</v>
      </c>
      <c r="AL205" s="9">
        <f t="shared" si="388"/>
        <v>0</v>
      </c>
      <c r="AM205" s="9">
        <f t="shared" si="389"/>
        <v>0</v>
      </c>
      <c r="AN205" s="30"/>
    </row>
    <row r="206" spans="2:40" x14ac:dyDescent="0.2">
      <c r="B206" s="16">
        <f xml:space="preserve"> SUMIFS(Aux_Totales!$G:$G, Aux_Totales!$F:$F, $A206, Aux_Totales!$A:$A,#REF!)</f>
        <v>0</v>
      </c>
      <c r="C206" s="16">
        <f xml:space="preserve"> SUMIFS(Aux_Totales!$H:$H, Aux_Totales!$F:$F, $A206, Aux_Totales!$A:$A,#REF!)</f>
        <v>0</v>
      </c>
      <c r="D206" s="16">
        <f t="shared" si="368"/>
        <v>0</v>
      </c>
      <c r="E206" s="20" t="s">
        <v>41</v>
      </c>
      <c r="F206" s="16">
        <f xml:space="preserve"> SUMIFS(Aux_Totales!$P:$P, Aux_Totales!$F:$F, $A206, Aux_Totales!$A:$A,#REF!)</f>
        <v>0</v>
      </c>
      <c r="G206" s="13">
        <f t="shared" si="369"/>
        <v>0</v>
      </c>
      <c r="H206" s="9">
        <f t="shared" si="370"/>
        <v>0</v>
      </c>
      <c r="I206" s="9" t="str">
        <f t="shared" si="371"/>
        <v/>
      </c>
      <c r="J206" s="20"/>
      <c r="L206" s="16">
        <f>SUMIFS(Aux_Anterior!$W:$W, Aux_Anterior!$F:$F, $A206, Aux_Anterior!$A:$A,#REF!, Aux_Anterior!$AB:$AB, 202404, Aux_Anterior!$AA:$AA, 0)</f>
        <v>0</v>
      </c>
      <c r="M206" s="16">
        <f>SUMIFS(Aux_Anterior!$X:$X, Aux_Anterior!$F:$F, $A206, Aux_Anterior!$A:$A,#REF!, Aux_Anterior!$AB:$AB, 202404, Aux_Anterior!$AA:$AA, 0)</f>
        <v>0</v>
      </c>
      <c r="N206" s="16">
        <f>SUMIFS(Aux_Anterior!$P:$P, Aux_Anterior!$F:$F, $A206, Aux_Anterior!$A:$A,#REF!, Aux_Anterior!$AB:$AB, 202404, Aux_Anterior!$AA:$AA, 0)</f>
        <v>0</v>
      </c>
      <c r="O206" s="13">
        <f t="shared" si="372"/>
        <v>0</v>
      </c>
      <c r="Q206" s="16" cm="1">
        <f t="array" ref="Q206">INDEX($G$9:$EA$50, COUNTA($A$168:$A206), 125 - (COUNTA($A$168:$A206) - 1) * 3 - 2)</f>
        <v>36206868760</v>
      </c>
      <c r="R206" s="16" cm="1">
        <f t="array" ref="R206">INDEX($EB$9:$IV$50, COUNTA($A$168:$A206), 125 - (COUNTA($A$168:$A206) - 1) * 3 - 2)</f>
        <v>30434100035.419979</v>
      </c>
      <c r="S206" s="13">
        <f t="shared" si="373"/>
        <v>1</v>
      </c>
      <c r="T206" s="28" cm="1">
        <f t="array" ref="T206">IFERROR(INDEX(IF($C$2 = "Pago", $G$164:$EA$164, $EB$164:$IV$164), 1, (COUNTA($A206:$A$209) - 1) * 3 + 2), 100%)</f>
        <v>1</v>
      </c>
      <c r="U206" s="16">
        <f t="shared" si="374"/>
        <v>0</v>
      </c>
      <c r="V206" s="13">
        <f t="shared" si="375"/>
        <v>1</v>
      </c>
      <c r="W206" s="16">
        <f t="shared" si="376"/>
        <v>0</v>
      </c>
      <c r="X206" s="13" t="e">
        <f t="shared" si="377"/>
        <v>#DIV/0!</v>
      </c>
      <c r="Y206" s="9">
        <f t="shared" si="378"/>
        <v>0</v>
      </c>
      <c r="AA206" s="28">
        <f t="shared" si="379"/>
        <v>0</v>
      </c>
      <c r="AB206" s="28">
        <f t="shared" si="380"/>
        <v>1</v>
      </c>
      <c r="AC206" s="16">
        <f t="shared" si="381"/>
        <v>0</v>
      </c>
      <c r="AD206" s="13">
        <f t="shared" si="382"/>
        <v>0</v>
      </c>
      <c r="AE206" s="16">
        <f t="shared" si="383"/>
        <v>0</v>
      </c>
      <c r="AG206" s="28">
        <f t="shared" si="384"/>
        <v>0</v>
      </c>
      <c r="AH206" s="16">
        <f t="shared" si="385"/>
        <v>0</v>
      </c>
      <c r="AI206" s="16">
        <f t="shared" si="386"/>
        <v>0</v>
      </c>
      <c r="AK206" s="28">
        <f t="shared" si="387"/>
        <v>1</v>
      </c>
      <c r="AL206" s="9">
        <f t="shared" si="388"/>
        <v>0</v>
      </c>
      <c r="AM206" s="9">
        <f t="shared" si="389"/>
        <v>0</v>
      </c>
      <c r="AN206" s="30"/>
    </row>
    <row r="207" spans="2:40" x14ac:dyDescent="0.2">
      <c r="B207" s="16">
        <f xml:space="preserve"> SUMIFS(Aux_Totales!$G:$G, Aux_Totales!$F:$F, $A207, Aux_Totales!$A:$A,#REF!)</f>
        <v>0</v>
      </c>
      <c r="C207" s="16">
        <f xml:space="preserve"> SUMIFS(Aux_Totales!$H:$H, Aux_Totales!$F:$F, $A207, Aux_Totales!$A:$A,#REF!)</f>
        <v>0</v>
      </c>
      <c r="D207" s="16">
        <f t="shared" si="368"/>
        <v>0</v>
      </c>
      <c r="E207" s="20" t="s">
        <v>41</v>
      </c>
      <c r="F207" s="16">
        <f xml:space="preserve"> SUMIFS(Aux_Totales!$P:$P, Aux_Totales!$F:$F, $A207, Aux_Totales!$A:$A,#REF!)</f>
        <v>0</v>
      </c>
      <c r="G207" s="13">
        <f t="shared" si="369"/>
        <v>0</v>
      </c>
      <c r="H207" s="9">
        <f t="shared" si="370"/>
        <v>0</v>
      </c>
      <c r="I207" s="9" t="str">
        <f t="shared" si="371"/>
        <v/>
      </c>
      <c r="J207" s="20"/>
      <c r="L207" s="16">
        <f>SUMIFS(Aux_Anterior!$W:$W, Aux_Anterior!$F:$F, $A207, Aux_Anterior!$A:$A,#REF!, Aux_Anterior!$AB:$AB, 202404, Aux_Anterior!$AA:$AA, 0)</f>
        <v>0</v>
      </c>
      <c r="M207" s="16">
        <f>SUMIFS(Aux_Anterior!$X:$X, Aux_Anterior!$F:$F, $A207, Aux_Anterior!$A:$A,#REF!, Aux_Anterior!$AB:$AB, 202404, Aux_Anterior!$AA:$AA, 0)</f>
        <v>0</v>
      </c>
      <c r="N207" s="16">
        <f>SUMIFS(Aux_Anterior!$P:$P, Aux_Anterior!$F:$F, $A207, Aux_Anterior!$A:$A,#REF!, Aux_Anterior!$AB:$AB, 202404, Aux_Anterior!$AA:$AA, 0)</f>
        <v>0</v>
      </c>
      <c r="O207" s="13">
        <f t="shared" si="372"/>
        <v>0</v>
      </c>
      <c r="Q207" s="16" cm="1">
        <f t="array" ref="Q207">INDEX($G$9:$EA$50, COUNTA($A$168:$A207), 125 - (COUNTA($A$168:$A207) - 1) * 3 - 2)</f>
        <v>36206868760</v>
      </c>
      <c r="R207" s="16" cm="1">
        <f t="array" ref="R207">INDEX($EB$9:$IV$50, COUNTA($A$168:$A207), 125 - (COUNTA($A$168:$A207) - 1) * 3 - 2)</f>
        <v>30434100035.419979</v>
      </c>
      <c r="S207" s="13">
        <f t="shared" si="373"/>
        <v>1</v>
      </c>
      <c r="T207" s="28" cm="1">
        <f t="array" ref="T207">IFERROR(INDEX(IF($C$2 = "Pago", $G$164:$EA$164, $EB$164:$IV$164), 1, (COUNTA($A207:$A$209) - 1) * 3 + 2), 100%)</f>
        <v>1</v>
      </c>
      <c r="U207" s="16">
        <f t="shared" si="374"/>
        <v>0</v>
      </c>
      <c r="V207" s="13">
        <f t="shared" si="375"/>
        <v>1</v>
      </c>
      <c r="W207" s="16">
        <f t="shared" si="376"/>
        <v>0</v>
      </c>
      <c r="X207" s="13" t="e">
        <f t="shared" si="377"/>
        <v>#DIV/0!</v>
      </c>
      <c r="Y207" s="9">
        <f t="shared" si="378"/>
        <v>0</v>
      </c>
      <c r="AA207" s="28">
        <f t="shared" si="379"/>
        <v>0</v>
      </c>
      <c r="AB207" s="28">
        <f t="shared" si="380"/>
        <v>1</v>
      </c>
      <c r="AC207" s="16">
        <f t="shared" si="381"/>
        <v>0</v>
      </c>
      <c r="AD207" s="13">
        <f t="shared" si="382"/>
        <v>0</v>
      </c>
      <c r="AE207" s="16">
        <f t="shared" si="383"/>
        <v>0</v>
      </c>
      <c r="AG207" s="28">
        <f t="shared" si="384"/>
        <v>0</v>
      </c>
      <c r="AH207" s="16">
        <f t="shared" si="385"/>
        <v>0</v>
      </c>
      <c r="AI207" s="16">
        <f t="shared" si="386"/>
        <v>0</v>
      </c>
      <c r="AK207" s="28">
        <f t="shared" si="387"/>
        <v>1</v>
      </c>
      <c r="AL207" s="9">
        <f t="shared" si="388"/>
        <v>0</v>
      </c>
      <c r="AM207" s="9">
        <f t="shared" si="389"/>
        <v>0</v>
      </c>
      <c r="AN207" s="30"/>
    </row>
    <row r="208" spans="2:40" x14ac:dyDescent="0.2">
      <c r="B208" s="16">
        <f xml:space="preserve"> SUMIFS(Aux_Totales!$G:$G, Aux_Totales!$F:$F, $A208, Aux_Totales!$A:$A,#REF!)</f>
        <v>0</v>
      </c>
      <c r="C208" s="16">
        <f xml:space="preserve"> SUMIFS(Aux_Totales!$H:$H, Aux_Totales!$F:$F, $A208, Aux_Totales!$A:$A,#REF!)</f>
        <v>0</v>
      </c>
      <c r="D208" s="16">
        <f t="shared" si="368"/>
        <v>0</v>
      </c>
      <c r="E208" s="20" t="s">
        <v>41</v>
      </c>
      <c r="F208" s="16">
        <f xml:space="preserve"> SUMIFS(Aux_Totales!$P:$P, Aux_Totales!$F:$F, $A208, Aux_Totales!$A:$A,#REF!)</f>
        <v>0</v>
      </c>
      <c r="G208" s="13">
        <f t="shared" si="369"/>
        <v>0</v>
      </c>
      <c r="H208" s="9">
        <f t="shared" si="370"/>
        <v>0</v>
      </c>
      <c r="I208" s="9" t="str">
        <f t="shared" si="371"/>
        <v/>
      </c>
      <c r="J208" s="20"/>
      <c r="L208" s="16">
        <f>SUMIFS(Aux_Anterior!$W:$W, Aux_Anterior!$F:$F, $A208, Aux_Anterior!$A:$A,#REF!, Aux_Anterior!$AB:$AB, 202404, Aux_Anterior!$AA:$AA, 0)</f>
        <v>0</v>
      </c>
      <c r="M208" s="16">
        <f>SUMIFS(Aux_Anterior!$X:$X, Aux_Anterior!$F:$F, $A208, Aux_Anterior!$A:$A,#REF!, Aux_Anterior!$AB:$AB, 202404, Aux_Anterior!$AA:$AA, 0)</f>
        <v>0</v>
      </c>
      <c r="N208" s="16">
        <f>SUMIFS(Aux_Anterior!$P:$P, Aux_Anterior!$F:$F, $A208, Aux_Anterior!$A:$A,#REF!, Aux_Anterior!$AB:$AB, 202404, Aux_Anterior!$AA:$AA, 0)</f>
        <v>0</v>
      </c>
      <c r="O208" s="13">
        <f t="shared" si="372"/>
        <v>0</v>
      </c>
      <c r="Q208" s="16" cm="1">
        <f t="array" ref="Q208">INDEX($G$9:$EA$50, COUNTA($A$168:$A208), 125 - (COUNTA($A$168:$A208) - 1) * 3 - 2)</f>
        <v>36206868760</v>
      </c>
      <c r="R208" s="16" cm="1">
        <f t="array" ref="R208">INDEX($EB$9:$IV$50, COUNTA($A$168:$A208), 125 - (COUNTA($A$168:$A208) - 1) * 3 - 2)</f>
        <v>30434100035.419979</v>
      </c>
      <c r="S208" s="13">
        <f t="shared" si="373"/>
        <v>1</v>
      </c>
      <c r="T208" s="28" cm="1">
        <f t="array" ref="T208">IFERROR(INDEX(IF($C$2 = "Pago", $G$164:$EA$164, $EB$164:$IV$164), 1, (COUNTA($A208:$A$209) - 1) * 3 + 2), 100%)</f>
        <v>1</v>
      </c>
      <c r="U208" s="16">
        <f t="shared" si="374"/>
        <v>0</v>
      </c>
      <c r="V208" s="13">
        <f t="shared" si="375"/>
        <v>1</v>
      </c>
      <c r="W208" s="16">
        <f t="shared" si="376"/>
        <v>0</v>
      </c>
      <c r="X208" s="13" t="e">
        <f t="shared" si="377"/>
        <v>#DIV/0!</v>
      </c>
      <c r="Y208" s="9">
        <f t="shared" si="378"/>
        <v>0</v>
      </c>
      <c r="AA208" s="28">
        <f t="shared" si="379"/>
        <v>0</v>
      </c>
      <c r="AB208" s="28">
        <f t="shared" si="380"/>
        <v>1</v>
      </c>
      <c r="AC208" s="16">
        <f t="shared" si="381"/>
        <v>0</v>
      </c>
      <c r="AD208" s="13">
        <f t="shared" si="382"/>
        <v>0</v>
      </c>
      <c r="AE208" s="16">
        <f t="shared" si="383"/>
        <v>0</v>
      </c>
      <c r="AG208" s="28">
        <f t="shared" si="384"/>
        <v>0</v>
      </c>
      <c r="AH208" s="16">
        <f t="shared" si="385"/>
        <v>0</v>
      </c>
      <c r="AI208" s="16">
        <f t="shared" si="386"/>
        <v>0</v>
      </c>
      <c r="AK208" s="28">
        <f t="shared" si="387"/>
        <v>1</v>
      </c>
      <c r="AL208" s="9">
        <f t="shared" si="388"/>
        <v>0</v>
      </c>
      <c r="AM208" s="9">
        <f t="shared" si="389"/>
        <v>0</v>
      </c>
      <c r="AN208" s="30"/>
    </row>
    <row r="209" spans="1:16384" x14ac:dyDescent="0.2">
      <c r="B209" s="16">
        <f xml:space="preserve"> SUMIFS(Aux_Totales!$G:$G, Aux_Totales!$F:$F, $A209, Aux_Totales!$A:$A,#REF!)</f>
        <v>0</v>
      </c>
      <c r="C209" s="16">
        <f xml:space="preserve"> SUMIFS(Aux_Totales!$H:$H, Aux_Totales!$F:$F, $A209, Aux_Totales!$A:$A,#REF!)</f>
        <v>0</v>
      </c>
      <c r="D209" s="32">
        <f t="shared" ref="D209:D210" si="390">IF(E209 = "Mantener", L209, IFERROR($F209 * $G209, 0))</f>
        <v>0</v>
      </c>
      <c r="E209" s="20" t="s">
        <v>42</v>
      </c>
      <c r="F209" s="16">
        <f xml:space="preserve"> SUMIFS(Aux_Totales!$P:$P, Aux_Totales!$F:$F, $A209, Aux_Totales!$A:$A,#REF!)</f>
        <v>0</v>
      </c>
      <c r="G209" s="33">
        <f t="shared" ref="G209:G210" si="391">AVERAGE(G$207:G$208)</f>
        <v>0</v>
      </c>
      <c r="H209" s="9">
        <f t="shared" si="370"/>
        <v>0</v>
      </c>
      <c r="J209" s="20"/>
      <c r="L209" s="16">
        <f>SUMIFS(Aux_Anterior!$W:$W, Aux_Anterior!$F:$F, $A209, Aux_Anterior!$A:$A,#REF!, Aux_Anterior!$AB:$AB, 202404, Aux_Anterior!$AA:$AA, 0)</f>
        <v>0</v>
      </c>
      <c r="M209" s="16">
        <f>SUMIFS(Aux_Anterior!$X:$X, Aux_Anterior!$F:$F, $A209, Aux_Anterior!$A:$A,#REF!, Aux_Anterior!$AB:$AB, 202404, Aux_Anterior!$AA:$AA, 0)</f>
        <v>0</v>
      </c>
      <c r="N209" s="16">
        <f>SUMIFS(Aux_Anterior!$P:$P, Aux_Anterior!$F:$F, $A209, Aux_Anterior!$A:$A,#REF!, Aux_Anterior!$AB:$AB, 202404, Aux_Anterior!$AA:$AA, 0)</f>
        <v>0</v>
      </c>
      <c r="O209" s="13">
        <f t="shared" si="372"/>
        <v>0</v>
      </c>
      <c r="AK209" s="28">
        <f t="shared" si="387"/>
        <v>1</v>
      </c>
      <c r="AL209" s="9">
        <f t="shared" si="388"/>
        <v>0</v>
      </c>
      <c r="AM209" s="9">
        <f t="shared" si="389"/>
        <v>0</v>
      </c>
      <c r="AN209" s="30"/>
    </row>
    <row r="210" spans="1:16384" x14ac:dyDescent="0.2">
      <c r="B210" s="16">
        <f xml:space="preserve"> SUMIFS(Aux_Totales!$G:$G, Aux_Totales!$F:$F, $A210, Aux_Totales!$A:$A,#REF!)</f>
        <v>0</v>
      </c>
      <c r="C210" s="16">
        <f xml:space="preserve"> SUMIFS(Aux_Totales!$H:$H, Aux_Totales!$F:$F, $A210, Aux_Totales!$A:$A,#REF!)</f>
        <v>0</v>
      </c>
      <c r="D210" s="32">
        <f t="shared" si="390"/>
        <v>0</v>
      </c>
      <c r="E210" s="20" t="s">
        <v>42</v>
      </c>
      <c r="F210" s="16">
        <f xml:space="preserve"> SUMIFS(Aux_Totales!$P:$P, Aux_Totales!$F:$F, $A210, Aux_Totales!$A:$A,#REF!)</f>
        <v>0</v>
      </c>
      <c r="G210" s="33">
        <f t="shared" si="391"/>
        <v>0</v>
      </c>
      <c r="H210" s="9">
        <f t="shared" si="370"/>
        <v>0</v>
      </c>
      <c r="J210" s="20"/>
      <c r="AL210" s="9">
        <f t="shared" si="388"/>
        <v>0</v>
      </c>
      <c r="AM210" s="9">
        <f t="shared" si="389"/>
        <v>0</v>
      </c>
    </row>
    <row r="213" spans="1:16384" x14ac:dyDescent="0.2">
      <c r="A213" s="10" t="s">
        <v>34</v>
      </c>
      <c r="B213" s="10" t="str">
        <f>IF($C$4="Frecuencia", "Severidad", "Frecuencia") &amp; " Pagos"</f>
        <v>Frecuencia Pagos</v>
      </c>
      <c r="C213" s="10" t="str">
        <f>IF($C$4="Frecuencia", "Severidad", "Frecuencia") &amp; " Incurridos"</f>
        <v>Frecuencia Incurridos</v>
      </c>
      <c r="D213" s="10" t="str">
        <f>IF($C$4="Frecuencia", "Severidad", "Frecuencia") &amp; " Ultimate"</f>
        <v>Frecuencia Ultimate</v>
      </c>
      <c r="E213" s="10" t="str">
        <f>"Comentarios" &amp; IF($C$4="Frecuencia", " Sv.", " Fr.")</f>
        <v>Comentarios Fr.</v>
      </c>
    </row>
    <row r="214" spans="1:16384" x14ac:dyDescent="0.2">
      <c r="A214">
        <v>201403</v>
      </c>
      <c r="B214">
        <f>IF($C$4 = "Severidad", IFERROR( SUMIFS(Aux_Totales!$K:$K, Aux_Totales!$F:$F, $A214, Aux_Totales!$A:$A,#REF!) / SUMIFS(Aux_Totales!$N:$N, Aux_Totales!$F:$F, $A214, Aux_Totales!$A:$A,#REF!), 0), IFERROR(B168 / SUMIFS(Aux_Totales!$K:$K, Aux_Totales!$F:$F, $A214, Aux_Totales!$A:$A,#REF!), 0))</f>
        <v>0</v>
      </c>
      <c r="C214">
        <f>IF($C$4 = "Severidad", IFERROR( SUMIFS(Aux_Totales!$L:$L, Aux_Totales!$F:$F, $A214, Aux_Totales!$A:$A,#REF!) / SUMIFS(Aux_Totales!$N:$N, Aux_Totales!$F:$F, $A214, Aux_Totales!$A:$A,#REF!), 0), IFERROR(C168 / SUMIFS(Aux_Totales!$L:$L, Aux_Totales!$F:$F, $A214, Aux_Totales!$A:$A,#REF!), 0))</f>
        <v>0</v>
      </c>
      <c r="D214" s="20">
        <f>IF( $C$4 = "Severidad", IFERROR(SUMIFS(Aux_Anterior!$S:$S, Aux_Anterior!$F:$F, $A214, Aux_Anterior!$A:$A,#REF!, Aux_Anterior!$AB:$AB, 202404), 0), IFERROR(SUMIFS(Aux_Anterior!$U:$U, Aux_Anterior!$F:$F, $A214, Aux_Anterior!$A:$A,#REF!, Aux_Anterior!$AB:$AB, 202404), 0))</f>
        <v>0</v>
      </c>
      <c r="E214" s="30"/>
    </row>
    <row r="215" spans="1:16384" x14ac:dyDescent="0.2">
      <c r="A215">
        <v>201406</v>
      </c>
      <c r="B215">
        <f>IF($C$4 = "Severidad", IFERROR( SUMIFS(Aux_Totales!$K:$K, Aux_Totales!$F:$F, $A215, Aux_Totales!$A:$A,#REF!) / SUMIFS(Aux_Totales!$N:$N, Aux_Totales!$F:$F, $A215, Aux_Totales!$A:$A,#REF!), 0), IFERROR(B169 / SUMIFS(Aux_Totales!$K:$K, Aux_Totales!$F:$F, $A215, Aux_Totales!$A:$A,#REF!), 0))</f>
        <v>0</v>
      </c>
      <c r="C215">
        <f>IF($C$4 = "Severidad", IFERROR( SUMIFS(Aux_Totales!$L:$L, Aux_Totales!$F:$F, $A215, Aux_Totales!$A:$A,#REF!) / SUMIFS(Aux_Totales!$N:$N, Aux_Totales!$F:$F, $A215, Aux_Totales!$A:$A,#REF!), 0), IFERROR(C169 / SUMIFS(Aux_Totales!$L:$L, Aux_Totales!$F:$F, $A215, Aux_Totales!$A:$A,#REF!), 0))</f>
        <v>0</v>
      </c>
      <c r="D215" s="20">
        <f>IF( $C$4 = "Severidad", IFERROR(SUMIFS(Aux_Anterior!$S:$S, Aux_Anterior!$F:$F, $A215, Aux_Anterior!$A:$A,#REF!, Aux_Anterior!$AB:$AB, 202404), 0), IFERROR(SUMIFS(Aux_Anterior!$U:$U, Aux_Anterior!$F:$F, $A215, Aux_Anterior!$A:$A,#REF!, Aux_Anterior!$AB:$AB, 202404), 0))</f>
        <v>0</v>
      </c>
      <c r="E215" s="30"/>
    </row>
    <row r="216" spans="1:16384" x14ac:dyDescent="0.2">
      <c r="A216">
        <v>201409</v>
      </c>
      <c r="B216">
        <f>IF($C$4 = "Severidad", IFERROR( SUMIFS(Aux_Totales!$K:$K, Aux_Totales!$F:$F, $A216, Aux_Totales!$A:$A,#REF!) / SUMIFS(Aux_Totales!$N:$N, Aux_Totales!$F:$F, $A216, Aux_Totales!$A:$A,#REF!), 0), IFERROR(B170 / SUMIFS(Aux_Totales!$K:$K, Aux_Totales!$F:$F, $A216, Aux_Totales!$A:$A,#REF!), 0))</f>
        <v>0</v>
      </c>
      <c r="C216">
        <f>IF($C$4 = "Severidad", IFERROR( SUMIFS(Aux_Totales!$L:$L, Aux_Totales!$F:$F, $A216, Aux_Totales!$A:$A,#REF!) / SUMIFS(Aux_Totales!$N:$N, Aux_Totales!$F:$F, $A216, Aux_Totales!$A:$A,#REF!), 0), IFERROR(C170 / SUMIFS(Aux_Totales!$L:$L, Aux_Totales!$F:$F, $A216, Aux_Totales!$A:$A,#REF!), 0))</f>
        <v>0</v>
      </c>
      <c r="D216" s="20">
        <f>IF( $C$4 = "Severidad", IFERROR(SUMIFS(Aux_Anterior!$S:$S, Aux_Anterior!$F:$F, $A216, Aux_Anterior!$A:$A,#REF!, Aux_Anterior!$AB:$AB, 202404), 0), IFERROR(SUMIFS(Aux_Anterior!$U:$U, Aux_Anterior!$F:$F, $A216, Aux_Anterior!$A:$A,#REF!, Aux_Anterior!$AB:$AB, 202404), 0))</f>
        <v>0</v>
      </c>
      <c r="E216" s="30"/>
    </row>
    <row r="217" spans="1:16384" x14ac:dyDescent="0.2">
      <c r="A217">
        <v>201412</v>
      </c>
      <c r="B217">
        <f>IF($C$4 = "Severidad", IFERROR( SUMIFS(Aux_Totales!$K:$K, Aux_Totales!$F:$F, $A217, Aux_Totales!$A:$A,#REF!) / SUMIFS(Aux_Totales!$N:$N, Aux_Totales!$F:$F, $A217, Aux_Totales!$A:$A,#REF!), 0), IFERROR(B171 / SUMIFS(Aux_Totales!$K:$K, Aux_Totales!$F:$F, $A217, Aux_Totales!$A:$A,#REF!), 0))</f>
        <v>0</v>
      </c>
      <c r="C217">
        <f>IF($C$4 = "Severidad", IFERROR( SUMIFS(Aux_Totales!$L:$L, Aux_Totales!$F:$F, $A217, Aux_Totales!$A:$A,#REF!) / SUMIFS(Aux_Totales!$N:$N, Aux_Totales!$F:$F, $A217, Aux_Totales!$A:$A,#REF!), 0), IFERROR(C171 / SUMIFS(Aux_Totales!$L:$L, Aux_Totales!$F:$F, $A217, Aux_Totales!$A:$A,#REF!), 0))</f>
        <v>0</v>
      </c>
      <c r="D217" s="20">
        <f>IF( $C$4 = "Severidad", IFERROR(SUMIFS(Aux_Anterior!$S:$S, Aux_Anterior!$F:$F, $A217, Aux_Anterior!$A:$A,#REF!, Aux_Anterior!$AB:$AB, 202404), 0), IFERROR(SUMIFS(Aux_Anterior!$U:$U, Aux_Anterior!$F:$F, $A217, Aux_Anterior!$A:$A,#REF!, Aux_Anterior!$AB:$AB, 202404), 0))</f>
        <v>0</v>
      </c>
      <c r="E217" s="30"/>
    </row>
    <row r="218" spans="1:16384" x14ac:dyDescent="0.2">
      <c r="A218">
        <v>201503</v>
      </c>
      <c r="B218">
        <f>IF($C$4 = "Severidad", IFERROR( SUMIFS(Aux_Totales!$K:$K, Aux_Totales!$F:$F, $A218, Aux_Totales!$A:$A,#REF!) / SUMIFS(Aux_Totales!$N:$N, Aux_Totales!$F:$F, $A218, Aux_Totales!$A:$A,#REF!), 0), IFERROR(B172 / SUMIFS(Aux_Totales!$K:$K, Aux_Totales!$F:$F, $A218, Aux_Totales!$A:$A,#REF!), 0))</f>
        <v>0</v>
      </c>
      <c r="C218">
        <f>IF($C$4 = "Severidad", IFERROR( SUMIFS(Aux_Totales!$L:$L, Aux_Totales!$F:$F, $A218, Aux_Totales!$A:$A,#REF!) / SUMIFS(Aux_Totales!$N:$N, Aux_Totales!$F:$F, $A218, Aux_Totales!$A:$A,#REF!), 0), IFERROR(C172 / SUMIFS(Aux_Totales!$L:$L, Aux_Totales!$F:$F, $A218, Aux_Totales!$A:$A,#REF!), 0))</f>
        <v>0</v>
      </c>
      <c r="D218" s="20">
        <f>IF( $C$4 = "Severidad", IFERROR(SUMIFS(Aux_Anterior!$S:$S, Aux_Anterior!$F:$F, $A218, Aux_Anterior!$A:$A,#REF!, Aux_Anterior!$AB:$AB, 202404), 0), IFERROR(SUMIFS(Aux_Anterior!$U:$U, Aux_Anterior!$F:$F, $A218, Aux_Anterior!$A:$A,#REF!, Aux_Anterior!$AB:$AB, 202404), 0))</f>
        <v>0</v>
      </c>
      <c r="E218" s="30"/>
    </row>
    <row r="219" spans="1:16384" x14ac:dyDescent="0.2">
      <c r="A219">
        <v>201506</v>
      </c>
      <c r="B219">
        <f>IF($C$4 = "Severidad", IFERROR( SUMIFS(Aux_Totales!$K:$K, Aux_Totales!$F:$F, $A219, Aux_Totales!$A:$A,#REF!) / SUMIFS(Aux_Totales!$N:$N, Aux_Totales!$F:$F, $A219, Aux_Totales!$A:$A,#REF!), 0), IFERROR(B173 / SUMIFS(Aux_Totales!$K:$K, Aux_Totales!$F:$F, $A219, Aux_Totales!$A:$A,#REF!), 0))</f>
        <v>0</v>
      </c>
      <c r="C219">
        <f>IF($C$4 = "Severidad", IFERROR( SUMIFS(Aux_Totales!$L:$L, Aux_Totales!$F:$F, $A219, Aux_Totales!$A:$A,#REF!) / SUMIFS(Aux_Totales!$N:$N, Aux_Totales!$F:$F, $A219, Aux_Totales!$A:$A,#REF!), 0), IFERROR(C173 / SUMIFS(Aux_Totales!$L:$L, Aux_Totales!$F:$F, $A219, Aux_Totales!$A:$A,#REF!), 0))</f>
        <v>0</v>
      </c>
      <c r="D219" s="20">
        <f>IF( $C$4 = "Severidad", IFERROR(SUMIFS(Aux_Anterior!$S:$S, Aux_Anterior!$F:$F, $A219, Aux_Anterior!$A:$A,#REF!, Aux_Anterior!$AB:$AB, 202404), 0), IFERROR(SUMIFS(Aux_Anterior!$U:$U, Aux_Anterior!$F:$F, $A219, Aux_Anterior!$A:$A,#REF!, Aux_Anterior!$AB:$AB, 202404), 0))</f>
        <v>0</v>
      </c>
      <c r="E219" s="30"/>
    </row>
    <row r="220" spans="1:16384" x14ac:dyDescent="0.2">
      <c r="A220">
        <v>201509</v>
      </c>
      <c r="B220">
        <f>IF($C$4 = "Severidad", IFERROR( SUMIFS(Aux_Totales!$K:$K, Aux_Totales!$F:$F, $A220, Aux_Totales!$A:$A,#REF!) / SUMIFS(Aux_Totales!$N:$N, Aux_Totales!$F:$F, $A220, Aux_Totales!$A:$A,#REF!), 0), IFERROR(B174 / SUMIFS(Aux_Totales!$K:$K, Aux_Totales!$F:$F, $A220, Aux_Totales!$A:$A,#REF!), 0))</f>
        <v>0</v>
      </c>
      <c r="C220">
        <f>IF($C$4 = "Severidad", IFERROR( SUMIFS(Aux_Totales!$L:$L, Aux_Totales!$F:$F, $A220, Aux_Totales!$A:$A,#REF!) / SUMIFS(Aux_Totales!$N:$N, Aux_Totales!$F:$F, $A220, Aux_Totales!$A:$A,#REF!), 0), IFERROR(C174 / SUMIFS(Aux_Totales!$L:$L, Aux_Totales!$F:$F, $A220, Aux_Totales!$A:$A,#REF!), 0))</f>
        <v>0</v>
      </c>
      <c r="D220" s="20">
        <f>IF( $C$4 = "Severidad", IFERROR(SUMIFS(Aux_Anterior!$S:$S, Aux_Anterior!$F:$F, $A220, Aux_Anterior!$A:$A,#REF!, Aux_Anterior!$AB:$AB, 202404), 0), IFERROR(SUMIFS(Aux_Anterior!$U:$U, Aux_Anterior!$F:$F, $A220, Aux_Anterior!$A:$A,#REF!, Aux_Anterior!$AB:$AB, 202404), 0))</f>
        <v>0</v>
      </c>
      <c r="E220" s="30"/>
    </row>
    <row r="221" spans="1:16384" x14ac:dyDescent="0.2">
      <c r="A221">
        <v>201512</v>
      </c>
      <c r="B221">
        <f>IF($C$4 = "Severidad", IFERROR( SUMIFS(Aux_Totales!$K:$K, Aux_Totales!$F:$F, $A221, Aux_Totales!$A:$A,#REF!) / SUMIFS(Aux_Totales!$N:$N, Aux_Totales!$F:$F, $A221, Aux_Totales!$A:$A,#REF!), 0), IFERROR(B175 / SUMIFS(Aux_Totales!$K:$K, Aux_Totales!$F:$F, $A221, Aux_Totales!$A:$A,#REF!), 0))</f>
        <v>0</v>
      </c>
      <c r="C221">
        <f>IF($C$4 = "Severidad", IFERROR( SUMIFS(Aux_Totales!$L:$L, Aux_Totales!$F:$F, $A221, Aux_Totales!$A:$A,#REF!) / SUMIFS(Aux_Totales!$N:$N, Aux_Totales!$F:$F, $A221, Aux_Totales!$A:$A,#REF!), 0), IFERROR(C175 / SUMIFS(Aux_Totales!$L:$L, Aux_Totales!$F:$F, $A221, Aux_Totales!$A:$A,#REF!), 0))</f>
        <v>0</v>
      </c>
      <c r="D221" s="20">
        <f>IF( $C$4 = "Severidad", IFERROR(SUMIFS(Aux_Anterior!$S:$S, Aux_Anterior!$F:$F, $A221, Aux_Anterior!$A:$A,#REF!, Aux_Anterior!$AB:$AB, 202404), 0), IFERROR(SUMIFS(Aux_Anterior!$U:$U, Aux_Anterior!$F:$F, $A221, Aux_Anterior!$A:$A,#REF!, Aux_Anterior!$AB:$AB, 202404), 0))</f>
        <v>0</v>
      </c>
      <c r="E221" s="30"/>
    </row>
    <row r="222" spans="1:16384" x14ac:dyDescent="0.2">
      <c r="A222">
        <v>201603</v>
      </c>
      <c r="B222">
        <f>IF($C$4 = "Severidad", IFERROR( SUMIFS(Aux_Totales!$K:$K, Aux_Totales!$F:$F, $A222, Aux_Totales!$A:$A,#REF!) / SUMIFS(Aux_Totales!$N:$N, Aux_Totales!$F:$F, $A222, Aux_Totales!$A:$A,#REF!), 0), IFERROR(B176 / SUMIFS(Aux_Totales!$K:$K, Aux_Totales!$F:$F, $A222, Aux_Totales!$A:$A,#REF!), 0))</f>
        <v>0</v>
      </c>
      <c r="C222">
        <f>IF($C$4 = "Severidad", IFERROR( SUMIFS(Aux_Totales!$L:$L, Aux_Totales!$F:$F, $A222, Aux_Totales!$A:$A,#REF!) / SUMIFS(Aux_Totales!$N:$N, Aux_Totales!$F:$F, $A222, Aux_Totales!$A:$A,#REF!), 0), IFERROR(C176 / SUMIFS(Aux_Totales!$L:$L, Aux_Totales!$F:$F, $A222, Aux_Totales!$A:$A,#REF!), 0))</f>
        <v>0</v>
      </c>
      <c r="D222" s="20">
        <f>IF( $C$4 = "Severidad", IFERROR(SUMIFS(Aux_Anterior!$S:$S, Aux_Anterior!$F:$F, $A222, Aux_Anterior!$A:$A,#REF!, Aux_Anterior!$AB:$AB, 202404), 0), IFERROR(SUMIFS(Aux_Anterior!$U:$U, Aux_Anterior!$F:$F, $A222, Aux_Anterior!$A:$A,#REF!, Aux_Anterior!$AB:$AB, 202404), 0))</f>
        <v>0</v>
      </c>
      <c r="E222" s="30"/>
    </row>
    <row r="223" spans="1:16384" x14ac:dyDescent="0.2">
      <c r="A223">
        <v>201606</v>
      </c>
      <c r="B223">
        <f>IF($C$4 = "Severidad", IFERROR( SUMIFS(Aux_Totales!$K:$K, Aux_Totales!$F:$F, $A223, Aux_Totales!$A:$A,#REF!) / SUMIFS(Aux_Totales!$N:$N, Aux_Totales!$F:$F, $A223, Aux_Totales!$A:$A,#REF!), 0), IFERROR(B177 / SUMIFS(Aux_Totales!$K:$K, Aux_Totales!$F:$F, $A223, Aux_Totales!$A:$A,#REF!), 0))</f>
        <v>0</v>
      </c>
      <c r="C223">
        <f>IF($C$4 = "Severidad", IFERROR( SUMIFS(Aux_Totales!$L:$L, Aux_Totales!$F:$F, $A223, Aux_Totales!$A:$A,#REF!) / SUMIFS(Aux_Totales!$N:$N, Aux_Totales!$F:$F, $A223, Aux_Totales!$A:$A,#REF!), 0), IFERROR(C177 / SUMIFS(Aux_Totales!$L:$L, Aux_Totales!$F:$F, $A223, Aux_Totales!$A:$A,#REF!), 0))</f>
        <v>0</v>
      </c>
      <c r="D223" s="20">
        <f>IF( $C$4 = "Severidad", IFERROR(SUMIFS(Aux_Anterior!$S:$S, Aux_Anterior!$F:$F, $A223, Aux_Anterior!$A:$A,#REF!, Aux_Anterior!$AB:$AB, 202404), 0), IFERROR(SUMIFS(Aux_Anterior!$U:$U, Aux_Anterior!$F:$F, $A223, Aux_Anterior!$A:$A,#REF!, Aux_Anterior!$AB:$AB, 202404), 0))</f>
        <v>0</v>
      </c>
      <c r="E223" s="30"/>
    </row>
    <row r="224" spans="1:16384" s="19" customFormat="1" x14ac:dyDescent="0.2">
      <c r="A224">
        <v>201609</v>
      </c>
      <c r="B224">
        <f>IF($C$4 = "Severidad", IFERROR( SUMIFS(Aux_Totales!$K:$K, Aux_Totales!$F:$F, $A224, Aux_Totales!$A:$A,#REF!) / SUMIFS(Aux_Totales!$N:$N, Aux_Totales!$F:$F, $A224, Aux_Totales!$A:$A,#REF!), 0), IFERROR(B178 / SUMIFS(Aux_Totales!$K:$K, Aux_Totales!$F:$F, $A224, Aux_Totales!$A:$A,#REF!), 0))</f>
        <v>0</v>
      </c>
      <c r="C224">
        <f>IF($C$4 = "Severidad", IFERROR( SUMIFS(Aux_Totales!$L:$L, Aux_Totales!$F:$F, $A224, Aux_Totales!$A:$A,#REF!) / SUMIFS(Aux_Totales!$N:$N, Aux_Totales!$F:$F, $A224, Aux_Totales!$A:$A,#REF!), 0), IFERROR(C178 / SUMIFS(Aux_Totales!$L:$L, Aux_Totales!$F:$F, $A224, Aux_Totales!$A:$A,#REF!), 0))</f>
        <v>0</v>
      </c>
      <c r="D224" s="20">
        <f>IF( $C$4 = "Severidad", IFERROR(SUMIFS(Aux_Anterior!$S:$S, Aux_Anterior!$F:$F, $A224, Aux_Anterior!$A:$A,#REF!, Aux_Anterior!$AB:$AB, 202404), 0), IFERROR(SUMIFS(Aux_Anterior!$U:$U, Aux_Anterior!$F:$F, $A224, Aux_Anterior!$A:$A,#REF!, Aux_Anterior!$AB:$AB, 202404), 0))</f>
        <v>0</v>
      </c>
      <c r="E224" s="30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  <c r="AAB224"/>
      <c r="AAC224"/>
      <c r="AAD224"/>
      <c r="AAE224"/>
      <c r="AAF224"/>
      <c r="AAG224"/>
      <c r="AAH224"/>
      <c r="AAI224"/>
      <c r="AAJ224"/>
      <c r="AAK224"/>
      <c r="AAL224"/>
      <c r="AAM224"/>
      <c r="AAN224"/>
      <c r="AAO224"/>
      <c r="AAP224"/>
      <c r="AAQ224"/>
      <c r="AAR224"/>
      <c r="AAS224"/>
      <c r="AAT224"/>
      <c r="AAU224"/>
      <c r="AAV224"/>
      <c r="AAW224"/>
      <c r="AAX224"/>
      <c r="AAY224"/>
      <c r="AAZ224"/>
      <c r="ABA224"/>
      <c r="ABB224"/>
      <c r="ABC224"/>
      <c r="ABD224"/>
      <c r="ABE224"/>
      <c r="ABF224"/>
      <c r="ABG224"/>
      <c r="ABH224"/>
      <c r="ABI224"/>
      <c r="ABJ224"/>
      <c r="ABK224"/>
      <c r="ABL224"/>
      <c r="ABM224"/>
      <c r="ABN224"/>
      <c r="ABO224"/>
      <c r="ABP224"/>
      <c r="ABQ224"/>
      <c r="ABR224"/>
      <c r="ABS224"/>
      <c r="ABT224"/>
      <c r="ABU224"/>
      <c r="ABV224"/>
      <c r="ABW224"/>
      <c r="ABX224"/>
      <c r="ABY224"/>
      <c r="ABZ224"/>
      <c r="ACA224"/>
      <c r="ACB224"/>
      <c r="ACC224"/>
      <c r="ACD224"/>
      <c r="ACE224"/>
      <c r="ACF224"/>
      <c r="ACG224"/>
      <c r="ACH224"/>
      <c r="ACI224"/>
      <c r="ACJ224"/>
      <c r="ACK224"/>
      <c r="ACL224"/>
      <c r="ACM224"/>
      <c r="ACN224"/>
      <c r="ACO224"/>
      <c r="ACP224"/>
      <c r="ACQ224"/>
      <c r="ACR224"/>
      <c r="ACS224"/>
      <c r="ACT224"/>
      <c r="ACU224"/>
      <c r="ACV224"/>
      <c r="ACW224"/>
      <c r="ACX224"/>
      <c r="ACY224"/>
      <c r="ACZ224"/>
      <c r="ADA224"/>
      <c r="ADB224"/>
      <c r="ADC224"/>
      <c r="ADD224"/>
      <c r="ADE224"/>
      <c r="ADF224"/>
      <c r="ADG224"/>
      <c r="ADH224"/>
      <c r="ADI224"/>
      <c r="ADJ224"/>
      <c r="ADK224"/>
      <c r="ADL224"/>
      <c r="ADM224"/>
      <c r="ADN224"/>
      <c r="ADO224"/>
      <c r="ADP224"/>
      <c r="ADQ224"/>
      <c r="ADR224"/>
      <c r="ADS224"/>
      <c r="ADT224"/>
      <c r="ADU224"/>
      <c r="ADV224"/>
      <c r="ADW224"/>
      <c r="ADX224"/>
      <c r="ADY224"/>
      <c r="ADZ224"/>
      <c r="AEA224"/>
      <c r="AEB224"/>
      <c r="AEC224"/>
      <c r="AED224"/>
      <c r="AEE224"/>
      <c r="AEF224"/>
      <c r="AEG224"/>
      <c r="AEH224"/>
      <c r="AEI224"/>
      <c r="AEJ224"/>
      <c r="AEK224"/>
      <c r="AEL224"/>
      <c r="AEM224"/>
      <c r="AEN224"/>
      <c r="AEO224"/>
      <c r="AEP224"/>
      <c r="AEQ224"/>
      <c r="AER224"/>
      <c r="AES224"/>
      <c r="AET224"/>
      <c r="AEU224"/>
      <c r="AEV224"/>
      <c r="AEW224"/>
      <c r="AEX224"/>
      <c r="AEY224"/>
      <c r="AEZ224"/>
      <c r="AFA224"/>
      <c r="AFB224"/>
      <c r="AFC224"/>
      <c r="AFD224"/>
      <c r="AFE224"/>
      <c r="AFF224"/>
      <c r="AFG224"/>
      <c r="AFH224"/>
      <c r="AFI224"/>
      <c r="AFJ224"/>
      <c r="AFK224"/>
      <c r="AFL224"/>
      <c r="AFM224"/>
      <c r="AFN224"/>
      <c r="AFO224"/>
      <c r="AFP224"/>
      <c r="AFQ224"/>
      <c r="AFR224"/>
      <c r="AFS224"/>
      <c r="AFT224"/>
      <c r="AFU224"/>
      <c r="AFV224"/>
      <c r="AFW224"/>
      <c r="AFX224"/>
      <c r="AFY224"/>
      <c r="AFZ224"/>
      <c r="AGA224"/>
      <c r="AGB224"/>
      <c r="AGC224"/>
      <c r="AGD224"/>
      <c r="AGE224"/>
      <c r="AGF224"/>
      <c r="AGG224"/>
      <c r="AGH224"/>
      <c r="AGI224"/>
      <c r="AGJ224"/>
      <c r="AGK224"/>
      <c r="AGL224"/>
      <c r="AGM224"/>
      <c r="AGN224"/>
      <c r="AGO224"/>
      <c r="AGP224"/>
      <c r="AGQ224"/>
      <c r="AGR224"/>
      <c r="AGS224"/>
      <c r="AGT224"/>
      <c r="AGU224"/>
      <c r="AGV224"/>
      <c r="AGW224"/>
      <c r="AGX224"/>
      <c r="AGY224"/>
      <c r="AGZ224"/>
      <c r="AHA224"/>
      <c r="AHB224"/>
      <c r="AHC224"/>
      <c r="AHD224"/>
      <c r="AHE224"/>
      <c r="AHF224"/>
      <c r="AHG224"/>
      <c r="AHH224"/>
      <c r="AHI224"/>
      <c r="AHJ224"/>
      <c r="AHK224"/>
      <c r="AHL224"/>
      <c r="AHM224"/>
      <c r="AHN224"/>
      <c r="AHO224"/>
      <c r="AHP224"/>
      <c r="AHQ224"/>
      <c r="AHR224"/>
      <c r="AHS224"/>
      <c r="AHT224"/>
      <c r="AHU224"/>
      <c r="AHV224"/>
      <c r="AHW224"/>
      <c r="AHX224"/>
      <c r="AHY224"/>
      <c r="AHZ224"/>
      <c r="AIA224"/>
      <c r="AIB224"/>
      <c r="AIC224"/>
      <c r="AID224"/>
      <c r="AIE224"/>
      <c r="AIF224"/>
      <c r="AIG224"/>
      <c r="AIH224"/>
      <c r="AII224"/>
      <c r="AIJ224"/>
      <c r="AIK224"/>
      <c r="AIL224"/>
      <c r="AIM224"/>
      <c r="AIN224"/>
      <c r="AIO224"/>
      <c r="AIP224"/>
      <c r="AIQ224"/>
      <c r="AIR224"/>
      <c r="AIS224"/>
      <c r="AIT224"/>
      <c r="AIU224"/>
      <c r="AIV224"/>
      <c r="AIW224"/>
      <c r="AIX224"/>
      <c r="AIY224"/>
      <c r="AIZ224"/>
      <c r="AJA224"/>
      <c r="AJB224"/>
      <c r="AJC224"/>
      <c r="AJD224"/>
      <c r="AJE224"/>
      <c r="AJF224"/>
      <c r="AJG224"/>
      <c r="AJH224"/>
      <c r="AJI224"/>
      <c r="AJJ224"/>
      <c r="AJK224"/>
      <c r="AJL224"/>
      <c r="AJM224"/>
      <c r="AJN224"/>
      <c r="AJO224"/>
      <c r="AJP224"/>
      <c r="AJQ224"/>
      <c r="AJR224"/>
      <c r="AJS224"/>
      <c r="AJT224"/>
      <c r="AJU224"/>
      <c r="AJV224"/>
      <c r="AJW224"/>
      <c r="AJX224"/>
      <c r="AJY224"/>
      <c r="AJZ224"/>
      <c r="AKA224"/>
      <c r="AKB224"/>
      <c r="AKC224"/>
      <c r="AKD224"/>
      <c r="AKE224"/>
      <c r="AKF224"/>
      <c r="AKG224"/>
      <c r="AKH224"/>
      <c r="AKI224"/>
      <c r="AKJ224"/>
      <c r="AKK224"/>
      <c r="AKL224"/>
      <c r="AKM224"/>
      <c r="AKN224"/>
      <c r="AKO224"/>
      <c r="AKP224"/>
      <c r="AKQ224"/>
      <c r="AKR224"/>
      <c r="AKS224"/>
      <c r="AKT224"/>
      <c r="AKU224"/>
      <c r="AKV224"/>
      <c r="AKW224"/>
      <c r="AKX224"/>
      <c r="AKY224"/>
      <c r="AKZ224"/>
      <c r="ALA224"/>
      <c r="ALB224"/>
      <c r="ALC224"/>
      <c r="ALD224"/>
      <c r="ALE224"/>
      <c r="ALF224"/>
      <c r="ALG224"/>
      <c r="ALH224"/>
      <c r="ALI224"/>
      <c r="ALJ224"/>
      <c r="ALK224"/>
      <c r="ALL224"/>
      <c r="ALM224" s="19" t="str">
        <f>IF(ALM220 = "", "", IFERROR(ALM220 / SUMIFS(Aux_Totales!$N:$N, Aux_Totales!$F:$F, $F224, Aux_Totales!$A:$A,#REF!), 0))</f>
        <v/>
      </c>
      <c r="ALN224" s="19" t="str">
        <f>IF(ALN220 = "", "", IFERROR(ALN220 / SUMIFS(Aux_Totales!$N:$N, Aux_Totales!$F:$F, $F224, Aux_Totales!$A:$A,#REF!), 0))</f>
        <v/>
      </c>
      <c r="ALO224" s="19" t="str">
        <f>IF(ALO220 = "", "", IFERROR(ALO220 / SUMIFS(Aux_Totales!$N:$N, Aux_Totales!$F:$F, $F224, Aux_Totales!$A:$A,#REF!), 0))</f>
        <v/>
      </c>
      <c r="ALP224" s="19" t="str">
        <f>IF(ALP220 = "", "", IFERROR(ALP220 / SUMIFS(Aux_Totales!$N:$N, Aux_Totales!$F:$F, $F224, Aux_Totales!$A:$A,#REF!), 0))</f>
        <v/>
      </c>
      <c r="ALQ224" s="19" t="str">
        <f>IF(ALQ220 = "", "", IFERROR(ALQ220 / SUMIFS(Aux_Totales!$N:$N, Aux_Totales!$F:$F, $F224, Aux_Totales!$A:$A,#REF!), 0))</f>
        <v/>
      </c>
      <c r="ALR224" s="19" t="str">
        <f>IF(ALR220 = "", "", IFERROR(ALR220 / SUMIFS(Aux_Totales!$N:$N, Aux_Totales!$F:$F, $F224, Aux_Totales!$A:$A,#REF!), 0))</f>
        <v/>
      </c>
      <c r="ALS224" s="19" t="str">
        <f>IF(ALS220 = "", "", IFERROR(ALS220 / SUMIFS(Aux_Totales!$N:$N, Aux_Totales!$F:$F, $F224, Aux_Totales!$A:$A,#REF!), 0))</f>
        <v/>
      </c>
      <c r="ALT224" s="19" t="str">
        <f>IF(ALT220 = "", "", IFERROR(ALT220 / SUMIFS(Aux_Totales!$N:$N, Aux_Totales!$F:$F, $F224, Aux_Totales!$A:$A,#REF!), 0))</f>
        <v/>
      </c>
      <c r="ALU224" s="19" t="str">
        <f>IF(ALU220 = "", "", IFERROR(ALU220 / SUMIFS(Aux_Totales!$N:$N, Aux_Totales!$F:$F, $F224, Aux_Totales!$A:$A,#REF!), 0))</f>
        <v/>
      </c>
      <c r="ALV224" s="19" t="str">
        <f>IF(ALV220 = "", "", IFERROR(ALV220 / SUMIFS(Aux_Totales!$N:$N, Aux_Totales!$F:$F, $F224, Aux_Totales!$A:$A,#REF!), 0))</f>
        <v/>
      </c>
      <c r="ALW224" s="19" t="str">
        <f>IF(ALW220 = "", "", IFERROR(ALW220 / SUMIFS(Aux_Totales!$N:$N, Aux_Totales!$F:$F, $F224, Aux_Totales!$A:$A,#REF!), 0))</f>
        <v/>
      </c>
      <c r="ALX224" s="19" t="str">
        <f>IF(ALX220 = "", "", IFERROR(ALX220 / SUMIFS(Aux_Totales!$N:$N, Aux_Totales!$F:$F, $F224, Aux_Totales!$A:$A,#REF!), 0))</f>
        <v/>
      </c>
      <c r="ALY224" s="19" t="str">
        <f>IF(ALY220 = "", "", IFERROR(ALY220 / SUMIFS(Aux_Totales!$N:$N, Aux_Totales!$F:$F, $F224, Aux_Totales!$A:$A,#REF!), 0))</f>
        <v/>
      </c>
      <c r="ALZ224" s="19" t="str">
        <f>IF(ALZ220 = "", "", IFERROR(ALZ220 / SUMIFS(Aux_Totales!$N:$N, Aux_Totales!$F:$F, $F224, Aux_Totales!$A:$A,#REF!), 0))</f>
        <v/>
      </c>
      <c r="AMA224" s="19" t="str">
        <f>IF(AMA220 = "", "", IFERROR(AMA220 / SUMIFS(Aux_Totales!$N:$N, Aux_Totales!$F:$F, $F224, Aux_Totales!$A:$A,#REF!), 0))</f>
        <v/>
      </c>
      <c r="AMB224" s="19" t="str">
        <f>IF(AMB220 = "", "", IFERROR(AMB220 / SUMIFS(Aux_Totales!$N:$N, Aux_Totales!$F:$F, $F224, Aux_Totales!$A:$A,#REF!), 0))</f>
        <v/>
      </c>
      <c r="AMC224" s="19" t="str">
        <f>IF(AMC220 = "", "", IFERROR(AMC220 / SUMIFS(Aux_Totales!$N:$N, Aux_Totales!$F:$F, $F224, Aux_Totales!$A:$A,#REF!), 0))</f>
        <v/>
      </c>
      <c r="AMD224" s="19" t="str">
        <f>IF(AMD220 = "", "", IFERROR(AMD220 / SUMIFS(Aux_Totales!$N:$N, Aux_Totales!$F:$F, $F224, Aux_Totales!$A:$A,#REF!), 0))</f>
        <v/>
      </c>
      <c r="AME224" s="19" t="str">
        <f>IF(AME220 = "", "", IFERROR(AME220 / SUMIFS(Aux_Totales!$N:$N, Aux_Totales!$F:$F, $F224, Aux_Totales!$A:$A,#REF!), 0))</f>
        <v/>
      </c>
      <c r="AMF224" s="19" t="str">
        <f>IF(AMF220 = "", "", IFERROR(AMF220 / SUMIFS(Aux_Totales!$N:$N, Aux_Totales!$F:$F, $F224, Aux_Totales!$A:$A,#REF!), 0))</f>
        <v/>
      </c>
      <c r="AMG224" s="19" t="str">
        <f>IF(AMG220 = "", "", IFERROR(AMG220 / SUMIFS(Aux_Totales!$N:$N, Aux_Totales!$F:$F, $F224, Aux_Totales!$A:$A,#REF!), 0))</f>
        <v/>
      </c>
      <c r="AMH224" s="19" t="str">
        <f>IF(AMH220 = "", "", IFERROR(AMH220 / SUMIFS(Aux_Totales!$N:$N, Aux_Totales!$F:$F, $F224, Aux_Totales!$A:$A,#REF!), 0))</f>
        <v/>
      </c>
      <c r="AMI224" s="19" t="str">
        <f>IF(AMI220 = "", "", IFERROR(AMI220 / SUMIFS(Aux_Totales!$N:$N, Aux_Totales!$F:$F, $F224, Aux_Totales!$A:$A,#REF!), 0))</f>
        <v/>
      </c>
      <c r="AMJ224" s="19" t="str">
        <f>IF(AMJ220 = "", "", IFERROR(AMJ220 / SUMIFS(Aux_Totales!$N:$N, Aux_Totales!$F:$F, $F224, Aux_Totales!$A:$A,#REF!), 0))</f>
        <v/>
      </c>
      <c r="AMK224" s="19" t="str">
        <f>IF(AMK220 = "", "", IFERROR(AMK220 / SUMIFS(Aux_Totales!$N:$N, Aux_Totales!$F:$F, $F224, Aux_Totales!$A:$A,#REF!), 0))</f>
        <v/>
      </c>
      <c r="AML224" s="19" t="str">
        <f>IF(AML220 = "", "", IFERROR(AML220 / SUMIFS(Aux_Totales!$N:$N, Aux_Totales!$F:$F, $F224, Aux_Totales!$A:$A,#REF!), 0))</f>
        <v/>
      </c>
      <c r="AMM224" s="19" t="str">
        <f>IF(AMM220 = "", "", IFERROR(AMM220 / SUMIFS(Aux_Totales!$N:$N, Aux_Totales!$F:$F, $F224, Aux_Totales!$A:$A,#REF!), 0))</f>
        <v/>
      </c>
      <c r="AMN224" s="19" t="str">
        <f>IF(AMN220 = "", "", IFERROR(AMN220 / SUMIFS(Aux_Totales!$N:$N, Aux_Totales!$F:$F, $F224, Aux_Totales!$A:$A,#REF!), 0))</f>
        <v/>
      </c>
      <c r="AMO224" s="19" t="str">
        <f>IF(AMO220 = "", "", IFERROR(AMO220 / SUMIFS(Aux_Totales!$N:$N, Aux_Totales!$F:$F, $F224, Aux_Totales!$A:$A,#REF!), 0))</f>
        <v/>
      </c>
      <c r="AMP224" s="19" t="str">
        <f>IF(AMP220 = "", "", IFERROR(AMP220 / SUMIFS(Aux_Totales!$N:$N, Aux_Totales!$F:$F, $F224, Aux_Totales!$A:$A,#REF!), 0))</f>
        <v/>
      </c>
      <c r="AMQ224" s="19" t="str">
        <f>IF(AMQ220 = "", "", IFERROR(AMQ220 / SUMIFS(Aux_Totales!$N:$N, Aux_Totales!$F:$F, $F224, Aux_Totales!$A:$A,#REF!), 0))</f>
        <v/>
      </c>
      <c r="AMR224" s="19" t="str">
        <f>IF(AMR220 = "", "", IFERROR(AMR220 / SUMIFS(Aux_Totales!$N:$N, Aux_Totales!$F:$F, $F224, Aux_Totales!$A:$A,#REF!), 0))</f>
        <v/>
      </c>
      <c r="AMS224" s="19" t="str">
        <f>IF(AMS220 = "", "", IFERROR(AMS220 / SUMIFS(Aux_Totales!$N:$N, Aux_Totales!$F:$F, $F224, Aux_Totales!$A:$A,#REF!), 0))</f>
        <v/>
      </c>
      <c r="AMT224" s="19" t="str">
        <f>IF(AMT220 = "", "", IFERROR(AMT220 / SUMIFS(Aux_Totales!$N:$N, Aux_Totales!$F:$F, $F224, Aux_Totales!$A:$A,#REF!), 0))</f>
        <v/>
      </c>
      <c r="AMU224" s="19" t="str">
        <f>IF(AMU220 = "", "", IFERROR(AMU220 / SUMIFS(Aux_Totales!$N:$N, Aux_Totales!$F:$F, $F224, Aux_Totales!$A:$A,#REF!), 0))</f>
        <v/>
      </c>
      <c r="AMV224" s="19" t="str">
        <f>IF(AMV220 = "", "", IFERROR(AMV220 / SUMIFS(Aux_Totales!$N:$N, Aux_Totales!$F:$F, $F224, Aux_Totales!$A:$A,#REF!), 0))</f>
        <v/>
      </c>
      <c r="AMW224" s="19" t="str">
        <f>IF(AMW220 = "", "", IFERROR(AMW220 / SUMIFS(Aux_Totales!$N:$N, Aux_Totales!$F:$F, $F224, Aux_Totales!$A:$A,#REF!), 0))</f>
        <v/>
      </c>
      <c r="AMX224" s="19" t="str">
        <f>IF(AMX220 = "", "", IFERROR(AMX220 / SUMIFS(Aux_Totales!$N:$N, Aux_Totales!$F:$F, $F224, Aux_Totales!$A:$A,#REF!), 0))</f>
        <v/>
      </c>
      <c r="AMY224" s="19" t="str">
        <f>IF(AMY220 = "", "", IFERROR(AMY220 / SUMIFS(Aux_Totales!$N:$N, Aux_Totales!$F:$F, $F224, Aux_Totales!$A:$A,#REF!), 0))</f>
        <v/>
      </c>
      <c r="AMZ224" s="19" t="str">
        <f>IF(AMZ220 = "", "", IFERROR(AMZ220 / SUMIFS(Aux_Totales!$N:$N, Aux_Totales!$F:$F, $F224, Aux_Totales!$A:$A,#REF!), 0))</f>
        <v/>
      </c>
      <c r="ANA224" s="19" t="str">
        <f>IF(ANA220 = "", "", IFERROR(ANA220 / SUMIFS(Aux_Totales!$N:$N, Aux_Totales!$F:$F, $F224, Aux_Totales!$A:$A,#REF!), 0))</f>
        <v/>
      </c>
      <c r="ANB224" s="19" t="str">
        <f>IF(ANB220 = "", "", IFERROR(ANB220 / SUMIFS(Aux_Totales!$N:$N, Aux_Totales!$F:$F, $F224, Aux_Totales!$A:$A,#REF!), 0))</f>
        <v/>
      </c>
      <c r="ANC224" s="19" t="str">
        <f>IF(ANC220 = "", "", IFERROR(ANC220 / SUMIFS(Aux_Totales!$N:$N, Aux_Totales!$F:$F, $F224, Aux_Totales!$A:$A,#REF!), 0))</f>
        <v/>
      </c>
      <c r="AND224" s="19" t="str">
        <f>IF(AND220 = "", "", IFERROR(AND220 / SUMIFS(Aux_Totales!$N:$N, Aux_Totales!$F:$F, $F224, Aux_Totales!$A:$A,#REF!), 0))</f>
        <v/>
      </c>
      <c r="ANE224" s="19" t="str">
        <f>IF(ANE220 = "", "", IFERROR(ANE220 / SUMIFS(Aux_Totales!$N:$N, Aux_Totales!$F:$F, $F224, Aux_Totales!$A:$A,#REF!), 0))</f>
        <v/>
      </c>
      <c r="ANF224" s="19" t="str">
        <f>IF(ANF220 = "", "", IFERROR(ANF220 / SUMIFS(Aux_Totales!$N:$N, Aux_Totales!$F:$F, $F224, Aux_Totales!$A:$A,#REF!), 0))</f>
        <v/>
      </c>
      <c r="ANG224" s="19" t="str">
        <f>IF(ANG220 = "", "", IFERROR(ANG220 / SUMIFS(Aux_Totales!$N:$N, Aux_Totales!$F:$F, $F224, Aux_Totales!$A:$A,#REF!), 0))</f>
        <v/>
      </c>
      <c r="ANH224" s="19" t="str">
        <f>IF(ANH220 = "", "", IFERROR(ANH220 / SUMIFS(Aux_Totales!$N:$N, Aux_Totales!$F:$F, $F224, Aux_Totales!$A:$A,#REF!), 0))</f>
        <v/>
      </c>
      <c r="ANI224" s="19" t="str">
        <f>IF(ANI220 = "", "", IFERROR(ANI220 / SUMIFS(Aux_Totales!$N:$N, Aux_Totales!$F:$F, $F224, Aux_Totales!$A:$A,#REF!), 0))</f>
        <v/>
      </c>
      <c r="ANJ224" s="19" t="str">
        <f>IF(ANJ220 = "", "", IFERROR(ANJ220 / SUMIFS(Aux_Totales!$N:$N, Aux_Totales!$F:$F, $F224, Aux_Totales!$A:$A,#REF!), 0))</f>
        <v/>
      </c>
      <c r="ANK224" s="19" t="str">
        <f>IF(ANK220 = "", "", IFERROR(ANK220 / SUMIFS(Aux_Totales!$N:$N, Aux_Totales!$F:$F, $F224, Aux_Totales!$A:$A,#REF!), 0))</f>
        <v/>
      </c>
      <c r="ANL224" s="19" t="str">
        <f>IF(ANL220 = "", "", IFERROR(ANL220 / SUMIFS(Aux_Totales!$N:$N, Aux_Totales!$F:$F, $F224, Aux_Totales!$A:$A,#REF!), 0))</f>
        <v/>
      </c>
      <c r="ANM224" s="19" t="str">
        <f>IF(ANM220 = "", "", IFERROR(ANM220 / SUMIFS(Aux_Totales!$N:$N, Aux_Totales!$F:$F, $F224, Aux_Totales!$A:$A,#REF!), 0))</f>
        <v/>
      </c>
      <c r="ANN224" s="19" t="str">
        <f>IF(ANN220 = "", "", IFERROR(ANN220 / SUMIFS(Aux_Totales!$N:$N, Aux_Totales!$F:$F, $F224, Aux_Totales!$A:$A,#REF!), 0))</f>
        <v/>
      </c>
      <c r="ANO224" s="19" t="str">
        <f>IF(ANO220 = "", "", IFERROR(ANO220 / SUMIFS(Aux_Totales!$N:$N, Aux_Totales!$F:$F, $F224, Aux_Totales!$A:$A,#REF!), 0))</f>
        <v/>
      </c>
      <c r="ANP224" s="19" t="str">
        <f>IF(ANP220 = "", "", IFERROR(ANP220 / SUMIFS(Aux_Totales!$N:$N, Aux_Totales!$F:$F, $F224, Aux_Totales!$A:$A,#REF!), 0))</f>
        <v/>
      </c>
      <c r="ANQ224" s="19" t="str">
        <f>IF(ANQ220 = "", "", IFERROR(ANQ220 / SUMIFS(Aux_Totales!$N:$N, Aux_Totales!$F:$F, $F224, Aux_Totales!$A:$A,#REF!), 0))</f>
        <v/>
      </c>
      <c r="ANR224" s="19" t="str">
        <f>IF(ANR220 = "", "", IFERROR(ANR220 / SUMIFS(Aux_Totales!$N:$N, Aux_Totales!$F:$F, $F224, Aux_Totales!$A:$A,#REF!), 0))</f>
        <v/>
      </c>
      <c r="ANS224" s="19" t="str">
        <f>IF(ANS220 = "", "", IFERROR(ANS220 / SUMIFS(Aux_Totales!$N:$N, Aux_Totales!$F:$F, $F224, Aux_Totales!$A:$A,#REF!), 0))</f>
        <v/>
      </c>
      <c r="ANT224" s="19" t="str">
        <f>IF(ANT220 = "", "", IFERROR(ANT220 / SUMIFS(Aux_Totales!$N:$N, Aux_Totales!$F:$F, $F224, Aux_Totales!$A:$A,#REF!), 0))</f>
        <v/>
      </c>
      <c r="ANU224" s="19" t="str">
        <f>IF(ANU220 = "", "", IFERROR(ANU220 / SUMIFS(Aux_Totales!$N:$N, Aux_Totales!$F:$F, $F224, Aux_Totales!$A:$A,#REF!), 0))</f>
        <v/>
      </c>
      <c r="ANV224" s="19" t="str">
        <f>IF(ANV220 = "", "", IFERROR(ANV220 / SUMIFS(Aux_Totales!$N:$N, Aux_Totales!$F:$F, $F224, Aux_Totales!$A:$A,#REF!), 0))</f>
        <v/>
      </c>
      <c r="ANW224" s="19" t="str">
        <f>IF(ANW220 = "", "", IFERROR(ANW220 / SUMIFS(Aux_Totales!$N:$N, Aux_Totales!$F:$F, $F224, Aux_Totales!$A:$A,#REF!), 0))</f>
        <v/>
      </c>
      <c r="ANX224" s="19" t="str">
        <f>IF(ANX220 = "", "", IFERROR(ANX220 / SUMIFS(Aux_Totales!$N:$N, Aux_Totales!$F:$F, $F224, Aux_Totales!$A:$A,#REF!), 0))</f>
        <v/>
      </c>
      <c r="ANY224" s="19" t="str">
        <f>IF(ANY220 = "", "", IFERROR(ANY220 / SUMIFS(Aux_Totales!$N:$N, Aux_Totales!$F:$F, $F224, Aux_Totales!$A:$A,#REF!), 0))</f>
        <v/>
      </c>
      <c r="ANZ224" s="19" t="str">
        <f>IF(ANZ220 = "", "", IFERROR(ANZ220 / SUMIFS(Aux_Totales!$N:$N, Aux_Totales!$F:$F, $F224, Aux_Totales!$A:$A,#REF!), 0))</f>
        <v/>
      </c>
      <c r="AOA224" s="19" t="str">
        <f>IF(AOA220 = "", "", IFERROR(AOA220 / SUMIFS(Aux_Totales!$N:$N, Aux_Totales!$F:$F, $F224, Aux_Totales!$A:$A,#REF!), 0))</f>
        <v/>
      </c>
      <c r="AOB224" s="19" t="str">
        <f>IF(AOB220 = "", "", IFERROR(AOB220 / SUMIFS(Aux_Totales!$N:$N, Aux_Totales!$F:$F, $F224, Aux_Totales!$A:$A,#REF!), 0))</f>
        <v/>
      </c>
      <c r="AOC224" s="19" t="str">
        <f>IF(AOC220 = "", "", IFERROR(AOC220 / SUMIFS(Aux_Totales!$N:$N, Aux_Totales!$F:$F, $F224, Aux_Totales!$A:$A,#REF!), 0))</f>
        <v/>
      </c>
      <c r="AOD224" s="19" t="str">
        <f>IF(AOD220 = "", "", IFERROR(AOD220 / SUMIFS(Aux_Totales!$N:$N, Aux_Totales!$F:$F, $F224, Aux_Totales!$A:$A,#REF!), 0))</f>
        <v/>
      </c>
      <c r="AOE224" s="19" t="str">
        <f>IF(AOE220 = "", "", IFERROR(AOE220 / SUMIFS(Aux_Totales!$N:$N, Aux_Totales!$F:$F, $F224, Aux_Totales!$A:$A,#REF!), 0))</f>
        <v/>
      </c>
      <c r="AOF224" s="19" t="str">
        <f>IF(AOF220 = "", "", IFERROR(AOF220 / SUMIFS(Aux_Totales!$N:$N, Aux_Totales!$F:$F, $F224, Aux_Totales!$A:$A,#REF!), 0))</f>
        <v/>
      </c>
      <c r="AOG224" s="19" t="str">
        <f>IF(AOG220 = "", "", IFERROR(AOG220 / SUMIFS(Aux_Totales!$N:$N, Aux_Totales!$F:$F, $F224, Aux_Totales!$A:$A,#REF!), 0))</f>
        <v/>
      </c>
      <c r="AOH224" s="19" t="str">
        <f>IF(AOH220 = "", "", IFERROR(AOH220 / SUMIFS(Aux_Totales!$N:$N, Aux_Totales!$F:$F, $F224, Aux_Totales!$A:$A,#REF!), 0))</f>
        <v/>
      </c>
      <c r="AOI224" s="19" t="str">
        <f>IF(AOI220 = "", "", IFERROR(AOI220 / SUMIFS(Aux_Totales!$N:$N, Aux_Totales!$F:$F, $F224, Aux_Totales!$A:$A,#REF!), 0))</f>
        <v/>
      </c>
      <c r="AOJ224" s="19" t="str">
        <f>IF(AOJ220 = "", "", IFERROR(AOJ220 / SUMIFS(Aux_Totales!$N:$N, Aux_Totales!$F:$F, $F224, Aux_Totales!$A:$A,#REF!), 0))</f>
        <v/>
      </c>
      <c r="AOK224" s="19" t="str">
        <f>IF(AOK220 = "", "", IFERROR(AOK220 / SUMIFS(Aux_Totales!$N:$N, Aux_Totales!$F:$F, $F224, Aux_Totales!$A:$A,#REF!), 0))</f>
        <v/>
      </c>
      <c r="AOL224" s="19" t="str">
        <f>IF(AOL220 = "", "", IFERROR(AOL220 / SUMIFS(Aux_Totales!$N:$N, Aux_Totales!$F:$F, $F224, Aux_Totales!$A:$A,#REF!), 0))</f>
        <v/>
      </c>
      <c r="AOM224" s="19" t="str">
        <f>IF(AOM220 = "", "", IFERROR(AOM220 / SUMIFS(Aux_Totales!$N:$N, Aux_Totales!$F:$F, $F224, Aux_Totales!$A:$A,#REF!), 0))</f>
        <v/>
      </c>
      <c r="AON224" s="19" t="str">
        <f>IF(AON220 = "", "", IFERROR(AON220 / SUMIFS(Aux_Totales!$N:$N, Aux_Totales!$F:$F, $F224, Aux_Totales!$A:$A,#REF!), 0))</f>
        <v/>
      </c>
      <c r="AOO224" s="19" t="str">
        <f>IF(AOO220 = "", "", IFERROR(AOO220 / SUMIFS(Aux_Totales!$N:$N, Aux_Totales!$F:$F, $F224, Aux_Totales!$A:$A,#REF!), 0))</f>
        <v/>
      </c>
      <c r="AOP224" s="19" t="str">
        <f>IF(AOP220 = "", "", IFERROR(AOP220 / SUMIFS(Aux_Totales!$N:$N, Aux_Totales!$F:$F, $F224, Aux_Totales!$A:$A,#REF!), 0))</f>
        <v/>
      </c>
      <c r="AOQ224" s="19" t="str">
        <f>IF(AOQ220 = "", "", IFERROR(AOQ220 / SUMIFS(Aux_Totales!$N:$N, Aux_Totales!$F:$F, $F224, Aux_Totales!$A:$A,#REF!), 0))</f>
        <v/>
      </c>
      <c r="AOR224" s="19" t="str">
        <f>IF(AOR220 = "", "", IFERROR(AOR220 / SUMIFS(Aux_Totales!$N:$N, Aux_Totales!$F:$F, $F224, Aux_Totales!$A:$A,#REF!), 0))</f>
        <v/>
      </c>
      <c r="AOS224" s="19" t="str">
        <f>IF(AOS220 = "", "", IFERROR(AOS220 / SUMIFS(Aux_Totales!$N:$N, Aux_Totales!$F:$F, $F224, Aux_Totales!$A:$A,#REF!), 0))</f>
        <v/>
      </c>
      <c r="AOT224" s="19" t="str">
        <f>IF(AOT220 = "", "", IFERROR(AOT220 / SUMIFS(Aux_Totales!$N:$N, Aux_Totales!$F:$F, $F224, Aux_Totales!$A:$A,#REF!), 0))</f>
        <v/>
      </c>
      <c r="AOU224" s="19" t="str">
        <f>IF(AOU220 = "", "", IFERROR(AOU220 / SUMIFS(Aux_Totales!$N:$N, Aux_Totales!$F:$F, $F224, Aux_Totales!$A:$A,#REF!), 0))</f>
        <v/>
      </c>
      <c r="AOV224" s="19" t="str">
        <f>IF(AOV220 = "", "", IFERROR(AOV220 / SUMIFS(Aux_Totales!$N:$N, Aux_Totales!$F:$F, $F224, Aux_Totales!$A:$A,#REF!), 0))</f>
        <v/>
      </c>
      <c r="AOW224" s="19" t="str">
        <f>IF(AOW220 = "", "", IFERROR(AOW220 / SUMIFS(Aux_Totales!$N:$N, Aux_Totales!$F:$F, $F224, Aux_Totales!$A:$A,#REF!), 0))</f>
        <v/>
      </c>
      <c r="AOX224" s="19" t="str">
        <f>IF(AOX220 = "", "", IFERROR(AOX220 / SUMIFS(Aux_Totales!$N:$N, Aux_Totales!$F:$F, $F224, Aux_Totales!$A:$A,#REF!), 0))</f>
        <v/>
      </c>
      <c r="AOY224" s="19" t="str">
        <f>IF(AOY220 = "", "", IFERROR(AOY220 / SUMIFS(Aux_Totales!$N:$N, Aux_Totales!$F:$F, $F224, Aux_Totales!$A:$A,#REF!), 0))</f>
        <v/>
      </c>
      <c r="AOZ224" s="19" t="str">
        <f>IF(AOZ220 = "", "", IFERROR(AOZ220 / SUMIFS(Aux_Totales!$N:$N, Aux_Totales!$F:$F, $F224, Aux_Totales!$A:$A,#REF!), 0))</f>
        <v/>
      </c>
      <c r="APA224" s="19" t="str">
        <f>IF(APA220 = "", "", IFERROR(APA220 / SUMIFS(Aux_Totales!$N:$N, Aux_Totales!$F:$F, $F224, Aux_Totales!$A:$A,#REF!), 0))</f>
        <v/>
      </c>
      <c r="APB224" s="19" t="str">
        <f>IF(APB220 = "", "", IFERROR(APB220 / SUMIFS(Aux_Totales!$N:$N, Aux_Totales!$F:$F, $F224, Aux_Totales!$A:$A,#REF!), 0))</f>
        <v/>
      </c>
      <c r="APC224" s="19" t="str">
        <f>IF(APC220 = "", "", IFERROR(APC220 / SUMIFS(Aux_Totales!$N:$N, Aux_Totales!$F:$F, $F224, Aux_Totales!$A:$A,#REF!), 0))</f>
        <v/>
      </c>
      <c r="APD224" s="19" t="str">
        <f>IF(APD220 = "", "", IFERROR(APD220 / SUMIFS(Aux_Totales!$N:$N, Aux_Totales!$F:$F, $F224, Aux_Totales!$A:$A,#REF!), 0))</f>
        <v/>
      </c>
      <c r="APE224" s="19" t="str">
        <f>IF(APE220 = "", "", IFERROR(APE220 / SUMIFS(Aux_Totales!$N:$N, Aux_Totales!$F:$F, $F224, Aux_Totales!$A:$A,#REF!), 0))</f>
        <v/>
      </c>
      <c r="APF224" s="19" t="str">
        <f>IF(APF220 = "", "", IFERROR(APF220 / SUMIFS(Aux_Totales!$N:$N, Aux_Totales!$F:$F, $F224, Aux_Totales!$A:$A,#REF!), 0))</f>
        <v/>
      </c>
      <c r="APG224" s="19" t="str">
        <f>IF(APG220 = "", "", IFERROR(APG220 / SUMIFS(Aux_Totales!$N:$N, Aux_Totales!$F:$F, $F224, Aux_Totales!$A:$A,#REF!), 0))</f>
        <v/>
      </c>
      <c r="APH224" s="19" t="str">
        <f>IF(APH220 = "", "", IFERROR(APH220 / SUMIFS(Aux_Totales!$N:$N, Aux_Totales!$F:$F, $F224, Aux_Totales!$A:$A,#REF!), 0))</f>
        <v/>
      </c>
      <c r="API224" s="19" t="str">
        <f>IF(API220 = "", "", IFERROR(API220 / SUMIFS(Aux_Totales!$N:$N, Aux_Totales!$F:$F, $F224, Aux_Totales!$A:$A,#REF!), 0))</f>
        <v/>
      </c>
      <c r="APJ224" s="19" t="str">
        <f>IF(APJ220 = "", "", IFERROR(APJ220 / SUMIFS(Aux_Totales!$N:$N, Aux_Totales!$F:$F, $F224, Aux_Totales!$A:$A,#REF!), 0))</f>
        <v/>
      </c>
      <c r="APK224" s="19" t="str">
        <f>IF(APK220 = "", "", IFERROR(APK220 / SUMIFS(Aux_Totales!$N:$N, Aux_Totales!$F:$F, $F224, Aux_Totales!$A:$A,#REF!), 0))</f>
        <v/>
      </c>
      <c r="APL224" s="19" t="str">
        <f>IF(APL220 = "", "", IFERROR(APL220 / SUMIFS(Aux_Totales!$N:$N, Aux_Totales!$F:$F, $F224, Aux_Totales!$A:$A,#REF!), 0))</f>
        <v/>
      </c>
      <c r="APM224" s="19" t="str">
        <f>IF(APM220 = "", "", IFERROR(APM220 / SUMIFS(Aux_Totales!$N:$N, Aux_Totales!$F:$F, $F224, Aux_Totales!$A:$A,#REF!), 0))</f>
        <v/>
      </c>
      <c r="APN224" s="19" t="str">
        <f>IF(APN220 = "", "", IFERROR(APN220 / SUMIFS(Aux_Totales!$N:$N, Aux_Totales!$F:$F, $F224, Aux_Totales!$A:$A,#REF!), 0))</f>
        <v/>
      </c>
      <c r="APO224" s="19" t="str">
        <f>IF(APO220 = "", "", IFERROR(APO220 / SUMIFS(Aux_Totales!$N:$N, Aux_Totales!$F:$F, $F224, Aux_Totales!$A:$A,#REF!), 0))</f>
        <v/>
      </c>
      <c r="APP224" s="19" t="str">
        <f>IF(APP220 = "", "", IFERROR(APP220 / SUMIFS(Aux_Totales!$N:$N, Aux_Totales!$F:$F, $F224, Aux_Totales!$A:$A,#REF!), 0))</f>
        <v/>
      </c>
      <c r="APQ224" s="19" t="str">
        <f>IF(APQ220 = "", "", IFERROR(APQ220 / SUMIFS(Aux_Totales!$N:$N, Aux_Totales!$F:$F, $F224, Aux_Totales!$A:$A,#REF!), 0))</f>
        <v/>
      </c>
      <c r="APR224" s="19" t="str">
        <f>IF(APR220 = "", "", IFERROR(APR220 / SUMIFS(Aux_Totales!$N:$N, Aux_Totales!$F:$F, $F224, Aux_Totales!$A:$A,#REF!), 0))</f>
        <v/>
      </c>
      <c r="APS224" s="19" t="str">
        <f>IF(APS220 = "", "", IFERROR(APS220 / SUMIFS(Aux_Totales!$N:$N, Aux_Totales!$F:$F, $F224, Aux_Totales!$A:$A,#REF!), 0))</f>
        <v/>
      </c>
      <c r="APT224" s="19" t="str">
        <f>IF(APT220 = "", "", IFERROR(APT220 / SUMIFS(Aux_Totales!$N:$N, Aux_Totales!$F:$F, $F224, Aux_Totales!$A:$A,#REF!), 0))</f>
        <v/>
      </c>
      <c r="APU224" s="19" t="str">
        <f>IF(APU220 = "", "", IFERROR(APU220 / SUMIFS(Aux_Totales!$N:$N, Aux_Totales!$F:$F, $F224, Aux_Totales!$A:$A,#REF!), 0))</f>
        <v/>
      </c>
      <c r="APV224" s="19" t="str">
        <f>IF(APV220 = "", "", IFERROR(APV220 / SUMIFS(Aux_Totales!$N:$N, Aux_Totales!$F:$F, $F224, Aux_Totales!$A:$A,#REF!), 0))</f>
        <v/>
      </c>
      <c r="APW224" s="19" t="str">
        <f>IF(APW220 = "", "", IFERROR(APW220 / SUMIFS(Aux_Totales!$N:$N, Aux_Totales!$F:$F, $F224, Aux_Totales!$A:$A,#REF!), 0))</f>
        <v/>
      </c>
      <c r="APX224" s="19" t="str">
        <f>IF(APX220 = "", "", IFERROR(APX220 / SUMIFS(Aux_Totales!$N:$N, Aux_Totales!$F:$F, $F224, Aux_Totales!$A:$A,#REF!), 0))</f>
        <v/>
      </c>
      <c r="APY224" s="19" t="str">
        <f>IF(APY220 = "", "", IFERROR(APY220 / SUMIFS(Aux_Totales!$N:$N, Aux_Totales!$F:$F, $F224, Aux_Totales!$A:$A,#REF!), 0))</f>
        <v/>
      </c>
      <c r="APZ224" s="19" t="str">
        <f>IF(APZ220 = "", "", IFERROR(APZ220 / SUMIFS(Aux_Totales!$N:$N, Aux_Totales!$F:$F, $F224, Aux_Totales!$A:$A,#REF!), 0))</f>
        <v/>
      </c>
      <c r="AQA224" s="19" t="str">
        <f>IF(AQA220 = "", "", IFERROR(AQA220 / SUMIFS(Aux_Totales!$N:$N, Aux_Totales!$F:$F, $F224, Aux_Totales!$A:$A,#REF!), 0))</f>
        <v/>
      </c>
      <c r="AQB224" s="19" t="str">
        <f>IF(AQB220 = "", "", IFERROR(AQB220 / SUMIFS(Aux_Totales!$N:$N, Aux_Totales!$F:$F, $F224, Aux_Totales!$A:$A,#REF!), 0))</f>
        <v/>
      </c>
      <c r="AQC224" s="19" t="str">
        <f>IF(AQC220 = "", "", IFERROR(AQC220 / SUMIFS(Aux_Totales!$N:$N, Aux_Totales!$F:$F, $F224, Aux_Totales!$A:$A,#REF!), 0))</f>
        <v/>
      </c>
      <c r="AQD224" s="19" t="str">
        <f>IF(AQD220 = "", "", IFERROR(AQD220 / SUMIFS(Aux_Totales!$N:$N, Aux_Totales!$F:$F, $F224, Aux_Totales!$A:$A,#REF!), 0))</f>
        <v/>
      </c>
      <c r="AQE224" s="19" t="str">
        <f>IF(AQE220 = "", "", IFERROR(AQE220 / SUMIFS(Aux_Totales!$N:$N, Aux_Totales!$F:$F, $F224, Aux_Totales!$A:$A,#REF!), 0))</f>
        <v/>
      </c>
      <c r="AQF224" s="19" t="str">
        <f>IF(AQF220 = "", "", IFERROR(AQF220 / SUMIFS(Aux_Totales!$N:$N, Aux_Totales!$F:$F, $F224, Aux_Totales!$A:$A,#REF!), 0))</f>
        <v/>
      </c>
      <c r="AQG224" s="19" t="str">
        <f>IF(AQG220 = "", "", IFERROR(AQG220 / SUMIFS(Aux_Totales!$N:$N, Aux_Totales!$F:$F, $F224, Aux_Totales!$A:$A,#REF!), 0))</f>
        <v/>
      </c>
      <c r="AQH224" s="19" t="str">
        <f>IF(AQH220 = "", "", IFERROR(AQH220 / SUMIFS(Aux_Totales!$N:$N, Aux_Totales!$F:$F, $F224, Aux_Totales!$A:$A,#REF!), 0))</f>
        <v/>
      </c>
      <c r="AQI224" s="19" t="str">
        <f>IF(AQI220 = "", "", IFERROR(AQI220 / SUMIFS(Aux_Totales!$N:$N, Aux_Totales!$F:$F, $F224, Aux_Totales!$A:$A,#REF!), 0))</f>
        <v/>
      </c>
      <c r="AQJ224" s="19" t="str">
        <f>IF(AQJ220 = "", "", IFERROR(AQJ220 / SUMIFS(Aux_Totales!$N:$N, Aux_Totales!$F:$F, $F224, Aux_Totales!$A:$A,#REF!), 0))</f>
        <v/>
      </c>
      <c r="AQK224" s="19" t="str">
        <f>IF(AQK220 = "", "", IFERROR(AQK220 / SUMIFS(Aux_Totales!$N:$N, Aux_Totales!$F:$F, $F224, Aux_Totales!$A:$A,#REF!), 0))</f>
        <v/>
      </c>
      <c r="AQL224" s="19" t="str">
        <f>IF(AQL220 = "", "", IFERROR(AQL220 / SUMIFS(Aux_Totales!$N:$N, Aux_Totales!$F:$F, $F224, Aux_Totales!$A:$A,#REF!), 0))</f>
        <v/>
      </c>
      <c r="AQM224" s="19" t="str">
        <f>IF(AQM220 = "", "", IFERROR(AQM220 / SUMIFS(Aux_Totales!$N:$N, Aux_Totales!$F:$F, $F224, Aux_Totales!$A:$A,#REF!), 0))</f>
        <v/>
      </c>
      <c r="AQN224" s="19" t="str">
        <f>IF(AQN220 = "", "", IFERROR(AQN220 / SUMIFS(Aux_Totales!$N:$N, Aux_Totales!$F:$F, $F224, Aux_Totales!$A:$A,#REF!), 0))</f>
        <v/>
      </c>
      <c r="AQO224" s="19" t="str">
        <f>IF(AQO220 = "", "", IFERROR(AQO220 / SUMIFS(Aux_Totales!$N:$N, Aux_Totales!$F:$F, $F224, Aux_Totales!$A:$A,#REF!), 0))</f>
        <v/>
      </c>
      <c r="AQP224" s="19" t="str">
        <f>IF(AQP220 = "", "", IFERROR(AQP220 / SUMIFS(Aux_Totales!$N:$N, Aux_Totales!$F:$F, $F224, Aux_Totales!$A:$A,#REF!), 0))</f>
        <v/>
      </c>
      <c r="AQQ224" s="19" t="str">
        <f>IF(AQQ220 = "", "", IFERROR(AQQ220 / SUMIFS(Aux_Totales!$N:$N, Aux_Totales!$F:$F, $F224, Aux_Totales!$A:$A,#REF!), 0))</f>
        <v/>
      </c>
      <c r="AQR224" s="19" t="str">
        <f>IF(AQR220 = "", "", IFERROR(AQR220 / SUMIFS(Aux_Totales!$N:$N, Aux_Totales!$F:$F, $F224, Aux_Totales!$A:$A,#REF!), 0))</f>
        <v/>
      </c>
      <c r="AQS224" s="19" t="str">
        <f>IF(AQS220 = "", "", IFERROR(AQS220 / SUMIFS(Aux_Totales!$N:$N, Aux_Totales!$F:$F, $F224, Aux_Totales!$A:$A,#REF!), 0))</f>
        <v/>
      </c>
      <c r="AQT224" s="19" t="str">
        <f>IF(AQT220 = "", "", IFERROR(AQT220 / SUMIFS(Aux_Totales!$N:$N, Aux_Totales!$F:$F, $F224, Aux_Totales!$A:$A,#REF!), 0))</f>
        <v/>
      </c>
      <c r="AQU224" s="19" t="str">
        <f>IF(AQU220 = "", "", IFERROR(AQU220 / SUMIFS(Aux_Totales!$N:$N, Aux_Totales!$F:$F, $F224, Aux_Totales!$A:$A,#REF!), 0))</f>
        <v/>
      </c>
      <c r="AQV224" s="19" t="str">
        <f>IF(AQV220 = "", "", IFERROR(AQV220 / SUMIFS(Aux_Totales!$N:$N, Aux_Totales!$F:$F, $F224, Aux_Totales!$A:$A,#REF!), 0))</f>
        <v/>
      </c>
      <c r="AQW224" s="19" t="str">
        <f>IF(AQW220 = "", "", IFERROR(AQW220 / SUMIFS(Aux_Totales!$N:$N, Aux_Totales!$F:$F, $F224, Aux_Totales!$A:$A,#REF!), 0))</f>
        <v/>
      </c>
      <c r="AQX224" s="19" t="str">
        <f>IF(AQX220 = "", "", IFERROR(AQX220 / SUMIFS(Aux_Totales!$N:$N, Aux_Totales!$F:$F, $F224, Aux_Totales!$A:$A,#REF!), 0))</f>
        <v/>
      </c>
      <c r="AQY224" s="19" t="str">
        <f>IF(AQY220 = "", "", IFERROR(AQY220 / SUMIFS(Aux_Totales!$N:$N, Aux_Totales!$F:$F, $F224, Aux_Totales!$A:$A,#REF!), 0))</f>
        <v/>
      </c>
      <c r="AQZ224" s="19" t="str">
        <f>IF(AQZ220 = "", "", IFERROR(AQZ220 / SUMIFS(Aux_Totales!$N:$N, Aux_Totales!$F:$F, $F224, Aux_Totales!$A:$A,#REF!), 0))</f>
        <v/>
      </c>
      <c r="ARA224" s="19" t="str">
        <f>IF(ARA220 = "", "", IFERROR(ARA220 / SUMIFS(Aux_Totales!$N:$N, Aux_Totales!$F:$F, $F224, Aux_Totales!$A:$A,#REF!), 0))</f>
        <v/>
      </c>
      <c r="ARB224" s="19" t="str">
        <f>IF(ARB220 = "", "", IFERROR(ARB220 / SUMIFS(Aux_Totales!$N:$N, Aux_Totales!$F:$F, $F224, Aux_Totales!$A:$A,#REF!), 0))</f>
        <v/>
      </c>
      <c r="ARC224" s="19" t="str">
        <f>IF(ARC220 = "", "", IFERROR(ARC220 / SUMIFS(Aux_Totales!$N:$N, Aux_Totales!$F:$F, $F224, Aux_Totales!$A:$A,#REF!), 0))</f>
        <v/>
      </c>
      <c r="ARD224" s="19" t="str">
        <f>IF(ARD220 = "", "", IFERROR(ARD220 / SUMIFS(Aux_Totales!$N:$N, Aux_Totales!$F:$F, $F224, Aux_Totales!$A:$A,#REF!), 0))</f>
        <v/>
      </c>
      <c r="ARE224" s="19" t="str">
        <f>IF(ARE220 = "", "", IFERROR(ARE220 / SUMIFS(Aux_Totales!$N:$N, Aux_Totales!$F:$F, $F224, Aux_Totales!$A:$A,#REF!), 0))</f>
        <v/>
      </c>
      <c r="ARF224" s="19" t="str">
        <f>IF(ARF220 = "", "", IFERROR(ARF220 / SUMIFS(Aux_Totales!$N:$N, Aux_Totales!$F:$F, $F224, Aux_Totales!$A:$A,#REF!), 0))</f>
        <v/>
      </c>
      <c r="ARG224" s="19" t="str">
        <f>IF(ARG220 = "", "", IFERROR(ARG220 / SUMIFS(Aux_Totales!$N:$N, Aux_Totales!$F:$F, $F224, Aux_Totales!$A:$A,#REF!), 0))</f>
        <v/>
      </c>
      <c r="ARH224" s="19" t="str">
        <f>IF(ARH220 = "", "", IFERROR(ARH220 / SUMIFS(Aux_Totales!$N:$N, Aux_Totales!$F:$F, $F224, Aux_Totales!$A:$A,#REF!), 0))</f>
        <v/>
      </c>
      <c r="ARI224" s="19" t="str">
        <f>IF(ARI220 = "", "", IFERROR(ARI220 / SUMIFS(Aux_Totales!$N:$N, Aux_Totales!$F:$F, $F224, Aux_Totales!$A:$A,#REF!), 0))</f>
        <v/>
      </c>
      <c r="ARJ224" s="19" t="str">
        <f>IF(ARJ220 = "", "", IFERROR(ARJ220 / SUMIFS(Aux_Totales!$N:$N, Aux_Totales!$F:$F, $F224, Aux_Totales!$A:$A,#REF!), 0))</f>
        <v/>
      </c>
      <c r="ARK224" s="19" t="str">
        <f>IF(ARK220 = "", "", IFERROR(ARK220 / SUMIFS(Aux_Totales!$N:$N, Aux_Totales!$F:$F, $F224, Aux_Totales!$A:$A,#REF!), 0))</f>
        <v/>
      </c>
      <c r="ARL224" s="19" t="str">
        <f>IF(ARL220 = "", "", IFERROR(ARL220 / SUMIFS(Aux_Totales!$N:$N, Aux_Totales!$F:$F, $F224, Aux_Totales!$A:$A,#REF!), 0))</f>
        <v/>
      </c>
      <c r="ARM224" s="19" t="str">
        <f>IF(ARM220 = "", "", IFERROR(ARM220 / SUMIFS(Aux_Totales!$N:$N, Aux_Totales!$F:$F, $F224, Aux_Totales!$A:$A,#REF!), 0))</f>
        <v/>
      </c>
      <c r="ARN224" s="19" t="str">
        <f>IF(ARN220 = "", "", IFERROR(ARN220 / SUMIFS(Aux_Totales!$N:$N, Aux_Totales!$F:$F, $F224, Aux_Totales!$A:$A,#REF!), 0))</f>
        <v/>
      </c>
      <c r="ARO224" s="19" t="str">
        <f>IF(ARO220 = "", "", IFERROR(ARO220 / SUMIFS(Aux_Totales!$N:$N, Aux_Totales!$F:$F, $F224, Aux_Totales!$A:$A,#REF!), 0))</f>
        <v/>
      </c>
      <c r="ARP224" s="19" t="str">
        <f>IF(ARP220 = "", "", IFERROR(ARP220 / SUMIFS(Aux_Totales!$N:$N, Aux_Totales!$F:$F, $F224, Aux_Totales!$A:$A,#REF!), 0))</f>
        <v/>
      </c>
      <c r="ARQ224" s="19" t="str">
        <f>IF(ARQ220 = "", "", IFERROR(ARQ220 / SUMIFS(Aux_Totales!$N:$N, Aux_Totales!$F:$F, $F224, Aux_Totales!$A:$A,#REF!), 0))</f>
        <v/>
      </c>
      <c r="ARR224" s="19" t="str">
        <f>IF(ARR220 = "", "", IFERROR(ARR220 / SUMIFS(Aux_Totales!$N:$N, Aux_Totales!$F:$F, $F224, Aux_Totales!$A:$A,#REF!), 0))</f>
        <v/>
      </c>
      <c r="ARS224" s="19" t="str">
        <f>IF(ARS220 = "", "", IFERROR(ARS220 / SUMIFS(Aux_Totales!$N:$N, Aux_Totales!$F:$F, $F224, Aux_Totales!$A:$A,#REF!), 0))</f>
        <v/>
      </c>
      <c r="ART224" s="19" t="str">
        <f>IF(ART220 = "", "", IFERROR(ART220 / SUMIFS(Aux_Totales!$N:$N, Aux_Totales!$F:$F, $F224, Aux_Totales!$A:$A,#REF!), 0))</f>
        <v/>
      </c>
      <c r="ARU224" s="19" t="str">
        <f>IF(ARU220 = "", "", IFERROR(ARU220 / SUMIFS(Aux_Totales!$N:$N, Aux_Totales!$F:$F, $F224, Aux_Totales!$A:$A,#REF!), 0))</f>
        <v/>
      </c>
      <c r="ARV224" s="19" t="str">
        <f>IF(ARV220 = "", "", IFERROR(ARV220 / SUMIFS(Aux_Totales!$N:$N, Aux_Totales!$F:$F, $F224, Aux_Totales!$A:$A,#REF!), 0))</f>
        <v/>
      </c>
      <c r="ARW224" s="19" t="str">
        <f>IF(ARW220 = "", "", IFERROR(ARW220 / SUMIFS(Aux_Totales!$N:$N, Aux_Totales!$F:$F, $F224, Aux_Totales!$A:$A,#REF!), 0))</f>
        <v/>
      </c>
      <c r="ARX224" s="19" t="str">
        <f>IF(ARX220 = "", "", IFERROR(ARX220 / SUMIFS(Aux_Totales!$N:$N, Aux_Totales!$F:$F, $F224, Aux_Totales!$A:$A,#REF!), 0))</f>
        <v/>
      </c>
      <c r="ARY224" s="19" t="str">
        <f>IF(ARY220 = "", "", IFERROR(ARY220 / SUMIFS(Aux_Totales!$N:$N, Aux_Totales!$F:$F, $F224, Aux_Totales!$A:$A,#REF!), 0))</f>
        <v/>
      </c>
      <c r="ARZ224" s="19" t="str">
        <f>IF(ARZ220 = "", "", IFERROR(ARZ220 / SUMIFS(Aux_Totales!$N:$N, Aux_Totales!$F:$F, $F224, Aux_Totales!$A:$A,#REF!), 0))</f>
        <v/>
      </c>
      <c r="ASA224" s="19" t="str">
        <f>IF(ASA220 = "", "", IFERROR(ASA220 / SUMIFS(Aux_Totales!$N:$N, Aux_Totales!$F:$F, $F224, Aux_Totales!$A:$A,#REF!), 0))</f>
        <v/>
      </c>
      <c r="ASB224" s="19" t="str">
        <f>IF(ASB220 = "", "", IFERROR(ASB220 / SUMIFS(Aux_Totales!$N:$N, Aux_Totales!$F:$F, $F224, Aux_Totales!$A:$A,#REF!), 0))</f>
        <v/>
      </c>
      <c r="ASC224" s="19" t="str">
        <f>IF(ASC220 = "", "", IFERROR(ASC220 / SUMIFS(Aux_Totales!$N:$N, Aux_Totales!$F:$F, $F224, Aux_Totales!$A:$A,#REF!), 0))</f>
        <v/>
      </c>
      <c r="ASD224" s="19" t="str">
        <f>IF(ASD220 = "", "", IFERROR(ASD220 / SUMIFS(Aux_Totales!$N:$N, Aux_Totales!$F:$F, $F224, Aux_Totales!$A:$A,#REF!), 0))</f>
        <v/>
      </c>
      <c r="ASE224" s="19" t="str">
        <f>IF(ASE220 = "", "", IFERROR(ASE220 / SUMIFS(Aux_Totales!$N:$N, Aux_Totales!$F:$F, $F224, Aux_Totales!$A:$A,#REF!), 0))</f>
        <v/>
      </c>
      <c r="ASF224" s="19" t="str">
        <f>IF(ASF220 = "", "", IFERROR(ASF220 / SUMIFS(Aux_Totales!$N:$N, Aux_Totales!$F:$F, $F224, Aux_Totales!$A:$A,#REF!), 0))</f>
        <v/>
      </c>
      <c r="ASG224" s="19" t="str">
        <f>IF(ASG220 = "", "", IFERROR(ASG220 / SUMIFS(Aux_Totales!$N:$N, Aux_Totales!$F:$F, $F224, Aux_Totales!$A:$A,#REF!), 0))</f>
        <v/>
      </c>
      <c r="ASH224" s="19" t="str">
        <f>IF(ASH220 = "", "", IFERROR(ASH220 / SUMIFS(Aux_Totales!$N:$N, Aux_Totales!$F:$F, $F224, Aux_Totales!$A:$A,#REF!), 0))</f>
        <v/>
      </c>
      <c r="ASI224" s="19" t="str">
        <f>IF(ASI220 = "", "", IFERROR(ASI220 / SUMIFS(Aux_Totales!$N:$N, Aux_Totales!$F:$F, $F224, Aux_Totales!$A:$A,#REF!), 0))</f>
        <v/>
      </c>
      <c r="ASJ224" s="19" t="str">
        <f>IF(ASJ220 = "", "", IFERROR(ASJ220 / SUMIFS(Aux_Totales!$N:$N, Aux_Totales!$F:$F, $F224, Aux_Totales!$A:$A,#REF!), 0))</f>
        <v/>
      </c>
      <c r="ASK224" s="19" t="str">
        <f>IF(ASK220 = "", "", IFERROR(ASK220 / SUMIFS(Aux_Totales!$N:$N, Aux_Totales!$F:$F, $F224, Aux_Totales!$A:$A,#REF!), 0))</f>
        <v/>
      </c>
      <c r="ASL224" s="19" t="str">
        <f>IF(ASL220 = "", "", IFERROR(ASL220 / SUMIFS(Aux_Totales!$N:$N, Aux_Totales!$F:$F, $F224, Aux_Totales!$A:$A,#REF!), 0))</f>
        <v/>
      </c>
      <c r="ASM224" s="19" t="str">
        <f>IF(ASM220 = "", "", IFERROR(ASM220 / SUMIFS(Aux_Totales!$N:$N, Aux_Totales!$F:$F, $F224, Aux_Totales!$A:$A,#REF!), 0))</f>
        <v/>
      </c>
      <c r="ASN224" s="19" t="str">
        <f>IF(ASN220 = "", "", IFERROR(ASN220 / SUMIFS(Aux_Totales!$N:$N, Aux_Totales!$F:$F, $F224, Aux_Totales!$A:$A,#REF!), 0))</f>
        <v/>
      </c>
      <c r="ASO224" s="19" t="str">
        <f>IF(ASO220 = "", "", IFERROR(ASO220 / SUMIFS(Aux_Totales!$N:$N, Aux_Totales!$F:$F, $F224, Aux_Totales!$A:$A,#REF!), 0))</f>
        <v/>
      </c>
      <c r="ASP224" s="19" t="str">
        <f>IF(ASP220 = "", "", IFERROR(ASP220 / SUMIFS(Aux_Totales!$N:$N, Aux_Totales!$F:$F, $F224, Aux_Totales!$A:$A,#REF!), 0))</f>
        <v/>
      </c>
      <c r="ASQ224" s="19" t="str">
        <f>IF(ASQ220 = "", "", IFERROR(ASQ220 / SUMIFS(Aux_Totales!$N:$N, Aux_Totales!$F:$F, $F224, Aux_Totales!$A:$A,#REF!), 0))</f>
        <v/>
      </c>
      <c r="ASR224" s="19" t="str">
        <f>IF(ASR220 = "", "", IFERROR(ASR220 / SUMIFS(Aux_Totales!$N:$N, Aux_Totales!$F:$F, $F224, Aux_Totales!$A:$A,#REF!), 0))</f>
        <v/>
      </c>
      <c r="ASS224" s="19" t="str">
        <f>IF(ASS220 = "", "", IFERROR(ASS220 / SUMIFS(Aux_Totales!$N:$N, Aux_Totales!$F:$F, $F224, Aux_Totales!$A:$A,#REF!), 0))</f>
        <v/>
      </c>
      <c r="AST224" s="19" t="str">
        <f>IF(AST220 = "", "", IFERROR(AST220 / SUMIFS(Aux_Totales!$N:$N, Aux_Totales!$F:$F, $F224, Aux_Totales!$A:$A,#REF!), 0))</f>
        <v/>
      </c>
      <c r="ASU224" s="19" t="str">
        <f>IF(ASU220 = "", "", IFERROR(ASU220 / SUMIFS(Aux_Totales!$N:$N, Aux_Totales!$F:$F, $F224, Aux_Totales!$A:$A,#REF!), 0))</f>
        <v/>
      </c>
      <c r="ASV224" s="19" t="str">
        <f>IF(ASV220 = "", "", IFERROR(ASV220 / SUMIFS(Aux_Totales!$N:$N, Aux_Totales!$F:$F, $F224, Aux_Totales!$A:$A,#REF!), 0))</f>
        <v/>
      </c>
      <c r="ASW224" s="19" t="str">
        <f>IF(ASW220 = "", "", IFERROR(ASW220 / SUMIFS(Aux_Totales!$N:$N, Aux_Totales!$F:$F, $F224, Aux_Totales!$A:$A,#REF!), 0))</f>
        <v/>
      </c>
      <c r="ASX224" s="19" t="str">
        <f>IF(ASX220 = "", "", IFERROR(ASX220 / SUMIFS(Aux_Totales!$N:$N, Aux_Totales!$F:$F, $F224, Aux_Totales!$A:$A,#REF!), 0))</f>
        <v/>
      </c>
      <c r="ASY224" s="19" t="str">
        <f>IF(ASY220 = "", "", IFERROR(ASY220 / SUMIFS(Aux_Totales!$N:$N, Aux_Totales!$F:$F, $F224, Aux_Totales!$A:$A,#REF!), 0))</f>
        <v/>
      </c>
      <c r="ASZ224" s="19" t="str">
        <f>IF(ASZ220 = "", "", IFERROR(ASZ220 / SUMIFS(Aux_Totales!$N:$N, Aux_Totales!$F:$F, $F224, Aux_Totales!$A:$A,#REF!), 0))</f>
        <v/>
      </c>
      <c r="ATA224" s="19" t="str">
        <f>IF(ATA220 = "", "", IFERROR(ATA220 / SUMIFS(Aux_Totales!$N:$N, Aux_Totales!$F:$F, $F224, Aux_Totales!$A:$A,#REF!), 0))</f>
        <v/>
      </c>
      <c r="ATB224" s="19" t="str">
        <f>IF(ATB220 = "", "", IFERROR(ATB220 / SUMIFS(Aux_Totales!$N:$N, Aux_Totales!$F:$F, $F224, Aux_Totales!$A:$A,#REF!), 0))</f>
        <v/>
      </c>
      <c r="ATC224" s="19" t="str">
        <f>IF(ATC220 = "", "", IFERROR(ATC220 / SUMIFS(Aux_Totales!$N:$N, Aux_Totales!$F:$F, $F224, Aux_Totales!$A:$A,#REF!), 0))</f>
        <v/>
      </c>
      <c r="ATD224" s="19" t="str">
        <f>IF(ATD220 = "", "", IFERROR(ATD220 / SUMIFS(Aux_Totales!$N:$N, Aux_Totales!$F:$F, $F224, Aux_Totales!$A:$A,#REF!), 0))</f>
        <v/>
      </c>
      <c r="ATE224" s="19" t="str">
        <f>IF(ATE220 = "", "", IFERROR(ATE220 / SUMIFS(Aux_Totales!$N:$N, Aux_Totales!$F:$F, $F224, Aux_Totales!$A:$A,#REF!), 0))</f>
        <v/>
      </c>
      <c r="ATF224" s="19" t="str">
        <f>IF(ATF220 = "", "", IFERROR(ATF220 / SUMIFS(Aux_Totales!$N:$N, Aux_Totales!$F:$F, $F224, Aux_Totales!$A:$A,#REF!), 0))</f>
        <v/>
      </c>
      <c r="ATG224" s="19" t="str">
        <f>IF(ATG220 = "", "", IFERROR(ATG220 / SUMIFS(Aux_Totales!$N:$N, Aux_Totales!$F:$F, $F224, Aux_Totales!$A:$A,#REF!), 0))</f>
        <v/>
      </c>
      <c r="ATH224" s="19" t="str">
        <f>IF(ATH220 = "", "", IFERROR(ATH220 / SUMIFS(Aux_Totales!$N:$N, Aux_Totales!$F:$F, $F224, Aux_Totales!$A:$A,#REF!), 0))</f>
        <v/>
      </c>
      <c r="ATI224" s="19" t="str">
        <f>IF(ATI220 = "", "", IFERROR(ATI220 / SUMIFS(Aux_Totales!$N:$N, Aux_Totales!$F:$F, $F224, Aux_Totales!$A:$A,#REF!), 0))</f>
        <v/>
      </c>
      <c r="ATJ224" s="19" t="str">
        <f>IF(ATJ220 = "", "", IFERROR(ATJ220 / SUMIFS(Aux_Totales!$N:$N, Aux_Totales!$F:$F, $F224, Aux_Totales!$A:$A,#REF!), 0))</f>
        <v/>
      </c>
      <c r="ATK224" s="19" t="str">
        <f>IF(ATK220 = "", "", IFERROR(ATK220 / SUMIFS(Aux_Totales!$N:$N, Aux_Totales!$F:$F, $F224, Aux_Totales!$A:$A,#REF!), 0))</f>
        <v/>
      </c>
      <c r="ATL224" s="19" t="str">
        <f>IF(ATL220 = "", "", IFERROR(ATL220 / SUMIFS(Aux_Totales!$N:$N, Aux_Totales!$F:$F, $F224, Aux_Totales!$A:$A,#REF!), 0))</f>
        <v/>
      </c>
      <c r="ATM224" s="19" t="str">
        <f>IF(ATM220 = "", "", IFERROR(ATM220 / SUMIFS(Aux_Totales!$N:$N, Aux_Totales!$F:$F, $F224, Aux_Totales!$A:$A,#REF!), 0))</f>
        <v/>
      </c>
      <c r="ATN224" s="19" t="str">
        <f>IF(ATN220 = "", "", IFERROR(ATN220 / SUMIFS(Aux_Totales!$N:$N, Aux_Totales!$F:$F, $F224, Aux_Totales!$A:$A,#REF!), 0))</f>
        <v/>
      </c>
      <c r="ATO224" s="19" t="str">
        <f>IF(ATO220 = "", "", IFERROR(ATO220 / SUMIFS(Aux_Totales!$N:$N, Aux_Totales!$F:$F, $F224, Aux_Totales!$A:$A,#REF!), 0))</f>
        <v/>
      </c>
      <c r="ATP224" s="19" t="str">
        <f>IF(ATP220 = "", "", IFERROR(ATP220 / SUMIFS(Aux_Totales!$N:$N, Aux_Totales!$F:$F, $F224, Aux_Totales!$A:$A,#REF!), 0))</f>
        <v/>
      </c>
      <c r="ATQ224" s="19" t="str">
        <f>IF(ATQ220 = "", "", IFERROR(ATQ220 / SUMIFS(Aux_Totales!$N:$N, Aux_Totales!$F:$F, $F224, Aux_Totales!$A:$A,#REF!), 0))</f>
        <v/>
      </c>
      <c r="ATR224" s="19" t="str">
        <f>IF(ATR220 = "", "", IFERROR(ATR220 / SUMIFS(Aux_Totales!$N:$N, Aux_Totales!$F:$F, $F224, Aux_Totales!$A:$A,#REF!), 0))</f>
        <v/>
      </c>
      <c r="ATS224" s="19" t="str">
        <f>IF(ATS220 = "", "", IFERROR(ATS220 / SUMIFS(Aux_Totales!$N:$N, Aux_Totales!$F:$F, $F224, Aux_Totales!$A:$A,#REF!), 0))</f>
        <v/>
      </c>
      <c r="ATT224" s="19" t="str">
        <f>IF(ATT220 = "", "", IFERROR(ATT220 / SUMIFS(Aux_Totales!$N:$N, Aux_Totales!$F:$F, $F224, Aux_Totales!$A:$A,#REF!), 0))</f>
        <v/>
      </c>
      <c r="ATU224" s="19" t="str">
        <f>IF(ATU220 = "", "", IFERROR(ATU220 / SUMIFS(Aux_Totales!$N:$N, Aux_Totales!$F:$F, $F224, Aux_Totales!$A:$A,#REF!), 0))</f>
        <v/>
      </c>
      <c r="ATV224" s="19" t="str">
        <f>IF(ATV220 = "", "", IFERROR(ATV220 / SUMIFS(Aux_Totales!$N:$N, Aux_Totales!$F:$F, $F224, Aux_Totales!$A:$A,#REF!), 0))</f>
        <v/>
      </c>
      <c r="ATW224" s="19" t="str">
        <f>IF(ATW220 = "", "", IFERROR(ATW220 / SUMIFS(Aux_Totales!$N:$N, Aux_Totales!$F:$F, $F224, Aux_Totales!$A:$A,#REF!), 0))</f>
        <v/>
      </c>
      <c r="ATX224" s="19" t="str">
        <f>IF(ATX220 = "", "", IFERROR(ATX220 / SUMIFS(Aux_Totales!$N:$N, Aux_Totales!$F:$F, $F224, Aux_Totales!$A:$A,#REF!), 0))</f>
        <v/>
      </c>
      <c r="ATY224" s="19" t="str">
        <f>IF(ATY220 = "", "", IFERROR(ATY220 / SUMIFS(Aux_Totales!$N:$N, Aux_Totales!$F:$F, $F224, Aux_Totales!$A:$A,#REF!), 0))</f>
        <v/>
      </c>
      <c r="ATZ224" s="19" t="str">
        <f>IF(ATZ220 = "", "", IFERROR(ATZ220 / SUMIFS(Aux_Totales!$N:$N, Aux_Totales!$F:$F, $F224, Aux_Totales!$A:$A,#REF!), 0))</f>
        <v/>
      </c>
      <c r="AUA224" s="19" t="str">
        <f>IF(AUA220 = "", "", IFERROR(AUA220 / SUMIFS(Aux_Totales!$N:$N, Aux_Totales!$F:$F, $F224, Aux_Totales!$A:$A,#REF!), 0))</f>
        <v/>
      </c>
      <c r="AUB224" s="19" t="str">
        <f>IF(AUB220 = "", "", IFERROR(AUB220 / SUMIFS(Aux_Totales!$N:$N, Aux_Totales!$F:$F, $F224, Aux_Totales!$A:$A,#REF!), 0))</f>
        <v/>
      </c>
      <c r="AUC224" s="19" t="str">
        <f>IF(AUC220 = "", "", IFERROR(AUC220 / SUMIFS(Aux_Totales!$N:$N, Aux_Totales!$F:$F, $F224, Aux_Totales!$A:$A,#REF!), 0))</f>
        <v/>
      </c>
      <c r="AUD224" s="19" t="str">
        <f>IF(AUD220 = "", "", IFERROR(AUD220 / SUMIFS(Aux_Totales!$N:$N, Aux_Totales!$F:$F, $F224, Aux_Totales!$A:$A,#REF!), 0))</f>
        <v/>
      </c>
      <c r="AUE224" s="19" t="str">
        <f>IF(AUE220 = "", "", IFERROR(AUE220 / SUMIFS(Aux_Totales!$N:$N, Aux_Totales!$F:$F, $F224, Aux_Totales!$A:$A,#REF!), 0))</f>
        <v/>
      </c>
      <c r="AUF224" s="19" t="str">
        <f>IF(AUF220 = "", "", IFERROR(AUF220 / SUMIFS(Aux_Totales!$N:$N, Aux_Totales!$F:$F, $F224, Aux_Totales!$A:$A,#REF!), 0))</f>
        <v/>
      </c>
      <c r="AUG224" s="19" t="str">
        <f>IF(AUG220 = "", "", IFERROR(AUG220 / SUMIFS(Aux_Totales!$N:$N, Aux_Totales!$F:$F, $F224, Aux_Totales!$A:$A,#REF!), 0))</f>
        <v/>
      </c>
      <c r="AUH224" s="19" t="str">
        <f>IF(AUH220 = "", "", IFERROR(AUH220 / SUMIFS(Aux_Totales!$N:$N, Aux_Totales!$F:$F, $F224, Aux_Totales!$A:$A,#REF!), 0))</f>
        <v/>
      </c>
      <c r="AUI224" s="19" t="str">
        <f>IF(AUI220 = "", "", IFERROR(AUI220 / SUMIFS(Aux_Totales!$N:$N, Aux_Totales!$F:$F, $F224, Aux_Totales!$A:$A,#REF!), 0))</f>
        <v/>
      </c>
      <c r="AUJ224" s="19" t="str">
        <f>IF(AUJ220 = "", "", IFERROR(AUJ220 / SUMIFS(Aux_Totales!$N:$N, Aux_Totales!$F:$F, $F224, Aux_Totales!$A:$A,#REF!), 0))</f>
        <v/>
      </c>
      <c r="AUK224" s="19" t="str">
        <f>IF(AUK220 = "", "", IFERROR(AUK220 / SUMIFS(Aux_Totales!$N:$N, Aux_Totales!$F:$F, $F224, Aux_Totales!$A:$A,#REF!), 0))</f>
        <v/>
      </c>
      <c r="AUL224" s="19" t="str">
        <f>IF(AUL220 = "", "", IFERROR(AUL220 / SUMIFS(Aux_Totales!$N:$N, Aux_Totales!$F:$F, $F224, Aux_Totales!$A:$A,#REF!), 0))</f>
        <v/>
      </c>
      <c r="AUM224" s="19" t="str">
        <f>IF(AUM220 = "", "", IFERROR(AUM220 / SUMIFS(Aux_Totales!$N:$N, Aux_Totales!$F:$F, $F224, Aux_Totales!$A:$A,#REF!), 0))</f>
        <v/>
      </c>
      <c r="AUN224" s="19" t="str">
        <f>IF(AUN220 = "", "", IFERROR(AUN220 / SUMIFS(Aux_Totales!$N:$N, Aux_Totales!$F:$F, $F224, Aux_Totales!$A:$A,#REF!), 0))</f>
        <v/>
      </c>
      <c r="AUO224" s="19" t="str">
        <f>IF(AUO220 = "", "", IFERROR(AUO220 / SUMIFS(Aux_Totales!$N:$N, Aux_Totales!$F:$F, $F224, Aux_Totales!$A:$A,#REF!), 0))</f>
        <v/>
      </c>
      <c r="AUP224" s="19" t="str">
        <f>IF(AUP220 = "", "", IFERROR(AUP220 / SUMIFS(Aux_Totales!$N:$N, Aux_Totales!$F:$F, $F224, Aux_Totales!$A:$A,#REF!), 0))</f>
        <v/>
      </c>
      <c r="AUQ224" s="19" t="str">
        <f>IF(AUQ220 = "", "", IFERROR(AUQ220 / SUMIFS(Aux_Totales!$N:$N, Aux_Totales!$F:$F, $F224, Aux_Totales!$A:$A,#REF!), 0))</f>
        <v/>
      </c>
      <c r="AUR224" s="19" t="str">
        <f>IF(AUR220 = "", "", IFERROR(AUR220 / SUMIFS(Aux_Totales!$N:$N, Aux_Totales!$F:$F, $F224, Aux_Totales!$A:$A,#REF!), 0))</f>
        <v/>
      </c>
      <c r="AUS224" s="19" t="str">
        <f>IF(AUS220 = "", "", IFERROR(AUS220 / SUMIFS(Aux_Totales!$N:$N, Aux_Totales!$F:$F, $F224, Aux_Totales!$A:$A,#REF!), 0))</f>
        <v/>
      </c>
      <c r="AUT224" s="19" t="str">
        <f>IF(AUT220 = "", "", IFERROR(AUT220 / SUMIFS(Aux_Totales!$N:$N, Aux_Totales!$F:$F, $F224, Aux_Totales!$A:$A,#REF!), 0))</f>
        <v/>
      </c>
      <c r="AUU224" s="19" t="str">
        <f>IF(AUU220 = "", "", IFERROR(AUU220 / SUMIFS(Aux_Totales!$N:$N, Aux_Totales!$F:$F, $F224, Aux_Totales!$A:$A,#REF!), 0))</f>
        <v/>
      </c>
      <c r="AUV224" s="19" t="str">
        <f>IF(AUV220 = "", "", IFERROR(AUV220 / SUMIFS(Aux_Totales!$N:$N, Aux_Totales!$F:$F, $F224, Aux_Totales!$A:$A,#REF!), 0))</f>
        <v/>
      </c>
      <c r="AUW224" s="19" t="str">
        <f>IF(AUW220 = "", "", IFERROR(AUW220 / SUMIFS(Aux_Totales!$N:$N, Aux_Totales!$F:$F, $F224, Aux_Totales!$A:$A,#REF!), 0))</f>
        <v/>
      </c>
      <c r="AUX224" s="19" t="str">
        <f>IF(AUX220 = "", "", IFERROR(AUX220 / SUMIFS(Aux_Totales!$N:$N, Aux_Totales!$F:$F, $F224, Aux_Totales!$A:$A,#REF!), 0))</f>
        <v/>
      </c>
      <c r="AUY224" s="19" t="str">
        <f>IF(AUY220 = "", "", IFERROR(AUY220 / SUMIFS(Aux_Totales!$N:$N, Aux_Totales!$F:$F, $F224, Aux_Totales!$A:$A,#REF!), 0))</f>
        <v/>
      </c>
      <c r="AUZ224" s="19" t="str">
        <f>IF(AUZ220 = "", "", IFERROR(AUZ220 / SUMIFS(Aux_Totales!$N:$N, Aux_Totales!$F:$F, $F224, Aux_Totales!$A:$A,#REF!), 0))</f>
        <v/>
      </c>
      <c r="AVA224" s="19" t="str">
        <f>IF(AVA220 = "", "", IFERROR(AVA220 / SUMIFS(Aux_Totales!$N:$N, Aux_Totales!$F:$F, $F224, Aux_Totales!$A:$A,#REF!), 0))</f>
        <v/>
      </c>
      <c r="AVB224" s="19" t="str">
        <f>IF(AVB220 = "", "", IFERROR(AVB220 / SUMIFS(Aux_Totales!$N:$N, Aux_Totales!$F:$F, $F224, Aux_Totales!$A:$A,#REF!), 0))</f>
        <v/>
      </c>
      <c r="AVC224" s="19" t="str">
        <f>IF(AVC220 = "", "", IFERROR(AVC220 / SUMIFS(Aux_Totales!$N:$N, Aux_Totales!$F:$F, $F224, Aux_Totales!$A:$A,#REF!), 0))</f>
        <v/>
      </c>
      <c r="AVD224" s="19" t="str">
        <f>IF(AVD220 = "", "", IFERROR(AVD220 / SUMIFS(Aux_Totales!$N:$N, Aux_Totales!$F:$F, $F224, Aux_Totales!$A:$A,#REF!), 0))</f>
        <v/>
      </c>
      <c r="AVE224" s="19" t="str">
        <f>IF(AVE220 = "", "", IFERROR(AVE220 / SUMIFS(Aux_Totales!$N:$N, Aux_Totales!$F:$F, $F224, Aux_Totales!$A:$A,#REF!), 0))</f>
        <v/>
      </c>
      <c r="AVF224" s="19" t="str">
        <f>IF(AVF220 = "", "", IFERROR(AVF220 / SUMIFS(Aux_Totales!$N:$N, Aux_Totales!$F:$F, $F224, Aux_Totales!$A:$A,#REF!), 0))</f>
        <v/>
      </c>
      <c r="AVG224" s="19" t="str">
        <f>IF(AVG220 = "", "", IFERROR(AVG220 / SUMIFS(Aux_Totales!$N:$N, Aux_Totales!$F:$F, $F224, Aux_Totales!$A:$A,#REF!), 0))</f>
        <v/>
      </c>
      <c r="AVH224" s="19" t="str">
        <f>IF(AVH220 = "", "", IFERROR(AVH220 / SUMIFS(Aux_Totales!$N:$N, Aux_Totales!$F:$F, $F224, Aux_Totales!$A:$A,#REF!), 0))</f>
        <v/>
      </c>
      <c r="AVI224" s="19" t="str">
        <f>IF(AVI220 = "", "", IFERROR(AVI220 / SUMIFS(Aux_Totales!$N:$N, Aux_Totales!$F:$F, $F224, Aux_Totales!$A:$A,#REF!), 0))</f>
        <v/>
      </c>
      <c r="AVJ224" s="19" t="str">
        <f>IF(AVJ220 = "", "", IFERROR(AVJ220 / SUMIFS(Aux_Totales!$N:$N, Aux_Totales!$F:$F, $F224, Aux_Totales!$A:$A,#REF!), 0))</f>
        <v/>
      </c>
      <c r="AVK224" s="19" t="str">
        <f>IF(AVK220 = "", "", IFERROR(AVK220 / SUMIFS(Aux_Totales!$N:$N, Aux_Totales!$F:$F, $F224, Aux_Totales!$A:$A,#REF!), 0))</f>
        <v/>
      </c>
      <c r="AVL224" s="19" t="str">
        <f>IF(AVL220 = "", "", IFERROR(AVL220 / SUMIFS(Aux_Totales!$N:$N, Aux_Totales!$F:$F, $F224, Aux_Totales!$A:$A,#REF!), 0))</f>
        <v/>
      </c>
      <c r="AVM224" s="19" t="str">
        <f>IF(AVM220 = "", "", IFERROR(AVM220 / SUMIFS(Aux_Totales!$N:$N, Aux_Totales!$F:$F, $F224, Aux_Totales!$A:$A,#REF!), 0))</f>
        <v/>
      </c>
      <c r="AVN224" s="19" t="str">
        <f>IF(AVN220 = "", "", IFERROR(AVN220 / SUMIFS(Aux_Totales!$N:$N, Aux_Totales!$F:$F, $F224, Aux_Totales!$A:$A,#REF!), 0))</f>
        <v/>
      </c>
      <c r="AVO224" s="19" t="str">
        <f>IF(AVO220 = "", "", IFERROR(AVO220 / SUMIFS(Aux_Totales!$N:$N, Aux_Totales!$F:$F, $F224, Aux_Totales!$A:$A,#REF!), 0))</f>
        <v/>
      </c>
      <c r="AVP224" s="19" t="str">
        <f>IF(AVP220 = "", "", IFERROR(AVP220 / SUMIFS(Aux_Totales!$N:$N, Aux_Totales!$F:$F, $F224, Aux_Totales!$A:$A,#REF!), 0))</f>
        <v/>
      </c>
      <c r="AVQ224" s="19" t="str">
        <f>IF(AVQ220 = "", "", IFERROR(AVQ220 / SUMIFS(Aux_Totales!$N:$N, Aux_Totales!$F:$F, $F224, Aux_Totales!$A:$A,#REF!), 0))</f>
        <v/>
      </c>
      <c r="AVR224" s="19" t="str">
        <f>IF(AVR220 = "", "", IFERROR(AVR220 / SUMIFS(Aux_Totales!$N:$N, Aux_Totales!$F:$F, $F224, Aux_Totales!$A:$A,#REF!), 0))</f>
        <v/>
      </c>
      <c r="AVS224" s="19" t="str">
        <f>IF(AVS220 = "", "", IFERROR(AVS220 / SUMIFS(Aux_Totales!$N:$N, Aux_Totales!$F:$F, $F224, Aux_Totales!$A:$A,#REF!), 0))</f>
        <v/>
      </c>
      <c r="AVT224" s="19" t="str">
        <f>IF(AVT220 = "", "", IFERROR(AVT220 / SUMIFS(Aux_Totales!$N:$N, Aux_Totales!$F:$F, $F224, Aux_Totales!$A:$A,#REF!), 0))</f>
        <v/>
      </c>
      <c r="AVU224" s="19" t="str">
        <f>IF(AVU220 = "", "", IFERROR(AVU220 / SUMIFS(Aux_Totales!$N:$N, Aux_Totales!$F:$F, $F224, Aux_Totales!$A:$A,#REF!), 0))</f>
        <v/>
      </c>
      <c r="AVV224" s="19" t="str">
        <f>IF(AVV220 = "", "", IFERROR(AVV220 / SUMIFS(Aux_Totales!$N:$N, Aux_Totales!$F:$F, $F224, Aux_Totales!$A:$A,#REF!), 0))</f>
        <v/>
      </c>
      <c r="AVW224" s="19" t="str">
        <f>IF(AVW220 = "", "", IFERROR(AVW220 / SUMIFS(Aux_Totales!$N:$N, Aux_Totales!$F:$F, $F224, Aux_Totales!$A:$A,#REF!), 0))</f>
        <v/>
      </c>
      <c r="AVX224" s="19" t="str">
        <f>IF(AVX220 = "", "", IFERROR(AVX220 / SUMIFS(Aux_Totales!$N:$N, Aux_Totales!$F:$F, $F224, Aux_Totales!$A:$A,#REF!), 0))</f>
        <v/>
      </c>
      <c r="AVY224" s="19" t="str">
        <f>IF(AVY220 = "", "", IFERROR(AVY220 / SUMIFS(Aux_Totales!$N:$N, Aux_Totales!$F:$F, $F224, Aux_Totales!$A:$A,#REF!), 0))</f>
        <v/>
      </c>
      <c r="AVZ224" s="19" t="str">
        <f>IF(AVZ220 = "", "", IFERROR(AVZ220 / SUMIFS(Aux_Totales!$N:$N, Aux_Totales!$F:$F, $F224, Aux_Totales!$A:$A,#REF!), 0))</f>
        <v/>
      </c>
      <c r="AWA224" s="19" t="str">
        <f>IF(AWA220 = "", "", IFERROR(AWA220 / SUMIFS(Aux_Totales!$N:$N, Aux_Totales!$F:$F, $F224, Aux_Totales!$A:$A,#REF!), 0))</f>
        <v/>
      </c>
      <c r="AWB224" s="19" t="str">
        <f>IF(AWB220 = "", "", IFERROR(AWB220 / SUMIFS(Aux_Totales!$N:$N, Aux_Totales!$F:$F, $F224, Aux_Totales!$A:$A,#REF!), 0))</f>
        <v/>
      </c>
      <c r="AWC224" s="19" t="str">
        <f>IF(AWC220 = "", "", IFERROR(AWC220 / SUMIFS(Aux_Totales!$N:$N, Aux_Totales!$F:$F, $F224, Aux_Totales!$A:$A,#REF!), 0))</f>
        <v/>
      </c>
      <c r="AWD224" s="19" t="str">
        <f>IF(AWD220 = "", "", IFERROR(AWD220 / SUMIFS(Aux_Totales!$N:$N, Aux_Totales!$F:$F, $F224, Aux_Totales!$A:$A,#REF!), 0))</f>
        <v/>
      </c>
      <c r="AWE224" s="19" t="str">
        <f>IF(AWE220 = "", "", IFERROR(AWE220 / SUMIFS(Aux_Totales!$N:$N, Aux_Totales!$F:$F, $F224, Aux_Totales!$A:$A,#REF!), 0))</f>
        <v/>
      </c>
      <c r="AWF224" s="19" t="str">
        <f>IF(AWF220 = "", "", IFERROR(AWF220 / SUMIFS(Aux_Totales!$N:$N, Aux_Totales!$F:$F, $F224, Aux_Totales!$A:$A,#REF!), 0))</f>
        <v/>
      </c>
      <c r="AWG224" s="19" t="str">
        <f>IF(AWG220 = "", "", IFERROR(AWG220 / SUMIFS(Aux_Totales!$N:$N, Aux_Totales!$F:$F, $F224, Aux_Totales!$A:$A,#REF!), 0))</f>
        <v/>
      </c>
      <c r="AWH224" s="19" t="str">
        <f>IF(AWH220 = "", "", IFERROR(AWH220 / SUMIFS(Aux_Totales!$N:$N, Aux_Totales!$F:$F, $F224, Aux_Totales!$A:$A,#REF!), 0))</f>
        <v/>
      </c>
      <c r="AWI224" s="19" t="str">
        <f>IF(AWI220 = "", "", IFERROR(AWI220 / SUMIFS(Aux_Totales!$N:$N, Aux_Totales!$F:$F, $F224, Aux_Totales!$A:$A,#REF!), 0))</f>
        <v/>
      </c>
      <c r="AWJ224" s="19" t="str">
        <f>IF(AWJ220 = "", "", IFERROR(AWJ220 / SUMIFS(Aux_Totales!$N:$N, Aux_Totales!$F:$F, $F224, Aux_Totales!$A:$A,#REF!), 0))</f>
        <v/>
      </c>
      <c r="AWK224" s="19" t="str">
        <f>IF(AWK220 = "", "", IFERROR(AWK220 / SUMIFS(Aux_Totales!$N:$N, Aux_Totales!$F:$F, $F224, Aux_Totales!$A:$A,#REF!), 0))</f>
        <v/>
      </c>
      <c r="AWL224" s="19" t="str">
        <f>IF(AWL220 = "", "", IFERROR(AWL220 / SUMIFS(Aux_Totales!$N:$N, Aux_Totales!$F:$F, $F224, Aux_Totales!$A:$A,#REF!), 0))</f>
        <v/>
      </c>
      <c r="AWM224" s="19" t="str">
        <f>IF(AWM220 = "", "", IFERROR(AWM220 / SUMIFS(Aux_Totales!$N:$N, Aux_Totales!$F:$F, $F224, Aux_Totales!$A:$A,#REF!), 0))</f>
        <v/>
      </c>
      <c r="AWN224" s="19" t="str">
        <f>IF(AWN220 = "", "", IFERROR(AWN220 / SUMIFS(Aux_Totales!$N:$N, Aux_Totales!$F:$F, $F224, Aux_Totales!$A:$A,#REF!), 0))</f>
        <v/>
      </c>
      <c r="AWO224" s="19" t="str">
        <f>IF(AWO220 = "", "", IFERROR(AWO220 / SUMIFS(Aux_Totales!$N:$N, Aux_Totales!$F:$F, $F224, Aux_Totales!$A:$A,#REF!), 0))</f>
        <v/>
      </c>
      <c r="AWP224" s="19" t="str">
        <f>IF(AWP220 = "", "", IFERROR(AWP220 / SUMIFS(Aux_Totales!$N:$N, Aux_Totales!$F:$F, $F224, Aux_Totales!$A:$A,#REF!), 0))</f>
        <v/>
      </c>
      <c r="AWQ224" s="19" t="str">
        <f>IF(AWQ220 = "", "", IFERROR(AWQ220 / SUMIFS(Aux_Totales!$N:$N, Aux_Totales!$F:$F, $F224, Aux_Totales!$A:$A,#REF!), 0))</f>
        <v/>
      </c>
      <c r="AWR224" s="19" t="str">
        <f>IF(AWR220 = "", "", IFERROR(AWR220 / SUMIFS(Aux_Totales!$N:$N, Aux_Totales!$F:$F, $F224, Aux_Totales!$A:$A,#REF!), 0))</f>
        <v/>
      </c>
      <c r="AWS224" s="19" t="str">
        <f>IF(AWS220 = "", "", IFERROR(AWS220 / SUMIFS(Aux_Totales!$N:$N, Aux_Totales!$F:$F, $F224, Aux_Totales!$A:$A,#REF!), 0))</f>
        <v/>
      </c>
      <c r="AWT224" s="19" t="str">
        <f>IF(AWT220 = "", "", IFERROR(AWT220 / SUMIFS(Aux_Totales!$N:$N, Aux_Totales!$F:$F, $F224, Aux_Totales!$A:$A,#REF!), 0))</f>
        <v/>
      </c>
      <c r="AWU224" s="19" t="str">
        <f>IF(AWU220 = "", "", IFERROR(AWU220 / SUMIFS(Aux_Totales!$N:$N, Aux_Totales!$F:$F, $F224, Aux_Totales!$A:$A,#REF!), 0))</f>
        <v/>
      </c>
      <c r="AWV224" s="19" t="str">
        <f>IF(AWV220 = "", "", IFERROR(AWV220 / SUMIFS(Aux_Totales!$N:$N, Aux_Totales!$F:$F, $F224, Aux_Totales!$A:$A,#REF!), 0))</f>
        <v/>
      </c>
      <c r="AWW224" s="19" t="str">
        <f>IF(AWW220 = "", "", IFERROR(AWW220 / SUMIFS(Aux_Totales!$N:$N, Aux_Totales!$F:$F, $F224, Aux_Totales!$A:$A,#REF!), 0))</f>
        <v/>
      </c>
      <c r="AWX224" s="19" t="str">
        <f>IF(AWX220 = "", "", IFERROR(AWX220 / SUMIFS(Aux_Totales!$N:$N, Aux_Totales!$F:$F, $F224, Aux_Totales!$A:$A,#REF!), 0))</f>
        <v/>
      </c>
      <c r="AWY224" s="19" t="str">
        <f>IF(AWY220 = "", "", IFERROR(AWY220 / SUMIFS(Aux_Totales!$N:$N, Aux_Totales!$F:$F, $F224, Aux_Totales!$A:$A,#REF!), 0))</f>
        <v/>
      </c>
      <c r="AWZ224" s="19" t="str">
        <f>IF(AWZ220 = "", "", IFERROR(AWZ220 / SUMIFS(Aux_Totales!$N:$N, Aux_Totales!$F:$F, $F224, Aux_Totales!$A:$A,#REF!), 0))</f>
        <v/>
      </c>
      <c r="AXA224" s="19" t="str">
        <f>IF(AXA220 = "", "", IFERROR(AXA220 / SUMIFS(Aux_Totales!$N:$N, Aux_Totales!$F:$F, $F224, Aux_Totales!$A:$A,#REF!), 0))</f>
        <v/>
      </c>
      <c r="AXB224" s="19" t="str">
        <f>IF(AXB220 = "", "", IFERROR(AXB220 / SUMIFS(Aux_Totales!$N:$N, Aux_Totales!$F:$F, $F224, Aux_Totales!$A:$A,#REF!), 0))</f>
        <v/>
      </c>
      <c r="AXC224" s="19" t="str">
        <f>IF(AXC220 = "", "", IFERROR(AXC220 / SUMIFS(Aux_Totales!$N:$N, Aux_Totales!$F:$F, $F224, Aux_Totales!$A:$A,#REF!), 0))</f>
        <v/>
      </c>
      <c r="AXD224" s="19" t="str">
        <f>IF(AXD220 = "", "", IFERROR(AXD220 / SUMIFS(Aux_Totales!$N:$N, Aux_Totales!$F:$F, $F224, Aux_Totales!$A:$A,#REF!), 0))</f>
        <v/>
      </c>
      <c r="AXE224" s="19" t="str">
        <f>IF(AXE220 = "", "", IFERROR(AXE220 / SUMIFS(Aux_Totales!$N:$N, Aux_Totales!$F:$F, $F224, Aux_Totales!$A:$A,#REF!), 0))</f>
        <v/>
      </c>
      <c r="AXF224" s="19" t="str">
        <f>IF(AXF220 = "", "", IFERROR(AXF220 / SUMIFS(Aux_Totales!$N:$N, Aux_Totales!$F:$F, $F224, Aux_Totales!$A:$A,#REF!), 0))</f>
        <v/>
      </c>
      <c r="AXG224" s="19" t="str">
        <f>IF(AXG220 = "", "", IFERROR(AXG220 / SUMIFS(Aux_Totales!$N:$N, Aux_Totales!$F:$F, $F224, Aux_Totales!$A:$A,#REF!), 0))</f>
        <v/>
      </c>
      <c r="AXH224" s="19" t="str">
        <f>IF(AXH220 = "", "", IFERROR(AXH220 / SUMIFS(Aux_Totales!$N:$N, Aux_Totales!$F:$F, $F224, Aux_Totales!$A:$A,#REF!), 0))</f>
        <v/>
      </c>
      <c r="AXI224" s="19" t="str">
        <f>IF(AXI220 = "", "", IFERROR(AXI220 / SUMIFS(Aux_Totales!$N:$N, Aux_Totales!$F:$F, $F224, Aux_Totales!$A:$A,#REF!), 0))</f>
        <v/>
      </c>
      <c r="AXJ224" s="19" t="str">
        <f>IF(AXJ220 = "", "", IFERROR(AXJ220 / SUMIFS(Aux_Totales!$N:$N, Aux_Totales!$F:$F, $F224, Aux_Totales!$A:$A,#REF!), 0))</f>
        <v/>
      </c>
      <c r="AXK224" s="19" t="str">
        <f>IF(AXK220 = "", "", IFERROR(AXK220 / SUMIFS(Aux_Totales!$N:$N, Aux_Totales!$F:$F, $F224, Aux_Totales!$A:$A,#REF!), 0))</f>
        <v/>
      </c>
      <c r="AXL224" s="19" t="str">
        <f>IF(AXL220 = "", "", IFERROR(AXL220 / SUMIFS(Aux_Totales!$N:$N, Aux_Totales!$F:$F, $F224, Aux_Totales!$A:$A,#REF!), 0))</f>
        <v/>
      </c>
      <c r="AXM224" s="19" t="str">
        <f>IF(AXM220 = "", "", IFERROR(AXM220 / SUMIFS(Aux_Totales!$N:$N, Aux_Totales!$F:$F, $F224, Aux_Totales!$A:$A,#REF!), 0))</f>
        <v/>
      </c>
      <c r="AXN224" s="19" t="str">
        <f>IF(AXN220 = "", "", IFERROR(AXN220 / SUMIFS(Aux_Totales!$N:$N, Aux_Totales!$F:$F, $F224, Aux_Totales!$A:$A,#REF!), 0))</f>
        <v/>
      </c>
      <c r="AXO224" s="19" t="str">
        <f>IF(AXO220 = "", "", IFERROR(AXO220 / SUMIFS(Aux_Totales!$N:$N, Aux_Totales!$F:$F, $F224, Aux_Totales!$A:$A,#REF!), 0))</f>
        <v/>
      </c>
      <c r="AXP224" s="19" t="str">
        <f>IF(AXP220 = "", "", IFERROR(AXP220 / SUMIFS(Aux_Totales!$N:$N, Aux_Totales!$F:$F, $F224, Aux_Totales!$A:$A,#REF!), 0))</f>
        <v/>
      </c>
      <c r="AXQ224" s="19" t="str">
        <f>IF(AXQ220 = "", "", IFERROR(AXQ220 / SUMIFS(Aux_Totales!$N:$N, Aux_Totales!$F:$F, $F224, Aux_Totales!$A:$A,#REF!), 0))</f>
        <v/>
      </c>
      <c r="AXR224" s="19" t="str">
        <f>IF(AXR220 = "", "", IFERROR(AXR220 / SUMIFS(Aux_Totales!$N:$N, Aux_Totales!$F:$F, $F224, Aux_Totales!$A:$A,#REF!), 0))</f>
        <v/>
      </c>
      <c r="AXS224" s="19" t="str">
        <f>IF(AXS220 = "", "", IFERROR(AXS220 / SUMIFS(Aux_Totales!$N:$N, Aux_Totales!$F:$F, $F224, Aux_Totales!$A:$A,#REF!), 0))</f>
        <v/>
      </c>
      <c r="AXT224" s="19" t="str">
        <f>IF(AXT220 = "", "", IFERROR(AXT220 / SUMIFS(Aux_Totales!$N:$N, Aux_Totales!$F:$F, $F224, Aux_Totales!$A:$A,#REF!), 0))</f>
        <v/>
      </c>
      <c r="AXU224" s="19" t="str">
        <f>IF(AXU220 = "", "", IFERROR(AXU220 / SUMIFS(Aux_Totales!$N:$N, Aux_Totales!$F:$F, $F224, Aux_Totales!$A:$A,#REF!), 0))</f>
        <v/>
      </c>
      <c r="AXV224" s="19" t="str">
        <f>IF(AXV220 = "", "", IFERROR(AXV220 / SUMIFS(Aux_Totales!$N:$N, Aux_Totales!$F:$F, $F224, Aux_Totales!$A:$A,#REF!), 0))</f>
        <v/>
      </c>
      <c r="AXW224" s="19" t="str">
        <f>IF(AXW220 = "", "", IFERROR(AXW220 / SUMIFS(Aux_Totales!$N:$N, Aux_Totales!$F:$F, $F224, Aux_Totales!$A:$A,#REF!), 0))</f>
        <v/>
      </c>
      <c r="AXX224" s="19" t="str">
        <f>IF(AXX220 = "", "", IFERROR(AXX220 / SUMIFS(Aux_Totales!$N:$N, Aux_Totales!$F:$F, $F224, Aux_Totales!$A:$A,#REF!), 0))</f>
        <v/>
      </c>
      <c r="AXY224" s="19" t="str">
        <f>IF(AXY220 = "", "", IFERROR(AXY220 / SUMIFS(Aux_Totales!$N:$N, Aux_Totales!$F:$F, $F224, Aux_Totales!$A:$A,#REF!), 0))</f>
        <v/>
      </c>
      <c r="AXZ224" s="19" t="str">
        <f>IF(AXZ220 = "", "", IFERROR(AXZ220 / SUMIFS(Aux_Totales!$N:$N, Aux_Totales!$F:$F, $F224, Aux_Totales!$A:$A,#REF!), 0))</f>
        <v/>
      </c>
      <c r="AYA224" s="19" t="str">
        <f>IF(AYA220 = "", "", IFERROR(AYA220 / SUMIFS(Aux_Totales!$N:$N, Aux_Totales!$F:$F, $F224, Aux_Totales!$A:$A,#REF!), 0))</f>
        <v/>
      </c>
      <c r="AYB224" s="19" t="str">
        <f>IF(AYB220 = "", "", IFERROR(AYB220 / SUMIFS(Aux_Totales!$N:$N, Aux_Totales!$F:$F, $F224, Aux_Totales!$A:$A,#REF!), 0))</f>
        <v/>
      </c>
      <c r="AYC224" s="19" t="str">
        <f>IF(AYC220 = "", "", IFERROR(AYC220 / SUMIFS(Aux_Totales!$N:$N, Aux_Totales!$F:$F, $F224, Aux_Totales!$A:$A,#REF!), 0))</f>
        <v/>
      </c>
      <c r="AYD224" s="19" t="str">
        <f>IF(AYD220 = "", "", IFERROR(AYD220 / SUMIFS(Aux_Totales!$N:$N, Aux_Totales!$F:$F, $F224, Aux_Totales!$A:$A,#REF!), 0))</f>
        <v/>
      </c>
      <c r="AYE224" s="19" t="str">
        <f>IF(AYE220 = "", "", IFERROR(AYE220 / SUMIFS(Aux_Totales!$N:$N, Aux_Totales!$F:$F, $F224, Aux_Totales!$A:$A,#REF!), 0))</f>
        <v/>
      </c>
      <c r="AYF224" s="19" t="str">
        <f>IF(AYF220 = "", "", IFERROR(AYF220 / SUMIFS(Aux_Totales!$N:$N, Aux_Totales!$F:$F, $F224, Aux_Totales!$A:$A,#REF!), 0))</f>
        <v/>
      </c>
      <c r="AYG224" s="19" t="str">
        <f>IF(AYG220 = "", "", IFERROR(AYG220 / SUMIFS(Aux_Totales!$N:$N, Aux_Totales!$F:$F, $F224, Aux_Totales!$A:$A,#REF!), 0))</f>
        <v/>
      </c>
      <c r="AYH224" s="19" t="str">
        <f>IF(AYH220 = "", "", IFERROR(AYH220 / SUMIFS(Aux_Totales!$N:$N, Aux_Totales!$F:$F, $F224, Aux_Totales!$A:$A,#REF!), 0))</f>
        <v/>
      </c>
      <c r="AYI224" s="19" t="str">
        <f>IF(AYI220 = "", "", IFERROR(AYI220 / SUMIFS(Aux_Totales!$N:$N, Aux_Totales!$F:$F, $F224, Aux_Totales!$A:$A,#REF!), 0))</f>
        <v/>
      </c>
      <c r="AYJ224" s="19" t="str">
        <f>IF(AYJ220 = "", "", IFERROR(AYJ220 / SUMIFS(Aux_Totales!$N:$N, Aux_Totales!$F:$F, $F224, Aux_Totales!$A:$A,#REF!), 0))</f>
        <v/>
      </c>
      <c r="AYK224" s="19" t="str">
        <f>IF(AYK220 = "", "", IFERROR(AYK220 / SUMIFS(Aux_Totales!$N:$N, Aux_Totales!$F:$F, $F224, Aux_Totales!$A:$A,#REF!), 0))</f>
        <v/>
      </c>
      <c r="AYL224" s="19" t="str">
        <f>IF(AYL220 = "", "", IFERROR(AYL220 / SUMIFS(Aux_Totales!$N:$N, Aux_Totales!$F:$F, $F224, Aux_Totales!$A:$A,#REF!), 0))</f>
        <v/>
      </c>
      <c r="AYM224" s="19" t="str">
        <f>IF(AYM220 = "", "", IFERROR(AYM220 / SUMIFS(Aux_Totales!$N:$N, Aux_Totales!$F:$F, $F224, Aux_Totales!$A:$A,#REF!), 0))</f>
        <v/>
      </c>
      <c r="AYN224" s="19" t="str">
        <f>IF(AYN220 = "", "", IFERROR(AYN220 / SUMIFS(Aux_Totales!$N:$N, Aux_Totales!$F:$F, $F224, Aux_Totales!$A:$A,#REF!), 0))</f>
        <v/>
      </c>
      <c r="AYO224" s="19" t="str">
        <f>IF(AYO220 = "", "", IFERROR(AYO220 / SUMIFS(Aux_Totales!$N:$N, Aux_Totales!$F:$F, $F224, Aux_Totales!$A:$A,#REF!), 0))</f>
        <v/>
      </c>
      <c r="AYP224" s="19" t="str">
        <f>IF(AYP220 = "", "", IFERROR(AYP220 / SUMIFS(Aux_Totales!$N:$N, Aux_Totales!$F:$F, $F224, Aux_Totales!$A:$A,#REF!), 0))</f>
        <v/>
      </c>
      <c r="AYQ224" s="19" t="str">
        <f>IF(AYQ220 = "", "", IFERROR(AYQ220 / SUMIFS(Aux_Totales!$N:$N, Aux_Totales!$F:$F, $F224, Aux_Totales!$A:$A,#REF!), 0))</f>
        <v/>
      </c>
      <c r="AYR224" s="19" t="str">
        <f>IF(AYR220 = "", "", IFERROR(AYR220 / SUMIFS(Aux_Totales!$N:$N, Aux_Totales!$F:$F, $F224, Aux_Totales!$A:$A,#REF!), 0))</f>
        <v/>
      </c>
      <c r="AYS224" s="19" t="str">
        <f>IF(AYS220 = "", "", IFERROR(AYS220 / SUMIFS(Aux_Totales!$N:$N, Aux_Totales!$F:$F, $F224, Aux_Totales!$A:$A,#REF!), 0))</f>
        <v/>
      </c>
      <c r="AYT224" s="19" t="str">
        <f>IF(AYT220 = "", "", IFERROR(AYT220 / SUMIFS(Aux_Totales!$N:$N, Aux_Totales!$F:$F, $F224, Aux_Totales!$A:$A,#REF!), 0))</f>
        <v/>
      </c>
      <c r="AYU224" s="19" t="str">
        <f>IF(AYU220 = "", "", IFERROR(AYU220 / SUMIFS(Aux_Totales!$N:$N, Aux_Totales!$F:$F, $F224, Aux_Totales!$A:$A,#REF!), 0))</f>
        <v/>
      </c>
      <c r="AYV224" s="19" t="str">
        <f>IF(AYV220 = "", "", IFERROR(AYV220 / SUMIFS(Aux_Totales!$N:$N, Aux_Totales!$F:$F, $F224, Aux_Totales!$A:$A,#REF!), 0))</f>
        <v/>
      </c>
      <c r="AYW224" s="19" t="str">
        <f>IF(AYW220 = "", "", IFERROR(AYW220 / SUMIFS(Aux_Totales!$N:$N, Aux_Totales!$F:$F, $F224, Aux_Totales!$A:$A,#REF!), 0))</f>
        <v/>
      </c>
      <c r="AYX224" s="19" t="str">
        <f>IF(AYX220 = "", "", IFERROR(AYX220 / SUMIFS(Aux_Totales!$N:$N, Aux_Totales!$F:$F, $F224, Aux_Totales!$A:$A,#REF!), 0))</f>
        <v/>
      </c>
      <c r="AYY224" s="19" t="str">
        <f>IF(AYY220 = "", "", IFERROR(AYY220 / SUMIFS(Aux_Totales!$N:$N, Aux_Totales!$F:$F, $F224, Aux_Totales!$A:$A,#REF!), 0))</f>
        <v/>
      </c>
      <c r="AYZ224" s="19" t="str">
        <f>IF(AYZ220 = "", "", IFERROR(AYZ220 / SUMIFS(Aux_Totales!$N:$N, Aux_Totales!$F:$F, $F224, Aux_Totales!$A:$A,#REF!), 0))</f>
        <v/>
      </c>
      <c r="AZA224" s="19" t="str">
        <f>IF(AZA220 = "", "", IFERROR(AZA220 / SUMIFS(Aux_Totales!$N:$N, Aux_Totales!$F:$F, $F224, Aux_Totales!$A:$A,#REF!), 0))</f>
        <v/>
      </c>
      <c r="AZB224" s="19" t="str">
        <f>IF(AZB220 = "", "", IFERROR(AZB220 / SUMIFS(Aux_Totales!$N:$N, Aux_Totales!$F:$F, $F224, Aux_Totales!$A:$A,#REF!), 0))</f>
        <v/>
      </c>
      <c r="AZC224" s="19" t="str">
        <f>IF(AZC220 = "", "", IFERROR(AZC220 / SUMIFS(Aux_Totales!$N:$N, Aux_Totales!$F:$F, $F224, Aux_Totales!$A:$A,#REF!), 0))</f>
        <v/>
      </c>
      <c r="AZD224" s="19" t="str">
        <f>IF(AZD220 = "", "", IFERROR(AZD220 / SUMIFS(Aux_Totales!$N:$N, Aux_Totales!$F:$F, $F224, Aux_Totales!$A:$A,#REF!), 0))</f>
        <v/>
      </c>
      <c r="AZE224" s="19" t="str">
        <f>IF(AZE220 = "", "", IFERROR(AZE220 / SUMIFS(Aux_Totales!$N:$N, Aux_Totales!$F:$F, $F224, Aux_Totales!$A:$A,#REF!), 0))</f>
        <v/>
      </c>
      <c r="AZF224" s="19" t="str">
        <f>IF(AZF220 = "", "", IFERROR(AZF220 / SUMIFS(Aux_Totales!$N:$N, Aux_Totales!$F:$F, $F224, Aux_Totales!$A:$A,#REF!), 0))</f>
        <v/>
      </c>
      <c r="AZG224" s="19" t="str">
        <f>IF(AZG220 = "", "", IFERROR(AZG220 / SUMIFS(Aux_Totales!$N:$N, Aux_Totales!$F:$F, $F224, Aux_Totales!$A:$A,#REF!), 0))</f>
        <v/>
      </c>
      <c r="AZH224" s="19" t="str">
        <f>IF(AZH220 = "", "", IFERROR(AZH220 / SUMIFS(Aux_Totales!$N:$N, Aux_Totales!$F:$F, $F224, Aux_Totales!$A:$A,#REF!), 0))</f>
        <v/>
      </c>
      <c r="AZI224" s="19" t="str">
        <f>IF(AZI220 = "", "", IFERROR(AZI220 / SUMIFS(Aux_Totales!$N:$N, Aux_Totales!$F:$F, $F224, Aux_Totales!$A:$A,#REF!), 0))</f>
        <v/>
      </c>
      <c r="AZJ224" s="19" t="str">
        <f>IF(AZJ220 = "", "", IFERROR(AZJ220 / SUMIFS(Aux_Totales!$N:$N, Aux_Totales!$F:$F, $F224, Aux_Totales!$A:$A,#REF!), 0))</f>
        <v/>
      </c>
      <c r="AZK224" s="19" t="str">
        <f>IF(AZK220 = "", "", IFERROR(AZK220 / SUMIFS(Aux_Totales!$N:$N, Aux_Totales!$F:$F, $F224, Aux_Totales!$A:$A,#REF!), 0))</f>
        <v/>
      </c>
      <c r="AZL224" s="19" t="str">
        <f>IF(AZL220 = "", "", IFERROR(AZL220 / SUMIFS(Aux_Totales!$N:$N, Aux_Totales!$F:$F, $F224, Aux_Totales!$A:$A,#REF!), 0))</f>
        <v/>
      </c>
      <c r="AZM224" s="19" t="str">
        <f>IF(AZM220 = "", "", IFERROR(AZM220 / SUMIFS(Aux_Totales!$N:$N, Aux_Totales!$F:$F, $F224, Aux_Totales!$A:$A,#REF!), 0))</f>
        <v/>
      </c>
      <c r="AZN224" s="19" t="str">
        <f>IF(AZN220 = "", "", IFERROR(AZN220 / SUMIFS(Aux_Totales!$N:$N, Aux_Totales!$F:$F, $F224, Aux_Totales!$A:$A,#REF!), 0))</f>
        <v/>
      </c>
      <c r="AZO224" s="19" t="str">
        <f>IF(AZO220 = "", "", IFERROR(AZO220 / SUMIFS(Aux_Totales!$N:$N, Aux_Totales!$F:$F, $F224, Aux_Totales!$A:$A,#REF!), 0))</f>
        <v/>
      </c>
      <c r="AZP224" s="19" t="str">
        <f>IF(AZP220 = "", "", IFERROR(AZP220 / SUMIFS(Aux_Totales!$N:$N, Aux_Totales!$F:$F, $F224, Aux_Totales!$A:$A,#REF!), 0))</f>
        <v/>
      </c>
      <c r="AZQ224" s="19" t="str">
        <f>IF(AZQ220 = "", "", IFERROR(AZQ220 / SUMIFS(Aux_Totales!$N:$N, Aux_Totales!$F:$F, $F224, Aux_Totales!$A:$A,#REF!), 0))</f>
        <v/>
      </c>
      <c r="AZR224" s="19" t="str">
        <f>IF(AZR220 = "", "", IFERROR(AZR220 / SUMIFS(Aux_Totales!$N:$N, Aux_Totales!$F:$F, $F224, Aux_Totales!$A:$A,#REF!), 0))</f>
        <v/>
      </c>
      <c r="AZS224" s="19" t="str">
        <f>IF(AZS220 = "", "", IFERROR(AZS220 / SUMIFS(Aux_Totales!$N:$N, Aux_Totales!$F:$F, $F224, Aux_Totales!$A:$A,#REF!), 0))</f>
        <v/>
      </c>
      <c r="AZT224" s="19" t="str">
        <f>IF(AZT220 = "", "", IFERROR(AZT220 / SUMIFS(Aux_Totales!$N:$N, Aux_Totales!$F:$F, $F224, Aux_Totales!$A:$A,#REF!), 0))</f>
        <v/>
      </c>
      <c r="AZU224" s="19" t="str">
        <f>IF(AZU220 = "", "", IFERROR(AZU220 / SUMIFS(Aux_Totales!$N:$N, Aux_Totales!$F:$F, $F224, Aux_Totales!$A:$A,#REF!), 0))</f>
        <v/>
      </c>
      <c r="AZV224" s="19" t="str">
        <f>IF(AZV220 = "", "", IFERROR(AZV220 / SUMIFS(Aux_Totales!$N:$N, Aux_Totales!$F:$F, $F224, Aux_Totales!$A:$A,#REF!), 0))</f>
        <v/>
      </c>
      <c r="AZW224" s="19" t="str">
        <f>IF(AZW220 = "", "", IFERROR(AZW220 / SUMIFS(Aux_Totales!$N:$N, Aux_Totales!$F:$F, $F224, Aux_Totales!$A:$A,#REF!), 0))</f>
        <v/>
      </c>
      <c r="AZX224" s="19" t="str">
        <f>IF(AZX220 = "", "", IFERROR(AZX220 / SUMIFS(Aux_Totales!$N:$N, Aux_Totales!$F:$F, $F224, Aux_Totales!$A:$A,#REF!), 0))</f>
        <v/>
      </c>
      <c r="AZY224" s="19" t="str">
        <f>IF(AZY220 = "", "", IFERROR(AZY220 / SUMIFS(Aux_Totales!$N:$N, Aux_Totales!$F:$F, $F224, Aux_Totales!$A:$A,#REF!), 0))</f>
        <v/>
      </c>
      <c r="AZZ224" s="19" t="str">
        <f>IF(AZZ220 = "", "", IFERROR(AZZ220 / SUMIFS(Aux_Totales!$N:$N, Aux_Totales!$F:$F, $F224, Aux_Totales!$A:$A,#REF!), 0))</f>
        <v/>
      </c>
      <c r="BAA224" s="19" t="str">
        <f>IF(BAA220 = "", "", IFERROR(BAA220 / SUMIFS(Aux_Totales!$N:$N, Aux_Totales!$F:$F, $F224, Aux_Totales!$A:$A,#REF!), 0))</f>
        <v/>
      </c>
      <c r="BAB224" s="19" t="str">
        <f>IF(BAB220 = "", "", IFERROR(BAB220 / SUMIFS(Aux_Totales!$N:$N, Aux_Totales!$F:$F, $F224, Aux_Totales!$A:$A,#REF!), 0))</f>
        <v/>
      </c>
      <c r="BAC224" s="19" t="str">
        <f>IF(BAC220 = "", "", IFERROR(BAC220 / SUMIFS(Aux_Totales!$N:$N, Aux_Totales!$F:$F, $F224, Aux_Totales!$A:$A,#REF!), 0))</f>
        <v/>
      </c>
      <c r="BAD224" s="19" t="str">
        <f>IF(BAD220 = "", "", IFERROR(BAD220 / SUMIFS(Aux_Totales!$N:$N, Aux_Totales!$F:$F, $F224, Aux_Totales!$A:$A,#REF!), 0))</f>
        <v/>
      </c>
      <c r="BAE224" s="19" t="str">
        <f>IF(BAE220 = "", "", IFERROR(BAE220 / SUMIFS(Aux_Totales!$N:$N, Aux_Totales!$F:$F, $F224, Aux_Totales!$A:$A,#REF!), 0))</f>
        <v/>
      </c>
      <c r="BAF224" s="19" t="str">
        <f>IF(BAF220 = "", "", IFERROR(BAF220 / SUMIFS(Aux_Totales!$N:$N, Aux_Totales!$F:$F, $F224, Aux_Totales!$A:$A,#REF!), 0))</f>
        <v/>
      </c>
      <c r="BAG224" s="19" t="str">
        <f>IF(BAG220 = "", "", IFERROR(BAG220 / SUMIFS(Aux_Totales!$N:$N, Aux_Totales!$F:$F, $F224, Aux_Totales!$A:$A,#REF!), 0))</f>
        <v/>
      </c>
      <c r="BAH224" s="19" t="str">
        <f>IF(BAH220 = "", "", IFERROR(BAH220 / SUMIFS(Aux_Totales!$N:$N, Aux_Totales!$F:$F, $F224, Aux_Totales!$A:$A,#REF!), 0))</f>
        <v/>
      </c>
      <c r="BAI224" s="19" t="str">
        <f>IF(BAI220 = "", "", IFERROR(BAI220 / SUMIFS(Aux_Totales!$N:$N, Aux_Totales!$F:$F, $F224, Aux_Totales!$A:$A,#REF!), 0))</f>
        <v/>
      </c>
      <c r="BAJ224" s="19" t="str">
        <f>IF(BAJ220 = "", "", IFERROR(BAJ220 / SUMIFS(Aux_Totales!$N:$N, Aux_Totales!$F:$F, $F224, Aux_Totales!$A:$A,#REF!), 0))</f>
        <v/>
      </c>
      <c r="BAK224" s="19" t="str">
        <f>IF(BAK220 = "", "", IFERROR(BAK220 / SUMIFS(Aux_Totales!$N:$N, Aux_Totales!$F:$F, $F224, Aux_Totales!$A:$A,#REF!), 0))</f>
        <v/>
      </c>
      <c r="BAL224" s="19" t="str">
        <f>IF(BAL220 = "", "", IFERROR(BAL220 / SUMIFS(Aux_Totales!$N:$N, Aux_Totales!$F:$F, $F224, Aux_Totales!$A:$A,#REF!), 0))</f>
        <v/>
      </c>
      <c r="BAM224" s="19" t="str">
        <f>IF(BAM220 = "", "", IFERROR(BAM220 / SUMIFS(Aux_Totales!$N:$N, Aux_Totales!$F:$F, $F224, Aux_Totales!$A:$A,#REF!), 0))</f>
        <v/>
      </c>
      <c r="BAN224" s="19" t="str">
        <f>IF(BAN220 = "", "", IFERROR(BAN220 / SUMIFS(Aux_Totales!$N:$N, Aux_Totales!$F:$F, $F224, Aux_Totales!$A:$A,#REF!), 0))</f>
        <v/>
      </c>
      <c r="BAO224" s="19" t="str">
        <f>IF(BAO220 = "", "", IFERROR(BAO220 / SUMIFS(Aux_Totales!$N:$N, Aux_Totales!$F:$F, $F224, Aux_Totales!$A:$A,#REF!), 0))</f>
        <v/>
      </c>
      <c r="BAP224" s="19" t="str">
        <f>IF(BAP220 = "", "", IFERROR(BAP220 / SUMIFS(Aux_Totales!$N:$N, Aux_Totales!$F:$F, $F224, Aux_Totales!$A:$A,#REF!), 0))</f>
        <v/>
      </c>
      <c r="BAQ224" s="19" t="str">
        <f>IF(BAQ220 = "", "", IFERROR(BAQ220 / SUMIFS(Aux_Totales!$N:$N, Aux_Totales!$F:$F, $F224, Aux_Totales!$A:$A,#REF!), 0))</f>
        <v/>
      </c>
      <c r="BAR224" s="19" t="str">
        <f>IF(BAR220 = "", "", IFERROR(BAR220 / SUMIFS(Aux_Totales!$N:$N, Aux_Totales!$F:$F, $F224, Aux_Totales!$A:$A,#REF!), 0))</f>
        <v/>
      </c>
      <c r="BAS224" s="19" t="str">
        <f>IF(BAS220 = "", "", IFERROR(BAS220 / SUMIFS(Aux_Totales!$N:$N, Aux_Totales!$F:$F, $F224, Aux_Totales!$A:$A,#REF!), 0))</f>
        <v/>
      </c>
      <c r="BAT224" s="19" t="str">
        <f>IF(BAT220 = "", "", IFERROR(BAT220 / SUMIFS(Aux_Totales!$N:$N, Aux_Totales!$F:$F, $F224, Aux_Totales!$A:$A,#REF!), 0))</f>
        <v/>
      </c>
      <c r="BAU224" s="19" t="str">
        <f>IF(BAU220 = "", "", IFERROR(BAU220 / SUMIFS(Aux_Totales!$N:$N, Aux_Totales!$F:$F, $F224, Aux_Totales!$A:$A,#REF!), 0))</f>
        <v/>
      </c>
      <c r="BAV224" s="19" t="str">
        <f>IF(BAV220 = "", "", IFERROR(BAV220 / SUMIFS(Aux_Totales!$N:$N, Aux_Totales!$F:$F, $F224, Aux_Totales!$A:$A,#REF!), 0))</f>
        <v/>
      </c>
      <c r="BAW224" s="19" t="str">
        <f>IF(BAW220 = "", "", IFERROR(BAW220 / SUMIFS(Aux_Totales!$N:$N, Aux_Totales!$F:$F, $F224, Aux_Totales!$A:$A,#REF!), 0))</f>
        <v/>
      </c>
      <c r="BAX224" s="19" t="str">
        <f>IF(BAX220 = "", "", IFERROR(BAX220 / SUMIFS(Aux_Totales!$N:$N, Aux_Totales!$F:$F, $F224, Aux_Totales!$A:$A,#REF!), 0))</f>
        <v/>
      </c>
      <c r="BAY224" s="19" t="str">
        <f>IF(BAY220 = "", "", IFERROR(BAY220 / SUMIFS(Aux_Totales!$N:$N, Aux_Totales!$F:$F, $F224, Aux_Totales!$A:$A,#REF!), 0))</f>
        <v/>
      </c>
      <c r="BAZ224" s="19" t="str">
        <f>IF(BAZ220 = "", "", IFERROR(BAZ220 / SUMIFS(Aux_Totales!$N:$N, Aux_Totales!$F:$F, $F224, Aux_Totales!$A:$A,#REF!), 0))</f>
        <v/>
      </c>
      <c r="BBA224" s="19" t="str">
        <f>IF(BBA220 = "", "", IFERROR(BBA220 / SUMIFS(Aux_Totales!$N:$N, Aux_Totales!$F:$F, $F224, Aux_Totales!$A:$A,#REF!), 0))</f>
        <v/>
      </c>
      <c r="BBB224" s="19" t="str">
        <f>IF(BBB220 = "", "", IFERROR(BBB220 / SUMIFS(Aux_Totales!$N:$N, Aux_Totales!$F:$F, $F224, Aux_Totales!$A:$A,#REF!), 0))</f>
        <v/>
      </c>
      <c r="BBC224" s="19" t="str">
        <f>IF(BBC220 = "", "", IFERROR(BBC220 / SUMIFS(Aux_Totales!$N:$N, Aux_Totales!$F:$F, $F224, Aux_Totales!$A:$A,#REF!), 0))</f>
        <v/>
      </c>
      <c r="BBD224" s="19" t="str">
        <f>IF(BBD220 = "", "", IFERROR(BBD220 / SUMIFS(Aux_Totales!$N:$N, Aux_Totales!$F:$F, $F224, Aux_Totales!$A:$A,#REF!), 0))</f>
        <v/>
      </c>
      <c r="BBE224" s="19" t="str">
        <f>IF(BBE220 = "", "", IFERROR(BBE220 / SUMIFS(Aux_Totales!$N:$N, Aux_Totales!$F:$F, $F224, Aux_Totales!$A:$A,#REF!), 0))</f>
        <v/>
      </c>
      <c r="BBF224" s="19" t="str">
        <f>IF(BBF220 = "", "", IFERROR(BBF220 / SUMIFS(Aux_Totales!$N:$N, Aux_Totales!$F:$F, $F224, Aux_Totales!$A:$A,#REF!), 0))</f>
        <v/>
      </c>
      <c r="BBG224" s="19" t="str">
        <f>IF(BBG220 = "", "", IFERROR(BBG220 / SUMIFS(Aux_Totales!$N:$N, Aux_Totales!$F:$F, $F224, Aux_Totales!$A:$A,#REF!), 0))</f>
        <v/>
      </c>
      <c r="BBH224" s="19" t="str">
        <f>IF(BBH220 = "", "", IFERROR(BBH220 / SUMIFS(Aux_Totales!$N:$N, Aux_Totales!$F:$F, $F224, Aux_Totales!$A:$A,#REF!), 0))</f>
        <v/>
      </c>
      <c r="BBI224" s="19" t="str">
        <f>IF(BBI220 = "", "", IFERROR(BBI220 / SUMIFS(Aux_Totales!$N:$N, Aux_Totales!$F:$F, $F224, Aux_Totales!$A:$A,#REF!), 0))</f>
        <v/>
      </c>
      <c r="BBJ224" s="19" t="str">
        <f>IF(BBJ220 = "", "", IFERROR(BBJ220 / SUMIFS(Aux_Totales!$N:$N, Aux_Totales!$F:$F, $F224, Aux_Totales!$A:$A,#REF!), 0))</f>
        <v/>
      </c>
      <c r="BBK224" s="19" t="str">
        <f>IF(BBK220 = "", "", IFERROR(BBK220 / SUMIFS(Aux_Totales!$N:$N, Aux_Totales!$F:$F, $F224, Aux_Totales!$A:$A,#REF!), 0))</f>
        <v/>
      </c>
      <c r="BBL224" s="19" t="str">
        <f>IF(BBL220 = "", "", IFERROR(BBL220 / SUMIFS(Aux_Totales!$N:$N, Aux_Totales!$F:$F, $F224, Aux_Totales!$A:$A,#REF!), 0))</f>
        <v/>
      </c>
      <c r="BBM224" s="19" t="str">
        <f>IF(BBM220 = "", "", IFERROR(BBM220 / SUMIFS(Aux_Totales!$N:$N, Aux_Totales!$F:$F, $F224, Aux_Totales!$A:$A,#REF!), 0))</f>
        <v/>
      </c>
      <c r="BBN224" s="19" t="str">
        <f>IF(BBN220 = "", "", IFERROR(BBN220 / SUMIFS(Aux_Totales!$N:$N, Aux_Totales!$F:$F, $F224, Aux_Totales!$A:$A,#REF!), 0))</f>
        <v/>
      </c>
      <c r="BBO224" s="19" t="str">
        <f>IF(BBO220 = "", "", IFERROR(BBO220 / SUMIFS(Aux_Totales!$N:$N, Aux_Totales!$F:$F, $F224, Aux_Totales!$A:$A,#REF!), 0))</f>
        <v/>
      </c>
      <c r="BBP224" s="19" t="str">
        <f>IF(BBP220 = "", "", IFERROR(BBP220 / SUMIFS(Aux_Totales!$N:$N, Aux_Totales!$F:$F, $F224, Aux_Totales!$A:$A,#REF!), 0))</f>
        <v/>
      </c>
      <c r="BBQ224" s="19" t="str">
        <f>IF(BBQ220 = "", "", IFERROR(BBQ220 / SUMIFS(Aux_Totales!$N:$N, Aux_Totales!$F:$F, $F224, Aux_Totales!$A:$A,#REF!), 0))</f>
        <v/>
      </c>
      <c r="BBR224" s="19" t="str">
        <f>IF(BBR220 = "", "", IFERROR(BBR220 / SUMIFS(Aux_Totales!$N:$N, Aux_Totales!$F:$F, $F224, Aux_Totales!$A:$A,#REF!), 0))</f>
        <v/>
      </c>
      <c r="BBS224" s="19" t="str">
        <f>IF(BBS220 = "", "", IFERROR(BBS220 / SUMIFS(Aux_Totales!$N:$N, Aux_Totales!$F:$F, $F224, Aux_Totales!$A:$A,#REF!), 0))</f>
        <v/>
      </c>
      <c r="BBT224" s="19" t="str">
        <f>IF(BBT220 = "", "", IFERROR(BBT220 / SUMIFS(Aux_Totales!$N:$N, Aux_Totales!$F:$F, $F224, Aux_Totales!$A:$A,#REF!), 0))</f>
        <v/>
      </c>
      <c r="BBU224" s="19" t="str">
        <f>IF(BBU220 = "", "", IFERROR(BBU220 / SUMIFS(Aux_Totales!$N:$N, Aux_Totales!$F:$F, $F224, Aux_Totales!$A:$A,#REF!), 0))</f>
        <v/>
      </c>
      <c r="BBV224" s="19" t="str">
        <f>IF(BBV220 = "", "", IFERROR(BBV220 / SUMIFS(Aux_Totales!$N:$N, Aux_Totales!$F:$F, $F224, Aux_Totales!$A:$A,#REF!), 0))</f>
        <v/>
      </c>
      <c r="BBW224" s="19" t="str">
        <f>IF(BBW220 = "", "", IFERROR(BBW220 / SUMIFS(Aux_Totales!$N:$N, Aux_Totales!$F:$F, $F224, Aux_Totales!$A:$A,#REF!), 0))</f>
        <v/>
      </c>
      <c r="BBX224" s="19" t="str">
        <f>IF(BBX220 = "", "", IFERROR(BBX220 / SUMIFS(Aux_Totales!$N:$N, Aux_Totales!$F:$F, $F224, Aux_Totales!$A:$A,#REF!), 0))</f>
        <v/>
      </c>
      <c r="BBY224" s="19" t="str">
        <f>IF(BBY220 = "", "", IFERROR(BBY220 / SUMIFS(Aux_Totales!$N:$N, Aux_Totales!$F:$F, $F224, Aux_Totales!$A:$A,#REF!), 0))</f>
        <v/>
      </c>
      <c r="BBZ224" s="19" t="str">
        <f>IF(BBZ220 = "", "", IFERROR(BBZ220 / SUMIFS(Aux_Totales!$N:$N, Aux_Totales!$F:$F, $F224, Aux_Totales!$A:$A,#REF!), 0))</f>
        <v/>
      </c>
      <c r="BCA224" s="19" t="str">
        <f>IF(BCA220 = "", "", IFERROR(BCA220 / SUMIFS(Aux_Totales!$N:$N, Aux_Totales!$F:$F, $F224, Aux_Totales!$A:$A,#REF!), 0))</f>
        <v/>
      </c>
      <c r="BCB224" s="19" t="str">
        <f>IF(BCB220 = "", "", IFERROR(BCB220 / SUMIFS(Aux_Totales!$N:$N, Aux_Totales!$F:$F, $F224, Aux_Totales!$A:$A,#REF!), 0))</f>
        <v/>
      </c>
      <c r="BCC224" s="19" t="str">
        <f>IF(BCC220 = "", "", IFERROR(BCC220 / SUMIFS(Aux_Totales!$N:$N, Aux_Totales!$F:$F, $F224, Aux_Totales!$A:$A,#REF!), 0))</f>
        <v/>
      </c>
      <c r="BCD224" s="19" t="str">
        <f>IF(BCD220 = "", "", IFERROR(BCD220 / SUMIFS(Aux_Totales!$N:$N, Aux_Totales!$F:$F, $F224, Aux_Totales!$A:$A,#REF!), 0))</f>
        <v/>
      </c>
      <c r="BCE224" s="19" t="str">
        <f>IF(BCE220 = "", "", IFERROR(BCE220 / SUMIFS(Aux_Totales!$N:$N, Aux_Totales!$F:$F, $F224, Aux_Totales!$A:$A,#REF!), 0))</f>
        <v/>
      </c>
      <c r="BCF224" s="19" t="str">
        <f>IF(BCF220 = "", "", IFERROR(BCF220 / SUMIFS(Aux_Totales!$N:$N, Aux_Totales!$F:$F, $F224, Aux_Totales!$A:$A,#REF!), 0))</f>
        <v/>
      </c>
      <c r="BCG224" s="19" t="str">
        <f>IF(BCG220 = "", "", IFERROR(BCG220 / SUMIFS(Aux_Totales!$N:$N, Aux_Totales!$F:$F, $F224, Aux_Totales!$A:$A,#REF!), 0))</f>
        <v/>
      </c>
      <c r="BCH224" s="19" t="str">
        <f>IF(BCH220 = "", "", IFERROR(BCH220 / SUMIFS(Aux_Totales!$N:$N, Aux_Totales!$F:$F, $F224, Aux_Totales!$A:$A,#REF!), 0))</f>
        <v/>
      </c>
      <c r="BCI224" s="19" t="str">
        <f>IF(BCI220 = "", "", IFERROR(BCI220 / SUMIFS(Aux_Totales!$N:$N, Aux_Totales!$F:$F, $F224, Aux_Totales!$A:$A,#REF!), 0))</f>
        <v/>
      </c>
      <c r="BCJ224" s="19" t="str">
        <f>IF(BCJ220 = "", "", IFERROR(BCJ220 / SUMIFS(Aux_Totales!$N:$N, Aux_Totales!$F:$F, $F224, Aux_Totales!$A:$A,#REF!), 0))</f>
        <v/>
      </c>
      <c r="BCK224" s="19" t="str">
        <f>IF(BCK220 = "", "", IFERROR(BCK220 / SUMIFS(Aux_Totales!$N:$N, Aux_Totales!$F:$F, $F224, Aux_Totales!$A:$A,#REF!), 0))</f>
        <v/>
      </c>
      <c r="BCL224" s="19" t="str">
        <f>IF(BCL220 = "", "", IFERROR(BCL220 / SUMIFS(Aux_Totales!$N:$N, Aux_Totales!$F:$F, $F224, Aux_Totales!$A:$A,#REF!), 0))</f>
        <v/>
      </c>
      <c r="BCM224" s="19" t="str">
        <f>IF(BCM220 = "", "", IFERROR(BCM220 / SUMIFS(Aux_Totales!$N:$N, Aux_Totales!$F:$F, $F224, Aux_Totales!$A:$A,#REF!), 0))</f>
        <v/>
      </c>
      <c r="BCN224" s="19" t="str">
        <f>IF(BCN220 = "", "", IFERROR(BCN220 / SUMIFS(Aux_Totales!$N:$N, Aux_Totales!$F:$F, $F224, Aux_Totales!$A:$A,#REF!), 0))</f>
        <v/>
      </c>
      <c r="BCO224" s="19" t="str">
        <f>IF(BCO220 = "", "", IFERROR(BCO220 / SUMIFS(Aux_Totales!$N:$N, Aux_Totales!$F:$F, $F224, Aux_Totales!$A:$A,#REF!), 0))</f>
        <v/>
      </c>
      <c r="BCP224" s="19" t="str">
        <f>IF(BCP220 = "", "", IFERROR(BCP220 / SUMIFS(Aux_Totales!$N:$N, Aux_Totales!$F:$F, $F224, Aux_Totales!$A:$A,#REF!), 0))</f>
        <v/>
      </c>
      <c r="BCQ224" s="19" t="str">
        <f>IF(BCQ220 = "", "", IFERROR(BCQ220 / SUMIFS(Aux_Totales!$N:$N, Aux_Totales!$F:$F, $F224, Aux_Totales!$A:$A,#REF!), 0))</f>
        <v/>
      </c>
      <c r="BCR224" s="19" t="str">
        <f>IF(BCR220 = "", "", IFERROR(BCR220 / SUMIFS(Aux_Totales!$N:$N, Aux_Totales!$F:$F, $F224, Aux_Totales!$A:$A,#REF!), 0))</f>
        <v/>
      </c>
      <c r="BCS224" s="19" t="str">
        <f>IF(BCS220 = "", "", IFERROR(BCS220 / SUMIFS(Aux_Totales!$N:$N, Aux_Totales!$F:$F, $F224, Aux_Totales!$A:$A,#REF!), 0))</f>
        <v/>
      </c>
      <c r="BCT224" s="19" t="str">
        <f>IF(BCT220 = "", "", IFERROR(BCT220 / SUMIFS(Aux_Totales!$N:$N, Aux_Totales!$F:$F, $F224, Aux_Totales!$A:$A,#REF!), 0))</f>
        <v/>
      </c>
      <c r="BCU224" s="19" t="str">
        <f>IF(BCU220 = "", "", IFERROR(BCU220 / SUMIFS(Aux_Totales!$N:$N, Aux_Totales!$F:$F, $F224, Aux_Totales!$A:$A,#REF!), 0))</f>
        <v/>
      </c>
      <c r="BCV224" s="19" t="str">
        <f>IF(BCV220 = "", "", IFERROR(BCV220 / SUMIFS(Aux_Totales!$N:$N, Aux_Totales!$F:$F, $F224, Aux_Totales!$A:$A,#REF!), 0))</f>
        <v/>
      </c>
      <c r="BCW224" s="19" t="str">
        <f>IF(BCW220 = "", "", IFERROR(BCW220 / SUMIFS(Aux_Totales!$N:$N, Aux_Totales!$F:$F, $F224, Aux_Totales!$A:$A,#REF!), 0))</f>
        <v/>
      </c>
      <c r="BCX224" s="19" t="str">
        <f>IF(BCX220 = "", "", IFERROR(BCX220 / SUMIFS(Aux_Totales!$N:$N, Aux_Totales!$F:$F, $F224, Aux_Totales!$A:$A,#REF!), 0))</f>
        <v/>
      </c>
      <c r="BCY224" s="19" t="str">
        <f>IF(BCY220 = "", "", IFERROR(BCY220 / SUMIFS(Aux_Totales!$N:$N, Aux_Totales!$F:$F, $F224, Aux_Totales!$A:$A,#REF!), 0))</f>
        <v/>
      </c>
      <c r="BCZ224" s="19" t="str">
        <f>IF(BCZ220 = "", "", IFERROR(BCZ220 / SUMIFS(Aux_Totales!$N:$N, Aux_Totales!$F:$F, $F224, Aux_Totales!$A:$A,#REF!), 0))</f>
        <v/>
      </c>
      <c r="BDA224" s="19" t="str">
        <f>IF(BDA220 = "", "", IFERROR(BDA220 / SUMIFS(Aux_Totales!$N:$N, Aux_Totales!$F:$F, $F224, Aux_Totales!$A:$A,#REF!), 0))</f>
        <v/>
      </c>
      <c r="BDB224" s="19" t="str">
        <f>IF(BDB220 = "", "", IFERROR(BDB220 / SUMIFS(Aux_Totales!$N:$N, Aux_Totales!$F:$F, $F224, Aux_Totales!$A:$A,#REF!), 0))</f>
        <v/>
      </c>
      <c r="BDC224" s="19" t="str">
        <f>IF(BDC220 = "", "", IFERROR(BDC220 / SUMIFS(Aux_Totales!$N:$N, Aux_Totales!$F:$F, $F224, Aux_Totales!$A:$A,#REF!), 0))</f>
        <v/>
      </c>
      <c r="BDD224" s="19" t="str">
        <f>IF(BDD220 = "", "", IFERROR(BDD220 / SUMIFS(Aux_Totales!$N:$N, Aux_Totales!$F:$F, $F224, Aux_Totales!$A:$A,#REF!), 0))</f>
        <v/>
      </c>
      <c r="BDE224" s="19" t="str">
        <f>IF(BDE220 = "", "", IFERROR(BDE220 / SUMIFS(Aux_Totales!$N:$N, Aux_Totales!$F:$F, $F224, Aux_Totales!$A:$A,#REF!), 0))</f>
        <v/>
      </c>
      <c r="BDF224" s="19" t="str">
        <f>IF(BDF220 = "", "", IFERROR(BDF220 / SUMIFS(Aux_Totales!$N:$N, Aux_Totales!$F:$F, $F224, Aux_Totales!$A:$A,#REF!), 0))</f>
        <v/>
      </c>
      <c r="BDG224" s="19" t="str">
        <f>IF(BDG220 = "", "", IFERROR(BDG220 / SUMIFS(Aux_Totales!$N:$N, Aux_Totales!$F:$F, $F224, Aux_Totales!$A:$A,#REF!), 0))</f>
        <v/>
      </c>
      <c r="BDH224" s="19" t="str">
        <f>IF(BDH220 = "", "", IFERROR(BDH220 / SUMIFS(Aux_Totales!$N:$N, Aux_Totales!$F:$F, $F224, Aux_Totales!$A:$A,#REF!), 0))</f>
        <v/>
      </c>
      <c r="BDI224" s="19" t="str">
        <f>IF(BDI220 = "", "", IFERROR(BDI220 / SUMIFS(Aux_Totales!$N:$N, Aux_Totales!$F:$F, $F224, Aux_Totales!$A:$A,#REF!), 0))</f>
        <v/>
      </c>
      <c r="BDJ224" s="19" t="str">
        <f>IF(BDJ220 = "", "", IFERROR(BDJ220 / SUMIFS(Aux_Totales!$N:$N, Aux_Totales!$F:$F, $F224, Aux_Totales!$A:$A,#REF!), 0))</f>
        <v/>
      </c>
      <c r="BDK224" s="19" t="str">
        <f>IF(BDK220 = "", "", IFERROR(BDK220 / SUMIFS(Aux_Totales!$N:$N, Aux_Totales!$F:$F, $F224, Aux_Totales!$A:$A,#REF!), 0))</f>
        <v/>
      </c>
      <c r="BDL224" s="19" t="str">
        <f>IF(BDL220 = "", "", IFERROR(BDL220 / SUMIFS(Aux_Totales!$N:$N, Aux_Totales!$F:$F, $F224, Aux_Totales!$A:$A,#REF!), 0))</f>
        <v/>
      </c>
      <c r="BDM224" s="19" t="str">
        <f>IF(BDM220 = "", "", IFERROR(BDM220 / SUMIFS(Aux_Totales!$N:$N, Aux_Totales!$F:$F, $F224, Aux_Totales!$A:$A,#REF!), 0))</f>
        <v/>
      </c>
      <c r="BDN224" s="19" t="str">
        <f>IF(BDN220 = "", "", IFERROR(BDN220 / SUMIFS(Aux_Totales!$N:$N, Aux_Totales!$F:$F, $F224, Aux_Totales!$A:$A,#REF!), 0))</f>
        <v/>
      </c>
      <c r="BDO224" s="19" t="str">
        <f>IF(BDO220 = "", "", IFERROR(BDO220 / SUMIFS(Aux_Totales!$N:$N, Aux_Totales!$F:$F, $F224, Aux_Totales!$A:$A,#REF!), 0))</f>
        <v/>
      </c>
      <c r="BDP224" s="19" t="str">
        <f>IF(BDP220 = "", "", IFERROR(BDP220 / SUMIFS(Aux_Totales!$N:$N, Aux_Totales!$F:$F, $F224, Aux_Totales!$A:$A,#REF!), 0))</f>
        <v/>
      </c>
      <c r="BDQ224" s="19" t="str">
        <f>IF(BDQ220 = "", "", IFERROR(BDQ220 / SUMIFS(Aux_Totales!$N:$N, Aux_Totales!$F:$F, $F224, Aux_Totales!$A:$A,#REF!), 0))</f>
        <v/>
      </c>
      <c r="BDR224" s="19" t="str">
        <f>IF(BDR220 = "", "", IFERROR(BDR220 / SUMIFS(Aux_Totales!$N:$N, Aux_Totales!$F:$F, $F224, Aux_Totales!$A:$A,#REF!), 0))</f>
        <v/>
      </c>
      <c r="BDS224" s="19" t="str">
        <f>IF(BDS220 = "", "", IFERROR(BDS220 / SUMIFS(Aux_Totales!$N:$N, Aux_Totales!$F:$F, $F224, Aux_Totales!$A:$A,#REF!), 0))</f>
        <v/>
      </c>
      <c r="BDT224" s="19" t="str">
        <f>IF(BDT220 = "", "", IFERROR(BDT220 / SUMIFS(Aux_Totales!$N:$N, Aux_Totales!$F:$F, $F224, Aux_Totales!$A:$A,#REF!), 0))</f>
        <v/>
      </c>
      <c r="BDU224" s="19" t="str">
        <f>IF(BDU220 = "", "", IFERROR(BDU220 / SUMIFS(Aux_Totales!$N:$N, Aux_Totales!$F:$F, $F224, Aux_Totales!$A:$A,#REF!), 0))</f>
        <v/>
      </c>
      <c r="BDV224" s="19" t="str">
        <f>IF(BDV220 = "", "", IFERROR(BDV220 / SUMIFS(Aux_Totales!$N:$N, Aux_Totales!$F:$F, $F224, Aux_Totales!$A:$A,#REF!), 0))</f>
        <v/>
      </c>
      <c r="BDW224" s="19" t="str">
        <f>IF(BDW220 = "", "", IFERROR(BDW220 / SUMIFS(Aux_Totales!$N:$N, Aux_Totales!$F:$F, $F224, Aux_Totales!$A:$A,#REF!), 0))</f>
        <v/>
      </c>
      <c r="BDX224" s="19" t="str">
        <f>IF(BDX220 = "", "", IFERROR(BDX220 / SUMIFS(Aux_Totales!$N:$N, Aux_Totales!$F:$F, $F224, Aux_Totales!$A:$A,#REF!), 0))</f>
        <v/>
      </c>
      <c r="BDY224" s="19" t="str">
        <f>IF(BDY220 = "", "", IFERROR(BDY220 / SUMIFS(Aux_Totales!$N:$N, Aux_Totales!$F:$F, $F224, Aux_Totales!$A:$A,#REF!), 0))</f>
        <v/>
      </c>
      <c r="BDZ224" s="19" t="str">
        <f>IF(BDZ220 = "", "", IFERROR(BDZ220 / SUMIFS(Aux_Totales!$N:$N, Aux_Totales!$F:$F, $F224, Aux_Totales!$A:$A,#REF!), 0))</f>
        <v/>
      </c>
      <c r="BEA224" s="19" t="str">
        <f>IF(BEA220 = "", "", IFERROR(BEA220 / SUMIFS(Aux_Totales!$N:$N, Aux_Totales!$F:$F, $F224, Aux_Totales!$A:$A,#REF!), 0))</f>
        <v/>
      </c>
      <c r="BEB224" s="19" t="str">
        <f>IF(BEB220 = "", "", IFERROR(BEB220 / SUMIFS(Aux_Totales!$N:$N, Aux_Totales!$F:$F, $F224, Aux_Totales!$A:$A,#REF!), 0))</f>
        <v/>
      </c>
      <c r="BEC224" s="19" t="str">
        <f>IF(BEC220 = "", "", IFERROR(BEC220 / SUMIFS(Aux_Totales!$N:$N, Aux_Totales!$F:$F, $F224, Aux_Totales!$A:$A,#REF!), 0))</f>
        <v/>
      </c>
      <c r="BED224" s="19" t="str">
        <f>IF(BED220 = "", "", IFERROR(BED220 / SUMIFS(Aux_Totales!$N:$N, Aux_Totales!$F:$F, $F224, Aux_Totales!$A:$A,#REF!), 0))</f>
        <v/>
      </c>
      <c r="BEE224" s="19" t="str">
        <f>IF(BEE220 = "", "", IFERROR(BEE220 / SUMIFS(Aux_Totales!$N:$N, Aux_Totales!$F:$F, $F224, Aux_Totales!$A:$A,#REF!), 0))</f>
        <v/>
      </c>
      <c r="BEF224" s="19" t="str">
        <f>IF(BEF220 = "", "", IFERROR(BEF220 / SUMIFS(Aux_Totales!$N:$N, Aux_Totales!$F:$F, $F224, Aux_Totales!$A:$A,#REF!), 0))</f>
        <v/>
      </c>
      <c r="BEG224" s="19" t="str">
        <f>IF(BEG220 = "", "", IFERROR(BEG220 / SUMIFS(Aux_Totales!$N:$N, Aux_Totales!$F:$F, $F224, Aux_Totales!$A:$A,#REF!), 0))</f>
        <v/>
      </c>
      <c r="BEH224" s="19" t="str">
        <f>IF(BEH220 = "", "", IFERROR(BEH220 / SUMIFS(Aux_Totales!$N:$N, Aux_Totales!$F:$F, $F224, Aux_Totales!$A:$A,#REF!), 0))</f>
        <v/>
      </c>
      <c r="BEI224" s="19" t="str">
        <f>IF(BEI220 = "", "", IFERROR(BEI220 / SUMIFS(Aux_Totales!$N:$N, Aux_Totales!$F:$F, $F224, Aux_Totales!$A:$A,#REF!), 0))</f>
        <v/>
      </c>
      <c r="BEJ224" s="19" t="str">
        <f>IF(BEJ220 = "", "", IFERROR(BEJ220 / SUMIFS(Aux_Totales!$N:$N, Aux_Totales!$F:$F, $F224, Aux_Totales!$A:$A,#REF!), 0))</f>
        <v/>
      </c>
      <c r="BEK224" s="19" t="str">
        <f>IF(BEK220 = "", "", IFERROR(BEK220 / SUMIFS(Aux_Totales!$N:$N, Aux_Totales!$F:$F, $F224, Aux_Totales!$A:$A,#REF!), 0))</f>
        <v/>
      </c>
      <c r="BEL224" s="19" t="str">
        <f>IF(BEL220 = "", "", IFERROR(BEL220 / SUMIFS(Aux_Totales!$N:$N, Aux_Totales!$F:$F, $F224, Aux_Totales!$A:$A,#REF!), 0))</f>
        <v/>
      </c>
      <c r="BEM224" s="19" t="str">
        <f>IF(BEM220 = "", "", IFERROR(BEM220 / SUMIFS(Aux_Totales!$N:$N, Aux_Totales!$F:$F, $F224, Aux_Totales!$A:$A,#REF!), 0))</f>
        <v/>
      </c>
      <c r="BEN224" s="19" t="str">
        <f>IF(BEN220 = "", "", IFERROR(BEN220 / SUMIFS(Aux_Totales!$N:$N, Aux_Totales!$F:$F, $F224, Aux_Totales!$A:$A,#REF!), 0))</f>
        <v/>
      </c>
      <c r="BEO224" s="19" t="str">
        <f>IF(BEO220 = "", "", IFERROR(BEO220 / SUMIFS(Aux_Totales!$N:$N, Aux_Totales!$F:$F, $F224, Aux_Totales!$A:$A,#REF!), 0))</f>
        <v/>
      </c>
      <c r="BEP224" s="19" t="str">
        <f>IF(BEP220 = "", "", IFERROR(BEP220 / SUMIFS(Aux_Totales!$N:$N, Aux_Totales!$F:$F, $F224, Aux_Totales!$A:$A,#REF!), 0))</f>
        <v/>
      </c>
      <c r="BEQ224" s="19" t="str">
        <f>IF(BEQ220 = "", "", IFERROR(BEQ220 / SUMIFS(Aux_Totales!$N:$N, Aux_Totales!$F:$F, $F224, Aux_Totales!$A:$A,#REF!), 0))</f>
        <v/>
      </c>
      <c r="BER224" s="19" t="str">
        <f>IF(BER220 = "", "", IFERROR(BER220 / SUMIFS(Aux_Totales!$N:$N, Aux_Totales!$F:$F, $F224, Aux_Totales!$A:$A,#REF!), 0))</f>
        <v/>
      </c>
      <c r="BES224" s="19" t="str">
        <f>IF(BES220 = "", "", IFERROR(BES220 / SUMIFS(Aux_Totales!$N:$N, Aux_Totales!$F:$F, $F224, Aux_Totales!$A:$A,#REF!), 0))</f>
        <v/>
      </c>
      <c r="BET224" s="19" t="str">
        <f>IF(BET220 = "", "", IFERROR(BET220 / SUMIFS(Aux_Totales!$N:$N, Aux_Totales!$F:$F, $F224, Aux_Totales!$A:$A,#REF!), 0))</f>
        <v/>
      </c>
      <c r="BEU224" s="19" t="str">
        <f>IF(BEU220 = "", "", IFERROR(BEU220 / SUMIFS(Aux_Totales!$N:$N, Aux_Totales!$F:$F, $F224, Aux_Totales!$A:$A,#REF!), 0))</f>
        <v/>
      </c>
      <c r="BEV224" s="19" t="str">
        <f>IF(BEV220 = "", "", IFERROR(BEV220 / SUMIFS(Aux_Totales!$N:$N, Aux_Totales!$F:$F, $F224, Aux_Totales!$A:$A,#REF!), 0))</f>
        <v/>
      </c>
      <c r="BEW224" s="19" t="str">
        <f>IF(BEW220 = "", "", IFERROR(BEW220 / SUMIFS(Aux_Totales!$N:$N, Aux_Totales!$F:$F, $F224, Aux_Totales!$A:$A,#REF!), 0))</f>
        <v/>
      </c>
      <c r="BEX224" s="19" t="str">
        <f>IF(BEX220 = "", "", IFERROR(BEX220 / SUMIFS(Aux_Totales!$N:$N, Aux_Totales!$F:$F, $F224, Aux_Totales!$A:$A,#REF!), 0))</f>
        <v/>
      </c>
      <c r="BEY224" s="19" t="str">
        <f>IF(BEY220 = "", "", IFERROR(BEY220 / SUMIFS(Aux_Totales!$N:$N, Aux_Totales!$F:$F, $F224, Aux_Totales!$A:$A,#REF!), 0))</f>
        <v/>
      </c>
      <c r="BEZ224" s="19" t="str">
        <f>IF(BEZ220 = "", "", IFERROR(BEZ220 / SUMIFS(Aux_Totales!$N:$N, Aux_Totales!$F:$F, $F224, Aux_Totales!$A:$A,#REF!), 0))</f>
        <v/>
      </c>
      <c r="BFA224" s="19" t="str">
        <f>IF(BFA220 = "", "", IFERROR(BFA220 / SUMIFS(Aux_Totales!$N:$N, Aux_Totales!$F:$F, $F224, Aux_Totales!$A:$A,#REF!), 0))</f>
        <v/>
      </c>
      <c r="BFB224" s="19" t="str">
        <f>IF(BFB220 = "", "", IFERROR(BFB220 / SUMIFS(Aux_Totales!$N:$N, Aux_Totales!$F:$F, $F224, Aux_Totales!$A:$A,#REF!), 0))</f>
        <v/>
      </c>
      <c r="BFC224" s="19" t="str">
        <f>IF(BFC220 = "", "", IFERROR(BFC220 / SUMIFS(Aux_Totales!$N:$N, Aux_Totales!$F:$F, $F224, Aux_Totales!$A:$A,#REF!), 0))</f>
        <v/>
      </c>
      <c r="BFD224" s="19" t="str">
        <f>IF(BFD220 = "", "", IFERROR(BFD220 / SUMIFS(Aux_Totales!$N:$N, Aux_Totales!$F:$F, $F224, Aux_Totales!$A:$A,#REF!), 0))</f>
        <v/>
      </c>
      <c r="BFE224" s="19" t="str">
        <f>IF(BFE220 = "", "", IFERROR(BFE220 / SUMIFS(Aux_Totales!$N:$N, Aux_Totales!$F:$F, $F224, Aux_Totales!$A:$A,#REF!), 0))</f>
        <v/>
      </c>
      <c r="BFF224" s="19" t="str">
        <f>IF(BFF220 = "", "", IFERROR(BFF220 / SUMIFS(Aux_Totales!$N:$N, Aux_Totales!$F:$F, $F224, Aux_Totales!$A:$A,#REF!), 0))</f>
        <v/>
      </c>
      <c r="BFG224" s="19" t="str">
        <f>IF(BFG220 = "", "", IFERROR(BFG220 / SUMIFS(Aux_Totales!$N:$N, Aux_Totales!$F:$F, $F224, Aux_Totales!$A:$A,#REF!), 0))</f>
        <v/>
      </c>
      <c r="BFH224" s="19" t="str">
        <f>IF(BFH220 = "", "", IFERROR(BFH220 / SUMIFS(Aux_Totales!$N:$N, Aux_Totales!$F:$F, $F224, Aux_Totales!$A:$A,#REF!), 0))</f>
        <v/>
      </c>
      <c r="BFI224" s="19" t="str">
        <f>IF(BFI220 = "", "", IFERROR(BFI220 / SUMIFS(Aux_Totales!$N:$N, Aux_Totales!$F:$F, $F224, Aux_Totales!$A:$A,#REF!), 0))</f>
        <v/>
      </c>
      <c r="BFJ224" s="19" t="str">
        <f>IF(BFJ220 = "", "", IFERROR(BFJ220 / SUMIFS(Aux_Totales!$N:$N, Aux_Totales!$F:$F, $F224, Aux_Totales!$A:$A,#REF!), 0))</f>
        <v/>
      </c>
      <c r="BFK224" s="19" t="str">
        <f>IF(BFK220 = "", "", IFERROR(BFK220 / SUMIFS(Aux_Totales!$N:$N, Aux_Totales!$F:$F, $F224, Aux_Totales!$A:$A,#REF!), 0))</f>
        <v/>
      </c>
      <c r="BFL224" s="19" t="str">
        <f>IF(BFL220 = "", "", IFERROR(BFL220 / SUMIFS(Aux_Totales!$N:$N, Aux_Totales!$F:$F, $F224, Aux_Totales!$A:$A,#REF!), 0))</f>
        <v/>
      </c>
      <c r="BFM224" s="19" t="str">
        <f>IF(BFM220 = "", "", IFERROR(BFM220 / SUMIFS(Aux_Totales!$N:$N, Aux_Totales!$F:$F, $F224, Aux_Totales!$A:$A,#REF!), 0))</f>
        <v/>
      </c>
      <c r="BFN224" s="19" t="str">
        <f>IF(BFN220 = "", "", IFERROR(BFN220 / SUMIFS(Aux_Totales!$N:$N, Aux_Totales!$F:$F, $F224, Aux_Totales!$A:$A,#REF!), 0))</f>
        <v/>
      </c>
      <c r="BFO224" s="19" t="str">
        <f>IF(BFO220 = "", "", IFERROR(BFO220 / SUMIFS(Aux_Totales!$N:$N, Aux_Totales!$F:$F, $F224, Aux_Totales!$A:$A,#REF!), 0))</f>
        <v/>
      </c>
      <c r="BFP224" s="19" t="str">
        <f>IF(BFP220 = "", "", IFERROR(BFP220 / SUMIFS(Aux_Totales!$N:$N, Aux_Totales!$F:$F, $F224, Aux_Totales!$A:$A,#REF!), 0))</f>
        <v/>
      </c>
      <c r="BFQ224" s="19" t="str">
        <f>IF(BFQ220 = "", "", IFERROR(BFQ220 / SUMIFS(Aux_Totales!$N:$N, Aux_Totales!$F:$F, $F224, Aux_Totales!$A:$A,#REF!), 0))</f>
        <v/>
      </c>
      <c r="BFR224" s="19" t="str">
        <f>IF(BFR220 = "", "", IFERROR(BFR220 / SUMIFS(Aux_Totales!$N:$N, Aux_Totales!$F:$F, $F224, Aux_Totales!$A:$A,#REF!), 0))</f>
        <v/>
      </c>
      <c r="BFS224" s="19" t="str">
        <f>IF(BFS220 = "", "", IFERROR(BFS220 / SUMIFS(Aux_Totales!$N:$N, Aux_Totales!$F:$F, $F224, Aux_Totales!$A:$A,#REF!), 0))</f>
        <v/>
      </c>
      <c r="BFT224" s="19" t="str">
        <f>IF(BFT220 = "", "", IFERROR(BFT220 / SUMIFS(Aux_Totales!$N:$N, Aux_Totales!$F:$F, $F224, Aux_Totales!$A:$A,#REF!), 0))</f>
        <v/>
      </c>
      <c r="BFU224" s="19" t="str">
        <f>IF(BFU220 = "", "", IFERROR(BFU220 / SUMIFS(Aux_Totales!$N:$N, Aux_Totales!$F:$F, $F224, Aux_Totales!$A:$A,#REF!), 0))</f>
        <v/>
      </c>
      <c r="BFV224" s="19" t="str">
        <f>IF(BFV220 = "", "", IFERROR(BFV220 / SUMIFS(Aux_Totales!$N:$N, Aux_Totales!$F:$F, $F224, Aux_Totales!$A:$A,#REF!), 0))</f>
        <v/>
      </c>
      <c r="BFW224" s="19" t="str">
        <f>IF(BFW220 = "", "", IFERROR(BFW220 / SUMIFS(Aux_Totales!$N:$N, Aux_Totales!$F:$F, $F224, Aux_Totales!$A:$A,#REF!), 0))</f>
        <v/>
      </c>
      <c r="BFX224" s="19" t="str">
        <f>IF(BFX220 = "", "", IFERROR(BFX220 / SUMIFS(Aux_Totales!$N:$N, Aux_Totales!$F:$F, $F224, Aux_Totales!$A:$A,#REF!), 0))</f>
        <v/>
      </c>
      <c r="BFY224" s="19" t="str">
        <f>IF(BFY220 = "", "", IFERROR(BFY220 / SUMIFS(Aux_Totales!$N:$N, Aux_Totales!$F:$F, $F224, Aux_Totales!$A:$A,#REF!), 0))</f>
        <v/>
      </c>
      <c r="BFZ224" s="19" t="str">
        <f>IF(BFZ220 = "", "", IFERROR(BFZ220 / SUMIFS(Aux_Totales!$N:$N, Aux_Totales!$F:$F, $F224, Aux_Totales!$A:$A,#REF!), 0))</f>
        <v/>
      </c>
      <c r="BGA224" s="19" t="str">
        <f>IF(BGA220 = "", "", IFERROR(BGA220 / SUMIFS(Aux_Totales!$N:$N, Aux_Totales!$F:$F, $F224, Aux_Totales!$A:$A,#REF!), 0))</f>
        <v/>
      </c>
      <c r="BGB224" s="19" t="str">
        <f>IF(BGB220 = "", "", IFERROR(BGB220 / SUMIFS(Aux_Totales!$N:$N, Aux_Totales!$F:$F, $F224, Aux_Totales!$A:$A,#REF!), 0))</f>
        <v/>
      </c>
      <c r="BGC224" s="19" t="str">
        <f>IF(BGC220 = "", "", IFERROR(BGC220 / SUMIFS(Aux_Totales!$N:$N, Aux_Totales!$F:$F, $F224, Aux_Totales!$A:$A,#REF!), 0))</f>
        <v/>
      </c>
      <c r="BGD224" s="19" t="str">
        <f>IF(BGD220 = "", "", IFERROR(BGD220 / SUMIFS(Aux_Totales!$N:$N, Aux_Totales!$F:$F, $F224, Aux_Totales!$A:$A,#REF!), 0))</f>
        <v/>
      </c>
      <c r="BGE224" s="19" t="str">
        <f>IF(BGE220 = "", "", IFERROR(BGE220 / SUMIFS(Aux_Totales!$N:$N, Aux_Totales!$F:$F, $F224, Aux_Totales!$A:$A,#REF!), 0))</f>
        <v/>
      </c>
      <c r="BGF224" s="19" t="str">
        <f>IF(BGF220 = "", "", IFERROR(BGF220 / SUMIFS(Aux_Totales!$N:$N, Aux_Totales!$F:$F, $F224, Aux_Totales!$A:$A,#REF!), 0))</f>
        <v/>
      </c>
      <c r="BGG224" s="19" t="str">
        <f>IF(BGG220 = "", "", IFERROR(BGG220 / SUMIFS(Aux_Totales!$N:$N, Aux_Totales!$F:$F, $F224, Aux_Totales!$A:$A,#REF!), 0))</f>
        <v/>
      </c>
      <c r="BGH224" s="19" t="str">
        <f>IF(BGH220 = "", "", IFERROR(BGH220 / SUMIFS(Aux_Totales!$N:$N, Aux_Totales!$F:$F, $F224, Aux_Totales!$A:$A,#REF!), 0))</f>
        <v/>
      </c>
      <c r="BGI224" s="19" t="str">
        <f>IF(BGI220 = "", "", IFERROR(BGI220 / SUMIFS(Aux_Totales!$N:$N, Aux_Totales!$F:$F, $F224, Aux_Totales!$A:$A,#REF!), 0))</f>
        <v/>
      </c>
      <c r="BGJ224" s="19" t="str">
        <f>IF(BGJ220 = "", "", IFERROR(BGJ220 / SUMIFS(Aux_Totales!$N:$N, Aux_Totales!$F:$F, $F224, Aux_Totales!$A:$A,#REF!), 0))</f>
        <v/>
      </c>
      <c r="BGK224" s="19" t="str">
        <f>IF(BGK220 = "", "", IFERROR(BGK220 / SUMIFS(Aux_Totales!$N:$N, Aux_Totales!$F:$F, $F224, Aux_Totales!$A:$A,#REF!), 0))</f>
        <v/>
      </c>
      <c r="BGL224" s="19" t="str">
        <f>IF(BGL220 = "", "", IFERROR(BGL220 / SUMIFS(Aux_Totales!$N:$N, Aux_Totales!$F:$F, $F224, Aux_Totales!$A:$A,#REF!), 0))</f>
        <v/>
      </c>
      <c r="BGM224" s="19" t="str">
        <f>IF(BGM220 = "", "", IFERROR(BGM220 / SUMIFS(Aux_Totales!$N:$N, Aux_Totales!$F:$F, $F224, Aux_Totales!$A:$A,#REF!), 0))</f>
        <v/>
      </c>
      <c r="BGN224" s="19" t="str">
        <f>IF(BGN220 = "", "", IFERROR(BGN220 / SUMIFS(Aux_Totales!$N:$N, Aux_Totales!$F:$F, $F224, Aux_Totales!$A:$A,#REF!), 0))</f>
        <v/>
      </c>
      <c r="BGO224" s="19" t="str">
        <f>IF(BGO220 = "", "", IFERROR(BGO220 / SUMIFS(Aux_Totales!$N:$N, Aux_Totales!$F:$F, $F224, Aux_Totales!$A:$A,#REF!), 0))</f>
        <v/>
      </c>
      <c r="BGP224" s="19" t="str">
        <f>IF(BGP220 = "", "", IFERROR(BGP220 / SUMIFS(Aux_Totales!$N:$N, Aux_Totales!$F:$F, $F224, Aux_Totales!$A:$A,#REF!), 0))</f>
        <v/>
      </c>
      <c r="BGQ224" s="19" t="str">
        <f>IF(BGQ220 = "", "", IFERROR(BGQ220 / SUMIFS(Aux_Totales!$N:$N, Aux_Totales!$F:$F, $F224, Aux_Totales!$A:$A,#REF!), 0))</f>
        <v/>
      </c>
      <c r="BGR224" s="19" t="str">
        <f>IF(BGR220 = "", "", IFERROR(BGR220 / SUMIFS(Aux_Totales!$N:$N, Aux_Totales!$F:$F, $F224, Aux_Totales!$A:$A,#REF!), 0))</f>
        <v/>
      </c>
      <c r="BGS224" s="19" t="str">
        <f>IF(BGS220 = "", "", IFERROR(BGS220 / SUMIFS(Aux_Totales!$N:$N, Aux_Totales!$F:$F, $F224, Aux_Totales!$A:$A,#REF!), 0))</f>
        <v/>
      </c>
      <c r="BGT224" s="19" t="str">
        <f>IF(BGT220 = "", "", IFERROR(BGT220 / SUMIFS(Aux_Totales!$N:$N, Aux_Totales!$F:$F, $F224, Aux_Totales!$A:$A,#REF!), 0))</f>
        <v/>
      </c>
      <c r="BGU224" s="19" t="str">
        <f>IF(BGU220 = "", "", IFERROR(BGU220 / SUMIFS(Aux_Totales!$N:$N, Aux_Totales!$F:$F, $F224, Aux_Totales!$A:$A,#REF!), 0))</f>
        <v/>
      </c>
      <c r="BGV224" s="19" t="str">
        <f>IF(BGV220 = "", "", IFERROR(BGV220 / SUMIFS(Aux_Totales!$N:$N, Aux_Totales!$F:$F, $F224, Aux_Totales!$A:$A,#REF!), 0))</f>
        <v/>
      </c>
      <c r="BGW224" s="19" t="str">
        <f>IF(BGW220 = "", "", IFERROR(BGW220 / SUMIFS(Aux_Totales!$N:$N, Aux_Totales!$F:$F, $F224, Aux_Totales!$A:$A,#REF!), 0))</f>
        <v/>
      </c>
      <c r="BGX224" s="19" t="str">
        <f>IF(BGX220 = "", "", IFERROR(BGX220 / SUMIFS(Aux_Totales!$N:$N, Aux_Totales!$F:$F, $F224, Aux_Totales!$A:$A,#REF!), 0))</f>
        <v/>
      </c>
      <c r="BGY224" s="19" t="str">
        <f>IF(BGY220 = "", "", IFERROR(BGY220 / SUMIFS(Aux_Totales!$N:$N, Aux_Totales!$F:$F, $F224, Aux_Totales!$A:$A,#REF!), 0))</f>
        <v/>
      </c>
      <c r="BGZ224" s="19" t="str">
        <f>IF(BGZ220 = "", "", IFERROR(BGZ220 / SUMIFS(Aux_Totales!$N:$N, Aux_Totales!$F:$F, $F224, Aux_Totales!$A:$A,#REF!), 0))</f>
        <v/>
      </c>
      <c r="BHA224" s="19" t="str">
        <f>IF(BHA220 = "", "", IFERROR(BHA220 / SUMIFS(Aux_Totales!$N:$N, Aux_Totales!$F:$F, $F224, Aux_Totales!$A:$A,#REF!), 0))</f>
        <v/>
      </c>
      <c r="BHB224" s="19" t="str">
        <f>IF(BHB220 = "", "", IFERROR(BHB220 / SUMIFS(Aux_Totales!$N:$N, Aux_Totales!$F:$F, $F224, Aux_Totales!$A:$A,#REF!), 0))</f>
        <v/>
      </c>
      <c r="BHC224" s="19" t="str">
        <f>IF(BHC220 = "", "", IFERROR(BHC220 / SUMIFS(Aux_Totales!$N:$N, Aux_Totales!$F:$F, $F224, Aux_Totales!$A:$A,#REF!), 0))</f>
        <v/>
      </c>
      <c r="BHD224" s="19" t="str">
        <f>IF(BHD220 = "", "", IFERROR(BHD220 / SUMIFS(Aux_Totales!$N:$N, Aux_Totales!$F:$F, $F224, Aux_Totales!$A:$A,#REF!), 0))</f>
        <v/>
      </c>
      <c r="BHE224" s="19" t="str">
        <f>IF(BHE220 = "", "", IFERROR(BHE220 / SUMIFS(Aux_Totales!$N:$N, Aux_Totales!$F:$F, $F224, Aux_Totales!$A:$A,#REF!), 0))</f>
        <v/>
      </c>
      <c r="BHF224" s="19" t="str">
        <f>IF(BHF220 = "", "", IFERROR(BHF220 / SUMIFS(Aux_Totales!$N:$N, Aux_Totales!$F:$F, $F224, Aux_Totales!$A:$A,#REF!), 0))</f>
        <v/>
      </c>
      <c r="BHG224" s="19" t="str">
        <f>IF(BHG220 = "", "", IFERROR(BHG220 / SUMIFS(Aux_Totales!$N:$N, Aux_Totales!$F:$F, $F224, Aux_Totales!$A:$A,#REF!), 0))</f>
        <v/>
      </c>
      <c r="BHH224" s="19" t="str">
        <f>IF(BHH220 = "", "", IFERROR(BHH220 / SUMIFS(Aux_Totales!$N:$N, Aux_Totales!$F:$F, $F224, Aux_Totales!$A:$A,#REF!), 0))</f>
        <v/>
      </c>
      <c r="BHI224" s="19" t="str">
        <f>IF(BHI220 = "", "", IFERROR(BHI220 / SUMIFS(Aux_Totales!$N:$N, Aux_Totales!$F:$F, $F224, Aux_Totales!$A:$A,#REF!), 0))</f>
        <v/>
      </c>
      <c r="BHJ224" s="19" t="str">
        <f>IF(BHJ220 = "", "", IFERROR(BHJ220 / SUMIFS(Aux_Totales!$N:$N, Aux_Totales!$F:$F, $F224, Aux_Totales!$A:$A,#REF!), 0))</f>
        <v/>
      </c>
      <c r="BHK224" s="19" t="str">
        <f>IF(BHK220 = "", "", IFERROR(BHK220 / SUMIFS(Aux_Totales!$N:$N, Aux_Totales!$F:$F, $F224, Aux_Totales!$A:$A,#REF!), 0))</f>
        <v/>
      </c>
      <c r="BHL224" s="19" t="str">
        <f>IF(BHL220 = "", "", IFERROR(BHL220 / SUMIFS(Aux_Totales!$N:$N, Aux_Totales!$F:$F, $F224, Aux_Totales!$A:$A,#REF!), 0))</f>
        <v/>
      </c>
      <c r="BHM224" s="19" t="str">
        <f>IF(BHM220 = "", "", IFERROR(BHM220 / SUMIFS(Aux_Totales!$N:$N, Aux_Totales!$F:$F, $F224, Aux_Totales!$A:$A,#REF!), 0))</f>
        <v/>
      </c>
      <c r="BHN224" s="19" t="str">
        <f>IF(BHN220 = "", "", IFERROR(BHN220 / SUMIFS(Aux_Totales!$N:$N, Aux_Totales!$F:$F, $F224, Aux_Totales!$A:$A,#REF!), 0))</f>
        <v/>
      </c>
      <c r="BHO224" s="19" t="str">
        <f>IF(BHO220 = "", "", IFERROR(BHO220 / SUMIFS(Aux_Totales!$N:$N, Aux_Totales!$F:$F, $F224, Aux_Totales!$A:$A,#REF!), 0))</f>
        <v/>
      </c>
      <c r="BHP224" s="19" t="str">
        <f>IF(BHP220 = "", "", IFERROR(BHP220 / SUMIFS(Aux_Totales!$N:$N, Aux_Totales!$F:$F, $F224, Aux_Totales!$A:$A,#REF!), 0))</f>
        <v/>
      </c>
      <c r="BHQ224" s="19" t="str">
        <f>IF(BHQ220 = "", "", IFERROR(BHQ220 / SUMIFS(Aux_Totales!$N:$N, Aux_Totales!$F:$F, $F224, Aux_Totales!$A:$A,#REF!), 0))</f>
        <v/>
      </c>
      <c r="BHR224" s="19" t="str">
        <f>IF(BHR220 = "", "", IFERROR(BHR220 / SUMIFS(Aux_Totales!$N:$N, Aux_Totales!$F:$F, $F224, Aux_Totales!$A:$A,#REF!), 0))</f>
        <v/>
      </c>
      <c r="BHS224" s="19" t="str">
        <f>IF(BHS220 = "", "", IFERROR(BHS220 / SUMIFS(Aux_Totales!$N:$N, Aux_Totales!$F:$F, $F224, Aux_Totales!$A:$A,#REF!), 0))</f>
        <v/>
      </c>
      <c r="BHT224" s="19" t="str">
        <f>IF(BHT220 = "", "", IFERROR(BHT220 / SUMIFS(Aux_Totales!$N:$N, Aux_Totales!$F:$F, $F224, Aux_Totales!$A:$A,#REF!), 0))</f>
        <v/>
      </c>
      <c r="BHU224" s="19" t="str">
        <f>IF(BHU220 = "", "", IFERROR(BHU220 / SUMIFS(Aux_Totales!$N:$N, Aux_Totales!$F:$F, $F224, Aux_Totales!$A:$A,#REF!), 0))</f>
        <v/>
      </c>
      <c r="BHV224" s="19" t="str">
        <f>IF(BHV220 = "", "", IFERROR(BHV220 / SUMIFS(Aux_Totales!$N:$N, Aux_Totales!$F:$F, $F224, Aux_Totales!$A:$A,#REF!), 0))</f>
        <v/>
      </c>
      <c r="BHW224" s="19" t="str">
        <f>IF(BHW220 = "", "", IFERROR(BHW220 / SUMIFS(Aux_Totales!$N:$N, Aux_Totales!$F:$F, $F224, Aux_Totales!$A:$A,#REF!), 0))</f>
        <v/>
      </c>
      <c r="BHX224" s="19" t="str">
        <f>IF(BHX220 = "", "", IFERROR(BHX220 / SUMIFS(Aux_Totales!$N:$N, Aux_Totales!$F:$F, $F224, Aux_Totales!$A:$A,#REF!), 0))</f>
        <v/>
      </c>
      <c r="BHY224" s="19" t="str">
        <f>IF(BHY220 = "", "", IFERROR(BHY220 / SUMIFS(Aux_Totales!$N:$N, Aux_Totales!$F:$F, $F224, Aux_Totales!$A:$A,#REF!), 0))</f>
        <v/>
      </c>
      <c r="BHZ224" s="19" t="str">
        <f>IF(BHZ220 = "", "", IFERROR(BHZ220 / SUMIFS(Aux_Totales!$N:$N, Aux_Totales!$F:$F, $F224, Aux_Totales!$A:$A,#REF!), 0))</f>
        <v/>
      </c>
      <c r="BIA224" s="19" t="str">
        <f>IF(BIA220 = "", "", IFERROR(BIA220 / SUMIFS(Aux_Totales!$N:$N, Aux_Totales!$F:$F, $F224, Aux_Totales!$A:$A,#REF!), 0))</f>
        <v/>
      </c>
      <c r="BIB224" s="19" t="str">
        <f>IF(BIB220 = "", "", IFERROR(BIB220 / SUMIFS(Aux_Totales!$N:$N, Aux_Totales!$F:$F, $F224, Aux_Totales!$A:$A,#REF!), 0))</f>
        <v/>
      </c>
      <c r="BIC224" s="19" t="str">
        <f>IF(BIC220 = "", "", IFERROR(BIC220 / SUMIFS(Aux_Totales!$N:$N, Aux_Totales!$F:$F, $F224, Aux_Totales!$A:$A,#REF!), 0))</f>
        <v/>
      </c>
      <c r="BID224" s="19" t="str">
        <f>IF(BID220 = "", "", IFERROR(BID220 / SUMIFS(Aux_Totales!$N:$N, Aux_Totales!$F:$F, $F224, Aux_Totales!$A:$A,#REF!), 0))</f>
        <v/>
      </c>
      <c r="BIE224" s="19" t="str">
        <f>IF(BIE220 = "", "", IFERROR(BIE220 / SUMIFS(Aux_Totales!$N:$N, Aux_Totales!$F:$F, $F224, Aux_Totales!$A:$A,#REF!), 0))</f>
        <v/>
      </c>
      <c r="BIF224" s="19" t="str">
        <f>IF(BIF220 = "", "", IFERROR(BIF220 / SUMIFS(Aux_Totales!$N:$N, Aux_Totales!$F:$F, $F224, Aux_Totales!$A:$A,#REF!), 0))</f>
        <v/>
      </c>
      <c r="BIG224" s="19" t="str">
        <f>IF(BIG220 = "", "", IFERROR(BIG220 / SUMIFS(Aux_Totales!$N:$N, Aux_Totales!$F:$F, $F224, Aux_Totales!$A:$A,#REF!), 0))</f>
        <v/>
      </c>
      <c r="BIH224" s="19" t="str">
        <f>IF(BIH220 = "", "", IFERROR(BIH220 / SUMIFS(Aux_Totales!$N:$N, Aux_Totales!$F:$F, $F224, Aux_Totales!$A:$A,#REF!), 0))</f>
        <v/>
      </c>
      <c r="BII224" s="19" t="str">
        <f>IF(BII220 = "", "", IFERROR(BII220 / SUMIFS(Aux_Totales!$N:$N, Aux_Totales!$F:$F, $F224, Aux_Totales!$A:$A,#REF!), 0))</f>
        <v/>
      </c>
      <c r="BIJ224" s="19" t="str">
        <f>IF(BIJ220 = "", "", IFERROR(BIJ220 / SUMIFS(Aux_Totales!$N:$N, Aux_Totales!$F:$F, $F224, Aux_Totales!$A:$A,#REF!), 0))</f>
        <v/>
      </c>
      <c r="BIK224" s="19" t="str">
        <f>IF(BIK220 = "", "", IFERROR(BIK220 / SUMIFS(Aux_Totales!$N:$N, Aux_Totales!$F:$F, $F224, Aux_Totales!$A:$A,#REF!), 0))</f>
        <v/>
      </c>
      <c r="BIL224" s="19" t="str">
        <f>IF(BIL220 = "", "", IFERROR(BIL220 / SUMIFS(Aux_Totales!$N:$N, Aux_Totales!$F:$F, $F224, Aux_Totales!$A:$A,#REF!), 0))</f>
        <v/>
      </c>
      <c r="BIM224" s="19" t="str">
        <f>IF(BIM220 = "", "", IFERROR(BIM220 / SUMIFS(Aux_Totales!$N:$N, Aux_Totales!$F:$F, $F224, Aux_Totales!$A:$A,#REF!), 0))</f>
        <v/>
      </c>
      <c r="BIN224" s="19" t="str">
        <f>IF(BIN220 = "", "", IFERROR(BIN220 / SUMIFS(Aux_Totales!$N:$N, Aux_Totales!$F:$F, $F224, Aux_Totales!$A:$A,#REF!), 0))</f>
        <v/>
      </c>
      <c r="BIO224" s="19" t="str">
        <f>IF(BIO220 = "", "", IFERROR(BIO220 / SUMIFS(Aux_Totales!$N:$N, Aux_Totales!$F:$F, $F224, Aux_Totales!$A:$A,#REF!), 0))</f>
        <v/>
      </c>
      <c r="BIP224" s="19" t="str">
        <f>IF(BIP220 = "", "", IFERROR(BIP220 / SUMIFS(Aux_Totales!$N:$N, Aux_Totales!$F:$F, $F224, Aux_Totales!$A:$A,#REF!), 0))</f>
        <v/>
      </c>
      <c r="BIQ224" s="19" t="str">
        <f>IF(BIQ220 = "", "", IFERROR(BIQ220 / SUMIFS(Aux_Totales!$N:$N, Aux_Totales!$F:$F, $F224, Aux_Totales!$A:$A,#REF!), 0))</f>
        <v/>
      </c>
      <c r="BIR224" s="19" t="str">
        <f>IF(BIR220 = "", "", IFERROR(BIR220 / SUMIFS(Aux_Totales!$N:$N, Aux_Totales!$F:$F, $F224, Aux_Totales!$A:$A,#REF!), 0))</f>
        <v/>
      </c>
      <c r="BIS224" s="19" t="str">
        <f>IF(BIS220 = "", "", IFERROR(BIS220 / SUMIFS(Aux_Totales!$N:$N, Aux_Totales!$F:$F, $F224, Aux_Totales!$A:$A,#REF!), 0))</f>
        <v/>
      </c>
      <c r="BIT224" s="19" t="str">
        <f>IF(BIT220 = "", "", IFERROR(BIT220 / SUMIFS(Aux_Totales!$N:$N, Aux_Totales!$F:$F, $F224, Aux_Totales!$A:$A,#REF!), 0))</f>
        <v/>
      </c>
      <c r="BIU224" s="19" t="str">
        <f>IF(BIU220 = "", "", IFERROR(BIU220 / SUMIFS(Aux_Totales!$N:$N, Aux_Totales!$F:$F, $F224, Aux_Totales!$A:$A,#REF!), 0))</f>
        <v/>
      </c>
      <c r="BIV224" s="19" t="str">
        <f>IF(BIV220 = "", "", IFERROR(BIV220 / SUMIFS(Aux_Totales!$N:$N, Aux_Totales!$F:$F, $F224, Aux_Totales!$A:$A,#REF!), 0))</f>
        <v/>
      </c>
      <c r="BIW224" s="19" t="str">
        <f>IF(BIW220 = "", "", IFERROR(BIW220 / SUMIFS(Aux_Totales!$N:$N, Aux_Totales!$F:$F, $F224, Aux_Totales!$A:$A,#REF!), 0))</f>
        <v/>
      </c>
      <c r="BIX224" s="19" t="str">
        <f>IF(BIX220 = "", "", IFERROR(BIX220 / SUMIFS(Aux_Totales!$N:$N, Aux_Totales!$F:$F, $F224, Aux_Totales!$A:$A,#REF!), 0))</f>
        <v/>
      </c>
      <c r="BIY224" s="19" t="str">
        <f>IF(BIY220 = "", "", IFERROR(BIY220 / SUMIFS(Aux_Totales!$N:$N, Aux_Totales!$F:$F, $F224, Aux_Totales!$A:$A,#REF!), 0))</f>
        <v/>
      </c>
      <c r="BIZ224" s="19" t="str">
        <f>IF(BIZ220 = "", "", IFERROR(BIZ220 / SUMIFS(Aux_Totales!$N:$N, Aux_Totales!$F:$F, $F224, Aux_Totales!$A:$A,#REF!), 0))</f>
        <v/>
      </c>
      <c r="BJA224" s="19" t="str">
        <f>IF(BJA220 = "", "", IFERROR(BJA220 / SUMIFS(Aux_Totales!$N:$N, Aux_Totales!$F:$F, $F224, Aux_Totales!$A:$A,#REF!), 0))</f>
        <v/>
      </c>
      <c r="BJB224" s="19" t="str">
        <f>IF(BJB220 = "", "", IFERROR(BJB220 / SUMIFS(Aux_Totales!$N:$N, Aux_Totales!$F:$F, $F224, Aux_Totales!$A:$A,#REF!), 0))</f>
        <v/>
      </c>
      <c r="BJC224" s="19" t="str">
        <f>IF(BJC220 = "", "", IFERROR(BJC220 / SUMIFS(Aux_Totales!$N:$N, Aux_Totales!$F:$F, $F224, Aux_Totales!$A:$A,#REF!), 0))</f>
        <v/>
      </c>
      <c r="BJD224" s="19" t="str">
        <f>IF(BJD220 = "", "", IFERROR(BJD220 / SUMIFS(Aux_Totales!$N:$N, Aux_Totales!$F:$F, $F224, Aux_Totales!$A:$A,#REF!), 0))</f>
        <v/>
      </c>
      <c r="BJE224" s="19" t="str">
        <f>IF(BJE220 = "", "", IFERROR(BJE220 / SUMIFS(Aux_Totales!$N:$N, Aux_Totales!$F:$F, $F224, Aux_Totales!$A:$A,#REF!), 0))</f>
        <v/>
      </c>
      <c r="BJF224" s="19" t="str">
        <f>IF(BJF220 = "", "", IFERROR(BJF220 / SUMIFS(Aux_Totales!$N:$N, Aux_Totales!$F:$F, $F224, Aux_Totales!$A:$A,#REF!), 0))</f>
        <v/>
      </c>
      <c r="BJG224" s="19" t="str">
        <f>IF(BJG220 = "", "", IFERROR(BJG220 / SUMIFS(Aux_Totales!$N:$N, Aux_Totales!$F:$F, $F224, Aux_Totales!$A:$A,#REF!), 0))</f>
        <v/>
      </c>
      <c r="BJH224" s="19" t="str">
        <f>IF(BJH220 = "", "", IFERROR(BJH220 / SUMIFS(Aux_Totales!$N:$N, Aux_Totales!$F:$F, $F224, Aux_Totales!$A:$A,#REF!), 0))</f>
        <v/>
      </c>
      <c r="BJI224" s="19" t="str">
        <f>IF(BJI220 = "", "", IFERROR(BJI220 / SUMIFS(Aux_Totales!$N:$N, Aux_Totales!$F:$F, $F224, Aux_Totales!$A:$A,#REF!), 0))</f>
        <v/>
      </c>
      <c r="BJJ224" s="19" t="str">
        <f>IF(BJJ220 = "", "", IFERROR(BJJ220 / SUMIFS(Aux_Totales!$N:$N, Aux_Totales!$F:$F, $F224, Aux_Totales!$A:$A,#REF!), 0))</f>
        <v/>
      </c>
      <c r="BJK224" s="19" t="str">
        <f>IF(BJK220 = "", "", IFERROR(BJK220 / SUMIFS(Aux_Totales!$N:$N, Aux_Totales!$F:$F, $F224, Aux_Totales!$A:$A,#REF!), 0))</f>
        <v/>
      </c>
      <c r="BJL224" s="19" t="str">
        <f>IF(BJL220 = "", "", IFERROR(BJL220 / SUMIFS(Aux_Totales!$N:$N, Aux_Totales!$F:$F, $F224, Aux_Totales!$A:$A,#REF!), 0))</f>
        <v/>
      </c>
      <c r="BJM224" s="19" t="str">
        <f>IF(BJM220 = "", "", IFERROR(BJM220 / SUMIFS(Aux_Totales!$N:$N, Aux_Totales!$F:$F, $F224, Aux_Totales!$A:$A,#REF!), 0))</f>
        <v/>
      </c>
      <c r="BJN224" s="19" t="str">
        <f>IF(BJN220 = "", "", IFERROR(BJN220 / SUMIFS(Aux_Totales!$N:$N, Aux_Totales!$F:$F, $F224, Aux_Totales!$A:$A,#REF!), 0))</f>
        <v/>
      </c>
      <c r="BJO224" s="19" t="str">
        <f>IF(BJO220 = "", "", IFERROR(BJO220 / SUMIFS(Aux_Totales!$N:$N, Aux_Totales!$F:$F, $F224, Aux_Totales!$A:$A,#REF!), 0))</f>
        <v/>
      </c>
      <c r="BJP224" s="19" t="str">
        <f>IF(BJP220 = "", "", IFERROR(BJP220 / SUMIFS(Aux_Totales!$N:$N, Aux_Totales!$F:$F, $F224, Aux_Totales!$A:$A,#REF!), 0))</f>
        <v/>
      </c>
      <c r="BJQ224" s="19" t="str">
        <f>IF(BJQ220 = "", "", IFERROR(BJQ220 / SUMIFS(Aux_Totales!$N:$N, Aux_Totales!$F:$F, $F224, Aux_Totales!$A:$A,#REF!), 0))</f>
        <v/>
      </c>
      <c r="BJR224" s="19" t="str">
        <f>IF(BJR220 = "", "", IFERROR(BJR220 / SUMIFS(Aux_Totales!$N:$N, Aux_Totales!$F:$F, $F224, Aux_Totales!$A:$A,#REF!), 0))</f>
        <v/>
      </c>
      <c r="BJS224" s="19" t="str">
        <f>IF(BJS220 = "", "", IFERROR(BJS220 / SUMIFS(Aux_Totales!$N:$N, Aux_Totales!$F:$F, $F224, Aux_Totales!$A:$A,#REF!), 0))</f>
        <v/>
      </c>
      <c r="BJT224" s="19" t="str">
        <f>IF(BJT220 = "", "", IFERROR(BJT220 / SUMIFS(Aux_Totales!$N:$N, Aux_Totales!$F:$F, $F224, Aux_Totales!$A:$A,#REF!), 0))</f>
        <v/>
      </c>
      <c r="BJU224" s="19" t="str">
        <f>IF(BJU220 = "", "", IFERROR(BJU220 / SUMIFS(Aux_Totales!$N:$N, Aux_Totales!$F:$F, $F224, Aux_Totales!$A:$A,#REF!), 0))</f>
        <v/>
      </c>
      <c r="BJV224" s="19" t="str">
        <f>IF(BJV220 = "", "", IFERROR(BJV220 / SUMIFS(Aux_Totales!$N:$N, Aux_Totales!$F:$F, $F224, Aux_Totales!$A:$A,#REF!), 0))</f>
        <v/>
      </c>
      <c r="BJW224" s="19" t="str">
        <f>IF(BJW220 = "", "", IFERROR(BJW220 / SUMIFS(Aux_Totales!$N:$N, Aux_Totales!$F:$F, $F224, Aux_Totales!$A:$A,#REF!), 0))</f>
        <v/>
      </c>
      <c r="BJX224" s="19" t="str">
        <f>IF(BJX220 = "", "", IFERROR(BJX220 / SUMIFS(Aux_Totales!$N:$N, Aux_Totales!$F:$F, $F224, Aux_Totales!$A:$A,#REF!), 0))</f>
        <v/>
      </c>
      <c r="BJY224" s="19" t="str">
        <f>IF(BJY220 = "", "", IFERROR(BJY220 / SUMIFS(Aux_Totales!$N:$N, Aux_Totales!$F:$F, $F224, Aux_Totales!$A:$A,#REF!), 0))</f>
        <v/>
      </c>
      <c r="BJZ224" s="19" t="str">
        <f>IF(BJZ220 = "", "", IFERROR(BJZ220 / SUMIFS(Aux_Totales!$N:$N, Aux_Totales!$F:$F, $F224, Aux_Totales!$A:$A,#REF!), 0))</f>
        <v/>
      </c>
      <c r="BKA224" s="19" t="str">
        <f>IF(BKA220 = "", "", IFERROR(BKA220 / SUMIFS(Aux_Totales!$N:$N, Aux_Totales!$F:$F, $F224, Aux_Totales!$A:$A,#REF!), 0))</f>
        <v/>
      </c>
      <c r="BKB224" s="19" t="str">
        <f>IF(BKB220 = "", "", IFERROR(BKB220 / SUMIFS(Aux_Totales!$N:$N, Aux_Totales!$F:$F, $F224, Aux_Totales!$A:$A,#REF!), 0))</f>
        <v/>
      </c>
      <c r="BKC224" s="19" t="str">
        <f>IF(BKC220 = "", "", IFERROR(BKC220 / SUMIFS(Aux_Totales!$N:$N, Aux_Totales!$F:$F, $F224, Aux_Totales!$A:$A,#REF!), 0))</f>
        <v/>
      </c>
      <c r="BKD224" s="19" t="str">
        <f>IF(BKD220 = "", "", IFERROR(BKD220 / SUMIFS(Aux_Totales!$N:$N, Aux_Totales!$F:$F, $F224, Aux_Totales!$A:$A,#REF!), 0))</f>
        <v/>
      </c>
      <c r="BKE224" s="19" t="str">
        <f>IF(BKE220 = "", "", IFERROR(BKE220 / SUMIFS(Aux_Totales!$N:$N, Aux_Totales!$F:$F, $F224, Aux_Totales!$A:$A,#REF!), 0))</f>
        <v/>
      </c>
      <c r="BKF224" s="19" t="str">
        <f>IF(BKF220 = "", "", IFERROR(BKF220 / SUMIFS(Aux_Totales!$N:$N, Aux_Totales!$F:$F, $F224, Aux_Totales!$A:$A,#REF!), 0))</f>
        <v/>
      </c>
      <c r="BKG224" s="19" t="str">
        <f>IF(BKG220 = "", "", IFERROR(BKG220 / SUMIFS(Aux_Totales!$N:$N, Aux_Totales!$F:$F, $F224, Aux_Totales!$A:$A,#REF!), 0))</f>
        <v/>
      </c>
      <c r="BKH224" s="19" t="str">
        <f>IF(BKH220 = "", "", IFERROR(BKH220 / SUMIFS(Aux_Totales!$N:$N, Aux_Totales!$F:$F, $F224, Aux_Totales!$A:$A,#REF!), 0))</f>
        <v/>
      </c>
      <c r="BKI224" s="19" t="str">
        <f>IF(BKI220 = "", "", IFERROR(BKI220 / SUMIFS(Aux_Totales!$N:$N, Aux_Totales!$F:$F, $F224, Aux_Totales!$A:$A,#REF!), 0))</f>
        <v/>
      </c>
      <c r="BKJ224" s="19" t="str">
        <f>IF(BKJ220 = "", "", IFERROR(BKJ220 / SUMIFS(Aux_Totales!$N:$N, Aux_Totales!$F:$F, $F224, Aux_Totales!$A:$A,#REF!), 0))</f>
        <v/>
      </c>
      <c r="BKK224" s="19" t="str">
        <f>IF(BKK220 = "", "", IFERROR(BKK220 / SUMIFS(Aux_Totales!$N:$N, Aux_Totales!$F:$F, $F224, Aux_Totales!$A:$A,#REF!), 0))</f>
        <v/>
      </c>
      <c r="BKL224" s="19" t="str">
        <f>IF(BKL220 = "", "", IFERROR(BKL220 / SUMIFS(Aux_Totales!$N:$N, Aux_Totales!$F:$F, $F224, Aux_Totales!$A:$A,#REF!), 0))</f>
        <v/>
      </c>
      <c r="BKM224" s="19" t="str">
        <f>IF(BKM220 = "", "", IFERROR(BKM220 / SUMIFS(Aux_Totales!$N:$N, Aux_Totales!$F:$F, $F224, Aux_Totales!$A:$A,#REF!), 0))</f>
        <v/>
      </c>
      <c r="BKN224" s="19" t="str">
        <f>IF(BKN220 = "", "", IFERROR(BKN220 / SUMIFS(Aux_Totales!$N:$N, Aux_Totales!$F:$F, $F224, Aux_Totales!$A:$A,#REF!), 0))</f>
        <v/>
      </c>
      <c r="BKO224" s="19" t="str">
        <f>IF(BKO220 = "", "", IFERROR(BKO220 / SUMIFS(Aux_Totales!$N:$N, Aux_Totales!$F:$F, $F224, Aux_Totales!$A:$A,#REF!), 0))</f>
        <v/>
      </c>
      <c r="BKP224" s="19" t="str">
        <f>IF(BKP220 = "", "", IFERROR(BKP220 / SUMIFS(Aux_Totales!$N:$N, Aux_Totales!$F:$F, $F224, Aux_Totales!$A:$A,#REF!), 0))</f>
        <v/>
      </c>
      <c r="BKQ224" s="19" t="str">
        <f>IF(BKQ220 = "", "", IFERROR(BKQ220 / SUMIFS(Aux_Totales!$N:$N, Aux_Totales!$F:$F, $F224, Aux_Totales!$A:$A,#REF!), 0))</f>
        <v/>
      </c>
      <c r="BKR224" s="19" t="str">
        <f>IF(BKR220 = "", "", IFERROR(BKR220 / SUMIFS(Aux_Totales!$N:$N, Aux_Totales!$F:$F, $F224, Aux_Totales!$A:$A,#REF!), 0))</f>
        <v/>
      </c>
      <c r="BKS224" s="19" t="str">
        <f>IF(BKS220 = "", "", IFERROR(BKS220 / SUMIFS(Aux_Totales!$N:$N, Aux_Totales!$F:$F, $F224, Aux_Totales!$A:$A,#REF!), 0))</f>
        <v/>
      </c>
      <c r="BKT224" s="19" t="str">
        <f>IF(BKT220 = "", "", IFERROR(BKT220 / SUMIFS(Aux_Totales!$N:$N, Aux_Totales!$F:$F, $F224, Aux_Totales!$A:$A,#REF!), 0))</f>
        <v/>
      </c>
      <c r="BKU224" s="19" t="str">
        <f>IF(BKU220 = "", "", IFERROR(BKU220 / SUMIFS(Aux_Totales!$N:$N, Aux_Totales!$F:$F, $F224, Aux_Totales!$A:$A,#REF!), 0))</f>
        <v/>
      </c>
      <c r="BKV224" s="19" t="str">
        <f>IF(BKV220 = "", "", IFERROR(BKV220 / SUMIFS(Aux_Totales!$N:$N, Aux_Totales!$F:$F, $F224, Aux_Totales!$A:$A,#REF!), 0))</f>
        <v/>
      </c>
      <c r="BKW224" s="19" t="str">
        <f>IF(BKW220 = "", "", IFERROR(BKW220 / SUMIFS(Aux_Totales!$N:$N, Aux_Totales!$F:$F, $F224, Aux_Totales!$A:$A,#REF!), 0))</f>
        <v/>
      </c>
      <c r="BKX224" s="19" t="str">
        <f>IF(BKX220 = "", "", IFERROR(BKX220 / SUMIFS(Aux_Totales!$N:$N, Aux_Totales!$F:$F, $F224, Aux_Totales!$A:$A,#REF!), 0))</f>
        <v/>
      </c>
      <c r="BKY224" s="19" t="str">
        <f>IF(BKY220 = "", "", IFERROR(BKY220 / SUMIFS(Aux_Totales!$N:$N, Aux_Totales!$F:$F, $F224, Aux_Totales!$A:$A,#REF!), 0))</f>
        <v/>
      </c>
      <c r="BKZ224" s="19" t="str">
        <f>IF(BKZ220 = "", "", IFERROR(BKZ220 / SUMIFS(Aux_Totales!$N:$N, Aux_Totales!$F:$F, $F224, Aux_Totales!$A:$A,#REF!), 0))</f>
        <v/>
      </c>
      <c r="BLA224" s="19" t="str">
        <f>IF(BLA220 = "", "", IFERROR(BLA220 / SUMIFS(Aux_Totales!$N:$N, Aux_Totales!$F:$F, $F224, Aux_Totales!$A:$A,#REF!), 0))</f>
        <v/>
      </c>
      <c r="BLB224" s="19" t="str">
        <f>IF(BLB220 = "", "", IFERROR(BLB220 / SUMIFS(Aux_Totales!$N:$N, Aux_Totales!$F:$F, $F224, Aux_Totales!$A:$A,#REF!), 0))</f>
        <v/>
      </c>
      <c r="BLC224" s="19" t="str">
        <f>IF(BLC220 = "", "", IFERROR(BLC220 / SUMIFS(Aux_Totales!$N:$N, Aux_Totales!$F:$F, $F224, Aux_Totales!$A:$A,#REF!), 0))</f>
        <v/>
      </c>
      <c r="BLD224" s="19" t="str">
        <f>IF(BLD220 = "", "", IFERROR(BLD220 / SUMIFS(Aux_Totales!$N:$N, Aux_Totales!$F:$F, $F224, Aux_Totales!$A:$A,#REF!), 0))</f>
        <v/>
      </c>
      <c r="BLE224" s="19" t="str">
        <f>IF(BLE220 = "", "", IFERROR(BLE220 / SUMIFS(Aux_Totales!$N:$N, Aux_Totales!$F:$F, $F224, Aux_Totales!$A:$A,#REF!), 0))</f>
        <v/>
      </c>
      <c r="BLF224" s="19" t="str">
        <f>IF(BLF220 = "", "", IFERROR(BLF220 / SUMIFS(Aux_Totales!$N:$N, Aux_Totales!$F:$F, $F224, Aux_Totales!$A:$A,#REF!), 0))</f>
        <v/>
      </c>
      <c r="BLG224" s="19" t="str">
        <f>IF(BLG220 = "", "", IFERROR(BLG220 / SUMIFS(Aux_Totales!$N:$N, Aux_Totales!$F:$F, $F224, Aux_Totales!$A:$A,#REF!), 0))</f>
        <v/>
      </c>
      <c r="BLH224" s="19" t="str">
        <f>IF(BLH220 = "", "", IFERROR(BLH220 / SUMIFS(Aux_Totales!$N:$N, Aux_Totales!$F:$F, $F224, Aux_Totales!$A:$A,#REF!), 0))</f>
        <v/>
      </c>
      <c r="BLI224" s="19" t="str">
        <f>IF(BLI220 = "", "", IFERROR(BLI220 / SUMIFS(Aux_Totales!$N:$N, Aux_Totales!$F:$F, $F224, Aux_Totales!$A:$A,#REF!), 0))</f>
        <v/>
      </c>
      <c r="BLJ224" s="19" t="str">
        <f>IF(BLJ220 = "", "", IFERROR(BLJ220 / SUMIFS(Aux_Totales!$N:$N, Aux_Totales!$F:$F, $F224, Aux_Totales!$A:$A,#REF!), 0))</f>
        <v/>
      </c>
      <c r="BLK224" s="19" t="str">
        <f>IF(BLK220 = "", "", IFERROR(BLK220 / SUMIFS(Aux_Totales!$N:$N, Aux_Totales!$F:$F, $F224, Aux_Totales!$A:$A,#REF!), 0))</f>
        <v/>
      </c>
      <c r="BLL224" s="19" t="str">
        <f>IF(BLL220 = "", "", IFERROR(BLL220 / SUMIFS(Aux_Totales!$N:$N, Aux_Totales!$F:$F, $F224, Aux_Totales!$A:$A,#REF!), 0))</f>
        <v/>
      </c>
      <c r="BLM224" s="19" t="str">
        <f>IF(BLM220 = "", "", IFERROR(BLM220 / SUMIFS(Aux_Totales!$N:$N, Aux_Totales!$F:$F, $F224, Aux_Totales!$A:$A,#REF!), 0))</f>
        <v/>
      </c>
      <c r="BLN224" s="19" t="str">
        <f>IF(BLN220 = "", "", IFERROR(BLN220 / SUMIFS(Aux_Totales!$N:$N, Aux_Totales!$F:$F, $F224, Aux_Totales!$A:$A,#REF!), 0))</f>
        <v/>
      </c>
      <c r="BLO224" s="19" t="str">
        <f>IF(BLO220 = "", "", IFERROR(BLO220 / SUMIFS(Aux_Totales!$N:$N, Aux_Totales!$F:$F, $F224, Aux_Totales!$A:$A,#REF!), 0))</f>
        <v/>
      </c>
      <c r="BLP224" s="19" t="str">
        <f>IF(BLP220 = "", "", IFERROR(BLP220 / SUMIFS(Aux_Totales!$N:$N, Aux_Totales!$F:$F, $F224, Aux_Totales!$A:$A,#REF!), 0))</f>
        <v/>
      </c>
      <c r="BLQ224" s="19" t="str">
        <f>IF(BLQ220 = "", "", IFERROR(BLQ220 / SUMIFS(Aux_Totales!$N:$N, Aux_Totales!$F:$F, $F224, Aux_Totales!$A:$A,#REF!), 0))</f>
        <v/>
      </c>
      <c r="BLR224" s="19" t="str">
        <f>IF(BLR220 = "", "", IFERROR(BLR220 / SUMIFS(Aux_Totales!$N:$N, Aux_Totales!$F:$F, $F224, Aux_Totales!$A:$A,#REF!), 0))</f>
        <v/>
      </c>
      <c r="BLS224" s="19" t="str">
        <f>IF(BLS220 = "", "", IFERROR(BLS220 / SUMIFS(Aux_Totales!$N:$N, Aux_Totales!$F:$F, $F224, Aux_Totales!$A:$A,#REF!), 0))</f>
        <v/>
      </c>
      <c r="BLT224" s="19" t="str">
        <f>IF(BLT220 = "", "", IFERROR(BLT220 / SUMIFS(Aux_Totales!$N:$N, Aux_Totales!$F:$F, $F224, Aux_Totales!$A:$A,#REF!), 0))</f>
        <v/>
      </c>
      <c r="BLU224" s="19" t="str">
        <f>IF(BLU220 = "", "", IFERROR(BLU220 / SUMIFS(Aux_Totales!$N:$N, Aux_Totales!$F:$F, $F224, Aux_Totales!$A:$A,#REF!), 0))</f>
        <v/>
      </c>
      <c r="BLV224" s="19" t="str">
        <f>IF(BLV220 = "", "", IFERROR(BLV220 / SUMIFS(Aux_Totales!$N:$N, Aux_Totales!$F:$F, $F224, Aux_Totales!$A:$A,#REF!), 0))</f>
        <v/>
      </c>
      <c r="BLW224" s="19" t="str">
        <f>IF(BLW220 = "", "", IFERROR(BLW220 / SUMIFS(Aux_Totales!$N:$N, Aux_Totales!$F:$F, $F224, Aux_Totales!$A:$A,#REF!), 0))</f>
        <v/>
      </c>
      <c r="BLX224" s="19" t="str">
        <f>IF(BLX220 = "", "", IFERROR(BLX220 / SUMIFS(Aux_Totales!$N:$N, Aux_Totales!$F:$F, $F224, Aux_Totales!$A:$A,#REF!), 0))</f>
        <v/>
      </c>
      <c r="BLY224" s="19" t="str">
        <f>IF(BLY220 = "", "", IFERROR(BLY220 / SUMIFS(Aux_Totales!$N:$N, Aux_Totales!$F:$F, $F224, Aux_Totales!$A:$A,#REF!), 0))</f>
        <v/>
      </c>
      <c r="BLZ224" s="19" t="str">
        <f>IF(BLZ220 = "", "", IFERROR(BLZ220 / SUMIFS(Aux_Totales!$N:$N, Aux_Totales!$F:$F, $F224, Aux_Totales!$A:$A,#REF!), 0))</f>
        <v/>
      </c>
      <c r="BMA224" s="19" t="str">
        <f>IF(BMA220 = "", "", IFERROR(BMA220 / SUMIFS(Aux_Totales!$N:$N, Aux_Totales!$F:$F, $F224, Aux_Totales!$A:$A,#REF!), 0))</f>
        <v/>
      </c>
      <c r="BMB224" s="19" t="str">
        <f>IF(BMB220 = "", "", IFERROR(BMB220 / SUMIFS(Aux_Totales!$N:$N, Aux_Totales!$F:$F, $F224, Aux_Totales!$A:$A,#REF!), 0))</f>
        <v/>
      </c>
      <c r="BMC224" s="19" t="str">
        <f>IF(BMC220 = "", "", IFERROR(BMC220 / SUMIFS(Aux_Totales!$N:$N, Aux_Totales!$F:$F, $F224, Aux_Totales!$A:$A,#REF!), 0))</f>
        <v/>
      </c>
      <c r="BMD224" s="19" t="str">
        <f>IF(BMD220 = "", "", IFERROR(BMD220 / SUMIFS(Aux_Totales!$N:$N, Aux_Totales!$F:$F, $F224, Aux_Totales!$A:$A,#REF!), 0))</f>
        <v/>
      </c>
      <c r="BME224" s="19" t="str">
        <f>IF(BME220 = "", "", IFERROR(BME220 / SUMIFS(Aux_Totales!$N:$N, Aux_Totales!$F:$F, $F224, Aux_Totales!$A:$A,#REF!), 0))</f>
        <v/>
      </c>
      <c r="BMF224" s="19" t="str">
        <f>IF(BMF220 = "", "", IFERROR(BMF220 / SUMIFS(Aux_Totales!$N:$N, Aux_Totales!$F:$F, $F224, Aux_Totales!$A:$A,#REF!), 0))</f>
        <v/>
      </c>
      <c r="BMG224" s="19" t="str">
        <f>IF(BMG220 = "", "", IFERROR(BMG220 / SUMIFS(Aux_Totales!$N:$N, Aux_Totales!$F:$F, $F224, Aux_Totales!$A:$A,#REF!), 0))</f>
        <v/>
      </c>
      <c r="BMH224" s="19" t="str">
        <f>IF(BMH220 = "", "", IFERROR(BMH220 / SUMIFS(Aux_Totales!$N:$N, Aux_Totales!$F:$F, $F224, Aux_Totales!$A:$A,#REF!), 0))</f>
        <v/>
      </c>
      <c r="BMI224" s="19" t="str">
        <f>IF(BMI220 = "", "", IFERROR(BMI220 / SUMIFS(Aux_Totales!$N:$N, Aux_Totales!$F:$F, $F224, Aux_Totales!$A:$A,#REF!), 0))</f>
        <v/>
      </c>
      <c r="BMJ224" s="19" t="str">
        <f>IF(BMJ220 = "", "", IFERROR(BMJ220 / SUMIFS(Aux_Totales!$N:$N, Aux_Totales!$F:$F, $F224, Aux_Totales!$A:$A,#REF!), 0))</f>
        <v/>
      </c>
      <c r="BMK224" s="19" t="str">
        <f>IF(BMK220 = "", "", IFERROR(BMK220 / SUMIFS(Aux_Totales!$N:$N, Aux_Totales!$F:$F, $F224, Aux_Totales!$A:$A,#REF!), 0))</f>
        <v/>
      </c>
      <c r="BML224" s="19" t="str">
        <f>IF(BML220 = "", "", IFERROR(BML220 / SUMIFS(Aux_Totales!$N:$N, Aux_Totales!$F:$F, $F224, Aux_Totales!$A:$A,#REF!), 0))</f>
        <v/>
      </c>
      <c r="BMM224" s="19" t="str">
        <f>IF(BMM220 = "", "", IFERROR(BMM220 / SUMIFS(Aux_Totales!$N:$N, Aux_Totales!$F:$F, $F224, Aux_Totales!$A:$A,#REF!), 0))</f>
        <v/>
      </c>
      <c r="BMN224" s="19" t="str">
        <f>IF(BMN220 = "", "", IFERROR(BMN220 / SUMIFS(Aux_Totales!$N:$N, Aux_Totales!$F:$F, $F224, Aux_Totales!$A:$A,#REF!), 0))</f>
        <v/>
      </c>
      <c r="BMO224" s="19" t="str">
        <f>IF(BMO220 = "", "", IFERROR(BMO220 / SUMIFS(Aux_Totales!$N:$N, Aux_Totales!$F:$F, $F224, Aux_Totales!$A:$A,#REF!), 0))</f>
        <v/>
      </c>
      <c r="BMP224" s="19" t="str">
        <f>IF(BMP220 = "", "", IFERROR(BMP220 / SUMIFS(Aux_Totales!$N:$N, Aux_Totales!$F:$F, $F224, Aux_Totales!$A:$A,#REF!), 0))</f>
        <v/>
      </c>
      <c r="BMQ224" s="19" t="str">
        <f>IF(BMQ220 = "", "", IFERROR(BMQ220 / SUMIFS(Aux_Totales!$N:$N, Aux_Totales!$F:$F, $F224, Aux_Totales!$A:$A,#REF!), 0))</f>
        <v/>
      </c>
      <c r="BMR224" s="19" t="str">
        <f>IF(BMR220 = "", "", IFERROR(BMR220 / SUMIFS(Aux_Totales!$N:$N, Aux_Totales!$F:$F, $F224, Aux_Totales!$A:$A,#REF!), 0))</f>
        <v/>
      </c>
      <c r="BMS224" s="19" t="str">
        <f>IF(BMS220 = "", "", IFERROR(BMS220 / SUMIFS(Aux_Totales!$N:$N, Aux_Totales!$F:$F, $F224, Aux_Totales!$A:$A,#REF!), 0))</f>
        <v/>
      </c>
      <c r="BMT224" s="19" t="str">
        <f>IF(BMT220 = "", "", IFERROR(BMT220 / SUMIFS(Aux_Totales!$N:$N, Aux_Totales!$F:$F, $F224, Aux_Totales!$A:$A,#REF!), 0))</f>
        <v/>
      </c>
      <c r="BMU224" s="19" t="str">
        <f>IF(BMU220 = "", "", IFERROR(BMU220 / SUMIFS(Aux_Totales!$N:$N, Aux_Totales!$F:$F, $F224, Aux_Totales!$A:$A,#REF!), 0))</f>
        <v/>
      </c>
      <c r="BMV224" s="19" t="str">
        <f>IF(BMV220 = "", "", IFERROR(BMV220 / SUMIFS(Aux_Totales!$N:$N, Aux_Totales!$F:$F, $F224, Aux_Totales!$A:$A,#REF!), 0))</f>
        <v/>
      </c>
      <c r="BMW224" s="19" t="str">
        <f>IF(BMW220 = "", "", IFERROR(BMW220 / SUMIFS(Aux_Totales!$N:$N, Aux_Totales!$F:$F, $F224, Aux_Totales!$A:$A,#REF!), 0))</f>
        <v/>
      </c>
      <c r="BMX224" s="19" t="str">
        <f>IF(BMX220 = "", "", IFERROR(BMX220 / SUMIFS(Aux_Totales!$N:$N, Aux_Totales!$F:$F, $F224, Aux_Totales!$A:$A,#REF!), 0))</f>
        <v/>
      </c>
      <c r="BMY224" s="19" t="str">
        <f>IF(BMY220 = "", "", IFERROR(BMY220 / SUMIFS(Aux_Totales!$N:$N, Aux_Totales!$F:$F, $F224, Aux_Totales!$A:$A,#REF!), 0))</f>
        <v/>
      </c>
      <c r="BMZ224" s="19" t="str">
        <f>IF(BMZ220 = "", "", IFERROR(BMZ220 / SUMIFS(Aux_Totales!$N:$N, Aux_Totales!$F:$F, $F224, Aux_Totales!$A:$A,#REF!), 0))</f>
        <v/>
      </c>
      <c r="BNA224" s="19" t="str">
        <f>IF(BNA220 = "", "", IFERROR(BNA220 / SUMIFS(Aux_Totales!$N:$N, Aux_Totales!$F:$F, $F224, Aux_Totales!$A:$A,#REF!), 0))</f>
        <v/>
      </c>
      <c r="BNB224" s="19" t="str">
        <f>IF(BNB220 = "", "", IFERROR(BNB220 / SUMIFS(Aux_Totales!$N:$N, Aux_Totales!$F:$F, $F224, Aux_Totales!$A:$A,#REF!), 0))</f>
        <v/>
      </c>
      <c r="BNC224" s="19" t="str">
        <f>IF(BNC220 = "", "", IFERROR(BNC220 / SUMIFS(Aux_Totales!$N:$N, Aux_Totales!$F:$F, $F224, Aux_Totales!$A:$A,#REF!), 0))</f>
        <v/>
      </c>
      <c r="BND224" s="19" t="str">
        <f>IF(BND220 = "", "", IFERROR(BND220 / SUMIFS(Aux_Totales!$N:$N, Aux_Totales!$F:$F, $F224, Aux_Totales!$A:$A,#REF!), 0))</f>
        <v/>
      </c>
      <c r="BNE224" s="19" t="str">
        <f>IF(BNE220 = "", "", IFERROR(BNE220 / SUMIFS(Aux_Totales!$N:$N, Aux_Totales!$F:$F, $F224, Aux_Totales!$A:$A,#REF!), 0))</f>
        <v/>
      </c>
      <c r="BNF224" s="19" t="str">
        <f>IF(BNF220 = "", "", IFERROR(BNF220 / SUMIFS(Aux_Totales!$N:$N, Aux_Totales!$F:$F, $F224, Aux_Totales!$A:$A,#REF!), 0))</f>
        <v/>
      </c>
      <c r="BNG224" s="19" t="str">
        <f>IF(BNG220 = "", "", IFERROR(BNG220 / SUMIFS(Aux_Totales!$N:$N, Aux_Totales!$F:$F, $F224, Aux_Totales!$A:$A,#REF!), 0))</f>
        <v/>
      </c>
      <c r="BNH224" s="19" t="str">
        <f>IF(BNH220 = "", "", IFERROR(BNH220 / SUMIFS(Aux_Totales!$N:$N, Aux_Totales!$F:$F, $F224, Aux_Totales!$A:$A,#REF!), 0))</f>
        <v/>
      </c>
      <c r="BNI224" s="19" t="str">
        <f>IF(BNI220 = "", "", IFERROR(BNI220 / SUMIFS(Aux_Totales!$N:$N, Aux_Totales!$F:$F, $F224, Aux_Totales!$A:$A,#REF!), 0))</f>
        <v/>
      </c>
      <c r="BNJ224" s="19" t="str">
        <f>IF(BNJ220 = "", "", IFERROR(BNJ220 / SUMIFS(Aux_Totales!$N:$N, Aux_Totales!$F:$F, $F224, Aux_Totales!$A:$A,#REF!), 0))</f>
        <v/>
      </c>
      <c r="BNK224" s="19" t="str">
        <f>IF(BNK220 = "", "", IFERROR(BNK220 / SUMIFS(Aux_Totales!$N:$N, Aux_Totales!$F:$F, $F224, Aux_Totales!$A:$A,#REF!), 0))</f>
        <v/>
      </c>
      <c r="BNL224" s="19" t="str">
        <f>IF(BNL220 = "", "", IFERROR(BNL220 / SUMIFS(Aux_Totales!$N:$N, Aux_Totales!$F:$F, $F224, Aux_Totales!$A:$A,#REF!), 0))</f>
        <v/>
      </c>
      <c r="BNM224" s="19" t="str">
        <f>IF(BNM220 = "", "", IFERROR(BNM220 / SUMIFS(Aux_Totales!$N:$N, Aux_Totales!$F:$F, $F224, Aux_Totales!$A:$A,#REF!), 0))</f>
        <v/>
      </c>
      <c r="BNN224" s="19" t="str">
        <f>IF(BNN220 = "", "", IFERROR(BNN220 / SUMIFS(Aux_Totales!$N:$N, Aux_Totales!$F:$F, $F224, Aux_Totales!$A:$A,#REF!), 0))</f>
        <v/>
      </c>
      <c r="BNO224" s="19" t="str">
        <f>IF(BNO220 = "", "", IFERROR(BNO220 / SUMIFS(Aux_Totales!$N:$N, Aux_Totales!$F:$F, $F224, Aux_Totales!$A:$A,#REF!), 0))</f>
        <v/>
      </c>
      <c r="BNP224" s="19" t="str">
        <f>IF(BNP220 = "", "", IFERROR(BNP220 / SUMIFS(Aux_Totales!$N:$N, Aux_Totales!$F:$F, $F224, Aux_Totales!$A:$A,#REF!), 0))</f>
        <v/>
      </c>
      <c r="BNQ224" s="19" t="str">
        <f>IF(BNQ220 = "", "", IFERROR(BNQ220 / SUMIFS(Aux_Totales!$N:$N, Aux_Totales!$F:$F, $F224, Aux_Totales!$A:$A,#REF!), 0))</f>
        <v/>
      </c>
      <c r="BNR224" s="19" t="str">
        <f>IF(BNR220 = "", "", IFERROR(BNR220 / SUMIFS(Aux_Totales!$N:$N, Aux_Totales!$F:$F, $F224, Aux_Totales!$A:$A,#REF!), 0))</f>
        <v/>
      </c>
      <c r="BNS224" s="19" t="str">
        <f>IF(BNS220 = "", "", IFERROR(BNS220 / SUMIFS(Aux_Totales!$N:$N, Aux_Totales!$F:$F, $F224, Aux_Totales!$A:$A,#REF!), 0))</f>
        <v/>
      </c>
      <c r="BNT224" s="19" t="str">
        <f>IF(BNT220 = "", "", IFERROR(BNT220 / SUMIFS(Aux_Totales!$N:$N, Aux_Totales!$F:$F, $F224, Aux_Totales!$A:$A,#REF!), 0))</f>
        <v/>
      </c>
      <c r="BNU224" s="19" t="str">
        <f>IF(BNU220 = "", "", IFERROR(BNU220 / SUMIFS(Aux_Totales!$N:$N, Aux_Totales!$F:$F, $F224, Aux_Totales!$A:$A,#REF!), 0))</f>
        <v/>
      </c>
      <c r="BNV224" s="19" t="str">
        <f>IF(BNV220 = "", "", IFERROR(BNV220 / SUMIFS(Aux_Totales!$N:$N, Aux_Totales!$F:$F, $F224, Aux_Totales!$A:$A,#REF!), 0))</f>
        <v/>
      </c>
      <c r="BNW224" s="19" t="str">
        <f>IF(BNW220 = "", "", IFERROR(BNW220 / SUMIFS(Aux_Totales!$N:$N, Aux_Totales!$F:$F, $F224, Aux_Totales!$A:$A,#REF!), 0))</f>
        <v/>
      </c>
      <c r="BNX224" s="19" t="str">
        <f>IF(BNX220 = "", "", IFERROR(BNX220 / SUMIFS(Aux_Totales!$N:$N, Aux_Totales!$F:$F, $F224, Aux_Totales!$A:$A,#REF!), 0))</f>
        <v/>
      </c>
      <c r="BNY224" s="19" t="str">
        <f>IF(BNY220 = "", "", IFERROR(BNY220 / SUMIFS(Aux_Totales!$N:$N, Aux_Totales!$F:$F, $F224, Aux_Totales!$A:$A,#REF!), 0))</f>
        <v/>
      </c>
      <c r="BNZ224" s="19" t="str">
        <f>IF(BNZ220 = "", "", IFERROR(BNZ220 / SUMIFS(Aux_Totales!$N:$N, Aux_Totales!$F:$F, $F224, Aux_Totales!$A:$A,#REF!), 0))</f>
        <v/>
      </c>
      <c r="BOA224" s="19" t="str">
        <f>IF(BOA220 = "", "", IFERROR(BOA220 / SUMIFS(Aux_Totales!$N:$N, Aux_Totales!$F:$F, $F224, Aux_Totales!$A:$A,#REF!), 0))</f>
        <v/>
      </c>
      <c r="BOB224" s="19" t="str">
        <f>IF(BOB220 = "", "", IFERROR(BOB220 / SUMIFS(Aux_Totales!$N:$N, Aux_Totales!$F:$F, $F224, Aux_Totales!$A:$A,#REF!), 0))</f>
        <v/>
      </c>
      <c r="BOC224" s="19" t="str">
        <f>IF(BOC220 = "", "", IFERROR(BOC220 / SUMIFS(Aux_Totales!$N:$N, Aux_Totales!$F:$F, $F224, Aux_Totales!$A:$A,#REF!), 0))</f>
        <v/>
      </c>
      <c r="BOD224" s="19" t="str">
        <f>IF(BOD220 = "", "", IFERROR(BOD220 / SUMIFS(Aux_Totales!$N:$N, Aux_Totales!$F:$F, $F224, Aux_Totales!$A:$A,#REF!), 0))</f>
        <v/>
      </c>
      <c r="BOE224" s="19" t="str">
        <f>IF(BOE220 = "", "", IFERROR(BOE220 / SUMIFS(Aux_Totales!$N:$N, Aux_Totales!$F:$F, $F224, Aux_Totales!$A:$A,#REF!), 0))</f>
        <v/>
      </c>
      <c r="BOF224" s="19" t="str">
        <f>IF(BOF220 = "", "", IFERROR(BOF220 / SUMIFS(Aux_Totales!$N:$N, Aux_Totales!$F:$F, $F224, Aux_Totales!$A:$A,#REF!), 0))</f>
        <v/>
      </c>
      <c r="BOG224" s="19" t="str">
        <f>IF(BOG220 = "", "", IFERROR(BOG220 / SUMIFS(Aux_Totales!$N:$N, Aux_Totales!$F:$F, $F224, Aux_Totales!$A:$A,#REF!), 0))</f>
        <v/>
      </c>
      <c r="BOH224" s="19" t="str">
        <f>IF(BOH220 = "", "", IFERROR(BOH220 / SUMIFS(Aux_Totales!$N:$N, Aux_Totales!$F:$F, $F224, Aux_Totales!$A:$A,#REF!), 0))</f>
        <v/>
      </c>
      <c r="BOI224" s="19" t="str">
        <f>IF(BOI220 = "", "", IFERROR(BOI220 / SUMIFS(Aux_Totales!$N:$N, Aux_Totales!$F:$F, $F224, Aux_Totales!$A:$A,#REF!), 0))</f>
        <v/>
      </c>
      <c r="BOJ224" s="19" t="str">
        <f>IF(BOJ220 = "", "", IFERROR(BOJ220 / SUMIFS(Aux_Totales!$N:$N, Aux_Totales!$F:$F, $F224, Aux_Totales!$A:$A,#REF!), 0))</f>
        <v/>
      </c>
      <c r="BOK224" s="19" t="str">
        <f>IF(BOK220 = "", "", IFERROR(BOK220 / SUMIFS(Aux_Totales!$N:$N, Aux_Totales!$F:$F, $F224, Aux_Totales!$A:$A,#REF!), 0))</f>
        <v/>
      </c>
      <c r="BOL224" s="19" t="str">
        <f>IF(BOL220 = "", "", IFERROR(BOL220 / SUMIFS(Aux_Totales!$N:$N, Aux_Totales!$F:$F, $F224, Aux_Totales!$A:$A,#REF!), 0))</f>
        <v/>
      </c>
      <c r="BOM224" s="19" t="str">
        <f>IF(BOM220 = "", "", IFERROR(BOM220 / SUMIFS(Aux_Totales!$N:$N, Aux_Totales!$F:$F, $F224, Aux_Totales!$A:$A,#REF!), 0))</f>
        <v/>
      </c>
      <c r="BON224" s="19" t="str">
        <f>IF(BON220 = "", "", IFERROR(BON220 / SUMIFS(Aux_Totales!$N:$N, Aux_Totales!$F:$F, $F224, Aux_Totales!$A:$A,#REF!), 0))</f>
        <v/>
      </c>
      <c r="BOO224" s="19" t="str">
        <f>IF(BOO220 = "", "", IFERROR(BOO220 / SUMIFS(Aux_Totales!$N:$N, Aux_Totales!$F:$F, $F224, Aux_Totales!$A:$A,#REF!), 0))</f>
        <v/>
      </c>
      <c r="BOP224" s="19" t="str">
        <f>IF(BOP220 = "", "", IFERROR(BOP220 / SUMIFS(Aux_Totales!$N:$N, Aux_Totales!$F:$F, $F224, Aux_Totales!$A:$A,#REF!), 0))</f>
        <v/>
      </c>
      <c r="BOQ224" s="19" t="str">
        <f>IF(BOQ220 = "", "", IFERROR(BOQ220 / SUMIFS(Aux_Totales!$N:$N, Aux_Totales!$F:$F, $F224, Aux_Totales!$A:$A,#REF!), 0))</f>
        <v/>
      </c>
      <c r="BOR224" s="19" t="str">
        <f>IF(BOR220 = "", "", IFERROR(BOR220 / SUMIFS(Aux_Totales!$N:$N, Aux_Totales!$F:$F, $F224, Aux_Totales!$A:$A,#REF!), 0))</f>
        <v/>
      </c>
      <c r="BOS224" s="19" t="str">
        <f>IF(BOS220 = "", "", IFERROR(BOS220 / SUMIFS(Aux_Totales!$N:$N, Aux_Totales!$F:$F, $F224, Aux_Totales!$A:$A,#REF!), 0))</f>
        <v/>
      </c>
      <c r="BOT224" s="19" t="str">
        <f>IF(BOT220 = "", "", IFERROR(BOT220 / SUMIFS(Aux_Totales!$N:$N, Aux_Totales!$F:$F, $F224, Aux_Totales!$A:$A,#REF!), 0))</f>
        <v/>
      </c>
      <c r="BOU224" s="19" t="str">
        <f>IF(BOU220 = "", "", IFERROR(BOU220 / SUMIFS(Aux_Totales!$N:$N, Aux_Totales!$F:$F, $F224, Aux_Totales!$A:$A,#REF!), 0))</f>
        <v/>
      </c>
      <c r="BOV224" s="19" t="str">
        <f>IF(BOV220 = "", "", IFERROR(BOV220 / SUMIFS(Aux_Totales!$N:$N, Aux_Totales!$F:$F, $F224, Aux_Totales!$A:$A,#REF!), 0))</f>
        <v/>
      </c>
      <c r="BOW224" s="19" t="str">
        <f>IF(BOW220 = "", "", IFERROR(BOW220 / SUMIFS(Aux_Totales!$N:$N, Aux_Totales!$F:$F, $F224, Aux_Totales!$A:$A,#REF!), 0))</f>
        <v/>
      </c>
      <c r="BOX224" s="19" t="str">
        <f>IF(BOX220 = "", "", IFERROR(BOX220 / SUMIFS(Aux_Totales!$N:$N, Aux_Totales!$F:$F, $F224, Aux_Totales!$A:$A,#REF!), 0))</f>
        <v/>
      </c>
      <c r="BOY224" s="19" t="str">
        <f>IF(BOY220 = "", "", IFERROR(BOY220 / SUMIFS(Aux_Totales!$N:$N, Aux_Totales!$F:$F, $F224, Aux_Totales!$A:$A,#REF!), 0))</f>
        <v/>
      </c>
      <c r="BOZ224" s="19" t="str">
        <f>IF(BOZ220 = "", "", IFERROR(BOZ220 / SUMIFS(Aux_Totales!$N:$N, Aux_Totales!$F:$F, $F224, Aux_Totales!$A:$A,#REF!), 0))</f>
        <v/>
      </c>
      <c r="BPA224" s="19" t="str">
        <f>IF(BPA220 = "", "", IFERROR(BPA220 / SUMIFS(Aux_Totales!$N:$N, Aux_Totales!$F:$F, $F224, Aux_Totales!$A:$A,#REF!), 0))</f>
        <v/>
      </c>
      <c r="BPB224" s="19" t="str">
        <f>IF(BPB220 = "", "", IFERROR(BPB220 / SUMIFS(Aux_Totales!$N:$N, Aux_Totales!$F:$F, $F224, Aux_Totales!$A:$A,#REF!), 0))</f>
        <v/>
      </c>
      <c r="BPC224" s="19" t="str">
        <f>IF(BPC220 = "", "", IFERROR(BPC220 / SUMIFS(Aux_Totales!$N:$N, Aux_Totales!$F:$F, $F224, Aux_Totales!$A:$A,#REF!), 0))</f>
        <v/>
      </c>
      <c r="BPD224" s="19" t="str">
        <f>IF(BPD220 = "", "", IFERROR(BPD220 / SUMIFS(Aux_Totales!$N:$N, Aux_Totales!$F:$F, $F224, Aux_Totales!$A:$A,#REF!), 0))</f>
        <v/>
      </c>
      <c r="BPE224" s="19" t="str">
        <f>IF(BPE220 = "", "", IFERROR(BPE220 / SUMIFS(Aux_Totales!$N:$N, Aux_Totales!$F:$F, $F224, Aux_Totales!$A:$A,#REF!), 0))</f>
        <v/>
      </c>
      <c r="BPF224" s="19" t="str">
        <f>IF(BPF220 = "", "", IFERROR(BPF220 / SUMIFS(Aux_Totales!$N:$N, Aux_Totales!$F:$F, $F224, Aux_Totales!$A:$A,#REF!), 0))</f>
        <v/>
      </c>
      <c r="BPG224" s="19" t="str">
        <f>IF(BPG220 = "", "", IFERROR(BPG220 / SUMIFS(Aux_Totales!$N:$N, Aux_Totales!$F:$F, $F224, Aux_Totales!$A:$A,#REF!), 0))</f>
        <v/>
      </c>
      <c r="BPH224" s="19" t="str">
        <f>IF(BPH220 = "", "", IFERROR(BPH220 / SUMIFS(Aux_Totales!$N:$N, Aux_Totales!$F:$F, $F224, Aux_Totales!$A:$A,#REF!), 0))</f>
        <v/>
      </c>
      <c r="BPI224" s="19" t="str">
        <f>IF(BPI220 = "", "", IFERROR(BPI220 / SUMIFS(Aux_Totales!$N:$N, Aux_Totales!$F:$F, $F224, Aux_Totales!$A:$A,#REF!), 0))</f>
        <v/>
      </c>
      <c r="BPJ224" s="19" t="str">
        <f>IF(BPJ220 = "", "", IFERROR(BPJ220 / SUMIFS(Aux_Totales!$N:$N, Aux_Totales!$F:$F, $F224, Aux_Totales!$A:$A,#REF!), 0))</f>
        <v/>
      </c>
      <c r="BPK224" s="19" t="str">
        <f>IF(BPK220 = "", "", IFERROR(BPK220 / SUMIFS(Aux_Totales!$N:$N, Aux_Totales!$F:$F, $F224, Aux_Totales!$A:$A,#REF!), 0))</f>
        <v/>
      </c>
      <c r="BPL224" s="19" t="str">
        <f>IF(BPL220 = "", "", IFERROR(BPL220 / SUMIFS(Aux_Totales!$N:$N, Aux_Totales!$F:$F, $F224, Aux_Totales!$A:$A,#REF!), 0))</f>
        <v/>
      </c>
      <c r="BPM224" s="19" t="str">
        <f>IF(BPM220 = "", "", IFERROR(BPM220 / SUMIFS(Aux_Totales!$N:$N, Aux_Totales!$F:$F, $F224, Aux_Totales!$A:$A,#REF!), 0))</f>
        <v/>
      </c>
      <c r="BPN224" s="19" t="str">
        <f>IF(BPN220 = "", "", IFERROR(BPN220 / SUMIFS(Aux_Totales!$N:$N, Aux_Totales!$F:$F, $F224, Aux_Totales!$A:$A,#REF!), 0))</f>
        <v/>
      </c>
      <c r="BPO224" s="19" t="str">
        <f>IF(BPO220 = "", "", IFERROR(BPO220 / SUMIFS(Aux_Totales!$N:$N, Aux_Totales!$F:$F, $F224, Aux_Totales!$A:$A,#REF!), 0))</f>
        <v/>
      </c>
      <c r="BPP224" s="19" t="str">
        <f>IF(BPP220 = "", "", IFERROR(BPP220 / SUMIFS(Aux_Totales!$N:$N, Aux_Totales!$F:$F, $F224, Aux_Totales!$A:$A,#REF!), 0))</f>
        <v/>
      </c>
      <c r="BPQ224" s="19" t="str">
        <f>IF(BPQ220 = "", "", IFERROR(BPQ220 / SUMIFS(Aux_Totales!$N:$N, Aux_Totales!$F:$F, $F224, Aux_Totales!$A:$A,#REF!), 0))</f>
        <v/>
      </c>
      <c r="BPR224" s="19" t="str">
        <f>IF(BPR220 = "", "", IFERROR(BPR220 / SUMIFS(Aux_Totales!$N:$N, Aux_Totales!$F:$F, $F224, Aux_Totales!$A:$A,#REF!), 0))</f>
        <v/>
      </c>
      <c r="BPS224" s="19" t="str">
        <f>IF(BPS220 = "", "", IFERROR(BPS220 / SUMIFS(Aux_Totales!$N:$N, Aux_Totales!$F:$F, $F224, Aux_Totales!$A:$A,#REF!), 0))</f>
        <v/>
      </c>
      <c r="BPT224" s="19" t="str">
        <f>IF(BPT220 = "", "", IFERROR(BPT220 / SUMIFS(Aux_Totales!$N:$N, Aux_Totales!$F:$F, $F224, Aux_Totales!$A:$A,#REF!), 0))</f>
        <v/>
      </c>
      <c r="BPU224" s="19" t="str">
        <f>IF(BPU220 = "", "", IFERROR(BPU220 / SUMIFS(Aux_Totales!$N:$N, Aux_Totales!$F:$F, $F224, Aux_Totales!$A:$A,#REF!), 0))</f>
        <v/>
      </c>
      <c r="BPV224" s="19" t="str">
        <f>IF(BPV220 = "", "", IFERROR(BPV220 / SUMIFS(Aux_Totales!$N:$N, Aux_Totales!$F:$F, $F224, Aux_Totales!$A:$A,#REF!), 0))</f>
        <v/>
      </c>
      <c r="BPW224" s="19" t="str">
        <f>IF(BPW220 = "", "", IFERROR(BPW220 / SUMIFS(Aux_Totales!$N:$N, Aux_Totales!$F:$F, $F224, Aux_Totales!$A:$A,#REF!), 0))</f>
        <v/>
      </c>
      <c r="BPX224" s="19" t="str">
        <f>IF(BPX220 = "", "", IFERROR(BPX220 / SUMIFS(Aux_Totales!$N:$N, Aux_Totales!$F:$F, $F224, Aux_Totales!$A:$A,#REF!), 0))</f>
        <v/>
      </c>
      <c r="BPY224" s="19" t="str">
        <f>IF(BPY220 = "", "", IFERROR(BPY220 / SUMIFS(Aux_Totales!$N:$N, Aux_Totales!$F:$F, $F224, Aux_Totales!$A:$A,#REF!), 0))</f>
        <v/>
      </c>
      <c r="BPZ224" s="19" t="str">
        <f>IF(BPZ220 = "", "", IFERROR(BPZ220 / SUMIFS(Aux_Totales!$N:$N, Aux_Totales!$F:$F, $F224, Aux_Totales!$A:$A,#REF!), 0))</f>
        <v/>
      </c>
      <c r="BQA224" s="19" t="str">
        <f>IF(BQA220 = "", "", IFERROR(BQA220 / SUMIFS(Aux_Totales!$N:$N, Aux_Totales!$F:$F, $F224, Aux_Totales!$A:$A,#REF!), 0))</f>
        <v/>
      </c>
      <c r="BQB224" s="19" t="str">
        <f>IF(BQB220 = "", "", IFERROR(BQB220 / SUMIFS(Aux_Totales!$N:$N, Aux_Totales!$F:$F, $F224, Aux_Totales!$A:$A,#REF!), 0))</f>
        <v/>
      </c>
      <c r="BQC224" s="19" t="str">
        <f>IF(BQC220 = "", "", IFERROR(BQC220 / SUMIFS(Aux_Totales!$N:$N, Aux_Totales!$F:$F, $F224, Aux_Totales!$A:$A,#REF!), 0))</f>
        <v/>
      </c>
      <c r="BQD224" s="19" t="str">
        <f>IF(BQD220 = "", "", IFERROR(BQD220 / SUMIFS(Aux_Totales!$N:$N, Aux_Totales!$F:$F, $F224, Aux_Totales!$A:$A,#REF!), 0))</f>
        <v/>
      </c>
      <c r="BQE224" s="19" t="str">
        <f>IF(BQE220 = "", "", IFERROR(BQE220 / SUMIFS(Aux_Totales!$N:$N, Aux_Totales!$F:$F, $F224, Aux_Totales!$A:$A,#REF!), 0))</f>
        <v/>
      </c>
      <c r="BQF224" s="19" t="str">
        <f>IF(BQF220 = "", "", IFERROR(BQF220 / SUMIFS(Aux_Totales!$N:$N, Aux_Totales!$F:$F, $F224, Aux_Totales!$A:$A,#REF!), 0))</f>
        <v/>
      </c>
      <c r="BQG224" s="19" t="str">
        <f>IF(BQG220 = "", "", IFERROR(BQG220 / SUMIFS(Aux_Totales!$N:$N, Aux_Totales!$F:$F, $F224, Aux_Totales!$A:$A,#REF!), 0))</f>
        <v/>
      </c>
      <c r="BQH224" s="19" t="str">
        <f>IF(BQH220 = "", "", IFERROR(BQH220 / SUMIFS(Aux_Totales!$N:$N, Aux_Totales!$F:$F, $F224, Aux_Totales!$A:$A,#REF!), 0))</f>
        <v/>
      </c>
      <c r="BQI224" s="19" t="str">
        <f>IF(BQI220 = "", "", IFERROR(BQI220 / SUMIFS(Aux_Totales!$N:$N, Aux_Totales!$F:$F, $F224, Aux_Totales!$A:$A,#REF!), 0))</f>
        <v/>
      </c>
      <c r="BQJ224" s="19" t="str">
        <f>IF(BQJ220 = "", "", IFERROR(BQJ220 / SUMIFS(Aux_Totales!$N:$N, Aux_Totales!$F:$F, $F224, Aux_Totales!$A:$A,#REF!), 0))</f>
        <v/>
      </c>
      <c r="BQK224" s="19" t="str">
        <f>IF(BQK220 = "", "", IFERROR(BQK220 / SUMIFS(Aux_Totales!$N:$N, Aux_Totales!$F:$F, $F224, Aux_Totales!$A:$A,#REF!), 0))</f>
        <v/>
      </c>
      <c r="BQL224" s="19" t="str">
        <f>IF(BQL220 = "", "", IFERROR(BQL220 / SUMIFS(Aux_Totales!$N:$N, Aux_Totales!$F:$F, $F224, Aux_Totales!$A:$A,#REF!), 0))</f>
        <v/>
      </c>
      <c r="BQM224" s="19" t="str">
        <f>IF(BQM220 = "", "", IFERROR(BQM220 / SUMIFS(Aux_Totales!$N:$N, Aux_Totales!$F:$F, $F224, Aux_Totales!$A:$A,#REF!), 0))</f>
        <v/>
      </c>
      <c r="BQN224" s="19" t="str">
        <f>IF(BQN220 = "", "", IFERROR(BQN220 / SUMIFS(Aux_Totales!$N:$N, Aux_Totales!$F:$F, $F224, Aux_Totales!$A:$A,#REF!), 0))</f>
        <v/>
      </c>
      <c r="BQO224" s="19" t="str">
        <f>IF(BQO220 = "", "", IFERROR(BQO220 / SUMIFS(Aux_Totales!$N:$N, Aux_Totales!$F:$F, $F224, Aux_Totales!$A:$A,#REF!), 0))</f>
        <v/>
      </c>
      <c r="BQP224" s="19" t="str">
        <f>IF(BQP220 = "", "", IFERROR(BQP220 / SUMIFS(Aux_Totales!$N:$N, Aux_Totales!$F:$F, $F224, Aux_Totales!$A:$A,#REF!), 0))</f>
        <v/>
      </c>
      <c r="BQQ224" s="19" t="str">
        <f>IF(BQQ220 = "", "", IFERROR(BQQ220 / SUMIFS(Aux_Totales!$N:$N, Aux_Totales!$F:$F, $F224, Aux_Totales!$A:$A,#REF!), 0))</f>
        <v/>
      </c>
      <c r="BQR224" s="19" t="str">
        <f>IF(BQR220 = "", "", IFERROR(BQR220 / SUMIFS(Aux_Totales!$N:$N, Aux_Totales!$F:$F, $F224, Aux_Totales!$A:$A,#REF!), 0))</f>
        <v/>
      </c>
      <c r="BQS224" s="19" t="str">
        <f>IF(BQS220 = "", "", IFERROR(BQS220 / SUMIFS(Aux_Totales!$N:$N, Aux_Totales!$F:$F, $F224, Aux_Totales!$A:$A,#REF!), 0))</f>
        <v/>
      </c>
      <c r="BQT224" s="19" t="str">
        <f>IF(BQT220 = "", "", IFERROR(BQT220 / SUMIFS(Aux_Totales!$N:$N, Aux_Totales!$F:$F, $F224, Aux_Totales!$A:$A,#REF!), 0))</f>
        <v/>
      </c>
      <c r="BQU224" s="19" t="str">
        <f>IF(BQU220 = "", "", IFERROR(BQU220 / SUMIFS(Aux_Totales!$N:$N, Aux_Totales!$F:$F, $F224, Aux_Totales!$A:$A,#REF!), 0))</f>
        <v/>
      </c>
      <c r="BQV224" s="19" t="str">
        <f>IF(BQV220 = "", "", IFERROR(BQV220 / SUMIFS(Aux_Totales!$N:$N, Aux_Totales!$F:$F, $F224, Aux_Totales!$A:$A,#REF!), 0))</f>
        <v/>
      </c>
      <c r="BQW224" s="19" t="str">
        <f>IF(BQW220 = "", "", IFERROR(BQW220 / SUMIFS(Aux_Totales!$N:$N, Aux_Totales!$F:$F, $F224, Aux_Totales!$A:$A,#REF!), 0))</f>
        <v/>
      </c>
      <c r="BQX224" s="19" t="str">
        <f>IF(BQX220 = "", "", IFERROR(BQX220 / SUMIFS(Aux_Totales!$N:$N, Aux_Totales!$F:$F, $F224, Aux_Totales!$A:$A,#REF!), 0))</f>
        <v/>
      </c>
      <c r="BQY224" s="19" t="str">
        <f>IF(BQY220 = "", "", IFERROR(BQY220 / SUMIFS(Aux_Totales!$N:$N, Aux_Totales!$F:$F, $F224, Aux_Totales!$A:$A,#REF!), 0))</f>
        <v/>
      </c>
      <c r="BQZ224" s="19" t="str">
        <f>IF(BQZ220 = "", "", IFERROR(BQZ220 / SUMIFS(Aux_Totales!$N:$N, Aux_Totales!$F:$F, $F224, Aux_Totales!$A:$A,#REF!), 0))</f>
        <v/>
      </c>
      <c r="BRA224" s="19" t="str">
        <f>IF(BRA220 = "", "", IFERROR(BRA220 / SUMIFS(Aux_Totales!$N:$N, Aux_Totales!$F:$F, $F224, Aux_Totales!$A:$A,#REF!), 0))</f>
        <v/>
      </c>
      <c r="BRB224" s="19" t="str">
        <f>IF(BRB220 = "", "", IFERROR(BRB220 / SUMIFS(Aux_Totales!$N:$N, Aux_Totales!$F:$F, $F224, Aux_Totales!$A:$A,#REF!), 0))</f>
        <v/>
      </c>
      <c r="BRC224" s="19" t="str">
        <f>IF(BRC220 = "", "", IFERROR(BRC220 / SUMIFS(Aux_Totales!$N:$N, Aux_Totales!$F:$F, $F224, Aux_Totales!$A:$A,#REF!), 0))</f>
        <v/>
      </c>
      <c r="BRD224" s="19" t="str">
        <f>IF(BRD220 = "", "", IFERROR(BRD220 / SUMIFS(Aux_Totales!$N:$N, Aux_Totales!$F:$F, $F224, Aux_Totales!$A:$A,#REF!), 0))</f>
        <v/>
      </c>
      <c r="BRE224" s="19" t="str">
        <f>IF(BRE220 = "", "", IFERROR(BRE220 / SUMIFS(Aux_Totales!$N:$N, Aux_Totales!$F:$F, $F224, Aux_Totales!$A:$A,#REF!), 0))</f>
        <v/>
      </c>
      <c r="BRF224" s="19" t="str">
        <f>IF(BRF220 = "", "", IFERROR(BRF220 / SUMIFS(Aux_Totales!$N:$N, Aux_Totales!$F:$F, $F224, Aux_Totales!$A:$A,#REF!), 0))</f>
        <v/>
      </c>
      <c r="BRG224" s="19" t="str">
        <f>IF(BRG220 = "", "", IFERROR(BRG220 / SUMIFS(Aux_Totales!$N:$N, Aux_Totales!$F:$F, $F224, Aux_Totales!$A:$A,#REF!), 0))</f>
        <v/>
      </c>
      <c r="BRH224" s="19" t="str">
        <f>IF(BRH220 = "", "", IFERROR(BRH220 / SUMIFS(Aux_Totales!$N:$N, Aux_Totales!$F:$F, $F224, Aux_Totales!$A:$A,#REF!), 0))</f>
        <v/>
      </c>
      <c r="BRI224" s="19" t="str">
        <f>IF(BRI220 = "", "", IFERROR(BRI220 / SUMIFS(Aux_Totales!$N:$N, Aux_Totales!$F:$F, $F224, Aux_Totales!$A:$A,#REF!), 0))</f>
        <v/>
      </c>
      <c r="BRJ224" s="19" t="str">
        <f>IF(BRJ220 = "", "", IFERROR(BRJ220 / SUMIFS(Aux_Totales!$N:$N, Aux_Totales!$F:$F, $F224, Aux_Totales!$A:$A,#REF!), 0))</f>
        <v/>
      </c>
      <c r="BRK224" s="19" t="str">
        <f>IF(BRK220 = "", "", IFERROR(BRK220 / SUMIFS(Aux_Totales!$N:$N, Aux_Totales!$F:$F, $F224, Aux_Totales!$A:$A,#REF!), 0))</f>
        <v/>
      </c>
      <c r="BRL224" s="19" t="str">
        <f>IF(BRL220 = "", "", IFERROR(BRL220 / SUMIFS(Aux_Totales!$N:$N, Aux_Totales!$F:$F, $F224, Aux_Totales!$A:$A,#REF!), 0))</f>
        <v/>
      </c>
      <c r="BRM224" s="19" t="str">
        <f>IF(BRM220 = "", "", IFERROR(BRM220 / SUMIFS(Aux_Totales!$N:$N, Aux_Totales!$F:$F, $F224, Aux_Totales!$A:$A,#REF!), 0))</f>
        <v/>
      </c>
      <c r="BRN224" s="19" t="str">
        <f>IF(BRN220 = "", "", IFERROR(BRN220 / SUMIFS(Aux_Totales!$N:$N, Aux_Totales!$F:$F, $F224, Aux_Totales!$A:$A,#REF!), 0))</f>
        <v/>
      </c>
      <c r="BRO224" s="19" t="str">
        <f>IF(BRO220 = "", "", IFERROR(BRO220 / SUMIFS(Aux_Totales!$N:$N, Aux_Totales!$F:$F, $F224, Aux_Totales!$A:$A,#REF!), 0))</f>
        <v/>
      </c>
      <c r="BRP224" s="19" t="str">
        <f>IF(BRP220 = "", "", IFERROR(BRP220 / SUMIFS(Aux_Totales!$N:$N, Aux_Totales!$F:$F, $F224, Aux_Totales!$A:$A,#REF!), 0))</f>
        <v/>
      </c>
      <c r="BRQ224" s="19" t="str">
        <f>IF(BRQ220 = "", "", IFERROR(BRQ220 / SUMIFS(Aux_Totales!$N:$N, Aux_Totales!$F:$F, $F224, Aux_Totales!$A:$A,#REF!), 0))</f>
        <v/>
      </c>
      <c r="BRR224" s="19" t="str">
        <f>IF(BRR220 = "", "", IFERROR(BRR220 / SUMIFS(Aux_Totales!$N:$N, Aux_Totales!$F:$F, $F224, Aux_Totales!$A:$A,#REF!), 0))</f>
        <v/>
      </c>
      <c r="BRS224" s="19" t="str">
        <f>IF(BRS220 = "", "", IFERROR(BRS220 / SUMIFS(Aux_Totales!$N:$N, Aux_Totales!$F:$F, $F224, Aux_Totales!$A:$A,#REF!), 0))</f>
        <v/>
      </c>
      <c r="BRT224" s="19" t="str">
        <f>IF(BRT220 = "", "", IFERROR(BRT220 / SUMIFS(Aux_Totales!$N:$N, Aux_Totales!$F:$F, $F224, Aux_Totales!$A:$A,#REF!), 0))</f>
        <v/>
      </c>
      <c r="BRU224" s="19" t="str">
        <f>IF(BRU220 = "", "", IFERROR(BRU220 / SUMIFS(Aux_Totales!$N:$N, Aux_Totales!$F:$F, $F224, Aux_Totales!$A:$A,#REF!), 0))</f>
        <v/>
      </c>
      <c r="BRV224" s="19" t="str">
        <f>IF(BRV220 = "", "", IFERROR(BRV220 / SUMIFS(Aux_Totales!$N:$N, Aux_Totales!$F:$F, $F224, Aux_Totales!$A:$A,#REF!), 0))</f>
        <v/>
      </c>
      <c r="BRW224" s="19" t="str">
        <f>IF(BRW220 = "", "", IFERROR(BRW220 / SUMIFS(Aux_Totales!$N:$N, Aux_Totales!$F:$F, $F224, Aux_Totales!$A:$A,#REF!), 0))</f>
        <v/>
      </c>
      <c r="BRX224" s="19" t="str">
        <f>IF(BRX220 = "", "", IFERROR(BRX220 / SUMIFS(Aux_Totales!$N:$N, Aux_Totales!$F:$F, $F224, Aux_Totales!$A:$A,#REF!), 0))</f>
        <v/>
      </c>
      <c r="BRY224" s="19" t="str">
        <f>IF(BRY220 = "", "", IFERROR(BRY220 / SUMIFS(Aux_Totales!$N:$N, Aux_Totales!$F:$F, $F224, Aux_Totales!$A:$A,#REF!), 0))</f>
        <v/>
      </c>
      <c r="BRZ224" s="19" t="str">
        <f>IF(BRZ220 = "", "", IFERROR(BRZ220 / SUMIFS(Aux_Totales!$N:$N, Aux_Totales!$F:$F, $F224, Aux_Totales!$A:$A,#REF!), 0))</f>
        <v/>
      </c>
      <c r="BSA224" s="19" t="str">
        <f>IF(BSA220 = "", "", IFERROR(BSA220 / SUMIFS(Aux_Totales!$N:$N, Aux_Totales!$F:$F, $F224, Aux_Totales!$A:$A,#REF!), 0))</f>
        <v/>
      </c>
      <c r="BSB224" s="19" t="str">
        <f>IF(BSB220 = "", "", IFERROR(BSB220 / SUMIFS(Aux_Totales!$N:$N, Aux_Totales!$F:$F, $F224, Aux_Totales!$A:$A,#REF!), 0))</f>
        <v/>
      </c>
      <c r="BSC224" s="19" t="str">
        <f>IF(BSC220 = "", "", IFERROR(BSC220 / SUMIFS(Aux_Totales!$N:$N, Aux_Totales!$F:$F, $F224, Aux_Totales!$A:$A,#REF!), 0))</f>
        <v/>
      </c>
      <c r="BSD224" s="19" t="str">
        <f>IF(BSD220 = "", "", IFERROR(BSD220 / SUMIFS(Aux_Totales!$N:$N, Aux_Totales!$F:$F, $F224, Aux_Totales!$A:$A,#REF!), 0))</f>
        <v/>
      </c>
      <c r="BSE224" s="19" t="str">
        <f>IF(BSE220 = "", "", IFERROR(BSE220 / SUMIFS(Aux_Totales!$N:$N, Aux_Totales!$F:$F, $F224, Aux_Totales!$A:$A,#REF!), 0))</f>
        <v/>
      </c>
      <c r="BSF224" s="19" t="str">
        <f>IF(BSF220 = "", "", IFERROR(BSF220 / SUMIFS(Aux_Totales!$N:$N, Aux_Totales!$F:$F, $F224, Aux_Totales!$A:$A,#REF!), 0))</f>
        <v/>
      </c>
      <c r="BSG224" s="19" t="str">
        <f>IF(BSG220 = "", "", IFERROR(BSG220 / SUMIFS(Aux_Totales!$N:$N, Aux_Totales!$F:$F, $F224, Aux_Totales!$A:$A,#REF!), 0))</f>
        <v/>
      </c>
      <c r="BSH224" s="19" t="str">
        <f>IF(BSH220 = "", "", IFERROR(BSH220 / SUMIFS(Aux_Totales!$N:$N, Aux_Totales!$F:$F, $F224, Aux_Totales!$A:$A,#REF!), 0))</f>
        <v/>
      </c>
      <c r="BSI224" s="19" t="str">
        <f>IF(BSI220 = "", "", IFERROR(BSI220 / SUMIFS(Aux_Totales!$N:$N, Aux_Totales!$F:$F, $F224, Aux_Totales!$A:$A,#REF!), 0))</f>
        <v/>
      </c>
      <c r="BSJ224" s="19" t="str">
        <f>IF(BSJ220 = "", "", IFERROR(BSJ220 / SUMIFS(Aux_Totales!$N:$N, Aux_Totales!$F:$F, $F224, Aux_Totales!$A:$A,#REF!), 0))</f>
        <v/>
      </c>
      <c r="BSK224" s="19" t="str">
        <f>IF(BSK220 = "", "", IFERROR(BSK220 / SUMIFS(Aux_Totales!$N:$N, Aux_Totales!$F:$F, $F224, Aux_Totales!$A:$A,#REF!), 0))</f>
        <v/>
      </c>
      <c r="BSL224" s="19" t="str">
        <f>IF(BSL220 = "", "", IFERROR(BSL220 / SUMIFS(Aux_Totales!$N:$N, Aux_Totales!$F:$F, $F224, Aux_Totales!$A:$A,#REF!), 0))</f>
        <v/>
      </c>
      <c r="BSM224" s="19" t="str">
        <f>IF(BSM220 = "", "", IFERROR(BSM220 / SUMIFS(Aux_Totales!$N:$N, Aux_Totales!$F:$F, $F224, Aux_Totales!$A:$A,#REF!), 0))</f>
        <v/>
      </c>
      <c r="BSN224" s="19" t="str">
        <f>IF(BSN220 = "", "", IFERROR(BSN220 / SUMIFS(Aux_Totales!$N:$N, Aux_Totales!$F:$F, $F224, Aux_Totales!$A:$A,#REF!), 0))</f>
        <v/>
      </c>
      <c r="BSO224" s="19" t="str">
        <f>IF(BSO220 = "", "", IFERROR(BSO220 / SUMIFS(Aux_Totales!$N:$N, Aux_Totales!$F:$F, $F224, Aux_Totales!$A:$A,#REF!), 0))</f>
        <v/>
      </c>
      <c r="BSP224" s="19" t="str">
        <f>IF(BSP220 = "", "", IFERROR(BSP220 / SUMIFS(Aux_Totales!$N:$N, Aux_Totales!$F:$F, $F224, Aux_Totales!$A:$A,#REF!), 0))</f>
        <v/>
      </c>
      <c r="BSQ224" s="19" t="str">
        <f>IF(BSQ220 = "", "", IFERROR(BSQ220 / SUMIFS(Aux_Totales!$N:$N, Aux_Totales!$F:$F, $F224, Aux_Totales!$A:$A,#REF!), 0))</f>
        <v/>
      </c>
      <c r="BSR224" s="19" t="str">
        <f>IF(BSR220 = "", "", IFERROR(BSR220 / SUMIFS(Aux_Totales!$N:$N, Aux_Totales!$F:$F, $F224, Aux_Totales!$A:$A,#REF!), 0))</f>
        <v/>
      </c>
      <c r="BSS224" s="19" t="str">
        <f>IF(BSS220 = "", "", IFERROR(BSS220 / SUMIFS(Aux_Totales!$N:$N, Aux_Totales!$F:$F, $F224, Aux_Totales!$A:$A,#REF!), 0))</f>
        <v/>
      </c>
      <c r="BST224" s="19" t="str">
        <f>IF(BST220 = "", "", IFERROR(BST220 / SUMIFS(Aux_Totales!$N:$N, Aux_Totales!$F:$F, $F224, Aux_Totales!$A:$A,#REF!), 0))</f>
        <v/>
      </c>
      <c r="BSU224" s="19" t="str">
        <f>IF(BSU220 = "", "", IFERROR(BSU220 / SUMIFS(Aux_Totales!$N:$N, Aux_Totales!$F:$F, $F224, Aux_Totales!$A:$A,#REF!), 0))</f>
        <v/>
      </c>
      <c r="BSV224" s="19" t="str">
        <f>IF(BSV220 = "", "", IFERROR(BSV220 / SUMIFS(Aux_Totales!$N:$N, Aux_Totales!$F:$F, $F224, Aux_Totales!$A:$A,#REF!), 0))</f>
        <v/>
      </c>
      <c r="BSW224" s="19" t="str">
        <f>IF(BSW220 = "", "", IFERROR(BSW220 / SUMIFS(Aux_Totales!$N:$N, Aux_Totales!$F:$F, $F224, Aux_Totales!$A:$A,#REF!), 0))</f>
        <v/>
      </c>
      <c r="BSX224" s="19" t="str">
        <f>IF(BSX220 = "", "", IFERROR(BSX220 / SUMIFS(Aux_Totales!$N:$N, Aux_Totales!$F:$F, $F224, Aux_Totales!$A:$A,#REF!), 0))</f>
        <v/>
      </c>
      <c r="BSY224" s="19" t="str">
        <f>IF(BSY220 = "", "", IFERROR(BSY220 / SUMIFS(Aux_Totales!$N:$N, Aux_Totales!$F:$F, $F224, Aux_Totales!$A:$A,#REF!), 0))</f>
        <v/>
      </c>
      <c r="BSZ224" s="19" t="str">
        <f>IF(BSZ220 = "", "", IFERROR(BSZ220 / SUMIFS(Aux_Totales!$N:$N, Aux_Totales!$F:$F, $F224, Aux_Totales!$A:$A,#REF!), 0))</f>
        <v/>
      </c>
      <c r="BTA224" s="19" t="str">
        <f>IF(BTA220 = "", "", IFERROR(BTA220 / SUMIFS(Aux_Totales!$N:$N, Aux_Totales!$F:$F, $F224, Aux_Totales!$A:$A,#REF!), 0))</f>
        <v/>
      </c>
      <c r="BTB224" s="19" t="str">
        <f>IF(BTB220 = "", "", IFERROR(BTB220 / SUMIFS(Aux_Totales!$N:$N, Aux_Totales!$F:$F, $F224, Aux_Totales!$A:$A,#REF!), 0))</f>
        <v/>
      </c>
      <c r="BTC224" s="19" t="str">
        <f>IF(BTC220 = "", "", IFERROR(BTC220 / SUMIFS(Aux_Totales!$N:$N, Aux_Totales!$F:$F, $F224, Aux_Totales!$A:$A,#REF!), 0))</f>
        <v/>
      </c>
      <c r="BTD224" s="19" t="str">
        <f>IF(BTD220 = "", "", IFERROR(BTD220 / SUMIFS(Aux_Totales!$N:$N, Aux_Totales!$F:$F, $F224, Aux_Totales!$A:$A,#REF!), 0))</f>
        <v/>
      </c>
      <c r="BTE224" s="19" t="str">
        <f>IF(BTE220 = "", "", IFERROR(BTE220 / SUMIFS(Aux_Totales!$N:$N, Aux_Totales!$F:$F, $F224, Aux_Totales!$A:$A,#REF!), 0))</f>
        <v/>
      </c>
      <c r="BTF224" s="19" t="str">
        <f>IF(BTF220 = "", "", IFERROR(BTF220 / SUMIFS(Aux_Totales!$N:$N, Aux_Totales!$F:$F, $F224, Aux_Totales!$A:$A,#REF!), 0))</f>
        <v/>
      </c>
      <c r="BTG224" s="19" t="str">
        <f>IF(BTG220 = "", "", IFERROR(BTG220 / SUMIFS(Aux_Totales!$N:$N, Aux_Totales!$F:$F, $F224, Aux_Totales!$A:$A,#REF!), 0))</f>
        <v/>
      </c>
      <c r="BTH224" s="19" t="str">
        <f>IF(BTH220 = "", "", IFERROR(BTH220 / SUMIFS(Aux_Totales!$N:$N, Aux_Totales!$F:$F, $F224, Aux_Totales!$A:$A,#REF!), 0))</f>
        <v/>
      </c>
      <c r="BTI224" s="19" t="str">
        <f>IF(BTI220 = "", "", IFERROR(BTI220 / SUMIFS(Aux_Totales!$N:$N, Aux_Totales!$F:$F, $F224, Aux_Totales!$A:$A,#REF!), 0))</f>
        <v/>
      </c>
      <c r="BTJ224" s="19" t="str">
        <f>IF(BTJ220 = "", "", IFERROR(BTJ220 / SUMIFS(Aux_Totales!$N:$N, Aux_Totales!$F:$F, $F224, Aux_Totales!$A:$A,#REF!), 0))</f>
        <v/>
      </c>
      <c r="BTK224" s="19" t="str">
        <f>IF(BTK220 = "", "", IFERROR(BTK220 / SUMIFS(Aux_Totales!$N:$N, Aux_Totales!$F:$F, $F224, Aux_Totales!$A:$A,#REF!), 0))</f>
        <v/>
      </c>
      <c r="BTL224" s="19" t="str">
        <f>IF(BTL220 = "", "", IFERROR(BTL220 / SUMIFS(Aux_Totales!$N:$N, Aux_Totales!$F:$F, $F224, Aux_Totales!$A:$A,#REF!), 0))</f>
        <v/>
      </c>
      <c r="BTM224" s="19" t="str">
        <f>IF(BTM220 = "", "", IFERROR(BTM220 / SUMIFS(Aux_Totales!$N:$N, Aux_Totales!$F:$F, $F224, Aux_Totales!$A:$A,#REF!), 0))</f>
        <v/>
      </c>
      <c r="BTN224" s="19" t="str">
        <f>IF(BTN220 = "", "", IFERROR(BTN220 / SUMIFS(Aux_Totales!$N:$N, Aux_Totales!$F:$F, $F224, Aux_Totales!$A:$A,#REF!), 0))</f>
        <v/>
      </c>
      <c r="BTO224" s="19" t="str">
        <f>IF(BTO220 = "", "", IFERROR(BTO220 / SUMIFS(Aux_Totales!$N:$N, Aux_Totales!$F:$F, $F224, Aux_Totales!$A:$A,#REF!), 0))</f>
        <v/>
      </c>
      <c r="BTP224" s="19" t="str">
        <f>IF(BTP220 = "", "", IFERROR(BTP220 / SUMIFS(Aux_Totales!$N:$N, Aux_Totales!$F:$F, $F224, Aux_Totales!$A:$A,#REF!), 0))</f>
        <v/>
      </c>
      <c r="BTQ224" s="19" t="str">
        <f>IF(BTQ220 = "", "", IFERROR(BTQ220 / SUMIFS(Aux_Totales!$N:$N, Aux_Totales!$F:$F, $F224, Aux_Totales!$A:$A,#REF!), 0))</f>
        <v/>
      </c>
      <c r="BTR224" s="19" t="str">
        <f>IF(BTR220 = "", "", IFERROR(BTR220 / SUMIFS(Aux_Totales!$N:$N, Aux_Totales!$F:$F, $F224, Aux_Totales!$A:$A,#REF!), 0))</f>
        <v/>
      </c>
      <c r="BTS224" s="19" t="str">
        <f>IF(BTS220 = "", "", IFERROR(BTS220 / SUMIFS(Aux_Totales!$N:$N, Aux_Totales!$F:$F, $F224, Aux_Totales!$A:$A,#REF!), 0))</f>
        <v/>
      </c>
      <c r="BTT224" s="19" t="str">
        <f>IF(BTT220 = "", "", IFERROR(BTT220 / SUMIFS(Aux_Totales!$N:$N, Aux_Totales!$F:$F, $F224, Aux_Totales!$A:$A,#REF!), 0))</f>
        <v/>
      </c>
      <c r="BTU224" s="19" t="str">
        <f>IF(BTU220 = "", "", IFERROR(BTU220 / SUMIFS(Aux_Totales!$N:$N, Aux_Totales!$F:$F, $F224, Aux_Totales!$A:$A,#REF!), 0))</f>
        <v/>
      </c>
      <c r="BTV224" s="19" t="str">
        <f>IF(BTV220 = "", "", IFERROR(BTV220 / SUMIFS(Aux_Totales!$N:$N, Aux_Totales!$F:$F, $F224, Aux_Totales!$A:$A,#REF!), 0))</f>
        <v/>
      </c>
      <c r="BTW224" s="19" t="str">
        <f>IF(BTW220 = "", "", IFERROR(BTW220 / SUMIFS(Aux_Totales!$N:$N, Aux_Totales!$F:$F, $F224, Aux_Totales!$A:$A,#REF!), 0))</f>
        <v/>
      </c>
      <c r="BTX224" s="19" t="str">
        <f>IF(BTX220 = "", "", IFERROR(BTX220 / SUMIFS(Aux_Totales!$N:$N, Aux_Totales!$F:$F, $F224, Aux_Totales!$A:$A,#REF!), 0))</f>
        <v/>
      </c>
      <c r="BTY224" s="19" t="str">
        <f>IF(BTY220 = "", "", IFERROR(BTY220 / SUMIFS(Aux_Totales!$N:$N, Aux_Totales!$F:$F, $F224, Aux_Totales!$A:$A,#REF!), 0))</f>
        <v/>
      </c>
      <c r="BTZ224" s="19" t="str">
        <f>IF(BTZ220 = "", "", IFERROR(BTZ220 / SUMIFS(Aux_Totales!$N:$N, Aux_Totales!$F:$F, $F224, Aux_Totales!$A:$A,#REF!), 0))</f>
        <v/>
      </c>
      <c r="BUA224" s="19" t="str">
        <f>IF(BUA220 = "", "", IFERROR(BUA220 / SUMIFS(Aux_Totales!$N:$N, Aux_Totales!$F:$F, $F224, Aux_Totales!$A:$A,#REF!), 0))</f>
        <v/>
      </c>
      <c r="BUB224" s="19" t="str">
        <f>IF(BUB220 = "", "", IFERROR(BUB220 / SUMIFS(Aux_Totales!$N:$N, Aux_Totales!$F:$F, $F224, Aux_Totales!$A:$A,#REF!), 0))</f>
        <v/>
      </c>
      <c r="BUC224" s="19" t="str">
        <f>IF(BUC220 = "", "", IFERROR(BUC220 / SUMIFS(Aux_Totales!$N:$N, Aux_Totales!$F:$F, $F224, Aux_Totales!$A:$A,#REF!), 0))</f>
        <v/>
      </c>
      <c r="BUD224" s="19" t="str">
        <f>IF(BUD220 = "", "", IFERROR(BUD220 / SUMIFS(Aux_Totales!$N:$N, Aux_Totales!$F:$F, $F224, Aux_Totales!$A:$A,#REF!), 0))</f>
        <v/>
      </c>
      <c r="BUE224" s="19" t="str">
        <f>IF(BUE220 = "", "", IFERROR(BUE220 / SUMIFS(Aux_Totales!$N:$N, Aux_Totales!$F:$F, $F224, Aux_Totales!$A:$A,#REF!), 0))</f>
        <v/>
      </c>
      <c r="BUF224" s="19" t="str">
        <f>IF(BUF220 = "", "", IFERROR(BUF220 / SUMIFS(Aux_Totales!$N:$N, Aux_Totales!$F:$F, $F224, Aux_Totales!$A:$A,#REF!), 0))</f>
        <v/>
      </c>
      <c r="BUG224" s="19" t="str">
        <f>IF(BUG220 = "", "", IFERROR(BUG220 / SUMIFS(Aux_Totales!$N:$N, Aux_Totales!$F:$F, $F224, Aux_Totales!$A:$A,#REF!), 0))</f>
        <v/>
      </c>
      <c r="BUH224" s="19" t="str">
        <f>IF(BUH220 = "", "", IFERROR(BUH220 / SUMIFS(Aux_Totales!$N:$N, Aux_Totales!$F:$F, $F224, Aux_Totales!$A:$A,#REF!), 0))</f>
        <v/>
      </c>
      <c r="BUI224" s="19" t="str">
        <f>IF(BUI220 = "", "", IFERROR(BUI220 / SUMIFS(Aux_Totales!$N:$N, Aux_Totales!$F:$F, $F224, Aux_Totales!$A:$A,#REF!), 0))</f>
        <v/>
      </c>
      <c r="BUJ224" s="19" t="str">
        <f>IF(BUJ220 = "", "", IFERROR(BUJ220 / SUMIFS(Aux_Totales!$N:$N, Aux_Totales!$F:$F, $F224, Aux_Totales!$A:$A,#REF!), 0))</f>
        <v/>
      </c>
      <c r="BUK224" s="19" t="str">
        <f>IF(BUK220 = "", "", IFERROR(BUK220 / SUMIFS(Aux_Totales!$N:$N, Aux_Totales!$F:$F, $F224, Aux_Totales!$A:$A,#REF!), 0))</f>
        <v/>
      </c>
      <c r="BUL224" s="19" t="str">
        <f>IF(BUL220 = "", "", IFERROR(BUL220 / SUMIFS(Aux_Totales!$N:$N, Aux_Totales!$F:$F, $F224, Aux_Totales!$A:$A,#REF!), 0))</f>
        <v/>
      </c>
      <c r="BUM224" s="19" t="str">
        <f>IF(BUM220 = "", "", IFERROR(BUM220 / SUMIFS(Aux_Totales!$N:$N, Aux_Totales!$F:$F, $F224, Aux_Totales!$A:$A,#REF!), 0))</f>
        <v/>
      </c>
      <c r="BUN224" s="19" t="str">
        <f>IF(BUN220 = "", "", IFERROR(BUN220 / SUMIFS(Aux_Totales!$N:$N, Aux_Totales!$F:$F, $F224, Aux_Totales!$A:$A,#REF!), 0))</f>
        <v/>
      </c>
      <c r="BUO224" s="19" t="str">
        <f>IF(BUO220 = "", "", IFERROR(BUO220 / SUMIFS(Aux_Totales!$N:$N, Aux_Totales!$F:$F, $F224, Aux_Totales!$A:$A,#REF!), 0))</f>
        <v/>
      </c>
      <c r="BUP224" s="19" t="str">
        <f>IF(BUP220 = "", "", IFERROR(BUP220 / SUMIFS(Aux_Totales!$N:$N, Aux_Totales!$F:$F, $F224, Aux_Totales!$A:$A,#REF!), 0))</f>
        <v/>
      </c>
      <c r="BUQ224" s="19" t="str">
        <f>IF(BUQ220 = "", "", IFERROR(BUQ220 / SUMIFS(Aux_Totales!$N:$N, Aux_Totales!$F:$F, $F224, Aux_Totales!$A:$A,#REF!), 0))</f>
        <v/>
      </c>
      <c r="BUR224" s="19" t="str">
        <f>IF(BUR220 = "", "", IFERROR(BUR220 / SUMIFS(Aux_Totales!$N:$N, Aux_Totales!$F:$F, $F224, Aux_Totales!$A:$A,#REF!), 0))</f>
        <v/>
      </c>
      <c r="BUS224" s="19" t="str">
        <f>IF(BUS220 = "", "", IFERROR(BUS220 / SUMIFS(Aux_Totales!$N:$N, Aux_Totales!$F:$F, $F224, Aux_Totales!$A:$A,#REF!), 0))</f>
        <v/>
      </c>
      <c r="BUT224" s="19" t="str">
        <f>IF(BUT220 = "", "", IFERROR(BUT220 / SUMIFS(Aux_Totales!$N:$N, Aux_Totales!$F:$F, $F224, Aux_Totales!$A:$A,#REF!), 0))</f>
        <v/>
      </c>
      <c r="BUU224" s="19" t="str">
        <f>IF(BUU220 = "", "", IFERROR(BUU220 / SUMIFS(Aux_Totales!$N:$N, Aux_Totales!$F:$F, $F224, Aux_Totales!$A:$A,#REF!), 0))</f>
        <v/>
      </c>
      <c r="BUV224" s="19" t="str">
        <f>IF(BUV220 = "", "", IFERROR(BUV220 / SUMIFS(Aux_Totales!$N:$N, Aux_Totales!$F:$F, $F224, Aux_Totales!$A:$A,#REF!), 0))</f>
        <v/>
      </c>
      <c r="BUW224" s="19" t="str">
        <f>IF(BUW220 = "", "", IFERROR(BUW220 / SUMIFS(Aux_Totales!$N:$N, Aux_Totales!$F:$F, $F224, Aux_Totales!$A:$A,#REF!), 0))</f>
        <v/>
      </c>
      <c r="BUX224" s="19" t="str">
        <f>IF(BUX220 = "", "", IFERROR(BUX220 / SUMIFS(Aux_Totales!$N:$N, Aux_Totales!$F:$F, $F224, Aux_Totales!$A:$A,#REF!), 0))</f>
        <v/>
      </c>
      <c r="BUY224" s="19" t="str">
        <f>IF(BUY220 = "", "", IFERROR(BUY220 / SUMIFS(Aux_Totales!$N:$N, Aux_Totales!$F:$F, $F224, Aux_Totales!$A:$A,#REF!), 0))</f>
        <v/>
      </c>
      <c r="BUZ224" s="19" t="str">
        <f>IF(BUZ220 = "", "", IFERROR(BUZ220 / SUMIFS(Aux_Totales!$N:$N, Aux_Totales!$F:$F, $F224, Aux_Totales!$A:$A,#REF!), 0))</f>
        <v/>
      </c>
      <c r="BVA224" s="19" t="str">
        <f>IF(BVA220 = "", "", IFERROR(BVA220 / SUMIFS(Aux_Totales!$N:$N, Aux_Totales!$F:$F, $F224, Aux_Totales!$A:$A,#REF!), 0))</f>
        <v/>
      </c>
      <c r="BVB224" s="19" t="str">
        <f>IF(BVB220 = "", "", IFERROR(BVB220 / SUMIFS(Aux_Totales!$N:$N, Aux_Totales!$F:$F, $F224, Aux_Totales!$A:$A,#REF!), 0))</f>
        <v/>
      </c>
      <c r="BVC224" s="19" t="str">
        <f>IF(BVC220 = "", "", IFERROR(BVC220 / SUMIFS(Aux_Totales!$N:$N, Aux_Totales!$F:$F, $F224, Aux_Totales!$A:$A,#REF!), 0))</f>
        <v/>
      </c>
      <c r="BVD224" s="19" t="str">
        <f>IF(BVD220 = "", "", IFERROR(BVD220 / SUMIFS(Aux_Totales!$N:$N, Aux_Totales!$F:$F, $F224, Aux_Totales!$A:$A,#REF!), 0))</f>
        <v/>
      </c>
      <c r="BVE224" s="19" t="str">
        <f>IF(BVE220 = "", "", IFERROR(BVE220 / SUMIFS(Aux_Totales!$N:$N, Aux_Totales!$F:$F, $F224, Aux_Totales!$A:$A,#REF!), 0))</f>
        <v/>
      </c>
      <c r="BVF224" s="19" t="str">
        <f>IF(BVF220 = "", "", IFERROR(BVF220 / SUMIFS(Aux_Totales!$N:$N, Aux_Totales!$F:$F, $F224, Aux_Totales!$A:$A,#REF!), 0))</f>
        <v/>
      </c>
      <c r="BVG224" s="19" t="str">
        <f>IF(BVG220 = "", "", IFERROR(BVG220 / SUMIFS(Aux_Totales!$N:$N, Aux_Totales!$F:$F, $F224, Aux_Totales!$A:$A,#REF!), 0))</f>
        <v/>
      </c>
      <c r="BVH224" s="19" t="str">
        <f>IF(BVH220 = "", "", IFERROR(BVH220 / SUMIFS(Aux_Totales!$N:$N, Aux_Totales!$F:$F, $F224, Aux_Totales!$A:$A,#REF!), 0))</f>
        <v/>
      </c>
      <c r="BVI224" s="19" t="str">
        <f>IF(BVI220 = "", "", IFERROR(BVI220 / SUMIFS(Aux_Totales!$N:$N, Aux_Totales!$F:$F, $F224, Aux_Totales!$A:$A,#REF!), 0))</f>
        <v/>
      </c>
      <c r="BVJ224" s="19" t="str">
        <f>IF(BVJ220 = "", "", IFERROR(BVJ220 / SUMIFS(Aux_Totales!$N:$N, Aux_Totales!$F:$F, $F224, Aux_Totales!$A:$A,#REF!), 0))</f>
        <v/>
      </c>
      <c r="BVK224" s="19" t="str">
        <f>IF(BVK220 = "", "", IFERROR(BVK220 / SUMIFS(Aux_Totales!$N:$N, Aux_Totales!$F:$F, $F224, Aux_Totales!$A:$A,#REF!), 0))</f>
        <v/>
      </c>
      <c r="BVL224" s="19" t="str">
        <f>IF(BVL220 = "", "", IFERROR(BVL220 / SUMIFS(Aux_Totales!$N:$N, Aux_Totales!$F:$F, $F224, Aux_Totales!$A:$A,#REF!), 0))</f>
        <v/>
      </c>
      <c r="BVM224" s="19" t="str">
        <f>IF(BVM220 = "", "", IFERROR(BVM220 / SUMIFS(Aux_Totales!$N:$N, Aux_Totales!$F:$F, $F224, Aux_Totales!$A:$A,#REF!), 0))</f>
        <v/>
      </c>
      <c r="BVN224" s="19" t="str">
        <f>IF(BVN220 = "", "", IFERROR(BVN220 / SUMIFS(Aux_Totales!$N:$N, Aux_Totales!$F:$F, $F224, Aux_Totales!$A:$A,#REF!), 0))</f>
        <v/>
      </c>
      <c r="BVO224" s="19" t="str">
        <f>IF(BVO220 = "", "", IFERROR(BVO220 / SUMIFS(Aux_Totales!$N:$N, Aux_Totales!$F:$F, $F224, Aux_Totales!$A:$A,#REF!), 0))</f>
        <v/>
      </c>
      <c r="BVP224" s="19" t="str">
        <f>IF(BVP220 = "", "", IFERROR(BVP220 / SUMIFS(Aux_Totales!$N:$N, Aux_Totales!$F:$F, $F224, Aux_Totales!$A:$A,#REF!), 0))</f>
        <v/>
      </c>
      <c r="BVQ224" s="19" t="str">
        <f>IF(BVQ220 = "", "", IFERROR(BVQ220 / SUMIFS(Aux_Totales!$N:$N, Aux_Totales!$F:$F, $F224, Aux_Totales!$A:$A,#REF!), 0))</f>
        <v/>
      </c>
      <c r="BVR224" s="19" t="str">
        <f>IF(BVR220 = "", "", IFERROR(BVR220 / SUMIFS(Aux_Totales!$N:$N, Aux_Totales!$F:$F, $F224, Aux_Totales!$A:$A,#REF!), 0))</f>
        <v/>
      </c>
      <c r="BVS224" s="19" t="str">
        <f>IF(BVS220 = "", "", IFERROR(BVS220 / SUMIFS(Aux_Totales!$N:$N, Aux_Totales!$F:$F, $F224, Aux_Totales!$A:$A,#REF!), 0))</f>
        <v/>
      </c>
      <c r="BVT224" s="19" t="str">
        <f>IF(BVT220 = "", "", IFERROR(BVT220 / SUMIFS(Aux_Totales!$N:$N, Aux_Totales!$F:$F, $F224, Aux_Totales!$A:$A,#REF!), 0))</f>
        <v/>
      </c>
      <c r="BVU224" s="19" t="str">
        <f>IF(BVU220 = "", "", IFERROR(BVU220 / SUMIFS(Aux_Totales!$N:$N, Aux_Totales!$F:$F, $F224, Aux_Totales!$A:$A,#REF!), 0))</f>
        <v/>
      </c>
      <c r="BVV224" s="19" t="str">
        <f>IF(BVV220 = "", "", IFERROR(BVV220 / SUMIFS(Aux_Totales!$N:$N, Aux_Totales!$F:$F, $F224, Aux_Totales!$A:$A,#REF!), 0))</f>
        <v/>
      </c>
      <c r="BVW224" s="19" t="str">
        <f>IF(BVW220 = "", "", IFERROR(BVW220 / SUMIFS(Aux_Totales!$N:$N, Aux_Totales!$F:$F, $F224, Aux_Totales!$A:$A,#REF!), 0))</f>
        <v/>
      </c>
      <c r="BVX224" s="19" t="str">
        <f>IF(BVX220 = "", "", IFERROR(BVX220 / SUMIFS(Aux_Totales!$N:$N, Aux_Totales!$F:$F, $F224, Aux_Totales!$A:$A,#REF!), 0))</f>
        <v/>
      </c>
      <c r="BVY224" s="19" t="str">
        <f>IF(BVY220 = "", "", IFERROR(BVY220 / SUMIFS(Aux_Totales!$N:$N, Aux_Totales!$F:$F, $F224, Aux_Totales!$A:$A,#REF!), 0))</f>
        <v/>
      </c>
      <c r="BVZ224" s="19" t="str">
        <f>IF(BVZ220 = "", "", IFERROR(BVZ220 / SUMIFS(Aux_Totales!$N:$N, Aux_Totales!$F:$F, $F224, Aux_Totales!$A:$A,#REF!), 0))</f>
        <v/>
      </c>
      <c r="BWA224" s="19" t="str">
        <f>IF(BWA220 = "", "", IFERROR(BWA220 / SUMIFS(Aux_Totales!$N:$N, Aux_Totales!$F:$F, $F224, Aux_Totales!$A:$A,#REF!), 0))</f>
        <v/>
      </c>
      <c r="BWB224" s="19" t="str">
        <f>IF(BWB220 = "", "", IFERROR(BWB220 / SUMIFS(Aux_Totales!$N:$N, Aux_Totales!$F:$F, $F224, Aux_Totales!$A:$A,#REF!), 0))</f>
        <v/>
      </c>
      <c r="BWC224" s="19" t="str">
        <f>IF(BWC220 = "", "", IFERROR(BWC220 / SUMIFS(Aux_Totales!$N:$N, Aux_Totales!$F:$F, $F224, Aux_Totales!$A:$A,#REF!), 0))</f>
        <v/>
      </c>
      <c r="BWD224" s="19" t="str">
        <f>IF(BWD220 = "", "", IFERROR(BWD220 / SUMIFS(Aux_Totales!$N:$N, Aux_Totales!$F:$F, $F224, Aux_Totales!$A:$A,#REF!), 0))</f>
        <v/>
      </c>
      <c r="BWE224" s="19" t="str">
        <f>IF(BWE220 = "", "", IFERROR(BWE220 / SUMIFS(Aux_Totales!$N:$N, Aux_Totales!$F:$F, $F224, Aux_Totales!$A:$A,#REF!), 0))</f>
        <v/>
      </c>
      <c r="BWF224" s="19" t="str">
        <f>IF(BWF220 = "", "", IFERROR(BWF220 / SUMIFS(Aux_Totales!$N:$N, Aux_Totales!$F:$F, $F224, Aux_Totales!$A:$A,#REF!), 0))</f>
        <v/>
      </c>
      <c r="BWG224" s="19" t="str">
        <f>IF(BWG220 = "", "", IFERROR(BWG220 / SUMIFS(Aux_Totales!$N:$N, Aux_Totales!$F:$F, $F224, Aux_Totales!$A:$A,#REF!), 0))</f>
        <v/>
      </c>
      <c r="BWH224" s="19" t="str">
        <f>IF(BWH220 = "", "", IFERROR(BWH220 / SUMIFS(Aux_Totales!$N:$N, Aux_Totales!$F:$F, $F224, Aux_Totales!$A:$A,#REF!), 0))</f>
        <v/>
      </c>
      <c r="BWI224" s="19" t="str">
        <f>IF(BWI220 = "", "", IFERROR(BWI220 / SUMIFS(Aux_Totales!$N:$N, Aux_Totales!$F:$F, $F224, Aux_Totales!$A:$A,#REF!), 0))</f>
        <v/>
      </c>
      <c r="BWJ224" s="19" t="str">
        <f>IF(BWJ220 = "", "", IFERROR(BWJ220 / SUMIFS(Aux_Totales!$N:$N, Aux_Totales!$F:$F, $F224, Aux_Totales!$A:$A,#REF!), 0))</f>
        <v/>
      </c>
      <c r="BWK224" s="19" t="str">
        <f>IF(BWK220 = "", "", IFERROR(BWK220 / SUMIFS(Aux_Totales!$N:$N, Aux_Totales!$F:$F, $F224, Aux_Totales!$A:$A,#REF!), 0))</f>
        <v/>
      </c>
      <c r="BWL224" s="19" t="str">
        <f>IF(BWL220 = "", "", IFERROR(BWL220 / SUMIFS(Aux_Totales!$N:$N, Aux_Totales!$F:$F, $F224, Aux_Totales!$A:$A,#REF!), 0))</f>
        <v/>
      </c>
      <c r="BWM224" s="19" t="str">
        <f>IF(BWM220 = "", "", IFERROR(BWM220 / SUMIFS(Aux_Totales!$N:$N, Aux_Totales!$F:$F, $F224, Aux_Totales!$A:$A,#REF!), 0))</f>
        <v/>
      </c>
      <c r="BWN224" s="19" t="str">
        <f>IF(BWN220 = "", "", IFERROR(BWN220 / SUMIFS(Aux_Totales!$N:$N, Aux_Totales!$F:$F, $F224, Aux_Totales!$A:$A,#REF!), 0))</f>
        <v/>
      </c>
      <c r="BWO224" s="19" t="str">
        <f>IF(BWO220 = "", "", IFERROR(BWO220 / SUMIFS(Aux_Totales!$N:$N, Aux_Totales!$F:$F, $F224, Aux_Totales!$A:$A,#REF!), 0))</f>
        <v/>
      </c>
      <c r="BWP224" s="19" t="str">
        <f>IF(BWP220 = "", "", IFERROR(BWP220 / SUMIFS(Aux_Totales!$N:$N, Aux_Totales!$F:$F, $F224, Aux_Totales!$A:$A,#REF!), 0))</f>
        <v/>
      </c>
      <c r="BWQ224" s="19" t="str">
        <f>IF(BWQ220 = "", "", IFERROR(BWQ220 / SUMIFS(Aux_Totales!$N:$N, Aux_Totales!$F:$F, $F224, Aux_Totales!$A:$A,#REF!), 0))</f>
        <v/>
      </c>
      <c r="BWR224" s="19" t="str">
        <f>IF(BWR220 = "", "", IFERROR(BWR220 / SUMIFS(Aux_Totales!$N:$N, Aux_Totales!$F:$F, $F224, Aux_Totales!$A:$A,#REF!), 0))</f>
        <v/>
      </c>
      <c r="BWS224" s="19" t="str">
        <f>IF(BWS220 = "", "", IFERROR(BWS220 / SUMIFS(Aux_Totales!$N:$N, Aux_Totales!$F:$F, $F224, Aux_Totales!$A:$A,#REF!), 0))</f>
        <v/>
      </c>
      <c r="BWT224" s="19" t="str">
        <f>IF(BWT220 = "", "", IFERROR(BWT220 / SUMIFS(Aux_Totales!$N:$N, Aux_Totales!$F:$F, $F224, Aux_Totales!$A:$A,#REF!), 0))</f>
        <v/>
      </c>
      <c r="BWU224" s="19" t="str">
        <f>IF(BWU220 = "", "", IFERROR(BWU220 / SUMIFS(Aux_Totales!$N:$N, Aux_Totales!$F:$F, $F224, Aux_Totales!$A:$A,#REF!), 0))</f>
        <v/>
      </c>
      <c r="BWV224" s="19" t="str">
        <f>IF(BWV220 = "", "", IFERROR(BWV220 / SUMIFS(Aux_Totales!$N:$N, Aux_Totales!$F:$F, $F224, Aux_Totales!$A:$A,#REF!), 0))</f>
        <v/>
      </c>
      <c r="BWW224" s="19" t="str">
        <f>IF(BWW220 = "", "", IFERROR(BWW220 / SUMIFS(Aux_Totales!$N:$N, Aux_Totales!$F:$F, $F224, Aux_Totales!$A:$A,#REF!), 0))</f>
        <v/>
      </c>
      <c r="BWX224" s="19" t="str">
        <f>IF(BWX220 = "", "", IFERROR(BWX220 / SUMIFS(Aux_Totales!$N:$N, Aux_Totales!$F:$F, $F224, Aux_Totales!$A:$A,#REF!), 0))</f>
        <v/>
      </c>
      <c r="BWY224" s="19" t="str">
        <f>IF(BWY220 = "", "", IFERROR(BWY220 / SUMIFS(Aux_Totales!$N:$N, Aux_Totales!$F:$F, $F224, Aux_Totales!$A:$A,#REF!), 0))</f>
        <v/>
      </c>
      <c r="BWZ224" s="19" t="str">
        <f>IF(BWZ220 = "", "", IFERROR(BWZ220 / SUMIFS(Aux_Totales!$N:$N, Aux_Totales!$F:$F, $F224, Aux_Totales!$A:$A,#REF!), 0))</f>
        <v/>
      </c>
      <c r="BXA224" s="19" t="str">
        <f>IF(BXA220 = "", "", IFERROR(BXA220 / SUMIFS(Aux_Totales!$N:$N, Aux_Totales!$F:$F, $F224, Aux_Totales!$A:$A,#REF!), 0))</f>
        <v/>
      </c>
      <c r="BXB224" s="19" t="str">
        <f>IF(BXB220 = "", "", IFERROR(BXB220 / SUMIFS(Aux_Totales!$N:$N, Aux_Totales!$F:$F, $F224, Aux_Totales!$A:$A,#REF!), 0))</f>
        <v/>
      </c>
      <c r="BXC224" s="19" t="str">
        <f>IF(BXC220 = "", "", IFERROR(BXC220 / SUMIFS(Aux_Totales!$N:$N, Aux_Totales!$F:$F, $F224, Aux_Totales!$A:$A,#REF!), 0))</f>
        <v/>
      </c>
      <c r="BXD224" s="19" t="str">
        <f>IF(BXD220 = "", "", IFERROR(BXD220 / SUMIFS(Aux_Totales!$N:$N, Aux_Totales!$F:$F, $F224, Aux_Totales!$A:$A,#REF!), 0))</f>
        <v/>
      </c>
      <c r="BXE224" s="19" t="str">
        <f>IF(BXE220 = "", "", IFERROR(BXE220 / SUMIFS(Aux_Totales!$N:$N, Aux_Totales!$F:$F, $F224, Aux_Totales!$A:$A,#REF!), 0))</f>
        <v/>
      </c>
      <c r="BXF224" s="19" t="str">
        <f>IF(BXF220 = "", "", IFERROR(BXF220 / SUMIFS(Aux_Totales!$N:$N, Aux_Totales!$F:$F, $F224, Aux_Totales!$A:$A,#REF!), 0))</f>
        <v/>
      </c>
      <c r="BXG224" s="19" t="str">
        <f>IF(BXG220 = "", "", IFERROR(BXG220 / SUMIFS(Aux_Totales!$N:$N, Aux_Totales!$F:$F, $F224, Aux_Totales!$A:$A,#REF!), 0))</f>
        <v/>
      </c>
      <c r="BXH224" s="19" t="str">
        <f>IF(BXH220 = "", "", IFERROR(BXH220 / SUMIFS(Aux_Totales!$N:$N, Aux_Totales!$F:$F, $F224, Aux_Totales!$A:$A,#REF!), 0))</f>
        <v/>
      </c>
      <c r="BXI224" s="19" t="str">
        <f>IF(BXI220 = "", "", IFERROR(BXI220 / SUMIFS(Aux_Totales!$N:$N, Aux_Totales!$F:$F, $F224, Aux_Totales!$A:$A,#REF!), 0))</f>
        <v/>
      </c>
      <c r="BXJ224" s="19" t="str">
        <f>IF(BXJ220 = "", "", IFERROR(BXJ220 / SUMIFS(Aux_Totales!$N:$N, Aux_Totales!$F:$F, $F224, Aux_Totales!$A:$A,#REF!), 0))</f>
        <v/>
      </c>
      <c r="BXK224" s="19" t="str">
        <f>IF(BXK220 = "", "", IFERROR(BXK220 / SUMIFS(Aux_Totales!$N:$N, Aux_Totales!$F:$F, $F224, Aux_Totales!$A:$A,#REF!), 0))</f>
        <v/>
      </c>
      <c r="BXL224" s="19" t="str">
        <f>IF(BXL220 = "", "", IFERROR(BXL220 / SUMIFS(Aux_Totales!$N:$N, Aux_Totales!$F:$F, $F224, Aux_Totales!$A:$A,#REF!), 0))</f>
        <v/>
      </c>
      <c r="BXM224" s="19" t="str">
        <f>IF(BXM220 = "", "", IFERROR(BXM220 / SUMIFS(Aux_Totales!$N:$N, Aux_Totales!$F:$F, $F224, Aux_Totales!$A:$A,#REF!), 0))</f>
        <v/>
      </c>
      <c r="BXN224" s="19" t="str">
        <f>IF(BXN220 = "", "", IFERROR(BXN220 / SUMIFS(Aux_Totales!$N:$N, Aux_Totales!$F:$F, $F224, Aux_Totales!$A:$A,#REF!), 0))</f>
        <v/>
      </c>
      <c r="BXO224" s="19" t="str">
        <f>IF(BXO220 = "", "", IFERROR(BXO220 / SUMIFS(Aux_Totales!$N:$N, Aux_Totales!$F:$F, $F224, Aux_Totales!$A:$A,#REF!), 0))</f>
        <v/>
      </c>
      <c r="BXP224" s="19" t="str">
        <f>IF(BXP220 = "", "", IFERROR(BXP220 / SUMIFS(Aux_Totales!$N:$N, Aux_Totales!$F:$F, $F224, Aux_Totales!$A:$A,#REF!), 0))</f>
        <v/>
      </c>
      <c r="BXQ224" s="19" t="str">
        <f>IF(BXQ220 = "", "", IFERROR(BXQ220 / SUMIFS(Aux_Totales!$N:$N, Aux_Totales!$F:$F, $F224, Aux_Totales!$A:$A,#REF!), 0))</f>
        <v/>
      </c>
      <c r="BXR224" s="19" t="str">
        <f>IF(BXR220 = "", "", IFERROR(BXR220 / SUMIFS(Aux_Totales!$N:$N, Aux_Totales!$F:$F, $F224, Aux_Totales!$A:$A,#REF!), 0))</f>
        <v/>
      </c>
      <c r="BXS224" s="19" t="str">
        <f>IF(BXS220 = "", "", IFERROR(BXS220 / SUMIFS(Aux_Totales!$N:$N, Aux_Totales!$F:$F, $F224, Aux_Totales!$A:$A,#REF!), 0))</f>
        <v/>
      </c>
      <c r="BXT224" s="19" t="str">
        <f>IF(BXT220 = "", "", IFERROR(BXT220 / SUMIFS(Aux_Totales!$N:$N, Aux_Totales!$F:$F, $F224, Aux_Totales!$A:$A,#REF!), 0))</f>
        <v/>
      </c>
      <c r="BXU224" s="19" t="str">
        <f>IF(BXU220 = "", "", IFERROR(BXU220 / SUMIFS(Aux_Totales!$N:$N, Aux_Totales!$F:$F, $F224, Aux_Totales!$A:$A,#REF!), 0))</f>
        <v/>
      </c>
      <c r="BXV224" s="19" t="str">
        <f>IF(BXV220 = "", "", IFERROR(BXV220 / SUMIFS(Aux_Totales!$N:$N, Aux_Totales!$F:$F, $F224, Aux_Totales!$A:$A,#REF!), 0))</f>
        <v/>
      </c>
      <c r="BXW224" s="19" t="str">
        <f>IF(BXW220 = "", "", IFERROR(BXW220 / SUMIFS(Aux_Totales!$N:$N, Aux_Totales!$F:$F, $F224, Aux_Totales!$A:$A,#REF!), 0))</f>
        <v/>
      </c>
      <c r="BXX224" s="19" t="str">
        <f>IF(BXX220 = "", "", IFERROR(BXX220 / SUMIFS(Aux_Totales!$N:$N, Aux_Totales!$F:$F, $F224, Aux_Totales!$A:$A,#REF!), 0))</f>
        <v/>
      </c>
      <c r="BXY224" s="19" t="str">
        <f>IF(BXY220 = "", "", IFERROR(BXY220 / SUMIFS(Aux_Totales!$N:$N, Aux_Totales!$F:$F, $F224, Aux_Totales!$A:$A,#REF!), 0))</f>
        <v/>
      </c>
      <c r="BXZ224" s="19" t="str">
        <f>IF(BXZ220 = "", "", IFERROR(BXZ220 / SUMIFS(Aux_Totales!$N:$N, Aux_Totales!$F:$F, $F224, Aux_Totales!$A:$A,#REF!), 0))</f>
        <v/>
      </c>
      <c r="BYA224" s="19" t="str">
        <f>IF(BYA220 = "", "", IFERROR(BYA220 / SUMIFS(Aux_Totales!$N:$N, Aux_Totales!$F:$F, $F224, Aux_Totales!$A:$A,#REF!), 0))</f>
        <v/>
      </c>
      <c r="BYB224" s="19" t="str">
        <f>IF(BYB220 = "", "", IFERROR(BYB220 / SUMIFS(Aux_Totales!$N:$N, Aux_Totales!$F:$F, $F224, Aux_Totales!$A:$A,#REF!), 0))</f>
        <v/>
      </c>
      <c r="BYC224" s="19" t="str">
        <f>IF(BYC220 = "", "", IFERROR(BYC220 / SUMIFS(Aux_Totales!$N:$N, Aux_Totales!$F:$F, $F224, Aux_Totales!$A:$A,#REF!), 0))</f>
        <v/>
      </c>
      <c r="BYD224" s="19" t="str">
        <f>IF(BYD220 = "", "", IFERROR(BYD220 / SUMIFS(Aux_Totales!$N:$N, Aux_Totales!$F:$F, $F224, Aux_Totales!$A:$A,#REF!), 0))</f>
        <v/>
      </c>
      <c r="BYE224" s="19" t="str">
        <f>IF(BYE220 = "", "", IFERROR(BYE220 / SUMIFS(Aux_Totales!$N:$N, Aux_Totales!$F:$F, $F224, Aux_Totales!$A:$A,#REF!), 0))</f>
        <v/>
      </c>
      <c r="BYF224" s="19" t="str">
        <f>IF(BYF220 = "", "", IFERROR(BYF220 / SUMIFS(Aux_Totales!$N:$N, Aux_Totales!$F:$F, $F224, Aux_Totales!$A:$A,#REF!), 0))</f>
        <v/>
      </c>
      <c r="BYG224" s="19" t="str">
        <f>IF(BYG220 = "", "", IFERROR(BYG220 / SUMIFS(Aux_Totales!$N:$N, Aux_Totales!$F:$F, $F224, Aux_Totales!$A:$A,#REF!), 0))</f>
        <v/>
      </c>
      <c r="BYH224" s="19" t="str">
        <f>IF(BYH220 = "", "", IFERROR(BYH220 / SUMIFS(Aux_Totales!$N:$N, Aux_Totales!$F:$F, $F224, Aux_Totales!$A:$A,#REF!), 0))</f>
        <v/>
      </c>
      <c r="BYI224" s="19" t="str">
        <f>IF(BYI220 = "", "", IFERROR(BYI220 / SUMIFS(Aux_Totales!$N:$N, Aux_Totales!$F:$F, $F224, Aux_Totales!$A:$A,#REF!), 0))</f>
        <v/>
      </c>
      <c r="BYJ224" s="19" t="str">
        <f>IF(BYJ220 = "", "", IFERROR(BYJ220 / SUMIFS(Aux_Totales!$N:$N, Aux_Totales!$F:$F, $F224, Aux_Totales!$A:$A,#REF!), 0))</f>
        <v/>
      </c>
      <c r="BYK224" s="19" t="str">
        <f>IF(BYK220 = "", "", IFERROR(BYK220 / SUMIFS(Aux_Totales!$N:$N, Aux_Totales!$F:$F, $F224, Aux_Totales!$A:$A,#REF!), 0))</f>
        <v/>
      </c>
      <c r="BYL224" s="19" t="str">
        <f>IF(BYL220 = "", "", IFERROR(BYL220 / SUMIFS(Aux_Totales!$N:$N, Aux_Totales!$F:$F, $F224, Aux_Totales!$A:$A,#REF!), 0))</f>
        <v/>
      </c>
      <c r="BYM224" s="19" t="str">
        <f>IF(BYM220 = "", "", IFERROR(BYM220 / SUMIFS(Aux_Totales!$N:$N, Aux_Totales!$F:$F, $F224, Aux_Totales!$A:$A,#REF!), 0))</f>
        <v/>
      </c>
      <c r="BYN224" s="19" t="str">
        <f>IF(BYN220 = "", "", IFERROR(BYN220 / SUMIFS(Aux_Totales!$N:$N, Aux_Totales!$F:$F, $F224, Aux_Totales!$A:$A,#REF!), 0))</f>
        <v/>
      </c>
      <c r="BYO224" s="19" t="str">
        <f>IF(BYO220 = "", "", IFERROR(BYO220 / SUMIFS(Aux_Totales!$N:$N, Aux_Totales!$F:$F, $F224, Aux_Totales!$A:$A,#REF!), 0))</f>
        <v/>
      </c>
      <c r="BYP224" s="19" t="str">
        <f>IF(BYP220 = "", "", IFERROR(BYP220 / SUMIFS(Aux_Totales!$N:$N, Aux_Totales!$F:$F, $F224, Aux_Totales!$A:$A,#REF!), 0))</f>
        <v/>
      </c>
      <c r="BYQ224" s="19" t="str">
        <f>IF(BYQ220 = "", "", IFERROR(BYQ220 / SUMIFS(Aux_Totales!$N:$N, Aux_Totales!$F:$F, $F224, Aux_Totales!$A:$A,#REF!), 0))</f>
        <v/>
      </c>
      <c r="BYR224" s="19" t="str">
        <f>IF(BYR220 = "", "", IFERROR(BYR220 / SUMIFS(Aux_Totales!$N:$N, Aux_Totales!$F:$F, $F224, Aux_Totales!$A:$A,#REF!), 0))</f>
        <v/>
      </c>
      <c r="BYS224" s="19" t="str">
        <f>IF(BYS220 = "", "", IFERROR(BYS220 / SUMIFS(Aux_Totales!$N:$N, Aux_Totales!$F:$F, $F224, Aux_Totales!$A:$A,#REF!), 0))</f>
        <v/>
      </c>
      <c r="BYT224" s="19" t="str">
        <f>IF(BYT220 = "", "", IFERROR(BYT220 / SUMIFS(Aux_Totales!$N:$N, Aux_Totales!$F:$F, $F224, Aux_Totales!$A:$A,#REF!), 0))</f>
        <v/>
      </c>
      <c r="BYU224" s="19" t="str">
        <f>IF(BYU220 = "", "", IFERROR(BYU220 / SUMIFS(Aux_Totales!$N:$N, Aux_Totales!$F:$F, $F224, Aux_Totales!$A:$A,#REF!), 0))</f>
        <v/>
      </c>
      <c r="BYV224" s="19" t="str">
        <f>IF(BYV220 = "", "", IFERROR(BYV220 / SUMIFS(Aux_Totales!$N:$N, Aux_Totales!$F:$F, $F224, Aux_Totales!$A:$A,#REF!), 0))</f>
        <v/>
      </c>
      <c r="BYW224" s="19" t="str">
        <f>IF(BYW220 = "", "", IFERROR(BYW220 / SUMIFS(Aux_Totales!$N:$N, Aux_Totales!$F:$F, $F224, Aux_Totales!$A:$A,#REF!), 0))</f>
        <v/>
      </c>
      <c r="BYX224" s="19" t="str">
        <f>IF(BYX220 = "", "", IFERROR(BYX220 / SUMIFS(Aux_Totales!$N:$N, Aux_Totales!$F:$F, $F224, Aux_Totales!$A:$A,#REF!), 0))</f>
        <v/>
      </c>
      <c r="BYY224" s="19" t="str">
        <f>IF(BYY220 = "", "", IFERROR(BYY220 / SUMIFS(Aux_Totales!$N:$N, Aux_Totales!$F:$F, $F224, Aux_Totales!$A:$A,#REF!), 0))</f>
        <v/>
      </c>
      <c r="BYZ224" s="19" t="str">
        <f>IF(BYZ220 = "", "", IFERROR(BYZ220 / SUMIFS(Aux_Totales!$N:$N, Aux_Totales!$F:$F, $F224, Aux_Totales!$A:$A,#REF!), 0))</f>
        <v/>
      </c>
      <c r="BZA224" s="19" t="str">
        <f>IF(BZA220 = "", "", IFERROR(BZA220 / SUMIFS(Aux_Totales!$N:$N, Aux_Totales!$F:$F, $F224, Aux_Totales!$A:$A,#REF!), 0))</f>
        <v/>
      </c>
      <c r="BZB224" s="19" t="str">
        <f>IF(BZB220 = "", "", IFERROR(BZB220 / SUMIFS(Aux_Totales!$N:$N, Aux_Totales!$F:$F, $F224, Aux_Totales!$A:$A,#REF!), 0))</f>
        <v/>
      </c>
      <c r="BZC224" s="19" t="str">
        <f>IF(BZC220 = "", "", IFERROR(BZC220 / SUMIFS(Aux_Totales!$N:$N, Aux_Totales!$F:$F, $F224, Aux_Totales!$A:$A,#REF!), 0))</f>
        <v/>
      </c>
      <c r="BZD224" s="19" t="str">
        <f>IF(BZD220 = "", "", IFERROR(BZD220 / SUMIFS(Aux_Totales!$N:$N, Aux_Totales!$F:$F, $F224, Aux_Totales!$A:$A,#REF!), 0))</f>
        <v/>
      </c>
      <c r="BZE224" s="19" t="str">
        <f>IF(BZE220 = "", "", IFERROR(BZE220 / SUMIFS(Aux_Totales!$N:$N, Aux_Totales!$F:$F, $F224, Aux_Totales!$A:$A,#REF!), 0))</f>
        <v/>
      </c>
      <c r="BZF224" s="19" t="str">
        <f>IF(BZF220 = "", "", IFERROR(BZF220 / SUMIFS(Aux_Totales!$N:$N, Aux_Totales!$F:$F, $F224, Aux_Totales!$A:$A,#REF!), 0))</f>
        <v/>
      </c>
      <c r="BZG224" s="19" t="str">
        <f>IF(BZG220 = "", "", IFERROR(BZG220 / SUMIFS(Aux_Totales!$N:$N, Aux_Totales!$F:$F, $F224, Aux_Totales!$A:$A,#REF!), 0))</f>
        <v/>
      </c>
      <c r="BZH224" s="19" t="str">
        <f>IF(BZH220 = "", "", IFERROR(BZH220 / SUMIFS(Aux_Totales!$N:$N, Aux_Totales!$F:$F, $F224, Aux_Totales!$A:$A,#REF!), 0))</f>
        <v/>
      </c>
      <c r="BZI224" s="19" t="str">
        <f>IF(BZI220 = "", "", IFERROR(BZI220 / SUMIFS(Aux_Totales!$N:$N, Aux_Totales!$F:$F, $F224, Aux_Totales!$A:$A,#REF!), 0))</f>
        <v/>
      </c>
      <c r="BZJ224" s="19" t="str">
        <f>IF(BZJ220 = "", "", IFERROR(BZJ220 / SUMIFS(Aux_Totales!$N:$N, Aux_Totales!$F:$F, $F224, Aux_Totales!$A:$A,#REF!), 0))</f>
        <v/>
      </c>
      <c r="BZK224" s="19" t="str">
        <f>IF(BZK220 = "", "", IFERROR(BZK220 / SUMIFS(Aux_Totales!$N:$N, Aux_Totales!$F:$F, $F224, Aux_Totales!$A:$A,#REF!), 0))</f>
        <v/>
      </c>
      <c r="BZL224" s="19" t="str">
        <f>IF(BZL220 = "", "", IFERROR(BZL220 / SUMIFS(Aux_Totales!$N:$N, Aux_Totales!$F:$F, $F224, Aux_Totales!$A:$A,#REF!), 0))</f>
        <v/>
      </c>
      <c r="BZM224" s="19" t="str">
        <f>IF(BZM220 = "", "", IFERROR(BZM220 / SUMIFS(Aux_Totales!$N:$N, Aux_Totales!$F:$F, $F224, Aux_Totales!$A:$A,#REF!), 0))</f>
        <v/>
      </c>
      <c r="BZN224" s="19" t="str">
        <f>IF(BZN220 = "", "", IFERROR(BZN220 / SUMIFS(Aux_Totales!$N:$N, Aux_Totales!$F:$F, $F224, Aux_Totales!$A:$A,#REF!), 0))</f>
        <v/>
      </c>
      <c r="BZO224" s="19" t="str">
        <f>IF(BZO220 = "", "", IFERROR(BZO220 / SUMIFS(Aux_Totales!$N:$N, Aux_Totales!$F:$F, $F224, Aux_Totales!$A:$A,#REF!), 0))</f>
        <v/>
      </c>
      <c r="BZP224" s="19" t="str">
        <f>IF(BZP220 = "", "", IFERROR(BZP220 / SUMIFS(Aux_Totales!$N:$N, Aux_Totales!$F:$F, $F224, Aux_Totales!$A:$A,#REF!), 0))</f>
        <v/>
      </c>
      <c r="BZQ224" s="19" t="str">
        <f>IF(BZQ220 = "", "", IFERROR(BZQ220 / SUMIFS(Aux_Totales!$N:$N, Aux_Totales!$F:$F, $F224, Aux_Totales!$A:$A,#REF!), 0))</f>
        <v/>
      </c>
      <c r="BZR224" s="19" t="str">
        <f>IF(BZR220 = "", "", IFERROR(BZR220 / SUMIFS(Aux_Totales!$N:$N, Aux_Totales!$F:$F, $F224, Aux_Totales!$A:$A,#REF!), 0))</f>
        <v/>
      </c>
      <c r="BZS224" s="19" t="str">
        <f>IF(BZS220 = "", "", IFERROR(BZS220 / SUMIFS(Aux_Totales!$N:$N, Aux_Totales!$F:$F, $F224, Aux_Totales!$A:$A,#REF!), 0))</f>
        <v/>
      </c>
      <c r="BZT224" s="19" t="str">
        <f>IF(BZT220 = "", "", IFERROR(BZT220 / SUMIFS(Aux_Totales!$N:$N, Aux_Totales!$F:$F, $F224, Aux_Totales!$A:$A,#REF!), 0))</f>
        <v/>
      </c>
      <c r="BZU224" s="19" t="str">
        <f>IF(BZU220 = "", "", IFERROR(BZU220 / SUMIFS(Aux_Totales!$N:$N, Aux_Totales!$F:$F, $F224, Aux_Totales!$A:$A,#REF!), 0))</f>
        <v/>
      </c>
      <c r="BZV224" s="19" t="str">
        <f>IF(BZV220 = "", "", IFERROR(BZV220 / SUMIFS(Aux_Totales!$N:$N, Aux_Totales!$F:$F, $F224, Aux_Totales!$A:$A,#REF!), 0))</f>
        <v/>
      </c>
      <c r="BZW224" s="19" t="str">
        <f>IF(BZW220 = "", "", IFERROR(BZW220 / SUMIFS(Aux_Totales!$N:$N, Aux_Totales!$F:$F, $F224, Aux_Totales!$A:$A,#REF!), 0))</f>
        <v/>
      </c>
      <c r="BZX224" s="19" t="str">
        <f>IF(BZX220 = "", "", IFERROR(BZX220 / SUMIFS(Aux_Totales!$N:$N, Aux_Totales!$F:$F, $F224, Aux_Totales!$A:$A,#REF!), 0))</f>
        <v/>
      </c>
      <c r="BZY224" s="19" t="str">
        <f>IF(BZY220 = "", "", IFERROR(BZY220 / SUMIFS(Aux_Totales!$N:$N, Aux_Totales!$F:$F, $F224, Aux_Totales!$A:$A,#REF!), 0))</f>
        <v/>
      </c>
      <c r="BZZ224" s="19" t="str">
        <f>IF(BZZ220 = "", "", IFERROR(BZZ220 / SUMIFS(Aux_Totales!$N:$N, Aux_Totales!$F:$F, $F224, Aux_Totales!$A:$A,#REF!), 0))</f>
        <v/>
      </c>
      <c r="CAA224" s="19" t="str">
        <f>IF(CAA220 = "", "", IFERROR(CAA220 / SUMIFS(Aux_Totales!$N:$N, Aux_Totales!$F:$F, $F224, Aux_Totales!$A:$A,#REF!), 0))</f>
        <v/>
      </c>
      <c r="CAB224" s="19" t="str">
        <f>IF(CAB220 = "", "", IFERROR(CAB220 / SUMIFS(Aux_Totales!$N:$N, Aux_Totales!$F:$F, $F224, Aux_Totales!$A:$A,#REF!), 0))</f>
        <v/>
      </c>
      <c r="CAC224" s="19" t="str">
        <f>IF(CAC220 = "", "", IFERROR(CAC220 / SUMIFS(Aux_Totales!$N:$N, Aux_Totales!$F:$F, $F224, Aux_Totales!$A:$A,#REF!), 0))</f>
        <v/>
      </c>
      <c r="CAD224" s="19" t="str">
        <f>IF(CAD220 = "", "", IFERROR(CAD220 / SUMIFS(Aux_Totales!$N:$N, Aux_Totales!$F:$F, $F224, Aux_Totales!$A:$A,#REF!), 0))</f>
        <v/>
      </c>
      <c r="CAE224" s="19" t="str">
        <f>IF(CAE220 = "", "", IFERROR(CAE220 / SUMIFS(Aux_Totales!$N:$N, Aux_Totales!$F:$F, $F224, Aux_Totales!$A:$A,#REF!), 0))</f>
        <v/>
      </c>
      <c r="CAF224" s="19" t="str">
        <f>IF(CAF220 = "", "", IFERROR(CAF220 / SUMIFS(Aux_Totales!$N:$N, Aux_Totales!$F:$F, $F224, Aux_Totales!$A:$A,#REF!), 0))</f>
        <v/>
      </c>
      <c r="CAG224" s="19" t="str">
        <f>IF(CAG220 = "", "", IFERROR(CAG220 / SUMIFS(Aux_Totales!$N:$N, Aux_Totales!$F:$F, $F224, Aux_Totales!$A:$A,#REF!), 0))</f>
        <v/>
      </c>
      <c r="CAH224" s="19" t="str">
        <f>IF(CAH220 = "", "", IFERROR(CAH220 / SUMIFS(Aux_Totales!$N:$N, Aux_Totales!$F:$F, $F224, Aux_Totales!$A:$A,#REF!), 0))</f>
        <v/>
      </c>
      <c r="CAI224" s="19" t="str">
        <f>IF(CAI220 = "", "", IFERROR(CAI220 / SUMIFS(Aux_Totales!$N:$N, Aux_Totales!$F:$F, $F224, Aux_Totales!$A:$A,#REF!), 0))</f>
        <v/>
      </c>
      <c r="CAJ224" s="19" t="str">
        <f>IF(CAJ220 = "", "", IFERROR(CAJ220 / SUMIFS(Aux_Totales!$N:$N, Aux_Totales!$F:$F, $F224, Aux_Totales!$A:$A,#REF!), 0))</f>
        <v/>
      </c>
      <c r="CAK224" s="19" t="str">
        <f>IF(CAK220 = "", "", IFERROR(CAK220 / SUMIFS(Aux_Totales!$N:$N, Aux_Totales!$F:$F, $F224, Aux_Totales!$A:$A,#REF!), 0))</f>
        <v/>
      </c>
      <c r="CAL224" s="19" t="str">
        <f>IF(CAL220 = "", "", IFERROR(CAL220 / SUMIFS(Aux_Totales!$N:$N, Aux_Totales!$F:$F, $F224, Aux_Totales!$A:$A,#REF!), 0))</f>
        <v/>
      </c>
      <c r="CAM224" s="19" t="str">
        <f>IF(CAM220 = "", "", IFERROR(CAM220 / SUMIFS(Aux_Totales!$N:$N, Aux_Totales!$F:$F, $F224, Aux_Totales!$A:$A,#REF!), 0))</f>
        <v/>
      </c>
      <c r="CAN224" s="19" t="str">
        <f>IF(CAN220 = "", "", IFERROR(CAN220 / SUMIFS(Aux_Totales!$N:$N, Aux_Totales!$F:$F, $F224, Aux_Totales!$A:$A,#REF!), 0))</f>
        <v/>
      </c>
      <c r="CAO224" s="19" t="str">
        <f>IF(CAO220 = "", "", IFERROR(CAO220 / SUMIFS(Aux_Totales!$N:$N, Aux_Totales!$F:$F, $F224, Aux_Totales!$A:$A,#REF!), 0))</f>
        <v/>
      </c>
      <c r="CAP224" s="19" t="str">
        <f>IF(CAP220 = "", "", IFERROR(CAP220 / SUMIFS(Aux_Totales!$N:$N, Aux_Totales!$F:$F, $F224, Aux_Totales!$A:$A,#REF!), 0))</f>
        <v/>
      </c>
      <c r="CAQ224" s="19" t="str">
        <f>IF(CAQ220 = "", "", IFERROR(CAQ220 / SUMIFS(Aux_Totales!$N:$N, Aux_Totales!$F:$F, $F224, Aux_Totales!$A:$A,#REF!), 0))</f>
        <v/>
      </c>
      <c r="CAR224" s="19" t="str">
        <f>IF(CAR220 = "", "", IFERROR(CAR220 / SUMIFS(Aux_Totales!$N:$N, Aux_Totales!$F:$F, $F224, Aux_Totales!$A:$A,#REF!), 0))</f>
        <v/>
      </c>
      <c r="CAS224" s="19" t="str">
        <f>IF(CAS220 = "", "", IFERROR(CAS220 / SUMIFS(Aux_Totales!$N:$N, Aux_Totales!$F:$F, $F224, Aux_Totales!$A:$A,#REF!), 0))</f>
        <v/>
      </c>
      <c r="CAT224" s="19" t="str">
        <f>IF(CAT220 = "", "", IFERROR(CAT220 / SUMIFS(Aux_Totales!$N:$N, Aux_Totales!$F:$F, $F224, Aux_Totales!$A:$A,#REF!), 0))</f>
        <v/>
      </c>
      <c r="CAU224" s="19" t="str">
        <f>IF(CAU220 = "", "", IFERROR(CAU220 / SUMIFS(Aux_Totales!$N:$N, Aux_Totales!$F:$F, $F224, Aux_Totales!$A:$A,#REF!), 0))</f>
        <v/>
      </c>
      <c r="CAV224" s="19" t="str">
        <f>IF(CAV220 = "", "", IFERROR(CAV220 / SUMIFS(Aux_Totales!$N:$N, Aux_Totales!$F:$F, $F224, Aux_Totales!$A:$A,#REF!), 0))</f>
        <v/>
      </c>
      <c r="CAW224" s="19" t="str">
        <f>IF(CAW220 = "", "", IFERROR(CAW220 / SUMIFS(Aux_Totales!$N:$N, Aux_Totales!$F:$F, $F224, Aux_Totales!$A:$A,#REF!), 0))</f>
        <v/>
      </c>
      <c r="CAX224" s="19" t="str">
        <f>IF(CAX220 = "", "", IFERROR(CAX220 / SUMIFS(Aux_Totales!$N:$N, Aux_Totales!$F:$F, $F224, Aux_Totales!$A:$A,#REF!), 0))</f>
        <v/>
      </c>
      <c r="CAY224" s="19" t="str">
        <f>IF(CAY220 = "", "", IFERROR(CAY220 / SUMIFS(Aux_Totales!$N:$N, Aux_Totales!$F:$F, $F224, Aux_Totales!$A:$A,#REF!), 0))</f>
        <v/>
      </c>
      <c r="CAZ224" s="19" t="str">
        <f>IF(CAZ220 = "", "", IFERROR(CAZ220 / SUMIFS(Aux_Totales!$N:$N, Aux_Totales!$F:$F, $F224, Aux_Totales!$A:$A,#REF!), 0))</f>
        <v/>
      </c>
      <c r="CBA224" s="19" t="str">
        <f>IF(CBA220 = "", "", IFERROR(CBA220 / SUMIFS(Aux_Totales!$N:$N, Aux_Totales!$F:$F, $F224, Aux_Totales!$A:$A,#REF!), 0))</f>
        <v/>
      </c>
      <c r="CBB224" s="19" t="str">
        <f>IF(CBB220 = "", "", IFERROR(CBB220 / SUMIFS(Aux_Totales!$N:$N, Aux_Totales!$F:$F, $F224, Aux_Totales!$A:$A,#REF!), 0))</f>
        <v/>
      </c>
      <c r="CBC224" s="19" t="str">
        <f>IF(CBC220 = "", "", IFERROR(CBC220 / SUMIFS(Aux_Totales!$N:$N, Aux_Totales!$F:$F, $F224, Aux_Totales!$A:$A,#REF!), 0))</f>
        <v/>
      </c>
      <c r="CBD224" s="19" t="str">
        <f>IF(CBD220 = "", "", IFERROR(CBD220 / SUMIFS(Aux_Totales!$N:$N, Aux_Totales!$F:$F, $F224, Aux_Totales!$A:$A,#REF!), 0))</f>
        <v/>
      </c>
      <c r="CBE224" s="19" t="str">
        <f>IF(CBE220 = "", "", IFERROR(CBE220 / SUMIFS(Aux_Totales!$N:$N, Aux_Totales!$F:$F, $F224, Aux_Totales!$A:$A,#REF!), 0))</f>
        <v/>
      </c>
      <c r="CBF224" s="19" t="str">
        <f>IF(CBF220 = "", "", IFERROR(CBF220 / SUMIFS(Aux_Totales!$N:$N, Aux_Totales!$F:$F, $F224, Aux_Totales!$A:$A,#REF!), 0))</f>
        <v/>
      </c>
      <c r="CBG224" s="19" t="str">
        <f>IF(CBG220 = "", "", IFERROR(CBG220 / SUMIFS(Aux_Totales!$N:$N, Aux_Totales!$F:$F, $F224, Aux_Totales!$A:$A,#REF!), 0))</f>
        <v/>
      </c>
      <c r="CBH224" s="19" t="str">
        <f>IF(CBH220 = "", "", IFERROR(CBH220 / SUMIFS(Aux_Totales!$N:$N, Aux_Totales!$F:$F, $F224, Aux_Totales!$A:$A,#REF!), 0))</f>
        <v/>
      </c>
      <c r="CBI224" s="19" t="str">
        <f>IF(CBI220 = "", "", IFERROR(CBI220 / SUMIFS(Aux_Totales!$N:$N, Aux_Totales!$F:$F, $F224, Aux_Totales!$A:$A,#REF!), 0))</f>
        <v/>
      </c>
      <c r="CBJ224" s="19" t="str">
        <f>IF(CBJ220 = "", "", IFERROR(CBJ220 / SUMIFS(Aux_Totales!$N:$N, Aux_Totales!$F:$F, $F224, Aux_Totales!$A:$A,#REF!), 0))</f>
        <v/>
      </c>
      <c r="CBK224" s="19" t="str">
        <f>IF(CBK220 = "", "", IFERROR(CBK220 / SUMIFS(Aux_Totales!$N:$N, Aux_Totales!$F:$F, $F224, Aux_Totales!$A:$A,#REF!), 0))</f>
        <v/>
      </c>
      <c r="CBL224" s="19" t="str">
        <f>IF(CBL220 = "", "", IFERROR(CBL220 / SUMIFS(Aux_Totales!$N:$N, Aux_Totales!$F:$F, $F224, Aux_Totales!$A:$A,#REF!), 0))</f>
        <v/>
      </c>
      <c r="CBM224" s="19" t="str">
        <f>IF(CBM220 = "", "", IFERROR(CBM220 / SUMIFS(Aux_Totales!$N:$N, Aux_Totales!$F:$F, $F224, Aux_Totales!$A:$A,#REF!), 0))</f>
        <v/>
      </c>
      <c r="CBN224" s="19" t="str">
        <f>IF(CBN220 = "", "", IFERROR(CBN220 / SUMIFS(Aux_Totales!$N:$N, Aux_Totales!$F:$F, $F224, Aux_Totales!$A:$A,#REF!), 0))</f>
        <v/>
      </c>
      <c r="CBO224" s="19" t="str">
        <f>IF(CBO220 = "", "", IFERROR(CBO220 / SUMIFS(Aux_Totales!$N:$N, Aux_Totales!$F:$F, $F224, Aux_Totales!$A:$A,#REF!), 0))</f>
        <v/>
      </c>
      <c r="CBP224" s="19" t="str">
        <f>IF(CBP220 = "", "", IFERROR(CBP220 / SUMIFS(Aux_Totales!$N:$N, Aux_Totales!$F:$F, $F224, Aux_Totales!$A:$A,#REF!), 0))</f>
        <v/>
      </c>
      <c r="CBQ224" s="19" t="str">
        <f>IF(CBQ220 = "", "", IFERROR(CBQ220 / SUMIFS(Aux_Totales!$N:$N, Aux_Totales!$F:$F, $F224, Aux_Totales!$A:$A,#REF!), 0))</f>
        <v/>
      </c>
      <c r="CBR224" s="19" t="str">
        <f>IF(CBR220 = "", "", IFERROR(CBR220 / SUMIFS(Aux_Totales!$N:$N, Aux_Totales!$F:$F, $F224, Aux_Totales!$A:$A,#REF!), 0))</f>
        <v/>
      </c>
      <c r="CBS224" s="19" t="str">
        <f>IF(CBS220 = "", "", IFERROR(CBS220 / SUMIFS(Aux_Totales!$N:$N, Aux_Totales!$F:$F, $F224, Aux_Totales!$A:$A,#REF!), 0))</f>
        <v/>
      </c>
      <c r="CBT224" s="19" t="str">
        <f>IF(CBT220 = "", "", IFERROR(CBT220 / SUMIFS(Aux_Totales!$N:$N, Aux_Totales!$F:$F, $F224, Aux_Totales!$A:$A,#REF!), 0))</f>
        <v/>
      </c>
      <c r="CBU224" s="19" t="str">
        <f>IF(CBU220 = "", "", IFERROR(CBU220 / SUMIFS(Aux_Totales!$N:$N, Aux_Totales!$F:$F, $F224, Aux_Totales!$A:$A,#REF!), 0))</f>
        <v/>
      </c>
      <c r="CBV224" s="19" t="str">
        <f>IF(CBV220 = "", "", IFERROR(CBV220 / SUMIFS(Aux_Totales!$N:$N, Aux_Totales!$F:$F, $F224, Aux_Totales!$A:$A,#REF!), 0))</f>
        <v/>
      </c>
      <c r="CBW224" s="19" t="str">
        <f>IF(CBW220 = "", "", IFERROR(CBW220 / SUMIFS(Aux_Totales!$N:$N, Aux_Totales!$F:$F, $F224, Aux_Totales!$A:$A,#REF!), 0))</f>
        <v/>
      </c>
      <c r="CBX224" s="19" t="str">
        <f>IF(CBX220 = "", "", IFERROR(CBX220 / SUMIFS(Aux_Totales!$N:$N, Aux_Totales!$F:$F, $F224, Aux_Totales!$A:$A,#REF!), 0))</f>
        <v/>
      </c>
      <c r="CBY224" s="19" t="str">
        <f>IF(CBY220 = "", "", IFERROR(CBY220 / SUMIFS(Aux_Totales!$N:$N, Aux_Totales!$F:$F, $F224, Aux_Totales!$A:$A,#REF!), 0))</f>
        <v/>
      </c>
      <c r="CBZ224" s="19" t="str">
        <f>IF(CBZ220 = "", "", IFERROR(CBZ220 / SUMIFS(Aux_Totales!$N:$N, Aux_Totales!$F:$F, $F224, Aux_Totales!$A:$A,#REF!), 0))</f>
        <v/>
      </c>
      <c r="CCA224" s="19" t="str">
        <f>IF(CCA220 = "", "", IFERROR(CCA220 / SUMIFS(Aux_Totales!$N:$N, Aux_Totales!$F:$F, $F224, Aux_Totales!$A:$A,#REF!), 0))</f>
        <v/>
      </c>
      <c r="CCB224" s="19" t="str">
        <f>IF(CCB220 = "", "", IFERROR(CCB220 / SUMIFS(Aux_Totales!$N:$N, Aux_Totales!$F:$F, $F224, Aux_Totales!$A:$A,#REF!), 0))</f>
        <v/>
      </c>
      <c r="CCC224" s="19" t="str">
        <f>IF(CCC220 = "", "", IFERROR(CCC220 / SUMIFS(Aux_Totales!$N:$N, Aux_Totales!$F:$F, $F224, Aux_Totales!$A:$A,#REF!), 0))</f>
        <v/>
      </c>
      <c r="CCD224" s="19" t="str">
        <f>IF(CCD220 = "", "", IFERROR(CCD220 / SUMIFS(Aux_Totales!$N:$N, Aux_Totales!$F:$F, $F224, Aux_Totales!$A:$A,#REF!), 0))</f>
        <v/>
      </c>
      <c r="CCE224" s="19" t="str">
        <f>IF(CCE220 = "", "", IFERROR(CCE220 / SUMIFS(Aux_Totales!$N:$N, Aux_Totales!$F:$F, $F224, Aux_Totales!$A:$A,#REF!), 0))</f>
        <v/>
      </c>
      <c r="CCF224" s="19" t="str">
        <f>IF(CCF220 = "", "", IFERROR(CCF220 / SUMIFS(Aux_Totales!$N:$N, Aux_Totales!$F:$F, $F224, Aux_Totales!$A:$A,#REF!), 0))</f>
        <v/>
      </c>
      <c r="CCG224" s="19" t="str">
        <f>IF(CCG220 = "", "", IFERROR(CCG220 / SUMIFS(Aux_Totales!$N:$N, Aux_Totales!$F:$F, $F224, Aux_Totales!$A:$A,#REF!), 0))</f>
        <v/>
      </c>
      <c r="CCH224" s="19" t="str">
        <f>IF(CCH220 = "", "", IFERROR(CCH220 / SUMIFS(Aux_Totales!$N:$N, Aux_Totales!$F:$F, $F224, Aux_Totales!$A:$A,#REF!), 0))</f>
        <v/>
      </c>
      <c r="CCI224" s="19" t="str">
        <f>IF(CCI220 = "", "", IFERROR(CCI220 / SUMIFS(Aux_Totales!$N:$N, Aux_Totales!$F:$F, $F224, Aux_Totales!$A:$A,#REF!), 0))</f>
        <v/>
      </c>
      <c r="CCJ224" s="19" t="str">
        <f>IF(CCJ220 = "", "", IFERROR(CCJ220 / SUMIFS(Aux_Totales!$N:$N, Aux_Totales!$F:$F, $F224, Aux_Totales!$A:$A,#REF!), 0))</f>
        <v/>
      </c>
      <c r="CCK224" s="19" t="str">
        <f>IF(CCK220 = "", "", IFERROR(CCK220 / SUMIFS(Aux_Totales!$N:$N, Aux_Totales!$F:$F, $F224, Aux_Totales!$A:$A,#REF!), 0))</f>
        <v/>
      </c>
      <c r="CCL224" s="19" t="str">
        <f>IF(CCL220 = "", "", IFERROR(CCL220 / SUMIFS(Aux_Totales!$N:$N, Aux_Totales!$F:$F, $F224, Aux_Totales!$A:$A,#REF!), 0))</f>
        <v/>
      </c>
      <c r="CCM224" s="19" t="str">
        <f>IF(CCM220 = "", "", IFERROR(CCM220 / SUMIFS(Aux_Totales!$N:$N, Aux_Totales!$F:$F, $F224, Aux_Totales!$A:$A,#REF!), 0))</f>
        <v/>
      </c>
      <c r="CCN224" s="19" t="str">
        <f>IF(CCN220 = "", "", IFERROR(CCN220 / SUMIFS(Aux_Totales!$N:$N, Aux_Totales!$F:$F, $F224, Aux_Totales!$A:$A,#REF!), 0))</f>
        <v/>
      </c>
      <c r="CCO224" s="19" t="str">
        <f>IF(CCO220 = "", "", IFERROR(CCO220 / SUMIFS(Aux_Totales!$N:$N, Aux_Totales!$F:$F, $F224, Aux_Totales!$A:$A,#REF!), 0))</f>
        <v/>
      </c>
      <c r="CCP224" s="19" t="str">
        <f>IF(CCP220 = "", "", IFERROR(CCP220 / SUMIFS(Aux_Totales!$N:$N, Aux_Totales!$F:$F, $F224, Aux_Totales!$A:$A,#REF!), 0))</f>
        <v/>
      </c>
      <c r="CCQ224" s="19" t="str">
        <f>IF(CCQ220 = "", "", IFERROR(CCQ220 / SUMIFS(Aux_Totales!$N:$N, Aux_Totales!$F:$F, $F224, Aux_Totales!$A:$A,#REF!), 0))</f>
        <v/>
      </c>
      <c r="CCR224" s="19" t="str">
        <f>IF(CCR220 = "", "", IFERROR(CCR220 / SUMIFS(Aux_Totales!$N:$N, Aux_Totales!$F:$F, $F224, Aux_Totales!$A:$A,#REF!), 0))</f>
        <v/>
      </c>
      <c r="CCS224" s="19" t="str">
        <f>IF(CCS220 = "", "", IFERROR(CCS220 / SUMIFS(Aux_Totales!$N:$N, Aux_Totales!$F:$F, $F224, Aux_Totales!$A:$A,#REF!), 0))</f>
        <v/>
      </c>
      <c r="CCT224" s="19" t="str">
        <f>IF(CCT220 = "", "", IFERROR(CCT220 / SUMIFS(Aux_Totales!$N:$N, Aux_Totales!$F:$F, $F224, Aux_Totales!$A:$A,#REF!), 0))</f>
        <v/>
      </c>
      <c r="CCU224" s="19" t="str">
        <f>IF(CCU220 = "", "", IFERROR(CCU220 / SUMIFS(Aux_Totales!$N:$N, Aux_Totales!$F:$F, $F224, Aux_Totales!$A:$A,#REF!), 0))</f>
        <v/>
      </c>
      <c r="CCV224" s="19" t="str">
        <f>IF(CCV220 = "", "", IFERROR(CCV220 / SUMIFS(Aux_Totales!$N:$N, Aux_Totales!$F:$F, $F224, Aux_Totales!$A:$A,#REF!), 0))</f>
        <v/>
      </c>
      <c r="CCW224" s="19" t="str">
        <f>IF(CCW220 = "", "", IFERROR(CCW220 / SUMIFS(Aux_Totales!$N:$N, Aux_Totales!$F:$F, $F224, Aux_Totales!$A:$A,#REF!), 0))</f>
        <v/>
      </c>
      <c r="CCX224" s="19" t="str">
        <f>IF(CCX220 = "", "", IFERROR(CCX220 / SUMIFS(Aux_Totales!$N:$N, Aux_Totales!$F:$F, $F224, Aux_Totales!$A:$A,#REF!), 0))</f>
        <v/>
      </c>
      <c r="CCY224" s="19" t="str">
        <f>IF(CCY220 = "", "", IFERROR(CCY220 / SUMIFS(Aux_Totales!$N:$N, Aux_Totales!$F:$F, $F224, Aux_Totales!$A:$A,#REF!), 0))</f>
        <v/>
      </c>
      <c r="CCZ224" s="19" t="str">
        <f>IF(CCZ220 = "", "", IFERROR(CCZ220 / SUMIFS(Aux_Totales!$N:$N, Aux_Totales!$F:$F, $F224, Aux_Totales!$A:$A,#REF!), 0))</f>
        <v/>
      </c>
      <c r="CDA224" s="19" t="str">
        <f>IF(CDA220 = "", "", IFERROR(CDA220 / SUMIFS(Aux_Totales!$N:$N, Aux_Totales!$F:$F, $F224, Aux_Totales!$A:$A,#REF!), 0))</f>
        <v/>
      </c>
      <c r="CDB224" s="19" t="str">
        <f>IF(CDB220 = "", "", IFERROR(CDB220 / SUMIFS(Aux_Totales!$N:$N, Aux_Totales!$F:$F, $F224, Aux_Totales!$A:$A,#REF!), 0))</f>
        <v/>
      </c>
      <c r="CDC224" s="19" t="str">
        <f>IF(CDC220 = "", "", IFERROR(CDC220 / SUMIFS(Aux_Totales!$N:$N, Aux_Totales!$F:$F, $F224, Aux_Totales!$A:$A,#REF!), 0))</f>
        <v/>
      </c>
      <c r="CDD224" s="19" t="str">
        <f>IF(CDD220 = "", "", IFERROR(CDD220 / SUMIFS(Aux_Totales!$N:$N, Aux_Totales!$F:$F, $F224, Aux_Totales!$A:$A,#REF!), 0))</f>
        <v/>
      </c>
      <c r="CDE224" s="19" t="str">
        <f>IF(CDE220 = "", "", IFERROR(CDE220 / SUMIFS(Aux_Totales!$N:$N, Aux_Totales!$F:$F, $F224, Aux_Totales!$A:$A,#REF!), 0))</f>
        <v/>
      </c>
      <c r="CDF224" s="19" t="str">
        <f>IF(CDF220 = "", "", IFERROR(CDF220 / SUMIFS(Aux_Totales!$N:$N, Aux_Totales!$F:$F, $F224, Aux_Totales!$A:$A,#REF!), 0))</f>
        <v/>
      </c>
      <c r="CDG224" s="19" t="str">
        <f>IF(CDG220 = "", "", IFERROR(CDG220 / SUMIFS(Aux_Totales!$N:$N, Aux_Totales!$F:$F, $F224, Aux_Totales!$A:$A,#REF!), 0))</f>
        <v/>
      </c>
      <c r="CDH224" s="19" t="str">
        <f>IF(CDH220 = "", "", IFERROR(CDH220 / SUMIFS(Aux_Totales!$N:$N, Aux_Totales!$F:$F, $F224, Aux_Totales!$A:$A,#REF!), 0))</f>
        <v/>
      </c>
      <c r="CDI224" s="19" t="str">
        <f>IF(CDI220 = "", "", IFERROR(CDI220 / SUMIFS(Aux_Totales!$N:$N, Aux_Totales!$F:$F, $F224, Aux_Totales!$A:$A,#REF!), 0))</f>
        <v/>
      </c>
      <c r="CDJ224" s="19" t="str">
        <f>IF(CDJ220 = "", "", IFERROR(CDJ220 / SUMIFS(Aux_Totales!$N:$N, Aux_Totales!$F:$F, $F224, Aux_Totales!$A:$A,#REF!), 0))</f>
        <v/>
      </c>
      <c r="CDK224" s="19" t="str">
        <f>IF(CDK220 = "", "", IFERROR(CDK220 / SUMIFS(Aux_Totales!$N:$N, Aux_Totales!$F:$F, $F224, Aux_Totales!$A:$A,#REF!), 0))</f>
        <v/>
      </c>
      <c r="CDL224" s="19" t="str">
        <f>IF(CDL220 = "", "", IFERROR(CDL220 / SUMIFS(Aux_Totales!$N:$N, Aux_Totales!$F:$F, $F224, Aux_Totales!$A:$A,#REF!), 0))</f>
        <v/>
      </c>
      <c r="CDM224" s="19" t="str">
        <f>IF(CDM220 = "", "", IFERROR(CDM220 / SUMIFS(Aux_Totales!$N:$N, Aux_Totales!$F:$F, $F224, Aux_Totales!$A:$A,#REF!), 0))</f>
        <v/>
      </c>
      <c r="CDN224" s="19" t="str">
        <f>IF(CDN220 = "", "", IFERROR(CDN220 / SUMIFS(Aux_Totales!$N:$N, Aux_Totales!$F:$F, $F224, Aux_Totales!$A:$A,#REF!), 0))</f>
        <v/>
      </c>
      <c r="CDO224" s="19" t="str">
        <f>IF(CDO220 = "", "", IFERROR(CDO220 / SUMIFS(Aux_Totales!$N:$N, Aux_Totales!$F:$F, $F224, Aux_Totales!$A:$A,#REF!), 0))</f>
        <v/>
      </c>
      <c r="CDP224" s="19" t="str">
        <f>IF(CDP220 = "", "", IFERROR(CDP220 / SUMIFS(Aux_Totales!$N:$N, Aux_Totales!$F:$F, $F224, Aux_Totales!$A:$A,#REF!), 0))</f>
        <v/>
      </c>
      <c r="CDQ224" s="19" t="str">
        <f>IF(CDQ220 = "", "", IFERROR(CDQ220 / SUMIFS(Aux_Totales!$N:$N, Aux_Totales!$F:$F, $F224, Aux_Totales!$A:$A,#REF!), 0))</f>
        <v/>
      </c>
      <c r="CDR224" s="19" t="str">
        <f>IF(CDR220 = "", "", IFERROR(CDR220 / SUMIFS(Aux_Totales!$N:$N, Aux_Totales!$F:$F, $F224, Aux_Totales!$A:$A,#REF!), 0))</f>
        <v/>
      </c>
      <c r="CDS224" s="19" t="str">
        <f>IF(CDS220 = "", "", IFERROR(CDS220 / SUMIFS(Aux_Totales!$N:$N, Aux_Totales!$F:$F, $F224, Aux_Totales!$A:$A,#REF!), 0))</f>
        <v/>
      </c>
      <c r="CDT224" s="19" t="str">
        <f>IF(CDT220 = "", "", IFERROR(CDT220 / SUMIFS(Aux_Totales!$N:$N, Aux_Totales!$F:$F, $F224, Aux_Totales!$A:$A,#REF!), 0))</f>
        <v/>
      </c>
      <c r="CDU224" s="19" t="str">
        <f>IF(CDU220 = "", "", IFERROR(CDU220 / SUMIFS(Aux_Totales!$N:$N, Aux_Totales!$F:$F, $F224, Aux_Totales!$A:$A,#REF!), 0))</f>
        <v/>
      </c>
      <c r="CDV224" s="19" t="str">
        <f>IF(CDV220 = "", "", IFERROR(CDV220 / SUMIFS(Aux_Totales!$N:$N, Aux_Totales!$F:$F, $F224, Aux_Totales!$A:$A,#REF!), 0))</f>
        <v/>
      </c>
      <c r="CDW224" s="19" t="str">
        <f>IF(CDW220 = "", "", IFERROR(CDW220 / SUMIFS(Aux_Totales!$N:$N, Aux_Totales!$F:$F, $F224, Aux_Totales!$A:$A,#REF!), 0))</f>
        <v/>
      </c>
      <c r="CDX224" s="19" t="str">
        <f>IF(CDX220 = "", "", IFERROR(CDX220 / SUMIFS(Aux_Totales!$N:$N, Aux_Totales!$F:$F, $F224, Aux_Totales!$A:$A,#REF!), 0))</f>
        <v/>
      </c>
      <c r="CDY224" s="19" t="str">
        <f>IF(CDY220 = "", "", IFERROR(CDY220 / SUMIFS(Aux_Totales!$N:$N, Aux_Totales!$F:$F, $F224, Aux_Totales!$A:$A,#REF!), 0))</f>
        <v/>
      </c>
      <c r="CDZ224" s="19" t="str">
        <f>IF(CDZ220 = "", "", IFERROR(CDZ220 / SUMIFS(Aux_Totales!$N:$N, Aux_Totales!$F:$F, $F224, Aux_Totales!$A:$A,#REF!), 0))</f>
        <v/>
      </c>
      <c r="CEA224" s="19" t="str">
        <f>IF(CEA220 = "", "", IFERROR(CEA220 / SUMIFS(Aux_Totales!$N:$N, Aux_Totales!$F:$F, $F224, Aux_Totales!$A:$A,#REF!), 0))</f>
        <v/>
      </c>
      <c r="CEB224" s="19" t="str">
        <f>IF(CEB220 = "", "", IFERROR(CEB220 / SUMIFS(Aux_Totales!$N:$N, Aux_Totales!$F:$F, $F224, Aux_Totales!$A:$A,#REF!), 0))</f>
        <v/>
      </c>
      <c r="CEC224" s="19" t="str">
        <f>IF(CEC220 = "", "", IFERROR(CEC220 / SUMIFS(Aux_Totales!$N:$N, Aux_Totales!$F:$F, $F224, Aux_Totales!$A:$A,#REF!), 0))</f>
        <v/>
      </c>
      <c r="CED224" s="19" t="str">
        <f>IF(CED220 = "", "", IFERROR(CED220 / SUMIFS(Aux_Totales!$N:$N, Aux_Totales!$F:$F, $F224, Aux_Totales!$A:$A,#REF!), 0))</f>
        <v/>
      </c>
      <c r="CEE224" s="19" t="str">
        <f>IF(CEE220 = "", "", IFERROR(CEE220 / SUMIFS(Aux_Totales!$N:$N, Aux_Totales!$F:$F, $F224, Aux_Totales!$A:$A,#REF!), 0))</f>
        <v/>
      </c>
      <c r="CEF224" s="19" t="str">
        <f>IF(CEF220 = "", "", IFERROR(CEF220 / SUMIFS(Aux_Totales!$N:$N, Aux_Totales!$F:$F, $F224, Aux_Totales!$A:$A,#REF!), 0))</f>
        <v/>
      </c>
      <c r="CEG224" s="19" t="str">
        <f>IF(CEG220 = "", "", IFERROR(CEG220 / SUMIFS(Aux_Totales!$N:$N, Aux_Totales!$F:$F, $F224, Aux_Totales!$A:$A,#REF!), 0))</f>
        <v/>
      </c>
      <c r="CEH224" s="19" t="str">
        <f>IF(CEH220 = "", "", IFERROR(CEH220 / SUMIFS(Aux_Totales!$N:$N, Aux_Totales!$F:$F, $F224, Aux_Totales!$A:$A,#REF!), 0))</f>
        <v/>
      </c>
      <c r="CEI224" s="19" t="str">
        <f>IF(CEI220 = "", "", IFERROR(CEI220 / SUMIFS(Aux_Totales!$N:$N, Aux_Totales!$F:$F, $F224, Aux_Totales!$A:$A,#REF!), 0))</f>
        <v/>
      </c>
      <c r="CEJ224" s="19" t="str">
        <f>IF(CEJ220 = "", "", IFERROR(CEJ220 / SUMIFS(Aux_Totales!$N:$N, Aux_Totales!$F:$F, $F224, Aux_Totales!$A:$A,#REF!), 0))</f>
        <v/>
      </c>
      <c r="CEK224" s="19" t="str">
        <f>IF(CEK220 = "", "", IFERROR(CEK220 / SUMIFS(Aux_Totales!$N:$N, Aux_Totales!$F:$F, $F224, Aux_Totales!$A:$A,#REF!), 0))</f>
        <v/>
      </c>
      <c r="CEL224" s="19" t="str">
        <f>IF(CEL220 = "", "", IFERROR(CEL220 / SUMIFS(Aux_Totales!$N:$N, Aux_Totales!$F:$F, $F224, Aux_Totales!$A:$A,#REF!), 0))</f>
        <v/>
      </c>
      <c r="CEM224" s="19" t="str">
        <f>IF(CEM220 = "", "", IFERROR(CEM220 / SUMIFS(Aux_Totales!$N:$N, Aux_Totales!$F:$F, $F224, Aux_Totales!$A:$A,#REF!), 0))</f>
        <v/>
      </c>
      <c r="CEN224" s="19" t="str">
        <f>IF(CEN220 = "", "", IFERROR(CEN220 / SUMIFS(Aux_Totales!$N:$N, Aux_Totales!$F:$F, $F224, Aux_Totales!$A:$A,#REF!), 0))</f>
        <v/>
      </c>
      <c r="CEO224" s="19" t="str">
        <f>IF(CEO220 = "", "", IFERROR(CEO220 / SUMIFS(Aux_Totales!$N:$N, Aux_Totales!$F:$F, $F224, Aux_Totales!$A:$A,#REF!), 0))</f>
        <v/>
      </c>
      <c r="CEP224" s="19" t="str">
        <f>IF(CEP220 = "", "", IFERROR(CEP220 / SUMIFS(Aux_Totales!$N:$N, Aux_Totales!$F:$F, $F224, Aux_Totales!$A:$A,#REF!), 0))</f>
        <v/>
      </c>
      <c r="CEQ224" s="19" t="str">
        <f>IF(CEQ220 = "", "", IFERROR(CEQ220 / SUMIFS(Aux_Totales!$N:$N, Aux_Totales!$F:$F, $F224, Aux_Totales!$A:$A,#REF!), 0))</f>
        <v/>
      </c>
      <c r="CER224" s="19" t="str">
        <f>IF(CER220 = "", "", IFERROR(CER220 / SUMIFS(Aux_Totales!$N:$N, Aux_Totales!$F:$F, $F224, Aux_Totales!$A:$A,#REF!), 0))</f>
        <v/>
      </c>
      <c r="CES224" s="19" t="str">
        <f>IF(CES220 = "", "", IFERROR(CES220 / SUMIFS(Aux_Totales!$N:$N, Aux_Totales!$F:$F, $F224, Aux_Totales!$A:$A,#REF!), 0))</f>
        <v/>
      </c>
      <c r="CET224" s="19" t="str">
        <f>IF(CET220 = "", "", IFERROR(CET220 / SUMIFS(Aux_Totales!$N:$N, Aux_Totales!$F:$F, $F224, Aux_Totales!$A:$A,#REF!), 0))</f>
        <v/>
      </c>
      <c r="CEU224" s="19" t="str">
        <f>IF(CEU220 = "", "", IFERROR(CEU220 / SUMIFS(Aux_Totales!$N:$N, Aux_Totales!$F:$F, $F224, Aux_Totales!$A:$A,#REF!), 0))</f>
        <v/>
      </c>
      <c r="CEV224" s="19" t="str">
        <f>IF(CEV220 = "", "", IFERROR(CEV220 / SUMIFS(Aux_Totales!$N:$N, Aux_Totales!$F:$F, $F224, Aux_Totales!$A:$A,#REF!), 0))</f>
        <v/>
      </c>
      <c r="CEW224" s="19" t="str">
        <f>IF(CEW220 = "", "", IFERROR(CEW220 / SUMIFS(Aux_Totales!$N:$N, Aux_Totales!$F:$F, $F224, Aux_Totales!$A:$A,#REF!), 0))</f>
        <v/>
      </c>
      <c r="CEX224" s="19" t="str">
        <f>IF(CEX220 = "", "", IFERROR(CEX220 / SUMIFS(Aux_Totales!$N:$N, Aux_Totales!$F:$F, $F224, Aux_Totales!$A:$A,#REF!), 0))</f>
        <v/>
      </c>
      <c r="CEY224" s="19" t="str">
        <f>IF(CEY220 = "", "", IFERROR(CEY220 / SUMIFS(Aux_Totales!$N:$N, Aux_Totales!$F:$F, $F224, Aux_Totales!$A:$A,#REF!), 0))</f>
        <v/>
      </c>
      <c r="CEZ224" s="19" t="str">
        <f>IF(CEZ220 = "", "", IFERROR(CEZ220 / SUMIFS(Aux_Totales!$N:$N, Aux_Totales!$F:$F, $F224, Aux_Totales!$A:$A,#REF!), 0))</f>
        <v/>
      </c>
      <c r="CFA224" s="19" t="str">
        <f>IF(CFA220 = "", "", IFERROR(CFA220 / SUMIFS(Aux_Totales!$N:$N, Aux_Totales!$F:$F, $F224, Aux_Totales!$A:$A,#REF!), 0))</f>
        <v/>
      </c>
      <c r="CFB224" s="19" t="str">
        <f>IF(CFB220 = "", "", IFERROR(CFB220 / SUMIFS(Aux_Totales!$N:$N, Aux_Totales!$F:$F, $F224, Aux_Totales!$A:$A,#REF!), 0))</f>
        <v/>
      </c>
      <c r="CFC224" s="19" t="str">
        <f>IF(CFC220 = "", "", IFERROR(CFC220 / SUMIFS(Aux_Totales!$N:$N, Aux_Totales!$F:$F, $F224, Aux_Totales!$A:$A,#REF!), 0))</f>
        <v/>
      </c>
      <c r="CFD224" s="19" t="str">
        <f>IF(CFD220 = "", "", IFERROR(CFD220 / SUMIFS(Aux_Totales!$N:$N, Aux_Totales!$F:$F, $F224, Aux_Totales!$A:$A,#REF!), 0))</f>
        <v/>
      </c>
      <c r="CFE224" s="19" t="str">
        <f>IF(CFE220 = "", "", IFERROR(CFE220 / SUMIFS(Aux_Totales!$N:$N, Aux_Totales!$F:$F, $F224, Aux_Totales!$A:$A,#REF!), 0))</f>
        <v/>
      </c>
      <c r="CFF224" s="19" t="str">
        <f>IF(CFF220 = "", "", IFERROR(CFF220 / SUMIFS(Aux_Totales!$N:$N, Aux_Totales!$F:$F, $F224, Aux_Totales!$A:$A,#REF!), 0))</f>
        <v/>
      </c>
      <c r="CFG224" s="19" t="str">
        <f>IF(CFG220 = "", "", IFERROR(CFG220 / SUMIFS(Aux_Totales!$N:$N, Aux_Totales!$F:$F, $F224, Aux_Totales!$A:$A,#REF!), 0))</f>
        <v/>
      </c>
      <c r="CFH224" s="19" t="str">
        <f>IF(CFH220 = "", "", IFERROR(CFH220 / SUMIFS(Aux_Totales!$N:$N, Aux_Totales!$F:$F, $F224, Aux_Totales!$A:$A,#REF!), 0))</f>
        <v/>
      </c>
      <c r="CFI224" s="19" t="str">
        <f>IF(CFI220 = "", "", IFERROR(CFI220 / SUMIFS(Aux_Totales!$N:$N, Aux_Totales!$F:$F, $F224, Aux_Totales!$A:$A,#REF!), 0))</f>
        <v/>
      </c>
      <c r="CFJ224" s="19" t="str">
        <f>IF(CFJ220 = "", "", IFERROR(CFJ220 / SUMIFS(Aux_Totales!$N:$N, Aux_Totales!$F:$F, $F224, Aux_Totales!$A:$A,#REF!), 0))</f>
        <v/>
      </c>
      <c r="CFK224" s="19" t="str">
        <f>IF(CFK220 = "", "", IFERROR(CFK220 / SUMIFS(Aux_Totales!$N:$N, Aux_Totales!$F:$F, $F224, Aux_Totales!$A:$A,#REF!), 0))</f>
        <v/>
      </c>
      <c r="CFL224" s="19" t="str">
        <f>IF(CFL220 = "", "", IFERROR(CFL220 / SUMIFS(Aux_Totales!$N:$N, Aux_Totales!$F:$F, $F224, Aux_Totales!$A:$A,#REF!), 0))</f>
        <v/>
      </c>
      <c r="CFM224" s="19" t="str">
        <f>IF(CFM220 = "", "", IFERROR(CFM220 / SUMIFS(Aux_Totales!$N:$N, Aux_Totales!$F:$F, $F224, Aux_Totales!$A:$A,#REF!), 0))</f>
        <v/>
      </c>
      <c r="CFN224" s="19" t="str">
        <f>IF(CFN220 = "", "", IFERROR(CFN220 / SUMIFS(Aux_Totales!$N:$N, Aux_Totales!$F:$F, $F224, Aux_Totales!$A:$A,#REF!), 0))</f>
        <v/>
      </c>
      <c r="CFO224" s="19" t="str">
        <f>IF(CFO220 = "", "", IFERROR(CFO220 / SUMIFS(Aux_Totales!$N:$N, Aux_Totales!$F:$F, $F224, Aux_Totales!$A:$A,#REF!), 0))</f>
        <v/>
      </c>
      <c r="CFP224" s="19" t="str">
        <f>IF(CFP220 = "", "", IFERROR(CFP220 / SUMIFS(Aux_Totales!$N:$N, Aux_Totales!$F:$F, $F224, Aux_Totales!$A:$A,#REF!), 0))</f>
        <v/>
      </c>
      <c r="CFQ224" s="19" t="str">
        <f>IF(CFQ220 = "", "", IFERROR(CFQ220 / SUMIFS(Aux_Totales!$N:$N, Aux_Totales!$F:$F, $F224, Aux_Totales!$A:$A,#REF!), 0))</f>
        <v/>
      </c>
      <c r="CFR224" s="19" t="str">
        <f>IF(CFR220 = "", "", IFERROR(CFR220 / SUMIFS(Aux_Totales!$N:$N, Aux_Totales!$F:$F, $F224, Aux_Totales!$A:$A,#REF!), 0))</f>
        <v/>
      </c>
      <c r="CFS224" s="19" t="str">
        <f>IF(CFS220 = "", "", IFERROR(CFS220 / SUMIFS(Aux_Totales!$N:$N, Aux_Totales!$F:$F, $F224, Aux_Totales!$A:$A,#REF!), 0))</f>
        <v/>
      </c>
      <c r="CFT224" s="19" t="str">
        <f>IF(CFT220 = "", "", IFERROR(CFT220 / SUMIFS(Aux_Totales!$N:$N, Aux_Totales!$F:$F, $F224, Aux_Totales!$A:$A,#REF!), 0))</f>
        <v/>
      </c>
      <c r="CFU224" s="19" t="str">
        <f>IF(CFU220 = "", "", IFERROR(CFU220 / SUMIFS(Aux_Totales!$N:$N, Aux_Totales!$F:$F, $F224, Aux_Totales!$A:$A,#REF!), 0))</f>
        <v/>
      </c>
      <c r="CFV224" s="19" t="str">
        <f>IF(CFV220 = "", "", IFERROR(CFV220 / SUMIFS(Aux_Totales!$N:$N, Aux_Totales!$F:$F, $F224, Aux_Totales!$A:$A,#REF!), 0))</f>
        <v/>
      </c>
      <c r="CFW224" s="19" t="str">
        <f>IF(CFW220 = "", "", IFERROR(CFW220 / SUMIFS(Aux_Totales!$N:$N, Aux_Totales!$F:$F, $F224, Aux_Totales!$A:$A,#REF!), 0))</f>
        <v/>
      </c>
      <c r="CFX224" s="19" t="str">
        <f>IF(CFX220 = "", "", IFERROR(CFX220 / SUMIFS(Aux_Totales!$N:$N, Aux_Totales!$F:$F, $F224, Aux_Totales!$A:$A,#REF!), 0))</f>
        <v/>
      </c>
      <c r="CFY224" s="19" t="str">
        <f>IF(CFY220 = "", "", IFERROR(CFY220 / SUMIFS(Aux_Totales!$N:$N, Aux_Totales!$F:$F, $F224, Aux_Totales!$A:$A,#REF!), 0))</f>
        <v/>
      </c>
      <c r="CFZ224" s="19" t="str">
        <f>IF(CFZ220 = "", "", IFERROR(CFZ220 / SUMIFS(Aux_Totales!$N:$N, Aux_Totales!$F:$F, $F224, Aux_Totales!$A:$A,#REF!), 0))</f>
        <v/>
      </c>
      <c r="CGA224" s="19" t="str">
        <f>IF(CGA220 = "", "", IFERROR(CGA220 / SUMIFS(Aux_Totales!$N:$N, Aux_Totales!$F:$F, $F224, Aux_Totales!$A:$A,#REF!), 0))</f>
        <v/>
      </c>
      <c r="CGB224" s="19" t="str">
        <f>IF(CGB220 = "", "", IFERROR(CGB220 / SUMIFS(Aux_Totales!$N:$N, Aux_Totales!$F:$F, $F224, Aux_Totales!$A:$A,#REF!), 0))</f>
        <v/>
      </c>
      <c r="CGC224" s="19" t="str">
        <f>IF(CGC220 = "", "", IFERROR(CGC220 / SUMIFS(Aux_Totales!$N:$N, Aux_Totales!$F:$F, $F224, Aux_Totales!$A:$A,#REF!), 0))</f>
        <v/>
      </c>
      <c r="CGD224" s="19" t="str">
        <f>IF(CGD220 = "", "", IFERROR(CGD220 / SUMIFS(Aux_Totales!$N:$N, Aux_Totales!$F:$F, $F224, Aux_Totales!$A:$A,#REF!), 0))</f>
        <v/>
      </c>
      <c r="CGE224" s="19" t="str">
        <f>IF(CGE220 = "", "", IFERROR(CGE220 / SUMIFS(Aux_Totales!$N:$N, Aux_Totales!$F:$F, $F224, Aux_Totales!$A:$A,#REF!), 0))</f>
        <v/>
      </c>
      <c r="CGF224" s="19" t="str">
        <f>IF(CGF220 = "", "", IFERROR(CGF220 / SUMIFS(Aux_Totales!$N:$N, Aux_Totales!$F:$F, $F224, Aux_Totales!$A:$A,#REF!), 0))</f>
        <v/>
      </c>
      <c r="CGG224" s="19" t="str">
        <f>IF(CGG220 = "", "", IFERROR(CGG220 / SUMIFS(Aux_Totales!$N:$N, Aux_Totales!$F:$F, $F224, Aux_Totales!$A:$A,#REF!), 0))</f>
        <v/>
      </c>
      <c r="CGH224" s="19" t="str">
        <f>IF(CGH220 = "", "", IFERROR(CGH220 / SUMIFS(Aux_Totales!$N:$N, Aux_Totales!$F:$F, $F224, Aux_Totales!$A:$A,#REF!), 0))</f>
        <v/>
      </c>
      <c r="CGI224" s="19" t="str">
        <f>IF(CGI220 = "", "", IFERROR(CGI220 / SUMIFS(Aux_Totales!$N:$N, Aux_Totales!$F:$F, $F224, Aux_Totales!$A:$A,#REF!), 0))</f>
        <v/>
      </c>
      <c r="CGJ224" s="19" t="str">
        <f>IF(CGJ220 = "", "", IFERROR(CGJ220 / SUMIFS(Aux_Totales!$N:$N, Aux_Totales!$F:$F, $F224, Aux_Totales!$A:$A,#REF!), 0))</f>
        <v/>
      </c>
      <c r="CGK224" s="19" t="str">
        <f>IF(CGK220 = "", "", IFERROR(CGK220 / SUMIFS(Aux_Totales!$N:$N, Aux_Totales!$F:$F, $F224, Aux_Totales!$A:$A,#REF!), 0))</f>
        <v/>
      </c>
      <c r="CGL224" s="19" t="str">
        <f>IF(CGL220 = "", "", IFERROR(CGL220 / SUMIFS(Aux_Totales!$N:$N, Aux_Totales!$F:$F, $F224, Aux_Totales!$A:$A,#REF!), 0))</f>
        <v/>
      </c>
      <c r="CGM224" s="19" t="str">
        <f>IF(CGM220 = "", "", IFERROR(CGM220 / SUMIFS(Aux_Totales!$N:$N, Aux_Totales!$F:$F, $F224, Aux_Totales!$A:$A,#REF!), 0))</f>
        <v/>
      </c>
      <c r="CGN224" s="19" t="str">
        <f>IF(CGN220 = "", "", IFERROR(CGN220 / SUMIFS(Aux_Totales!$N:$N, Aux_Totales!$F:$F, $F224, Aux_Totales!$A:$A,#REF!), 0))</f>
        <v/>
      </c>
      <c r="CGO224" s="19" t="str">
        <f>IF(CGO220 = "", "", IFERROR(CGO220 / SUMIFS(Aux_Totales!$N:$N, Aux_Totales!$F:$F, $F224, Aux_Totales!$A:$A,#REF!), 0))</f>
        <v/>
      </c>
      <c r="CGP224" s="19" t="str">
        <f>IF(CGP220 = "", "", IFERROR(CGP220 / SUMIFS(Aux_Totales!$N:$N, Aux_Totales!$F:$F, $F224, Aux_Totales!$A:$A,#REF!), 0))</f>
        <v/>
      </c>
      <c r="CGQ224" s="19" t="str">
        <f>IF(CGQ220 = "", "", IFERROR(CGQ220 / SUMIFS(Aux_Totales!$N:$N, Aux_Totales!$F:$F, $F224, Aux_Totales!$A:$A,#REF!), 0))</f>
        <v/>
      </c>
      <c r="CGR224" s="19" t="str">
        <f>IF(CGR220 = "", "", IFERROR(CGR220 / SUMIFS(Aux_Totales!$N:$N, Aux_Totales!$F:$F, $F224, Aux_Totales!$A:$A,#REF!), 0))</f>
        <v/>
      </c>
      <c r="CGS224" s="19" t="str">
        <f>IF(CGS220 = "", "", IFERROR(CGS220 / SUMIFS(Aux_Totales!$N:$N, Aux_Totales!$F:$F, $F224, Aux_Totales!$A:$A,#REF!), 0))</f>
        <v/>
      </c>
      <c r="CGT224" s="19" t="str">
        <f>IF(CGT220 = "", "", IFERROR(CGT220 / SUMIFS(Aux_Totales!$N:$N, Aux_Totales!$F:$F, $F224, Aux_Totales!$A:$A,#REF!), 0))</f>
        <v/>
      </c>
      <c r="CGU224" s="19" t="str">
        <f>IF(CGU220 = "", "", IFERROR(CGU220 / SUMIFS(Aux_Totales!$N:$N, Aux_Totales!$F:$F, $F224, Aux_Totales!$A:$A,#REF!), 0))</f>
        <v/>
      </c>
      <c r="CGV224" s="19" t="str">
        <f>IF(CGV220 = "", "", IFERROR(CGV220 / SUMIFS(Aux_Totales!$N:$N, Aux_Totales!$F:$F, $F224, Aux_Totales!$A:$A,#REF!), 0))</f>
        <v/>
      </c>
      <c r="CGW224" s="19" t="str">
        <f>IF(CGW220 = "", "", IFERROR(CGW220 / SUMIFS(Aux_Totales!$N:$N, Aux_Totales!$F:$F, $F224, Aux_Totales!$A:$A,#REF!), 0))</f>
        <v/>
      </c>
      <c r="CGX224" s="19" t="str">
        <f>IF(CGX220 = "", "", IFERROR(CGX220 / SUMIFS(Aux_Totales!$N:$N, Aux_Totales!$F:$F, $F224, Aux_Totales!$A:$A,#REF!), 0))</f>
        <v/>
      </c>
      <c r="CGY224" s="19" t="str">
        <f>IF(CGY220 = "", "", IFERROR(CGY220 / SUMIFS(Aux_Totales!$N:$N, Aux_Totales!$F:$F, $F224, Aux_Totales!$A:$A,#REF!), 0))</f>
        <v/>
      </c>
      <c r="CGZ224" s="19" t="str">
        <f>IF(CGZ220 = "", "", IFERROR(CGZ220 / SUMIFS(Aux_Totales!$N:$N, Aux_Totales!$F:$F, $F224, Aux_Totales!$A:$A,#REF!), 0))</f>
        <v/>
      </c>
      <c r="CHA224" s="19" t="str">
        <f>IF(CHA220 = "", "", IFERROR(CHA220 / SUMIFS(Aux_Totales!$N:$N, Aux_Totales!$F:$F, $F224, Aux_Totales!$A:$A,#REF!), 0))</f>
        <v/>
      </c>
      <c r="CHB224" s="19" t="str">
        <f>IF(CHB220 = "", "", IFERROR(CHB220 / SUMIFS(Aux_Totales!$N:$N, Aux_Totales!$F:$F, $F224, Aux_Totales!$A:$A,#REF!), 0))</f>
        <v/>
      </c>
      <c r="CHC224" s="19" t="str">
        <f>IF(CHC220 = "", "", IFERROR(CHC220 / SUMIFS(Aux_Totales!$N:$N, Aux_Totales!$F:$F, $F224, Aux_Totales!$A:$A,#REF!), 0))</f>
        <v/>
      </c>
      <c r="CHD224" s="19" t="str">
        <f>IF(CHD220 = "", "", IFERROR(CHD220 / SUMIFS(Aux_Totales!$N:$N, Aux_Totales!$F:$F, $F224, Aux_Totales!$A:$A,#REF!), 0))</f>
        <v/>
      </c>
      <c r="CHE224" s="19" t="str">
        <f>IF(CHE220 = "", "", IFERROR(CHE220 / SUMIFS(Aux_Totales!$N:$N, Aux_Totales!$F:$F, $F224, Aux_Totales!$A:$A,#REF!), 0))</f>
        <v/>
      </c>
      <c r="CHF224" s="19" t="str">
        <f>IF(CHF220 = "", "", IFERROR(CHF220 / SUMIFS(Aux_Totales!$N:$N, Aux_Totales!$F:$F, $F224, Aux_Totales!$A:$A,#REF!), 0))</f>
        <v/>
      </c>
      <c r="CHG224" s="19" t="str">
        <f>IF(CHG220 = "", "", IFERROR(CHG220 / SUMIFS(Aux_Totales!$N:$N, Aux_Totales!$F:$F, $F224, Aux_Totales!$A:$A,#REF!), 0))</f>
        <v/>
      </c>
      <c r="CHH224" s="19" t="str">
        <f>IF(CHH220 = "", "", IFERROR(CHH220 / SUMIFS(Aux_Totales!$N:$N, Aux_Totales!$F:$F, $F224, Aux_Totales!$A:$A,#REF!), 0))</f>
        <v/>
      </c>
      <c r="CHI224" s="19" t="str">
        <f>IF(CHI220 = "", "", IFERROR(CHI220 / SUMIFS(Aux_Totales!$N:$N, Aux_Totales!$F:$F, $F224, Aux_Totales!$A:$A,#REF!), 0))</f>
        <v/>
      </c>
      <c r="CHJ224" s="19" t="str">
        <f>IF(CHJ220 = "", "", IFERROR(CHJ220 / SUMIFS(Aux_Totales!$N:$N, Aux_Totales!$F:$F, $F224, Aux_Totales!$A:$A,#REF!), 0))</f>
        <v/>
      </c>
      <c r="CHK224" s="19" t="str">
        <f>IF(CHK220 = "", "", IFERROR(CHK220 / SUMIFS(Aux_Totales!$N:$N, Aux_Totales!$F:$F, $F224, Aux_Totales!$A:$A,#REF!), 0))</f>
        <v/>
      </c>
      <c r="CHL224" s="19" t="str">
        <f>IF(CHL220 = "", "", IFERROR(CHL220 / SUMIFS(Aux_Totales!$N:$N, Aux_Totales!$F:$F, $F224, Aux_Totales!$A:$A,#REF!), 0))</f>
        <v/>
      </c>
      <c r="CHM224" s="19" t="str">
        <f>IF(CHM220 = "", "", IFERROR(CHM220 / SUMIFS(Aux_Totales!$N:$N, Aux_Totales!$F:$F, $F224, Aux_Totales!$A:$A,#REF!), 0))</f>
        <v/>
      </c>
      <c r="CHN224" s="19" t="str">
        <f>IF(CHN220 = "", "", IFERROR(CHN220 / SUMIFS(Aux_Totales!$N:$N, Aux_Totales!$F:$F, $F224, Aux_Totales!$A:$A,#REF!), 0))</f>
        <v/>
      </c>
      <c r="CHO224" s="19" t="str">
        <f>IF(CHO220 = "", "", IFERROR(CHO220 / SUMIFS(Aux_Totales!$N:$N, Aux_Totales!$F:$F, $F224, Aux_Totales!$A:$A,#REF!), 0))</f>
        <v/>
      </c>
      <c r="CHP224" s="19" t="str">
        <f>IF(CHP220 = "", "", IFERROR(CHP220 / SUMIFS(Aux_Totales!$N:$N, Aux_Totales!$F:$F, $F224, Aux_Totales!$A:$A,#REF!), 0))</f>
        <v/>
      </c>
      <c r="CHQ224" s="19" t="str">
        <f>IF(CHQ220 = "", "", IFERROR(CHQ220 / SUMIFS(Aux_Totales!$N:$N, Aux_Totales!$F:$F, $F224, Aux_Totales!$A:$A,#REF!), 0))</f>
        <v/>
      </c>
      <c r="CHR224" s="19" t="str">
        <f>IF(CHR220 = "", "", IFERROR(CHR220 / SUMIFS(Aux_Totales!$N:$N, Aux_Totales!$F:$F, $F224, Aux_Totales!$A:$A,#REF!), 0))</f>
        <v/>
      </c>
      <c r="CHS224" s="19" t="str">
        <f>IF(CHS220 = "", "", IFERROR(CHS220 / SUMIFS(Aux_Totales!$N:$N, Aux_Totales!$F:$F, $F224, Aux_Totales!$A:$A,#REF!), 0))</f>
        <v/>
      </c>
      <c r="CHT224" s="19" t="str">
        <f>IF(CHT220 = "", "", IFERROR(CHT220 / SUMIFS(Aux_Totales!$N:$N, Aux_Totales!$F:$F, $F224, Aux_Totales!$A:$A,#REF!), 0))</f>
        <v/>
      </c>
      <c r="CHU224" s="19" t="str">
        <f>IF(CHU220 = "", "", IFERROR(CHU220 / SUMIFS(Aux_Totales!$N:$N, Aux_Totales!$F:$F, $F224, Aux_Totales!$A:$A,#REF!), 0))</f>
        <v/>
      </c>
      <c r="CHV224" s="19" t="str">
        <f>IF(CHV220 = "", "", IFERROR(CHV220 / SUMIFS(Aux_Totales!$N:$N, Aux_Totales!$F:$F, $F224, Aux_Totales!$A:$A,#REF!), 0))</f>
        <v/>
      </c>
      <c r="CHW224" s="19" t="str">
        <f>IF(CHW220 = "", "", IFERROR(CHW220 / SUMIFS(Aux_Totales!$N:$N, Aux_Totales!$F:$F, $F224, Aux_Totales!$A:$A,#REF!), 0))</f>
        <v/>
      </c>
      <c r="CHX224" s="19" t="str">
        <f>IF(CHX220 = "", "", IFERROR(CHX220 / SUMIFS(Aux_Totales!$N:$N, Aux_Totales!$F:$F, $F224, Aux_Totales!$A:$A,#REF!), 0))</f>
        <v/>
      </c>
      <c r="CHY224" s="19" t="str">
        <f>IF(CHY220 = "", "", IFERROR(CHY220 / SUMIFS(Aux_Totales!$N:$N, Aux_Totales!$F:$F, $F224, Aux_Totales!$A:$A,#REF!), 0))</f>
        <v/>
      </c>
      <c r="CHZ224" s="19" t="str">
        <f>IF(CHZ220 = "", "", IFERROR(CHZ220 / SUMIFS(Aux_Totales!$N:$N, Aux_Totales!$F:$F, $F224, Aux_Totales!$A:$A,#REF!), 0))</f>
        <v/>
      </c>
      <c r="CIA224" s="19" t="str">
        <f>IF(CIA220 = "", "", IFERROR(CIA220 / SUMIFS(Aux_Totales!$N:$N, Aux_Totales!$F:$F, $F224, Aux_Totales!$A:$A,#REF!), 0))</f>
        <v/>
      </c>
      <c r="CIB224" s="19" t="str">
        <f>IF(CIB220 = "", "", IFERROR(CIB220 / SUMIFS(Aux_Totales!$N:$N, Aux_Totales!$F:$F, $F224, Aux_Totales!$A:$A,#REF!), 0))</f>
        <v/>
      </c>
      <c r="CIC224" s="19" t="str">
        <f>IF(CIC220 = "", "", IFERROR(CIC220 / SUMIFS(Aux_Totales!$N:$N, Aux_Totales!$F:$F, $F224, Aux_Totales!$A:$A,#REF!), 0))</f>
        <v/>
      </c>
      <c r="CID224" s="19" t="str">
        <f>IF(CID220 = "", "", IFERROR(CID220 / SUMIFS(Aux_Totales!$N:$N, Aux_Totales!$F:$F, $F224, Aux_Totales!$A:$A,#REF!), 0))</f>
        <v/>
      </c>
      <c r="CIE224" s="19" t="str">
        <f>IF(CIE220 = "", "", IFERROR(CIE220 / SUMIFS(Aux_Totales!$N:$N, Aux_Totales!$F:$F, $F224, Aux_Totales!$A:$A,#REF!), 0))</f>
        <v/>
      </c>
      <c r="CIF224" s="19" t="str">
        <f>IF(CIF220 = "", "", IFERROR(CIF220 / SUMIFS(Aux_Totales!$N:$N, Aux_Totales!$F:$F, $F224, Aux_Totales!$A:$A,#REF!), 0))</f>
        <v/>
      </c>
      <c r="CIG224" s="19" t="str">
        <f>IF(CIG220 = "", "", IFERROR(CIG220 / SUMIFS(Aux_Totales!$N:$N, Aux_Totales!$F:$F, $F224, Aux_Totales!$A:$A,#REF!), 0))</f>
        <v/>
      </c>
      <c r="CIH224" s="19" t="str">
        <f>IF(CIH220 = "", "", IFERROR(CIH220 / SUMIFS(Aux_Totales!$N:$N, Aux_Totales!$F:$F, $F224, Aux_Totales!$A:$A,#REF!), 0))</f>
        <v/>
      </c>
      <c r="CII224" s="19" t="str">
        <f>IF(CII220 = "", "", IFERROR(CII220 / SUMIFS(Aux_Totales!$N:$N, Aux_Totales!$F:$F, $F224, Aux_Totales!$A:$A,#REF!), 0))</f>
        <v/>
      </c>
      <c r="CIJ224" s="19" t="str">
        <f>IF(CIJ220 = "", "", IFERROR(CIJ220 / SUMIFS(Aux_Totales!$N:$N, Aux_Totales!$F:$F, $F224, Aux_Totales!$A:$A,#REF!), 0))</f>
        <v/>
      </c>
      <c r="CIK224" s="19" t="str">
        <f>IF(CIK220 = "", "", IFERROR(CIK220 / SUMIFS(Aux_Totales!$N:$N, Aux_Totales!$F:$F, $F224, Aux_Totales!$A:$A,#REF!), 0))</f>
        <v/>
      </c>
      <c r="CIL224" s="19" t="str">
        <f>IF(CIL220 = "", "", IFERROR(CIL220 / SUMIFS(Aux_Totales!$N:$N, Aux_Totales!$F:$F, $F224, Aux_Totales!$A:$A,#REF!), 0))</f>
        <v/>
      </c>
      <c r="CIM224" s="19" t="str">
        <f>IF(CIM220 = "", "", IFERROR(CIM220 / SUMIFS(Aux_Totales!$N:$N, Aux_Totales!$F:$F, $F224, Aux_Totales!$A:$A,#REF!), 0))</f>
        <v/>
      </c>
      <c r="CIN224" s="19" t="str">
        <f>IF(CIN220 = "", "", IFERROR(CIN220 / SUMIFS(Aux_Totales!$N:$N, Aux_Totales!$F:$F, $F224, Aux_Totales!$A:$A,#REF!), 0))</f>
        <v/>
      </c>
      <c r="CIO224" s="19" t="str">
        <f>IF(CIO220 = "", "", IFERROR(CIO220 / SUMIFS(Aux_Totales!$N:$N, Aux_Totales!$F:$F, $F224, Aux_Totales!$A:$A,#REF!), 0))</f>
        <v/>
      </c>
      <c r="CIP224" s="19" t="str">
        <f>IF(CIP220 = "", "", IFERROR(CIP220 / SUMIFS(Aux_Totales!$N:$N, Aux_Totales!$F:$F, $F224, Aux_Totales!$A:$A,#REF!), 0))</f>
        <v/>
      </c>
      <c r="CIQ224" s="19" t="str">
        <f>IF(CIQ220 = "", "", IFERROR(CIQ220 / SUMIFS(Aux_Totales!$N:$N, Aux_Totales!$F:$F, $F224, Aux_Totales!$A:$A,#REF!), 0))</f>
        <v/>
      </c>
      <c r="CIR224" s="19" t="str">
        <f>IF(CIR220 = "", "", IFERROR(CIR220 / SUMIFS(Aux_Totales!$N:$N, Aux_Totales!$F:$F, $F224, Aux_Totales!$A:$A,#REF!), 0))</f>
        <v/>
      </c>
      <c r="CIS224" s="19" t="str">
        <f>IF(CIS220 = "", "", IFERROR(CIS220 / SUMIFS(Aux_Totales!$N:$N, Aux_Totales!$F:$F, $F224, Aux_Totales!$A:$A,#REF!), 0))</f>
        <v/>
      </c>
      <c r="CIT224" s="19" t="str">
        <f>IF(CIT220 = "", "", IFERROR(CIT220 / SUMIFS(Aux_Totales!$N:$N, Aux_Totales!$F:$F, $F224, Aux_Totales!$A:$A,#REF!), 0))</f>
        <v/>
      </c>
      <c r="CIU224" s="19" t="str">
        <f>IF(CIU220 = "", "", IFERROR(CIU220 / SUMIFS(Aux_Totales!$N:$N, Aux_Totales!$F:$F, $F224, Aux_Totales!$A:$A,#REF!), 0))</f>
        <v/>
      </c>
      <c r="CIV224" s="19" t="str">
        <f>IF(CIV220 = "", "", IFERROR(CIV220 / SUMIFS(Aux_Totales!$N:$N, Aux_Totales!$F:$F, $F224, Aux_Totales!$A:$A,#REF!), 0))</f>
        <v/>
      </c>
      <c r="CIW224" s="19" t="str">
        <f>IF(CIW220 = "", "", IFERROR(CIW220 / SUMIFS(Aux_Totales!$N:$N, Aux_Totales!$F:$F, $F224, Aux_Totales!$A:$A,#REF!), 0))</f>
        <v/>
      </c>
      <c r="CIX224" s="19" t="str">
        <f>IF(CIX220 = "", "", IFERROR(CIX220 / SUMIFS(Aux_Totales!$N:$N, Aux_Totales!$F:$F, $F224, Aux_Totales!$A:$A,#REF!), 0))</f>
        <v/>
      </c>
      <c r="CIY224" s="19" t="str">
        <f>IF(CIY220 = "", "", IFERROR(CIY220 / SUMIFS(Aux_Totales!$N:$N, Aux_Totales!$F:$F, $F224, Aux_Totales!$A:$A,#REF!), 0))</f>
        <v/>
      </c>
      <c r="CIZ224" s="19" t="str">
        <f>IF(CIZ220 = "", "", IFERROR(CIZ220 / SUMIFS(Aux_Totales!$N:$N, Aux_Totales!$F:$F, $F224, Aux_Totales!$A:$A,#REF!), 0))</f>
        <v/>
      </c>
      <c r="CJA224" s="19" t="str">
        <f>IF(CJA220 = "", "", IFERROR(CJA220 / SUMIFS(Aux_Totales!$N:$N, Aux_Totales!$F:$F, $F224, Aux_Totales!$A:$A,#REF!), 0))</f>
        <v/>
      </c>
      <c r="CJB224" s="19" t="str">
        <f>IF(CJB220 = "", "", IFERROR(CJB220 / SUMIFS(Aux_Totales!$N:$N, Aux_Totales!$F:$F, $F224, Aux_Totales!$A:$A,#REF!), 0))</f>
        <v/>
      </c>
      <c r="CJC224" s="19" t="str">
        <f>IF(CJC220 = "", "", IFERROR(CJC220 / SUMIFS(Aux_Totales!$N:$N, Aux_Totales!$F:$F, $F224, Aux_Totales!$A:$A,#REF!), 0))</f>
        <v/>
      </c>
      <c r="CJD224" s="19" t="str">
        <f>IF(CJD220 = "", "", IFERROR(CJD220 / SUMIFS(Aux_Totales!$N:$N, Aux_Totales!$F:$F, $F224, Aux_Totales!$A:$A,#REF!), 0))</f>
        <v/>
      </c>
      <c r="CJE224" s="19" t="str">
        <f>IF(CJE220 = "", "", IFERROR(CJE220 / SUMIFS(Aux_Totales!$N:$N, Aux_Totales!$F:$F, $F224, Aux_Totales!$A:$A,#REF!), 0))</f>
        <v/>
      </c>
      <c r="CJF224" s="19" t="str">
        <f>IF(CJF220 = "", "", IFERROR(CJF220 / SUMIFS(Aux_Totales!$N:$N, Aux_Totales!$F:$F, $F224, Aux_Totales!$A:$A,#REF!), 0))</f>
        <v/>
      </c>
      <c r="CJG224" s="19" t="str">
        <f>IF(CJG220 = "", "", IFERROR(CJG220 / SUMIFS(Aux_Totales!$N:$N, Aux_Totales!$F:$F, $F224, Aux_Totales!$A:$A,#REF!), 0))</f>
        <v/>
      </c>
      <c r="CJH224" s="19" t="str">
        <f>IF(CJH220 = "", "", IFERROR(CJH220 / SUMIFS(Aux_Totales!$N:$N, Aux_Totales!$F:$F, $F224, Aux_Totales!$A:$A,#REF!), 0))</f>
        <v/>
      </c>
      <c r="CJI224" s="19" t="str">
        <f>IF(CJI220 = "", "", IFERROR(CJI220 / SUMIFS(Aux_Totales!$N:$N, Aux_Totales!$F:$F, $F224, Aux_Totales!$A:$A,#REF!), 0))</f>
        <v/>
      </c>
      <c r="CJJ224" s="19" t="str">
        <f>IF(CJJ220 = "", "", IFERROR(CJJ220 / SUMIFS(Aux_Totales!$N:$N, Aux_Totales!$F:$F, $F224, Aux_Totales!$A:$A,#REF!), 0))</f>
        <v/>
      </c>
      <c r="CJK224" s="19" t="str">
        <f>IF(CJK220 = "", "", IFERROR(CJK220 / SUMIFS(Aux_Totales!$N:$N, Aux_Totales!$F:$F, $F224, Aux_Totales!$A:$A,#REF!), 0))</f>
        <v/>
      </c>
      <c r="CJL224" s="19" t="str">
        <f>IF(CJL220 = "", "", IFERROR(CJL220 / SUMIFS(Aux_Totales!$N:$N, Aux_Totales!$F:$F, $F224, Aux_Totales!$A:$A,#REF!), 0))</f>
        <v/>
      </c>
      <c r="CJM224" s="19" t="str">
        <f>IF(CJM220 = "", "", IFERROR(CJM220 / SUMIFS(Aux_Totales!$N:$N, Aux_Totales!$F:$F, $F224, Aux_Totales!$A:$A,#REF!), 0))</f>
        <v/>
      </c>
      <c r="CJN224" s="19" t="str">
        <f>IF(CJN220 = "", "", IFERROR(CJN220 / SUMIFS(Aux_Totales!$N:$N, Aux_Totales!$F:$F, $F224, Aux_Totales!$A:$A,#REF!), 0))</f>
        <v/>
      </c>
      <c r="CJO224" s="19" t="str">
        <f>IF(CJO220 = "", "", IFERROR(CJO220 / SUMIFS(Aux_Totales!$N:$N, Aux_Totales!$F:$F, $F224, Aux_Totales!$A:$A,#REF!), 0))</f>
        <v/>
      </c>
      <c r="CJP224" s="19" t="str">
        <f>IF(CJP220 = "", "", IFERROR(CJP220 / SUMIFS(Aux_Totales!$N:$N, Aux_Totales!$F:$F, $F224, Aux_Totales!$A:$A,#REF!), 0))</f>
        <v/>
      </c>
      <c r="CJQ224" s="19" t="str">
        <f>IF(CJQ220 = "", "", IFERROR(CJQ220 / SUMIFS(Aux_Totales!$N:$N, Aux_Totales!$F:$F, $F224, Aux_Totales!$A:$A,#REF!), 0))</f>
        <v/>
      </c>
      <c r="CJR224" s="19" t="str">
        <f>IF(CJR220 = "", "", IFERROR(CJR220 / SUMIFS(Aux_Totales!$N:$N, Aux_Totales!$F:$F, $F224, Aux_Totales!$A:$A,#REF!), 0))</f>
        <v/>
      </c>
      <c r="CJS224" s="19" t="str">
        <f>IF(CJS220 = "", "", IFERROR(CJS220 / SUMIFS(Aux_Totales!$N:$N, Aux_Totales!$F:$F, $F224, Aux_Totales!$A:$A,#REF!), 0))</f>
        <v/>
      </c>
      <c r="CJT224" s="19" t="str">
        <f>IF(CJT220 = "", "", IFERROR(CJT220 / SUMIFS(Aux_Totales!$N:$N, Aux_Totales!$F:$F, $F224, Aux_Totales!$A:$A,#REF!), 0))</f>
        <v/>
      </c>
      <c r="CJU224" s="19" t="str">
        <f>IF(CJU220 = "", "", IFERROR(CJU220 / SUMIFS(Aux_Totales!$N:$N, Aux_Totales!$F:$F, $F224, Aux_Totales!$A:$A,#REF!), 0))</f>
        <v/>
      </c>
      <c r="CJV224" s="19" t="str">
        <f>IF(CJV220 = "", "", IFERROR(CJV220 / SUMIFS(Aux_Totales!$N:$N, Aux_Totales!$F:$F, $F224, Aux_Totales!$A:$A,#REF!), 0))</f>
        <v/>
      </c>
      <c r="CJW224" s="19" t="str">
        <f>IF(CJW220 = "", "", IFERROR(CJW220 / SUMIFS(Aux_Totales!$N:$N, Aux_Totales!$F:$F, $F224, Aux_Totales!$A:$A,#REF!), 0))</f>
        <v/>
      </c>
      <c r="CJX224" s="19" t="str">
        <f>IF(CJX220 = "", "", IFERROR(CJX220 / SUMIFS(Aux_Totales!$N:$N, Aux_Totales!$F:$F, $F224, Aux_Totales!$A:$A,#REF!), 0))</f>
        <v/>
      </c>
      <c r="CJY224" s="19" t="str">
        <f>IF(CJY220 = "", "", IFERROR(CJY220 / SUMIFS(Aux_Totales!$N:$N, Aux_Totales!$F:$F, $F224, Aux_Totales!$A:$A,#REF!), 0))</f>
        <v/>
      </c>
      <c r="CJZ224" s="19" t="str">
        <f>IF(CJZ220 = "", "", IFERROR(CJZ220 / SUMIFS(Aux_Totales!$N:$N, Aux_Totales!$F:$F, $F224, Aux_Totales!$A:$A,#REF!), 0))</f>
        <v/>
      </c>
      <c r="CKA224" s="19" t="str">
        <f>IF(CKA220 = "", "", IFERROR(CKA220 / SUMIFS(Aux_Totales!$N:$N, Aux_Totales!$F:$F, $F224, Aux_Totales!$A:$A,#REF!), 0))</f>
        <v/>
      </c>
      <c r="CKB224" s="19" t="str">
        <f>IF(CKB220 = "", "", IFERROR(CKB220 / SUMIFS(Aux_Totales!$N:$N, Aux_Totales!$F:$F, $F224, Aux_Totales!$A:$A,#REF!), 0))</f>
        <v/>
      </c>
      <c r="CKC224" s="19" t="str">
        <f>IF(CKC220 = "", "", IFERROR(CKC220 / SUMIFS(Aux_Totales!$N:$N, Aux_Totales!$F:$F, $F224, Aux_Totales!$A:$A,#REF!), 0))</f>
        <v/>
      </c>
      <c r="CKD224" s="19" t="str">
        <f>IF(CKD220 = "", "", IFERROR(CKD220 / SUMIFS(Aux_Totales!$N:$N, Aux_Totales!$F:$F, $F224, Aux_Totales!$A:$A,#REF!), 0))</f>
        <v/>
      </c>
      <c r="CKE224" s="19" t="str">
        <f>IF(CKE220 = "", "", IFERROR(CKE220 / SUMIFS(Aux_Totales!$N:$N, Aux_Totales!$F:$F, $F224, Aux_Totales!$A:$A,#REF!), 0))</f>
        <v/>
      </c>
      <c r="CKF224" s="19" t="str">
        <f>IF(CKF220 = "", "", IFERROR(CKF220 / SUMIFS(Aux_Totales!$N:$N, Aux_Totales!$F:$F, $F224, Aux_Totales!$A:$A,#REF!), 0))</f>
        <v/>
      </c>
      <c r="CKG224" s="19" t="str">
        <f>IF(CKG220 = "", "", IFERROR(CKG220 / SUMIFS(Aux_Totales!$N:$N, Aux_Totales!$F:$F, $F224, Aux_Totales!$A:$A,#REF!), 0))</f>
        <v/>
      </c>
      <c r="CKH224" s="19" t="str">
        <f>IF(CKH220 = "", "", IFERROR(CKH220 / SUMIFS(Aux_Totales!$N:$N, Aux_Totales!$F:$F, $F224, Aux_Totales!$A:$A,#REF!), 0))</f>
        <v/>
      </c>
      <c r="CKI224" s="19" t="str">
        <f>IF(CKI220 = "", "", IFERROR(CKI220 / SUMIFS(Aux_Totales!$N:$N, Aux_Totales!$F:$F, $F224, Aux_Totales!$A:$A,#REF!), 0))</f>
        <v/>
      </c>
      <c r="CKJ224" s="19" t="str">
        <f>IF(CKJ220 = "", "", IFERROR(CKJ220 / SUMIFS(Aux_Totales!$N:$N, Aux_Totales!$F:$F, $F224, Aux_Totales!$A:$A,#REF!), 0))</f>
        <v/>
      </c>
      <c r="CKK224" s="19" t="str">
        <f>IF(CKK220 = "", "", IFERROR(CKK220 / SUMIFS(Aux_Totales!$N:$N, Aux_Totales!$F:$F, $F224, Aux_Totales!$A:$A,#REF!), 0))</f>
        <v/>
      </c>
      <c r="CKL224" s="19" t="str">
        <f>IF(CKL220 = "", "", IFERROR(CKL220 / SUMIFS(Aux_Totales!$N:$N, Aux_Totales!$F:$F, $F224, Aux_Totales!$A:$A,#REF!), 0))</f>
        <v/>
      </c>
      <c r="CKM224" s="19" t="str">
        <f>IF(CKM220 = "", "", IFERROR(CKM220 / SUMIFS(Aux_Totales!$N:$N, Aux_Totales!$F:$F, $F224, Aux_Totales!$A:$A,#REF!), 0))</f>
        <v/>
      </c>
      <c r="CKN224" s="19" t="str">
        <f>IF(CKN220 = "", "", IFERROR(CKN220 / SUMIFS(Aux_Totales!$N:$N, Aux_Totales!$F:$F, $F224, Aux_Totales!$A:$A,#REF!), 0))</f>
        <v/>
      </c>
      <c r="CKO224" s="19" t="str">
        <f>IF(CKO220 = "", "", IFERROR(CKO220 / SUMIFS(Aux_Totales!$N:$N, Aux_Totales!$F:$F, $F224, Aux_Totales!$A:$A,#REF!), 0))</f>
        <v/>
      </c>
      <c r="CKP224" s="19" t="str">
        <f>IF(CKP220 = "", "", IFERROR(CKP220 / SUMIFS(Aux_Totales!$N:$N, Aux_Totales!$F:$F, $F224, Aux_Totales!$A:$A,#REF!), 0))</f>
        <v/>
      </c>
      <c r="CKQ224" s="19" t="str">
        <f>IF(CKQ220 = "", "", IFERROR(CKQ220 / SUMIFS(Aux_Totales!$N:$N, Aux_Totales!$F:$F, $F224, Aux_Totales!$A:$A,#REF!), 0))</f>
        <v/>
      </c>
      <c r="CKR224" s="19" t="str">
        <f>IF(CKR220 = "", "", IFERROR(CKR220 / SUMIFS(Aux_Totales!$N:$N, Aux_Totales!$F:$F, $F224, Aux_Totales!$A:$A,#REF!), 0))</f>
        <v/>
      </c>
      <c r="CKS224" s="19" t="str">
        <f>IF(CKS220 = "", "", IFERROR(CKS220 / SUMIFS(Aux_Totales!$N:$N, Aux_Totales!$F:$F, $F224, Aux_Totales!$A:$A,#REF!), 0))</f>
        <v/>
      </c>
      <c r="CKT224" s="19" t="str">
        <f>IF(CKT220 = "", "", IFERROR(CKT220 / SUMIFS(Aux_Totales!$N:$N, Aux_Totales!$F:$F, $F224, Aux_Totales!$A:$A,#REF!), 0))</f>
        <v/>
      </c>
      <c r="CKU224" s="19" t="str">
        <f>IF(CKU220 = "", "", IFERROR(CKU220 / SUMIFS(Aux_Totales!$N:$N, Aux_Totales!$F:$F, $F224, Aux_Totales!$A:$A,#REF!), 0))</f>
        <v/>
      </c>
      <c r="CKV224" s="19" t="str">
        <f>IF(CKV220 = "", "", IFERROR(CKV220 / SUMIFS(Aux_Totales!$N:$N, Aux_Totales!$F:$F, $F224, Aux_Totales!$A:$A,#REF!), 0))</f>
        <v/>
      </c>
      <c r="CKW224" s="19" t="str">
        <f>IF(CKW220 = "", "", IFERROR(CKW220 / SUMIFS(Aux_Totales!$N:$N, Aux_Totales!$F:$F, $F224, Aux_Totales!$A:$A,#REF!), 0))</f>
        <v/>
      </c>
      <c r="CKX224" s="19" t="str">
        <f>IF(CKX220 = "", "", IFERROR(CKX220 / SUMIFS(Aux_Totales!$N:$N, Aux_Totales!$F:$F, $F224, Aux_Totales!$A:$A,#REF!), 0))</f>
        <v/>
      </c>
      <c r="CKY224" s="19" t="str">
        <f>IF(CKY220 = "", "", IFERROR(CKY220 / SUMIFS(Aux_Totales!$N:$N, Aux_Totales!$F:$F, $F224, Aux_Totales!$A:$A,#REF!), 0))</f>
        <v/>
      </c>
      <c r="CKZ224" s="19" t="str">
        <f>IF(CKZ220 = "", "", IFERROR(CKZ220 / SUMIFS(Aux_Totales!$N:$N, Aux_Totales!$F:$F, $F224, Aux_Totales!$A:$A,#REF!), 0))</f>
        <v/>
      </c>
      <c r="CLA224" s="19" t="str">
        <f>IF(CLA220 = "", "", IFERROR(CLA220 / SUMIFS(Aux_Totales!$N:$N, Aux_Totales!$F:$F, $F224, Aux_Totales!$A:$A,#REF!), 0))</f>
        <v/>
      </c>
      <c r="CLB224" s="19" t="str">
        <f>IF(CLB220 = "", "", IFERROR(CLB220 / SUMIFS(Aux_Totales!$N:$N, Aux_Totales!$F:$F, $F224, Aux_Totales!$A:$A,#REF!), 0))</f>
        <v/>
      </c>
      <c r="CLC224" s="19" t="str">
        <f>IF(CLC220 = "", "", IFERROR(CLC220 / SUMIFS(Aux_Totales!$N:$N, Aux_Totales!$F:$F, $F224, Aux_Totales!$A:$A,#REF!), 0))</f>
        <v/>
      </c>
      <c r="CLD224" s="19" t="str">
        <f>IF(CLD220 = "", "", IFERROR(CLD220 / SUMIFS(Aux_Totales!$N:$N, Aux_Totales!$F:$F, $F224, Aux_Totales!$A:$A,#REF!), 0))</f>
        <v/>
      </c>
      <c r="CLE224" s="19" t="str">
        <f>IF(CLE220 = "", "", IFERROR(CLE220 / SUMIFS(Aux_Totales!$N:$N, Aux_Totales!$F:$F, $F224, Aux_Totales!$A:$A,#REF!), 0))</f>
        <v/>
      </c>
      <c r="CLF224" s="19" t="str">
        <f>IF(CLF220 = "", "", IFERROR(CLF220 / SUMIFS(Aux_Totales!$N:$N, Aux_Totales!$F:$F, $F224, Aux_Totales!$A:$A,#REF!), 0))</f>
        <v/>
      </c>
      <c r="CLG224" s="19" t="str">
        <f>IF(CLG220 = "", "", IFERROR(CLG220 / SUMIFS(Aux_Totales!$N:$N, Aux_Totales!$F:$F, $F224, Aux_Totales!$A:$A,#REF!), 0))</f>
        <v/>
      </c>
      <c r="CLH224" s="19" t="str">
        <f>IF(CLH220 = "", "", IFERROR(CLH220 / SUMIFS(Aux_Totales!$N:$N, Aux_Totales!$F:$F, $F224, Aux_Totales!$A:$A,#REF!), 0))</f>
        <v/>
      </c>
      <c r="CLI224" s="19" t="str">
        <f>IF(CLI220 = "", "", IFERROR(CLI220 / SUMIFS(Aux_Totales!$N:$N, Aux_Totales!$F:$F, $F224, Aux_Totales!$A:$A,#REF!), 0))</f>
        <v/>
      </c>
      <c r="CLJ224" s="19" t="str">
        <f>IF(CLJ220 = "", "", IFERROR(CLJ220 / SUMIFS(Aux_Totales!$N:$N, Aux_Totales!$F:$F, $F224, Aux_Totales!$A:$A,#REF!), 0))</f>
        <v/>
      </c>
      <c r="CLK224" s="19" t="str">
        <f>IF(CLK220 = "", "", IFERROR(CLK220 / SUMIFS(Aux_Totales!$N:$N, Aux_Totales!$F:$F, $F224, Aux_Totales!$A:$A,#REF!), 0))</f>
        <v/>
      </c>
      <c r="CLL224" s="19" t="str">
        <f>IF(CLL220 = "", "", IFERROR(CLL220 / SUMIFS(Aux_Totales!$N:$N, Aux_Totales!$F:$F, $F224, Aux_Totales!$A:$A,#REF!), 0))</f>
        <v/>
      </c>
      <c r="CLM224" s="19" t="str">
        <f>IF(CLM220 = "", "", IFERROR(CLM220 / SUMIFS(Aux_Totales!$N:$N, Aux_Totales!$F:$F, $F224, Aux_Totales!$A:$A,#REF!), 0))</f>
        <v/>
      </c>
      <c r="CLN224" s="19" t="str">
        <f>IF(CLN220 = "", "", IFERROR(CLN220 / SUMIFS(Aux_Totales!$N:$N, Aux_Totales!$F:$F, $F224, Aux_Totales!$A:$A,#REF!), 0))</f>
        <v/>
      </c>
      <c r="CLO224" s="19" t="str">
        <f>IF(CLO220 = "", "", IFERROR(CLO220 / SUMIFS(Aux_Totales!$N:$N, Aux_Totales!$F:$F, $F224, Aux_Totales!$A:$A,#REF!), 0))</f>
        <v/>
      </c>
      <c r="CLP224" s="19" t="str">
        <f>IF(CLP220 = "", "", IFERROR(CLP220 / SUMIFS(Aux_Totales!$N:$N, Aux_Totales!$F:$F, $F224, Aux_Totales!$A:$A,#REF!), 0))</f>
        <v/>
      </c>
      <c r="CLQ224" s="19" t="str">
        <f>IF(CLQ220 = "", "", IFERROR(CLQ220 / SUMIFS(Aux_Totales!$N:$N, Aux_Totales!$F:$F, $F224, Aux_Totales!$A:$A,#REF!), 0))</f>
        <v/>
      </c>
      <c r="CLR224" s="19" t="str">
        <f>IF(CLR220 = "", "", IFERROR(CLR220 / SUMIFS(Aux_Totales!$N:$N, Aux_Totales!$F:$F, $F224, Aux_Totales!$A:$A,#REF!), 0))</f>
        <v/>
      </c>
      <c r="CLS224" s="19" t="str">
        <f>IF(CLS220 = "", "", IFERROR(CLS220 / SUMIFS(Aux_Totales!$N:$N, Aux_Totales!$F:$F, $F224, Aux_Totales!$A:$A,#REF!), 0))</f>
        <v/>
      </c>
      <c r="CLT224" s="19" t="str">
        <f>IF(CLT220 = "", "", IFERROR(CLT220 / SUMIFS(Aux_Totales!$N:$N, Aux_Totales!$F:$F, $F224, Aux_Totales!$A:$A,#REF!), 0))</f>
        <v/>
      </c>
      <c r="CLU224" s="19" t="str">
        <f>IF(CLU220 = "", "", IFERROR(CLU220 / SUMIFS(Aux_Totales!$N:$N, Aux_Totales!$F:$F, $F224, Aux_Totales!$A:$A,#REF!), 0))</f>
        <v/>
      </c>
      <c r="CLV224" s="19" t="str">
        <f>IF(CLV220 = "", "", IFERROR(CLV220 / SUMIFS(Aux_Totales!$N:$N, Aux_Totales!$F:$F, $F224, Aux_Totales!$A:$A,#REF!), 0))</f>
        <v/>
      </c>
      <c r="CLW224" s="19" t="str">
        <f>IF(CLW220 = "", "", IFERROR(CLW220 / SUMIFS(Aux_Totales!$N:$N, Aux_Totales!$F:$F, $F224, Aux_Totales!$A:$A,#REF!), 0))</f>
        <v/>
      </c>
      <c r="CLX224" s="19" t="str">
        <f>IF(CLX220 = "", "", IFERROR(CLX220 / SUMIFS(Aux_Totales!$N:$N, Aux_Totales!$F:$F, $F224, Aux_Totales!$A:$A,#REF!), 0))</f>
        <v/>
      </c>
      <c r="CLY224" s="19" t="str">
        <f>IF(CLY220 = "", "", IFERROR(CLY220 / SUMIFS(Aux_Totales!$N:$N, Aux_Totales!$F:$F, $F224, Aux_Totales!$A:$A,#REF!), 0))</f>
        <v/>
      </c>
      <c r="CLZ224" s="19" t="str">
        <f>IF(CLZ220 = "", "", IFERROR(CLZ220 / SUMIFS(Aux_Totales!$N:$N, Aux_Totales!$F:$F, $F224, Aux_Totales!$A:$A,#REF!), 0))</f>
        <v/>
      </c>
      <c r="CMA224" s="19" t="str">
        <f>IF(CMA220 = "", "", IFERROR(CMA220 / SUMIFS(Aux_Totales!$N:$N, Aux_Totales!$F:$F, $F224, Aux_Totales!$A:$A,#REF!), 0))</f>
        <v/>
      </c>
      <c r="CMB224" s="19" t="str">
        <f>IF(CMB220 = "", "", IFERROR(CMB220 / SUMIFS(Aux_Totales!$N:$N, Aux_Totales!$F:$F, $F224, Aux_Totales!$A:$A,#REF!), 0))</f>
        <v/>
      </c>
      <c r="CMC224" s="19" t="str">
        <f>IF(CMC220 = "", "", IFERROR(CMC220 / SUMIFS(Aux_Totales!$N:$N, Aux_Totales!$F:$F, $F224, Aux_Totales!$A:$A,#REF!), 0))</f>
        <v/>
      </c>
      <c r="CMD224" s="19" t="str">
        <f>IF(CMD220 = "", "", IFERROR(CMD220 / SUMIFS(Aux_Totales!$N:$N, Aux_Totales!$F:$F, $F224, Aux_Totales!$A:$A,#REF!), 0))</f>
        <v/>
      </c>
      <c r="CME224" s="19" t="str">
        <f>IF(CME220 = "", "", IFERROR(CME220 / SUMIFS(Aux_Totales!$N:$N, Aux_Totales!$F:$F, $F224, Aux_Totales!$A:$A,#REF!), 0))</f>
        <v/>
      </c>
      <c r="CMF224" s="19" t="str">
        <f>IF(CMF220 = "", "", IFERROR(CMF220 / SUMIFS(Aux_Totales!$N:$N, Aux_Totales!$F:$F, $F224, Aux_Totales!$A:$A,#REF!), 0))</f>
        <v/>
      </c>
      <c r="CMG224" s="19" t="str">
        <f>IF(CMG220 = "", "", IFERROR(CMG220 / SUMIFS(Aux_Totales!$N:$N, Aux_Totales!$F:$F, $F224, Aux_Totales!$A:$A,#REF!), 0))</f>
        <v/>
      </c>
      <c r="CMH224" s="19" t="str">
        <f>IF(CMH220 = "", "", IFERROR(CMH220 / SUMIFS(Aux_Totales!$N:$N, Aux_Totales!$F:$F, $F224, Aux_Totales!$A:$A,#REF!), 0))</f>
        <v/>
      </c>
      <c r="CMI224" s="19" t="str">
        <f>IF(CMI220 = "", "", IFERROR(CMI220 / SUMIFS(Aux_Totales!$N:$N, Aux_Totales!$F:$F, $F224, Aux_Totales!$A:$A,#REF!), 0))</f>
        <v/>
      </c>
      <c r="CMJ224" s="19" t="str">
        <f>IF(CMJ220 = "", "", IFERROR(CMJ220 / SUMIFS(Aux_Totales!$N:$N, Aux_Totales!$F:$F, $F224, Aux_Totales!$A:$A,#REF!), 0))</f>
        <v/>
      </c>
      <c r="CMK224" s="19" t="str">
        <f>IF(CMK220 = "", "", IFERROR(CMK220 / SUMIFS(Aux_Totales!$N:$N, Aux_Totales!$F:$F, $F224, Aux_Totales!$A:$A,#REF!), 0))</f>
        <v/>
      </c>
      <c r="CML224" s="19" t="str">
        <f>IF(CML220 = "", "", IFERROR(CML220 / SUMIFS(Aux_Totales!$N:$N, Aux_Totales!$F:$F, $F224, Aux_Totales!$A:$A,#REF!), 0))</f>
        <v/>
      </c>
      <c r="CMM224" s="19" t="str">
        <f>IF(CMM220 = "", "", IFERROR(CMM220 / SUMIFS(Aux_Totales!$N:$N, Aux_Totales!$F:$F, $F224, Aux_Totales!$A:$A,#REF!), 0))</f>
        <v/>
      </c>
      <c r="CMN224" s="19" t="str">
        <f>IF(CMN220 = "", "", IFERROR(CMN220 / SUMIFS(Aux_Totales!$N:$N, Aux_Totales!$F:$F, $F224, Aux_Totales!$A:$A,#REF!), 0))</f>
        <v/>
      </c>
      <c r="CMO224" s="19" t="str">
        <f>IF(CMO220 = "", "", IFERROR(CMO220 / SUMIFS(Aux_Totales!$N:$N, Aux_Totales!$F:$F, $F224, Aux_Totales!$A:$A,#REF!), 0))</f>
        <v/>
      </c>
      <c r="CMP224" s="19" t="str">
        <f>IF(CMP220 = "", "", IFERROR(CMP220 / SUMIFS(Aux_Totales!$N:$N, Aux_Totales!$F:$F, $F224, Aux_Totales!$A:$A,#REF!), 0))</f>
        <v/>
      </c>
      <c r="CMQ224" s="19" t="str">
        <f>IF(CMQ220 = "", "", IFERROR(CMQ220 / SUMIFS(Aux_Totales!$N:$N, Aux_Totales!$F:$F, $F224, Aux_Totales!$A:$A,#REF!), 0))</f>
        <v/>
      </c>
      <c r="CMR224" s="19" t="str">
        <f>IF(CMR220 = "", "", IFERROR(CMR220 / SUMIFS(Aux_Totales!$N:$N, Aux_Totales!$F:$F, $F224, Aux_Totales!$A:$A,#REF!), 0))</f>
        <v/>
      </c>
      <c r="CMS224" s="19" t="str">
        <f>IF(CMS220 = "", "", IFERROR(CMS220 / SUMIFS(Aux_Totales!$N:$N, Aux_Totales!$F:$F, $F224, Aux_Totales!$A:$A,#REF!), 0))</f>
        <v/>
      </c>
      <c r="CMT224" s="19" t="str">
        <f>IF(CMT220 = "", "", IFERROR(CMT220 / SUMIFS(Aux_Totales!$N:$N, Aux_Totales!$F:$F, $F224, Aux_Totales!$A:$A,#REF!), 0))</f>
        <v/>
      </c>
      <c r="CMU224" s="19" t="str">
        <f>IF(CMU220 = "", "", IFERROR(CMU220 / SUMIFS(Aux_Totales!$N:$N, Aux_Totales!$F:$F, $F224, Aux_Totales!$A:$A,#REF!), 0))</f>
        <v/>
      </c>
      <c r="CMV224" s="19" t="str">
        <f>IF(CMV220 = "", "", IFERROR(CMV220 / SUMIFS(Aux_Totales!$N:$N, Aux_Totales!$F:$F, $F224, Aux_Totales!$A:$A,#REF!), 0))</f>
        <v/>
      </c>
      <c r="CMW224" s="19" t="str">
        <f>IF(CMW220 = "", "", IFERROR(CMW220 / SUMIFS(Aux_Totales!$N:$N, Aux_Totales!$F:$F, $F224, Aux_Totales!$A:$A,#REF!), 0))</f>
        <v/>
      </c>
      <c r="CMX224" s="19" t="str">
        <f>IF(CMX220 = "", "", IFERROR(CMX220 / SUMIFS(Aux_Totales!$N:$N, Aux_Totales!$F:$F, $F224, Aux_Totales!$A:$A,#REF!), 0))</f>
        <v/>
      </c>
      <c r="CMY224" s="19" t="str">
        <f>IF(CMY220 = "", "", IFERROR(CMY220 / SUMIFS(Aux_Totales!$N:$N, Aux_Totales!$F:$F, $F224, Aux_Totales!$A:$A,#REF!), 0))</f>
        <v/>
      </c>
      <c r="CMZ224" s="19" t="str">
        <f>IF(CMZ220 = "", "", IFERROR(CMZ220 / SUMIFS(Aux_Totales!$N:$N, Aux_Totales!$F:$F, $F224, Aux_Totales!$A:$A,#REF!), 0))</f>
        <v/>
      </c>
      <c r="CNA224" s="19" t="str">
        <f>IF(CNA220 = "", "", IFERROR(CNA220 / SUMIFS(Aux_Totales!$N:$N, Aux_Totales!$F:$F, $F224, Aux_Totales!$A:$A,#REF!), 0))</f>
        <v/>
      </c>
      <c r="CNB224" s="19" t="str">
        <f>IF(CNB220 = "", "", IFERROR(CNB220 / SUMIFS(Aux_Totales!$N:$N, Aux_Totales!$F:$F, $F224, Aux_Totales!$A:$A,#REF!), 0))</f>
        <v/>
      </c>
      <c r="CNC224" s="19" t="str">
        <f>IF(CNC220 = "", "", IFERROR(CNC220 / SUMIFS(Aux_Totales!$N:$N, Aux_Totales!$F:$F, $F224, Aux_Totales!$A:$A,#REF!), 0))</f>
        <v/>
      </c>
      <c r="CND224" s="19" t="str">
        <f>IF(CND220 = "", "", IFERROR(CND220 / SUMIFS(Aux_Totales!$N:$N, Aux_Totales!$F:$F, $F224, Aux_Totales!$A:$A,#REF!), 0))</f>
        <v/>
      </c>
      <c r="CNE224" s="19" t="str">
        <f>IF(CNE220 = "", "", IFERROR(CNE220 / SUMIFS(Aux_Totales!$N:$N, Aux_Totales!$F:$F, $F224, Aux_Totales!$A:$A,#REF!), 0))</f>
        <v/>
      </c>
      <c r="CNF224" s="19" t="str">
        <f>IF(CNF220 = "", "", IFERROR(CNF220 / SUMIFS(Aux_Totales!$N:$N, Aux_Totales!$F:$F, $F224, Aux_Totales!$A:$A,#REF!), 0))</f>
        <v/>
      </c>
      <c r="CNG224" s="19" t="str">
        <f>IF(CNG220 = "", "", IFERROR(CNG220 / SUMIFS(Aux_Totales!$N:$N, Aux_Totales!$F:$F, $F224, Aux_Totales!$A:$A,#REF!), 0))</f>
        <v/>
      </c>
      <c r="CNH224" s="19" t="str">
        <f>IF(CNH220 = "", "", IFERROR(CNH220 / SUMIFS(Aux_Totales!$N:$N, Aux_Totales!$F:$F, $F224, Aux_Totales!$A:$A,#REF!), 0))</f>
        <v/>
      </c>
      <c r="CNI224" s="19" t="str">
        <f>IF(CNI220 = "", "", IFERROR(CNI220 / SUMIFS(Aux_Totales!$N:$N, Aux_Totales!$F:$F, $F224, Aux_Totales!$A:$A,#REF!), 0))</f>
        <v/>
      </c>
      <c r="CNJ224" s="19" t="str">
        <f>IF(CNJ220 = "", "", IFERROR(CNJ220 / SUMIFS(Aux_Totales!$N:$N, Aux_Totales!$F:$F, $F224, Aux_Totales!$A:$A,#REF!), 0))</f>
        <v/>
      </c>
      <c r="CNK224" s="19" t="str">
        <f>IF(CNK220 = "", "", IFERROR(CNK220 / SUMIFS(Aux_Totales!$N:$N, Aux_Totales!$F:$F, $F224, Aux_Totales!$A:$A,#REF!), 0))</f>
        <v/>
      </c>
      <c r="CNL224" s="19" t="str">
        <f>IF(CNL220 = "", "", IFERROR(CNL220 / SUMIFS(Aux_Totales!$N:$N, Aux_Totales!$F:$F, $F224, Aux_Totales!$A:$A,#REF!), 0))</f>
        <v/>
      </c>
      <c r="CNM224" s="19" t="str">
        <f>IF(CNM220 = "", "", IFERROR(CNM220 / SUMIFS(Aux_Totales!$N:$N, Aux_Totales!$F:$F, $F224, Aux_Totales!$A:$A,#REF!), 0))</f>
        <v/>
      </c>
      <c r="CNN224" s="19" t="str">
        <f>IF(CNN220 = "", "", IFERROR(CNN220 / SUMIFS(Aux_Totales!$N:$N, Aux_Totales!$F:$F, $F224, Aux_Totales!$A:$A,#REF!), 0))</f>
        <v/>
      </c>
      <c r="CNO224" s="19" t="str">
        <f>IF(CNO220 = "", "", IFERROR(CNO220 / SUMIFS(Aux_Totales!$N:$N, Aux_Totales!$F:$F, $F224, Aux_Totales!$A:$A,#REF!), 0))</f>
        <v/>
      </c>
      <c r="CNP224" s="19" t="str">
        <f>IF(CNP220 = "", "", IFERROR(CNP220 / SUMIFS(Aux_Totales!$N:$N, Aux_Totales!$F:$F, $F224, Aux_Totales!$A:$A,#REF!), 0))</f>
        <v/>
      </c>
      <c r="CNQ224" s="19" t="str">
        <f>IF(CNQ220 = "", "", IFERROR(CNQ220 / SUMIFS(Aux_Totales!$N:$N, Aux_Totales!$F:$F, $F224, Aux_Totales!$A:$A,#REF!), 0))</f>
        <v/>
      </c>
      <c r="CNR224" s="19" t="str">
        <f>IF(CNR220 = "", "", IFERROR(CNR220 / SUMIFS(Aux_Totales!$N:$N, Aux_Totales!$F:$F, $F224, Aux_Totales!$A:$A,#REF!), 0))</f>
        <v/>
      </c>
      <c r="CNS224" s="19" t="str">
        <f>IF(CNS220 = "", "", IFERROR(CNS220 / SUMIFS(Aux_Totales!$N:$N, Aux_Totales!$F:$F, $F224, Aux_Totales!$A:$A,#REF!), 0))</f>
        <v/>
      </c>
      <c r="CNT224" s="19" t="str">
        <f>IF(CNT220 = "", "", IFERROR(CNT220 / SUMIFS(Aux_Totales!$N:$N, Aux_Totales!$F:$F, $F224, Aux_Totales!$A:$A,#REF!), 0))</f>
        <v/>
      </c>
      <c r="CNU224" s="19" t="str">
        <f>IF(CNU220 = "", "", IFERROR(CNU220 / SUMIFS(Aux_Totales!$N:$N, Aux_Totales!$F:$F, $F224, Aux_Totales!$A:$A,#REF!), 0))</f>
        <v/>
      </c>
      <c r="CNV224" s="19" t="str">
        <f>IF(CNV220 = "", "", IFERROR(CNV220 / SUMIFS(Aux_Totales!$N:$N, Aux_Totales!$F:$F, $F224, Aux_Totales!$A:$A,#REF!), 0))</f>
        <v/>
      </c>
      <c r="CNW224" s="19" t="str">
        <f>IF(CNW220 = "", "", IFERROR(CNW220 / SUMIFS(Aux_Totales!$N:$N, Aux_Totales!$F:$F, $F224, Aux_Totales!$A:$A,#REF!), 0))</f>
        <v/>
      </c>
      <c r="CNX224" s="19" t="str">
        <f>IF(CNX220 = "", "", IFERROR(CNX220 / SUMIFS(Aux_Totales!$N:$N, Aux_Totales!$F:$F, $F224, Aux_Totales!$A:$A,#REF!), 0))</f>
        <v/>
      </c>
      <c r="CNY224" s="19" t="str">
        <f>IF(CNY220 = "", "", IFERROR(CNY220 / SUMIFS(Aux_Totales!$N:$N, Aux_Totales!$F:$F, $F224, Aux_Totales!$A:$A,#REF!), 0))</f>
        <v/>
      </c>
      <c r="CNZ224" s="19" t="str">
        <f>IF(CNZ220 = "", "", IFERROR(CNZ220 / SUMIFS(Aux_Totales!$N:$N, Aux_Totales!$F:$F, $F224, Aux_Totales!$A:$A,#REF!), 0))</f>
        <v/>
      </c>
      <c r="COA224" s="19" t="str">
        <f>IF(COA220 = "", "", IFERROR(COA220 / SUMIFS(Aux_Totales!$N:$N, Aux_Totales!$F:$F, $F224, Aux_Totales!$A:$A,#REF!), 0))</f>
        <v/>
      </c>
      <c r="COB224" s="19" t="str">
        <f>IF(COB220 = "", "", IFERROR(COB220 / SUMIFS(Aux_Totales!$N:$N, Aux_Totales!$F:$F, $F224, Aux_Totales!$A:$A,#REF!), 0))</f>
        <v/>
      </c>
      <c r="COC224" s="19" t="str">
        <f>IF(COC220 = "", "", IFERROR(COC220 / SUMIFS(Aux_Totales!$N:$N, Aux_Totales!$F:$F, $F224, Aux_Totales!$A:$A,#REF!), 0))</f>
        <v/>
      </c>
      <c r="COD224" s="19" t="str">
        <f>IF(COD220 = "", "", IFERROR(COD220 / SUMIFS(Aux_Totales!$N:$N, Aux_Totales!$F:$F, $F224, Aux_Totales!$A:$A,#REF!), 0))</f>
        <v/>
      </c>
      <c r="COE224" s="19" t="str">
        <f>IF(COE220 = "", "", IFERROR(COE220 / SUMIFS(Aux_Totales!$N:$N, Aux_Totales!$F:$F, $F224, Aux_Totales!$A:$A,#REF!), 0))</f>
        <v/>
      </c>
      <c r="COF224" s="19" t="str">
        <f>IF(COF220 = "", "", IFERROR(COF220 / SUMIFS(Aux_Totales!$N:$N, Aux_Totales!$F:$F, $F224, Aux_Totales!$A:$A,#REF!), 0))</f>
        <v/>
      </c>
      <c r="COG224" s="19" t="str">
        <f>IF(COG220 = "", "", IFERROR(COG220 / SUMIFS(Aux_Totales!$N:$N, Aux_Totales!$F:$F, $F224, Aux_Totales!$A:$A,#REF!), 0))</f>
        <v/>
      </c>
      <c r="COH224" s="19" t="str">
        <f>IF(COH220 = "", "", IFERROR(COH220 / SUMIFS(Aux_Totales!$N:$N, Aux_Totales!$F:$F, $F224, Aux_Totales!$A:$A,#REF!), 0))</f>
        <v/>
      </c>
      <c r="COI224" s="19" t="str">
        <f>IF(COI220 = "", "", IFERROR(COI220 / SUMIFS(Aux_Totales!$N:$N, Aux_Totales!$F:$F, $F224, Aux_Totales!$A:$A,#REF!), 0))</f>
        <v/>
      </c>
      <c r="COJ224" s="19" t="str">
        <f>IF(COJ220 = "", "", IFERROR(COJ220 / SUMIFS(Aux_Totales!$N:$N, Aux_Totales!$F:$F, $F224, Aux_Totales!$A:$A,#REF!), 0))</f>
        <v/>
      </c>
      <c r="COK224" s="19" t="str">
        <f>IF(COK220 = "", "", IFERROR(COK220 / SUMIFS(Aux_Totales!$N:$N, Aux_Totales!$F:$F, $F224, Aux_Totales!$A:$A,#REF!), 0))</f>
        <v/>
      </c>
      <c r="COL224" s="19" t="str">
        <f>IF(COL220 = "", "", IFERROR(COL220 / SUMIFS(Aux_Totales!$N:$N, Aux_Totales!$F:$F, $F224, Aux_Totales!$A:$A,#REF!), 0))</f>
        <v/>
      </c>
      <c r="COM224" s="19" t="str">
        <f>IF(COM220 = "", "", IFERROR(COM220 / SUMIFS(Aux_Totales!$N:$N, Aux_Totales!$F:$F, $F224, Aux_Totales!$A:$A,#REF!), 0))</f>
        <v/>
      </c>
      <c r="CON224" s="19" t="str">
        <f>IF(CON220 = "", "", IFERROR(CON220 / SUMIFS(Aux_Totales!$N:$N, Aux_Totales!$F:$F, $F224, Aux_Totales!$A:$A,#REF!), 0))</f>
        <v/>
      </c>
      <c r="COO224" s="19" t="str">
        <f>IF(COO220 = "", "", IFERROR(COO220 / SUMIFS(Aux_Totales!$N:$N, Aux_Totales!$F:$F, $F224, Aux_Totales!$A:$A,#REF!), 0))</f>
        <v/>
      </c>
      <c r="COP224" s="19" t="str">
        <f>IF(COP220 = "", "", IFERROR(COP220 / SUMIFS(Aux_Totales!$N:$N, Aux_Totales!$F:$F, $F224, Aux_Totales!$A:$A,#REF!), 0))</f>
        <v/>
      </c>
      <c r="COQ224" s="19" t="str">
        <f>IF(COQ220 = "", "", IFERROR(COQ220 / SUMIFS(Aux_Totales!$N:$N, Aux_Totales!$F:$F, $F224, Aux_Totales!$A:$A,#REF!), 0))</f>
        <v/>
      </c>
      <c r="COR224" s="19" t="str">
        <f>IF(COR220 = "", "", IFERROR(COR220 / SUMIFS(Aux_Totales!$N:$N, Aux_Totales!$F:$F, $F224, Aux_Totales!$A:$A,#REF!), 0))</f>
        <v/>
      </c>
      <c r="COS224" s="19" t="str">
        <f>IF(COS220 = "", "", IFERROR(COS220 / SUMIFS(Aux_Totales!$N:$N, Aux_Totales!$F:$F, $F224, Aux_Totales!$A:$A,#REF!), 0))</f>
        <v/>
      </c>
      <c r="COT224" s="19" t="str">
        <f>IF(COT220 = "", "", IFERROR(COT220 / SUMIFS(Aux_Totales!$N:$N, Aux_Totales!$F:$F, $F224, Aux_Totales!$A:$A,#REF!), 0))</f>
        <v/>
      </c>
      <c r="COU224" s="19" t="str">
        <f>IF(COU220 = "", "", IFERROR(COU220 / SUMIFS(Aux_Totales!$N:$N, Aux_Totales!$F:$F, $F224, Aux_Totales!$A:$A,#REF!), 0))</f>
        <v/>
      </c>
      <c r="COV224" s="19" t="str">
        <f>IF(COV220 = "", "", IFERROR(COV220 / SUMIFS(Aux_Totales!$N:$N, Aux_Totales!$F:$F, $F224, Aux_Totales!$A:$A,#REF!), 0))</f>
        <v/>
      </c>
      <c r="COW224" s="19" t="str">
        <f>IF(COW220 = "", "", IFERROR(COW220 / SUMIFS(Aux_Totales!$N:$N, Aux_Totales!$F:$F, $F224, Aux_Totales!$A:$A,#REF!), 0))</f>
        <v/>
      </c>
      <c r="COX224" s="19" t="str">
        <f>IF(COX220 = "", "", IFERROR(COX220 / SUMIFS(Aux_Totales!$N:$N, Aux_Totales!$F:$F, $F224, Aux_Totales!$A:$A,#REF!), 0))</f>
        <v/>
      </c>
      <c r="COY224" s="19" t="str">
        <f>IF(COY220 = "", "", IFERROR(COY220 / SUMIFS(Aux_Totales!$N:$N, Aux_Totales!$F:$F, $F224, Aux_Totales!$A:$A,#REF!), 0))</f>
        <v/>
      </c>
      <c r="COZ224" s="19" t="str">
        <f>IF(COZ220 = "", "", IFERROR(COZ220 / SUMIFS(Aux_Totales!$N:$N, Aux_Totales!$F:$F, $F224, Aux_Totales!$A:$A,#REF!), 0))</f>
        <v/>
      </c>
      <c r="CPA224" s="19" t="str">
        <f>IF(CPA220 = "", "", IFERROR(CPA220 / SUMIFS(Aux_Totales!$N:$N, Aux_Totales!$F:$F, $F224, Aux_Totales!$A:$A,#REF!), 0))</f>
        <v/>
      </c>
      <c r="CPB224" s="19" t="str">
        <f>IF(CPB220 = "", "", IFERROR(CPB220 / SUMIFS(Aux_Totales!$N:$N, Aux_Totales!$F:$F, $F224, Aux_Totales!$A:$A,#REF!), 0))</f>
        <v/>
      </c>
      <c r="CPC224" s="19" t="str">
        <f>IF(CPC220 = "", "", IFERROR(CPC220 / SUMIFS(Aux_Totales!$N:$N, Aux_Totales!$F:$F, $F224, Aux_Totales!$A:$A,#REF!), 0))</f>
        <v/>
      </c>
      <c r="CPD224" s="19" t="str">
        <f>IF(CPD220 = "", "", IFERROR(CPD220 / SUMIFS(Aux_Totales!$N:$N, Aux_Totales!$F:$F, $F224, Aux_Totales!$A:$A,#REF!), 0))</f>
        <v/>
      </c>
      <c r="CPE224" s="19" t="str">
        <f>IF(CPE220 = "", "", IFERROR(CPE220 / SUMIFS(Aux_Totales!$N:$N, Aux_Totales!$F:$F, $F224, Aux_Totales!$A:$A,#REF!), 0))</f>
        <v/>
      </c>
      <c r="CPF224" s="19" t="str">
        <f>IF(CPF220 = "", "", IFERROR(CPF220 / SUMIFS(Aux_Totales!$N:$N, Aux_Totales!$F:$F, $F224, Aux_Totales!$A:$A,#REF!), 0))</f>
        <v/>
      </c>
      <c r="CPG224" s="19" t="str">
        <f>IF(CPG220 = "", "", IFERROR(CPG220 / SUMIFS(Aux_Totales!$N:$N, Aux_Totales!$F:$F, $F224, Aux_Totales!$A:$A,#REF!), 0))</f>
        <v/>
      </c>
      <c r="CPH224" s="19" t="str">
        <f>IF(CPH220 = "", "", IFERROR(CPH220 / SUMIFS(Aux_Totales!$N:$N, Aux_Totales!$F:$F, $F224, Aux_Totales!$A:$A,#REF!), 0))</f>
        <v/>
      </c>
      <c r="CPI224" s="19" t="str">
        <f>IF(CPI220 = "", "", IFERROR(CPI220 / SUMIFS(Aux_Totales!$N:$N, Aux_Totales!$F:$F, $F224, Aux_Totales!$A:$A,#REF!), 0))</f>
        <v/>
      </c>
      <c r="CPJ224" s="19" t="str">
        <f>IF(CPJ220 = "", "", IFERROR(CPJ220 / SUMIFS(Aux_Totales!$N:$N, Aux_Totales!$F:$F, $F224, Aux_Totales!$A:$A,#REF!), 0))</f>
        <v/>
      </c>
      <c r="CPK224" s="19" t="str">
        <f>IF(CPK220 = "", "", IFERROR(CPK220 / SUMIFS(Aux_Totales!$N:$N, Aux_Totales!$F:$F, $F224, Aux_Totales!$A:$A,#REF!), 0))</f>
        <v/>
      </c>
      <c r="CPL224" s="19" t="str">
        <f>IF(CPL220 = "", "", IFERROR(CPL220 / SUMIFS(Aux_Totales!$N:$N, Aux_Totales!$F:$F, $F224, Aux_Totales!$A:$A,#REF!), 0))</f>
        <v/>
      </c>
      <c r="CPM224" s="19" t="str">
        <f>IF(CPM220 = "", "", IFERROR(CPM220 / SUMIFS(Aux_Totales!$N:$N, Aux_Totales!$F:$F, $F224, Aux_Totales!$A:$A,#REF!), 0))</f>
        <v/>
      </c>
      <c r="CPN224" s="19" t="str">
        <f>IF(CPN220 = "", "", IFERROR(CPN220 / SUMIFS(Aux_Totales!$N:$N, Aux_Totales!$F:$F, $F224, Aux_Totales!$A:$A,#REF!), 0))</f>
        <v/>
      </c>
      <c r="CPO224" s="19" t="str">
        <f>IF(CPO220 = "", "", IFERROR(CPO220 / SUMIFS(Aux_Totales!$N:$N, Aux_Totales!$F:$F, $F224, Aux_Totales!$A:$A,#REF!), 0))</f>
        <v/>
      </c>
      <c r="CPP224" s="19" t="str">
        <f>IF(CPP220 = "", "", IFERROR(CPP220 / SUMIFS(Aux_Totales!$N:$N, Aux_Totales!$F:$F, $F224, Aux_Totales!$A:$A,#REF!), 0))</f>
        <v/>
      </c>
      <c r="CPQ224" s="19" t="str">
        <f>IF(CPQ220 = "", "", IFERROR(CPQ220 / SUMIFS(Aux_Totales!$N:$N, Aux_Totales!$F:$F, $F224, Aux_Totales!$A:$A,#REF!), 0))</f>
        <v/>
      </c>
      <c r="CPR224" s="19" t="str">
        <f>IF(CPR220 = "", "", IFERROR(CPR220 / SUMIFS(Aux_Totales!$N:$N, Aux_Totales!$F:$F, $F224, Aux_Totales!$A:$A,#REF!), 0))</f>
        <v/>
      </c>
      <c r="CPS224" s="19" t="str">
        <f>IF(CPS220 = "", "", IFERROR(CPS220 / SUMIFS(Aux_Totales!$N:$N, Aux_Totales!$F:$F, $F224, Aux_Totales!$A:$A,#REF!), 0))</f>
        <v/>
      </c>
      <c r="CPT224" s="19" t="str">
        <f>IF(CPT220 = "", "", IFERROR(CPT220 / SUMIFS(Aux_Totales!$N:$N, Aux_Totales!$F:$F, $F224, Aux_Totales!$A:$A,#REF!), 0))</f>
        <v/>
      </c>
      <c r="CPU224" s="19" t="str">
        <f>IF(CPU220 = "", "", IFERROR(CPU220 / SUMIFS(Aux_Totales!$N:$N, Aux_Totales!$F:$F, $F224, Aux_Totales!$A:$A,#REF!), 0))</f>
        <v/>
      </c>
      <c r="CPV224" s="19" t="str">
        <f>IF(CPV220 = "", "", IFERROR(CPV220 / SUMIFS(Aux_Totales!$N:$N, Aux_Totales!$F:$F, $F224, Aux_Totales!$A:$A,#REF!), 0))</f>
        <v/>
      </c>
      <c r="CPW224" s="19" t="str">
        <f>IF(CPW220 = "", "", IFERROR(CPW220 / SUMIFS(Aux_Totales!$N:$N, Aux_Totales!$F:$F, $F224, Aux_Totales!$A:$A,#REF!), 0))</f>
        <v/>
      </c>
      <c r="CPX224" s="19" t="str">
        <f>IF(CPX220 = "", "", IFERROR(CPX220 / SUMIFS(Aux_Totales!$N:$N, Aux_Totales!$F:$F, $F224, Aux_Totales!$A:$A,#REF!), 0))</f>
        <v/>
      </c>
      <c r="CPY224" s="19" t="str">
        <f>IF(CPY220 = "", "", IFERROR(CPY220 / SUMIFS(Aux_Totales!$N:$N, Aux_Totales!$F:$F, $F224, Aux_Totales!$A:$A,#REF!), 0))</f>
        <v/>
      </c>
      <c r="CPZ224" s="19" t="str">
        <f>IF(CPZ220 = "", "", IFERROR(CPZ220 / SUMIFS(Aux_Totales!$N:$N, Aux_Totales!$F:$F, $F224, Aux_Totales!$A:$A,#REF!), 0))</f>
        <v/>
      </c>
      <c r="CQA224" s="19" t="str">
        <f>IF(CQA220 = "", "", IFERROR(CQA220 / SUMIFS(Aux_Totales!$N:$N, Aux_Totales!$F:$F, $F224, Aux_Totales!$A:$A,#REF!), 0))</f>
        <v/>
      </c>
      <c r="CQB224" s="19" t="str">
        <f>IF(CQB220 = "", "", IFERROR(CQB220 / SUMIFS(Aux_Totales!$N:$N, Aux_Totales!$F:$F, $F224, Aux_Totales!$A:$A,#REF!), 0))</f>
        <v/>
      </c>
      <c r="CQC224" s="19" t="str">
        <f>IF(CQC220 = "", "", IFERROR(CQC220 / SUMIFS(Aux_Totales!$N:$N, Aux_Totales!$F:$F, $F224, Aux_Totales!$A:$A,#REF!), 0))</f>
        <v/>
      </c>
      <c r="CQD224" s="19" t="str">
        <f>IF(CQD220 = "", "", IFERROR(CQD220 / SUMIFS(Aux_Totales!$N:$N, Aux_Totales!$F:$F, $F224, Aux_Totales!$A:$A,#REF!), 0))</f>
        <v/>
      </c>
      <c r="CQE224" s="19" t="str">
        <f>IF(CQE220 = "", "", IFERROR(CQE220 / SUMIFS(Aux_Totales!$N:$N, Aux_Totales!$F:$F, $F224, Aux_Totales!$A:$A,#REF!), 0))</f>
        <v/>
      </c>
      <c r="CQF224" s="19" t="str">
        <f>IF(CQF220 = "", "", IFERROR(CQF220 / SUMIFS(Aux_Totales!$N:$N, Aux_Totales!$F:$F, $F224, Aux_Totales!$A:$A,#REF!), 0))</f>
        <v/>
      </c>
      <c r="CQG224" s="19" t="str">
        <f>IF(CQG220 = "", "", IFERROR(CQG220 / SUMIFS(Aux_Totales!$N:$N, Aux_Totales!$F:$F, $F224, Aux_Totales!$A:$A,#REF!), 0))</f>
        <v/>
      </c>
      <c r="CQH224" s="19" t="str">
        <f>IF(CQH220 = "", "", IFERROR(CQH220 / SUMIFS(Aux_Totales!$N:$N, Aux_Totales!$F:$F, $F224, Aux_Totales!$A:$A,#REF!), 0))</f>
        <v/>
      </c>
      <c r="CQI224" s="19" t="str">
        <f>IF(CQI220 = "", "", IFERROR(CQI220 / SUMIFS(Aux_Totales!$N:$N, Aux_Totales!$F:$F, $F224, Aux_Totales!$A:$A,#REF!), 0))</f>
        <v/>
      </c>
      <c r="CQJ224" s="19" t="str">
        <f>IF(CQJ220 = "", "", IFERROR(CQJ220 / SUMIFS(Aux_Totales!$N:$N, Aux_Totales!$F:$F, $F224, Aux_Totales!$A:$A,#REF!), 0))</f>
        <v/>
      </c>
      <c r="CQK224" s="19" t="str">
        <f>IF(CQK220 = "", "", IFERROR(CQK220 / SUMIFS(Aux_Totales!$N:$N, Aux_Totales!$F:$F, $F224, Aux_Totales!$A:$A,#REF!), 0))</f>
        <v/>
      </c>
      <c r="CQL224" s="19" t="str">
        <f>IF(CQL220 = "", "", IFERROR(CQL220 / SUMIFS(Aux_Totales!$N:$N, Aux_Totales!$F:$F, $F224, Aux_Totales!$A:$A,#REF!), 0))</f>
        <v/>
      </c>
      <c r="CQM224" s="19" t="str">
        <f>IF(CQM220 = "", "", IFERROR(CQM220 / SUMIFS(Aux_Totales!$N:$N, Aux_Totales!$F:$F, $F224, Aux_Totales!$A:$A,#REF!), 0))</f>
        <v/>
      </c>
      <c r="CQN224" s="19" t="str">
        <f>IF(CQN220 = "", "", IFERROR(CQN220 / SUMIFS(Aux_Totales!$N:$N, Aux_Totales!$F:$F, $F224, Aux_Totales!$A:$A,#REF!), 0))</f>
        <v/>
      </c>
      <c r="CQO224" s="19" t="str">
        <f>IF(CQO220 = "", "", IFERROR(CQO220 / SUMIFS(Aux_Totales!$N:$N, Aux_Totales!$F:$F, $F224, Aux_Totales!$A:$A,#REF!), 0))</f>
        <v/>
      </c>
      <c r="CQP224" s="19" t="str">
        <f>IF(CQP220 = "", "", IFERROR(CQP220 / SUMIFS(Aux_Totales!$N:$N, Aux_Totales!$F:$F, $F224, Aux_Totales!$A:$A,#REF!), 0))</f>
        <v/>
      </c>
      <c r="CQQ224" s="19" t="str">
        <f>IF(CQQ220 = "", "", IFERROR(CQQ220 / SUMIFS(Aux_Totales!$N:$N, Aux_Totales!$F:$F, $F224, Aux_Totales!$A:$A,#REF!), 0))</f>
        <v/>
      </c>
      <c r="CQR224" s="19" t="str">
        <f>IF(CQR220 = "", "", IFERROR(CQR220 / SUMIFS(Aux_Totales!$N:$N, Aux_Totales!$F:$F, $F224, Aux_Totales!$A:$A,#REF!), 0))</f>
        <v/>
      </c>
      <c r="CQS224" s="19" t="str">
        <f>IF(CQS220 = "", "", IFERROR(CQS220 / SUMIFS(Aux_Totales!$N:$N, Aux_Totales!$F:$F, $F224, Aux_Totales!$A:$A,#REF!), 0))</f>
        <v/>
      </c>
      <c r="CQT224" s="19" t="str">
        <f>IF(CQT220 = "", "", IFERROR(CQT220 / SUMIFS(Aux_Totales!$N:$N, Aux_Totales!$F:$F, $F224, Aux_Totales!$A:$A,#REF!), 0))</f>
        <v/>
      </c>
      <c r="CQU224" s="19" t="str">
        <f>IF(CQU220 = "", "", IFERROR(CQU220 / SUMIFS(Aux_Totales!$N:$N, Aux_Totales!$F:$F, $F224, Aux_Totales!$A:$A,#REF!), 0))</f>
        <v/>
      </c>
      <c r="CQV224" s="19" t="str">
        <f>IF(CQV220 = "", "", IFERROR(CQV220 / SUMIFS(Aux_Totales!$N:$N, Aux_Totales!$F:$F, $F224, Aux_Totales!$A:$A,#REF!), 0))</f>
        <v/>
      </c>
      <c r="CQW224" s="19" t="str">
        <f>IF(CQW220 = "", "", IFERROR(CQW220 / SUMIFS(Aux_Totales!$N:$N, Aux_Totales!$F:$F, $F224, Aux_Totales!$A:$A,#REF!), 0))</f>
        <v/>
      </c>
      <c r="CQX224" s="19" t="str">
        <f>IF(CQX220 = "", "", IFERROR(CQX220 / SUMIFS(Aux_Totales!$N:$N, Aux_Totales!$F:$F, $F224, Aux_Totales!$A:$A,#REF!), 0))</f>
        <v/>
      </c>
      <c r="CQY224" s="19" t="str">
        <f>IF(CQY220 = "", "", IFERROR(CQY220 / SUMIFS(Aux_Totales!$N:$N, Aux_Totales!$F:$F, $F224, Aux_Totales!$A:$A,#REF!), 0))</f>
        <v/>
      </c>
      <c r="CQZ224" s="19" t="str">
        <f>IF(CQZ220 = "", "", IFERROR(CQZ220 / SUMIFS(Aux_Totales!$N:$N, Aux_Totales!$F:$F, $F224, Aux_Totales!$A:$A,#REF!), 0))</f>
        <v/>
      </c>
      <c r="CRA224" s="19" t="str">
        <f>IF(CRA220 = "", "", IFERROR(CRA220 / SUMIFS(Aux_Totales!$N:$N, Aux_Totales!$F:$F, $F224, Aux_Totales!$A:$A,#REF!), 0))</f>
        <v/>
      </c>
      <c r="CRB224" s="19" t="str">
        <f>IF(CRB220 = "", "", IFERROR(CRB220 / SUMIFS(Aux_Totales!$N:$N, Aux_Totales!$F:$F, $F224, Aux_Totales!$A:$A,#REF!), 0))</f>
        <v/>
      </c>
      <c r="CRC224" s="19" t="str">
        <f>IF(CRC220 = "", "", IFERROR(CRC220 / SUMIFS(Aux_Totales!$N:$N, Aux_Totales!$F:$F, $F224, Aux_Totales!$A:$A,#REF!), 0))</f>
        <v/>
      </c>
      <c r="CRD224" s="19" t="str">
        <f>IF(CRD220 = "", "", IFERROR(CRD220 / SUMIFS(Aux_Totales!$N:$N, Aux_Totales!$F:$F, $F224, Aux_Totales!$A:$A,#REF!), 0))</f>
        <v/>
      </c>
      <c r="CRE224" s="19" t="str">
        <f>IF(CRE220 = "", "", IFERROR(CRE220 / SUMIFS(Aux_Totales!$N:$N, Aux_Totales!$F:$F, $F224, Aux_Totales!$A:$A,#REF!), 0))</f>
        <v/>
      </c>
      <c r="CRF224" s="19" t="str">
        <f>IF(CRF220 = "", "", IFERROR(CRF220 / SUMIFS(Aux_Totales!$N:$N, Aux_Totales!$F:$F, $F224, Aux_Totales!$A:$A,#REF!), 0))</f>
        <v/>
      </c>
      <c r="CRG224" s="19" t="str">
        <f>IF(CRG220 = "", "", IFERROR(CRG220 / SUMIFS(Aux_Totales!$N:$N, Aux_Totales!$F:$F, $F224, Aux_Totales!$A:$A,#REF!), 0))</f>
        <v/>
      </c>
      <c r="CRH224" s="19" t="str">
        <f>IF(CRH220 = "", "", IFERROR(CRH220 / SUMIFS(Aux_Totales!$N:$N, Aux_Totales!$F:$F, $F224, Aux_Totales!$A:$A,#REF!), 0))</f>
        <v/>
      </c>
      <c r="CRI224" s="19" t="str">
        <f>IF(CRI220 = "", "", IFERROR(CRI220 / SUMIFS(Aux_Totales!$N:$N, Aux_Totales!$F:$F, $F224, Aux_Totales!$A:$A,#REF!), 0))</f>
        <v/>
      </c>
      <c r="CRJ224" s="19" t="str">
        <f>IF(CRJ220 = "", "", IFERROR(CRJ220 / SUMIFS(Aux_Totales!$N:$N, Aux_Totales!$F:$F, $F224, Aux_Totales!$A:$A,#REF!), 0))</f>
        <v/>
      </c>
      <c r="CRK224" s="19" t="str">
        <f>IF(CRK220 = "", "", IFERROR(CRK220 / SUMIFS(Aux_Totales!$N:$N, Aux_Totales!$F:$F, $F224, Aux_Totales!$A:$A,#REF!), 0))</f>
        <v/>
      </c>
      <c r="CRL224" s="19" t="str">
        <f>IF(CRL220 = "", "", IFERROR(CRL220 / SUMIFS(Aux_Totales!$N:$N, Aux_Totales!$F:$F, $F224, Aux_Totales!$A:$A,#REF!), 0))</f>
        <v/>
      </c>
      <c r="CRM224" s="19" t="str">
        <f>IF(CRM220 = "", "", IFERROR(CRM220 / SUMIFS(Aux_Totales!$N:$N, Aux_Totales!$F:$F, $F224, Aux_Totales!$A:$A,#REF!), 0))</f>
        <v/>
      </c>
      <c r="CRN224" s="19" t="str">
        <f>IF(CRN220 = "", "", IFERROR(CRN220 / SUMIFS(Aux_Totales!$N:$N, Aux_Totales!$F:$F, $F224, Aux_Totales!$A:$A,#REF!), 0))</f>
        <v/>
      </c>
      <c r="CRO224" s="19" t="str">
        <f>IF(CRO220 = "", "", IFERROR(CRO220 / SUMIFS(Aux_Totales!$N:$N, Aux_Totales!$F:$F, $F224, Aux_Totales!$A:$A,#REF!), 0))</f>
        <v/>
      </c>
      <c r="CRP224" s="19" t="str">
        <f>IF(CRP220 = "", "", IFERROR(CRP220 / SUMIFS(Aux_Totales!$N:$N, Aux_Totales!$F:$F, $F224, Aux_Totales!$A:$A,#REF!), 0))</f>
        <v/>
      </c>
      <c r="CRQ224" s="19" t="str">
        <f>IF(CRQ220 = "", "", IFERROR(CRQ220 / SUMIFS(Aux_Totales!$N:$N, Aux_Totales!$F:$F, $F224, Aux_Totales!$A:$A,#REF!), 0))</f>
        <v/>
      </c>
      <c r="CRR224" s="19" t="str">
        <f>IF(CRR220 = "", "", IFERROR(CRR220 / SUMIFS(Aux_Totales!$N:$N, Aux_Totales!$F:$F, $F224, Aux_Totales!$A:$A,#REF!), 0))</f>
        <v/>
      </c>
      <c r="CRS224" s="19" t="str">
        <f>IF(CRS220 = "", "", IFERROR(CRS220 / SUMIFS(Aux_Totales!$N:$N, Aux_Totales!$F:$F, $F224, Aux_Totales!$A:$A,#REF!), 0))</f>
        <v/>
      </c>
      <c r="CRT224" s="19" t="str">
        <f>IF(CRT220 = "", "", IFERROR(CRT220 / SUMIFS(Aux_Totales!$N:$N, Aux_Totales!$F:$F, $F224, Aux_Totales!$A:$A,#REF!), 0))</f>
        <v/>
      </c>
      <c r="CRU224" s="19" t="str">
        <f>IF(CRU220 = "", "", IFERROR(CRU220 / SUMIFS(Aux_Totales!$N:$N, Aux_Totales!$F:$F, $F224, Aux_Totales!$A:$A,#REF!), 0))</f>
        <v/>
      </c>
      <c r="CRV224" s="19" t="str">
        <f>IF(CRV220 = "", "", IFERROR(CRV220 / SUMIFS(Aux_Totales!$N:$N, Aux_Totales!$F:$F, $F224, Aux_Totales!$A:$A,#REF!), 0))</f>
        <v/>
      </c>
      <c r="CRW224" s="19" t="str">
        <f>IF(CRW220 = "", "", IFERROR(CRW220 / SUMIFS(Aux_Totales!$N:$N, Aux_Totales!$F:$F, $F224, Aux_Totales!$A:$A,#REF!), 0))</f>
        <v/>
      </c>
      <c r="CRX224" s="19" t="str">
        <f>IF(CRX220 = "", "", IFERROR(CRX220 / SUMIFS(Aux_Totales!$N:$N, Aux_Totales!$F:$F, $F224, Aux_Totales!$A:$A,#REF!), 0))</f>
        <v/>
      </c>
      <c r="CRY224" s="19" t="str">
        <f>IF(CRY220 = "", "", IFERROR(CRY220 / SUMIFS(Aux_Totales!$N:$N, Aux_Totales!$F:$F, $F224, Aux_Totales!$A:$A,#REF!), 0))</f>
        <v/>
      </c>
      <c r="CRZ224" s="19" t="str">
        <f>IF(CRZ220 = "", "", IFERROR(CRZ220 / SUMIFS(Aux_Totales!$N:$N, Aux_Totales!$F:$F, $F224, Aux_Totales!$A:$A,#REF!), 0))</f>
        <v/>
      </c>
      <c r="CSA224" s="19" t="str">
        <f>IF(CSA220 = "", "", IFERROR(CSA220 / SUMIFS(Aux_Totales!$N:$N, Aux_Totales!$F:$F, $F224, Aux_Totales!$A:$A,#REF!), 0))</f>
        <v/>
      </c>
      <c r="CSB224" s="19" t="str">
        <f>IF(CSB220 = "", "", IFERROR(CSB220 / SUMIFS(Aux_Totales!$N:$N, Aux_Totales!$F:$F, $F224, Aux_Totales!$A:$A,#REF!), 0))</f>
        <v/>
      </c>
      <c r="CSC224" s="19" t="str">
        <f>IF(CSC220 = "", "", IFERROR(CSC220 / SUMIFS(Aux_Totales!$N:$N, Aux_Totales!$F:$F, $F224, Aux_Totales!$A:$A,#REF!), 0))</f>
        <v/>
      </c>
      <c r="CSD224" s="19" t="str">
        <f>IF(CSD220 = "", "", IFERROR(CSD220 / SUMIFS(Aux_Totales!$N:$N, Aux_Totales!$F:$F, $F224, Aux_Totales!$A:$A,#REF!), 0))</f>
        <v/>
      </c>
      <c r="CSE224" s="19" t="str">
        <f>IF(CSE220 = "", "", IFERROR(CSE220 / SUMIFS(Aux_Totales!$N:$N, Aux_Totales!$F:$F, $F224, Aux_Totales!$A:$A,#REF!), 0))</f>
        <v/>
      </c>
      <c r="CSF224" s="19" t="str">
        <f>IF(CSF220 = "", "", IFERROR(CSF220 / SUMIFS(Aux_Totales!$N:$N, Aux_Totales!$F:$F, $F224, Aux_Totales!$A:$A,#REF!), 0))</f>
        <v/>
      </c>
      <c r="CSG224" s="19" t="str">
        <f>IF(CSG220 = "", "", IFERROR(CSG220 / SUMIFS(Aux_Totales!$N:$N, Aux_Totales!$F:$F, $F224, Aux_Totales!$A:$A,#REF!), 0))</f>
        <v/>
      </c>
      <c r="CSH224" s="19" t="str">
        <f>IF(CSH220 = "", "", IFERROR(CSH220 / SUMIFS(Aux_Totales!$N:$N, Aux_Totales!$F:$F, $F224, Aux_Totales!$A:$A,#REF!), 0))</f>
        <v/>
      </c>
      <c r="CSI224" s="19" t="str">
        <f>IF(CSI220 = "", "", IFERROR(CSI220 / SUMIFS(Aux_Totales!$N:$N, Aux_Totales!$F:$F, $F224, Aux_Totales!$A:$A,#REF!), 0))</f>
        <v/>
      </c>
      <c r="CSJ224" s="19" t="str">
        <f>IF(CSJ220 = "", "", IFERROR(CSJ220 / SUMIFS(Aux_Totales!$N:$N, Aux_Totales!$F:$F, $F224, Aux_Totales!$A:$A,#REF!), 0))</f>
        <v/>
      </c>
      <c r="CSK224" s="19" t="str">
        <f>IF(CSK220 = "", "", IFERROR(CSK220 / SUMIFS(Aux_Totales!$N:$N, Aux_Totales!$F:$F, $F224, Aux_Totales!$A:$A,#REF!), 0))</f>
        <v/>
      </c>
      <c r="CSL224" s="19" t="str">
        <f>IF(CSL220 = "", "", IFERROR(CSL220 / SUMIFS(Aux_Totales!$N:$N, Aux_Totales!$F:$F, $F224, Aux_Totales!$A:$A,#REF!), 0))</f>
        <v/>
      </c>
      <c r="CSM224" s="19" t="str">
        <f>IF(CSM220 = "", "", IFERROR(CSM220 / SUMIFS(Aux_Totales!$N:$N, Aux_Totales!$F:$F, $F224, Aux_Totales!$A:$A,#REF!), 0))</f>
        <v/>
      </c>
      <c r="CSN224" s="19" t="str">
        <f>IF(CSN220 = "", "", IFERROR(CSN220 / SUMIFS(Aux_Totales!$N:$N, Aux_Totales!$F:$F, $F224, Aux_Totales!$A:$A,#REF!), 0))</f>
        <v/>
      </c>
      <c r="CSO224" s="19" t="str">
        <f>IF(CSO220 = "", "", IFERROR(CSO220 / SUMIFS(Aux_Totales!$N:$N, Aux_Totales!$F:$F, $F224, Aux_Totales!$A:$A,#REF!), 0))</f>
        <v/>
      </c>
      <c r="CSP224" s="19" t="str">
        <f>IF(CSP220 = "", "", IFERROR(CSP220 / SUMIFS(Aux_Totales!$N:$N, Aux_Totales!$F:$F, $F224, Aux_Totales!$A:$A,#REF!), 0))</f>
        <v/>
      </c>
      <c r="CSQ224" s="19" t="str">
        <f>IF(CSQ220 = "", "", IFERROR(CSQ220 / SUMIFS(Aux_Totales!$N:$N, Aux_Totales!$F:$F, $F224, Aux_Totales!$A:$A,#REF!), 0))</f>
        <v/>
      </c>
      <c r="CSR224" s="19" t="str">
        <f>IF(CSR220 = "", "", IFERROR(CSR220 / SUMIFS(Aux_Totales!$N:$N, Aux_Totales!$F:$F, $F224, Aux_Totales!$A:$A,#REF!), 0))</f>
        <v/>
      </c>
      <c r="CSS224" s="19" t="str">
        <f>IF(CSS220 = "", "", IFERROR(CSS220 / SUMIFS(Aux_Totales!$N:$N, Aux_Totales!$F:$F, $F224, Aux_Totales!$A:$A,#REF!), 0))</f>
        <v/>
      </c>
      <c r="CST224" s="19" t="str">
        <f>IF(CST220 = "", "", IFERROR(CST220 / SUMIFS(Aux_Totales!$N:$N, Aux_Totales!$F:$F, $F224, Aux_Totales!$A:$A,#REF!), 0))</f>
        <v/>
      </c>
      <c r="CSU224" s="19" t="str">
        <f>IF(CSU220 = "", "", IFERROR(CSU220 / SUMIFS(Aux_Totales!$N:$N, Aux_Totales!$F:$F, $F224, Aux_Totales!$A:$A,#REF!), 0))</f>
        <v/>
      </c>
      <c r="CSV224" s="19" t="str">
        <f>IF(CSV220 = "", "", IFERROR(CSV220 / SUMIFS(Aux_Totales!$N:$N, Aux_Totales!$F:$F, $F224, Aux_Totales!$A:$A,#REF!), 0))</f>
        <v/>
      </c>
      <c r="CSW224" s="19" t="str">
        <f>IF(CSW220 = "", "", IFERROR(CSW220 / SUMIFS(Aux_Totales!$N:$N, Aux_Totales!$F:$F, $F224, Aux_Totales!$A:$A,#REF!), 0))</f>
        <v/>
      </c>
      <c r="CSX224" s="19" t="str">
        <f>IF(CSX220 = "", "", IFERROR(CSX220 / SUMIFS(Aux_Totales!$N:$N, Aux_Totales!$F:$F, $F224, Aux_Totales!$A:$A,#REF!), 0))</f>
        <v/>
      </c>
      <c r="CSY224" s="19" t="str">
        <f>IF(CSY220 = "", "", IFERROR(CSY220 / SUMIFS(Aux_Totales!$N:$N, Aux_Totales!$F:$F, $F224, Aux_Totales!$A:$A,#REF!), 0))</f>
        <v/>
      </c>
      <c r="CSZ224" s="19" t="str">
        <f>IF(CSZ220 = "", "", IFERROR(CSZ220 / SUMIFS(Aux_Totales!$N:$N, Aux_Totales!$F:$F, $F224, Aux_Totales!$A:$A,#REF!), 0))</f>
        <v/>
      </c>
      <c r="CTA224" s="19" t="str">
        <f>IF(CTA220 = "", "", IFERROR(CTA220 / SUMIFS(Aux_Totales!$N:$N, Aux_Totales!$F:$F, $F224, Aux_Totales!$A:$A,#REF!), 0))</f>
        <v/>
      </c>
      <c r="CTB224" s="19" t="str">
        <f>IF(CTB220 = "", "", IFERROR(CTB220 / SUMIFS(Aux_Totales!$N:$N, Aux_Totales!$F:$F, $F224, Aux_Totales!$A:$A,#REF!), 0))</f>
        <v/>
      </c>
      <c r="CTC224" s="19" t="str">
        <f>IF(CTC220 = "", "", IFERROR(CTC220 / SUMIFS(Aux_Totales!$N:$N, Aux_Totales!$F:$F, $F224, Aux_Totales!$A:$A,#REF!), 0))</f>
        <v/>
      </c>
      <c r="CTD224" s="19" t="str">
        <f>IF(CTD220 = "", "", IFERROR(CTD220 / SUMIFS(Aux_Totales!$N:$N, Aux_Totales!$F:$F, $F224, Aux_Totales!$A:$A,#REF!), 0))</f>
        <v/>
      </c>
      <c r="CTE224" s="19" t="str">
        <f>IF(CTE220 = "", "", IFERROR(CTE220 / SUMIFS(Aux_Totales!$N:$N, Aux_Totales!$F:$F, $F224, Aux_Totales!$A:$A,#REF!), 0))</f>
        <v/>
      </c>
      <c r="CTF224" s="19" t="str">
        <f>IF(CTF220 = "", "", IFERROR(CTF220 / SUMIFS(Aux_Totales!$N:$N, Aux_Totales!$F:$F, $F224, Aux_Totales!$A:$A,#REF!), 0))</f>
        <v/>
      </c>
      <c r="CTG224" s="19" t="str">
        <f>IF(CTG220 = "", "", IFERROR(CTG220 / SUMIFS(Aux_Totales!$N:$N, Aux_Totales!$F:$F, $F224, Aux_Totales!$A:$A,#REF!), 0))</f>
        <v/>
      </c>
      <c r="CTH224" s="19" t="str">
        <f>IF(CTH220 = "", "", IFERROR(CTH220 / SUMIFS(Aux_Totales!$N:$N, Aux_Totales!$F:$F, $F224, Aux_Totales!$A:$A,#REF!), 0))</f>
        <v/>
      </c>
      <c r="CTI224" s="19" t="str">
        <f>IF(CTI220 = "", "", IFERROR(CTI220 / SUMIFS(Aux_Totales!$N:$N, Aux_Totales!$F:$F, $F224, Aux_Totales!$A:$A,#REF!), 0))</f>
        <v/>
      </c>
      <c r="CTJ224" s="19" t="str">
        <f>IF(CTJ220 = "", "", IFERROR(CTJ220 / SUMIFS(Aux_Totales!$N:$N, Aux_Totales!$F:$F, $F224, Aux_Totales!$A:$A,#REF!), 0))</f>
        <v/>
      </c>
      <c r="CTK224" s="19" t="str">
        <f>IF(CTK220 = "", "", IFERROR(CTK220 / SUMIFS(Aux_Totales!$N:$N, Aux_Totales!$F:$F, $F224, Aux_Totales!$A:$A,#REF!), 0))</f>
        <v/>
      </c>
      <c r="CTL224" s="19" t="str">
        <f>IF(CTL220 = "", "", IFERROR(CTL220 / SUMIFS(Aux_Totales!$N:$N, Aux_Totales!$F:$F, $F224, Aux_Totales!$A:$A,#REF!), 0))</f>
        <v/>
      </c>
      <c r="CTM224" s="19" t="str">
        <f>IF(CTM220 = "", "", IFERROR(CTM220 / SUMIFS(Aux_Totales!$N:$N, Aux_Totales!$F:$F, $F224, Aux_Totales!$A:$A,#REF!), 0))</f>
        <v/>
      </c>
      <c r="CTN224" s="19" t="str">
        <f>IF(CTN220 = "", "", IFERROR(CTN220 / SUMIFS(Aux_Totales!$N:$N, Aux_Totales!$F:$F, $F224, Aux_Totales!$A:$A,#REF!), 0))</f>
        <v/>
      </c>
      <c r="CTO224" s="19" t="str">
        <f>IF(CTO220 = "", "", IFERROR(CTO220 / SUMIFS(Aux_Totales!$N:$N, Aux_Totales!$F:$F, $F224, Aux_Totales!$A:$A,#REF!), 0))</f>
        <v/>
      </c>
      <c r="CTP224" s="19" t="str">
        <f>IF(CTP220 = "", "", IFERROR(CTP220 / SUMIFS(Aux_Totales!$N:$N, Aux_Totales!$F:$F, $F224, Aux_Totales!$A:$A,#REF!), 0))</f>
        <v/>
      </c>
      <c r="CTQ224" s="19" t="str">
        <f>IF(CTQ220 = "", "", IFERROR(CTQ220 / SUMIFS(Aux_Totales!$N:$N, Aux_Totales!$F:$F, $F224, Aux_Totales!$A:$A,#REF!), 0))</f>
        <v/>
      </c>
      <c r="CTR224" s="19" t="str">
        <f>IF(CTR220 = "", "", IFERROR(CTR220 / SUMIFS(Aux_Totales!$N:$N, Aux_Totales!$F:$F, $F224, Aux_Totales!$A:$A,#REF!), 0))</f>
        <v/>
      </c>
      <c r="CTS224" s="19" t="str">
        <f>IF(CTS220 = "", "", IFERROR(CTS220 / SUMIFS(Aux_Totales!$N:$N, Aux_Totales!$F:$F, $F224, Aux_Totales!$A:$A,#REF!), 0))</f>
        <v/>
      </c>
      <c r="CTT224" s="19" t="str">
        <f>IF(CTT220 = "", "", IFERROR(CTT220 / SUMIFS(Aux_Totales!$N:$N, Aux_Totales!$F:$F, $F224, Aux_Totales!$A:$A,#REF!), 0))</f>
        <v/>
      </c>
      <c r="CTU224" s="19" t="str">
        <f>IF(CTU220 = "", "", IFERROR(CTU220 / SUMIFS(Aux_Totales!$N:$N, Aux_Totales!$F:$F, $F224, Aux_Totales!$A:$A,#REF!), 0))</f>
        <v/>
      </c>
      <c r="CTV224" s="19" t="str">
        <f>IF(CTV220 = "", "", IFERROR(CTV220 / SUMIFS(Aux_Totales!$N:$N, Aux_Totales!$F:$F, $F224, Aux_Totales!$A:$A,#REF!), 0))</f>
        <v/>
      </c>
      <c r="CTW224" s="19" t="str">
        <f>IF(CTW220 = "", "", IFERROR(CTW220 / SUMIFS(Aux_Totales!$N:$N, Aux_Totales!$F:$F, $F224, Aux_Totales!$A:$A,#REF!), 0))</f>
        <v/>
      </c>
      <c r="CTX224" s="19" t="str">
        <f>IF(CTX220 = "", "", IFERROR(CTX220 / SUMIFS(Aux_Totales!$N:$N, Aux_Totales!$F:$F, $F224, Aux_Totales!$A:$A,#REF!), 0))</f>
        <v/>
      </c>
      <c r="CTY224" s="19" t="str">
        <f>IF(CTY220 = "", "", IFERROR(CTY220 / SUMIFS(Aux_Totales!$N:$N, Aux_Totales!$F:$F, $F224, Aux_Totales!$A:$A,#REF!), 0))</f>
        <v/>
      </c>
      <c r="CTZ224" s="19" t="str">
        <f>IF(CTZ220 = "", "", IFERROR(CTZ220 / SUMIFS(Aux_Totales!$N:$N, Aux_Totales!$F:$F, $F224, Aux_Totales!$A:$A,#REF!), 0))</f>
        <v/>
      </c>
      <c r="CUA224" s="19" t="str">
        <f>IF(CUA220 = "", "", IFERROR(CUA220 / SUMIFS(Aux_Totales!$N:$N, Aux_Totales!$F:$F, $F224, Aux_Totales!$A:$A,#REF!), 0))</f>
        <v/>
      </c>
      <c r="CUB224" s="19" t="str">
        <f>IF(CUB220 = "", "", IFERROR(CUB220 / SUMIFS(Aux_Totales!$N:$N, Aux_Totales!$F:$F, $F224, Aux_Totales!$A:$A,#REF!), 0))</f>
        <v/>
      </c>
      <c r="CUC224" s="19" t="str">
        <f>IF(CUC220 = "", "", IFERROR(CUC220 / SUMIFS(Aux_Totales!$N:$N, Aux_Totales!$F:$F, $F224, Aux_Totales!$A:$A,#REF!), 0))</f>
        <v/>
      </c>
      <c r="CUD224" s="19" t="str">
        <f>IF(CUD220 = "", "", IFERROR(CUD220 / SUMIFS(Aux_Totales!$N:$N, Aux_Totales!$F:$F, $F224, Aux_Totales!$A:$A,#REF!), 0))</f>
        <v/>
      </c>
      <c r="CUE224" s="19" t="str">
        <f>IF(CUE220 = "", "", IFERROR(CUE220 / SUMIFS(Aux_Totales!$N:$N, Aux_Totales!$F:$F, $F224, Aux_Totales!$A:$A,#REF!), 0))</f>
        <v/>
      </c>
      <c r="CUF224" s="19" t="str">
        <f>IF(CUF220 = "", "", IFERROR(CUF220 / SUMIFS(Aux_Totales!$N:$N, Aux_Totales!$F:$F, $F224, Aux_Totales!$A:$A,#REF!), 0))</f>
        <v/>
      </c>
      <c r="CUG224" s="19" t="str">
        <f>IF(CUG220 = "", "", IFERROR(CUG220 / SUMIFS(Aux_Totales!$N:$N, Aux_Totales!$F:$F, $F224, Aux_Totales!$A:$A,#REF!), 0))</f>
        <v/>
      </c>
      <c r="CUH224" s="19" t="str">
        <f>IF(CUH220 = "", "", IFERROR(CUH220 / SUMIFS(Aux_Totales!$N:$N, Aux_Totales!$F:$F, $F224, Aux_Totales!$A:$A,#REF!), 0))</f>
        <v/>
      </c>
      <c r="CUI224" s="19" t="str">
        <f>IF(CUI220 = "", "", IFERROR(CUI220 / SUMIFS(Aux_Totales!$N:$N, Aux_Totales!$F:$F, $F224, Aux_Totales!$A:$A,#REF!), 0))</f>
        <v/>
      </c>
      <c r="CUJ224" s="19" t="str">
        <f>IF(CUJ220 = "", "", IFERROR(CUJ220 / SUMIFS(Aux_Totales!$N:$N, Aux_Totales!$F:$F, $F224, Aux_Totales!$A:$A,#REF!), 0))</f>
        <v/>
      </c>
      <c r="CUK224" s="19" t="str">
        <f>IF(CUK220 = "", "", IFERROR(CUK220 / SUMIFS(Aux_Totales!$N:$N, Aux_Totales!$F:$F, $F224, Aux_Totales!$A:$A,#REF!), 0))</f>
        <v/>
      </c>
      <c r="CUL224" s="19" t="str">
        <f>IF(CUL220 = "", "", IFERROR(CUL220 / SUMIFS(Aux_Totales!$N:$N, Aux_Totales!$F:$F, $F224, Aux_Totales!$A:$A,#REF!), 0))</f>
        <v/>
      </c>
      <c r="CUM224" s="19" t="str">
        <f>IF(CUM220 = "", "", IFERROR(CUM220 / SUMIFS(Aux_Totales!$N:$N, Aux_Totales!$F:$F, $F224, Aux_Totales!$A:$A,#REF!), 0))</f>
        <v/>
      </c>
      <c r="CUN224" s="19" t="str">
        <f>IF(CUN220 = "", "", IFERROR(CUN220 / SUMIFS(Aux_Totales!$N:$N, Aux_Totales!$F:$F, $F224, Aux_Totales!$A:$A,#REF!), 0))</f>
        <v/>
      </c>
      <c r="CUO224" s="19" t="str">
        <f>IF(CUO220 = "", "", IFERROR(CUO220 / SUMIFS(Aux_Totales!$N:$N, Aux_Totales!$F:$F, $F224, Aux_Totales!$A:$A,#REF!), 0))</f>
        <v/>
      </c>
      <c r="CUP224" s="19" t="str">
        <f>IF(CUP220 = "", "", IFERROR(CUP220 / SUMIFS(Aux_Totales!$N:$N, Aux_Totales!$F:$F, $F224, Aux_Totales!$A:$A,#REF!), 0))</f>
        <v/>
      </c>
      <c r="CUQ224" s="19" t="str">
        <f>IF(CUQ220 = "", "", IFERROR(CUQ220 / SUMIFS(Aux_Totales!$N:$N, Aux_Totales!$F:$F, $F224, Aux_Totales!$A:$A,#REF!), 0))</f>
        <v/>
      </c>
      <c r="CUR224" s="19" t="str">
        <f>IF(CUR220 = "", "", IFERROR(CUR220 / SUMIFS(Aux_Totales!$N:$N, Aux_Totales!$F:$F, $F224, Aux_Totales!$A:$A,#REF!), 0))</f>
        <v/>
      </c>
      <c r="CUS224" s="19" t="str">
        <f>IF(CUS220 = "", "", IFERROR(CUS220 / SUMIFS(Aux_Totales!$N:$N, Aux_Totales!$F:$F, $F224, Aux_Totales!$A:$A,#REF!), 0))</f>
        <v/>
      </c>
      <c r="CUT224" s="19" t="str">
        <f>IF(CUT220 = "", "", IFERROR(CUT220 / SUMIFS(Aux_Totales!$N:$N, Aux_Totales!$F:$F, $F224, Aux_Totales!$A:$A,#REF!), 0))</f>
        <v/>
      </c>
      <c r="CUU224" s="19" t="str">
        <f>IF(CUU220 = "", "", IFERROR(CUU220 / SUMIFS(Aux_Totales!$N:$N, Aux_Totales!$F:$F, $F224, Aux_Totales!$A:$A,#REF!), 0))</f>
        <v/>
      </c>
      <c r="CUV224" s="19" t="str">
        <f>IF(CUV220 = "", "", IFERROR(CUV220 / SUMIFS(Aux_Totales!$N:$N, Aux_Totales!$F:$F, $F224, Aux_Totales!$A:$A,#REF!), 0))</f>
        <v/>
      </c>
      <c r="CUW224" s="19" t="str">
        <f>IF(CUW220 = "", "", IFERROR(CUW220 / SUMIFS(Aux_Totales!$N:$N, Aux_Totales!$F:$F, $F224, Aux_Totales!$A:$A,#REF!), 0))</f>
        <v/>
      </c>
      <c r="CUX224" s="19" t="str">
        <f>IF(CUX220 = "", "", IFERROR(CUX220 / SUMIFS(Aux_Totales!$N:$N, Aux_Totales!$F:$F, $F224, Aux_Totales!$A:$A,#REF!), 0))</f>
        <v/>
      </c>
      <c r="CUY224" s="19" t="str">
        <f>IF(CUY220 = "", "", IFERROR(CUY220 / SUMIFS(Aux_Totales!$N:$N, Aux_Totales!$F:$F, $F224, Aux_Totales!$A:$A,#REF!), 0))</f>
        <v/>
      </c>
      <c r="CUZ224" s="19" t="str">
        <f>IF(CUZ220 = "", "", IFERROR(CUZ220 / SUMIFS(Aux_Totales!$N:$N, Aux_Totales!$F:$F, $F224, Aux_Totales!$A:$A,#REF!), 0))</f>
        <v/>
      </c>
      <c r="CVA224" s="19" t="str">
        <f>IF(CVA220 = "", "", IFERROR(CVA220 / SUMIFS(Aux_Totales!$N:$N, Aux_Totales!$F:$F, $F224, Aux_Totales!$A:$A,#REF!), 0))</f>
        <v/>
      </c>
      <c r="CVB224" s="19" t="str">
        <f>IF(CVB220 = "", "", IFERROR(CVB220 / SUMIFS(Aux_Totales!$N:$N, Aux_Totales!$F:$F, $F224, Aux_Totales!$A:$A,#REF!), 0))</f>
        <v/>
      </c>
      <c r="CVC224" s="19" t="str">
        <f>IF(CVC220 = "", "", IFERROR(CVC220 / SUMIFS(Aux_Totales!$N:$N, Aux_Totales!$F:$F, $F224, Aux_Totales!$A:$A,#REF!), 0))</f>
        <v/>
      </c>
      <c r="CVD224" s="19" t="str">
        <f>IF(CVD220 = "", "", IFERROR(CVD220 / SUMIFS(Aux_Totales!$N:$N, Aux_Totales!$F:$F, $F224, Aux_Totales!$A:$A,#REF!), 0))</f>
        <v/>
      </c>
      <c r="CVE224" s="19" t="str">
        <f>IF(CVE220 = "", "", IFERROR(CVE220 / SUMIFS(Aux_Totales!$N:$N, Aux_Totales!$F:$F, $F224, Aux_Totales!$A:$A,#REF!), 0))</f>
        <v/>
      </c>
      <c r="CVF224" s="19" t="str">
        <f>IF(CVF220 = "", "", IFERROR(CVF220 / SUMIFS(Aux_Totales!$N:$N, Aux_Totales!$F:$F, $F224, Aux_Totales!$A:$A,#REF!), 0))</f>
        <v/>
      </c>
      <c r="CVG224" s="19" t="str">
        <f>IF(CVG220 = "", "", IFERROR(CVG220 / SUMIFS(Aux_Totales!$N:$N, Aux_Totales!$F:$F, $F224, Aux_Totales!$A:$A,#REF!), 0))</f>
        <v/>
      </c>
      <c r="CVH224" s="19" t="str">
        <f>IF(CVH220 = "", "", IFERROR(CVH220 / SUMIFS(Aux_Totales!$N:$N, Aux_Totales!$F:$F, $F224, Aux_Totales!$A:$A,#REF!), 0))</f>
        <v/>
      </c>
      <c r="CVI224" s="19" t="str">
        <f>IF(CVI220 = "", "", IFERROR(CVI220 / SUMIFS(Aux_Totales!$N:$N, Aux_Totales!$F:$F, $F224, Aux_Totales!$A:$A,#REF!), 0))</f>
        <v/>
      </c>
      <c r="CVJ224" s="19" t="str">
        <f>IF(CVJ220 = "", "", IFERROR(CVJ220 / SUMIFS(Aux_Totales!$N:$N, Aux_Totales!$F:$F, $F224, Aux_Totales!$A:$A,#REF!), 0))</f>
        <v/>
      </c>
      <c r="CVK224" s="19" t="str">
        <f>IF(CVK220 = "", "", IFERROR(CVK220 / SUMIFS(Aux_Totales!$N:$N, Aux_Totales!$F:$F, $F224, Aux_Totales!$A:$A,#REF!), 0))</f>
        <v/>
      </c>
      <c r="CVL224" s="19" t="str">
        <f>IF(CVL220 = "", "", IFERROR(CVL220 / SUMIFS(Aux_Totales!$N:$N, Aux_Totales!$F:$F, $F224, Aux_Totales!$A:$A,#REF!), 0))</f>
        <v/>
      </c>
      <c r="CVM224" s="19" t="str">
        <f>IF(CVM220 = "", "", IFERROR(CVM220 / SUMIFS(Aux_Totales!$N:$N, Aux_Totales!$F:$F, $F224, Aux_Totales!$A:$A,#REF!), 0))</f>
        <v/>
      </c>
      <c r="CVN224" s="19" t="str">
        <f>IF(CVN220 = "", "", IFERROR(CVN220 / SUMIFS(Aux_Totales!$N:$N, Aux_Totales!$F:$F, $F224, Aux_Totales!$A:$A,#REF!), 0))</f>
        <v/>
      </c>
      <c r="CVO224" s="19" t="str">
        <f>IF(CVO220 = "", "", IFERROR(CVO220 / SUMIFS(Aux_Totales!$N:$N, Aux_Totales!$F:$F, $F224, Aux_Totales!$A:$A,#REF!), 0))</f>
        <v/>
      </c>
      <c r="CVP224" s="19" t="str">
        <f>IF(CVP220 = "", "", IFERROR(CVP220 / SUMIFS(Aux_Totales!$N:$N, Aux_Totales!$F:$F, $F224, Aux_Totales!$A:$A,#REF!), 0))</f>
        <v/>
      </c>
      <c r="CVQ224" s="19" t="str">
        <f>IF(CVQ220 = "", "", IFERROR(CVQ220 / SUMIFS(Aux_Totales!$N:$N, Aux_Totales!$F:$F, $F224, Aux_Totales!$A:$A,#REF!), 0))</f>
        <v/>
      </c>
      <c r="CVR224" s="19" t="str">
        <f>IF(CVR220 = "", "", IFERROR(CVR220 / SUMIFS(Aux_Totales!$N:$N, Aux_Totales!$F:$F, $F224, Aux_Totales!$A:$A,#REF!), 0))</f>
        <v/>
      </c>
      <c r="CVS224" s="19" t="str">
        <f>IF(CVS220 = "", "", IFERROR(CVS220 / SUMIFS(Aux_Totales!$N:$N, Aux_Totales!$F:$F, $F224, Aux_Totales!$A:$A,#REF!), 0))</f>
        <v/>
      </c>
      <c r="CVT224" s="19" t="str">
        <f>IF(CVT220 = "", "", IFERROR(CVT220 / SUMIFS(Aux_Totales!$N:$N, Aux_Totales!$F:$F, $F224, Aux_Totales!$A:$A,#REF!), 0))</f>
        <v/>
      </c>
      <c r="CVU224" s="19" t="str">
        <f>IF(CVU220 = "", "", IFERROR(CVU220 / SUMIFS(Aux_Totales!$N:$N, Aux_Totales!$F:$F, $F224, Aux_Totales!$A:$A,#REF!), 0))</f>
        <v/>
      </c>
      <c r="CVV224" s="19" t="str">
        <f>IF(CVV220 = "", "", IFERROR(CVV220 / SUMIFS(Aux_Totales!$N:$N, Aux_Totales!$F:$F, $F224, Aux_Totales!$A:$A,#REF!), 0))</f>
        <v/>
      </c>
      <c r="CVW224" s="19" t="str">
        <f>IF(CVW220 = "", "", IFERROR(CVW220 / SUMIFS(Aux_Totales!$N:$N, Aux_Totales!$F:$F, $F224, Aux_Totales!$A:$A,#REF!), 0))</f>
        <v/>
      </c>
      <c r="CVX224" s="19" t="str">
        <f>IF(CVX220 = "", "", IFERROR(CVX220 / SUMIFS(Aux_Totales!$N:$N, Aux_Totales!$F:$F, $F224, Aux_Totales!$A:$A,#REF!), 0))</f>
        <v/>
      </c>
      <c r="CVY224" s="19" t="str">
        <f>IF(CVY220 = "", "", IFERROR(CVY220 / SUMIFS(Aux_Totales!$N:$N, Aux_Totales!$F:$F, $F224, Aux_Totales!$A:$A,#REF!), 0))</f>
        <v/>
      </c>
      <c r="CVZ224" s="19" t="str">
        <f>IF(CVZ220 = "", "", IFERROR(CVZ220 / SUMIFS(Aux_Totales!$N:$N, Aux_Totales!$F:$F, $F224, Aux_Totales!$A:$A,#REF!), 0))</f>
        <v/>
      </c>
      <c r="CWA224" s="19" t="str">
        <f>IF(CWA220 = "", "", IFERROR(CWA220 / SUMIFS(Aux_Totales!$N:$N, Aux_Totales!$F:$F, $F224, Aux_Totales!$A:$A,#REF!), 0))</f>
        <v/>
      </c>
      <c r="CWB224" s="19" t="str">
        <f>IF(CWB220 = "", "", IFERROR(CWB220 / SUMIFS(Aux_Totales!$N:$N, Aux_Totales!$F:$F, $F224, Aux_Totales!$A:$A,#REF!), 0))</f>
        <v/>
      </c>
      <c r="CWC224" s="19" t="str">
        <f>IF(CWC220 = "", "", IFERROR(CWC220 / SUMIFS(Aux_Totales!$N:$N, Aux_Totales!$F:$F, $F224, Aux_Totales!$A:$A,#REF!), 0))</f>
        <v/>
      </c>
      <c r="CWD224" s="19" t="str">
        <f>IF(CWD220 = "", "", IFERROR(CWD220 / SUMIFS(Aux_Totales!$N:$N, Aux_Totales!$F:$F, $F224, Aux_Totales!$A:$A,#REF!), 0))</f>
        <v/>
      </c>
      <c r="CWE224" s="19" t="str">
        <f>IF(CWE220 = "", "", IFERROR(CWE220 / SUMIFS(Aux_Totales!$N:$N, Aux_Totales!$F:$F, $F224, Aux_Totales!$A:$A,#REF!), 0))</f>
        <v/>
      </c>
      <c r="CWF224" s="19" t="str">
        <f>IF(CWF220 = "", "", IFERROR(CWF220 / SUMIFS(Aux_Totales!$N:$N, Aux_Totales!$F:$F, $F224, Aux_Totales!$A:$A,#REF!), 0))</f>
        <v/>
      </c>
      <c r="CWG224" s="19" t="str">
        <f>IF(CWG220 = "", "", IFERROR(CWG220 / SUMIFS(Aux_Totales!$N:$N, Aux_Totales!$F:$F, $F224, Aux_Totales!$A:$A,#REF!), 0))</f>
        <v/>
      </c>
      <c r="CWH224" s="19" t="str">
        <f>IF(CWH220 = "", "", IFERROR(CWH220 / SUMIFS(Aux_Totales!$N:$N, Aux_Totales!$F:$F, $F224, Aux_Totales!$A:$A,#REF!), 0))</f>
        <v/>
      </c>
      <c r="CWI224" s="19" t="str">
        <f>IF(CWI220 = "", "", IFERROR(CWI220 / SUMIFS(Aux_Totales!$N:$N, Aux_Totales!$F:$F, $F224, Aux_Totales!$A:$A,#REF!), 0))</f>
        <v/>
      </c>
      <c r="CWJ224" s="19" t="str">
        <f>IF(CWJ220 = "", "", IFERROR(CWJ220 / SUMIFS(Aux_Totales!$N:$N, Aux_Totales!$F:$F, $F224, Aux_Totales!$A:$A,#REF!), 0))</f>
        <v/>
      </c>
      <c r="CWK224" s="19" t="str">
        <f>IF(CWK220 = "", "", IFERROR(CWK220 / SUMIFS(Aux_Totales!$N:$N, Aux_Totales!$F:$F, $F224, Aux_Totales!$A:$A,#REF!), 0))</f>
        <v/>
      </c>
      <c r="CWL224" s="19" t="str">
        <f>IF(CWL220 = "", "", IFERROR(CWL220 / SUMIFS(Aux_Totales!$N:$N, Aux_Totales!$F:$F, $F224, Aux_Totales!$A:$A,#REF!), 0))</f>
        <v/>
      </c>
      <c r="CWM224" s="19" t="str">
        <f>IF(CWM220 = "", "", IFERROR(CWM220 / SUMIFS(Aux_Totales!$N:$N, Aux_Totales!$F:$F, $F224, Aux_Totales!$A:$A,#REF!), 0))</f>
        <v/>
      </c>
      <c r="CWN224" s="19" t="str">
        <f>IF(CWN220 = "", "", IFERROR(CWN220 / SUMIFS(Aux_Totales!$N:$N, Aux_Totales!$F:$F, $F224, Aux_Totales!$A:$A,#REF!), 0))</f>
        <v/>
      </c>
      <c r="CWO224" s="19" t="str">
        <f>IF(CWO220 = "", "", IFERROR(CWO220 / SUMIFS(Aux_Totales!$N:$N, Aux_Totales!$F:$F, $F224, Aux_Totales!$A:$A,#REF!), 0))</f>
        <v/>
      </c>
      <c r="CWP224" s="19" t="str">
        <f>IF(CWP220 = "", "", IFERROR(CWP220 / SUMIFS(Aux_Totales!$N:$N, Aux_Totales!$F:$F, $F224, Aux_Totales!$A:$A,#REF!), 0))</f>
        <v/>
      </c>
      <c r="CWQ224" s="19" t="str">
        <f>IF(CWQ220 = "", "", IFERROR(CWQ220 / SUMIFS(Aux_Totales!$N:$N, Aux_Totales!$F:$F, $F224, Aux_Totales!$A:$A,#REF!), 0))</f>
        <v/>
      </c>
      <c r="CWR224" s="19" t="str">
        <f>IF(CWR220 = "", "", IFERROR(CWR220 / SUMIFS(Aux_Totales!$N:$N, Aux_Totales!$F:$F, $F224, Aux_Totales!$A:$A,#REF!), 0))</f>
        <v/>
      </c>
      <c r="CWS224" s="19" t="str">
        <f>IF(CWS220 = "", "", IFERROR(CWS220 / SUMIFS(Aux_Totales!$N:$N, Aux_Totales!$F:$F, $F224, Aux_Totales!$A:$A,#REF!), 0))</f>
        <v/>
      </c>
      <c r="CWT224" s="19" t="str">
        <f>IF(CWT220 = "", "", IFERROR(CWT220 / SUMIFS(Aux_Totales!$N:$N, Aux_Totales!$F:$F, $F224, Aux_Totales!$A:$A,#REF!), 0))</f>
        <v/>
      </c>
      <c r="CWU224" s="19" t="str">
        <f>IF(CWU220 = "", "", IFERROR(CWU220 / SUMIFS(Aux_Totales!$N:$N, Aux_Totales!$F:$F, $F224, Aux_Totales!$A:$A,#REF!), 0))</f>
        <v/>
      </c>
      <c r="CWV224" s="19" t="str">
        <f>IF(CWV220 = "", "", IFERROR(CWV220 / SUMIFS(Aux_Totales!$N:$N, Aux_Totales!$F:$F, $F224, Aux_Totales!$A:$A,#REF!), 0))</f>
        <v/>
      </c>
      <c r="CWW224" s="19" t="str">
        <f>IF(CWW220 = "", "", IFERROR(CWW220 / SUMIFS(Aux_Totales!$N:$N, Aux_Totales!$F:$F, $F224, Aux_Totales!$A:$A,#REF!), 0))</f>
        <v/>
      </c>
      <c r="CWX224" s="19" t="str">
        <f>IF(CWX220 = "", "", IFERROR(CWX220 / SUMIFS(Aux_Totales!$N:$N, Aux_Totales!$F:$F, $F224, Aux_Totales!$A:$A,#REF!), 0))</f>
        <v/>
      </c>
      <c r="CWY224" s="19" t="str">
        <f>IF(CWY220 = "", "", IFERROR(CWY220 / SUMIFS(Aux_Totales!$N:$N, Aux_Totales!$F:$F, $F224, Aux_Totales!$A:$A,#REF!), 0))</f>
        <v/>
      </c>
      <c r="CWZ224" s="19" t="str">
        <f>IF(CWZ220 = "", "", IFERROR(CWZ220 / SUMIFS(Aux_Totales!$N:$N, Aux_Totales!$F:$F, $F224, Aux_Totales!$A:$A,#REF!), 0))</f>
        <v/>
      </c>
      <c r="CXA224" s="19" t="str">
        <f>IF(CXA220 = "", "", IFERROR(CXA220 / SUMIFS(Aux_Totales!$N:$N, Aux_Totales!$F:$F, $F224, Aux_Totales!$A:$A,#REF!), 0))</f>
        <v/>
      </c>
      <c r="CXB224" s="19" t="str">
        <f>IF(CXB220 = "", "", IFERROR(CXB220 / SUMIFS(Aux_Totales!$N:$N, Aux_Totales!$F:$F, $F224, Aux_Totales!$A:$A,#REF!), 0))</f>
        <v/>
      </c>
      <c r="CXC224" s="19" t="str">
        <f>IF(CXC220 = "", "", IFERROR(CXC220 / SUMIFS(Aux_Totales!$N:$N, Aux_Totales!$F:$F, $F224, Aux_Totales!$A:$A,#REF!), 0))</f>
        <v/>
      </c>
      <c r="CXD224" s="19" t="str">
        <f>IF(CXD220 = "", "", IFERROR(CXD220 / SUMIFS(Aux_Totales!$N:$N, Aux_Totales!$F:$F, $F224, Aux_Totales!$A:$A,#REF!), 0))</f>
        <v/>
      </c>
      <c r="CXE224" s="19" t="str">
        <f>IF(CXE220 = "", "", IFERROR(CXE220 / SUMIFS(Aux_Totales!$N:$N, Aux_Totales!$F:$F, $F224, Aux_Totales!$A:$A,#REF!), 0))</f>
        <v/>
      </c>
      <c r="CXF224" s="19" t="str">
        <f>IF(CXF220 = "", "", IFERROR(CXF220 / SUMIFS(Aux_Totales!$N:$N, Aux_Totales!$F:$F, $F224, Aux_Totales!$A:$A,#REF!), 0))</f>
        <v/>
      </c>
      <c r="CXG224" s="19" t="str">
        <f>IF(CXG220 = "", "", IFERROR(CXG220 / SUMIFS(Aux_Totales!$N:$N, Aux_Totales!$F:$F, $F224, Aux_Totales!$A:$A,#REF!), 0))</f>
        <v/>
      </c>
      <c r="CXH224" s="19" t="str">
        <f>IF(CXH220 = "", "", IFERROR(CXH220 / SUMIFS(Aux_Totales!$N:$N, Aux_Totales!$F:$F, $F224, Aux_Totales!$A:$A,#REF!), 0))</f>
        <v/>
      </c>
      <c r="CXI224" s="19" t="str">
        <f>IF(CXI220 = "", "", IFERROR(CXI220 / SUMIFS(Aux_Totales!$N:$N, Aux_Totales!$F:$F, $F224, Aux_Totales!$A:$A,#REF!), 0))</f>
        <v/>
      </c>
      <c r="CXJ224" s="19" t="str">
        <f>IF(CXJ220 = "", "", IFERROR(CXJ220 / SUMIFS(Aux_Totales!$N:$N, Aux_Totales!$F:$F, $F224, Aux_Totales!$A:$A,#REF!), 0))</f>
        <v/>
      </c>
      <c r="CXK224" s="19" t="str">
        <f>IF(CXK220 = "", "", IFERROR(CXK220 / SUMIFS(Aux_Totales!$N:$N, Aux_Totales!$F:$F, $F224, Aux_Totales!$A:$A,#REF!), 0))</f>
        <v/>
      </c>
      <c r="CXL224" s="19" t="str">
        <f>IF(CXL220 = "", "", IFERROR(CXL220 / SUMIFS(Aux_Totales!$N:$N, Aux_Totales!$F:$F, $F224, Aux_Totales!$A:$A,#REF!), 0))</f>
        <v/>
      </c>
      <c r="CXM224" s="19" t="str">
        <f>IF(CXM220 = "", "", IFERROR(CXM220 / SUMIFS(Aux_Totales!$N:$N, Aux_Totales!$F:$F, $F224, Aux_Totales!$A:$A,#REF!), 0))</f>
        <v/>
      </c>
      <c r="CXN224" s="19" t="str">
        <f>IF(CXN220 = "", "", IFERROR(CXN220 / SUMIFS(Aux_Totales!$N:$N, Aux_Totales!$F:$F, $F224, Aux_Totales!$A:$A,#REF!), 0))</f>
        <v/>
      </c>
      <c r="CXO224" s="19" t="str">
        <f>IF(CXO220 = "", "", IFERROR(CXO220 / SUMIFS(Aux_Totales!$N:$N, Aux_Totales!$F:$F, $F224, Aux_Totales!$A:$A,#REF!), 0))</f>
        <v/>
      </c>
      <c r="CXP224" s="19" t="str">
        <f>IF(CXP220 = "", "", IFERROR(CXP220 / SUMIFS(Aux_Totales!$N:$N, Aux_Totales!$F:$F, $F224, Aux_Totales!$A:$A,#REF!), 0))</f>
        <v/>
      </c>
      <c r="CXQ224" s="19" t="str">
        <f>IF(CXQ220 = "", "", IFERROR(CXQ220 / SUMIFS(Aux_Totales!$N:$N, Aux_Totales!$F:$F, $F224, Aux_Totales!$A:$A,#REF!), 0))</f>
        <v/>
      </c>
      <c r="CXR224" s="19" t="str">
        <f>IF(CXR220 = "", "", IFERROR(CXR220 / SUMIFS(Aux_Totales!$N:$N, Aux_Totales!$F:$F, $F224, Aux_Totales!$A:$A,#REF!), 0))</f>
        <v/>
      </c>
      <c r="CXS224" s="19" t="str">
        <f>IF(CXS220 = "", "", IFERROR(CXS220 / SUMIFS(Aux_Totales!$N:$N, Aux_Totales!$F:$F, $F224, Aux_Totales!$A:$A,#REF!), 0))</f>
        <v/>
      </c>
      <c r="CXT224" s="19" t="str">
        <f>IF(CXT220 = "", "", IFERROR(CXT220 / SUMIFS(Aux_Totales!$N:$N, Aux_Totales!$F:$F, $F224, Aux_Totales!$A:$A,#REF!), 0))</f>
        <v/>
      </c>
      <c r="CXU224" s="19" t="str">
        <f>IF(CXU220 = "", "", IFERROR(CXU220 / SUMIFS(Aux_Totales!$N:$N, Aux_Totales!$F:$F, $F224, Aux_Totales!$A:$A,#REF!), 0))</f>
        <v/>
      </c>
      <c r="CXV224" s="19" t="str">
        <f>IF(CXV220 = "", "", IFERROR(CXV220 / SUMIFS(Aux_Totales!$N:$N, Aux_Totales!$F:$F, $F224, Aux_Totales!$A:$A,#REF!), 0))</f>
        <v/>
      </c>
      <c r="CXW224" s="19" t="str">
        <f>IF(CXW220 = "", "", IFERROR(CXW220 / SUMIFS(Aux_Totales!$N:$N, Aux_Totales!$F:$F, $F224, Aux_Totales!$A:$A,#REF!), 0))</f>
        <v/>
      </c>
      <c r="CXX224" s="19" t="str">
        <f>IF(CXX220 = "", "", IFERROR(CXX220 / SUMIFS(Aux_Totales!$N:$N, Aux_Totales!$F:$F, $F224, Aux_Totales!$A:$A,#REF!), 0))</f>
        <v/>
      </c>
      <c r="CXY224" s="19" t="str">
        <f>IF(CXY220 = "", "", IFERROR(CXY220 / SUMIFS(Aux_Totales!$N:$N, Aux_Totales!$F:$F, $F224, Aux_Totales!$A:$A,#REF!), 0))</f>
        <v/>
      </c>
      <c r="CXZ224" s="19" t="str">
        <f>IF(CXZ220 = "", "", IFERROR(CXZ220 / SUMIFS(Aux_Totales!$N:$N, Aux_Totales!$F:$F, $F224, Aux_Totales!$A:$A,#REF!), 0))</f>
        <v/>
      </c>
      <c r="CYA224" s="19" t="str">
        <f>IF(CYA220 = "", "", IFERROR(CYA220 / SUMIFS(Aux_Totales!$N:$N, Aux_Totales!$F:$F, $F224, Aux_Totales!$A:$A,#REF!), 0))</f>
        <v/>
      </c>
      <c r="CYB224" s="19" t="str">
        <f>IF(CYB220 = "", "", IFERROR(CYB220 / SUMIFS(Aux_Totales!$N:$N, Aux_Totales!$F:$F, $F224, Aux_Totales!$A:$A,#REF!), 0))</f>
        <v/>
      </c>
      <c r="CYC224" s="19" t="str">
        <f>IF(CYC220 = "", "", IFERROR(CYC220 / SUMIFS(Aux_Totales!$N:$N, Aux_Totales!$F:$F, $F224, Aux_Totales!$A:$A,#REF!), 0))</f>
        <v/>
      </c>
      <c r="CYD224" s="19" t="str">
        <f>IF(CYD220 = "", "", IFERROR(CYD220 / SUMIFS(Aux_Totales!$N:$N, Aux_Totales!$F:$F, $F224, Aux_Totales!$A:$A,#REF!), 0))</f>
        <v/>
      </c>
      <c r="CYE224" s="19" t="str">
        <f>IF(CYE220 = "", "", IFERROR(CYE220 / SUMIFS(Aux_Totales!$N:$N, Aux_Totales!$F:$F, $F224, Aux_Totales!$A:$A,#REF!), 0))</f>
        <v/>
      </c>
      <c r="CYF224" s="19" t="str">
        <f>IF(CYF220 = "", "", IFERROR(CYF220 / SUMIFS(Aux_Totales!$N:$N, Aux_Totales!$F:$F, $F224, Aux_Totales!$A:$A,#REF!), 0))</f>
        <v/>
      </c>
      <c r="CYG224" s="19" t="str">
        <f>IF(CYG220 = "", "", IFERROR(CYG220 / SUMIFS(Aux_Totales!$N:$N, Aux_Totales!$F:$F, $F224, Aux_Totales!$A:$A,#REF!), 0))</f>
        <v/>
      </c>
      <c r="CYH224" s="19" t="str">
        <f>IF(CYH220 = "", "", IFERROR(CYH220 / SUMIFS(Aux_Totales!$N:$N, Aux_Totales!$F:$F, $F224, Aux_Totales!$A:$A,#REF!), 0))</f>
        <v/>
      </c>
      <c r="CYI224" s="19" t="str">
        <f>IF(CYI220 = "", "", IFERROR(CYI220 / SUMIFS(Aux_Totales!$N:$N, Aux_Totales!$F:$F, $F224, Aux_Totales!$A:$A,#REF!), 0))</f>
        <v/>
      </c>
      <c r="CYJ224" s="19" t="str">
        <f>IF(CYJ220 = "", "", IFERROR(CYJ220 / SUMIFS(Aux_Totales!$N:$N, Aux_Totales!$F:$F, $F224, Aux_Totales!$A:$A,#REF!), 0))</f>
        <v/>
      </c>
      <c r="CYK224" s="19" t="str">
        <f>IF(CYK220 = "", "", IFERROR(CYK220 / SUMIFS(Aux_Totales!$N:$N, Aux_Totales!$F:$F, $F224, Aux_Totales!$A:$A,#REF!), 0))</f>
        <v/>
      </c>
      <c r="CYL224" s="19" t="str">
        <f>IF(CYL220 = "", "", IFERROR(CYL220 / SUMIFS(Aux_Totales!$N:$N, Aux_Totales!$F:$F, $F224, Aux_Totales!$A:$A,#REF!), 0))</f>
        <v/>
      </c>
      <c r="CYM224" s="19" t="str">
        <f>IF(CYM220 = "", "", IFERROR(CYM220 / SUMIFS(Aux_Totales!$N:$N, Aux_Totales!$F:$F, $F224, Aux_Totales!$A:$A,#REF!), 0))</f>
        <v/>
      </c>
      <c r="CYN224" s="19" t="str">
        <f>IF(CYN220 = "", "", IFERROR(CYN220 / SUMIFS(Aux_Totales!$N:$N, Aux_Totales!$F:$F, $F224, Aux_Totales!$A:$A,#REF!), 0))</f>
        <v/>
      </c>
      <c r="CYO224" s="19" t="str">
        <f>IF(CYO220 = "", "", IFERROR(CYO220 / SUMIFS(Aux_Totales!$N:$N, Aux_Totales!$F:$F, $F224, Aux_Totales!$A:$A,#REF!), 0))</f>
        <v/>
      </c>
      <c r="CYP224" s="19" t="str">
        <f>IF(CYP220 = "", "", IFERROR(CYP220 / SUMIFS(Aux_Totales!$N:$N, Aux_Totales!$F:$F, $F224, Aux_Totales!$A:$A,#REF!), 0))</f>
        <v/>
      </c>
      <c r="CYQ224" s="19" t="str">
        <f>IF(CYQ220 = "", "", IFERROR(CYQ220 / SUMIFS(Aux_Totales!$N:$N, Aux_Totales!$F:$F, $F224, Aux_Totales!$A:$A,#REF!), 0))</f>
        <v/>
      </c>
      <c r="CYR224" s="19" t="str">
        <f>IF(CYR220 = "", "", IFERROR(CYR220 / SUMIFS(Aux_Totales!$N:$N, Aux_Totales!$F:$F, $F224, Aux_Totales!$A:$A,#REF!), 0))</f>
        <v/>
      </c>
      <c r="CYS224" s="19" t="str">
        <f>IF(CYS220 = "", "", IFERROR(CYS220 / SUMIFS(Aux_Totales!$N:$N, Aux_Totales!$F:$F, $F224, Aux_Totales!$A:$A,#REF!), 0))</f>
        <v/>
      </c>
      <c r="CYT224" s="19" t="str">
        <f>IF(CYT220 = "", "", IFERROR(CYT220 / SUMIFS(Aux_Totales!$N:$N, Aux_Totales!$F:$F, $F224, Aux_Totales!$A:$A,#REF!), 0))</f>
        <v/>
      </c>
      <c r="CYU224" s="19" t="str">
        <f>IF(CYU220 = "", "", IFERROR(CYU220 / SUMIFS(Aux_Totales!$N:$N, Aux_Totales!$F:$F, $F224, Aux_Totales!$A:$A,#REF!), 0))</f>
        <v/>
      </c>
      <c r="CYV224" s="19" t="str">
        <f>IF(CYV220 = "", "", IFERROR(CYV220 / SUMIFS(Aux_Totales!$N:$N, Aux_Totales!$F:$F, $F224, Aux_Totales!$A:$A,#REF!), 0))</f>
        <v/>
      </c>
      <c r="CYW224" s="19" t="str">
        <f>IF(CYW220 = "", "", IFERROR(CYW220 / SUMIFS(Aux_Totales!$N:$N, Aux_Totales!$F:$F, $F224, Aux_Totales!$A:$A,#REF!), 0))</f>
        <v/>
      </c>
      <c r="CYX224" s="19" t="str">
        <f>IF(CYX220 = "", "", IFERROR(CYX220 / SUMIFS(Aux_Totales!$N:$N, Aux_Totales!$F:$F, $F224, Aux_Totales!$A:$A,#REF!), 0))</f>
        <v/>
      </c>
      <c r="CYY224" s="19" t="str">
        <f>IF(CYY220 = "", "", IFERROR(CYY220 / SUMIFS(Aux_Totales!$N:$N, Aux_Totales!$F:$F, $F224, Aux_Totales!$A:$A,#REF!), 0))</f>
        <v/>
      </c>
      <c r="CYZ224" s="19" t="str">
        <f>IF(CYZ220 = "", "", IFERROR(CYZ220 / SUMIFS(Aux_Totales!$N:$N, Aux_Totales!$F:$F, $F224, Aux_Totales!$A:$A,#REF!), 0))</f>
        <v/>
      </c>
      <c r="CZA224" s="19" t="str">
        <f>IF(CZA220 = "", "", IFERROR(CZA220 / SUMIFS(Aux_Totales!$N:$N, Aux_Totales!$F:$F, $F224, Aux_Totales!$A:$A,#REF!), 0))</f>
        <v/>
      </c>
      <c r="CZB224" s="19" t="str">
        <f>IF(CZB220 = "", "", IFERROR(CZB220 / SUMIFS(Aux_Totales!$N:$N, Aux_Totales!$F:$F, $F224, Aux_Totales!$A:$A,#REF!), 0))</f>
        <v/>
      </c>
      <c r="CZC224" s="19" t="str">
        <f>IF(CZC220 = "", "", IFERROR(CZC220 / SUMIFS(Aux_Totales!$N:$N, Aux_Totales!$F:$F, $F224, Aux_Totales!$A:$A,#REF!), 0))</f>
        <v/>
      </c>
      <c r="CZD224" s="19" t="str">
        <f>IF(CZD220 = "", "", IFERROR(CZD220 / SUMIFS(Aux_Totales!$N:$N, Aux_Totales!$F:$F, $F224, Aux_Totales!$A:$A,#REF!), 0))</f>
        <v/>
      </c>
      <c r="CZE224" s="19" t="str">
        <f>IF(CZE220 = "", "", IFERROR(CZE220 / SUMIFS(Aux_Totales!$N:$N, Aux_Totales!$F:$F, $F224, Aux_Totales!$A:$A,#REF!), 0))</f>
        <v/>
      </c>
      <c r="CZF224" s="19" t="str">
        <f>IF(CZF220 = "", "", IFERROR(CZF220 / SUMIFS(Aux_Totales!$N:$N, Aux_Totales!$F:$F, $F224, Aux_Totales!$A:$A,#REF!), 0))</f>
        <v/>
      </c>
      <c r="CZG224" s="19" t="str">
        <f>IF(CZG220 = "", "", IFERROR(CZG220 / SUMIFS(Aux_Totales!$N:$N, Aux_Totales!$F:$F, $F224, Aux_Totales!$A:$A,#REF!), 0))</f>
        <v/>
      </c>
      <c r="CZH224" s="19" t="str">
        <f>IF(CZH220 = "", "", IFERROR(CZH220 / SUMIFS(Aux_Totales!$N:$N, Aux_Totales!$F:$F, $F224, Aux_Totales!$A:$A,#REF!), 0))</f>
        <v/>
      </c>
      <c r="CZI224" s="19" t="str">
        <f>IF(CZI220 = "", "", IFERROR(CZI220 / SUMIFS(Aux_Totales!$N:$N, Aux_Totales!$F:$F, $F224, Aux_Totales!$A:$A,#REF!), 0))</f>
        <v/>
      </c>
      <c r="CZJ224" s="19" t="str">
        <f>IF(CZJ220 = "", "", IFERROR(CZJ220 / SUMIFS(Aux_Totales!$N:$N, Aux_Totales!$F:$F, $F224, Aux_Totales!$A:$A,#REF!), 0))</f>
        <v/>
      </c>
      <c r="CZK224" s="19" t="str">
        <f>IF(CZK220 = "", "", IFERROR(CZK220 / SUMIFS(Aux_Totales!$N:$N, Aux_Totales!$F:$F, $F224, Aux_Totales!$A:$A,#REF!), 0))</f>
        <v/>
      </c>
      <c r="CZL224" s="19" t="str">
        <f>IF(CZL220 = "", "", IFERROR(CZL220 / SUMIFS(Aux_Totales!$N:$N, Aux_Totales!$F:$F, $F224, Aux_Totales!$A:$A,#REF!), 0))</f>
        <v/>
      </c>
      <c r="CZM224" s="19" t="str">
        <f>IF(CZM220 = "", "", IFERROR(CZM220 / SUMIFS(Aux_Totales!$N:$N, Aux_Totales!$F:$F, $F224, Aux_Totales!$A:$A,#REF!), 0))</f>
        <v/>
      </c>
      <c r="CZN224" s="19" t="str">
        <f>IF(CZN220 = "", "", IFERROR(CZN220 / SUMIFS(Aux_Totales!$N:$N, Aux_Totales!$F:$F, $F224, Aux_Totales!$A:$A,#REF!), 0))</f>
        <v/>
      </c>
      <c r="CZO224" s="19" t="str">
        <f>IF(CZO220 = "", "", IFERROR(CZO220 / SUMIFS(Aux_Totales!$N:$N, Aux_Totales!$F:$F, $F224, Aux_Totales!$A:$A,#REF!), 0))</f>
        <v/>
      </c>
      <c r="CZP224" s="19" t="str">
        <f>IF(CZP220 = "", "", IFERROR(CZP220 / SUMIFS(Aux_Totales!$N:$N, Aux_Totales!$F:$F, $F224, Aux_Totales!$A:$A,#REF!), 0))</f>
        <v/>
      </c>
      <c r="CZQ224" s="19" t="str">
        <f>IF(CZQ220 = "", "", IFERROR(CZQ220 / SUMIFS(Aux_Totales!$N:$N, Aux_Totales!$F:$F, $F224, Aux_Totales!$A:$A,#REF!), 0))</f>
        <v/>
      </c>
      <c r="CZR224" s="19" t="str">
        <f>IF(CZR220 = "", "", IFERROR(CZR220 / SUMIFS(Aux_Totales!$N:$N, Aux_Totales!$F:$F, $F224, Aux_Totales!$A:$A,#REF!), 0))</f>
        <v/>
      </c>
      <c r="CZS224" s="19" t="str">
        <f>IF(CZS220 = "", "", IFERROR(CZS220 / SUMIFS(Aux_Totales!$N:$N, Aux_Totales!$F:$F, $F224, Aux_Totales!$A:$A,#REF!), 0))</f>
        <v/>
      </c>
      <c r="CZT224" s="19" t="str">
        <f>IF(CZT220 = "", "", IFERROR(CZT220 / SUMIFS(Aux_Totales!$N:$N, Aux_Totales!$F:$F, $F224, Aux_Totales!$A:$A,#REF!), 0))</f>
        <v/>
      </c>
      <c r="CZU224" s="19" t="str">
        <f>IF(CZU220 = "", "", IFERROR(CZU220 / SUMIFS(Aux_Totales!$N:$N, Aux_Totales!$F:$F, $F224, Aux_Totales!$A:$A,#REF!), 0))</f>
        <v/>
      </c>
      <c r="CZV224" s="19" t="str">
        <f>IF(CZV220 = "", "", IFERROR(CZV220 / SUMIFS(Aux_Totales!$N:$N, Aux_Totales!$F:$F, $F224, Aux_Totales!$A:$A,#REF!), 0))</f>
        <v/>
      </c>
      <c r="CZW224" s="19" t="str">
        <f>IF(CZW220 = "", "", IFERROR(CZW220 / SUMIFS(Aux_Totales!$N:$N, Aux_Totales!$F:$F, $F224, Aux_Totales!$A:$A,#REF!), 0))</f>
        <v/>
      </c>
      <c r="CZX224" s="19" t="str">
        <f>IF(CZX220 = "", "", IFERROR(CZX220 / SUMIFS(Aux_Totales!$N:$N, Aux_Totales!$F:$F, $F224, Aux_Totales!$A:$A,#REF!), 0))</f>
        <v/>
      </c>
      <c r="CZY224" s="19" t="str">
        <f>IF(CZY220 = "", "", IFERROR(CZY220 / SUMIFS(Aux_Totales!$N:$N, Aux_Totales!$F:$F, $F224, Aux_Totales!$A:$A,#REF!), 0))</f>
        <v/>
      </c>
      <c r="CZZ224" s="19" t="str">
        <f>IF(CZZ220 = "", "", IFERROR(CZZ220 / SUMIFS(Aux_Totales!$N:$N, Aux_Totales!$F:$F, $F224, Aux_Totales!$A:$A,#REF!), 0))</f>
        <v/>
      </c>
      <c r="DAA224" s="19" t="str">
        <f>IF(DAA220 = "", "", IFERROR(DAA220 / SUMIFS(Aux_Totales!$N:$N, Aux_Totales!$F:$F, $F224, Aux_Totales!$A:$A,#REF!), 0))</f>
        <v/>
      </c>
      <c r="DAB224" s="19" t="str">
        <f>IF(DAB220 = "", "", IFERROR(DAB220 / SUMIFS(Aux_Totales!$N:$N, Aux_Totales!$F:$F, $F224, Aux_Totales!$A:$A,#REF!), 0))</f>
        <v/>
      </c>
      <c r="DAC224" s="19" t="str">
        <f>IF(DAC220 = "", "", IFERROR(DAC220 / SUMIFS(Aux_Totales!$N:$N, Aux_Totales!$F:$F, $F224, Aux_Totales!$A:$A,#REF!), 0))</f>
        <v/>
      </c>
      <c r="DAD224" s="19" t="str">
        <f>IF(DAD220 = "", "", IFERROR(DAD220 / SUMIFS(Aux_Totales!$N:$N, Aux_Totales!$F:$F, $F224, Aux_Totales!$A:$A,#REF!), 0))</f>
        <v/>
      </c>
      <c r="DAE224" s="19" t="str">
        <f>IF(DAE220 = "", "", IFERROR(DAE220 / SUMIFS(Aux_Totales!$N:$N, Aux_Totales!$F:$F, $F224, Aux_Totales!$A:$A,#REF!), 0))</f>
        <v/>
      </c>
      <c r="DAF224" s="19" t="str">
        <f>IF(DAF220 = "", "", IFERROR(DAF220 / SUMIFS(Aux_Totales!$N:$N, Aux_Totales!$F:$F, $F224, Aux_Totales!$A:$A,#REF!), 0))</f>
        <v/>
      </c>
      <c r="DAG224" s="19" t="str">
        <f>IF(DAG220 = "", "", IFERROR(DAG220 / SUMIFS(Aux_Totales!$N:$N, Aux_Totales!$F:$F, $F224, Aux_Totales!$A:$A,#REF!), 0))</f>
        <v/>
      </c>
      <c r="DAH224" s="19" t="str">
        <f>IF(DAH220 = "", "", IFERROR(DAH220 / SUMIFS(Aux_Totales!$N:$N, Aux_Totales!$F:$F, $F224, Aux_Totales!$A:$A,#REF!), 0))</f>
        <v/>
      </c>
      <c r="DAI224" s="19" t="str">
        <f>IF(DAI220 = "", "", IFERROR(DAI220 / SUMIFS(Aux_Totales!$N:$N, Aux_Totales!$F:$F, $F224, Aux_Totales!$A:$A,#REF!), 0))</f>
        <v/>
      </c>
      <c r="DAJ224" s="19" t="str">
        <f>IF(DAJ220 = "", "", IFERROR(DAJ220 / SUMIFS(Aux_Totales!$N:$N, Aux_Totales!$F:$F, $F224, Aux_Totales!$A:$A,#REF!), 0))</f>
        <v/>
      </c>
      <c r="DAK224" s="19" t="str">
        <f>IF(DAK220 = "", "", IFERROR(DAK220 / SUMIFS(Aux_Totales!$N:$N, Aux_Totales!$F:$F, $F224, Aux_Totales!$A:$A,#REF!), 0))</f>
        <v/>
      </c>
      <c r="DAL224" s="19" t="str">
        <f>IF(DAL220 = "", "", IFERROR(DAL220 / SUMIFS(Aux_Totales!$N:$N, Aux_Totales!$F:$F, $F224, Aux_Totales!$A:$A,#REF!), 0))</f>
        <v/>
      </c>
      <c r="DAM224" s="19" t="str">
        <f>IF(DAM220 = "", "", IFERROR(DAM220 / SUMIFS(Aux_Totales!$N:$N, Aux_Totales!$F:$F, $F224, Aux_Totales!$A:$A,#REF!), 0))</f>
        <v/>
      </c>
      <c r="DAN224" s="19" t="str">
        <f>IF(DAN220 = "", "", IFERROR(DAN220 / SUMIFS(Aux_Totales!$N:$N, Aux_Totales!$F:$F, $F224, Aux_Totales!$A:$A,#REF!), 0))</f>
        <v/>
      </c>
      <c r="DAO224" s="19" t="str">
        <f>IF(DAO220 = "", "", IFERROR(DAO220 / SUMIFS(Aux_Totales!$N:$N, Aux_Totales!$F:$F, $F224, Aux_Totales!$A:$A,#REF!), 0))</f>
        <v/>
      </c>
      <c r="DAP224" s="19" t="str">
        <f>IF(DAP220 = "", "", IFERROR(DAP220 / SUMIFS(Aux_Totales!$N:$N, Aux_Totales!$F:$F, $F224, Aux_Totales!$A:$A,#REF!), 0))</f>
        <v/>
      </c>
      <c r="DAQ224" s="19" t="str">
        <f>IF(DAQ220 = "", "", IFERROR(DAQ220 / SUMIFS(Aux_Totales!$N:$N, Aux_Totales!$F:$F, $F224, Aux_Totales!$A:$A,#REF!), 0))</f>
        <v/>
      </c>
      <c r="DAR224" s="19" t="str">
        <f>IF(DAR220 = "", "", IFERROR(DAR220 / SUMIFS(Aux_Totales!$N:$N, Aux_Totales!$F:$F, $F224, Aux_Totales!$A:$A,#REF!), 0))</f>
        <v/>
      </c>
      <c r="DAS224" s="19" t="str">
        <f>IF(DAS220 = "", "", IFERROR(DAS220 / SUMIFS(Aux_Totales!$N:$N, Aux_Totales!$F:$F, $F224, Aux_Totales!$A:$A,#REF!), 0))</f>
        <v/>
      </c>
      <c r="DAT224" s="19" t="str">
        <f>IF(DAT220 = "", "", IFERROR(DAT220 / SUMIFS(Aux_Totales!$N:$N, Aux_Totales!$F:$F, $F224, Aux_Totales!$A:$A,#REF!), 0))</f>
        <v/>
      </c>
      <c r="DAU224" s="19" t="str">
        <f>IF(DAU220 = "", "", IFERROR(DAU220 / SUMIFS(Aux_Totales!$N:$N, Aux_Totales!$F:$F, $F224, Aux_Totales!$A:$A,#REF!), 0))</f>
        <v/>
      </c>
      <c r="DAV224" s="19" t="str">
        <f>IF(DAV220 = "", "", IFERROR(DAV220 / SUMIFS(Aux_Totales!$N:$N, Aux_Totales!$F:$F, $F224, Aux_Totales!$A:$A,#REF!), 0))</f>
        <v/>
      </c>
      <c r="DAW224" s="19" t="str">
        <f>IF(DAW220 = "", "", IFERROR(DAW220 / SUMIFS(Aux_Totales!$N:$N, Aux_Totales!$F:$F, $F224, Aux_Totales!$A:$A,#REF!), 0))</f>
        <v/>
      </c>
      <c r="DAX224" s="19" t="str">
        <f>IF(DAX220 = "", "", IFERROR(DAX220 / SUMIFS(Aux_Totales!$N:$N, Aux_Totales!$F:$F, $F224, Aux_Totales!$A:$A,#REF!), 0))</f>
        <v/>
      </c>
      <c r="DAY224" s="19" t="str">
        <f>IF(DAY220 = "", "", IFERROR(DAY220 / SUMIFS(Aux_Totales!$N:$N, Aux_Totales!$F:$F, $F224, Aux_Totales!$A:$A,#REF!), 0))</f>
        <v/>
      </c>
      <c r="DAZ224" s="19" t="str">
        <f>IF(DAZ220 = "", "", IFERROR(DAZ220 / SUMIFS(Aux_Totales!$N:$N, Aux_Totales!$F:$F, $F224, Aux_Totales!$A:$A,#REF!), 0))</f>
        <v/>
      </c>
      <c r="DBA224" s="19" t="str">
        <f>IF(DBA220 = "", "", IFERROR(DBA220 / SUMIFS(Aux_Totales!$N:$N, Aux_Totales!$F:$F, $F224, Aux_Totales!$A:$A,#REF!), 0))</f>
        <v/>
      </c>
      <c r="DBB224" s="19" t="str">
        <f>IF(DBB220 = "", "", IFERROR(DBB220 / SUMIFS(Aux_Totales!$N:$N, Aux_Totales!$F:$F, $F224, Aux_Totales!$A:$A,#REF!), 0))</f>
        <v/>
      </c>
      <c r="DBC224" s="19" t="str">
        <f>IF(DBC220 = "", "", IFERROR(DBC220 / SUMIFS(Aux_Totales!$N:$N, Aux_Totales!$F:$F, $F224, Aux_Totales!$A:$A,#REF!), 0))</f>
        <v/>
      </c>
      <c r="DBD224" s="19" t="str">
        <f>IF(DBD220 = "", "", IFERROR(DBD220 / SUMIFS(Aux_Totales!$N:$N, Aux_Totales!$F:$F, $F224, Aux_Totales!$A:$A,#REF!), 0))</f>
        <v/>
      </c>
      <c r="DBE224" s="19" t="str">
        <f>IF(DBE220 = "", "", IFERROR(DBE220 / SUMIFS(Aux_Totales!$N:$N, Aux_Totales!$F:$F, $F224, Aux_Totales!$A:$A,#REF!), 0))</f>
        <v/>
      </c>
      <c r="DBF224" s="19" t="str">
        <f>IF(DBF220 = "", "", IFERROR(DBF220 / SUMIFS(Aux_Totales!$N:$N, Aux_Totales!$F:$F, $F224, Aux_Totales!$A:$A,#REF!), 0))</f>
        <v/>
      </c>
      <c r="DBG224" s="19" t="str">
        <f>IF(DBG220 = "", "", IFERROR(DBG220 / SUMIFS(Aux_Totales!$N:$N, Aux_Totales!$F:$F, $F224, Aux_Totales!$A:$A,#REF!), 0))</f>
        <v/>
      </c>
      <c r="DBH224" s="19" t="str">
        <f>IF(DBH220 = "", "", IFERROR(DBH220 / SUMIFS(Aux_Totales!$N:$N, Aux_Totales!$F:$F, $F224, Aux_Totales!$A:$A,#REF!), 0))</f>
        <v/>
      </c>
      <c r="DBI224" s="19" t="str">
        <f>IF(DBI220 = "", "", IFERROR(DBI220 / SUMIFS(Aux_Totales!$N:$N, Aux_Totales!$F:$F, $F224, Aux_Totales!$A:$A,#REF!), 0))</f>
        <v/>
      </c>
      <c r="DBJ224" s="19" t="str">
        <f>IF(DBJ220 = "", "", IFERROR(DBJ220 / SUMIFS(Aux_Totales!$N:$N, Aux_Totales!$F:$F, $F224, Aux_Totales!$A:$A,#REF!), 0))</f>
        <v/>
      </c>
      <c r="DBK224" s="19" t="str">
        <f>IF(DBK220 = "", "", IFERROR(DBK220 / SUMIFS(Aux_Totales!$N:$N, Aux_Totales!$F:$F, $F224, Aux_Totales!$A:$A,#REF!), 0))</f>
        <v/>
      </c>
      <c r="DBL224" s="19" t="str">
        <f>IF(DBL220 = "", "", IFERROR(DBL220 / SUMIFS(Aux_Totales!$N:$N, Aux_Totales!$F:$F, $F224, Aux_Totales!$A:$A,#REF!), 0))</f>
        <v/>
      </c>
      <c r="DBM224" s="19" t="str">
        <f>IF(DBM220 = "", "", IFERROR(DBM220 / SUMIFS(Aux_Totales!$N:$N, Aux_Totales!$F:$F, $F224, Aux_Totales!$A:$A,#REF!), 0))</f>
        <v/>
      </c>
      <c r="DBN224" s="19" t="str">
        <f>IF(DBN220 = "", "", IFERROR(DBN220 / SUMIFS(Aux_Totales!$N:$N, Aux_Totales!$F:$F, $F224, Aux_Totales!$A:$A,#REF!), 0))</f>
        <v/>
      </c>
      <c r="DBO224" s="19" t="str">
        <f>IF(DBO220 = "", "", IFERROR(DBO220 / SUMIFS(Aux_Totales!$N:$N, Aux_Totales!$F:$F, $F224, Aux_Totales!$A:$A,#REF!), 0))</f>
        <v/>
      </c>
      <c r="DBP224" s="19" t="str">
        <f>IF(DBP220 = "", "", IFERROR(DBP220 / SUMIFS(Aux_Totales!$N:$N, Aux_Totales!$F:$F, $F224, Aux_Totales!$A:$A,#REF!), 0))</f>
        <v/>
      </c>
      <c r="DBQ224" s="19" t="str">
        <f>IF(DBQ220 = "", "", IFERROR(DBQ220 / SUMIFS(Aux_Totales!$N:$N, Aux_Totales!$F:$F, $F224, Aux_Totales!$A:$A,#REF!), 0))</f>
        <v/>
      </c>
      <c r="DBR224" s="19" t="str">
        <f>IF(DBR220 = "", "", IFERROR(DBR220 / SUMIFS(Aux_Totales!$N:$N, Aux_Totales!$F:$F, $F224, Aux_Totales!$A:$A,#REF!), 0))</f>
        <v/>
      </c>
      <c r="DBS224" s="19" t="str">
        <f>IF(DBS220 = "", "", IFERROR(DBS220 / SUMIFS(Aux_Totales!$N:$N, Aux_Totales!$F:$F, $F224, Aux_Totales!$A:$A,#REF!), 0))</f>
        <v/>
      </c>
      <c r="DBT224" s="19" t="str">
        <f>IF(DBT220 = "", "", IFERROR(DBT220 / SUMIFS(Aux_Totales!$N:$N, Aux_Totales!$F:$F, $F224, Aux_Totales!$A:$A,#REF!), 0))</f>
        <v/>
      </c>
      <c r="DBU224" s="19" t="str">
        <f>IF(DBU220 = "", "", IFERROR(DBU220 / SUMIFS(Aux_Totales!$N:$N, Aux_Totales!$F:$F, $F224, Aux_Totales!$A:$A,#REF!), 0))</f>
        <v/>
      </c>
      <c r="DBV224" s="19" t="str">
        <f>IF(DBV220 = "", "", IFERROR(DBV220 / SUMIFS(Aux_Totales!$N:$N, Aux_Totales!$F:$F, $F224, Aux_Totales!$A:$A,#REF!), 0))</f>
        <v/>
      </c>
      <c r="DBW224" s="19" t="str">
        <f>IF(DBW220 = "", "", IFERROR(DBW220 / SUMIFS(Aux_Totales!$N:$N, Aux_Totales!$F:$F, $F224, Aux_Totales!$A:$A,#REF!), 0))</f>
        <v/>
      </c>
      <c r="DBX224" s="19" t="str">
        <f>IF(DBX220 = "", "", IFERROR(DBX220 / SUMIFS(Aux_Totales!$N:$N, Aux_Totales!$F:$F, $F224, Aux_Totales!$A:$A,#REF!), 0))</f>
        <v/>
      </c>
      <c r="DBY224" s="19" t="str">
        <f>IF(DBY220 = "", "", IFERROR(DBY220 / SUMIFS(Aux_Totales!$N:$N, Aux_Totales!$F:$F, $F224, Aux_Totales!$A:$A,#REF!), 0))</f>
        <v/>
      </c>
      <c r="DBZ224" s="19" t="str">
        <f>IF(DBZ220 = "", "", IFERROR(DBZ220 / SUMIFS(Aux_Totales!$N:$N, Aux_Totales!$F:$F, $F224, Aux_Totales!$A:$A,#REF!), 0))</f>
        <v/>
      </c>
      <c r="DCA224" s="19" t="str">
        <f>IF(DCA220 = "", "", IFERROR(DCA220 / SUMIFS(Aux_Totales!$N:$N, Aux_Totales!$F:$F, $F224, Aux_Totales!$A:$A,#REF!), 0))</f>
        <v/>
      </c>
      <c r="DCB224" s="19" t="str">
        <f>IF(DCB220 = "", "", IFERROR(DCB220 / SUMIFS(Aux_Totales!$N:$N, Aux_Totales!$F:$F, $F224, Aux_Totales!$A:$A,#REF!), 0))</f>
        <v/>
      </c>
      <c r="DCC224" s="19" t="str">
        <f>IF(DCC220 = "", "", IFERROR(DCC220 / SUMIFS(Aux_Totales!$N:$N, Aux_Totales!$F:$F, $F224, Aux_Totales!$A:$A,#REF!), 0))</f>
        <v/>
      </c>
      <c r="DCD224" s="19" t="str">
        <f>IF(DCD220 = "", "", IFERROR(DCD220 / SUMIFS(Aux_Totales!$N:$N, Aux_Totales!$F:$F, $F224, Aux_Totales!$A:$A,#REF!), 0))</f>
        <v/>
      </c>
      <c r="DCE224" s="19" t="str">
        <f>IF(DCE220 = "", "", IFERROR(DCE220 / SUMIFS(Aux_Totales!$N:$N, Aux_Totales!$F:$F, $F224, Aux_Totales!$A:$A,#REF!), 0))</f>
        <v/>
      </c>
      <c r="DCF224" s="19" t="str">
        <f>IF(DCF220 = "", "", IFERROR(DCF220 / SUMIFS(Aux_Totales!$N:$N, Aux_Totales!$F:$F, $F224, Aux_Totales!$A:$A,#REF!), 0))</f>
        <v/>
      </c>
      <c r="DCG224" s="19" t="str">
        <f>IF(DCG220 = "", "", IFERROR(DCG220 / SUMIFS(Aux_Totales!$N:$N, Aux_Totales!$F:$F, $F224, Aux_Totales!$A:$A,#REF!), 0))</f>
        <v/>
      </c>
      <c r="DCH224" s="19" t="str">
        <f>IF(DCH220 = "", "", IFERROR(DCH220 / SUMIFS(Aux_Totales!$N:$N, Aux_Totales!$F:$F, $F224, Aux_Totales!$A:$A,#REF!), 0))</f>
        <v/>
      </c>
      <c r="DCI224" s="19" t="str">
        <f>IF(DCI220 = "", "", IFERROR(DCI220 / SUMIFS(Aux_Totales!$N:$N, Aux_Totales!$F:$F, $F224, Aux_Totales!$A:$A,#REF!), 0))</f>
        <v/>
      </c>
      <c r="DCJ224" s="19" t="str">
        <f>IF(DCJ220 = "", "", IFERROR(DCJ220 / SUMIFS(Aux_Totales!$N:$N, Aux_Totales!$F:$F, $F224, Aux_Totales!$A:$A,#REF!), 0))</f>
        <v/>
      </c>
      <c r="DCK224" s="19" t="str">
        <f>IF(DCK220 = "", "", IFERROR(DCK220 / SUMIFS(Aux_Totales!$N:$N, Aux_Totales!$F:$F, $F224, Aux_Totales!$A:$A,#REF!), 0))</f>
        <v/>
      </c>
      <c r="DCL224" s="19" t="str">
        <f>IF(DCL220 = "", "", IFERROR(DCL220 / SUMIFS(Aux_Totales!$N:$N, Aux_Totales!$F:$F, $F224, Aux_Totales!$A:$A,#REF!), 0))</f>
        <v/>
      </c>
      <c r="DCM224" s="19" t="str">
        <f>IF(DCM220 = "", "", IFERROR(DCM220 / SUMIFS(Aux_Totales!$N:$N, Aux_Totales!$F:$F, $F224, Aux_Totales!$A:$A,#REF!), 0))</f>
        <v/>
      </c>
      <c r="DCN224" s="19" t="str">
        <f>IF(DCN220 = "", "", IFERROR(DCN220 / SUMIFS(Aux_Totales!$N:$N, Aux_Totales!$F:$F, $F224, Aux_Totales!$A:$A,#REF!), 0))</f>
        <v/>
      </c>
      <c r="DCO224" s="19" t="str">
        <f>IF(DCO220 = "", "", IFERROR(DCO220 / SUMIFS(Aux_Totales!$N:$N, Aux_Totales!$F:$F, $F224, Aux_Totales!$A:$A,#REF!), 0))</f>
        <v/>
      </c>
      <c r="DCP224" s="19" t="str">
        <f>IF(DCP220 = "", "", IFERROR(DCP220 / SUMIFS(Aux_Totales!$N:$N, Aux_Totales!$F:$F, $F224, Aux_Totales!$A:$A,#REF!), 0))</f>
        <v/>
      </c>
      <c r="DCQ224" s="19" t="str">
        <f>IF(DCQ220 = "", "", IFERROR(DCQ220 / SUMIFS(Aux_Totales!$N:$N, Aux_Totales!$F:$F, $F224, Aux_Totales!$A:$A,#REF!), 0))</f>
        <v/>
      </c>
      <c r="DCR224" s="19" t="str">
        <f>IF(DCR220 = "", "", IFERROR(DCR220 / SUMIFS(Aux_Totales!$N:$N, Aux_Totales!$F:$F, $F224, Aux_Totales!$A:$A,#REF!), 0))</f>
        <v/>
      </c>
      <c r="DCS224" s="19" t="str">
        <f>IF(DCS220 = "", "", IFERROR(DCS220 / SUMIFS(Aux_Totales!$N:$N, Aux_Totales!$F:$F, $F224, Aux_Totales!$A:$A,#REF!), 0))</f>
        <v/>
      </c>
      <c r="DCT224" s="19" t="str">
        <f>IF(DCT220 = "", "", IFERROR(DCT220 / SUMIFS(Aux_Totales!$N:$N, Aux_Totales!$F:$F, $F224, Aux_Totales!$A:$A,#REF!), 0))</f>
        <v/>
      </c>
      <c r="DCU224" s="19" t="str">
        <f>IF(DCU220 = "", "", IFERROR(DCU220 / SUMIFS(Aux_Totales!$N:$N, Aux_Totales!$F:$F, $F224, Aux_Totales!$A:$A,#REF!), 0))</f>
        <v/>
      </c>
      <c r="DCV224" s="19" t="str">
        <f>IF(DCV220 = "", "", IFERROR(DCV220 / SUMIFS(Aux_Totales!$N:$N, Aux_Totales!$F:$F, $F224, Aux_Totales!$A:$A,#REF!), 0))</f>
        <v/>
      </c>
      <c r="DCW224" s="19" t="str">
        <f>IF(DCW220 = "", "", IFERROR(DCW220 / SUMIFS(Aux_Totales!$N:$N, Aux_Totales!$F:$F, $F224, Aux_Totales!$A:$A,#REF!), 0))</f>
        <v/>
      </c>
      <c r="DCX224" s="19" t="str">
        <f>IF(DCX220 = "", "", IFERROR(DCX220 / SUMIFS(Aux_Totales!$N:$N, Aux_Totales!$F:$F, $F224, Aux_Totales!$A:$A,#REF!), 0))</f>
        <v/>
      </c>
      <c r="DCY224" s="19" t="str">
        <f>IF(DCY220 = "", "", IFERROR(DCY220 / SUMIFS(Aux_Totales!$N:$N, Aux_Totales!$F:$F, $F224, Aux_Totales!$A:$A,#REF!), 0))</f>
        <v/>
      </c>
      <c r="DCZ224" s="19" t="str">
        <f>IF(DCZ220 = "", "", IFERROR(DCZ220 / SUMIFS(Aux_Totales!$N:$N, Aux_Totales!$F:$F, $F224, Aux_Totales!$A:$A,#REF!), 0))</f>
        <v/>
      </c>
      <c r="DDA224" s="19" t="str">
        <f>IF(DDA220 = "", "", IFERROR(DDA220 / SUMIFS(Aux_Totales!$N:$N, Aux_Totales!$F:$F, $F224, Aux_Totales!$A:$A,#REF!), 0))</f>
        <v/>
      </c>
      <c r="DDB224" s="19" t="str">
        <f>IF(DDB220 = "", "", IFERROR(DDB220 / SUMIFS(Aux_Totales!$N:$N, Aux_Totales!$F:$F, $F224, Aux_Totales!$A:$A,#REF!), 0))</f>
        <v/>
      </c>
      <c r="DDC224" s="19" t="str">
        <f>IF(DDC220 = "", "", IFERROR(DDC220 / SUMIFS(Aux_Totales!$N:$N, Aux_Totales!$F:$F, $F224, Aux_Totales!$A:$A,#REF!), 0))</f>
        <v/>
      </c>
      <c r="DDD224" s="19" t="str">
        <f>IF(DDD220 = "", "", IFERROR(DDD220 / SUMIFS(Aux_Totales!$N:$N, Aux_Totales!$F:$F, $F224, Aux_Totales!$A:$A,#REF!), 0))</f>
        <v/>
      </c>
      <c r="DDE224" s="19" t="str">
        <f>IF(DDE220 = "", "", IFERROR(DDE220 / SUMIFS(Aux_Totales!$N:$N, Aux_Totales!$F:$F, $F224, Aux_Totales!$A:$A,#REF!), 0))</f>
        <v/>
      </c>
      <c r="DDF224" s="19" t="str">
        <f>IF(DDF220 = "", "", IFERROR(DDF220 / SUMIFS(Aux_Totales!$N:$N, Aux_Totales!$F:$F, $F224, Aux_Totales!$A:$A,#REF!), 0))</f>
        <v/>
      </c>
      <c r="DDG224" s="19" t="str">
        <f>IF(DDG220 = "", "", IFERROR(DDG220 / SUMIFS(Aux_Totales!$N:$N, Aux_Totales!$F:$F, $F224, Aux_Totales!$A:$A,#REF!), 0))</f>
        <v/>
      </c>
      <c r="DDH224" s="19" t="str">
        <f>IF(DDH220 = "", "", IFERROR(DDH220 / SUMIFS(Aux_Totales!$N:$N, Aux_Totales!$F:$F, $F224, Aux_Totales!$A:$A,#REF!), 0))</f>
        <v/>
      </c>
      <c r="DDI224" s="19" t="str">
        <f>IF(DDI220 = "", "", IFERROR(DDI220 / SUMIFS(Aux_Totales!$N:$N, Aux_Totales!$F:$F, $F224, Aux_Totales!$A:$A,#REF!), 0))</f>
        <v/>
      </c>
      <c r="DDJ224" s="19" t="str">
        <f>IF(DDJ220 = "", "", IFERROR(DDJ220 / SUMIFS(Aux_Totales!$N:$N, Aux_Totales!$F:$F, $F224, Aux_Totales!$A:$A,#REF!), 0))</f>
        <v/>
      </c>
      <c r="DDK224" s="19" t="str">
        <f>IF(DDK220 = "", "", IFERROR(DDK220 / SUMIFS(Aux_Totales!$N:$N, Aux_Totales!$F:$F, $F224, Aux_Totales!$A:$A,#REF!), 0))</f>
        <v/>
      </c>
      <c r="DDL224" s="19" t="str">
        <f>IF(DDL220 = "", "", IFERROR(DDL220 / SUMIFS(Aux_Totales!$N:$N, Aux_Totales!$F:$F, $F224, Aux_Totales!$A:$A,#REF!), 0))</f>
        <v/>
      </c>
      <c r="DDM224" s="19" t="str">
        <f>IF(DDM220 = "", "", IFERROR(DDM220 / SUMIFS(Aux_Totales!$N:$N, Aux_Totales!$F:$F, $F224, Aux_Totales!$A:$A,#REF!), 0))</f>
        <v/>
      </c>
      <c r="DDN224" s="19" t="str">
        <f>IF(DDN220 = "", "", IFERROR(DDN220 / SUMIFS(Aux_Totales!$N:$N, Aux_Totales!$F:$F, $F224, Aux_Totales!$A:$A,#REF!), 0))</f>
        <v/>
      </c>
      <c r="DDO224" s="19" t="str">
        <f>IF(DDO220 = "", "", IFERROR(DDO220 / SUMIFS(Aux_Totales!$N:$N, Aux_Totales!$F:$F, $F224, Aux_Totales!$A:$A,#REF!), 0))</f>
        <v/>
      </c>
      <c r="DDP224" s="19" t="str">
        <f>IF(DDP220 = "", "", IFERROR(DDP220 / SUMIFS(Aux_Totales!$N:$N, Aux_Totales!$F:$F, $F224, Aux_Totales!$A:$A,#REF!), 0))</f>
        <v/>
      </c>
      <c r="DDQ224" s="19" t="str">
        <f>IF(DDQ220 = "", "", IFERROR(DDQ220 / SUMIFS(Aux_Totales!$N:$N, Aux_Totales!$F:$F, $F224, Aux_Totales!$A:$A,#REF!), 0))</f>
        <v/>
      </c>
      <c r="DDR224" s="19" t="str">
        <f>IF(DDR220 = "", "", IFERROR(DDR220 / SUMIFS(Aux_Totales!$N:$N, Aux_Totales!$F:$F, $F224, Aux_Totales!$A:$A,#REF!), 0))</f>
        <v/>
      </c>
      <c r="DDS224" s="19" t="str">
        <f>IF(DDS220 = "", "", IFERROR(DDS220 / SUMIFS(Aux_Totales!$N:$N, Aux_Totales!$F:$F, $F224, Aux_Totales!$A:$A,#REF!), 0))</f>
        <v/>
      </c>
      <c r="DDT224" s="19" t="str">
        <f>IF(DDT220 = "", "", IFERROR(DDT220 / SUMIFS(Aux_Totales!$N:$N, Aux_Totales!$F:$F, $F224, Aux_Totales!$A:$A,#REF!), 0))</f>
        <v/>
      </c>
      <c r="DDU224" s="19" t="str">
        <f>IF(DDU220 = "", "", IFERROR(DDU220 / SUMIFS(Aux_Totales!$N:$N, Aux_Totales!$F:$F, $F224, Aux_Totales!$A:$A,#REF!), 0))</f>
        <v/>
      </c>
      <c r="DDV224" s="19" t="str">
        <f>IF(DDV220 = "", "", IFERROR(DDV220 / SUMIFS(Aux_Totales!$N:$N, Aux_Totales!$F:$F, $F224, Aux_Totales!$A:$A,#REF!), 0))</f>
        <v/>
      </c>
      <c r="DDW224" s="19" t="str">
        <f>IF(DDW220 = "", "", IFERROR(DDW220 / SUMIFS(Aux_Totales!$N:$N, Aux_Totales!$F:$F, $F224, Aux_Totales!$A:$A,#REF!), 0))</f>
        <v/>
      </c>
      <c r="DDX224" s="19" t="str">
        <f>IF(DDX220 = "", "", IFERROR(DDX220 / SUMIFS(Aux_Totales!$N:$N, Aux_Totales!$F:$F, $F224, Aux_Totales!$A:$A,#REF!), 0))</f>
        <v/>
      </c>
      <c r="DDY224" s="19" t="str">
        <f>IF(DDY220 = "", "", IFERROR(DDY220 / SUMIFS(Aux_Totales!$N:$N, Aux_Totales!$F:$F, $F224, Aux_Totales!$A:$A,#REF!), 0))</f>
        <v/>
      </c>
      <c r="DDZ224" s="19" t="str">
        <f>IF(DDZ220 = "", "", IFERROR(DDZ220 / SUMIFS(Aux_Totales!$N:$N, Aux_Totales!$F:$F, $F224, Aux_Totales!$A:$A,#REF!), 0))</f>
        <v/>
      </c>
      <c r="DEA224" s="19" t="str">
        <f>IF(DEA220 = "", "", IFERROR(DEA220 / SUMIFS(Aux_Totales!$N:$N, Aux_Totales!$F:$F, $F224, Aux_Totales!$A:$A,#REF!), 0))</f>
        <v/>
      </c>
      <c r="DEB224" s="19" t="str">
        <f>IF(DEB220 = "", "", IFERROR(DEB220 / SUMIFS(Aux_Totales!$N:$N, Aux_Totales!$F:$F, $F224, Aux_Totales!$A:$A,#REF!), 0))</f>
        <v/>
      </c>
      <c r="DEC224" s="19" t="str">
        <f>IF(DEC220 = "", "", IFERROR(DEC220 / SUMIFS(Aux_Totales!$N:$N, Aux_Totales!$F:$F, $F224, Aux_Totales!$A:$A,#REF!), 0))</f>
        <v/>
      </c>
      <c r="DED224" s="19" t="str">
        <f>IF(DED220 = "", "", IFERROR(DED220 / SUMIFS(Aux_Totales!$N:$N, Aux_Totales!$F:$F, $F224, Aux_Totales!$A:$A,#REF!), 0))</f>
        <v/>
      </c>
      <c r="DEE224" s="19" t="str">
        <f>IF(DEE220 = "", "", IFERROR(DEE220 / SUMIFS(Aux_Totales!$N:$N, Aux_Totales!$F:$F, $F224, Aux_Totales!$A:$A,#REF!), 0))</f>
        <v/>
      </c>
      <c r="DEF224" s="19" t="str">
        <f>IF(DEF220 = "", "", IFERROR(DEF220 / SUMIFS(Aux_Totales!$N:$N, Aux_Totales!$F:$F, $F224, Aux_Totales!$A:$A,#REF!), 0))</f>
        <v/>
      </c>
      <c r="DEG224" s="19" t="str">
        <f>IF(DEG220 = "", "", IFERROR(DEG220 / SUMIFS(Aux_Totales!$N:$N, Aux_Totales!$F:$F, $F224, Aux_Totales!$A:$A,#REF!), 0))</f>
        <v/>
      </c>
      <c r="DEH224" s="19" t="str">
        <f>IF(DEH220 = "", "", IFERROR(DEH220 / SUMIFS(Aux_Totales!$N:$N, Aux_Totales!$F:$F, $F224, Aux_Totales!$A:$A,#REF!), 0))</f>
        <v/>
      </c>
      <c r="DEI224" s="19" t="str">
        <f>IF(DEI220 = "", "", IFERROR(DEI220 / SUMIFS(Aux_Totales!$N:$N, Aux_Totales!$F:$F, $F224, Aux_Totales!$A:$A,#REF!), 0))</f>
        <v/>
      </c>
      <c r="DEJ224" s="19" t="str">
        <f>IF(DEJ220 = "", "", IFERROR(DEJ220 / SUMIFS(Aux_Totales!$N:$N, Aux_Totales!$F:$F, $F224, Aux_Totales!$A:$A,#REF!), 0))</f>
        <v/>
      </c>
      <c r="DEK224" s="19" t="str">
        <f>IF(DEK220 = "", "", IFERROR(DEK220 / SUMIFS(Aux_Totales!$N:$N, Aux_Totales!$F:$F, $F224, Aux_Totales!$A:$A,#REF!), 0))</f>
        <v/>
      </c>
      <c r="DEL224" s="19" t="str">
        <f>IF(DEL220 = "", "", IFERROR(DEL220 / SUMIFS(Aux_Totales!$N:$N, Aux_Totales!$F:$F, $F224, Aux_Totales!$A:$A,#REF!), 0))</f>
        <v/>
      </c>
      <c r="DEM224" s="19" t="str">
        <f>IF(DEM220 = "", "", IFERROR(DEM220 / SUMIFS(Aux_Totales!$N:$N, Aux_Totales!$F:$F, $F224, Aux_Totales!$A:$A,#REF!), 0))</f>
        <v/>
      </c>
      <c r="DEN224" s="19" t="str">
        <f>IF(DEN220 = "", "", IFERROR(DEN220 / SUMIFS(Aux_Totales!$N:$N, Aux_Totales!$F:$F, $F224, Aux_Totales!$A:$A,#REF!), 0))</f>
        <v/>
      </c>
      <c r="DEO224" s="19" t="str">
        <f>IF(DEO220 = "", "", IFERROR(DEO220 / SUMIFS(Aux_Totales!$N:$N, Aux_Totales!$F:$F, $F224, Aux_Totales!$A:$A,#REF!), 0))</f>
        <v/>
      </c>
      <c r="DEP224" s="19" t="str">
        <f>IF(DEP220 = "", "", IFERROR(DEP220 / SUMIFS(Aux_Totales!$N:$N, Aux_Totales!$F:$F, $F224, Aux_Totales!$A:$A,#REF!), 0))</f>
        <v/>
      </c>
      <c r="DEQ224" s="19" t="str">
        <f>IF(DEQ220 = "", "", IFERROR(DEQ220 / SUMIFS(Aux_Totales!$N:$N, Aux_Totales!$F:$F, $F224, Aux_Totales!$A:$A,#REF!), 0))</f>
        <v/>
      </c>
      <c r="DER224" s="19" t="str">
        <f>IF(DER220 = "", "", IFERROR(DER220 / SUMIFS(Aux_Totales!$N:$N, Aux_Totales!$F:$F, $F224, Aux_Totales!$A:$A,#REF!), 0))</f>
        <v/>
      </c>
      <c r="DES224" s="19" t="str">
        <f>IF(DES220 = "", "", IFERROR(DES220 / SUMIFS(Aux_Totales!$N:$N, Aux_Totales!$F:$F, $F224, Aux_Totales!$A:$A,#REF!), 0))</f>
        <v/>
      </c>
      <c r="DET224" s="19" t="str">
        <f>IF(DET220 = "", "", IFERROR(DET220 / SUMIFS(Aux_Totales!$N:$N, Aux_Totales!$F:$F, $F224, Aux_Totales!$A:$A,#REF!), 0))</f>
        <v/>
      </c>
      <c r="DEU224" s="19" t="str">
        <f>IF(DEU220 = "", "", IFERROR(DEU220 / SUMIFS(Aux_Totales!$N:$N, Aux_Totales!$F:$F, $F224, Aux_Totales!$A:$A,#REF!), 0))</f>
        <v/>
      </c>
      <c r="DEV224" s="19" t="str">
        <f>IF(DEV220 = "", "", IFERROR(DEV220 / SUMIFS(Aux_Totales!$N:$N, Aux_Totales!$F:$F, $F224, Aux_Totales!$A:$A,#REF!), 0))</f>
        <v/>
      </c>
      <c r="DEW224" s="19" t="str">
        <f>IF(DEW220 = "", "", IFERROR(DEW220 / SUMIFS(Aux_Totales!$N:$N, Aux_Totales!$F:$F, $F224, Aux_Totales!$A:$A,#REF!), 0))</f>
        <v/>
      </c>
      <c r="DEX224" s="19" t="str">
        <f>IF(DEX220 = "", "", IFERROR(DEX220 / SUMIFS(Aux_Totales!$N:$N, Aux_Totales!$F:$F, $F224, Aux_Totales!$A:$A,#REF!), 0))</f>
        <v/>
      </c>
      <c r="DEY224" s="19" t="str">
        <f>IF(DEY220 = "", "", IFERROR(DEY220 / SUMIFS(Aux_Totales!$N:$N, Aux_Totales!$F:$F, $F224, Aux_Totales!$A:$A,#REF!), 0))</f>
        <v/>
      </c>
      <c r="DEZ224" s="19" t="str">
        <f>IF(DEZ220 = "", "", IFERROR(DEZ220 / SUMIFS(Aux_Totales!$N:$N, Aux_Totales!$F:$F, $F224, Aux_Totales!$A:$A,#REF!), 0))</f>
        <v/>
      </c>
      <c r="DFA224" s="19" t="str">
        <f>IF(DFA220 = "", "", IFERROR(DFA220 / SUMIFS(Aux_Totales!$N:$N, Aux_Totales!$F:$F, $F224, Aux_Totales!$A:$A,#REF!), 0))</f>
        <v/>
      </c>
      <c r="DFB224" s="19" t="str">
        <f>IF(DFB220 = "", "", IFERROR(DFB220 / SUMIFS(Aux_Totales!$N:$N, Aux_Totales!$F:$F, $F224, Aux_Totales!$A:$A,#REF!), 0))</f>
        <v/>
      </c>
      <c r="DFC224" s="19" t="str">
        <f>IF(DFC220 = "", "", IFERROR(DFC220 / SUMIFS(Aux_Totales!$N:$N, Aux_Totales!$F:$F, $F224, Aux_Totales!$A:$A,#REF!), 0))</f>
        <v/>
      </c>
      <c r="DFD224" s="19" t="str">
        <f>IF(DFD220 = "", "", IFERROR(DFD220 / SUMIFS(Aux_Totales!$N:$N, Aux_Totales!$F:$F, $F224, Aux_Totales!$A:$A,#REF!), 0))</f>
        <v/>
      </c>
      <c r="DFE224" s="19" t="str">
        <f>IF(DFE220 = "", "", IFERROR(DFE220 / SUMIFS(Aux_Totales!$N:$N, Aux_Totales!$F:$F, $F224, Aux_Totales!$A:$A,#REF!), 0))</f>
        <v/>
      </c>
      <c r="DFF224" s="19" t="str">
        <f>IF(DFF220 = "", "", IFERROR(DFF220 / SUMIFS(Aux_Totales!$N:$N, Aux_Totales!$F:$F, $F224, Aux_Totales!$A:$A,#REF!), 0))</f>
        <v/>
      </c>
      <c r="DFG224" s="19" t="str">
        <f>IF(DFG220 = "", "", IFERROR(DFG220 / SUMIFS(Aux_Totales!$N:$N, Aux_Totales!$F:$F, $F224, Aux_Totales!$A:$A,#REF!), 0))</f>
        <v/>
      </c>
      <c r="DFH224" s="19" t="str">
        <f>IF(DFH220 = "", "", IFERROR(DFH220 / SUMIFS(Aux_Totales!$N:$N, Aux_Totales!$F:$F, $F224, Aux_Totales!$A:$A,#REF!), 0))</f>
        <v/>
      </c>
      <c r="DFI224" s="19" t="str">
        <f>IF(DFI220 = "", "", IFERROR(DFI220 / SUMIFS(Aux_Totales!$N:$N, Aux_Totales!$F:$F, $F224, Aux_Totales!$A:$A,#REF!), 0))</f>
        <v/>
      </c>
      <c r="DFJ224" s="19" t="str">
        <f>IF(DFJ220 = "", "", IFERROR(DFJ220 / SUMIFS(Aux_Totales!$N:$N, Aux_Totales!$F:$F, $F224, Aux_Totales!$A:$A,#REF!), 0))</f>
        <v/>
      </c>
      <c r="DFK224" s="19" t="str">
        <f>IF(DFK220 = "", "", IFERROR(DFK220 / SUMIFS(Aux_Totales!$N:$N, Aux_Totales!$F:$F, $F224, Aux_Totales!$A:$A,#REF!), 0))</f>
        <v/>
      </c>
      <c r="DFL224" s="19" t="str">
        <f>IF(DFL220 = "", "", IFERROR(DFL220 / SUMIFS(Aux_Totales!$N:$N, Aux_Totales!$F:$F, $F224, Aux_Totales!$A:$A,#REF!), 0))</f>
        <v/>
      </c>
      <c r="DFM224" s="19" t="str">
        <f>IF(DFM220 = "", "", IFERROR(DFM220 / SUMIFS(Aux_Totales!$N:$N, Aux_Totales!$F:$F, $F224, Aux_Totales!$A:$A,#REF!), 0))</f>
        <v/>
      </c>
      <c r="DFN224" s="19" t="str">
        <f>IF(DFN220 = "", "", IFERROR(DFN220 / SUMIFS(Aux_Totales!$N:$N, Aux_Totales!$F:$F, $F224, Aux_Totales!$A:$A,#REF!), 0))</f>
        <v/>
      </c>
      <c r="DFO224" s="19" t="str">
        <f>IF(DFO220 = "", "", IFERROR(DFO220 / SUMIFS(Aux_Totales!$N:$N, Aux_Totales!$F:$F, $F224, Aux_Totales!$A:$A,#REF!), 0))</f>
        <v/>
      </c>
      <c r="DFP224" s="19" t="str">
        <f>IF(DFP220 = "", "", IFERROR(DFP220 / SUMIFS(Aux_Totales!$N:$N, Aux_Totales!$F:$F, $F224, Aux_Totales!$A:$A,#REF!), 0))</f>
        <v/>
      </c>
      <c r="DFQ224" s="19" t="str">
        <f>IF(DFQ220 = "", "", IFERROR(DFQ220 / SUMIFS(Aux_Totales!$N:$N, Aux_Totales!$F:$F, $F224, Aux_Totales!$A:$A,#REF!), 0))</f>
        <v/>
      </c>
      <c r="DFR224" s="19" t="str">
        <f>IF(DFR220 = "", "", IFERROR(DFR220 / SUMIFS(Aux_Totales!$N:$N, Aux_Totales!$F:$F, $F224, Aux_Totales!$A:$A,#REF!), 0))</f>
        <v/>
      </c>
      <c r="DFS224" s="19" t="str">
        <f>IF(DFS220 = "", "", IFERROR(DFS220 / SUMIFS(Aux_Totales!$N:$N, Aux_Totales!$F:$F, $F224, Aux_Totales!$A:$A,#REF!), 0))</f>
        <v/>
      </c>
      <c r="DFT224" s="19" t="str">
        <f>IF(DFT220 = "", "", IFERROR(DFT220 / SUMIFS(Aux_Totales!$N:$N, Aux_Totales!$F:$F, $F224, Aux_Totales!$A:$A,#REF!), 0))</f>
        <v/>
      </c>
      <c r="DFU224" s="19" t="str">
        <f>IF(DFU220 = "", "", IFERROR(DFU220 / SUMIFS(Aux_Totales!$N:$N, Aux_Totales!$F:$F, $F224, Aux_Totales!$A:$A,#REF!), 0))</f>
        <v/>
      </c>
      <c r="DFV224" s="19" t="str">
        <f>IF(DFV220 = "", "", IFERROR(DFV220 / SUMIFS(Aux_Totales!$N:$N, Aux_Totales!$F:$F, $F224, Aux_Totales!$A:$A,#REF!), 0))</f>
        <v/>
      </c>
      <c r="DFW224" s="19" t="str">
        <f>IF(DFW220 = "", "", IFERROR(DFW220 / SUMIFS(Aux_Totales!$N:$N, Aux_Totales!$F:$F, $F224, Aux_Totales!$A:$A,#REF!), 0))</f>
        <v/>
      </c>
      <c r="DFX224" s="19" t="str">
        <f>IF(DFX220 = "", "", IFERROR(DFX220 / SUMIFS(Aux_Totales!$N:$N, Aux_Totales!$F:$F, $F224, Aux_Totales!$A:$A,#REF!), 0))</f>
        <v/>
      </c>
      <c r="DFY224" s="19" t="str">
        <f>IF(DFY220 = "", "", IFERROR(DFY220 / SUMIFS(Aux_Totales!$N:$N, Aux_Totales!$F:$F, $F224, Aux_Totales!$A:$A,#REF!), 0))</f>
        <v/>
      </c>
      <c r="DFZ224" s="19" t="str">
        <f>IF(DFZ220 = "", "", IFERROR(DFZ220 / SUMIFS(Aux_Totales!$N:$N, Aux_Totales!$F:$F, $F224, Aux_Totales!$A:$A,#REF!), 0))</f>
        <v/>
      </c>
      <c r="DGA224" s="19" t="str">
        <f>IF(DGA220 = "", "", IFERROR(DGA220 / SUMIFS(Aux_Totales!$N:$N, Aux_Totales!$F:$F, $F224, Aux_Totales!$A:$A,#REF!), 0))</f>
        <v/>
      </c>
      <c r="DGB224" s="19" t="str">
        <f>IF(DGB220 = "", "", IFERROR(DGB220 / SUMIFS(Aux_Totales!$N:$N, Aux_Totales!$F:$F, $F224, Aux_Totales!$A:$A,#REF!), 0))</f>
        <v/>
      </c>
      <c r="DGC224" s="19" t="str">
        <f>IF(DGC220 = "", "", IFERROR(DGC220 / SUMIFS(Aux_Totales!$N:$N, Aux_Totales!$F:$F, $F224, Aux_Totales!$A:$A,#REF!), 0))</f>
        <v/>
      </c>
      <c r="DGD224" s="19" t="str">
        <f>IF(DGD220 = "", "", IFERROR(DGD220 / SUMIFS(Aux_Totales!$N:$N, Aux_Totales!$F:$F, $F224, Aux_Totales!$A:$A,#REF!), 0))</f>
        <v/>
      </c>
      <c r="DGE224" s="19" t="str">
        <f>IF(DGE220 = "", "", IFERROR(DGE220 / SUMIFS(Aux_Totales!$N:$N, Aux_Totales!$F:$F, $F224, Aux_Totales!$A:$A,#REF!), 0))</f>
        <v/>
      </c>
      <c r="DGF224" s="19" t="str">
        <f>IF(DGF220 = "", "", IFERROR(DGF220 / SUMIFS(Aux_Totales!$N:$N, Aux_Totales!$F:$F, $F224, Aux_Totales!$A:$A,#REF!), 0))</f>
        <v/>
      </c>
      <c r="DGG224" s="19" t="str">
        <f>IF(DGG220 = "", "", IFERROR(DGG220 / SUMIFS(Aux_Totales!$N:$N, Aux_Totales!$F:$F, $F224, Aux_Totales!$A:$A,#REF!), 0))</f>
        <v/>
      </c>
      <c r="DGH224" s="19" t="str">
        <f>IF(DGH220 = "", "", IFERROR(DGH220 / SUMIFS(Aux_Totales!$N:$N, Aux_Totales!$F:$F, $F224, Aux_Totales!$A:$A,#REF!), 0))</f>
        <v/>
      </c>
      <c r="DGI224" s="19" t="str">
        <f>IF(DGI220 = "", "", IFERROR(DGI220 / SUMIFS(Aux_Totales!$N:$N, Aux_Totales!$F:$F, $F224, Aux_Totales!$A:$A,#REF!), 0))</f>
        <v/>
      </c>
      <c r="DGJ224" s="19" t="str">
        <f>IF(DGJ220 = "", "", IFERROR(DGJ220 / SUMIFS(Aux_Totales!$N:$N, Aux_Totales!$F:$F, $F224, Aux_Totales!$A:$A,#REF!), 0))</f>
        <v/>
      </c>
      <c r="DGK224" s="19" t="str">
        <f>IF(DGK220 = "", "", IFERROR(DGK220 / SUMIFS(Aux_Totales!$N:$N, Aux_Totales!$F:$F, $F224, Aux_Totales!$A:$A,#REF!), 0))</f>
        <v/>
      </c>
      <c r="DGL224" s="19" t="str">
        <f>IF(DGL220 = "", "", IFERROR(DGL220 / SUMIFS(Aux_Totales!$N:$N, Aux_Totales!$F:$F, $F224, Aux_Totales!$A:$A,#REF!), 0))</f>
        <v/>
      </c>
      <c r="DGM224" s="19" t="str">
        <f>IF(DGM220 = "", "", IFERROR(DGM220 / SUMIFS(Aux_Totales!$N:$N, Aux_Totales!$F:$F, $F224, Aux_Totales!$A:$A,#REF!), 0))</f>
        <v/>
      </c>
      <c r="DGN224" s="19" t="str">
        <f>IF(DGN220 = "", "", IFERROR(DGN220 / SUMIFS(Aux_Totales!$N:$N, Aux_Totales!$F:$F, $F224, Aux_Totales!$A:$A,#REF!), 0))</f>
        <v/>
      </c>
      <c r="DGO224" s="19" t="str">
        <f>IF(DGO220 = "", "", IFERROR(DGO220 / SUMIFS(Aux_Totales!$N:$N, Aux_Totales!$F:$F, $F224, Aux_Totales!$A:$A,#REF!), 0))</f>
        <v/>
      </c>
      <c r="DGP224" s="19" t="str">
        <f>IF(DGP220 = "", "", IFERROR(DGP220 / SUMIFS(Aux_Totales!$N:$N, Aux_Totales!$F:$F, $F224, Aux_Totales!$A:$A,#REF!), 0))</f>
        <v/>
      </c>
      <c r="DGQ224" s="19" t="str">
        <f>IF(DGQ220 = "", "", IFERROR(DGQ220 / SUMIFS(Aux_Totales!$N:$N, Aux_Totales!$F:$F, $F224, Aux_Totales!$A:$A,#REF!), 0))</f>
        <v/>
      </c>
      <c r="DGR224" s="19" t="str">
        <f>IF(DGR220 = "", "", IFERROR(DGR220 / SUMIFS(Aux_Totales!$N:$N, Aux_Totales!$F:$F, $F224, Aux_Totales!$A:$A,#REF!), 0))</f>
        <v/>
      </c>
      <c r="DGS224" s="19" t="str">
        <f>IF(DGS220 = "", "", IFERROR(DGS220 / SUMIFS(Aux_Totales!$N:$N, Aux_Totales!$F:$F, $F224, Aux_Totales!$A:$A,#REF!), 0))</f>
        <v/>
      </c>
      <c r="DGT224" s="19" t="str">
        <f>IF(DGT220 = "", "", IFERROR(DGT220 / SUMIFS(Aux_Totales!$N:$N, Aux_Totales!$F:$F, $F224, Aux_Totales!$A:$A,#REF!), 0))</f>
        <v/>
      </c>
      <c r="DGU224" s="19" t="str">
        <f>IF(DGU220 = "", "", IFERROR(DGU220 / SUMIFS(Aux_Totales!$N:$N, Aux_Totales!$F:$F, $F224, Aux_Totales!$A:$A,#REF!), 0))</f>
        <v/>
      </c>
      <c r="DGV224" s="19" t="str">
        <f>IF(DGV220 = "", "", IFERROR(DGV220 / SUMIFS(Aux_Totales!$N:$N, Aux_Totales!$F:$F, $F224, Aux_Totales!$A:$A,#REF!), 0))</f>
        <v/>
      </c>
      <c r="DGW224" s="19" t="str">
        <f>IF(DGW220 = "", "", IFERROR(DGW220 / SUMIFS(Aux_Totales!$N:$N, Aux_Totales!$F:$F, $F224, Aux_Totales!$A:$A,#REF!), 0))</f>
        <v/>
      </c>
      <c r="DGX224" s="19" t="str">
        <f>IF(DGX220 = "", "", IFERROR(DGX220 / SUMIFS(Aux_Totales!$N:$N, Aux_Totales!$F:$F, $F224, Aux_Totales!$A:$A,#REF!), 0))</f>
        <v/>
      </c>
      <c r="DGY224" s="19" t="str">
        <f>IF(DGY220 = "", "", IFERROR(DGY220 / SUMIFS(Aux_Totales!$N:$N, Aux_Totales!$F:$F, $F224, Aux_Totales!$A:$A,#REF!), 0))</f>
        <v/>
      </c>
      <c r="DGZ224" s="19" t="str">
        <f>IF(DGZ220 = "", "", IFERROR(DGZ220 / SUMIFS(Aux_Totales!$N:$N, Aux_Totales!$F:$F, $F224, Aux_Totales!$A:$A,#REF!), 0))</f>
        <v/>
      </c>
      <c r="DHA224" s="19" t="str">
        <f>IF(DHA220 = "", "", IFERROR(DHA220 / SUMIFS(Aux_Totales!$N:$N, Aux_Totales!$F:$F, $F224, Aux_Totales!$A:$A,#REF!), 0))</f>
        <v/>
      </c>
      <c r="DHB224" s="19" t="str">
        <f>IF(DHB220 = "", "", IFERROR(DHB220 / SUMIFS(Aux_Totales!$N:$N, Aux_Totales!$F:$F, $F224, Aux_Totales!$A:$A,#REF!), 0))</f>
        <v/>
      </c>
      <c r="DHC224" s="19" t="str">
        <f>IF(DHC220 = "", "", IFERROR(DHC220 / SUMIFS(Aux_Totales!$N:$N, Aux_Totales!$F:$F, $F224, Aux_Totales!$A:$A,#REF!), 0))</f>
        <v/>
      </c>
      <c r="DHD224" s="19" t="str">
        <f>IF(DHD220 = "", "", IFERROR(DHD220 / SUMIFS(Aux_Totales!$N:$N, Aux_Totales!$F:$F, $F224, Aux_Totales!$A:$A,#REF!), 0))</f>
        <v/>
      </c>
      <c r="DHE224" s="19" t="str">
        <f>IF(DHE220 = "", "", IFERROR(DHE220 / SUMIFS(Aux_Totales!$N:$N, Aux_Totales!$F:$F, $F224, Aux_Totales!$A:$A,#REF!), 0))</f>
        <v/>
      </c>
      <c r="DHF224" s="19" t="str">
        <f>IF(DHF220 = "", "", IFERROR(DHF220 / SUMIFS(Aux_Totales!$N:$N, Aux_Totales!$F:$F, $F224, Aux_Totales!$A:$A,#REF!), 0))</f>
        <v/>
      </c>
      <c r="DHG224" s="19" t="str">
        <f>IF(DHG220 = "", "", IFERROR(DHG220 / SUMIFS(Aux_Totales!$N:$N, Aux_Totales!$F:$F, $F224, Aux_Totales!$A:$A,#REF!), 0))</f>
        <v/>
      </c>
      <c r="DHH224" s="19" t="str">
        <f>IF(DHH220 = "", "", IFERROR(DHH220 / SUMIFS(Aux_Totales!$N:$N, Aux_Totales!$F:$F, $F224, Aux_Totales!$A:$A,#REF!), 0))</f>
        <v/>
      </c>
      <c r="DHI224" s="19" t="str">
        <f>IF(DHI220 = "", "", IFERROR(DHI220 / SUMIFS(Aux_Totales!$N:$N, Aux_Totales!$F:$F, $F224, Aux_Totales!$A:$A,#REF!), 0))</f>
        <v/>
      </c>
      <c r="DHJ224" s="19" t="str">
        <f>IF(DHJ220 = "", "", IFERROR(DHJ220 / SUMIFS(Aux_Totales!$N:$N, Aux_Totales!$F:$F, $F224, Aux_Totales!$A:$A,#REF!), 0))</f>
        <v/>
      </c>
      <c r="DHK224" s="19" t="str">
        <f>IF(DHK220 = "", "", IFERROR(DHK220 / SUMIFS(Aux_Totales!$N:$N, Aux_Totales!$F:$F, $F224, Aux_Totales!$A:$A,#REF!), 0))</f>
        <v/>
      </c>
      <c r="DHL224" s="19" t="str">
        <f>IF(DHL220 = "", "", IFERROR(DHL220 / SUMIFS(Aux_Totales!$N:$N, Aux_Totales!$F:$F, $F224, Aux_Totales!$A:$A,#REF!), 0))</f>
        <v/>
      </c>
      <c r="DHM224" s="19" t="str">
        <f>IF(DHM220 = "", "", IFERROR(DHM220 / SUMIFS(Aux_Totales!$N:$N, Aux_Totales!$F:$F, $F224, Aux_Totales!$A:$A,#REF!), 0))</f>
        <v/>
      </c>
      <c r="DHN224" s="19" t="str">
        <f>IF(DHN220 = "", "", IFERROR(DHN220 / SUMIFS(Aux_Totales!$N:$N, Aux_Totales!$F:$F, $F224, Aux_Totales!$A:$A,#REF!), 0))</f>
        <v/>
      </c>
      <c r="DHO224" s="19" t="str">
        <f>IF(DHO220 = "", "", IFERROR(DHO220 / SUMIFS(Aux_Totales!$N:$N, Aux_Totales!$F:$F, $F224, Aux_Totales!$A:$A,#REF!), 0))</f>
        <v/>
      </c>
      <c r="DHP224" s="19" t="str">
        <f>IF(DHP220 = "", "", IFERROR(DHP220 / SUMIFS(Aux_Totales!$N:$N, Aux_Totales!$F:$F, $F224, Aux_Totales!$A:$A,#REF!), 0))</f>
        <v/>
      </c>
      <c r="DHQ224" s="19" t="str">
        <f>IF(DHQ220 = "", "", IFERROR(DHQ220 / SUMIFS(Aux_Totales!$N:$N, Aux_Totales!$F:$F, $F224, Aux_Totales!$A:$A,#REF!), 0))</f>
        <v/>
      </c>
      <c r="DHR224" s="19" t="str">
        <f>IF(DHR220 = "", "", IFERROR(DHR220 / SUMIFS(Aux_Totales!$N:$N, Aux_Totales!$F:$F, $F224, Aux_Totales!$A:$A,#REF!), 0))</f>
        <v/>
      </c>
      <c r="DHS224" s="19" t="str">
        <f>IF(DHS220 = "", "", IFERROR(DHS220 / SUMIFS(Aux_Totales!$N:$N, Aux_Totales!$F:$F, $F224, Aux_Totales!$A:$A,#REF!), 0))</f>
        <v/>
      </c>
      <c r="DHT224" s="19" t="str">
        <f>IF(DHT220 = "", "", IFERROR(DHT220 / SUMIFS(Aux_Totales!$N:$N, Aux_Totales!$F:$F, $F224, Aux_Totales!$A:$A,#REF!), 0))</f>
        <v/>
      </c>
      <c r="DHU224" s="19" t="str">
        <f>IF(DHU220 = "", "", IFERROR(DHU220 / SUMIFS(Aux_Totales!$N:$N, Aux_Totales!$F:$F, $F224, Aux_Totales!$A:$A,#REF!), 0))</f>
        <v/>
      </c>
      <c r="DHV224" s="19" t="str">
        <f>IF(DHV220 = "", "", IFERROR(DHV220 / SUMIFS(Aux_Totales!$N:$N, Aux_Totales!$F:$F, $F224, Aux_Totales!$A:$A,#REF!), 0))</f>
        <v/>
      </c>
      <c r="DHW224" s="19" t="str">
        <f>IF(DHW220 = "", "", IFERROR(DHW220 / SUMIFS(Aux_Totales!$N:$N, Aux_Totales!$F:$F, $F224, Aux_Totales!$A:$A,#REF!), 0))</f>
        <v/>
      </c>
      <c r="DHX224" s="19" t="str">
        <f>IF(DHX220 = "", "", IFERROR(DHX220 / SUMIFS(Aux_Totales!$N:$N, Aux_Totales!$F:$F, $F224, Aux_Totales!$A:$A,#REF!), 0))</f>
        <v/>
      </c>
      <c r="DHY224" s="19" t="str">
        <f>IF(DHY220 = "", "", IFERROR(DHY220 / SUMIFS(Aux_Totales!$N:$N, Aux_Totales!$F:$F, $F224, Aux_Totales!$A:$A,#REF!), 0))</f>
        <v/>
      </c>
      <c r="DHZ224" s="19" t="str">
        <f>IF(DHZ220 = "", "", IFERROR(DHZ220 / SUMIFS(Aux_Totales!$N:$N, Aux_Totales!$F:$F, $F224, Aux_Totales!$A:$A,#REF!), 0))</f>
        <v/>
      </c>
      <c r="DIA224" s="19" t="str">
        <f>IF(DIA220 = "", "", IFERROR(DIA220 / SUMIFS(Aux_Totales!$N:$N, Aux_Totales!$F:$F, $F224, Aux_Totales!$A:$A,#REF!), 0))</f>
        <v/>
      </c>
      <c r="DIB224" s="19" t="str">
        <f>IF(DIB220 = "", "", IFERROR(DIB220 / SUMIFS(Aux_Totales!$N:$N, Aux_Totales!$F:$F, $F224, Aux_Totales!$A:$A,#REF!), 0))</f>
        <v/>
      </c>
      <c r="DIC224" s="19" t="str">
        <f>IF(DIC220 = "", "", IFERROR(DIC220 / SUMIFS(Aux_Totales!$N:$N, Aux_Totales!$F:$F, $F224, Aux_Totales!$A:$A,#REF!), 0))</f>
        <v/>
      </c>
      <c r="DID224" s="19" t="str">
        <f>IF(DID220 = "", "", IFERROR(DID220 / SUMIFS(Aux_Totales!$N:$N, Aux_Totales!$F:$F, $F224, Aux_Totales!$A:$A,#REF!), 0))</f>
        <v/>
      </c>
      <c r="DIE224" s="19" t="str">
        <f>IF(DIE220 = "", "", IFERROR(DIE220 / SUMIFS(Aux_Totales!$N:$N, Aux_Totales!$F:$F, $F224, Aux_Totales!$A:$A,#REF!), 0))</f>
        <v/>
      </c>
      <c r="DIF224" s="19" t="str">
        <f>IF(DIF220 = "", "", IFERROR(DIF220 / SUMIFS(Aux_Totales!$N:$N, Aux_Totales!$F:$F, $F224, Aux_Totales!$A:$A,#REF!), 0))</f>
        <v/>
      </c>
      <c r="DIG224" s="19" t="str">
        <f>IF(DIG220 = "", "", IFERROR(DIG220 / SUMIFS(Aux_Totales!$N:$N, Aux_Totales!$F:$F, $F224, Aux_Totales!$A:$A,#REF!), 0))</f>
        <v/>
      </c>
      <c r="DIH224" s="19" t="str">
        <f>IF(DIH220 = "", "", IFERROR(DIH220 / SUMIFS(Aux_Totales!$N:$N, Aux_Totales!$F:$F, $F224, Aux_Totales!$A:$A,#REF!), 0))</f>
        <v/>
      </c>
      <c r="DII224" s="19" t="str">
        <f>IF(DII220 = "", "", IFERROR(DII220 / SUMIFS(Aux_Totales!$N:$N, Aux_Totales!$F:$F, $F224, Aux_Totales!$A:$A,#REF!), 0))</f>
        <v/>
      </c>
      <c r="DIJ224" s="19" t="str">
        <f>IF(DIJ220 = "", "", IFERROR(DIJ220 / SUMIFS(Aux_Totales!$N:$N, Aux_Totales!$F:$F, $F224, Aux_Totales!$A:$A,#REF!), 0))</f>
        <v/>
      </c>
      <c r="DIK224" s="19" t="str">
        <f>IF(DIK220 = "", "", IFERROR(DIK220 / SUMIFS(Aux_Totales!$N:$N, Aux_Totales!$F:$F, $F224, Aux_Totales!$A:$A,#REF!), 0))</f>
        <v/>
      </c>
      <c r="DIL224" s="19" t="str">
        <f>IF(DIL220 = "", "", IFERROR(DIL220 / SUMIFS(Aux_Totales!$N:$N, Aux_Totales!$F:$F, $F224, Aux_Totales!$A:$A,#REF!), 0))</f>
        <v/>
      </c>
      <c r="DIM224" s="19" t="str">
        <f>IF(DIM220 = "", "", IFERROR(DIM220 / SUMIFS(Aux_Totales!$N:$N, Aux_Totales!$F:$F, $F224, Aux_Totales!$A:$A,#REF!), 0))</f>
        <v/>
      </c>
      <c r="DIN224" s="19" t="str">
        <f>IF(DIN220 = "", "", IFERROR(DIN220 / SUMIFS(Aux_Totales!$N:$N, Aux_Totales!$F:$F, $F224, Aux_Totales!$A:$A,#REF!), 0))</f>
        <v/>
      </c>
      <c r="DIO224" s="19" t="str">
        <f>IF(DIO220 = "", "", IFERROR(DIO220 / SUMIFS(Aux_Totales!$N:$N, Aux_Totales!$F:$F, $F224, Aux_Totales!$A:$A,#REF!), 0))</f>
        <v/>
      </c>
      <c r="DIP224" s="19" t="str">
        <f>IF(DIP220 = "", "", IFERROR(DIP220 / SUMIFS(Aux_Totales!$N:$N, Aux_Totales!$F:$F, $F224, Aux_Totales!$A:$A,#REF!), 0))</f>
        <v/>
      </c>
      <c r="DIQ224" s="19" t="str">
        <f>IF(DIQ220 = "", "", IFERROR(DIQ220 / SUMIFS(Aux_Totales!$N:$N, Aux_Totales!$F:$F, $F224, Aux_Totales!$A:$A,#REF!), 0))</f>
        <v/>
      </c>
      <c r="DIR224" s="19" t="str">
        <f>IF(DIR220 = "", "", IFERROR(DIR220 / SUMIFS(Aux_Totales!$N:$N, Aux_Totales!$F:$F, $F224, Aux_Totales!$A:$A,#REF!), 0))</f>
        <v/>
      </c>
      <c r="DIS224" s="19" t="str">
        <f>IF(DIS220 = "", "", IFERROR(DIS220 / SUMIFS(Aux_Totales!$N:$N, Aux_Totales!$F:$F, $F224, Aux_Totales!$A:$A,#REF!), 0))</f>
        <v/>
      </c>
      <c r="DIT224" s="19" t="str">
        <f>IF(DIT220 = "", "", IFERROR(DIT220 / SUMIFS(Aux_Totales!$N:$N, Aux_Totales!$F:$F, $F224, Aux_Totales!$A:$A,#REF!), 0))</f>
        <v/>
      </c>
      <c r="DIU224" s="19" t="str">
        <f>IF(DIU220 = "", "", IFERROR(DIU220 / SUMIFS(Aux_Totales!$N:$N, Aux_Totales!$F:$F, $F224, Aux_Totales!$A:$A,#REF!), 0))</f>
        <v/>
      </c>
      <c r="DIV224" s="19" t="str">
        <f>IF(DIV220 = "", "", IFERROR(DIV220 / SUMIFS(Aux_Totales!$N:$N, Aux_Totales!$F:$F, $F224, Aux_Totales!$A:$A,#REF!), 0))</f>
        <v/>
      </c>
      <c r="DIW224" s="19" t="str">
        <f>IF(DIW220 = "", "", IFERROR(DIW220 / SUMIFS(Aux_Totales!$N:$N, Aux_Totales!$F:$F, $F224, Aux_Totales!$A:$A,#REF!), 0))</f>
        <v/>
      </c>
      <c r="DIX224" s="19" t="str">
        <f>IF(DIX220 = "", "", IFERROR(DIX220 / SUMIFS(Aux_Totales!$N:$N, Aux_Totales!$F:$F, $F224, Aux_Totales!$A:$A,#REF!), 0))</f>
        <v/>
      </c>
      <c r="DIY224" s="19" t="str">
        <f>IF(DIY220 = "", "", IFERROR(DIY220 / SUMIFS(Aux_Totales!$N:$N, Aux_Totales!$F:$F, $F224, Aux_Totales!$A:$A,#REF!), 0))</f>
        <v/>
      </c>
      <c r="DIZ224" s="19" t="str">
        <f>IF(DIZ220 = "", "", IFERROR(DIZ220 / SUMIFS(Aux_Totales!$N:$N, Aux_Totales!$F:$F, $F224, Aux_Totales!$A:$A,#REF!), 0))</f>
        <v/>
      </c>
      <c r="DJA224" s="19" t="str">
        <f>IF(DJA220 = "", "", IFERROR(DJA220 / SUMIFS(Aux_Totales!$N:$N, Aux_Totales!$F:$F, $F224, Aux_Totales!$A:$A,#REF!), 0))</f>
        <v/>
      </c>
      <c r="DJB224" s="19" t="str">
        <f>IF(DJB220 = "", "", IFERROR(DJB220 / SUMIFS(Aux_Totales!$N:$N, Aux_Totales!$F:$F, $F224, Aux_Totales!$A:$A,#REF!), 0))</f>
        <v/>
      </c>
      <c r="DJC224" s="19" t="str">
        <f>IF(DJC220 = "", "", IFERROR(DJC220 / SUMIFS(Aux_Totales!$N:$N, Aux_Totales!$F:$F, $F224, Aux_Totales!$A:$A,#REF!), 0))</f>
        <v/>
      </c>
      <c r="DJD224" s="19" t="str">
        <f>IF(DJD220 = "", "", IFERROR(DJD220 / SUMIFS(Aux_Totales!$N:$N, Aux_Totales!$F:$F, $F224, Aux_Totales!$A:$A,#REF!), 0))</f>
        <v/>
      </c>
      <c r="DJE224" s="19" t="str">
        <f>IF(DJE220 = "", "", IFERROR(DJE220 / SUMIFS(Aux_Totales!$N:$N, Aux_Totales!$F:$F, $F224, Aux_Totales!$A:$A,#REF!), 0))</f>
        <v/>
      </c>
      <c r="DJF224" s="19" t="str">
        <f>IF(DJF220 = "", "", IFERROR(DJF220 / SUMIFS(Aux_Totales!$N:$N, Aux_Totales!$F:$F, $F224, Aux_Totales!$A:$A,#REF!), 0))</f>
        <v/>
      </c>
      <c r="DJG224" s="19" t="str">
        <f>IF(DJG220 = "", "", IFERROR(DJG220 / SUMIFS(Aux_Totales!$N:$N, Aux_Totales!$F:$F, $F224, Aux_Totales!$A:$A,#REF!), 0))</f>
        <v/>
      </c>
      <c r="DJH224" s="19" t="str">
        <f>IF(DJH220 = "", "", IFERROR(DJH220 / SUMIFS(Aux_Totales!$N:$N, Aux_Totales!$F:$F, $F224, Aux_Totales!$A:$A,#REF!), 0))</f>
        <v/>
      </c>
      <c r="DJI224" s="19" t="str">
        <f>IF(DJI220 = "", "", IFERROR(DJI220 / SUMIFS(Aux_Totales!$N:$N, Aux_Totales!$F:$F, $F224, Aux_Totales!$A:$A,#REF!), 0))</f>
        <v/>
      </c>
      <c r="DJJ224" s="19" t="str">
        <f>IF(DJJ220 = "", "", IFERROR(DJJ220 / SUMIFS(Aux_Totales!$N:$N, Aux_Totales!$F:$F, $F224, Aux_Totales!$A:$A,#REF!), 0))</f>
        <v/>
      </c>
      <c r="DJK224" s="19" t="str">
        <f>IF(DJK220 = "", "", IFERROR(DJK220 / SUMIFS(Aux_Totales!$N:$N, Aux_Totales!$F:$F, $F224, Aux_Totales!$A:$A,#REF!), 0))</f>
        <v/>
      </c>
      <c r="DJL224" s="19" t="str">
        <f>IF(DJL220 = "", "", IFERROR(DJL220 / SUMIFS(Aux_Totales!$N:$N, Aux_Totales!$F:$F, $F224, Aux_Totales!$A:$A,#REF!), 0))</f>
        <v/>
      </c>
      <c r="DJM224" s="19" t="str">
        <f>IF(DJM220 = "", "", IFERROR(DJM220 / SUMIFS(Aux_Totales!$N:$N, Aux_Totales!$F:$F, $F224, Aux_Totales!$A:$A,#REF!), 0))</f>
        <v/>
      </c>
      <c r="DJN224" s="19" t="str">
        <f>IF(DJN220 = "", "", IFERROR(DJN220 / SUMIFS(Aux_Totales!$N:$N, Aux_Totales!$F:$F, $F224, Aux_Totales!$A:$A,#REF!), 0))</f>
        <v/>
      </c>
      <c r="DJO224" s="19" t="str">
        <f>IF(DJO220 = "", "", IFERROR(DJO220 / SUMIFS(Aux_Totales!$N:$N, Aux_Totales!$F:$F, $F224, Aux_Totales!$A:$A,#REF!), 0))</f>
        <v/>
      </c>
      <c r="DJP224" s="19" t="str">
        <f>IF(DJP220 = "", "", IFERROR(DJP220 / SUMIFS(Aux_Totales!$N:$N, Aux_Totales!$F:$F, $F224, Aux_Totales!$A:$A,#REF!), 0))</f>
        <v/>
      </c>
      <c r="DJQ224" s="19" t="str">
        <f>IF(DJQ220 = "", "", IFERROR(DJQ220 / SUMIFS(Aux_Totales!$N:$N, Aux_Totales!$F:$F, $F224, Aux_Totales!$A:$A,#REF!), 0))</f>
        <v/>
      </c>
      <c r="DJR224" s="19" t="str">
        <f>IF(DJR220 = "", "", IFERROR(DJR220 / SUMIFS(Aux_Totales!$N:$N, Aux_Totales!$F:$F, $F224, Aux_Totales!$A:$A,#REF!), 0))</f>
        <v/>
      </c>
      <c r="DJS224" s="19" t="str">
        <f>IF(DJS220 = "", "", IFERROR(DJS220 / SUMIFS(Aux_Totales!$N:$N, Aux_Totales!$F:$F, $F224, Aux_Totales!$A:$A,#REF!), 0))</f>
        <v/>
      </c>
      <c r="DJT224" s="19" t="str">
        <f>IF(DJT220 = "", "", IFERROR(DJT220 / SUMIFS(Aux_Totales!$N:$N, Aux_Totales!$F:$F, $F224, Aux_Totales!$A:$A,#REF!), 0))</f>
        <v/>
      </c>
      <c r="DJU224" s="19" t="str">
        <f>IF(DJU220 = "", "", IFERROR(DJU220 / SUMIFS(Aux_Totales!$N:$N, Aux_Totales!$F:$F, $F224, Aux_Totales!$A:$A,#REF!), 0))</f>
        <v/>
      </c>
      <c r="DJV224" s="19" t="str">
        <f>IF(DJV220 = "", "", IFERROR(DJV220 / SUMIFS(Aux_Totales!$N:$N, Aux_Totales!$F:$F, $F224, Aux_Totales!$A:$A,#REF!), 0))</f>
        <v/>
      </c>
      <c r="DJW224" s="19" t="str">
        <f>IF(DJW220 = "", "", IFERROR(DJW220 / SUMIFS(Aux_Totales!$N:$N, Aux_Totales!$F:$F, $F224, Aux_Totales!$A:$A,#REF!), 0))</f>
        <v/>
      </c>
      <c r="DJX224" s="19" t="str">
        <f>IF(DJX220 = "", "", IFERROR(DJX220 / SUMIFS(Aux_Totales!$N:$N, Aux_Totales!$F:$F, $F224, Aux_Totales!$A:$A,#REF!), 0))</f>
        <v/>
      </c>
      <c r="DJY224" s="19" t="str">
        <f>IF(DJY220 = "", "", IFERROR(DJY220 / SUMIFS(Aux_Totales!$N:$N, Aux_Totales!$F:$F, $F224, Aux_Totales!$A:$A,#REF!), 0))</f>
        <v/>
      </c>
      <c r="DJZ224" s="19" t="str">
        <f>IF(DJZ220 = "", "", IFERROR(DJZ220 / SUMIFS(Aux_Totales!$N:$N, Aux_Totales!$F:$F, $F224, Aux_Totales!$A:$A,#REF!), 0))</f>
        <v/>
      </c>
      <c r="DKA224" s="19" t="str">
        <f>IF(DKA220 = "", "", IFERROR(DKA220 / SUMIFS(Aux_Totales!$N:$N, Aux_Totales!$F:$F, $F224, Aux_Totales!$A:$A,#REF!), 0))</f>
        <v/>
      </c>
      <c r="DKB224" s="19" t="str">
        <f>IF(DKB220 = "", "", IFERROR(DKB220 / SUMIFS(Aux_Totales!$N:$N, Aux_Totales!$F:$F, $F224, Aux_Totales!$A:$A,#REF!), 0))</f>
        <v/>
      </c>
      <c r="DKC224" s="19" t="str">
        <f>IF(DKC220 = "", "", IFERROR(DKC220 / SUMIFS(Aux_Totales!$N:$N, Aux_Totales!$F:$F, $F224, Aux_Totales!$A:$A,#REF!), 0))</f>
        <v/>
      </c>
      <c r="DKD224" s="19" t="str">
        <f>IF(DKD220 = "", "", IFERROR(DKD220 / SUMIFS(Aux_Totales!$N:$N, Aux_Totales!$F:$F, $F224, Aux_Totales!$A:$A,#REF!), 0))</f>
        <v/>
      </c>
      <c r="DKE224" s="19" t="str">
        <f>IF(DKE220 = "", "", IFERROR(DKE220 / SUMIFS(Aux_Totales!$N:$N, Aux_Totales!$F:$F, $F224, Aux_Totales!$A:$A,#REF!), 0))</f>
        <v/>
      </c>
      <c r="DKF224" s="19" t="str">
        <f>IF(DKF220 = "", "", IFERROR(DKF220 / SUMIFS(Aux_Totales!$N:$N, Aux_Totales!$F:$F, $F224, Aux_Totales!$A:$A,#REF!), 0))</f>
        <v/>
      </c>
      <c r="DKG224" s="19" t="str">
        <f>IF(DKG220 = "", "", IFERROR(DKG220 / SUMIFS(Aux_Totales!$N:$N, Aux_Totales!$F:$F, $F224, Aux_Totales!$A:$A,#REF!), 0))</f>
        <v/>
      </c>
      <c r="DKH224" s="19" t="str">
        <f>IF(DKH220 = "", "", IFERROR(DKH220 / SUMIFS(Aux_Totales!$N:$N, Aux_Totales!$F:$F, $F224, Aux_Totales!$A:$A,#REF!), 0))</f>
        <v/>
      </c>
      <c r="DKI224" s="19" t="str">
        <f>IF(DKI220 = "", "", IFERROR(DKI220 / SUMIFS(Aux_Totales!$N:$N, Aux_Totales!$F:$F, $F224, Aux_Totales!$A:$A,#REF!), 0))</f>
        <v/>
      </c>
      <c r="DKJ224" s="19" t="str">
        <f>IF(DKJ220 = "", "", IFERROR(DKJ220 / SUMIFS(Aux_Totales!$N:$N, Aux_Totales!$F:$F, $F224, Aux_Totales!$A:$A,#REF!), 0))</f>
        <v/>
      </c>
      <c r="DKK224" s="19" t="str">
        <f>IF(DKK220 = "", "", IFERROR(DKK220 / SUMIFS(Aux_Totales!$N:$N, Aux_Totales!$F:$F, $F224, Aux_Totales!$A:$A,#REF!), 0))</f>
        <v/>
      </c>
      <c r="DKL224" s="19" t="str">
        <f>IF(DKL220 = "", "", IFERROR(DKL220 / SUMIFS(Aux_Totales!$N:$N, Aux_Totales!$F:$F, $F224, Aux_Totales!$A:$A,#REF!), 0))</f>
        <v/>
      </c>
      <c r="DKM224" s="19" t="str">
        <f>IF(DKM220 = "", "", IFERROR(DKM220 / SUMIFS(Aux_Totales!$N:$N, Aux_Totales!$F:$F, $F224, Aux_Totales!$A:$A,#REF!), 0))</f>
        <v/>
      </c>
      <c r="DKN224" s="19" t="str">
        <f>IF(DKN220 = "", "", IFERROR(DKN220 / SUMIFS(Aux_Totales!$N:$N, Aux_Totales!$F:$F, $F224, Aux_Totales!$A:$A,#REF!), 0))</f>
        <v/>
      </c>
      <c r="DKO224" s="19" t="str">
        <f>IF(DKO220 = "", "", IFERROR(DKO220 / SUMIFS(Aux_Totales!$N:$N, Aux_Totales!$F:$F, $F224, Aux_Totales!$A:$A,#REF!), 0))</f>
        <v/>
      </c>
      <c r="DKP224" s="19" t="str">
        <f>IF(DKP220 = "", "", IFERROR(DKP220 / SUMIFS(Aux_Totales!$N:$N, Aux_Totales!$F:$F, $F224, Aux_Totales!$A:$A,#REF!), 0))</f>
        <v/>
      </c>
      <c r="DKQ224" s="19" t="str">
        <f>IF(DKQ220 = "", "", IFERROR(DKQ220 / SUMIFS(Aux_Totales!$N:$N, Aux_Totales!$F:$F, $F224, Aux_Totales!$A:$A,#REF!), 0))</f>
        <v/>
      </c>
      <c r="DKR224" s="19" t="str">
        <f>IF(DKR220 = "", "", IFERROR(DKR220 / SUMIFS(Aux_Totales!$N:$N, Aux_Totales!$F:$F, $F224, Aux_Totales!$A:$A,#REF!), 0))</f>
        <v/>
      </c>
      <c r="DKS224" s="19" t="str">
        <f>IF(DKS220 = "", "", IFERROR(DKS220 / SUMIFS(Aux_Totales!$N:$N, Aux_Totales!$F:$F, $F224, Aux_Totales!$A:$A,#REF!), 0))</f>
        <v/>
      </c>
      <c r="DKT224" s="19" t="str">
        <f>IF(DKT220 = "", "", IFERROR(DKT220 / SUMIFS(Aux_Totales!$N:$N, Aux_Totales!$F:$F, $F224, Aux_Totales!$A:$A,#REF!), 0))</f>
        <v/>
      </c>
      <c r="DKU224" s="19" t="str">
        <f>IF(DKU220 = "", "", IFERROR(DKU220 / SUMIFS(Aux_Totales!$N:$N, Aux_Totales!$F:$F, $F224, Aux_Totales!$A:$A,#REF!), 0))</f>
        <v/>
      </c>
      <c r="DKV224" s="19" t="str">
        <f>IF(DKV220 = "", "", IFERROR(DKV220 / SUMIFS(Aux_Totales!$N:$N, Aux_Totales!$F:$F, $F224, Aux_Totales!$A:$A,#REF!), 0))</f>
        <v/>
      </c>
      <c r="DKW224" s="19" t="str">
        <f>IF(DKW220 = "", "", IFERROR(DKW220 / SUMIFS(Aux_Totales!$N:$N, Aux_Totales!$F:$F, $F224, Aux_Totales!$A:$A,#REF!), 0))</f>
        <v/>
      </c>
      <c r="DKX224" s="19" t="str">
        <f>IF(DKX220 = "", "", IFERROR(DKX220 / SUMIFS(Aux_Totales!$N:$N, Aux_Totales!$F:$F, $F224, Aux_Totales!$A:$A,#REF!), 0))</f>
        <v/>
      </c>
      <c r="DKY224" s="19" t="str">
        <f>IF(DKY220 = "", "", IFERROR(DKY220 / SUMIFS(Aux_Totales!$N:$N, Aux_Totales!$F:$F, $F224, Aux_Totales!$A:$A,#REF!), 0))</f>
        <v/>
      </c>
      <c r="DKZ224" s="19" t="str">
        <f>IF(DKZ220 = "", "", IFERROR(DKZ220 / SUMIFS(Aux_Totales!$N:$N, Aux_Totales!$F:$F, $F224, Aux_Totales!$A:$A,#REF!), 0))</f>
        <v/>
      </c>
      <c r="DLA224" s="19" t="str">
        <f>IF(DLA220 = "", "", IFERROR(DLA220 / SUMIFS(Aux_Totales!$N:$N, Aux_Totales!$F:$F, $F224, Aux_Totales!$A:$A,#REF!), 0))</f>
        <v/>
      </c>
      <c r="DLB224" s="19" t="str">
        <f>IF(DLB220 = "", "", IFERROR(DLB220 / SUMIFS(Aux_Totales!$N:$N, Aux_Totales!$F:$F, $F224, Aux_Totales!$A:$A,#REF!), 0))</f>
        <v/>
      </c>
      <c r="DLC224" s="19" t="str">
        <f>IF(DLC220 = "", "", IFERROR(DLC220 / SUMIFS(Aux_Totales!$N:$N, Aux_Totales!$F:$F, $F224, Aux_Totales!$A:$A,#REF!), 0))</f>
        <v/>
      </c>
      <c r="DLD224" s="19" t="str">
        <f>IF(DLD220 = "", "", IFERROR(DLD220 / SUMIFS(Aux_Totales!$N:$N, Aux_Totales!$F:$F, $F224, Aux_Totales!$A:$A,#REF!), 0))</f>
        <v/>
      </c>
      <c r="DLE224" s="19" t="str">
        <f>IF(DLE220 = "", "", IFERROR(DLE220 / SUMIFS(Aux_Totales!$N:$N, Aux_Totales!$F:$F, $F224, Aux_Totales!$A:$A,#REF!), 0))</f>
        <v/>
      </c>
      <c r="DLF224" s="19" t="str">
        <f>IF(DLF220 = "", "", IFERROR(DLF220 / SUMIFS(Aux_Totales!$N:$N, Aux_Totales!$F:$F, $F224, Aux_Totales!$A:$A,#REF!), 0))</f>
        <v/>
      </c>
      <c r="DLG224" s="19" t="str">
        <f>IF(DLG220 = "", "", IFERROR(DLG220 / SUMIFS(Aux_Totales!$N:$N, Aux_Totales!$F:$F, $F224, Aux_Totales!$A:$A,#REF!), 0))</f>
        <v/>
      </c>
      <c r="DLH224" s="19" t="str">
        <f>IF(DLH220 = "", "", IFERROR(DLH220 / SUMIFS(Aux_Totales!$N:$N, Aux_Totales!$F:$F, $F224, Aux_Totales!$A:$A,#REF!), 0))</f>
        <v/>
      </c>
      <c r="DLI224" s="19" t="str">
        <f>IF(DLI220 = "", "", IFERROR(DLI220 / SUMIFS(Aux_Totales!$N:$N, Aux_Totales!$F:$F, $F224, Aux_Totales!$A:$A,#REF!), 0))</f>
        <v/>
      </c>
      <c r="DLJ224" s="19" t="str">
        <f>IF(DLJ220 = "", "", IFERROR(DLJ220 / SUMIFS(Aux_Totales!$N:$N, Aux_Totales!$F:$F, $F224, Aux_Totales!$A:$A,#REF!), 0))</f>
        <v/>
      </c>
      <c r="DLK224" s="19" t="str">
        <f>IF(DLK220 = "", "", IFERROR(DLK220 / SUMIFS(Aux_Totales!$N:$N, Aux_Totales!$F:$F, $F224, Aux_Totales!$A:$A,#REF!), 0))</f>
        <v/>
      </c>
      <c r="DLL224" s="19" t="str">
        <f>IF(DLL220 = "", "", IFERROR(DLL220 / SUMIFS(Aux_Totales!$N:$N, Aux_Totales!$F:$F, $F224, Aux_Totales!$A:$A,#REF!), 0))</f>
        <v/>
      </c>
      <c r="DLM224" s="19" t="str">
        <f>IF(DLM220 = "", "", IFERROR(DLM220 / SUMIFS(Aux_Totales!$N:$N, Aux_Totales!$F:$F, $F224, Aux_Totales!$A:$A,#REF!), 0))</f>
        <v/>
      </c>
      <c r="DLN224" s="19" t="str">
        <f>IF(DLN220 = "", "", IFERROR(DLN220 / SUMIFS(Aux_Totales!$N:$N, Aux_Totales!$F:$F, $F224, Aux_Totales!$A:$A,#REF!), 0))</f>
        <v/>
      </c>
      <c r="DLO224" s="19" t="str">
        <f>IF(DLO220 = "", "", IFERROR(DLO220 / SUMIFS(Aux_Totales!$N:$N, Aux_Totales!$F:$F, $F224, Aux_Totales!$A:$A,#REF!), 0))</f>
        <v/>
      </c>
      <c r="DLP224" s="19" t="str">
        <f>IF(DLP220 = "", "", IFERROR(DLP220 / SUMIFS(Aux_Totales!$N:$N, Aux_Totales!$F:$F, $F224, Aux_Totales!$A:$A,#REF!), 0))</f>
        <v/>
      </c>
      <c r="DLQ224" s="19" t="str">
        <f>IF(DLQ220 = "", "", IFERROR(DLQ220 / SUMIFS(Aux_Totales!$N:$N, Aux_Totales!$F:$F, $F224, Aux_Totales!$A:$A,#REF!), 0))</f>
        <v/>
      </c>
      <c r="DLR224" s="19" t="str">
        <f>IF(DLR220 = "", "", IFERROR(DLR220 / SUMIFS(Aux_Totales!$N:$N, Aux_Totales!$F:$F, $F224, Aux_Totales!$A:$A,#REF!), 0))</f>
        <v/>
      </c>
      <c r="DLS224" s="19" t="str">
        <f>IF(DLS220 = "", "", IFERROR(DLS220 / SUMIFS(Aux_Totales!$N:$N, Aux_Totales!$F:$F, $F224, Aux_Totales!$A:$A,#REF!), 0))</f>
        <v/>
      </c>
      <c r="DLT224" s="19" t="str">
        <f>IF(DLT220 = "", "", IFERROR(DLT220 / SUMIFS(Aux_Totales!$N:$N, Aux_Totales!$F:$F, $F224, Aux_Totales!$A:$A,#REF!), 0))</f>
        <v/>
      </c>
      <c r="DLU224" s="19" t="str">
        <f>IF(DLU220 = "", "", IFERROR(DLU220 / SUMIFS(Aux_Totales!$N:$N, Aux_Totales!$F:$F, $F224, Aux_Totales!$A:$A,#REF!), 0))</f>
        <v/>
      </c>
      <c r="DLV224" s="19" t="str">
        <f>IF(DLV220 = "", "", IFERROR(DLV220 / SUMIFS(Aux_Totales!$N:$N, Aux_Totales!$F:$F, $F224, Aux_Totales!$A:$A,#REF!), 0))</f>
        <v/>
      </c>
      <c r="DLW224" s="19" t="str">
        <f>IF(DLW220 = "", "", IFERROR(DLW220 / SUMIFS(Aux_Totales!$N:$N, Aux_Totales!$F:$F, $F224, Aux_Totales!$A:$A,#REF!), 0))</f>
        <v/>
      </c>
      <c r="DLX224" s="19" t="str">
        <f>IF(DLX220 = "", "", IFERROR(DLX220 / SUMIFS(Aux_Totales!$N:$N, Aux_Totales!$F:$F, $F224, Aux_Totales!$A:$A,#REF!), 0))</f>
        <v/>
      </c>
      <c r="DLY224" s="19" t="str">
        <f>IF(DLY220 = "", "", IFERROR(DLY220 / SUMIFS(Aux_Totales!$N:$N, Aux_Totales!$F:$F, $F224, Aux_Totales!$A:$A,#REF!), 0))</f>
        <v/>
      </c>
      <c r="DLZ224" s="19" t="str">
        <f>IF(DLZ220 = "", "", IFERROR(DLZ220 / SUMIFS(Aux_Totales!$N:$N, Aux_Totales!$F:$F, $F224, Aux_Totales!$A:$A,#REF!), 0))</f>
        <v/>
      </c>
      <c r="DMA224" s="19" t="str">
        <f>IF(DMA220 = "", "", IFERROR(DMA220 / SUMIFS(Aux_Totales!$N:$N, Aux_Totales!$F:$F, $F224, Aux_Totales!$A:$A,#REF!), 0))</f>
        <v/>
      </c>
      <c r="DMB224" s="19" t="str">
        <f>IF(DMB220 = "", "", IFERROR(DMB220 / SUMIFS(Aux_Totales!$N:$N, Aux_Totales!$F:$F, $F224, Aux_Totales!$A:$A,#REF!), 0))</f>
        <v/>
      </c>
      <c r="DMC224" s="19" t="str">
        <f>IF(DMC220 = "", "", IFERROR(DMC220 / SUMIFS(Aux_Totales!$N:$N, Aux_Totales!$F:$F, $F224, Aux_Totales!$A:$A,#REF!), 0))</f>
        <v/>
      </c>
      <c r="DMD224" s="19" t="str">
        <f>IF(DMD220 = "", "", IFERROR(DMD220 / SUMIFS(Aux_Totales!$N:$N, Aux_Totales!$F:$F, $F224, Aux_Totales!$A:$A,#REF!), 0))</f>
        <v/>
      </c>
      <c r="DME224" s="19" t="str">
        <f>IF(DME220 = "", "", IFERROR(DME220 / SUMIFS(Aux_Totales!$N:$N, Aux_Totales!$F:$F, $F224, Aux_Totales!$A:$A,#REF!), 0))</f>
        <v/>
      </c>
      <c r="DMF224" s="19" t="str">
        <f>IF(DMF220 = "", "", IFERROR(DMF220 / SUMIFS(Aux_Totales!$N:$N, Aux_Totales!$F:$F, $F224, Aux_Totales!$A:$A,#REF!), 0))</f>
        <v/>
      </c>
      <c r="DMG224" s="19" t="str">
        <f>IF(DMG220 = "", "", IFERROR(DMG220 / SUMIFS(Aux_Totales!$N:$N, Aux_Totales!$F:$F, $F224, Aux_Totales!$A:$A,#REF!), 0))</f>
        <v/>
      </c>
      <c r="DMH224" s="19" t="str">
        <f>IF(DMH220 = "", "", IFERROR(DMH220 / SUMIFS(Aux_Totales!$N:$N, Aux_Totales!$F:$F, $F224, Aux_Totales!$A:$A,#REF!), 0))</f>
        <v/>
      </c>
      <c r="DMI224" s="19" t="str">
        <f>IF(DMI220 = "", "", IFERROR(DMI220 / SUMIFS(Aux_Totales!$N:$N, Aux_Totales!$F:$F, $F224, Aux_Totales!$A:$A,#REF!), 0))</f>
        <v/>
      </c>
      <c r="DMJ224" s="19" t="str">
        <f>IF(DMJ220 = "", "", IFERROR(DMJ220 / SUMIFS(Aux_Totales!$N:$N, Aux_Totales!$F:$F, $F224, Aux_Totales!$A:$A,#REF!), 0))</f>
        <v/>
      </c>
      <c r="DMK224" s="19" t="str">
        <f>IF(DMK220 = "", "", IFERROR(DMK220 / SUMIFS(Aux_Totales!$N:$N, Aux_Totales!$F:$F, $F224, Aux_Totales!$A:$A,#REF!), 0))</f>
        <v/>
      </c>
      <c r="DML224" s="19" t="str">
        <f>IF(DML220 = "", "", IFERROR(DML220 / SUMIFS(Aux_Totales!$N:$N, Aux_Totales!$F:$F, $F224, Aux_Totales!$A:$A,#REF!), 0))</f>
        <v/>
      </c>
      <c r="DMM224" s="19" t="str">
        <f>IF(DMM220 = "", "", IFERROR(DMM220 / SUMIFS(Aux_Totales!$N:$N, Aux_Totales!$F:$F, $F224, Aux_Totales!$A:$A,#REF!), 0))</f>
        <v/>
      </c>
      <c r="DMN224" s="19" t="str">
        <f>IF(DMN220 = "", "", IFERROR(DMN220 / SUMIFS(Aux_Totales!$N:$N, Aux_Totales!$F:$F, $F224, Aux_Totales!$A:$A,#REF!), 0))</f>
        <v/>
      </c>
      <c r="DMO224" s="19" t="str">
        <f>IF(DMO220 = "", "", IFERROR(DMO220 / SUMIFS(Aux_Totales!$N:$N, Aux_Totales!$F:$F, $F224, Aux_Totales!$A:$A,#REF!), 0))</f>
        <v/>
      </c>
      <c r="DMP224" s="19" t="str">
        <f>IF(DMP220 = "", "", IFERROR(DMP220 / SUMIFS(Aux_Totales!$N:$N, Aux_Totales!$F:$F, $F224, Aux_Totales!$A:$A,#REF!), 0))</f>
        <v/>
      </c>
      <c r="DMQ224" s="19" t="str">
        <f>IF(DMQ220 = "", "", IFERROR(DMQ220 / SUMIFS(Aux_Totales!$N:$N, Aux_Totales!$F:$F, $F224, Aux_Totales!$A:$A,#REF!), 0))</f>
        <v/>
      </c>
      <c r="DMR224" s="19" t="str">
        <f>IF(DMR220 = "", "", IFERROR(DMR220 / SUMIFS(Aux_Totales!$N:$N, Aux_Totales!$F:$F, $F224, Aux_Totales!$A:$A,#REF!), 0))</f>
        <v/>
      </c>
      <c r="DMS224" s="19" t="str">
        <f>IF(DMS220 = "", "", IFERROR(DMS220 / SUMIFS(Aux_Totales!$N:$N, Aux_Totales!$F:$F, $F224, Aux_Totales!$A:$A,#REF!), 0))</f>
        <v/>
      </c>
      <c r="DMT224" s="19" t="str">
        <f>IF(DMT220 = "", "", IFERROR(DMT220 / SUMIFS(Aux_Totales!$N:$N, Aux_Totales!$F:$F, $F224, Aux_Totales!$A:$A,#REF!), 0))</f>
        <v/>
      </c>
      <c r="DMU224" s="19" t="str">
        <f>IF(DMU220 = "", "", IFERROR(DMU220 / SUMIFS(Aux_Totales!$N:$N, Aux_Totales!$F:$F, $F224, Aux_Totales!$A:$A,#REF!), 0))</f>
        <v/>
      </c>
      <c r="DMV224" s="19" t="str">
        <f>IF(DMV220 = "", "", IFERROR(DMV220 / SUMIFS(Aux_Totales!$N:$N, Aux_Totales!$F:$F, $F224, Aux_Totales!$A:$A,#REF!), 0))</f>
        <v/>
      </c>
      <c r="DMW224" s="19" t="str">
        <f>IF(DMW220 = "", "", IFERROR(DMW220 / SUMIFS(Aux_Totales!$N:$N, Aux_Totales!$F:$F, $F224, Aux_Totales!$A:$A,#REF!), 0))</f>
        <v/>
      </c>
      <c r="DMX224" s="19" t="str">
        <f>IF(DMX220 = "", "", IFERROR(DMX220 / SUMIFS(Aux_Totales!$N:$N, Aux_Totales!$F:$F, $F224, Aux_Totales!$A:$A,#REF!), 0))</f>
        <v/>
      </c>
      <c r="DMY224" s="19" t="str">
        <f>IF(DMY220 = "", "", IFERROR(DMY220 / SUMIFS(Aux_Totales!$N:$N, Aux_Totales!$F:$F, $F224, Aux_Totales!$A:$A,#REF!), 0))</f>
        <v/>
      </c>
      <c r="DMZ224" s="19" t="str">
        <f>IF(DMZ220 = "", "", IFERROR(DMZ220 / SUMIFS(Aux_Totales!$N:$N, Aux_Totales!$F:$F, $F224, Aux_Totales!$A:$A,#REF!), 0))</f>
        <v/>
      </c>
      <c r="DNA224" s="19" t="str">
        <f>IF(DNA220 = "", "", IFERROR(DNA220 / SUMIFS(Aux_Totales!$N:$N, Aux_Totales!$F:$F, $F224, Aux_Totales!$A:$A,#REF!), 0))</f>
        <v/>
      </c>
      <c r="DNB224" s="19" t="str">
        <f>IF(DNB220 = "", "", IFERROR(DNB220 / SUMIFS(Aux_Totales!$N:$N, Aux_Totales!$F:$F, $F224, Aux_Totales!$A:$A,#REF!), 0))</f>
        <v/>
      </c>
      <c r="DNC224" s="19" t="str">
        <f>IF(DNC220 = "", "", IFERROR(DNC220 / SUMIFS(Aux_Totales!$N:$N, Aux_Totales!$F:$F, $F224, Aux_Totales!$A:$A,#REF!), 0))</f>
        <v/>
      </c>
      <c r="DND224" s="19" t="str">
        <f>IF(DND220 = "", "", IFERROR(DND220 / SUMIFS(Aux_Totales!$N:$N, Aux_Totales!$F:$F, $F224, Aux_Totales!$A:$A,#REF!), 0))</f>
        <v/>
      </c>
      <c r="DNE224" s="19" t="str">
        <f>IF(DNE220 = "", "", IFERROR(DNE220 / SUMIFS(Aux_Totales!$N:$N, Aux_Totales!$F:$F, $F224, Aux_Totales!$A:$A,#REF!), 0))</f>
        <v/>
      </c>
      <c r="DNF224" s="19" t="str">
        <f>IF(DNF220 = "", "", IFERROR(DNF220 / SUMIFS(Aux_Totales!$N:$N, Aux_Totales!$F:$F, $F224, Aux_Totales!$A:$A,#REF!), 0))</f>
        <v/>
      </c>
      <c r="DNG224" s="19" t="str">
        <f>IF(DNG220 = "", "", IFERROR(DNG220 / SUMIFS(Aux_Totales!$N:$N, Aux_Totales!$F:$F, $F224, Aux_Totales!$A:$A,#REF!), 0))</f>
        <v/>
      </c>
      <c r="DNH224" s="19" t="str">
        <f>IF(DNH220 = "", "", IFERROR(DNH220 / SUMIFS(Aux_Totales!$N:$N, Aux_Totales!$F:$F, $F224, Aux_Totales!$A:$A,#REF!), 0))</f>
        <v/>
      </c>
      <c r="DNI224" s="19" t="str">
        <f>IF(DNI220 = "", "", IFERROR(DNI220 / SUMIFS(Aux_Totales!$N:$N, Aux_Totales!$F:$F, $F224, Aux_Totales!$A:$A,#REF!), 0))</f>
        <v/>
      </c>
      <c r="DNJ224" s="19" t="str">
        <f>IF(DNJ220 = "", "", IFERROR(DNJ220 / SUMIFS(Aux_Totales!$N:$N, Aux_Totales!$F:$F, $F224, Aux_Totales!$A:$A,#REF!), 0))</f>
        <v/>
      </c>
      <c r="DNK224" s="19" t="str">
        <f>IF(DNK220 = "", "", IFERROR(DNK220 / SUMIFS(Aux_Totales!$N:$N, Aux_Totales!$F:$F, $F224, Aux_Totales!$A:$A,#REF!), 0))</f>
        <v/>
      </c>
      <c r="DNL224" s="19" t="str">
        <f>IF(DNL220 = "", "", IFERROR(DNL220 / SUMIFS(Aux_Totales!$N:$N, Aux_Totales!$F:$F, $F224, Aux_Totales!$A:$A,#REF!), 0))</f>
        <v/>
      </c>
      <c r="DNM224" s="19" t="str">
        <f>IF(DNM220 = "", "", IFERROR(DNM220 / SUMIFS(Aux_Totales!$N:$N, Aux_Totales!$F:$F, $F224, Aux_Totales!$A:$A,#REF!), 0))</f>
        <v/>
      </c>
      <c r="DNN224" s="19" t="str">
        <f>IF(DNN220 = "", "", IFERROR(DNN220 / SUMIFS(Aux_Totales!$N:$N, Aux_Totales!$F:$F, $F224, Aux_Totales!$A:$A,#REF!), 0))</f>
        <v/>
      </c>
      <c r="DNO224" s="19" t="str">
        <f>IF(DNO220 = "", "", IFERROR(DNO220 / SUMIFS(Aux_Totales!$N:$N, Aux_Totales!$F:$F, $F224, Aux_Totales!$A:$A,#REF!), 0))</f>
        <v/>
      </c>
      <c r="DNP224" s="19" t="str">
        <f>IF(DNP220 = "", "", IFERROR(DNP220 / SUMIFS(Aux_Totales!$N:$N, Aux_Totales!$F:$F, $F224, Aux_Totales!$A:$A,#REF!), 0))</f>
        <v/>
      </c>
      <c r="DNQ224" s="19" t="str">
        <f>IF(DNQ220 = "", "", IFERROR(DNQ220 / SUMIFS(Aux_Totales!$N:$N, Aux_Totales!$F:$F, $F224, Aux_Totales!$A:$A,#REF!), 0))</f>
        <v/>
      </c>
      <c r="DNR224" s="19" t="str">
        <f>IF(DNR220 = "", "", IFERROR(DNR220 / SUMIFS(Aux_Totales!$N:$N, Aux_Totales!$F:$F, $F224, Aux_Totales!$A:$A,#REF!), 0))</f>
        <v/>
      </c>
      <c r="DNS224" s="19" t="str">
        <f>IF(DNS220 = "", "", IFERROR(DNS220 / SUMIFS(Aux_Totales!$N:$N, Aux_Totales!$F:$F, $F224, Aux_Totales!$A:$A,#REF!), 0))</f>
        <v/>
      </c>
      <c r="DNT224" s="19" t="str">
        <f>IF(DNT220 = "", "", IFERROR(DNT220 / SUMIFS(Aux_Totales!$N:$N, Aux_Totales!$F:$F, $F224, Aux_Totales!$A:$A,#REF!), 0))</f>
        <v/>
      </c>
      <c r="DNU224" s="19" t="str">
        <f>IF(DNU220 = "", "", IFERROR(DNU220 / SUMIFS(Aux_Totales!$N:$N, Aux_Totales!$F:$F, $F224, Aux_Totales!$A:$A,#REF!), 0))</f>
        <v/>
      </c>
      <c r="DNV224" s="19" t="str">
        <f>IF(DNV220 = "", "", IFERROR(DNV220 / SUMIFS(Aux_Totales!$N:$N, Aux_Totales!$F:$F, $F224, Aux_Totales!$A:$A,#REF!), 0))</f>
        <v/>
      </c>
      <c r="DNW224" s="19" t="str">
        <f>IF(DNW220 = "", "", IFERROR(DNW220 / SUMIFS(Aux_Totales!$N:$N, Aux_Totales!$F:$F, $F224, Aux_Totales!$A:$A,#REF!), 0))</f>
        <v/>
      </c>
      <c r="DNX224" s="19" t="str">
        <f>IF(DNX220 = "", "", IFERROR(DNX220 / SUMIFS(Aux_Totales!$N:$N, Aux_Totales!$F:$F, $F224, Aux_Totales!$A:$A,#REF!), 0))</f>
        <v/>
      </c>
      <c r="DNY224" s="19" t="str">
        <f>IF(DNY220 = "", "", IFERROR(DNY220 / SUMIFS(Aux_Totales!$N:$N, Aux_Totales!$F:$F, $F224, Aux_Totales!$A:$A,#REF!), 0))</f>
        <v/>
      </c>
      <c r="DNZ224" s="19" t="str">
        <f>IF(DNZ220 = "", "", IFERROR(DNZ220 / SUMIFS(Aux_Totales!$N:$N, Aux_Totales!$F:$F, $F224, Aux_Totales!$A:$A,#REF!), 0))</f>
        <v/>
      </c>
      <c r="DOA224" s="19" t="str">
        <f>IF(DOA220 = "", "", IFERROR(DOA220 / SUMIFS(Aux_Totales!$N:$N, Aux_Totales!$F:$F, $F224, Aux_Totales!$A:$A,#REF!), 0))</f>
        <v/>
      </c>
      <c r="DOB224" s="19" t="str">
        <f>IF(DOB220 = "", "", IFERROR(DOB220 / SUMIFS(Aux_Totales!$N:$N, Aux_Totales!$F:$F, $F224, Aux_Totales!$A:$A,#REF!), 0))</f>
        <v/>
      </c>
      <c r="DOC224" s="19" t="str">
        <f>IF(DOC220 = "", "", IFERROR(DOC220 / SUMIFS(Aux_Totales!$N:$N, Aux_Totales!$F:$F, $F224, Aux_Totales!$A:$A,#REF!), 0))</f>
        <v/>
      </c>
      <c r="DOD224" s="19" t="str">
        <f>IF(DOD220 = "", "", IFERROR(DOD220 / SUMIFS(Aux_Totales!$N:$N, Aux_Totales!$F:$F, $F224, Aux_Totales!$A:$A,#REF!), 0))</f>
        <v/>
      </c>
      <c r="DOE224" s="19" t="str">
        <f>IF(DOE220 = "", "", IFERROR(DOE220 / SUMIFS(Aux_Totales!$N:$N, Aux_Totales!$F:$F, $F224, Aux_Totales!$A:$A,#REF!), 0))</f>
        <v/>
      </c>
      <c r="DOF224" s="19" t="str">
        <f>IF(DOF220 = "", "", IFERROR(DOF220 / SUMIFS(Aux_Totales!$N:$N, Aux_Totales!$F:$F, $F224, Aux_Totales!$A:$A,#REF!), 0))</f>
        <v/>
      </c>
      <c r="DOG224" s="19" t="str">
        <f>IF(DOG220 = "", "", IFERROR(DOG220 / SUMIFS(Aux_Totales!$N:$N, Aux_Totales!$F:$F, $F224, Aux_Totales!$A:$A,#REF!), 0))</f>
        <v/>
      </c>
      <c r="DOH224" s="19" t="str">
        <f>IF(DOH220 = "", "", IFERROR(DOH220 / SUMIFS(Aux_Totales!$N:$N, Aux_Totales!$F:$F, $F224, Aux_Totales!$A:$A,#REF!), 0))</f>
        <v/>
      </c>
      <c r="DOI224" s="19" t="str">
        <f>IF(DOI220 = "", "", IFERROR(DOI220 / SUMIFS(Aux_Totales!$N:$N, Aux_Totales!$F:$F, $F224, Aux_Totales!$A:$A,#REF!), 0))</f>
        <v/>
      </c>
      <c r="DOJ224" s="19" t="str">
        <f>IF(DOJ220 = "", "", IFERROR(DOJ220 / SUMIFS(Aux_Totales!$N:$N, Aux_Totales!$F:$F, $F224, Aux_Totales!$A:$A,#REF!), 0))</f>
        <v/>
      </c>
      <c r="DOK224" s="19" t="str">
        <f>IF(DOK220 = "", "", IFERROR(DOK220 / SUMIFS(Aux_Totales!$N:$N, Aux_Totales!$F:$F, $F224, Aux_Totales!$A:$A,#REF!), 0))</f>
        <v/>
      </c>
      <c r="DOL224" s="19" t="str">
        <f>IF(DOL220 = "", "", IFERROR(DOL220 / SUMIFS(Aux_Totales!$N:$N, Aux_Totales!$F:$F, $F224, Aux_Totales!$A:$A,#REF!), 0))</f>
        <v/>
      </c>
      <c r="DOM224" s="19" t="str">
        <f>IF(DOM220 = "", "", IFERROR(DOM220 / SUMIFS(Aux_Totales!$N:$N, Aux_Totales!$F:$F, $F224, Aux_Totales!$A:$A,#REF!), 0))</f>
        <v/>
      </c>
      <c r="DON224" s="19" t="str">
        <f>IF(DON220 = "", "", IFERROR(DON220 / SUMIFS(Aux_Totales!$N:$N, Aux_Totales!$F:$F, $F224, Aux_Totales!$A:$A,#REF!), 0))</f>
        <v/>
      </c>
      <c r="DOO224" s="19" t="str">
        <f>IF(DOO220 = "", "", IFERROR(DOO220 / SUMIFS(Aux_Totales!$N:$N, Aux_Totales!$F:$F, $F224, Aux_Totales!$A:$A,#REF!), 0))</f>
        <v/>
      </c>
      <c r="DOP224" s="19" t="str">
        <f>IF(DOP220 = "", "", IFERROR(DOP220 / SUMIFS(Aux_Totales!$N:$N, Aux_Totales!$F:$F, $F224, Aux_Totales!$A:$A,#REF!), 0))</f>
        <v/>
      </c>
      <c r="DOQ224" s="19" t="str">
        <f>IF(DOQ220 = "", "", IFERROR(DOQ220 / SUMIFS(Aux_Totales!$N:$N, Aux_Totales!$F:$F, $F224, Aux_Totales!$A:$A,#REF!), 0))</f>
        <v/>
      </c>
      <c r="DOR224" s="19" t="str">
        <f>IF(DOR220 = "", "", IFERROR(DOR220 / SUMIFS(Aux_Totales!$N:$N, Aux_Totales!$F:$F, $F224, Aux_Totales!$A:$A,#REF!), 0))</f>
        <v/>
      </c>
      <c r="DOS224" s="19" t="str">
        <f>IF(DOS220 = "", "", IFERROR(DOS220 / SUMIFS(Aux_Totales!$N:$N, Aux_Totales!$F:$F, $F224, Aux_Totales!$A:$A,#REF!), 0))</f>
        <v/>
      </c>
      <c r="DOT224" s="19" t="str">
        <f>IF(DOT220 = "", "", IFERROR(DOT220 / SUMIFS(Aux_Totales!$N:$N, Aux_Totales!$F:$F, $F224, Aux_Totales!$A:$A,#REF!), 0))</f>
        <v/>
      </c>
      <c r="DOU224" s="19" t="str">
        <f>IF(DOU220 = "", "", IFERROR(DOU220 / SUMIFS(Aux_Totales!$N:$N, Aux_Totales!$F:$F, $F224, Aux_Totales!$A:$A,#REF!), 0))</f>
        <v/>
      </c>
      <c r="DOV224" s="19" t="str">
        <f>IF(DOV220 = "", "", IFERROR(DOV220 / SUMIFS(Aux_Totales!$N:$N, Aux_Totales!$F:$F, $F224, Aux_Totales!$A:$A,#REF!), 0))</f>
        <v/>
      </c>
      <c r="DOW224" s="19" t="str">
        <f>IF(DOW220 = "", "", IFERROR(DOW220 / SUMIFS(Aux_Totales!$N:$N, Aux_Totales!$F:$F, $F224, Aux_Totales!$A:$A,#REF!), 0))</f>
        <v/>
      </c>
      <c r="DOX224" s="19" t="str">
        <f>IF(DOX220 = "", "", IFERROR(DOX220 / SUMIFS(Aux_Totales!$N:$N, Aux_Totales!$F:$F, $F224, Aux_Totales!$A:$A,#REF!), 0))</f>
        <v/>
      </c>
      <c r="DOY224" s="19" t="str">
        <f>IF(DOY220 = "", "", IFERROR(DOY220 / SUMIFS(Aux_Totales!$N:$N, Aux_Totales!$F:$F, $F224, Aux_Totales!$A:$A,#REF!), 0))</f>
        <v/>
      </c>
      <c r="DOZ224" s="19" t="str">
        <f>IF(DOZ220 = "", "", IFERROR(DOZ220 / SUMIFS(Aux_Totales!$N:$N, Aux_Totales!$F:$F, $F224, Aux_Totales!$A:$A,#REF!), 0))</f>
        <v/>
      </c>
      <c r="DPA224" s="19" t="str">
        <f>IF(DPA220 = "", "", IFERROR(DPA220 / SUMIFS(Aux_Totales!$N:$N, Aux_Totales!$F:$F, $F224, Aux_Totales!$A:$A,#REF!), 0))</f>
        <v/>
      </c>
      <c r="DPB224" s="19" t="str">
        <f>IF(DPB220 = "", "", IFERROR(DPB220 / SUMIFS(Aux_Totales!$N:$N, Aux_Totales!$F:$F, $F224, Aux_Totales!$A:$A,#REF!), 0))</f>
        <v/>
      </c>
      <c r="DPC224" s="19" t="str">
        <f>IF(DPC220 = "", "", IFERROR(DPC220 / SUMIFS(Aux_Totales!$N:$N, Aux_Totales!$F:$F, $F224, Aux_Totales!$A:$A,#REF!), 0))</f>
        <v/>
      </c>
      <c r="DPD224" s="19" t="str">
        <f>IF(DPD220 = "", "", IFERROR(DPD220 / SUMIFS(Aux_Totales!$N:$N, Aux_Totales!$F:$F, $F224, Aux_Totales!$A:$A,#REF!), 0))</f>
        <v/>
      </c>
      <c r="DPE224" s="19" t="str">
        <f>IF(DPE220 = "", "", IFERROR(DPE220 / SUMIFS(Aux_Totales!$N:$N, Aux_Totales!$F:$F, $F224, Aux_Totales!$A:$A,#REF!), 0))</f>
        <v/>
      </c>
      <c r="DPF224" s="19" t="str">
        <f>IF(DPF220 = "", "", IFERROR(DPF220 / SUMIFS(Aux_Totales!$N:$N, Aux_Totales!$F:$F, $F224, Aux_Totales!$A:$A,#REF!), 0))</f>
        <v/>
      </c>
      <c r="DPG224" s="19" t="str">
        <f>IF(DPG220 = "", "", IFERROR(DPG220 / SUMIFS(Aux_Totales!$N:$N, Aux_Totales!$F:$F, $F224, Aux_Totales!$A:$A,#REF!), 0))</f>
        <v/>
      </c>
      <c r="DPH224" s="19" t="str">
        <f>IF(DPH220 = "", "", IFERROR(DPH220 / SUMIFS(Aux_Totales!$N:$N, Aux_Totales!$F:$F, $F224, Aux_Totales!$A:$A,#REF!), 0))</f>
        <v/>
      </c>
      <c r="DPI224" s="19" t="str">
        <f>IF(DPI220 = "", "", IFERROR(DPI220 / SUMIFS(Aux_Totales!$N:$N, Aux_Totales!$F:$F, $F224, Aux_Totales!$A:$A,#REF!), 0))</f>
        <v/>
      </c>
      <c r="DPJ224" s="19" t="str">
        <f>IF(DPJ220 = "", "", IFERROR(DPJ220 / SUMIFS(Aux_Totales!$N:$N, Aux_Totales!$F:$F, $F224, Aux_Totales!$A:$A,#REF!), 0))</f>
        <v/>
      </c>
      <c r="DPK224" s="19" t="str">
        <f>IF(DPK220 = "", "", IFERROR(DPK220 / SUMIFS(Aux_Totales!$N:$N, Aux_Totales!$F:$F, $F224, Aux_Totales!$A:$A,#REF!), 0))</f>
        <v/>
      </c>
      <c r="DPL224" s="19" t="str">
        <f>IF(DPL220 = "", "", IFERROR(DPL220 / SUMIFS(Aux_Totales!$N:$N, Aux_Totales!$F:$F, $F224, Aux_Totales!$A:$A,#REF!), 0))</f>
        <v/>
      </c>
      <c r="DPM224" s="19" t="str">
        <f>IF(DPM220 = "", "", IFERROR(DPM220 / SUMIFS(Aux_Totales!$N:$N, Aux_Totales!$F:$F, $F224, Aux_Totales!$A:$A,#REF!), 0))</f>
        <v/>
      </c>
      <c r="DPN224" s="19" t="str">
        <f>IF(DPN220 = "", "", IFERROR(DPN220 / SUMIFS(Aux_Totales!$N:$N, Aux_Totales!$F:$F, $F224, Aux_Totales!$A:$A,#REF!), 0))</f>
        <v/>
      </c>
      <c r="DPO224" s="19" t="str">
        <f>IF(DPO220 = "", "", IFERROR(DPO220 / SUMIFS(Aux_Totales!$N:$N, Aux_Totales!$F:$F, $F224, Aux_Totales!$A:$A,#REF!), 0))</f>
        <v/>
      </c>
      <c r="DPP224" s="19" t="str">
        <f>IF(DPP220 = "", "", IFERROR(DPP220 / SUMIFS(Aux_Totales!$N:$N, Aux_Totales!$F:$F, $F224, Aux_Totales!$A:$A,#REF!), 0))</f>
        <v/>
      </c>
      <c r="DPQ224" s="19" t="str">
        <f>IF(DPQ220 = "", "", IFERROR(DPQ220 / SUMIFS(Aux_Totales!$N:$N, Aux_Totales!$F:$F, $F224, Aux_Totales!$A:$A,#REF!), 0))</f>
        <v/>
      </c>
      <c r="DPR224" s="19" t="str">
        <f>IF(DPR220 = "", "", IFERROR(DPR220 / SUMIFS(Aux_Totales!$N:$N, Aux_Totales!$F:$F, $F224, Aux_Totales!$A:$A,#REF!), 0))</f>
        <v/>
      </c>
      <c r="DPS224" s="19" t="str">
        <f>IF(DPS220 = "", "", IFERROR(DPS220 / SUMIFS(Aux_Totales!$N:$N, Aux_Totales!$F:$F, $F224, Aux_Totales!$A:$A,#REF!), 0))</f>
        <v/>
      </c>
      <c r="DPT224" s="19" t="str">
        <f>IF(DPT220 = "", "", IFERROR(DPT220 / SUMIFS(Aux_Totales!$N:$N, Aux_Totales!$F:$F, $F224, Aux_Totales!$A:$A,#REF!), 0))</f>
        <v/>
      </c>
      <c r="DPU224" s="19" t="str">
        <f>IF(DPU220 = "", "", IFERROR(DPU220 / SUMIFS(Aux_Totales!$N:$N, Aux_Totales!$F:$F, $F224, Aux_Totales!$A:$A,#REF!), 0))</f>
        <v/>
      </c>
      <c r="DPV224" s="19" t="str">
        <f>IF(DPV220 = "", "", IFERROR(DPV220 / SUMIFS(Aux_Totales!$N:$N, Aux_Totales!$F:$F, $F224, Aux_Totales!$A:$A,#REF!), 0))</f>
        <v/>
      </c>
      <c r="DPW224" s="19" t="str">
        <f>IF(DPW220 = "", "", IFERROR(DPW220 / SUMIFS(Aux_Totales!$N:$N, Aux_Totales!$F:$F, $F224, Aux_Totales!$A:$A,#REF!), 0))</f>
        <v/>
      </c>
      <c r="DPX224" s="19" t="str">
        <f>IF(DPX220 = "", "", IFERROR(DPX220 / SUMIFS(Aux_Totales!$N:$N, Aux_Totales!$F:$F, $F224, Aux_Totales!$A:$A,#REF!), 0))</f>
        <v/>
      </c>
      <c r="DPY224" s="19" t="str">
        <f>IF(DPY220 = "", "", IFERROR(DPY220 / SUMIFS(Aux_Totales!$N:$N, Aux_Totales!$F:$F, $F224, Aux_Totales!$A:$A,#REF!), 0))</f>
        <v/>
      </c>
      <c r="DPZ224" s="19" t="str">
        <f>IF(DPZ220 = "", "", IFERROR(DPZ220 / SUMIFS(Aux_Totales!$N:$N, Aux_Totales!$F:$F, $F224, Aux_Totales!$A:$A,#REF!), 0))</f>
        <v/>
      </c>
      <c r="DQA224" s="19" t="str">
        <f>IF(DQA220 = "", "", IFERROR(DQA220 / SUMIFS(Aux_Totales!$N:$N, Aux_Totales!$F:$F, $F224, Aux_Totales!$A:$A,#REF!), 0))</f>
        <v/>
      </c>
      <c r="DQB224" s="19" t="str">
        <f>IF(DQB220 = "", "", IFERROR(DQB220 / SUMIFS(Aux_Totales!$N:$N, Aux_Totales!$F:$F, $F224, Aux_Totales!$A:$A,#REF!), 0))</f>
        <v/>
      </c>
      <c r="DQC224" s="19" t="str">
        <f>IF(DQC220 = "", "", IFERROR(DQC220 / SUMIFS(Aux_Totales!$N:$N, Aux_Totales!$F:$F, $F224, Aux_Totales!$A:$A,#REF!), 0))</f>
        <v/>
      </c>
      <c r="DQD224" s="19" t="str">
        <f>IF(DQD220 = "", "", IFERROR(DQD220 / SUMIFS(Aux_Totales!$N:$N, Aux_Totales!$F:$F, $F224, Aux_Totales!$A:$A,#REF!), 0))</f>
        <v/>
      </c>
      <c r="DQE224" s="19" t="str">
        <f>IF(DQE220 = "", "", IFERROR(DQE220 / SUMIFS(Aux_Totales!$N:$N, Aux_Totales!$F:$F, $F224, Aux_Totales!$A:$A,#REF!), 0))</f>
        <v/>
      </c>
      <c r="DQF224" s="19" t="str">
        <f>IF(DQF220 = "", "", IFERROR(DQF220 / SUMIFS(Aux_Totales!$N:$N, Aux_Totales!$F:$F, $F224, Aux_Totales!$A:$A,#REF!), 0))</f>
        <v/>
      </c>
      <c r="DQG224" s="19" t="str">
        <f>IF(DQG220 = "", "", IFERROR(DQG220 / SUMIFS(Aux_Totales!$N:$N, Aux_Totales!$F:$F, $F224, Aux_Totales!$A:$A,#REF!), 0))</f>
        <v/>
      </c>
      <c r="DQH224" s="19" t="str">
        <f>IF(DQH220 = "", "", IFERROR(DQH220 / SUMIFS(Aux_Totales!$N:$N, Aux_Totales!$F:$F, $F224, Aux_Totales!$A:$A,#REF!), 0))</f>
        <v/>
      </c>
      <c r="DQI224" s="19" t="str">
        <f>IF(DQI220 = "", "", IFERROR(DQI220 / SUMIFS(Aux_Totales!$N:$N, Aux_Totales!$F:$F, $F224, Aux_Totales!$A:$A,#REF!), 0))</f>
        <v/>
      </c>
      <c r="DQJ224" s="19" t="str">
        <f>IF(DQJ220 = "", "", IFERROR(DQJ220 / SUMIFS(Aux_Totales!$N:$N, Aux_Totales!$F:$F, $F224, Aux_Totales!$A:$A,#REF!), 0))</f>
        <v/>
      </c>
      <c r="DQK224" s="19" t="str">
        <f>IF(DQK220 = "", "", IFERROR(DQK220 / SUMIFS(Aux_Totales!$N:$N, Aux_Totales!$F:$F, $F224, Aux_Totales!$A:$A,#REF!), 0))</f>
        <v/>
      </c>
      <c r="DQL224" s="19" t="str">
        <f>IF(DQL220 = "", "", IFERROR(DQL220 / SUMIFS(Aux_Totales!$N:$N, Aux_Totales!$F:$F, $F224, Aux_Totales!$A:$A,#REF!), 0))</f>
        <v/>
      </c>
      <c r="DQM224" s="19" t="str">
        <f>IF(DQM220 = "", "", IFERROR(DQM220 / SUMIFS(Aux_Totales!$N:$N, Aux_Totales!$F:$F, $F224, Aux_Totales!$A:$A,#REF!), 0))</f>
        <v/>
      </c>
      <c r="DQN224" s="19" t="str">
        <f>IF(DQN220 = "", "", IFERROR(DQN220 / SUMIFS(Aux_Totales!$N:$N, Aux_Totales!$F:$F, $F224, Aux_Totales!$A:$A,#REF!), 0))</f>
        <v/>
      </c>
      <c r="DQO224" s="19" t="str">
        <f>IF(DQO220 = "", "", IFERROR(DQO220 / SUMIFS(Aux_Totales!$N:$N, Aux_Totales!$F:$F, $F224, Aux_Totales!$A:$A,#REF!), 0))</f>
        <v/>
      </c>
      <c r="DQP224" s="19" t="str">
        <f>IF(DQP220 = "", "", IFERROR(DQP220 / SUMIFS(Aux_Totales!$N:$N, Aux_Totales!$F:$F, $F224, Aux_Totales!$A:$A,#REF!), 0))</f>
        <v/>
      </c>
      <c r="DQQ224" s="19" t="str">
        <f>IF(DQQ220 = "", "", IFERROR(DQQ220 / SUMIFS(Aux_Totales!$N:$N, Aux_Totales!$F:$F, $F224, Aux_Totales!$A:$A,#REF!), 0))</f>
        <v/>
      </c>
      <c r="DQR224" s="19" t="str">
        <f>IF(DQR220 = "", "", IFERROR(DQR220 / SUMIFS(Aux_Totales!$N:$N, Aux_Totales!$F:$F, $F224, Aux_Totales!$A:$A,#REF!), 0))</f>
        <v/>
      </c>
      <c r="DQS224" s="19" t="str">
        <f>IF(DQS220 = "", "", IFERROR(DQS220 / SUMIFS(Aux_Totales!$N:$N, Aux_Totales!$F:$F, $F224, Aux_Totales!$A:$A,#REF!), 0))</f>
        <v/>
      </c>
      <c r="DQT224" s="19" t="str">
        <f>IF(DQT220 = "", "", IFERROR(DQT220 / SUMIFS(Aux_Totales!$N:$N, Aux_Totales!$F:$F, $F224, Aux_Totales!$A:$A,#REF!), 0))</f>
        <v/>
      </c>
      <c r="DQU224" s="19" t="str">
        <f>IF(DQU220 = "", "", IFERROR(DQU220 / SUMIFS(Aux_Totales!$N:$N, Aux_Totales!$F:$F, $F224, Aux_Totales!$A:$A,#REF!), 0))</f>
        <v/>
      </c>
      <c r="DQV224" s="19" t="str">
        <f>IF(DQV220 = "", "", IFERROR(DQV220 / SUMIFS(Aux_Totales!$N:$N, Aux_Totales!$F:$F, $F224, Aux_Totales!$A:$A,#REF!), 0))</f>
        <v/>
      </c>
      <c r="DQW224" s="19" t="str">
        <f>IF(DQW220 = "", "", IFERROR(DQW220 / SUMIFS(Aux_Totales!$N:$N, Aux_Totales!$F:$F, $F224, Aux_Totales!$A:$A,#REF!), 0))</f>
        <v/>
      </c>
      <c r="DQX224" s="19" t="str">
        <f>IF(DQX220 = "", "", IFERROR(DQX220 / SUMIFS(Aux_Totales!$N:$N, Aux_Totales!$F:$F, $F224, Aux_Totales!$A:$A,#REF!), 0))</f>
        <v/>
      </c>
      <c r="DQY224" s="19" t="str">
        <f>IF(DQY220 = "", "", IFERROR(DQY220 / SUMIFS(Aux_Totales!$N:$N, Aux_Totales!$F:$F, $F224, Aux_Totales!$A:$A,#REF!), 0))</f>
        <v/>
      </c>
      <c r="DQZ224" s="19" t="str">
        <f>IF(DQZ220 = "", "", IFERROR(DQZ220 / SUMIFS(Aux_Totales!$N:$N, Aux_Totales!$F:$F, $F224, Aux_Totales!$A:$A,#REF!), 0))</f>
        <v/>
      </c>
      <c r="DRA224" s="19" t="str">
        <f>IF(DRA220 = "", "", IFERROR(DRA220 / SUMIFS(Aux_Totales!$N:$N, Aux_Totales!$F:$F, $F224, Aux_Totales!$A:$A,#REF!), 0))</f>
        <v/>
      </c>
      <c r="DRB224" s="19" t="str">
        <f>IF(DRB220 = "", "", IFERROR(DRB220 / SUMIFS(Aux_Totales!$N:$N, Aux_Totales!$F:$F, $F224, Aux_Totales!$A:$A,#REF!), 0))</f>
        <v/>
      </c>
      <c r="DRC224" s="19" t="str">
        <f>IF(DRC220 = "", "", IFERROR(DRC220 / SUMIFS(Aux_Totales!$N:$N, Aux_Totales!$F:$F, $F224, Aux_Totales!$A:$A,#REF!), 0))</f>
        <v/>
      </c>
      <c r="DRD224" s="19" t="str">
        <f>IF(DRD220 = "", "", IFERROR(DRD220 / SUMIFS(Aux_Totales!$N:$N, Aux_Totales!$F:$F, $F224, Aux_Totales!$A:$A,#REF!), 0))</f>
        <v/>
      </c>
      <c r="DRE224" s="19" t="str">
        <f>IF(DRE220 = "", "", IFERROR(DRE220 / SUMIFS(Aux_Totales!$N:$N, Aux_Totales!$F:$F, $F224, Aux_Totales!$A:$A,#REF!), 0))</f>
        <v/>
      </c>
      <c r="DRF224" s="19" t="str">
        <f>IF(DRF220 = "", "", IFERROR(DRF220 / SUMIFS(Aux_Totales!$N:$N, Aux_Totales!$F:$F, $F224, Aux_Totales!$A:$A,#REF!), 0))</f>
        <v/>
      </c>
      <c r="DRG224" s="19" t="str">
        <f>IF(DRG220 = "", "", IFERROR(DRG220 / SUMIFS(Aux_Totales!$N:$N, Aux_Totales!$F:$F, $F224, Aux_Totales!$A:$A,#REF!), 0))</f>
        <v/>
      </c>
      <c r="DRH224" s="19" t="str">
        <f>IF(DRH220 = "", "", IFERROR(DRH220 / SUMIFS(Aux_Totales!$N:$N, Aux_Totales!$F:$F, $F224, Aux_Totales!$A:$A,#REF!), 0))</f>
        <v/>
      </c>
      <c r="DRI224" s="19" t="str">
        <f>IF(DRI220 = "", "", IFERROR(DRI220 / SUMIFS(Aux_Totales!$N:$N, Aux_Totales!$F:$F, $F224, Aux_Totales!$A:$A,#REF!), 0))</f>
        <v/>
      </c>
      <c r="DRJ224" s="19" t="str">
        <f>IF(DRJ220 = "", "", IFERROR(DRJ220 / SUMIFS(Aux_Totales!$N:$N, Aux_Totales!$F:$F, $F224, Aux_Totales!$A:$A,#REF!), 0))</f>
        <v/>
      </c>
      <c r="DRK224" s="19" t="str">
        <f>IF(DRK220 = "", "", IFERROR(DRK220 / SUMIFS(Aux_Totales!$N:$N, Aux_Totales!$F:$F, $F224, Aux_Totales!$A:$A,#REF!), 0))</f>
        <v/>
      </c>
      <c r="DRL224" s="19" t="str">
        <f>IF(DRL220 = "", "", IFERROR(DRL220 / SUMIFS(Aux_Totales!$N:$N, Aux_Totales!$F:$F, $F224, Aux_Totales!$A:$A,#REF!), 0))</f>
        <v/>
      </c>
      <c r="DRM224" s="19" t="str">
        <f>IF(DRM220 = "", "", IFERROR(DRM220 / SUMIFS(Aux_Totales!$N:$N, Aux_Totales!$F:$F, $F224, Aux_Totales!$A:$A,#REF!), 0))</f>
        <v/>
      </c>
      <c r="DRN224" s="19" t="str">
        <f>IF(DRN220 = "", "", IFERROR(DRN220 / SUMIFS(Aux_Totales!$N:$N, Aux_Totales!$F:$F, $F224, Aux_Totales!$A:$A,#REF!), 0))</f>
        <v/>
      </c>
      <c r="DRO224" s="19" t="str">
        <f>IF(DRO220 = "", "", IFERROR(DRO220 / SUMIFS(Aux_Totales!$N:$N, Aux_Totales!$F:$F, $F224, Aux_Totales!$A:$A,#REF!), 0))</f>
        <v/>
      </c>
      <c r="DRP224" s="19" t="str">
        <f>IF(DRP220 = "", "", IFERROR(DRP220 / SUMIFS(Aux_Totales!$N:$N, Aux_Totales!$F:$F, $F224, Aux_Totales!$A:$A,#REF!), 0))</f>
        <v/>
      </c>
      <c r="DRQ224" s="19" t="str">
        <f>IF(DRQ220 = "", "", IFERROR(DRQ220 / SUMIFS(Aux_Totales!$N:$N, Aux_Totales!$F:$F, $F224, Aux_Totales!$A:$A,#REF!), 0))</f>
        <v/>
      </c>
      <c r="DRR224" s="19" t="str">
        <f>IF(DRR220 = "", "", IFERROR(DRR220 / SUMIFS(Aux_Totales!$N:$N, Aux_Totales!$F:$F, $F224, Aux_Totales!$A:$A,#REF!), 0))</f>
        <v/>
      </c>
      <c r="DRS224" s="19" t="str">
        <f>IF(DRS220 = "", "", IFERROR(DRS220 / SUMIFS(Aux_Totales!$N:$N, Aux_Totales!$F:$F, $F224, Aux_Totales!$A:$A,#REF!), 0))</f>
        <v/>
      </c>
      <c r="DRT224" s="19" t="str">
        <f>IF(DRT220 = "", "", IFERROR(DRT220 / SUMIFS(Aux_Totales!$N:$N, Aux_Totales!$F:$F, $F224, Aux_Totales!$A:$A,#REF!), 0))</f>
        <v/>
      </c>
      <c r="DRU224" s="19" t="str">
        <f>IF(DRU220 = "", "", IFERROR(DRU220 / SUMIFS(Aux_Totales!$N:$N, Aux_Totales!$F:$F, $F224, Aux_Totales!$A:$A,#REF!), 0))</f>
        <v/>
      </c>
      <c r="DRV224" s="19" t="str">
        <f>IF(DRV220 = "", "", IFERROR(DRV220 / SUMIFS(Aux_Totales!$N:$N, Aux_Totales!$F:$F, $F224, Aux_Totales!$A:$A,#REF!), 0))</f>
        <v/>
      </c>
      <c r="DRW224" s="19" t="str">
        <f>IF(DRW220 = "", "", IFERROR(DRW220 / SUMIFS(Aux_Totales!$N:$N, Aux_Totales!$F:$F, $F224, Aux_Totales!$A:$A,#REF!), 0))</f>
        <v/>
      </c>
      <c r="DRX224" s="19" t="str">
        <f>IF(DRX220 = "", "", IFERROR(DRX220 / SUMIFS(Aux_Totales!$N:$N, Aux_Totales!$F:$F, $F224, Aux_Totales!$A:$A,#REF!), 0))</f>
        <v/>
      </c>
      <c r="DRY224" s="19" t="str">
        <f>IF(DRY220 = "", "", IFERROR(DRY220 / SUMIFS(Aux_Totales!$N:$N, Aux_Totales!$F:$F, $F224, Aux_Totales!$A:$A,#REF!), 0))</f>
        <v/>
      </c>
      <c r="DRZ224" s="19" t="str">
        <f>IF(DRZ220 = "", "", IFERROR(DRZ220 / SUMIFS(Aux_Totales!$N:$N, Aux_Totales!$F:$F, $F224, Aux_Totales!$A:$A,#REF!), 0))</f>
        <v/>
      </c>
      <c r="DSA224" s="19" t="str">
        <f>IF(DSA220 = "", "", IFERROR(DSA220 / SUMIFS(Aux_Totales!$N:$N, Aux_Totales!$F:$F, $F224, Aux_Totales!$A:$A,#REF!), 0))</f>
        <v/>
      </c>
      <c r="DSB224" s="19" t="str">
        <f>IF(DSB220 = "", "", IFERROR(DSB220 / SUMIFS(Aux_Totales!$N:$N, Aux_Totales!$F:$F, $F224, Aux_Totales!$A:$A,#REF!), 0))</f>
        <v/>
      </c>
      <c r="DSC224" s="19" t="str">
        <f>IF(DSC220 = "", "", IFERROR(DSC220 / SUMIFS(Aux_Totales!$N:$N, Aux_Totales!$F:$F, $F224, Aux_Totales!$A:$A,#REF!), 0))</f>
        <v/>
      </c>
      <c r="DSD224" s="19" t="str">
        <f>IF(DSD220 = "", "", IFERROR(DSD220 / SUMIFS(Aux_Totales!$N:$N, Aux_Totales!$F:$F, $F224, Aux_Totales!$A:$A,#REF!), 0))</f>
        <v/>
      </c>
      <c r="DSE224" s="19" t="str">
        <f>IF(DSE220 = "", "", IFERROR(DSE220 / SUMIFS(Aux_Totales!$N:$N, Aux_Totales!$F:$F, $F224, Aux_Totales!$A:$A,#REF!), 0))</f>
        <v/>
      </c>
      <c r="DSF224" s="19" t="str">
        <f>IF(DSF220 = "", "", IFERROR(DSF220 / SUMIFS(Aux_Totales!$N:$N, Aux_Totales!$F:$F, $F224, Aux_Totales!$A:$A,#REF!), 0))</f>
        <v/>
      </c>
      <c r="DSG224" s="19" t="str">
        <f>IF(DSG220 = "", "", IFERROR(DSG220 / SUMIFS(Aux_Totales!$N:$N, Aux_Totales!$F:$F, $F224, Aux_Totales!$A:$A,#REF!), 0))</f>
        <v/>
      </c>
      <c r="DSH224" s="19" t="str">
        <f>IF(DSH220 = "", "", IFERROR(DSH220 / SUMIFS(Aux_Totales!$N:$N, Aux_Totales!$F:$F, $F224, Aux_Totales!$A:$A,#REF!), 0))</f>
        <v/>
      </c>
      <c r="DSI224" s="19" t="str">
        <f>IF(DSI220 = "", "", IFERROR(DSI220 / SUMIFS(Aux_Totales!$N:$N, Aux_Totales!$F:$F, $F224, Aux_Totales!$A:$A,#REF!), 0))</f>
        <v/>
      </c>
      <c r="DSJ224" s="19" t="str">
        <f>IF(DSJ220 = "", "", IFERROR(DSJ220 / SUMIFS(Aux_Totales!$N:$N, Aux_Totales!$F:$F, $F224, Aux_Totales!$A:$A,#REF!), 0))</f>
        <v/>
      </c>
      <c r="DSK224" s="19" t="str">
        <f>IF(DSK220 = "", "", IFERROR(DSK220 / SUMIFS(Aux_Totales!$N:$N, Aux_Totales!$F:$F, $F224, Aux_Totales!$A:$A,#REF!), 0))</f>
        <v/>
      </c>
      <c r="DSL224" s="19" t="str">
        <f>IF(DSL220 = "", "", IFERROR(DSL220 / SUMIFS(Aux_Totales!$N:$N, Aux_Totales!$F:$F, $F224, Aux_Totales!$A:$A,#REF!), 0))</f>
        <v/>
      </c>
      <c r="DSM224" s="19" t="str">
        <f>IF(DSM220 = "", "", IFERROR(DSM220 / SUMIFS(Aux_Totales!$N:$N, Aux_Totales!$F:$F, $F224, Aux_Totales!$A:$A,#REF!), 0))</f>
        <v/>
      </c>
      <c r="DSN224" s="19" t="str">
        <f>IF(DSN220 = "", "", IFERROR(DSN220 / SUMIFS(Aux_Totales!$N:$N, Aux_Totales!$F:$F, $F224, Aux_Totales!$A:$A,#REF!), 0))</f>
        <v/>
      </c>
      <c r="DSO224" s="19" t="str">
        <f>IF(DSO220 = "", "", IFERROR(DSO220 / SUMIFS(Aux_Totales!$N:$N, Aux_Totales!$F:$F, $F224, Aux_Totales!$A:$A,#REF!), 0))</f>
        <v/>
      </c>
      <c r="DSP224" s="19" t="str">
        <f>IF(DSP220 = "", "", IFERROR(DSP220 / SUMIFS(Aux_Totales!$N:$N, Aux_Totales!$F:$F, $F224, Aux_Totales!$A:$A,#REF!), 0))</f>
        <v/>
      </c>
      <c r="DSQ224" s="19" t="str">
        <f>IF(DSQ220 = "", "", IFERROR(DSQ220 / SUMIFS(Aux_Totales!$N:$N, Aux_Totales!$F:$F, $F224, Aux_Totales!$A:$A,#REF!), 0))</f>
        <v/>
      </c>
      <c r="DSR224" s="19" t="str">
        <f>IF(DSR220 = "", "", IFERROR(DSR220 / SUMIFS(Aux_Totales!$N:$N, Aux_Totales!$F:$F, $F224, Aux_Totales!$A:$A,#REF!), 0))</f>
        <v/>
      </c>
      <c r="DSS224" s="19" t="str">
        <f>IF(DSS220 = "", "", IFERROR(DSS220 / SUMIFS(Aux_Totales!$N:$N, Aux_Totales!$F:$F, $F224, Aux_Totales!$A:$A,#REF!), 0))</f>
        <v/>
      </c>
      <c r="DST224" s="19" t="str">
        <f>IF(DST220 = "", "", IFERROR(DST220 / SUMIFS(Aux_Totales!$N:$N, Aux_Totales!$F:$F, $F224, Aux_Totales!$A:$A,#REF!), 0))</f>
        <v/>
      </c>
      <c r="DSU224" s="19" t="str">
        <f>IF(DSU220 = "", "", IFERROR(DSU220 / SUMIFS(Aux_Totales!$N:$N, Aux_Totales!$F:$F, $F224, Aux_Totales!$A:$A,#REF!), 0))</f>
        <v/>
      </c>
      <c r="DSV224" s="19" t="str">
        <f>IF(DSV220 = "", "", IFERROR(DSV220 / SUMIFS(Aux_Totales!$N:$N, Aux_Totales!$F:$F, $F224, Aux_Totales!$A:$A,#REF!), 0))</f>
        <v/>
      </c>
      <c r="DSW224" s="19" t="str">
        <f>IF(DSW220 = "", "", IFERROR(DSW220 / SUMIFS(Aux_Totales!$N:$N, Aux_Totales!$F:$F, $F224, Aux_Totales!$A:$A,#REF!), 0))</f>
        <v/>
      </c>
      <c r="DSX224" s="19" t="str">
        <f>IF(DSX220 = "", "", IFERROR(DSX220 / SUMIFS(Aux_Totales!$N:$N, Aux_Totales!$F:$F, $F224, Aux_Totales!$A:$A,#REF!), 0))</f>
        <v/>
      </c>
      <c r="DSY224" s="19" t="str">
        <f>IF(DSY220 = "", "", IFERROR(DSY220 / SUMIFS(Aux_Totales!$N:$N, Aux_Totales!$F:$F, $F224, Aux_Totales!$A:$A,#REF!), 0))</f>
        <v/>
      </c>
      <c r="DSZ224" s="19" t="str">
        <f>IF(DSZ220 = "", "", IFERROR(DSZ220 / SUMIFS(Aux_Totales!$N:$N, Aux_Totales!$F:$F, $F224, Aux_Totales!$A:$A,#REF!), 0))</f>
        <v/>
      </c>
      <c r="DTA224" s="19" t="str">
        <f>IF(DTA220 = "", "", IFERROR(DTA220 / SUMIFS(Aux_Totales!$N:$N, Aux_Totales!$F:$F, $F224, Aux_Totales!$A:$A,#REF!), 0))</f>
        <v/>
      </c>
      <c r="DTB224" s="19" t="str">
        <f>IF(DTB220 = "", "", IFERROR(DTB220 / SUMIFS(Aux_Totales!$N:$N, Aux_Totales!$F:$F, $F224, Aux_Totales!$A:$A,#REF!), 0))</f>
        <v/>
      </c>
      <c r="DTC224" s="19" t="str">
        <f>IF(DTC220 = "", "", IFERROR(DTC220 / SUMIFS(Aux_Totales!$N:$N, Aux_Totales!$F:$F, $F224, Aux_Totales!$A:$A,#REF!), 0))</f>
        <v/>
      </c>
      <c r="DTD224" s="19" t="str">
        <f>IF(DTD220 = "", "", IFERROR(DTD220 / SUMIFS(Aux_Totales!$N:$N, Aux_Totales!$F:$F, $F224, Aux_Totales!$A:$A,#REF!), 0))</f>
        <v/>
      </c>
      <c r="DTE224" s="19" t="str">
        <f>IF(DTE220 = "", "", IFERROR(DTE220 / SUMIFS(Aux_Totales!$N:$N, Aux_Totales!$F:$F, $F224, Aux_Totales!$A:$A,#REF!), 0))</f>
        <v/>
      </c>
      <c r="DTF224" s="19" t="str">
        <f>IF(DTF220 = "", "", IFERROR(DTF220 / SUMIFS(Aux_Totales!$N:$N, Aux_Totales!$F:$F, $F224, Aux_Totales!$A:$A,#REF!), 0))</f>
        <v/>
      </c>
      <c r="DTG224" s="19" t="str">
        <f>IF(DTG220 = "", "", IFERROR(DTG220 / SUMIFS(Aux_Totales!$N:$N, Aux_Totales!$F:$F, $F224, Aux_Totales!$A:$A,#REF!), 0))</f>
        <v/>
      </c>
      <c r="DTH224" s="19" t="str">
        <f>IF(DTH220 = "", "", IFERROR(DTH220 / SUMIFS(Aux_Totales!$N:$N, Aux_Totales!$F:$F, $F224, Aux_Totales!$A:$A,#REF!), 0))</f>
        <v/>
      </c>
      <c r="DTI224" s="19" t="str">
        <f>IF(DTI220 = "", "", IFERROR(DTI220 / SUMIFS(Aux_Totales!$N:$N, Aux_Totales!$F:$F, $F224, Aux_Totales!$A:$A,#REF!), 0))</f>
        <v/>
      </c>
      <c r="DTJ224" s="19" t="str">
        <f>IF(DTJ220 = "", "", IFERROR(DTJ220 / SUMIFS(Aux_Totales!$N:$N, Aux_Totales!$F:$F, $F224, Aux_Totales!$A:$A,#REF!), 0))</f>
        <v/>
      </c>
      <c r="DTK224" s="19" t="str">
        <f>IF(DTK220 = "", "", IFERROR(DTK220 / SUMIFS(Aux_Totales!$N:$N, Aux_Totales!$F:$F, $F224, Aux_Totales!$A:$A,#REF!), 0))</f>
        <v/>
      </c>
      <c r="DTL224" s="19" t="str">
        <f>IF(DTL220 = "", "", IFERROR(DTL220 / SUMIFS(Aux_Totales!$N:$N, Aux_Totales!$F:$F, $F224, Aux_Totales!$A:$A,#REF!), 0))</f>
        <v/>
      </c>
      <c r="DTM224" s="19" t="str">
        <f>IF(DTM220 = "", "", IFERROR(DTM220 / SUMIFS(Aux_Totales!$N:$N, Aux_Totales!$F:$F, $F224, Aux_Totales!$A:$A,#REF!), 0))</f>
        <v/>
      </c>
      <c r="DTN224" s="19" t="str">
        <f>IF(DTN220 = "", "", IFERROR(DTN220 / SUMIFS(Aux_Totales!$N:$N, Aux_Totales!$F:$F, $F224, Aux_Totales!$A:$A,#REF!), 0))</f>
        <v/>
      </c>
      <c r="DTO224" s="19" t="str">
        <f>IF(DTO220 = "", "", IFERROR(DTO220 / SUMIFS(Aux_Totales!$N:$N, Aux_Totales!$F:$F, $F224, Aux_Totales!$A:$A,#REF!), 0))</f>
        <v/>
      </c>
      <c r="DTP224" s="19" t="str">
        <f>IF(DTP220 = "", "", IFERROR(DTP220 / SUMIFS(Aux_Totales!$N:$N, Aux_Totales!$F:$F, $F224, Aux_Totales!$A:$A,#REF!), 0))</f>
        <v/>
      </c>
      <c r="DTQ224" s="19" t="str">
        <f>IF(DTQ220 = "", "", IFERROR(DTQ220 / SUMIFS(Aux_Totales!$N:$N, Aux_Totales!$F:$F, $F224, Aux_Totales!$A:$A,#REF!), 0))</f>
        <v/>
      </c>
      <c r="DTR224" s="19" t="str">
        <f>IF(DTR220 = "", "", IFERROR(DTR220 / SUMIFS(Aux_Totales!$N:$N, Aux_Totales!$F:$F, $F224, Aux_Totales!$A:$A,#REF!), 0))</f>
        <v/>
      </c>
      <c r="DTS224" s="19" t="str">
        <f>IF(DTS220 = "", "", IFERROR(DTS220 / SUMIFS(Aux_Totales!$N:$N, Aux_Totales!$F:$F, $F224, Aux_Totales!$A:$A,#REF!), 0))</f>
        <v/>
      </c>
      <c r="DTT224" s="19" t="str">
        <f>IF(DTT220 = "", "", IFERROR(DTT220 / SUMIFS(Aux_Totales!$N:$N, Aux_Totales!$F:$F, $F224, Aux_Totales!$A:$A,#REF!), 0))</f>
        <v/>
      </c>
      <c r="DTU224" s="19" t="str">
        <f>IF(DTU220 = "", "", IFERROR(DTU220 / SUMIFS(Aux_Totales!$N:$N, Aux_Totales!$F:$F, $F224, Aux_Totales!$A:$A,#REF!), 0))</f>
        <v/>
      </c>
      <c r="DTV224" s="19" t="str">
        <f>IF(DTV220 = "", "", IFERROR(DTV220 / SUMIFS(Aux_Totales!$N:$N, Aux_Totales!$F:$F, $F224, Aux_Totales!$A:$A,#REF!), 0))</f>
        <v/>
      </c>
      <c r="DTW224" s="19" t="str">
        <f>IF(DTW220 = "", "", IFERROR(DTW220 / SUMIFS(Aux_Totales!$N:$N, Aux_Totales!$F:$F, $F224, Aux_Totales!$A:$A,#REF!), 0))</f>
        <v/>
      </c>
      <c r="DTX224" s="19" t="str">
        <f>IF(DTX220 = "", "", IFERROR(DTX220 / SUMIFS(Aux_Totales!$N:$N, Aux_Totales!$F:$F, $F224, Aux_Totales!$A:$A,#REF!), 0))</f>
        <v/>
      </c>
      <c r="DTY224" s="19" t="str">
        <f>IF(DTY220 = "", "", IFERROR(DTY220 / SUMIFS(Aux_Totales!$N:$N, Aux_Totales!$F:$F, $F224, Aux_Totales!$A:$A,#REF!), 0))</f>
        <v/>
      </c>
      <c r="DTZ224" s="19" t="str">
        <f>IF(DTZ220 = "", "", IFERROR(DTZ220 / SUMIFS(Aux_Totales!$N:$N, Aux_Totales!$F:$F, $F224, Aux_Totales!$A:$A,#REF!), 0))</f>
        <v/>
      </c>
      <c r="DUA224" s="19" t="str">
        <f>IF(DUA220 = "", "", IFERROR(DUA220 / SUMIFS(Aux_Totales!$N:$N, Aux_Totales!$F:$F, $F224, Aux_Totales!$A:$A,#REF!), 0))</f>
        <v/>
      </c>
      <c r="DUB224" s="19" t="str">
        <f>IF(DUB220 = "", "", IFERROR(DUB220 / SUMIFS(Aux_Totales!$N:$N, Aux_Totales!$F:$F, $F224, Aux_Totales!$A:$A,#REF!), 0))</f>
        <v/>
      </c>
      <c r="DUC224" s="19" t="str">
        <f>IF(DUC220 = "", "", IFERROR(DUC220 / SUMIFS(Aux_Totales!$N:$N, Aux_Totales!$F:$F, $F224, Aux_Totales!$A:$A,#REF!), 0))</f>
        <v/>
      </c>
      <c r="DUD224" s="19" t="str">
        <f>IF(DUD220 = "", "", IFERROR(DUD220 / SUMIFS(Aux_Totales!$N:$N, Aux_Totales!$F:$F, $F224, Aux_Totales!$A:$A,#REF!), 0))</f>
        <v/>
      </c>
      <c r="DUE224" s="19" t="str">
        <f>IF(DUE220 = "", "", IFERROR(DUE220 / SUMIFS(Aux_Totales!$N:$N, Aux_Totales!$F:$F, $F224, Aux_Totales!$A:$A,#REF!), 0))</f>
        <v/>
      </c>
      <c r="DUF224" s="19" t="str">
        <f>IF(DUF220 = "", "", IFERROR(DUF220 / SUMIFS(Aux_Totales!$N:$N, Aux_Totales!$F:$F, $F224, Aux_Totales!$A:$A,#REF!), 0))</f>
        <v/>
      </c>
      <c r="DUG224" s="19" t="str">
        <f>IF(DUG220 = "", "", IFERROR(DUG220 / SUMIFS(Aux_Totales!$N:$N, Aux_Totales!$F:$F, $F224, Aux_Totales!$A:$A,#REF!), 0))</f>
        <v/>
      </c>
      <c r="DUH224" s="19" t="str">
        <f>IF(DUH220 = "", "", IFERROR(DUH220 / SUMIFS(Aux_Totales!$N:$N, Aux_Totales!$F:$F, $F224, Aux_Totales!$A:$A,#REF!), 0))</f>
        <v/>
      </c>
      <c r="DUI224" s="19" t="str">
        <f>IF(DUI220 = "", "", IFERROR(DUI220 / SUMIFS(Aux_Totales!$N:$N, Aux_Totales!$F:$F, $F224, Aux_Totales!$A:$A,#REF!), 0))</f>
        <v/>
      </c>
      <c r="DUJ224" s="19" t="str">
        <f>IF(DUJ220 = "", "", IFERROR(DUJ220 / SUMIFS(Aux_Totales!$N:$N, Aux_Totales!$F:$F, $F224, Aux_Totales!$A:$A,#REF!), 0))</f>
        <v/>
      </c>
      <c r="DUK224" s="19" t="str">
        <f>IF(DUK220 = "", "", IFERROR(DUK220 / SUMIFS(Aux_Totales!$N:$N, Aux_Totales!$F:$F, $F224, Aux_Totales!$A:$A,#REF!), 0))</f>
        <v/>
      </c>
      <c r="DUL224" s="19" t="str">
        <f>IF(DUL220 = "", "", IFERROR(DUL220 / SUMIFS(Aux_Totales!$N:$N, Aux_Totales!$F:$F, $F224, Aux_Totales!$A:$A,#REF!), 0))</f>
        <v/>
      </c>
      <c r="DUM224" s="19" t="str">
        <f>IF(DUM220 = "", "", IFERROR(DUM220 / SUMIFS(Aux_Totales!$N:$N, Aux_Totales!$F:$F, $F224, Aux_Totales!$A:$A,#REF!), 0))</f>
        <v/>
      </c>
      <c r="DUN224" s="19" t="str">
        <f>IF(DUN220 = "", "", IFERROR(DUN220 / SUMIFS(Aux_Totales!$N:$N, Aux_Totales!$F:$F, $F224, Aux_Totales!$A:$A,#REF!), 0))</f>
        <v/>
      </c>
      <c r="DUO224" s="19" t="str">
        <f>IF(DUO220 = "", "", IFERROR(DUO220 / SUMIFS(Aux_Totales!$N:$N, Aux_Totales!$F:$F, $F224, Aux_Totales!$A:$A,#REF!), 0))</f>
        <v/>
      </c>
      <c r="DUP224" s="19" t="str">
        <f>IF(DUP220 = "", "", IFERROR(DUP220 / SUMIFS(Aux_Totales!$N:$N, Aux_Totales!$F:$F, $F224, Aux_Totales!$A:$A,#REF!), 0))</f>
        <v/>
      </c>
      <c r="DUQ224" s="19" t="str">
        <f>IF(DUQ220 = "", "", IFERROR(DUQ220 / SUMIFS(Aux_Totales!$N:$N, Aux_Totales!$F:$F, $F224, Aux_Totales!$A:$A,#REF!), 0))</f>
        <v/>
      </c>
      <c r="DUR224" s="19" t="str">
        <f>IF(DUR220 = "", "", IFERROR(DUR220 / SUMIFS(Aux_Totales!$N:$N, Aux_Totales!$F:$F, $F224, Aux_Totales!$A:$A,#REF!), 0))</f>
        <v/>
      </c>
      <c r="DUS224" s="19" t="str">
        <f>IF(DUS220 = "", "", IFERROR(DUS220 / SUMIFS(Aux_Totales!$N:$N, Aux_Totales!$F:$F, $F224, Aux_Totales!$A:$A,#REF!), 0))</f>
        <v/>
      </c>
      <c r="DUT224" s="19" t="str">
        <f>IF(DUT220 = "", "", IFERROR(DUT220 / SUMIFS(Aux_Totales!$N:$N, Aux_Totales!$F:$F, $F224, Aux_Totales!$A:$A,#REF!), 0))</f>
        <v/>
      </c>
      <c r="DUU224" s="19" t="str">
        <f>IF(DUU220 = "", "", IFERROR(DUU220 / SUMIFS(Aux_Totales!$N:$N, Aux_Totales!$F:$F, $F224, Aux_Totales!$A:$A,#REF!), 0))</f>
        <v/>
      </c>
      <c r="DUV224" s="19" t="str">
        <f>IF(DUV220 = "", "", IFERROR(DUV220 / SUMIFS(Aux_Totales!$N:$N, Aux_Totales!$F:$F, $F224, Aux_Totales!$A:$A,#REF!), 0))</f>
        <v/>
      </c>
      <c r="DUW224" s="19" t="str">
        <f>IF(DUW220 = "", "", IFERROR(DUW220 / SUMIFS(Aux_Totales!$N:$N, Aux_Totales!$F:$F, $F224, Aux_Totales!$A:$A,#REF!), 0))</f>
        <v/>
      </c>
      <c r="DUX224" s="19" t="str">
        <f>IF(DUX220 = "", "", IFERROR(DUX220 / SUMIFS(Aux_Totales!$N:$N, Aux_Totales!$F:$F, $F224, Aux_Totales!$A:$A,#REF!), 0))</f>
        <v/>
      </c>
      <c r="DUY224" s="19" t="str">
        <f>IF(DUY220 = "", "", IFERROR(DUY220 / SUMIFS(Aux_Totales!$N:$N, Aux_Totales!$F:$F, $F224, Aux_Totales!$A:$A,#REF!), 0))</f>
        <v/>
      </c>
      <c r="DUZ224" s="19" t="str">
        <f>IF(DUZ220 = "", "", IFERROR(DUZ220 / SUMIFS(Aux_Totales!$N:$N, Aux_Totales!$F:$F, $F224, Aux_Totales!$A:$A,#REF!), 0))</f>
        <v/>
      </c>
      <c r="DVA224" s="19" t="str">
        <f>IF(DVA220 = "", "", IFERROR(DVA220 / SUMIFS(Aux_Totales!$N:$N, Aux_Totales!$F:$F, $F224, Aux_Totales!$A:$A,#REF!), 0))</f>
        <v/>
      </c>
      <c r="DVB224" s="19" t="str">
        <f>IF(DVB220 = "", "", IFERROR(DVB220 / SUMIFS(Aux_Totales!$N:$N, Aux_Totales!$F:$F, $F224, Aux_Totales!$A:$A,#REF!), 0))</f>
        <v/>
      </c>
      <c r="DVC224" s="19" t="str">
        <f>IF(DVC220 = "", "", IFERROR(DVC220 / SUMIFS(Aux_Totales!$N:$N, Aux_Totales!$F:$F, $F224, Aux_Totales!$A:$A,#REF!), 0))</f>
        <v/>
      </c>
      <c r="DVD224" s="19" t="str">
        <f>IF(DVD220 = "", "", IFERROR(DVD220 / SUMIFS(Aux_Totales!$N:$N, Aux_Totales!$F:$F, $F224, Aux_Totales!$A:$A,#REF!), 0))</f>
        <v/>
      </c>
      <c r="DVE224" s="19" t="str">
        <f>IF(DVE220 = "", "", IFERROR(DVE220 / SUMIFS(Aux_Totales!$N:$N, Aux_Totales!$F:$F, $F224, Aux_Totales!$A:$A,#REF!), 0))</f>
        <v/>
      </c>
      <c r="DVF224" s="19" t="str">
        <f>IF(DVF220 = "", "", IFERROR(DVF220 / SUMIFS(Aux_Totales!$N:$N, Aux_Totales!$F:$F, $F224, Aux_Totales!$A:$A,#REF!), 0))</f>
        <v/>
      </c>
      <c r="DVG224" s="19" t="str">
        <f>IF(DVG220 = "", "", IFERROR(DVG220 / SUMIFS(Aux_Totales!$N:$N, Aux_Totales!$F:$F, $F224, Aux_Totales!$A:$A,#REF!), 0))</f>
        <v/>
      </c>
      <c r="DVH224" s="19" t="str">
        <f>IF(DVH220 = "", "", IFERROR(DVH220 / SUMIFS(Aux_Totales!$N:$N, Aux_Totales!$F:$F, $F224, Aux_Totales!$A:$A,#REF!), 0))</f>
        <v/>
      </c>
      <c r="DVI224" s="19" t="str">
        <f>IF(DVI220 = "", "", IFERROR(DVI220 / SUMIFS(Aux_Totales!$N:$N, Aux_Totales!$F:$F, $F224, Aux_Totales!$A:$A,#REF!), 0))</f>
        <v/>
      </c>
      <c r="DVJ224" s="19" t="str">
        <f>IF(DVJ220 = "", "", IFERROR(DVJ220 / SUMIFS(Aux_Totales!$N:$N, Aux_Totales!$F:$F, $F224, Aux_Totales!$A:$A,#REF!), 0))</f>
        <v/>
      </c>
      <c r="DVK224" s="19" t="str">
        <f>IF(DVK220 = "", "", IFERROR(DVK220 / SUMIFS(Aux_Totales!$N:$N, Aux_Totales!$F:$F, $F224, Aux_Totales!$A:$A,#REF!), 0))</f>
        <v/>
      </c>
      <c r="DVL224" s="19" t="str">
        <f>IF(DVL220 = "", "", IFERROR(DVL220 / SUMIFS(Aux_Totales!$N:$N, Aux_Totales!$F:$F, $F224, Aux_Totales!$A:$A,#REF!), 0))</f>
        <v/>
      </c>
      <c r="DVM224" s="19" t="str">
        <f>IF(DVM220 = "", "", IFERROR(DVM220 / SUMIFS(Aux_Totales!$N:$N, Aux_Totales!$F:$F, $F224, Aux_Totales!$A:$A,#REF!), 0))</f>
        <v/>
      </c>
      <c r="DVN224" s="19" t="str">
        <f>IF(DVN220 = "", "", IFERROR(DVN220 / SUMIFS(Aux_Totales!$N:$N, Aux_Totales!$F:$F, $F224, Aux_Totales!$A:$A,#REF!), 0))</f>
        <v/>
      </c>
      <c r="DVO224" s="19" t="str">
        <f>IF(DVO220 = "", "", IFERROR(DVO220 / SUMIFS(Aux_Totales!$N:$N, Aux_Totales!$F:$F, $F224, Aux_Totales!$A:$A,#REF!), 0))</f>
        <v/>
      </c>
      <c r="DVP224" s="19" t="str">
        <f>IF(DVP220 = "", "", IFERROR(DVP220 / SUMIFS(Aux_Totales!$N:$N, Aux_Totales!$F:$F, $F224, Aux_Totales!$A:$A,#REF!), 0))</f>
        <v/>
      </c>
      <c r="DVQ224" s="19" t="str">
        <f>IF(DVQ220 = "", "", IFERROR(DVQ220 / SUMIFS(Aux_Totales!$N:$N, Aux_Totales!$F:$F, $F224, Aux_Totales!$A:$A,#REF!), 0))</f>
        <v/>
      </c>
      <c r="DVR224" s="19" t="str">
        <f>IF(DVR220 = "", "", IFERROR(DVR220 / SUMIFS(Aux_Totales!$N:$N, Aux_Totales!$F:$F, $F224, Aux_Totales!$A:$A,#REF!), 0))</f>
        <v/>
      </c>
      <c r="DVS224" s="19" t="str">
        <f>IF(DVS220 = "", "", IFERROR(DVS220 / SUMIFS(Aux_Totales!$N:$N, Aux_Totales!$F:$F, $F224, Aux_Totales!$A:$A,#REF!), 0))</f>
        <v/>
      </c>
      <c r="DVT224" s="19" t="str">
        <f>IF(DVT220 = "", "", IFERROR(DVT220 / SUMIFS(Aux_Totales!$N:$N, Aux_Totales!$F:$F, $F224, Aux_Totales!$A:$A,#REF!), 0))</f>
        <v/>
      </c>
      <c r="DVU224" s="19" t="str">
        <f>IF(DVU220 = "", "", IFERROR(DVU220 / SUMIFS(Aux_Totales!$N:$N, Aux_Totales!$F:$F, $F224, Aux_Totales!$A:$A,#REF!), 0))</f>
        <v/>
      </c>
      <c r="DVV224" s="19" t="str">
        <f>IF(DVV220 = "", "", IFERROR(DVV220 / SUMIFS(Aux_Totales!$N:$N, Aux_Totales!$F:$F, $F224, Aux_Totales!$A:$A,#REF!), 0))</f>
        <v/>
      </c>
      <c r="DVW224" s="19" t="str">
        <f>IF(DVW220 = "", "", IFERROR(DVW220 / SUMIFS(Aux_Totales!$N:$N, Aux_Totales!$F:$F, $F224, Aux_Totales!$A:$A,#REF!), 0))</f>
        <v/>
      </c>
      <c r="DVX224" s="19" t="str">
        <f>IF(DVX220 = "", "", IFERROR(DVX220 / SUMIFS(Aux_Totales!$N:$N, Aux_Totales!$F:$F, $F224, Aux_Totales!$A:$A,#REF!), 0))</f>
        <v/>
      </c>
      <c r="DVY224" s="19" t="str">
        <f>IF(DVY220 = "", "", IFERROR(DVY220 / SUMIFS(Aux_Totales!$N:$N, Aux_Totales!$F:$F, $F224, Aux_Totales!$A:$A,#REF!), 0))</f>
        <v/>
      </c>
      <c r="DVZ224" s="19" t="str">
        <f>IF(DVZ220 = "", "", IFERROR(DVZ220 / SUMIFS(Aux_Totales!$N:$N, Aux_Totales!$F:$F, $F224, Aux_Totales!$A:$A,#REF!), 0))</f>
        <v/>
      </c>
      <c r="DWA224" s="19" t="str">
        <f>IF(DWA220 = "", "", IFERROR(DWA220 / SUMIFS(Aux_Totales!$N:$N, Aux_Totales!$F:$F, $F224, Aux_Totales!$A:$A,#REF!), 0))</f>
        <v/>
      </c>
      <c r="DWB224" s="19" t="str">
        <f>IF(DWB220 = "", "", IFERROR(DWB220 / SUMIFS(Aux_Totales!$N:$N, Aux_Totales!$F:$F, $F224, Aux_Totales!$A:$A,#REF!), 0))</f>
        <v/>
      </c>
      <c r="DWC224" s="19" t="str">
        <f>IF(DWC220 = "", "", IFERROR(DWC220 / SUMIFS(Aux_Totales!$N:$N, Aux_Totales!$F:$F, $F224, Aux_Totales!$A:$A,#REF!), 0))</f>
        <v/>
      </c>
      <c r="DWD224" s="19" t="str">
        <f>IF(DWD220 = "", "", IFERROR(DWD220 / SUMIFS(Aux_Totales!$N:$N, Aux_Totales!$F:$F, $F224, Aux_Totales!$A:$A,#REF!), 0))</f>
        <v/>
      </c>
      <c r="DWE224" s="19" t="str">
        <f>IF(DWE220 = "", "", IFERROR(DWE220 / SUMIFS(Aux_Totales!$N:$N, Aux_Totales!$F:$F, $F224, Aux_Totales!$A:$A,#REF!), 0))</f>
        <v/>
      </c>
      <c r="DWF224" s="19" t="str">
        <f>IF(DWF220 = "", "", IFERROR(DWF220 / SUMIFS(Aux_Totales!$N:$N, Aux_Totales!$F:$F, $F224, Aux_Totales!$A:$A,#REF!), 0))</f>
        <v/>
      </c>
      <c r="DWG224" s="19" t="str">
        <f>IF(DWG220 = "", "", IFERROR(DWG220 / SUMIFS(Aux_Totales!$N:$N, Aux_Totales!$F:$F, $F224, Aux_Totales!$A:$A,#REF!), 0))</f>
        <v/>
      </c>
      <c r="DWH224" s="19" t="str">
        <f>IF(DWH220 = "", "", IFERROR(DWH220 / SUMIFS(Aux_Totales!$N:$N, Aux_Totales!$F:$F, $F224, Aux_Totales!$A:$A,#REF!), 0))</f>
        <v/>
      </c>
      <c r="DWI224" s="19" t="str">
        <f>IF(DWI220 = "", "", IFERROR(DWI220 / SUMIFS(Aux_Totales!$N:$N, Aux_Totales!$F:$F, $F224, Aux_Totales!$A:$A,#REF!), 0))</f>
        <v/>
      </c>
      <c r="DWJ224" s="19" t="str">
        <f>IF(DWJ220 = "", "", IFERROR(DWJ220 / SUMIFS(Aux_Totales!$N:$N, Aux_Totales!$F:$F, $F224, Aux_Totales!$A:$A,#REF!), 0))</f>
        <v/>
      </c>
      <c r="DWK224" s="19" t="str">
        <f>IF(DWK220 = "", "", IFERROR(DWK220 / SUMIFS(Aux_Totales!$N:$N, Aux_Totales!$F:$F, $F224, Aux_Totales!$A:$A,#REF!), 0))</f>
        <v/>
      </c>
      <c r="DWL224" s="19" t="str">
        <f>IF(DWL220 = "", "", IFERROR(DWL220 / SUMIFS(Aux_Totales!$N:$N, Aux_Totales!$F:$F, $F224, Aux_Totales!$A:$A,#REF!), 0))</f>
        <v/>
      </c>
      <c r="DWM224" s="19" t="str">
        <f>IF(DWM220 = "", "", IFERROR(DWM220 / SUMIFS(Aux_Totales!$N:$N, Aux_Totales!$F:$F, $F224, Aux_Totales!$A:$A,#REF!), 0))</f>
        <v/>
      </c>
      <c r="DWN224" s="19" t="str">
        <f>IF(DWN220 = "", "", IFERROR(DWN220 / SUMIFS(Aux_Totales!$N:$N, Aux_Totales!$F:$F, $F224, Aux_Totales!$A:$A,#REF!), 0))</f>
        <v/>
      </c>
      <c r="DWO224" s="19" t="str">
        <f>IF(DWO220 = "", "", IFERROR(DWO220 / SUMIFS(Aux_Totales!$N:$N, Aux_Totales!$F:$F, $F224, Aux_Totales!$A:$A,#REF!), 0))</f>
        <v/>
      </c>
      <c r="DWP224" s="19" t="str">
        <f>IF(DWP220 = "", "", IFERROR(DWP220 / SUMIFS(Aux_Totales!$N:$N, Aux_Totales!$F:$F, $F224, Aux_Totales!$A:$A,#REF!), 0))</f>
        <v/>
      </c>
      <c r="DWQ224" s="19" t="str">
        <f>IF(DWQ220 = "", "", IFERROR(DWQ220 / SUMIFS(Aux_Totales!$N:$N, Aux_Totales!$F:$F, $F224, Aux_Totales!$A:$A,#REF!), 0))</f>
        <v/>
      </c>
      <c r="DWR224" s="19" t="str">
        <f>IF(DWR220 = "", "", IFERROR(DWR220 / SUMIFS(Aux_Totales!$N:$N, Aux_Totales!$F:$F, $F224, Aux_Totales!$A:$A,#REF!), 0))</f>
        <v/>
      </c>
      <c r="DWS224" s="19" t="str">
        <f>IF(DWS220 = "", "", IFERROR(DWS220 / SUMIFS(Aux_Totales!$N:$N, Aux_Totales!$F:$F, $F224, Aux_Totales!$A:$A,#REF!), 0))</f>
        <v/>
      </c>
      <c r="DWT224" s="19" t="str">
        <f>IF(DWT220 = "", "", IFERROR(DWT220 / SUMIFS(Aux_Totales!$N:$N, Aux_Totales!$F:$F, $F224, Aux_Totales!$A:$A,#REF!), 0))</f>
        <v/>
      </c>
      <c r="DWU224" s="19" t="str">
        <f>IF(DWU220 = "", "", IFERROR(DWU220 / SUMIFS(Aux_Totales!$N:$N, Aux_Totales!$F:$F, $F224, Aux_Totales!$A:$A,#REF!), 0))</f>
        <v/>
      </c>
      <c r="DWV224" s="19" t="str">
        <f>IF(DWV220 = "", "", IFERROR(DWV220 / SUMIFS(Aux_Totales!$N:$N, Aux_Totales!$F:$F, $F224, Aux_Totales!$A:$A,#REF!), 0))</f>
        <v/>
      </c>
      <c r="DWW224" s="19" t="str">
        <f>IF(DWW220 = "", "", IFERROR(DWW220 / SUMIFS(Aux_Totales!$N:$N, Aux_Totales!$F:$F, $F224, Aux_Totales!$A:$A,#REF!), 0))</f>
        <v/>
      </c>
      <c r="DWX224" s="19" t="str">
        <f>IF(DWX220 = "", "", IFERROR(DWX220 / SUMIFS(Aux_Totales!$N:$N, Aux_Totales!$F:$F, $F224, Aux_Totales!$A:$A,#REF!), 0))</f>
        <v/>
      </c>
      <c r="DWY224" s="19" t="str">
        <f>IF(DWY220 = "", "", IFERROR(DWY220 / SUMIFS(Aux_Totales!$N:$N, Aux_Totales!$F:$F, $F224, Aux_Totales!$A:$A,#REF!), 0))</f>
        <v/>
      </c>
      <c r="DWZ224" s="19" t="str">
        <f>IF(DWZ220 = "", "", IFERROR(DWZ220 / SUMIFS(Aux_Totales!$N:$N, Aux_Totales!$F:$F, $F224, Aux_Totales!$A:$A,#REF!), 0))</f>
        <v/>
      </c>
      <c r="DXA224" s="19" t="str">
        <f>IF(DXA220 = "", "", IFERROR(DXA220 / SUMIFS(Aux_Totales!$N:$N, Aux_Totales!$F:$F, $F224, Aux_Totales!$A:$A,#REF!), 0))</f>
        <v/>
      </c>
      <c r="DXB224" s="19" t="str">
        <f>IF(DXB220 = "", "", IFERROR(DXB220 / SUMIFS(Aux_Totales!$N:$N, Aux_Totales!$F:$F, $F224, Aux_Totales!$A:$A,#REF!), 0))</f>
        <v/>
      </c>
      <c r="DXC224" s="19" t="str">
        <f>IF(DXC220 = "", "", IFERROR(DXC220 / SUMIFS(Aux_Totales!$N:$N, Aux_Totales!$F:$F, $F224, Aux_Totales!$A:$A,#REF!), 0))</f>
        <v/>
      </c>
      <c r="DXD224" s="19" t="str">
        <f>IF(DXD220 = "", "", IFERROR(DXD220 / SUMIFS(Aux_Totales!$N:$N, Aux_Totales!$F:$F, $F224, Aux_Totales!$A:$A,#REF!), 0))</f>
        <v/>
      </c>
      <c r="DXE224" s="19" t="str">
        <f>IF(DXE220 = "", "", IFERROR(DXE220 / SUMIFS(Aux_Totales!$N:$N, Aux_Totales!$F:$F, $F224, Aux_Totales!$A:$A,#REF!), 0))</f>
        <v/>
      </c>
      <c r="DXF224" s="19" t="str">
        <f>IF(DXF220 = "", "", IFERROR(DXF220 / SUMIFS(Aux_Totales!$N:$N, Aux_Totales!$F:$F, $F224, Aux_Totales!$A:$A,#REF!), 0))</f>
        <v/>
      </c>
      <c r="DXG224" s="19" t="str">
        <f>IF(DXG220 = "", "", IFERROR(DXG220 / SUMIFS(Aux_Totales!$N:$N, Aux_Totales!$F:$F, $F224, Aux_Totales!$A:$A,#REF!), 0))</f>
        <v/>
      </c>
      <c r="DXH224" s="19" t="str">
        <f>IF(DXH220 = "", "", IFERROR(DXH220 / SUMIFS(Aux_Totales!$N:$N, Aux_Totales!$F:$F, $F224, Aux_Totales!$A:$A,#REF!), 0))</f>
        <v/>
      </c>
      <c r="DXI224" s="19" t="str">
        <f>IF(DXI220 = "", "", IFERROR(DXI220 / SUMIFS(Aux_Totales!$N:$N, Aux_Totales!$F:$F, $F224, Aux_Totales!$A:$A,#REF!), 0))</f>
        <v/>
      </c>
      <c r="DXJ224" s="19" t="str">
        <f>IF(DXJ220 = "", "", IFERROR(DXJ220 / SUMIFS(Aux_Totales!$N:$N, Aux_Totales!$F:$F, $F224, Aux_Totales!$A:$A,#REF!), 0))</f>
        <v/>
      </c>
      <c r="DXK224" s="19" t="str">
        <f>IF(DXK220 = "", "", IFERROR(DXK220 / SUMIFS(Aux_Totales!$N:$N, Aux_Totales!$F:$F, $F224, Aux_Totales!$A:$A,#REF!), 0))</f>
        <v/>
      </c>
      <c r="DXL224" s="19" t="str">
        <f>IF(DXL220 = "", "", IFERROR(DXL220 / SUMIFS(Aux_Totales!$N:$N, Aux_Totales!$F:$F, $F224, Aux_Totales!$A:$A,#REF!), 0))</f>
        <v/>
      </c>
      <c r="DXM224" s="19" t="str">
        <f>IF(DXM220 = "", "", IFERROR(DXM220 / SUMIFS(Aux_Totales!$N:$N, Aux_Totales!$F:$F, $F224, Aux_Totales!$A:$A,#REF!), 0))</f>
        <v/>
      </c>
      <c r="DXN224" s="19" t="str">
        <f>IF(DXN220 = "", "", IFERROR(DXN220 / SUMIFS(Aux_Totales!$N:$N, Aux_Totales!$F:$F, $F224, Aux_Totales!$A:$A,#REF!), 0))</f>
        <v/>
      </c>
      <c r="DXO224" s="19" t="str">
        <f>IF(DXO220 = "", "", IFERROR(DXO220 / SUMIFS(Aux_Totales!$N:$N, Aux_Totales!$F:$F, $F224, Aux_Totales!$A:$A,#REF!), 0))</f>
        <v/>
      </c>
      <c r="DXP224" s="19" t="str">
        <f>IF(DXP220 = "", "", IFERROR(DXP220 / SUMIFS(Aux_Totales!$N:$N, Aux_Totales!$F:$F, $F224, Aux_Totales!$A:$A,#REF!), 0))</f>
        <v/>
      </c>
      <c r="DXQ224" s="19" t="str">
        <f>IF(DXQ220 = "", "", IFERROR(DXQ220 / SUMIFS(Aux_Totales!$N:$N, Aux_Totales!$F:$F, $F224, Aux_Totales!$A:$A,#REF!), 0))</f>
        <v/>
      </c>
      <c r="DXR224" s="19" t="str">
        <f>IF(DXR220 = "", "", IFERROR(DXR220 / SUMIFS(Aux_Totales!$N:$N, Aux_Totales!$F:$F, $F224, Aux_Totales!$A:$A,#REF!), 0))</f>
        <v/>
      </c>
      <c r="DXS224" s="19" t="str">
        <f>IF(DXS220 = "", "", IFERROR(DXS220 / SUMIFS(Aux_Totales!$N:$N, Aux_Totales!$F:$F, $F224, Aux_Totales!$A:$A,#REF!), 0))</f>
        <v/>
      </c>
      <c r="DXT224" s="19" t="str">
        <f>IF(DXT220 = "", "", IFERROR(DXT220 / SUMIFS(Aux_Totales!$N:$N, Aux_Totales!$F:$F, $F224, Aux_Totales!$A:$A,#REF!), 0))</f>
        <v/>
      </c>
      <c r="DXU224" s="19" t="str">
        <f>IF(DXU220 = "", "", IFERROR(DXU220 / SUMIFS(Aux_Totales!$N:$N, Aux_Totales!$F:$F, $F224, Aux_Totales!$A:$A,#REF!), 0))</f>
        <v/>
      </c>
      <c r="DXV224" s="19" t="str">
        <f>IF(DXV220 = "", "", IFERROR(DXV220 / SUMIFS(Aux_Totales!$N:$N, Aux_Totales!$F:$F, $F224, Aux_Totales!$A:$A,#REF!), 0))</f>
        <v/>
      </c>
      <c r="DXW224" s="19" t="str">
        <f>IF(DXW220 = "", "", IFERROR(DXW220 / SUMIFS(Aux_Totales!$N:$N, Aux_Totales!$F:$F, $F224, Aux_Totales!$A:$A,#REF!), 0))</f>
        <v/>
      </c>
      <c r="DXX224" s="19" t="str">
        <f>IF(DXX220 = "", "", IFERROR(DXX220 / SUMIFS(Aux_Totales!$N:$N, Aux_Totales!$F:$F, $F224, Aux_Totales!$A:$A,#REF!), 0))</f>
        <v/>
      </c>
      <c r="DXY224" s="19" t="str">
        <f>IF(DXY220 = "", "", IFERROR(DXY220 / SUMIFS(Aux_Totales!$N:$N, Aux_Totales!$F:$F, $F224, Aux_Totales!$A:$A,#REF!), 0))</f>
        <v/>
      </c>
      <c r="DXZ224" s="19" t="str">
        <f>IF(DXZ220 = "", "", IFERROR(DXZ220 / SUMIFS(Aux_Totales!$N:$N, Aux_Totales!$F:$F, $F224, Aux_Totales!$A:$A,#REF!), 0))</f>
        <v/>
      </c>
      <c r="DYA224" s="19" t="str">
        <f>IF(DYA220 = "", "", IFERROR(DYA220 / SUMIFS(Aux_Totales!$N:$N, Aux_Totales!$F:$F, $F224, Aux_Totales!$A:$A,#REF!), 0))</f>
        <v/>
      </c>
      <c r="DYB224" s="19" t="str">
        <f>IF(DYB220 = "", "", IFERROR(DYB220 / SUMIFS(Aux_Totales!$N:$N, Aux_Totales!$F:$F, $F224, Aux_Totales!$A:$A,#REF!), 0))</f>
        <v/>
      </c>
      <c r="DYC224" s="19" t="str">
        <f>IF(DYC220 = "", "", IFERROR(DYC220 / SUMIFS(Aux_Totales!$N:$N, Aux_Totales!$F:$F, $F224, Aux_Totales!$A:$A,#REF!), 0))</f>
        <v/>
      </c>
      <c r="DYD224" s="19" t="str">
        <f>IF(DYD220 = "", "", IFERROR(DYD220 / SUMIFS(Aux_Totales!$N:$N, Aux_Totales!$F:$F, $F224, Aux_Totales!$A:$A,#REF!), 0))</f>
        <v/>
      </c>
      <c r="DYE224" s="19" t="str">
        <f>IF(DYE220 = "", "", IFERROR(DYE220 / SUMIFS(Aux_Totales!$N:$N, Aux_Totales!$F:$F, $F224, Aux_Totales!$A:$A,#REF!), 0))</f>
        <v/>
      </c>
      <c r="DYF224" s="19" t="str">
        <f>IF(DYF220 = "", "", IFERROR(DYF220 / SUMIFS(Aux_Totales!$N:$N, Aux_Totales!$F:$F, $F224, Aux_Totales!$A:$A,#REF!), 0))</f>
        <v/>
      </c>
      <c r="DYG224" s="19" t="str">
        <f>IF(DYG220 = "", "", IFERROR(DYG220 / SUMIFS(Aux_Totales!$N:$N, Aux_Totales!$F:$F, $F224, Aux_Totales!$A:$A,#REF!), 0))</f>
        <v/>
      </c>
      <c r="DYH224" s="19" t="str">
        <f>IF(DYH220 = "", "", IFERROR(DYH220 / SUMIFS(Aux_Totales!$N:$N, Aux_Totales!$F:$F, $F224, Aux_Totales!$A:$A,#REF!), 0))</f>
        <v/>
      </c>
      <c r="DYI224" s="19" t="str">
        <f>IF(DYI220 = "", "", IFERROR(DYI220 / SUMIFS(Aux_Totales!$N:$N, Aux_Totales!$F:$F, $F224, Aux_Totales!$A:$A,#REF!), 0))</f>
        <v/>
      </c>
      <c r="DYJ224" s="19" t="str">
        <f>IF(DYJ220 = "", "", IFERROR(DYJ220 / SUMIFS(Aux_Totales!$N:$N, Aux_Totales!$F:$F, $F224, Aux_Totales!$A:$A,#REF!), 0))</f>
        <v/>
      </c>
      <c r="DYK224" s="19" t="str">
        <f>IF(DYK220 = "", "", IFERROR(DYK220 / SUMIFS(Aux_Totales!$N:$N, Aux_Totales!$F:$F, $F224, Aux_Totales!$A:$A,#REF!), 0))</f>
        <v/>
      </c>
      <c r="DYL224" s="19" t="str">
        <f>IF(DYL220 = "", "", IFERROR(DYL220 / SUMIFS(Aux_Totales!$N:$N, Aux_Totales!$F:$F, $F224, Aux_Totales!$A:$A,#REF!), 0))</f>
        <v/>
      </c>
      <c r="DYM224" s="19" t="str">
        <f>IF(DYM220 = "", "", IFERROR(DYM220 / SUMIFS(Aux_Totales!$N:$N, Aux_Totales!$F:$F, $F224, Aux_Totales!$A:$A,#REF!), 0))</f>
        <v/>
      </c>
      <c r="DYN224" s="19" t="str">
        <f>IF(DYN220 = "", "", IFERROR(DYN220 / SUMIFS(Aux_Totales!$N:$N, Aux_Totales!$F:$F, $F224, Aux_Totales!$A:$A,#REF!), 0))</f>
        <v/>
      </c>
      <c r="DYO224" s="19" t="str">
        <f>IF(DYO220 = "", "", IFERROR(DYO220 / SUMIFS(Aux_Totales!$N:$N, Aux_Totales!$F:$F, $F224, Aux_Totales!$A:$A,#REF!), 0))</f>
        <v/>
      </c>
      <c r="DYP224" s="19" t="str">
        <f>IF(DYP220 = "", "", IFERROR(DYP220 / SUMIFS(Aux_Totales!$N:$N, Aux_Totales!$F:$F, $F224, Aux_Totales!$A:$A,#REF!), 0))</f>
        <v/>
      </c>
      <c r="DYQ224" s="19" t="str">
        <f>IF(DYQ220 = "", "", IFERROR(DYQ220 / SUMIFS(Aux_Totales!$N:$N, Aux_Totales!$F:$F, $F224, Aux_Totales!$A:$A,#REF!), 0))</f>
        <v/>
      </c>
      <c r="DYR224" s="19" t="str">
        <f>IF(DYR220 = "", "", IFERROR(DYR220 / SUMIFS(Aux_Totales!$N:$N, Aux_Totales!$F:$F, $F224, Aux_Totales!$A:$A,#REF!), 0))</f>
        <v/>
      </c>
      <c r="DYS224" s="19" t="str">
        <f>IF(DYS220 = "", "", IFERROR(DYS220 / SUMIFS(Aux_Totales!$N:$N, Aux_Totales!$F:$F, $F224, Aux_Totales!$A:$A,#REF!), 0))</f>
        <v/>
      </c>
      <c r="DYT224" s="19" t="str">
        <f>IF(DYT220 = "", "", IFERROR(DYT220 / SUMIFS(Aux_Totales!$N:$N, Aux_Totales!$F:$F, $F224, Aux_Totales!$A:$A,#REF!), 0))</f>
        <v/>
      </c>
      <c r="DYU224" s="19" t="str">
        <f>IF(DYU220 = "", "", IFERROR(DYU220 / SUMIFS(Aux_Totales!$N:$N, Aux_Totales!$F:$F, $F224, Aux_Totales!$A:$A,#REF!), 0))</f>
        <v/>
      </c>
      <c r="DYV224" s="19" t="str">
        <f>IF(DYV220 = "", "", IFERROR(DYV220 / SUMIFS(Aux_Totales!$N:$N, Aux_Totales!$F:$F, $F224, Aux_Totales!$A:$A,#REF!), 0))</f>
        <v/>
      </c>
      <c r="DYW224" s="19" t="str">
        <f>IF(DYW220 = "", "", IFERROR(DYW220 / SUMIFS(Aux_Totales!$N:$N, Aux_Totales!$F:$F, $F224, Aux_Totales!$A:$A,#REF!), 0))</f>
        <v/>
      </c>
      <c r="DYX224" s="19" t="str">
        <f>IF(DYX220 = "", "", IFERROR(DYX220 / SUMIFS(Aux_Totales!$N:$N, Aux_Totales!$F:$F, $F224, Aux_Totales!$A:$A,#REF!), 0))</f>
        <v/>
      </c>
      <c r="DYY224" s="19" t="str">
        <f>IF(DYY220 = "", "", IFERROR(DYY220 / SUMIFS(Aux_Totales!$N:$N, Aux_Totales!$F:$F, $F224, Aux_Totales!$A:$A,#REF!), 0))</f>
        <v/>
      </c>
      <c r="DYZ224" s="19" t="str">
        <f>IF(DYZ220 = "", "", IFERROR(DYZ220 / SUMIFS(Aux_Totales!$N:$N, Aux_Totales!$F:$F, $F224, Aux_Totales!$A:$A,#REF!), 0))</f>
        <v/>
      </c>
      <c r="DZA224" s="19" t="str">
        <f>IF(DZA220 = "", "", IFERROR(DZA220 / SUMIFS(Aux_Totales!$N:$N, Aux_Totales!$F:$F, $F224, Aux_Totales!$A:$A,#REF!), 0))</f>
        <v/>
      </c>
      <c r="DZB224" s="19" t="str">
        <f>IF(DZB220 = "", "", IFERROR(DZB220 / SUMIFS(Aux_Totales!$N:$N, Aux_Totales!$F:$F, $F224, Aux_Totales!$A:$A,#REF!), 0))</f>
        <v/>
      </c>
      <c r="DZC224" s="19" t="str">
        <f>IF(DZC220 = "", "", IFERROR(DZC220 / SUMIFS(Aux_Totales!$N:$N, Aux_Totales!$F:$F, $F224, Aux_Totales!$A:$A,#REF!), 0))</f>
        <v/>
      </c>
      <c r="DZD224" s="19" t="str">
        <f>IF(DZD220 = "", "", IFERROR(DZD220 / SUMIFS(Aux_Totales!$N:$N, Aux_Totales!$F:$F, $F224, Aux_Totales!$A:$A,#REF!), 0))</f>
        <v/>
      </c>
      <c r="DZE224" s="19" t="str">
        <f>IF(DZE220 = "", "", IFERROR(DZE220 / SUMIFS(Aux_Totales!$N:$N, Aux_Totales!$F:$F, $F224, Aux_Totales!$A:$A,#REF!), 0))</f>
        <v/>
      </c>
      <c r="DZF224" s="19" t="str">
        <f>IF(DZF220 = "", "", IFERROR(DZF220 / SUMIFS(Aux_Totales!$N:$N, Aux_Totales!$F:$F, $F224, Aux_Totales!$A:$A,#REF!), 0))</f>
        <v/>
      </c>
      <c r="DZG224" s="19" t="str">
        <f>IF(DZG220 = "", "", IFERROR(DZG220 / SUMIFS(Aux_Totales!$N:$N, Aux_Totales!$F:$F, $F224, Aux_Totales!$A:$A,#REF!), 0))</f>
        <v/>
      </c>
      <c r="DZH224" s="19" t="str">
        <f>IF(DZH220 = "", "", IFERROR(DZH220 / SUMIFS(Aux_Totales!$N:$N, Aux_Totales!$F:$F, $F224, Aux_Totales!$A:$A,#REF!), 0))</f>
        <v/>
      </c>
      <c r="DZI224" s="19" t="str">
        <f>IF(DZI220 = "", "", IFERROR(DZI220 / SUMIFS(Aux_Totales!$N:$N, Aux_Totales!$F:$F, $F224, Aux_Totales!$A:$A,#REF!), 0))</f>
        <v/>
      </c>
      <c r="DZJ224" s="19" t="str">
        <f>IF(DZJ220 = "", "", IFERROR(DZJ220 / SUMIFS(Aux_Totales!$N:$N, Aux_Totales!$F:$F, $F224, Aux_Totales!$A:$A,#REF!), 0))</f>
        <v/>
      </c>
      <c r="DZK224" s="19" t="str">
        <f>IF(DZK220 = "", "", IFERROR(DZK220 / SUMIFS(Aux_Totales!$N:$N, Aux_Totales!$F:$F, $F224, Aux_Totales!$A:$A,#REF!), 0))</f>
        <v/>
      </c>
      <c r="DZL224" s="19" t="str">
        <f>IF(DZL220 = "", "", IFERROR(DZL220 / SUMIFS(Aux_Totales!$N:$N, Aux_Totales!$F:$F, $F224, Aux_Totales!$A:$A,#REF!), 0))</f>
        <v/>
      </c>
      <c r="DZM224" s="19" t="str">
        <f>IF(DZM220 = "", "", IFERROR(DZM220 / SUMIFS(Aux_Totales!$N:$N, Aux_Totales!$F:$F, $F224, Aux_Totales!$A:$A,#REF!), 0))</f>
        <v/>
      </c>
      <c r="DZN224" s="19" t="str">
        <f>IF(DZN220 = "", "", IFERROR(DZN220 / SUMIFS(Aux_Totales!$N:$N, Aux_Totales!$F:$F, $F224, Aux_Totales!$A:$A,#REF!), 0))</f>
        <v/>
      </c>
      <c r="DZO224" s="19" t="str">
        <f>IF(DZO220 = "", "", IFERROR(DZO220 / SUMIFS(Aux_Totales!$N:$N, Aux_Totales!$F:$F, $F224, Aux_Totales!$A:$A,#REF!), 0))</f>
        <v/>
      </c>
      <c r="DZP224" s="19" t="str">
        <f>IF(DZP220 = "", "", IFERROR(DZP220 / SUMIFS(Aux_Totales!$N:$N, Aux_Totales!$F:$F, $F224, Aux_Totales!$A:$A,#REF!), 0))</f>
        <v/>
      </c>
      <c r="DZQ224" s="19" t="str">
        <f>IF(DZQ220 = "", "", IFERROR(DZQ220 / SUMIFS(Aux_Totales!$N:$N, Aux_Totales!$F:$F, $F224, Aux_Totales!$A:$A,#REF!), 0))</f>
        <v/>
      </c>
      <c r="DZR224" s="19" t="str">
        <f>IF(DZR220 = "", "", IFERROR(DZR220 / SUMIFS(Aux_Totales!$N:$N, Aux_Totales!$F:$F, $F224, Aux_Totales!$A:$A,#REF!), 0))</f>
        <v/>
      </c>
      <c r="DZS224" s="19" t="str">
        <f>IF(DZS220 = "", "", IFERROR(DZS220 / SUMIFS(Aux_Totales!$N:$N, Aux_Totales!$F:$F, $F224, Aux_Totales!$A:$A,#REF!), 0))</f>
        <v/>
      </c>
      <c r="DZT224" s="19" t="str">
        <f>IF(DZT220 = "", "", IFERROR(DZT220 / SUMIFS(Aux_Totales!$N:$N, Aux_Totales!$F:$F, $F224, Aux_Totales!$A:$A,#REF!), 0))</f>
        <v/>
      </c>
      <c r="DZU224" s="19" t="str">
        <f>IF(DZU220 = "", "", IFERROR(DZU220 / SUMIFS(Aux_Totales!$N:$N, Aux_Totales!$F:$F, $F224, Aux_Totales!$A:$A,#REF!), 0))</f>
        <v/>
      </c>
      <c r="DZV224" s="19" t="str">
        <f>IF(DZV220 = "", "", IFERROR(DZV220 / SUMIFS(Aux_Totales!$N:$N, Aux_Totales!$F:$F, $F224, Aux_Totales!$A:$A,#REF!), 0))</f>
        <v/>
      </c>
      <c r="DZW224" s="19" t="str">
        <f>IF(DZW220 = "", "", IFERROR(DZW220 / SUMIFS(Aux_Totales!$N:$N, Aux_Totales!$F:$F, $F224, Aux_Totales!$A:$A,#REF!), 0))</f>
        <v/>
      </c>
      <c r="DZX224" s="19" t="str">
        <f>IF(DZX220 = "", "", IFERROR(DZX220 / SUMIFS(Aux_Totales!$N:$N, Aux_Totales!$F:$F, $F224, Aux_Totales!$A:$A,#REF!), 0))</f>
        <v/>
      </c>
      <c r="DZY224" s="19" t="str">
        <f>IF(DZY220 = "", "", IFERROR(DZY220 / SUMIFS(Aux_Totales!$N:$N, Aux_Totales!$F:$F, $F224, Aux_Totales!$A:$A,#REF!), 0))</f>
        <v/>
      </c>
      <c r="DZZ224" s="19" t="str">
        <f>IF(DZZ220 = "", "", IFERROR(DZZ220 / SUMIFS(Aux_Totales!$N:$N, Aux_Totales!$F:$F, $F224, Aux_Totales!$A:$A,#REF!), 0))</f>
        <v/>
      </c>
      <c r="EAA224" s="19" t="str">
        <f>IF(EAA220 = "", "", IFERROR(EAA220 / SUMIFS(Aux_Totales!$N:$N, Aux_Totales!$F:$F, $F224, Aux_Totales!$A:$A,#REF!), 0))</f>
        <v/>
      </c>
      <c r="EAB224" s="19" t="str">
        <f>IF(EAB220 = "", "", IFERROR(EAB220 / SUMIFS(Aux_Totales!$N:$N, Aux_Totales!$F:$F, $F224, Aux_Totales!$A:$A,#REF!), 0))</f>
        <v/>
      </c>
      <c r="EAC224" s="19" t="str">
        <f>IF(EAC220 = "", "", IFERROR(EAC220 / SUMIFS(Aux_Totales!$N:$N, Aux_Totales!$F:$F, $F224, Aux_Totales!$A:$A,#REF!), 0))</f>
        <v/>
      </c>
      <c r="EAD224" s="19" t="str">
        <f>IF(EAD220 = "", "", IFERROR(EAD220 / SUMIFS(Aux_Totales!$N:$N, Aux_Totales!$F:$F, $F224, Aux_Totales!$A:$A,#REF!), 0))</f>
        <v/>
      </c>
      <c r="EAE224" s="19" t="str">
        <f>IF(EAE220 = "", "", IFERROR(EAE220 / SUMIFS(Aux_Totales!$N:$N, Aux_Totales!$F:$F, $F224, Aux_Totales!$A:$A,#REF!), 0))</f>
        <v/>
      </c>
      <c r="EAF224" s="19" t="str">
        <f>IF(EAF220 = "", "", IFERROR(EAF220 / SUMIFS(Aux_Totales!$N:$N, Aux_Totales!$F:$F, $F224, Aux_Totales!$A:$A,#REF!), 0))</f>
        <v/>
      </c>
      <c r="EAG224" s="19" t="str">
        <f>IF(EAG220 = "", "", IFERROR(EAG220 / SUMIFS(Aux_Totales!$N:$N, Aux_Totales!$F:$F, $F224, Aux_Totales!$A:$A,#REF!), 0))</f>
        <v/>
      </c>
      <c r="EAH224" s="19" t="str">
        <f>IF(EAH220 = "", "", IFERROR(EAH220 / SUMIFS(Aux_Totales!$N:$N, Aux_Totales!$F:$F, $F224, Aux_Totales!$A:$A,#REF!), 0))</f>
        <v/>
      </c>
      <c r="EAI224" s="19" t="str">
        <f>IF(EAI220 = "", "", IFERROR(EAI220 / SUMIFS(Aux_Totales!$N:$N, Aux_Totales!$F:$F, $F224, Aux_Totales!$A:$A,#REF!), 0))</f>
        <v/>
      </c>
      <c r="EAJ224" s="19" t="str">
        <f>IF(EAJ220 = "", "", IFERROR(EAJ220 / SUMIFS(Aux_Totales!$N:$N, Aux_Totales!$F:$F, $F224, Aux_Totales!$A:$A,#REF!), 0))</f>
        <v/>
      </c>
      <c r="EAK224" s="19" t="str">
        <f>IF(EAK220 = "", "", IFERROR(EAK220 / SUMIFS(Aux_Totales!$N:$N, Aux_Totales!$F:$F, $F224, Aux_Totales!$A:$A,#REF!), 0))</f>
        <v/>
      </c>
      <c r="EAL224" s="19" t="str">
        <f>IF(EAL220 = "", "", IFERROR(EAL220 / SUMIFS(Aux_Totales!$N:$N, Aux_Totales!$F:$F, $F224, Aux_Totales!$A:$A,#REF!), 0))</f>
        <v/>
      </c>
      <c r="EAM224" s="19" t="str">
        <f>IF(EAM220 = "", "", IFERROR(EAM220 / SUMIFS(Aux_Totales!$N:$N, Aux_Totales!$F:$F, $F224, Aux_Totales!$A:$A,#REF!), 0))</f>
        <v/>
      </c>
      <c r="EAN224" s="19" t="str">
        <f>IF(EAN220 = "", "", IFERROR(EAN220 / SUMIFS(Aux_Totales!$N:$N, Aux_Totales!$F:$F, $F224, Aux_Totales!$A:$A,#REF!), 0))</f>
        <v/>
      </c>
      <c r="EAO224" s="19" t="str">
        <f>IF(EAO220 = "", "", IFERROR(EAO220 / SUMIFS(Aux_Totales!$N:$N, Aux_Totales!$F:$F, $F224, Aux_Totales!$A:$A,#REF!), 0))</f>
        <v/>
      </c>
      <c r="EAP224" s="19" t="str">
        <f>IF(EAP220 = "", "", IFERROR(EAP220 / SUMIFS(Aux_Totales!$N:$N, Aux_Totales!$F:$F, $F224, Aux_Totales!$A:$A,#REF!), 0))</f>
        <v/>
      </c>
      <c r="EAQ224" s="19" t="str">
        <f>IF(EAQ220 = "", "", IFERROR(EAQ220 / SUMIFS(Aux_Totales!$N:$N, Aux_Totales!$F:$F, $F224, Aux_Totales!$A:$A,#REF!), 0))</f>
        <v/>
      </c>
      <c r="EAR224" s="19" t="str">
        <f>IF(EAR220 = "", "", IFERROR(EAR220 / SUMIFS(Aux_Totales!$N:$N, Aux_Totales!$F:$F, $F224, Aux_Totales!$A:$A,#REF!), 0))</f>
        <v/>
      </c>
      <c r="EAS224" s="19" t="str">
        <f>IF(EAS220 = "", "", IFERROR(EAS220 / SUMIFS(Aux_Totales!$N:$N, Aux_Totales!$F:$F, $F224, Aux_Totales!$A:$A,#REF!), 0))</f>
        <v/>
      </c>
      <c r="EAT224" s="19" t="str">
        <f>IF(EAT220 = "", "", IFERROR(EAT220 / SUMIFS(Aux_Totales!$N:$N, Aux_Totales!$F:$F, $F224, Aux_Totales!$A:$A,#REF!), 0))</f>
        <v/>
      </c>
      <c r="EAU224" s="19" t="str">
        <f>IF(EAU220 = "", "", IFERROR(EAU220 / SUMIFS(Aux_Totales!$N:$N, Aux_Totales!$F:$F, $F224, Aux_Totales!$A:$A,#REF!), 0))</f>
        <v/>
      </c>
      <c r="EAV224" s="19" t="str">
        <f>IF(EAV220 = "", "", IFERROR(EAV220 / SUMIFS(Aux_Totales!$N:$N, Aux_Totales!$F:$F, $F224, Aux_Totales!$A:$A,#REF!), 0))</f>
        <v/>
      </c>
      <c r="EAW224" s="19" t="str">
        <f>IF(EAW220 = "", "", IFERROR(EAW220 / SUMIFS(Aux_Totales!$N:$N, Aux_Totales!$F:$F, $F224, Aux_Totales!$A:$A,#REF!), 0))</f>
        <v/>
      </c>
      <c r="EAX224" s="19" t="str">
        <f>IF(EAX220 = "", "", IFERROR(EAX220 / SUMIFS(Aux_Totales!$N:$N, Aux_Totales!$F:$F, $F224, Aux_Totales!$A:$A,#REF!), 0))</f>
        <v/>
      </c>
      <c r="EAY224" s="19" t="str">
        <f>IF(EAY220 = "", "", IFERROR(EAY220 / SUMIFS(Aux_Totales!$N:$N, Aux_Totales!$F:$F, $F224, Aux_Totales!$A:$A,#REF!), 0))</f>
        <v/>
      </c>
      <c r="EAZ224" s="19" t="str">
        <f>IF(EAZ220 = "", "", IFERROR(EAZ220 / SUMIFS(Aux_Totales!$N:$N, Aux_Totales!$F:$F, $F224, Aux_Totales!$A:$A,#REF!), 0))</f>
        <v/>
      </c>
      <c r="EBA224" s="19" t="str">
        <f>IF(EBA220 = "", "", IFERROR(EBA220 / SUMIFS(Aux_Totales!$N:$N, Aux_Totales!$F:$F, $F224, Aux_Totales!$A:$A,#REF!), 0))</f>
        <v/>
      </c>
      <c r="EBB224" s="19" t="str">
        <f>IF(EBB220 = "", "", IFERROR(EBB220 / SUMIFS(Aux_Totales!$N:$N, Aux_Totales!$F:$F, $F224, Aux_Totales!$A:$A,#REF!), 0))</f>
        <v/>
      </c>
      <c r="EBC224" s="19" t="str">
        <f>IF(EBC220 = "", "", IFERROR(EBC220 / SUMIFS(Aux_Totales!$N:$N, Aux_Totales!$F:$F, $F224, Aux_Totales!$A:$A,#REF!), 0))</f>
        <v/>
      </c>
      <c r="EBD224" s="19" t="str">
        <f>IF(EBD220 = "", "", IFERROR(EBD220 / SUMIFS(Aux_Totales!$N:$N, Aux_Totales!$F:$F, $F224, Aux_Totales!$A:$A,#REF!), 0))</f>
        <v/>
      </c>
      <c r="EBE224" s="19" t="str">
        <f>IF(EBE220 = "", "", IFERROR(EBE220 / SUMIFS(Aux_Totales!$N:$N, Aux_Totales!$F:$F, $F224, Aux_Totales!$A:$A,#REF!), 0))</f>
        <v/>
      </c>
      <c r="EBF224" s="19" t="str">
        <f>IF(EBF220 = "", "", IFERROR(EBF220 / SUMIFS(Aux_Totales!$N:$N, Aux_Totales!$F:$F, $F224, Aux_Totales!$A:$A,#REF!), 0))</f>
        <v/>
      </c>
      <c r="EBG224" s="19" t="str">
        <f>IF(EBG220 = "", "", IFERROR(EBG220 / SUMIFS(Aux_Totales!$N:$N, Aux_Totales!$F:$F, $F224, Aux_Totales!$A:$A,#REF!), 0))</f>
        <v/>
      </c>
      <c r="EBH224" s="19" t="str">
        <f>IF(EBH220 = "", "", IFERROR(EBH220 / SUMIFS(Aux_Totales!$N:$N, Aux_Totales!$F:$F, $F224, Aux_Totales!$A:$A,#REF!), 0))</f>
        <v/>
      </c>
      <c r="EBI224" s="19" t="str">
        <f>IF(EBI220 = "", "", IFERROR(EBI220 / SUMIFS(Aux_Totales!$N:$N, Aux_Totales!$F:$F, $F224, Aux_Totales!$A:$A,#REF!), 0))</f>
        <v/>
      </c>
      <c r="EBJ224" s="19" t="str">
        <f>IF(EBJ220 = "", "", IFERROR(EBJ220 / SUMIFS(Aux_Totales!$N:$N, Aux_Totales!$F:$F, $F224, Aux_Totales!$A:$A,#REF!), 0))</f>
        <v/>
      </c>
      <c r="EBK224" s="19" t="str">
        <f>IF(EBK220 = "", "", IFERROR(EBK220 / SUMIFS(Aux_Totales!$N:$N, Aux_Totales!$F:$F, $F224, Aux_Totales!$A:$A,#REF!), 0))</f>
        <v/>
      </c>
      <c r="EBL224" s="19" t="str">
        <f>IF(EBL220 = "", "", IFERROR(EBL220 / SUMIFS(Aux_Totales!$N:$N, Aux_Totales!$F:$F, $F224, Aux_Totales!$A:$A,#REF!), 0))</f>
        <v/>
      </c>
      <c r="EBM224" s="19" t="str">
        <f>IF(EBM220 = "", "", IFERROR(EBM220 / SUMIFS(Aux_Totales!$N:$N, Aux_Totales!$F:$F, $F224, Aux_Totales!$A:$A,#REF!), 0))</f>
        <v/>
      </c>
      <c r="EBN224" s="19" t="str">
        <f>IF(EBN220 = "", "", IFERROR(EBN220 / SUMIFS(Aux_Totales!$N:$N, Aux_Totales!$F:$F, $F224, Aux_Totales!$A:$A,#REF!), 0))</f>
        <v/>
      </c>
      <c r="EBO224" s="19" t="str">
        <f>IF(EBO220 = "", "", IFERROR(EBO220 / SUMIFS(Aux_Totales!$N:$N, Aux_Totales!$F:$F, $F224, Aux_Totales!$A:$A,#REF!), 0))</f>
        <v/>
      </c>
      <c r="EBP224" s="19" t="str">
        <f>IF(EBP220 = "", "", IFERROR(EBP220 / SUMIFS(Aux_Totales!$N:$N, Aux_Totales!$F:$F, $F224, Aux_Totales!$A:$A,#REF!), 0))</f>
        <v/>
      </c>
      <c r="EBQ224" s="19" t="str">
        <f>IF(EBQ220 = "", "", IFERROR(EBQ220 / SUMIFS(Aux_Totales!$N:$N, Aux_Totales!$F:$F, $F224, Aux_Totales!$A:$A,#REF!), 0))</f>
        <v/>
      </c>
      <c r="EBR224" s="19" t="str">
        <f>IF(EBR220 = "", "", IFERROR(EBR220 / SUMIFS(Aux_Totales!$N:$N, Aux_Totales!$F:$F, $F224, Aux_Totales!$A:$A,#REF!), 0))</f>
        <v/>
      </c>
      <c r="EBS224" s="19" t="str">
        <f>IF(EBS220 = "", "", IFERROR(EBS220 / SUMIFS(Aux_Totales!$N:$N, Aux_Totales!$F:$F, $F224, Aux_Totales!$A:$A,#REF!), 0))</f>
        <v/>
      </c>
      <c r="EBT224" s="19" t="str">
        <f>IF(EBT220 = "", "", IFERROR(EBT220 / SUMIFS(Aux_Totales!$N:$N, Aux_Totales!$F:$F, $F224, Aux_Totales!$A:$A,#REF!), 0))</f>
        <v/>
      </c>
      <c r="EBU224" s="19" t="str">
        <f>IF(EBU220 = "", "", IFERROR(EBU220 / SUMIFS(Aux_Totales!$N:$N, Aux_Totales!$F:$F, $F224, Aux_Totales!$A:$A,#REF!), 0))</f>
        <v/>
      </c>
      <c r="EBV224" s="19" t="str">
        <f>IF(EBV220 = "", "", IFERROR(EBV220 / SUMIFS(Aux_Totales!$N:$N, Aux_Totales!$F:$F, $F224, Aux_Totales!$A:$A,#REF!), 0))</f>
        <v/>
      </c>
      <c r="EBW224" s="19" t="str">
        <f>IF(EBW220 = "", "", IFERROR(EBW220 / SUMIFS(Aux_Totales!$N:$N, Aux_Totales!$F:$F, $F224, Aux_Totales!$A:$A,#REF!), 0))</f>
        <v/>
      </c>
      <c r="EBX224" s="19" t="str">
        <f>IF(EBX220 = "", "", IFERROR(EBX220 / SUMIFS(Aux_Totales!$N:$N, Aux_Totales!$F:$F, $F224, Aux_Totales!$A:$A,#REF!), 0))</f>
        <v/>
      </c>
      <c r="EBY224" s="19" t="str">
        <f>IF(EBY220 = "", "", IFERROR(EBY220 / SUMIFS(Aux_Totales!$N:$N, Aux_Totales!$F:$F, $F224, Aux_Totales!$A:$A,#REF!), 0))</f>
        <v/>
      </c>
      <c r="EBZ224" s="19" t="str">
        <f>IF(EBZ220 = "", "", IFERROR(EBZ220 / SUMIFS(Aux_Totales!$N:$N, Aux_Totales!$F:$F, $F224, Aux_Totales!$A:$A,#REF!), 0))</f>
        <v/>
      </c>
      <c r="ECA224" s="19" t="str">
        <f>IF(ECA220 = "", "", IFERROR(ECA220 / SUMIFS(Aux_Totales!$N:$N, Aux_Totales!$F:$F, $F224, Aux_Totales!$A:$A,#REF!), 0))</f>
        <v/>
      </c>
      <c r="ECB224" s="19" t="str">
        <f>IF(ECB220 = "", "", IFERROR(ECB220 / SUMIFS(Aux_Totales!$N:$N, Aux_Totales!$F:$F, $F224, Aux_Totales!$A:$A,#REF!), 0))</f>
        <v/>
      </c>
      <c r="ECC224" s="19" t="str">
        <f>IF(ECC220 = "", "", IFERROR(ECC220 / SUMIFS(Aux_Totales!$N:$N, Aux_Totales!$F:$F, $F224, Aux_Totales!$A:$A,#REF!), 0))</f>
        <v/>
      </c>
      <c r="ECD224" s="19" t="str">
        <f>IF(ECD220 = "", "", IFERROR(ECD220 / SUMIFS(Aux_Totales!$N:$N, Aux_Totales!$F:$F, $F224, Aux_Totales!$A:$A,#REF!), 0))</f>
        <v/>
      </c>
      <c r="ECE224" s="19" t="str">
        <f>IF(ECE220 = "", "", IFERROR(ECE220 / SUMIFS(Aux_Totales!$N:$N, Aux_Totales!$F:$F, $F224, Aux_Totales!$A:$A,#REF!), 0))</f>
        <v/>
      </c>
      <c r="ECF224" s="19" t="str">
        <f>IF(ECF220 = "", "", IFERROR(ECF220 / SUMIFS(Aux_Totales!$N:$N, Aux_Totales!$F:$F, $F224, Aux_Totales!$A:$A,#REF!), 0))</f>
        <v/>
      </c>
      <c r="ECG224" s="19" t="str">
        <f>IF(ECG220 = "", "", IFERROR(ECG220 / SUMIFS(Aux_Totales!$N:$N, Aux_Totales!$F:$F, $F224, Aux_Totales!$A:$A,#REF!), 0))</f>
        <v/>
      </c>
      <c r="ECH224" s="19" t="str">
        <f>IF(ECH220 = "", "", IFERROR(ECH220 / SUMIFS(Aux_Totales!$N:$N, Aux_Totales!$F:$F, $F224, Aux_Totales!$A:$A,#REF!), 0))</f>
        <v/>
      </c>
      <c r="ECI224" s="19" t="str">
        <f>IF(ECI220 = "", "", IFERROR(ECI220 / SUMIFS(Aux_Totales!$N:$N, Aux_Totales!$F:$F, $F224, Aux_Totales!$A:$A,#REF!), 0))</f>
        <v/>
      </c>
      <c r="ECJ224" s="19" t="str">
        <f>IF(ECJ220 = "", "", IFERROR(ECJ220 / SUMIFS(Aux_Totales!$N:$N, Aux_Totales!$F:$F, $F224, Aux_Totales!$A:$A,#REF!), 0))</f>
        <v/>
      </c>
      <c r="ECK224" s="19" t="str">
        <f>IF(ECK220 = "", "", IFERROR(ECK220 / SUMIFS(Aux_Totales!$N:$N, Aux_Totales!$F:$F, $F224, Aux_Totales!$A:$A,#REF!), 0))</f>
        <v/>
      </c>
      <c r="ECL224" s="19" t="str">
        <f>IF(ECL220 = "", "", IFERROR(ECL220 / SUMIFS(Aux_Totales!$N:$N, Aux_Totales!$F:$F, $F224, Aux_Totales!$A:$A,#REF!), 0))</f>
        <v/>
      </c>
      <c r="ECM224" s="19" t="str">
        <f>IF(ECM220 = "", "", IFERROR(ECM220 / SUMIFS(Aux_Totales!$N:$N, Aux_Totales!$F:$F, $F224, Aux_Totales!$A:$A,#REF!), 0))</f>
        <v/>
      </c>
      <c r="ECN224" s="19" t="str">
        <f>IF(ECN220 = "", "", IFERROR(ECN220 / SUMIFS(Aux_Totales!$N:$N, Aux_Totales!$F:$F, $F224, Aux_Totales!$A:$A,#REF!), 0))</f>
        <v/>
      </c>
      <c r="ECO224" s="19" t="str">
        <f>IF(ECO220 = "", "", IFERROR(ECO220 / SUMIFS(Aux_Totales!$N:$N, Aux_Totales!$F:$F, $F224, Aux_Totales!$A:$A,#REF!), 0))</f>
        <v/>
      </c>
      <c r="ECP224" s="19" t="str">
        <f>IF(ECP220 = "", "", IFERROR(ECP220 / SUMIFS(Aux_Totales!$N:$N, Aux_Totales!$F:$F, $F224, Aux_Totales!$A:$A,#REF!), 0))</f>
        <v/>
      </c>
      <c r="ECQ224" s="19" t="str">
        <f>IF(ECQ220 = "", "", IFERROR(ECQ220 / SUMIFS(Aux_Totales!$N:$N, Aux_Totales!$F:$F, $F224, Aux_Totales!$A:$A,#REF!), 0))</f>
        <v/>
      </c>
      <c r="ECR224" s="19" t="str">
        <f>IF(ECR220 = "", "", IFERROR(ECR220 / SUMIFS(Aux_Totales!$N:$N, Aux_Totales!$F:$F, $F224, Aux_Totales!$A:$A,#REF!), 0))</f>
        <v/>
      </c>
      <c r="ECS224" s="19" t="str">
        <f>IF(ECS220 = "", "", IFERROR(ECS220 / SUMIFS(Aux_Totales!$N:$N, Aux_Totales!$F:$F, $F224, Aux_Totales!$A:$A,#REF!), 0))</f>
        <v/>
      </c>
      <c r="ECT224" s="19" t="str">
        <f>IF(ECT220 = "", "", IFERROR(ECT220 / SUMIFS(Aux_Totales!$N:$N, Aux_Totales!$F:$F, $F224, Aux_Totales!$A:$A,#REF!), 0))</f>
        <v/>
      </c>
      <c r="ECU224" s="19" t="str">
        <f>IF(ECU220 = "", "", IFERROR(ECU220 / SUMIFS(Aux_Totales!$N:$N, Aux_Totales!$F:$F, $F224, Aux_Totales!$A:$A,#REF!), 0))</f>
        <v/>
      </c>
      <c r="ECV224" s="19" t="str">
        <f>IF(ECV220 = "", "", IFERROR(ECV220 / SUMIFS(Aux_Totales!$N:$N, Aux_Totales!$F:$F, $F224, Aux_Totales!$A:$A,#REF!), 0))</f>
        <v/>
      </c>
      <c r="ECW224" s="19" t="str">
        <f>IF(ECW220 = "", "", IFERROR(ECW220 / SUMIFS(Aux_Totales!$N:$N, Aux_Totales!$F:$F, $F224, Aux_Totales!$A:$A,#REF!), 0))</f>
        <v/>
      </c>
      <c r="ECX224" s="19" t="str">
        <f>IF(ECX220 = "", "", IFERROR(ECX220 / SUMIFS(Aux_Totales!$N:$N, Aux_Totales!$F:$F, $F224, Aux_Totales!$A:$A,#REF!), 0))</f>
        <v/>
      </c>
      <c r="ECY224" s="19" t="str">
        <f>IF(ECY220 = "", "", IFERROR(ECY220 / SUMIFS(Aux_Totales!$N:$N, Aux_Totales!$F:$F, $F224, Aux_Totales!$A:$A,#REF!), 0))</f>
        <v/>
      </c>
      <c r="ECZ224" s="19" t="str">
        <f>IF(ECZ220 = "", "", IFERROR(ECZ220 / SUMIFS(Aux_Totales!$N:$N, Aux_Totales!$F:$F, $F224, Aux_Totales!$A:$A,#REF!), 0))</f>
        <v/>
      </c>
      <c r="EDA224" s="19" t="str">
        <f>IF(EDA220 = "", "", IFERROR(EDA220 / SUMIFS(Aux_Totales!$N:$N, Aux_Totales!$F:$F, $F224, Aux_Totales!$A:$A,#REF!), 0))</f>
        <v/>
      </c>
      <c r="EDB224" s="19" t="str">
        <f>IF(EDB220 = "", "", IFERROR(EDB220 / SUMIFS(Aux_Totales!$N:$N, Aux_Totales!$F:$F, $F224, Aux_Totales!$A:$A,#REF!), 0))</f>
        <v/>
      </c>
      <c r="EDC224" s="19" t="str">
        <f>IF(EDC220 = "", "", IFERROR(EDC220 / SUMIFS(Aux_Totales!$N:$N, Aux_Totales!$F:$F, $F224, Aux_Totales!$A:$A,#REF!), 0))</f>
        <v/>
      </c>
      <c r="EDD224" s="19" t="str">
        <f>IF(EDD220 = "", "", IFERROR(EDD220 / SUMIFS(Aux_Totales!$N:$N, Aux_Totales!$F:$F, $F224, Aux_Totales!$A:$A,#REF!), 0))</f>
        <v/>
      </c>
      <c r="EDE224" s="19" t="str">
        <f>IF(EDE220 = "", "", IFERROR(EDE220 / SUMIFS(Aux_Totales!$N:$N, Aux_Totales!$F:$F, $F224, Aux_Totales!$A:$A,#REF!), 0))</f>
        <v/>
      </c>
      <c r="EDF224" s="19" t="str">
        <f>IF(EDF220 = "", "", IFERROR(EDF220 / SUMIFS(Aux_Totales!$N:$N, Aux_Totales!$F:$F, $F224, Aux_Totales!$A:$A,#REF!), 0))</f>
        <v/>
      </c>
      <c r="EDG224" s="19" t="str">
        <f>IF(EDG220 = "", "", IFERROR(EDG220 / SUMIFS(Aux_Totales!$N:$N, Aux_Totales!$F:$F, $F224, Aux_Totales!$A:$A,#REF!), 0))</f>
        <v/>
      </c>
      <c r="EDH224" s="19" t="str">
        <f>IF(EDH220 = "", "", IFERROR(EDH220 / SUMIFS(Aux_Totales!$N:$N, Aux_Totales!$F:$F, $F224, Aux_Totales!$A:$A,#REF!), 0))</f>
        <v/>
      </c>
      <c r="EDI224" s="19" t="str">
        <f>IF(EDI220 = "", "", IFERROR(EDI220 / SUMIFS(Aux_Totales!$N:$N, Aux_Totales!$F:$F, $F224, Aux_Totales!$A:$A,#REF!), 0))</f>
        <v/>
      </c>
      <c r="EDJ224" s="19" t="str">
        <f>IF(EDJ220 = "", "", IFERROR(EDJ220 / SUMIFS(Aux_Totales!$N:$N, Aux_Totales!$F:$F, $F224, Aux_Totales!$A:$A,#REF!), 0))</f>
        <v/>
      </c>
      <c r="EDK224" s="19" t="str">
        <f>IF(EDK220 = "", "", IFERROR(EDK220 / SUMIFS(Aux_Totales!$N:$N, Aux_Totales!$F:$F, $F224, Aux_Totales!$A:$A,#REF!), 0))</f>
        <v/>
      </c>
      <c r="EDL224" s="19" t="str">
        <f>IF(EDL220 = "", "", IFERROR(EDL220 / SUMIFS(Aux_Totales!$N:$N, Aux_Totales!$F:$F, $F224, Aux_Totales!$A:$A,#REF!), 0))</f>
        <v/>
      </c>
      <c r="EDM224" s="19" t="str">
        <f>IF(EDM220 = "", "", IFERROR(EDM220 / SUMIFS(Aux_Totales!$N:$N, Aux_Totales!$F:$F, $F224, Aux_Totales!$A:$A,#REF!), 0))</f>
        <v/>
      </c>
      <c r="EDN224" s="19" t="str">
        <f>IF(EDN220 = "", "", IFERROR(EDN220 / SUMIFS(Aux_Totales!$N:$N, Aux_Totales!$F:$F, $F224, Aux_Totales!$A:$A,#REF!), 0))</f>
        <v/>
      </c>
      <c r="EDO224" s="19" t="str">
        <f>IF(EDO220 = "", "", IFERROR(EDO220 / SUMIFS(Aux_Totales!$N:$N, Aux_Totales!$F:$F, $F224, Aux_Totales!$A:$A,#REF!), 0))</f>
        <v/>
      </c>
      <c r="EDP224" s="19" t="str">
        <f>IF(EDP220 = "", "", IFERROR(EDP220 / SUMIFS(Aux_Totales!$N:$N, Aux_Totales!$F:$F, $F224, Aux_Totales!$A:$A,#REF!), 0))</f>
        <v/>
      </c>
      <c r="EDQ224" s="19" t="str">
        <f>IF(EDQ220 = "", "", IFERROR(EDQ220 / SUMIFS(Aux_Totales!$N:$N, Aux_Totales!$F:$F, $F224, Aux_Totales!$A:$A,#REF!), 0))</f>
        <v/>
      </c>
      <c r="EDR224" s="19" t="str">
        <f>IF(EDR220 = "", "", IFERROR(EDR220 / SUMIFS(Aux_Totales!$N:$N, Aux_Totales!$F:$F, $F224, Aux_Totales!$A:$A,#REF!), 0))</f>
        <v/>
      </c>
      <c r="EDS224" s="19" t="str">
        <f>IF(EDS220 = "", "", IFERROR(EDS220 / SUMIFS(Aux_Totales!$N:$N, Aux_Totales!$F:$F, $F224, Aux_Totales!$A:$A,#REF!), 0))</f>
        <v/>
      </c>
      <c r="EDT224" s="19" t="str">
        <f>IF(EDT220 = "", "", IFERROR(EDT220 / SUMIFS(Aux_Totales!$N:$N, Aux_Totales!$F:$F, $F224, Aux_Totales!$A:$A,#REF!), 0))</f>
        <v/>
      </c>
      <c r="EDU224" s="19" t="str">
        <f>IF(EDU220 = "", "", IFERROR(EDU220 / SUMIFS(Aux_Totales!$N:$N, Aux_Totales!$F:$F, $F224, Aux_Totales!$A:$A,#REF!), 0))</f>
        <v/>
      </c>
      <c r="EDV224" s="19" t="str">
        <f>IF(EDV220 = "", "", IFERROR(EDV220 / SUMIFS(Aux_Totales!$N:$N, Aux_Totales!$F:$F, $F224, Aux_Totales!$A:$A,#REF!), 0))</f>
        <v/>
      </c>
      <c r="EDW224" s="19" t="str">
        <f>IF(EDW220 = "", "", IFERROR(EDW220 / SUMIFS(Aux_Totales!$N:$N, Aux_Totales!$F:$F, $F224, Aux_Totales!$A:$A,#REF!), 0))</f>
        <v/>
      </c>
      <c r="EDX224" s="19" t="str">
        <f>IF(EDX220 = "", "", IFERROR(EDX220 / SUMIFS(Aux_Totales!$N:$N, Aux_Totales!$F:$F, $F224, Aux_Totales!$A:$A,#REF!), 0))</f>
        <v/>
      </c>
      <c r="EDY224" s="19" t="str">
        <f>IF(EDY220 = "", "", IFERROR(EDY220 / SUMIFS(Aux_Totales!$N:$N, Aux_Totales!$F:$F, $F224, Aux_Totales!$A:$A,#REF!), 0))</f>
        <v/>
      </c>
      <c r="EDZ224" s="19" t="str">
        <f>IF(EDZ220 = "", "", IFERROR(EDZ220 / SUMIFS(Aux_Totales!$N:$N, Aux_Totales!$F:$F, $F224, Aux_Totales!$A:$A,#REF!), 0))</f>
        <v/>
      </c>
      <c r="EEA224" s="19" t="str">
        <f>IF(EEA220 = "", "", IFERROR(EEA220 / SUMIFS(Aux_Totales!$N:$N, Aux_Totales!$F:$F, $F224, Aux_Totales!$A:$A,#REF!), 0))</f>
        <v/>
      </c>
      <c r="EEB224" s="19" t="str">
        <f>IF(EEB220 = "", "", IFERROR(EEB220 / SUMIFS(Aux_Totales!$N:$N, Aux_Totales!$F:$F, $F224, Aux_Totales!$A:$A,#REF!), 0))</f>
        <v/>
      </c>
      <c r="EEC224" s="19" t="str">
        <f>IF(EEC220 = "", "", IFERROR(EEC220 / SUMIFS(Aux_Totales!$N:$N, Aux_Totales!$F:$F, $F224, Aux_Totales!$A:$A,#REF!), 0))</f>
        <v/>
      </c>
      <c r="EED224" s="19" t="str">
        <f>IF(EED220 = "", "", IFERROR(EED220 / SUMIFS(Aux_Totales!$N:$N, Aux_Totales!$F:$F, $F224, Aux_Totales!$A:$A,#REF!), 0))</f>
        <v/>
      </c>
      <c r="EEE224" s="19" t="str">
        <f>IF(EEE220 = "", "", IFERROR(EEE220 / SUMIFS(Aux_Totales!$N:$N, Aux_Totales!$F:$F, $F224, Aux_Totales!$A:$A,#REF!), 0))</f>
        <v/>
      </c>
      <c r="EEF224" s="19" t="str">
        <f>IF(EEF220 = "", "", IFERROR(EEF220 / SUMIFS(Aux_Totales!$N:$N, Aux_Totales!$F:$F, $F224, Aux_Totales!$A:$A,#REF!), 0))</f>
        <v/>
      </c>
      <c r="EEG224" s="19" t="str">
        <f>IF(EEG220 = "", "", IFERROR(EEG220 / SUMIFS(Aux_Totales!$N:$N, Aux_Totales!$F:$F, $F224, Aux_Totales!$A:$A,#REF!), 0))</f>
        <v/>
      </c>
      <c r="EEH224" s="19" t="str">
        <f>IF(EEH220 = "", "", IFERROR(EEH220 / SUMIFS(Aux_Totales!$N:$N, Aux_Totales!$F:$F, $F224, Aux_Totales!$A:$A,#REF!), 0))</f>
        <v/>
      </c>
      <c r="EEI224" s="19" t="str">
        <f>IF(EEI220 = "", "", IFERROR(EEI220 / SUMIFS(Aux_Totales!$N:$N, Aux_Totales!$F:$F, $F224, Aux_Totales!$A:$A,#REF!), 0))</f>
        <v/>
      </c>
      <c r="EEJ224" s="19" t="str">
        <f>IF(EEJ220 = "", "", IFERROR(EEJ220 / SUMIFS(Aux_Totales!$N:$N, Aux_Totales!$F:$F, $F224, Aux_Totales!$A:$A,#REF!), 0))</f>
        <v/>
      </c>
      <c r="EEK224" s="19" t="str">
        <f>IF(EEK220 = "", "", IFERROR(EEK220 / SUMIFS(Aux_Totales!$N:$N, Aux_Totales!$F:$F, $F224, Aux_Totales!$A:$A,#REF!), 0))</f>
        <v/>
      </c>
      <c r="EEL224" s="19" t="str">
        <f>IF(EEL220 = "", "", IFERROR(EEL220 / SUMIFS(Aux_Totales!$N:$N, Aux_Totales!$F:$F, $F224, Aux_Totales!$A:$A,#REF!), 0))</f>
        <v/>
      </c>
      <c r="EEM224" s="19" t="str">
        <f>IF(EEM220 = "", "", IFERROR(EEM220 / SUMIFS(Aux_Totales!$N:$N, Aux_Totales!$F:$F, $F224, Aux_Totales!$A:$A,#REF!), 0))</f>
        <v/>
      </c>
      <c r="EEN224" s="19" t="str">
        <f>IF(EEN220 = "", "", IFERROR(EEN220 / SUMIFS(Aux_Totales!$N:$N, Aux_Totales!$F:$F, $F224, Aux_Totales!$A:$A,#REF!), 0))</f>
        <v/>
      </c>
      <c r="EEO224" s="19" t="str">
        <f>IF(EEO220 = "", "", IFERROR(EEO220 / SUMIFS(Aux_Totales!$N:$N, Aux_Totales!$F:$F, $F224, Aux_Totales!$A:$A,#REF!), 0))</f>
        <v/>
      </c>
      <c r="EEP224" s="19" t="str">
        <f>IF(EEP220 = "", "", IFERROR(EEP220 / SUMIFS(Aux_Totales!$N:$N, Aux_Totales!$F:$F, $F224, Aux_Totales!$A:$A,#REF!), 0))</f>
        <v/>
      </c>
      <c r="EEQ224" s="19" t="str">
        <f>IF(EEQ220 = "", "", IFERROR(EEQ220 / SUMIFS(Aux_Totales!$N:$N, Aux_Totales!$F:$F, $F224, Aux_Totales!$A:$A,#REF!), 0))</f>
        <v/>
      </c>
      <c r="EER224" s="19" t="str">
        <f>IF(EER220 = "", "", IFERROR(EER220 / SUMIFS(Aux_Totales!$N:$N, Aux_Totales!$F:$F, $F224, Aux_Totales!$A:$A,#REF!), 0))</f>
        <v/>
      </c>
      <c r="EES224" s="19" t="str">
        <f>IF(EES220 = "", "", IFERROR(EES220 / SUMIFS(Aux_Totales!$N:$N, Aux_Totales!$F:$F, $F224, Aux_Totales!$A:$A,#REF!), 0))</f>
        <v/>
      </c>
      <c r="EET224" s="19" t="str">
        <f>IF(EET220 = "", "", IFERROR(EET220 / SUMIFS(Aux_Totales!$N:$N, Aux_Totales!$F:$F, $F224, Aux_Totales!$A:$A,#REF!), 0))</f>
        <v/>
      </c>
      <c r="EEU224" s="19" t="str">
        <f>IF(EEU220 = "", "", IFERROR(EEU220 / SUMIFS(Aux_Totales!$N:$N, Aux_Totales!$F:$F, $F224, Aux_Totales!$A:$A,#REF!), 0))</f>
        <v/>
      </c>
      <c r="EEV224" s="19" t="str">
        <f>IF(EEV220 = "", "", IFERROR(EEV220 / SUMIFS(Aux_Totales!$N:$N, Aux_Totales!$F:$F, $F224, Aux_Totales!$A:$A,#REF!), 0))</f>
        <v/>
      </c>
      <c r="EEW224" s="19" t="str">
        <f>IF(EEW220 = "", "", IFERROR(EEW220 / SUMIFS(Aux_Totales!$N:$N, Aux_Totales!$F:$F, $F224, Aux_Totales!$A:$A,#REF!), 0))</f>
        <v/>
      </c>
      <c r="EEX224" s="19" t="str">
        <f>IF(EEX220 = "", "", IFERROR(EEX220 / SUMIFS(Aux_Totales!$N:$N, Aux_Totales!$F:$F, $F224, Aux_Totales!$A:$A,#REF!), 0))</f>
        <v/>
      </c>
      <c r="EEY224" s="19" t="str">
        <f>IF(EEY220 = "", "", IFERROR(EEY220 / SUMIFS(Aux_Totales!$N:$N, Aux_Totales!$F:$F, $F224, Aux_Totales!$A:$A,#REF!), 0))</f>
        <v/>
      </c>
      <c r="EEZ224" s="19" t="str">
        <f>IF(EEZ220 = "", "", IFERROR(EEZ220 / SUMIFS(Aux_Totales!$N:$N, Aux_Totales!$F:$F, $F224, Aux_Totales!$A:$A,#REF!), 0))</f>
        <v/>
      </c>
      <c r="EFA224" s="19" t="str">
        <f>IF(EFA220 = "", "", IFERROR(EFA220 / SUMIFS(Aux_Totales!$N:$N, Aux_Totales!$F:$F, $F224, Aux_Totales!$A:$A,#REF!), 0))</f>
        <v/>
      </c>
      <c r="EFB224" s="19" t="str">
        <f>IF(EFB220 = "", "", IFERROR(EFB220 / SUMIFS(Aux_Totales!$N:$N, Aux_Totales!$F:$F, $F224, Aux_Totales!$A:$A,#REF!), 0))</f>
        <v/>
      </c>
      <c r="EFC224" s="19" t="str">
        <f>IF(EFC220 = "", "", IFERROR(EFC220 / SUMIFS(Aux_Totales!$N:$N, Aux_Totales!$F:$F, $F224, Aux_Totales!$A:$A,#REF!), 0))</f>
        <v/>
      </c>
      <c r="EFD224" s="19" t="str">
        <f>IF(EFD220 = "", "", IFERROR(EFD220 / SUMIFS(Aux_Totales!$N:$N, Aux_Totales!$F:$F, $F224, Aux_Totales!$A:$A,#REF!), 0))</f>
        <v/>
      </c>
      <c r="EFE224" s="19" t="str">
        <f>IF(EFE220 = "", "", IFERROR(EFE220 / SUMIFS(Aux_Totales!$N:$N, Aux_Totales!$F:$F, $F224, Aux_Totales!$A:$A,#REF!), 0))</f>
        <v/>
      </c>
      <c r="EFF224" s="19" t="str">
        <f>IF(EFF220 = "", "", IFERROR(EFF220 / SUMIFS(Aux_Totales!$N:$N, Aux_Totales!$F:$F, $F224, Aux_Totales!$A:$A,#REF!), 0))</f>
        <v/>
      </c>
      <c r="EFG224" s="19" t="str">
        <f>IF(EFG220 = "", "", IFERROR(EFG220 / SUMIFS(Aux_Totales!$N:$N, Aux_Totales!$F:$F, $F224, Aux_Totales!$A:$A,#REF!), 0))</f>
        <v/>
      </c>
      <c r="EFH224" s="19" t="str">
        <f>IF(EFH220 = "", "", IFERROR(EFH220 / SUMIFS(Aux_Totales!$N:$N, Aux_Totales!$F:$F, $F224, Aux_Totales!$A:$A,#REF!), 0))</f>
        <v/>
      </c>
      <c r="EFI224" s="19" t="str">
        <f>IF(EFI220 = "", "", IFERROR(EFI220 / SUMIFS(Aux_Totales!$N:$N, Aux_Totales!$F:$F, $F224, Aux_Totales!$A:$A,#REF!), 0))</f>
        <v/>
      </c>
      <c r="EFJ224" s="19" t="str">
        <f>IF(EFJ220 = "", "", IFERROR(EFJ220 / SUMIFS(Aux_Totales!$N:$N, Aux_Totales!$F:$F, $F224, Aux_Totales!$A:$A,#REF!), 0))</f>
        <v/>
      </c>
      <c r="EFK224" s="19" t="str">
        <f>IF(EFK220 = "", "", IFERROR(EFK220 / SUMIFS(Aux_Totales!$N:$N, Aux_Totales!$F:$F, $F224, Aux_Totales!$A:$A,#REF!), 0))</f>
        <v/>
      </c>
      <c r="EFL224" s="19" t="str">
        <f>IF(EFL220 = "", "", IFERROR(EFL220 / SUMIFS(Aux_Totales!$N:$N, Aux_Totales!$F:$F, $F224, Aux_Totales!$A:$A,#REF!), 0))</f>
        <v/>
      </c>
      <c r="EFM224" s="19" t="str">
        <f>IF(EFM220 = "", "", IFERROR(EFM220 / SUMIFS(Aux_Totales!$N:$N, Aux_Totales!$F:$F, $F224, Aux_Totales!$A:$A,#REF!), 0))</f>
        <v/>
      </c>
      <c r="EFN224" s="19" t="str">
        <f>IF(EFN220 = "", "", IFERROR(EFN220 / SUMIFS(Aux_Totales!$N:$N, Aux_Totales!$F:$F, $F224, Aux_Totales!$A:$A,#REF!), 0))</f>
        <v/>
      </c>
      <c r="EFO224" s="19" t="str">
        <f>IF(EFO220 = "", "", IFERROR(EFO220 / SUMIFS(Aux_Totales!$N:$N, Aux_Totales!$F:$F, $F224, Aux_Totales!$A:$A,#REF!), 0))</f>
        <v/>
      </c>
      <c r="EFP224" s="19" t="str">
        <f>IF(EFP220 = "", "", IFERROR(EFP220 / SUMIFS(Aux_Totales!$N:$N, Aux_Totales!$F:$F, $F224, Aux_Totales!$A:$A,#REF!), 0))</f>
        <v/>
      </c>
      <c r="EFQ224" s="19" t="str">
        <f>IF(EFQ220 = "", "", IFERROR(EFQ220 / SUMIFS(Aux_Totales!$N:$N, Aux_Totales!$F:$F, $F224, Aux_Totales!$A:$A,#REF!), 0))</f>
        <v/>
      </c>
      <c r="EFR224" s="19" t="str">
        <f>IF(EFR220 = "", "", IFERROR(EFR220 / SUMIFS(Aux_Totales!$N:$N, Aux_Totales!$F:$F, $F224, Aux_Totales!$A:$A,#REF!), 0))</f>
        <v/>
      </c>
      <c r="EFS224" s="19" t="str">
        <f>IF(EFS220 = "", "", IFERROR(EFS220 / SUMIFS(Aux_Totales!$N:$N, Aux_Totales!$F:$F, $F224, Aux_Totales!$A:$A,#REF!), 0))</f>
        <v/>
      </c>
      <c r="EFT224" s="19" t="str">
        <f>IF(EFT220 = "", "", IFERROR(EFT220 / SUMIFS(Aux_Totales!$N:$N, Aux_Totales!$F:$F, $F224, Aux_Totales!$A:$A,#REF!), 0))</f>
        <v/>
      </c>
      <c r="EFU224" s="19" t="str">
        <f>IF(EFU220 = "", "", IFERROR(EFU220 / SUMIFS(Aux_Totales!$N:$N, Aux_Totales!$F:$F, $F224, Aux_Totales!$A:$A,#REF!), 0))</f>
        <v/>
      </c>
      <c r="EFV224" s="19" t="str">
        <f>IF(EFV220 = "", "", IFERROR(EFV220 / SUMIFS(Aux_Totales!$N:$N, Aux_Totales!$F:$F, $F224, Aux_Totales!$A:$A,#REF!), 0))</f>
        <v/>
      </c>
      <c r="EFW224" s="19" t="str">
        <f>IF(EFW220 = "", "", IFERROR(EFW220 / SUMIFS(Aux_Totales!$N:$N, Aux_Totales!$F:$F, $F224, Aux_Totales!$A:$A,#REF!), 0))</f>
        <v/>
      </c>
      <c r="EFX224" s="19" t="str">
        <f>IF(EFX220 = "", "", IFERROR(EFX220 / SUMIFS(Aux_Totales!$N:$N, Aux_Totales!$F:$F, $F224, Aux_Totales!$A:$A,#REF!), 0))</f>
        <v/>
      </c>
      <c r="EFY224" s="19" t="str">
        <f>IF(EFY220 = "", "", IFERROR(EFY220 / SUMIFS(Aux_Totales!$N:$N, Aux_Totales!$F:$F, $F224, Aux_Totales!$A:$A,#REF!), 0))</f>
        <v/>
      </c>
      <c r="EFZ224" s="19" t="str">
        <f>IF(EFZ220 = "", "", IFERROR(EFZ220 / SUMIFS(Aux_Totales!$N:$N, Aux_Totales!$F:$F, $F224, Aux_Totales!$A:$A,#REF!), 0))</f>
        <v/>
      </c>
      <c r="EGA224" s="19" t="str">
        <f>IF(EGA220 = "", "", IFERROR(EGA220 / SUMIFS(Aux_Totales!$N:$N, Aux_Totales!$F:$F, $F224, Aux_Totales!$A:$A,#REF!), 0))</f>
        <v/>
      </c>
      <c r="EGB224" s="19" t="str">
        <f>IF(EGB220 = "", "", IFERROR(EGB220 / SUMIFS(Aux_Totales!$N:$N, Aux_Totales!$F:$F, $F224, Aux_Totales!$A:$A,#REF!), 0))</f>
        <v/>
      </c>
      <c r="EGC224" s="19" t="str">
        <f>IF(EGC220 = "", "", IFERROR(EGC220 / SUMIFS(Aux_Totales!$N:$N, Aux_Totales!$F:$F, $F224, Aux_Totales!$A:$A,#REF!), 0))</f>
        <v/>
      </c>
      <c r="EGD224" s="19" t="str">
        <f>IF(EGD220 = "", "", IFERROR(EGD220 / SUMIFS(Aux_Totales!$N:$N, Aux_Totales!$F:$F, $F224, Aux_Totales!$A:$A,#REF!), 0))</f>
        <v/>
      </c>
      <c r="EGE224" s="19" t="str">
        <f>IF(EGE220 = "", "", IFERROR(EGE220 / SUMIFS(Aux_Totales!$N:$N, Aux_Totales!$F:$F, $F224, Aux_Totales!$A:$A,#REF!), 0))</f>
        <v/>
      </c>
      <c r="EGF224" s="19" t="str">
        <f>IF(EGF220 = "", "", IFERROR(EGF220 / SUMIFS(Aux_Totales!$N:$N, Aux_Totales!$F:$F, $F224, Aux_Totales!$A:$A,#REF!), 0))</f>
        <v/>
      </c>
      <c r="EGG224" s="19" t="str">
        <f>IF(EGG220 = "", "", IFERROR(EGG220 / SUMIFS(Aux_Totales!$N:$N, Aux_Totales!$F:$F, $F224, Aux_Totales!$A:$A,#REF!), 0))</f>
        <v/>
      </c>
      <c r="EGH224" s="19" t="str">
        <f>IF(EGH220 = "", "", IFERROR(EGH220 / SUMIFS(Aux_Totales!$N:$N, Aux_Totales!$F:$F, $F224, Aux_Totales!$A:$A,#REF!), 0))</f>
        <v/>
      </c>
      <c r="EGI224" s="19" t="str">
        <f>IF(EGI220 = "", "", IFERROR(EGI220 / SUMIFS(Aux_Totales!$N:$N, Aux_Totales!$F:$F, $F224, Aux_Totales!$A:$A,#REF!), 0))</f>
        <v/>
      </c>
      <c r="EGJ224" s="19" t="str">
        <f>IF(EGJ220 = "", "", IFERROR(EGJ220 / SUMIFS(Aux_Totales!$N:$N, Aux_Totales!$F:$F, $F224, Aux_Totales!$A:$A,#REF!), 0))</f>
        <v/>
      </c>
      <c r="EGK224" s="19" t="str">
        <f>IF(EGK220 = "", "", IFERROR(EGK220 / SUMIFS(Aux_Totales!$N:$N, Aux_Totales!$F:$F, $F224, Aux_Totales!$A:$A,#REF!), 0))</f>
        <v/>
      </c>
      <c r="EGL224" s="19" t="str">
        <f>IF(EGL220 = "", "", IFERROR(EGL220 / SUMIFS(Aux_Totales!$N:$N, Aux_Totales!$F:$F, $F224, Aux_Totales!$A:$A,#REF!), 0))</f>
        <v/>
      </c>
      <c r="EGM224" s="19" t="str">
        <f>IF(EGM220 = "", "", IFERROR(EGM220 / SUMIFS(Aux_Totales!$N:$N, Aux_Totales!$F:$F, $F224, Aux_Totales!$A:$A,#REF!), 0))</f>
        <v/>
      </c>
      <c r="EGN224" s="19" t="str">
        <f>IF(EGN220 = "", "", IFERROR(EGN220 / SUMIFS(Aux_Totales!$N:$N, Aux_Totales!$F:$F, $F224, Aux_Totales!$A:$A,#REF!), 0))</f>
        <v/>
      </c>
      <c r="EGO224" s="19" t="str">
        <f>IF(EGO220 = "", "", IFERROR(EGO220 / SUMIFS(Aux_Totales!$N:$N, Aux_Totales!$F:$F, $F224, Aux_Totales!$A:$A,#REF!), 0))</f>
        <v/>
      </c>
      <c r="EGP224" s="19" t="str">
        <f>IF(EGP220 = "", "", IFERROR(EGP220 / SUMIFS(Aux_Totales!$N:$N, Aux_Totales!$F:$F, $F224, Aux_Totales!$A:$A,#REF!), 0))</f>
        <v/>
      </c>
      <c r="EGQ224" s="19" t="str">
        <f>IF(EGQ220 = "", "", IFERROR(EGQ220 / SUMIFS(Aux_Totales!$N:$N, Aux_Totales!$F:$F, $F224, Aux_Totales!$A:$A,#REF!), 0))</f>
        <v/>
      </c>
      <c r="EGR224" s="19" t="str">
        <f>IF(EGR220 = "", "", IFERROR(EGR220 / SUMIFS(Aux_Totales!$N:$N, Aux_Totales!$F:$F, $F224, Aux_Totales!$A:$A,#REF!), 0))</f>
        <v/>
      </c>
      <c r="EGS224" s="19" t="str">
        <f>IF(EGS220 = "", "", IFERROR(EGS220 / SUMIFS(Aux_Totales!$N:$N, Aux_Totales!$F:$F, $F224, Aux_Totales!$A:$A,#REF!), 0))</f>
        <v/>
      </c>
      <c r="EGT224" s="19" t="str">
        <f>IF(EGT220 = "", "", IFERROR(EGT220 / SUMIFS(Aux_Totales!$N:$N, Aux_Totales!$F:$F, $F224, Aux_Totales!$A:$A,#REF!), 0))</f>
        <v/>
      </c>
      <c r="EGU224" s="19" t="str">
        <f>IF(EGU220 = "", "", IFERROR(EGU220 / SUMIFS(Aux_Totales!$N:$N, Aux_Totales!$F:$F, $F224, Aux_Totales!$A:$A,#REF!), 0))</f>
        <v/>
      </c>
      <c r="EGV224" s="19" t="str">
        <f>IF(EGV220 = "", "", IFERROR(EGV220 / SUMIFS(Aux_Totales!$N:$N, Aux_Totales!$F:$F, $F224, Aux_Totales!$A:$A,#REF!), 0))</f>
        <v/>
      </c>
      <c r="EGW224" s="19" t="str">
        <f>IF(EGW220 = "", "", IFERROR(EGW220 / SUMIFS(Aux_Totales!$N:$N, Aux_Totales!$F:$F, $F224, Aux_Totales!$A:$A,#REF!), 0))</f>
        <v/>
      </c>
      <c r="EGX224" s="19" t="str">
        <f>IF(EGX220 = "", "", IFERROR(EGX220 / SUMIFS(Aux_Totales!$N:$N, Aux_Totales!$F:$F, $F224, Aux_Totales!$A:$A,#REF!), 0))</f>
        <v/>
      </c>
      <c r="EGY224" s="19" t="str">
        <f>IF(EGY220 = "", "", IFERROR(EGY220 / SUMIFS(Aux_Totales!$N:$N, Aux_Totales!$F:$F, $F224, Aux_Totales!$A:$A,#REF!), 0))</f>
        <v/>
      </c>
      <c r="EGZ224" s="19" t="str">
        <f>IF(EGZ220 = "", "", IFERROR(EGZ220 / SUMIFS(Aux_Totales!$N:$N, Aux_Totales!$F:$F, $F224, Aux_Totales!$A:$A,#REF!), 0))</f>
        <v/>
      </c>
      <c r="EHA224" s="19" t="str">
        <f>IF(EHA220 = "", "", IFERROR(EHA220 / SUMIFS(Aux_Totales!$N:$N, Aux_Totales!$F:$F, $F224, Aux_Totales!$A:$A,#REF!), 0))</f>
        <v/>
      </c>
      <c r="EHB224" s="19" t="str">
        <f>IF(EHB220 = "", "", IFERROR(EHB220 / SUMIFS(Aux_Totales!$N:$N, Aux_Totales!$F:$F, $F224, Aux_Totales!$A:$A,#REF!), 0))</f>
        <v/>
      </c>
      <c r="EHC224" s="19" t="str">
        <f>IF(EHC220 = "", "", IFERROR(EHC220 / SUMIFS(Aux_Totales!$N:$N, Aux_Totales!$F:$F, $F224, Aux_Totales!$A:$A,#REF!), 0))</f>
        <v/>
      </c>
      <c r="EHD224" s="19" t="str">
        <f>IF(EHD220 = "", "", IFERROR(EHD220 / SUMIFS(Aux_Totales!$N:$N, Aux_Totales!$F:$F, $F224, Aux_Totales!$A:$A,#REF!), 0))</f>
        <v/>
      </c>
      <c r="EHE224" s="19" t="str">
        <f>IF(EHE220 = "", "", IFERROR(EHE220 / SUMIFS(Aux_Totales!$N:$N, Aux_Totales!$F:$F, $F224, Aux_Totales!$A:$A,#REF!), 0))</f>
        <v/>
      </c>
      <c r="EHF224" s="19" t="str">
        <f>IF(EHF220 = "", "", IFERROR(EHF220 / SUMIFS(Aux_Totales!$N:$N, Aux_Totales!$F:$F, $F224, Aux_Totales!$A:$A,#REF!), 0))</f>
        <v/>
      </c>
      <c r="EHG224" s="19" t="str">
        <f>IF(EHG220 = "", "", IFERROR(EHG220 / SUMIFS(Aux_Totales!$N:$N, Aux_Totales!$F:$F, $F224, Aux_Totales!$A:$A,#REF!), 0))</f>
        <v/>
      </c>
      <c r="EHH224" s="19" t="str">
        <f>IF(EHH220 = "", "", IFERROR(EHH220 / SUMIFS(Aux_Totales!$N:$N, Aux_Totales!$F:$F, $F224, Aux_Totales!$A:$A,#REF!), 0))</f>
        <v/>
      </c>
      <c r="EHI224" s="19" t="str">
        <f>IF(EHI220 = "", "", IFERROR(EHI220 / SUMIFS(Aux_Totales!$N:$N, Aux_Totales!$F:$F, $F224, Aux_Totales!$A:$A,#REF!), 0))</f>
        <v/>
      </c>
      <c r="EHJ224" s="19" t="str">
        <f>IF(EHJ220 = "", "", IFERROR(EHJ220 / SUMIFS(Aux_Totales!$N:$N, Aux_Totales!$F:$F, $F224, Aux_Totales!$A:$A,#REF!), 0))</f>
        <v/>
      </c>
      <c r="EHK224" s="19" t="str">
        <f>IF(EHK220 = "", "", IFERROR(EHK220 / SUMIFS(Aux_Totales!$N:$N, Aux_Totales!$F:$F, $F224, Aux_Totales!$A:$A,#REF!), 0))</f>
        <v/>
      </c>
      <c r="EHL224" s="19" t="str">
        <f>IF(EHL220 = "", "", IFERROR(EHL220 / SUMIFS(Aux_Totales!$N:$N, Aux_Totales!$F:$F, $F224, Aux_Totales!$A:$A,#REF!), 0))</f>
        <v/>
      </c>
      <c r="EHM224" s="19" t="str">
        <f>IF(EHM220 = "", "", IFERROR(EHM220 / SUMIFS(Aux_Totales!$N:$N, Aux_Totales!$F:$F, $F224, Aux_Totales!$A:$A,#REF!), 0))</f>
        <v/>
      </c>
      <c r="EHN224" s="19" t="str">
        <f>IF(EHN220 = "", "", IFERROR(EHN220 / SUMIFS(Aux_Totales!$N:$N, Aux_Totales!$F:$F, $F224, Aux_Totales!$A:$A,#REF!), 0))</f>
        <v/>
      </c>
      <c r="EHO224" s="19" t="str">
        <f>IF(EHO220 = "", "", IFERROR(EHO220 / SUMIFS(Aux_Totales!$N:$N, Aux_Totales!$F:$F, $F224, Aux_Totales!$A:$A,#REF!), 0))</f>
        <v/>
      </c>
      <c r="EHP224" s="19" t="str">
        <f>IF(EHP220 = "", "", IFERROR(EHP220 / SUMIFS(Aux_Totales!$N:$N, Aux_Totales!$F:$F, $F224, Aux_Totales!$A:$A,#REF!), 0))</f>
        <v/>
      </c>
      <c r="EHQ224" s="19" t="str">
        <f>IF(EHQ220 = "", "", IFERROR(EHQ220 / SUMIFS(Aux_Totales!$N:$N, Aux_Totales!$F:$F, $F224, Aux_Totales!$A:$A,#REF!), 0))</f>
        <v/>
      </c>
      <c r="EHR224" s="19" t="str">
        <f>IF(EHR220 = "", "", IFERROR(EHR220 / SUMIFS(Aux_Totales!$N:$N, Aux_Totales!$F:$F, $F224, Aux_Totales!$A:$A,#REF!), 0))</f>
        <v/>
      </c>
      <c r="EHS224" s="19" t="str">
        <f>IF(EHS220 = "", "", IFERROR(EHS220 / SUMIFS(Aux_Totales!$N:$N, Aux_Totales!$F:$F, $F224, Aux_Totales!$A:$A,#REF!), 0))</f>
        <v/>
      </c>
      <c r="EHT224" s="19" t="str">
        <f>IF(EHT220 = "", "", IFERROR(EHT220 / SUMIFS(Aux_Totales!$N:$N, Aux_Totales!$F:$F, $F224, Aux_Totales!$A:$A,#REF!), 0))</f>
        <v/>
      </c>
      <c r="EHU224" s="19" t="str">
        <f>IF(EHU220 = "", "", IFERROR(EHU220 / SUMIFS(Aux_Totales!$N:$N, Aux_Totales!$F:$F, $F224, Aux_Totales!$A:$A,#REF!), 0))</f>
        <v/>
      </c>
      <c r="EHV224" s="19" t="str">
        <f>IF(EHV220 = "", "", IFERROR(EHV220 / SUMIFS(Aux_Totales!$N:$N, Aux_Totales!$F:$F, $F224, Aux_Totales!$A:$A,#REF!), 0))</f>
        <v/>
      </c>
      <c r="EHW224" s="19" t="str">
        <f>IF(EHW220 = "", "", IFERROR(EHW220 / SUMIFS(Aux_Totales!$N:$N, Aux_Totales!$F:$F, $F224, Aux_Totales!$A:$A,#REF!), 0))</f>
        <v/>
      </c>
      <c r="EHX224" s="19" t="str">
        <f>IF(EHX220 = "", "", IFERROR(EHX220 / SUMIFS(Aux_Totales!$N:$N, Aux_Totales!$F:$F, $F224, Aux_Totales!$A:$A,#REF!), 0))</f>
        <v/>
      </c>
      <c r="EHY224" s="19" t="str">
        <f>IF(EHY220 = "", "", IFERROR(EHY220 / SUMIFS(Aux_Totales!$N:$N, Aux_Totales!$F:$F, $F224, Aux_Totales!$A:$A,#REF!), 0))</f>
        <v/>
      </c>
      <c r="EHZ224" s="19" t="str">
        <f>IF(EHZ220 = "", "", IFERROR(EHZ220 / SUMIFS(Aux_Totales!$N:$N, Aux_Totales!$F:$F, $F224, Aux_Totales!$A:$A,#REF!), 0))</f>
        <v/>
      </c>
      <c r="EIA224" s="19" t="str">
        <f>IF(EIA220 = "", "", IFERROR(EIA220 / SUMIFS(Aux_Totales!$N:$N, Aux_Totales!$F:$F, $F224, Aux_Totales!$A:$A,#REF!), 0))</f>
        <v/>
      </c>
      <c r="EIB224" s="19" t="str">
        <f>IF(EIB220 = "", "", IFERROR(EIB220 / SUMIFS(Aux_Totales!$N:$N, Aux_Totales!$F:$F, $F224, Aux_Totales!$A:$A,#REF!), 0))</f>
        <v/>
      </c>
      <c r="EIC224" s="19" t="str">
        <f>IF(EIC220 = "", "", IFERROR(EIC220 / SUMIFS(Aux_Totales!$N:$N, Aux_Totales!$F:$F, $F224, Aux_Totales!$A:$A,#REF!), 0))</f>
        <v/>
      </c>
      <c r="EID224" s="19" t="str">
        <f>IF(EID220 = "", "", IFERROR(EID220 / SUMIFS(Aux_Totales!$N:$N, Aux_Totales!$F:$F, $F224, Aux_Totales!$A:$A,#REF!), 0))</f>
        <v/>
      </c>
      <c r="EIE224" s="19" t="str">
        <f>IF(EIE220 = "", "", IFERROR(EIE220 / SUMIFS(Aux_Totales!$N:$N, Aux_Totales!$F:$F, $F224, Aux_Totales!$A:$A,#REF!), 0))</f>
        <v/>
      </c>
      <c r="EIF224" s="19" t="str">
        <f>IF(EIF220 = "", "", IFERROR(EIF220 / SUMIFS(Aux_Totales!$N:$N, Aux_Totales!$F:$F, $F224, Aux_Totales!$A:$A,#REF!), 0))</f>
        <v/>
      </c>
      <c r="EIG224" s="19" t="str">
        <f>IF(EIG220 = "", "", IFERROR(EIG220 / SUMIFS(Aux_Totales!$N:$N, Aux_Totales!$F:$F, $F224, Aux_Totales!$A:$A,#REF!), 0))</f>
        <v/>
      </c>
      <c r="EIH224" s="19" t="str">
        <f>IF(EIH220 = "", "", IFERROR(EIH220 / SUMIFS(Aux_Totales!$N:$N, Aux_Totales!$F:$F, $F224, Aux_Totales!$A:$A,#REF!), 0))</f>
        <v/>
      </c>
      <c r="EII224" s="19" t="str">
        <f>IF(EII220 = "", "", IFERROR(EII220 / SUMIFS(Aux_Totales!$N:$N, Aux_Totales!$F:$F, $F224, Aux_Totales!$A:$A,#REF!), 0))</f>
        <v/>
      </c>
      <c r="EIJ224" s="19" t="str">
        <f>IF(EIJ220 = "", "", IFERROR(EIJ220 / SUMIFS(Aux_Totales!$N:$N, Aux_Totales!$F:$F, $F224, Aux_Totales!$A:$A,#REF!), 0))</f>
        <v/>
      </c>
      <c r="EIK224" s="19" t="str">
        <f>IF(EIK220 = "", "", IFERROR(EIK220 / SUMIFS(Aux_Totales!$N:$N, Aux_Totales!$F:$F, $F224, Aux_Totales!$A:$A,#REF!), 0))</f>
        <v/>
      </c>
      <c r="EIL224" s="19" t="str">
        <f>IF(EIL220 = "", "", IFERROR(EIL220 / SUMIFS(Aux_Totales!$N:$N, Aux_Totales!$F:$F, $F224, Aux_Totales!$A:$A,#REF!), 0))</f>
        <v/>
      </c>
      <c r="EIM224" s="19" t="str">
        <f>IF(EIM220 = "", "", IFERROR(EIM220 / SUMIFS(Aux_Totales!$N:$N, Aux_Totales!$F:$F, $F224, Aux_Totales!$A:$A,#REF!), 0))</f>
        <v/>
      </c>
      <c r="EIN224" s="19" t="str">
        <f>IF(EIN220 = "", "", IFERROR(EIN220 / SUMIFS(Aux_Totales!$N:$N, Aux_Totales!$F:$F, $F224, Aux_Totales!$A:$A,#REF!), 0))</f>
        <v/>
      </c>
      <c r="EIO224" s="19" t="str">
        <f>IF(EIO220 = "", "", IFERROR(EIO220 / SUMIFS(Aux_Totales!$N:$N, Aux_Totales!$F:$F, $F224, Aux_Totales!$A:$A,#REF!), 0))</f>
        <v/>
      </c>
      <c r="EIP224" s="19" t="str">
        <f>IF(EIP220 = "", "", IFERROR(EIP220 / SUMIFS(Aux_Totales!$N:$N, Aux_Totales!$F:$F, $F224, Aux_Totales!$A:$A,#REF!), 0))</f>
        <v/>
      </c>
      <c r="EIQ224" s="19" t="str">
        <f>IF(EIQ220 = "", "", IFERROR(EIQ220 / SUMIFS(Aux_Totales!$N:$N, Aux_Totales!$F:$F, $F224, Aux_Totales!$A:$A,#REF!), 0))</f>
        <v/>
      </c>
      <c r="EIR224" s="19" t="str">
        <f>IF(EIR220 = "", "", IFERROR(EIR220 / SUMIFS(Aux_Totales!$N:$N, Aux_Totales!$F:$F, $F224, Aux_Totales!$A:$A,#REF!), 0))</f>
        <v/>
      </c>
      <c r="EIS224" s="19" t="str">
        <f>IF(EIS220 = "", "", IFERROR(EIS220 / SUMIFS(Aux_Totales!$N:$N, Aux_Totales!$F:$F, $F224, Aux_Totales!$A:$A,#REF!), 0))</f>
        <v/>
      </c>
      <c r="EIT224" s="19" t="str">
        <f>IF(EIT220 = "", "", IFERROR(EIT220 / SUMIFS(Aux_Totales!$N:$N, Aux_Totales!$F:$F, $F224, Aux_Totales!$A:$A,#REF!), 0))</f>
        <v/>
      </c>
      <c r="EIU224" s="19" t="str">
        <f>IF(EIU220 = "", "", IFERROR(EIU220 / SUMIFS(Aux_Totales!$N:$N, Aux_Totales!$F:$F, $F224, Aux_Totales!$A:$A,#REF!), 0))</f>
        <v/>
      </c>
      <c r="EIV224" s="19" t="str">
        <f>IF(EIV220 = "", "", IFERROR(EIV220 / SUMIFS(Aux_Totales!$N:$N, Aux_Totales!$F:$F, $F224, Aux_Totales!$A:$A,#REF!), 0))</f>
        <v/>
      </c>
      <c r="EIW224" s="19" t="str">
        <f>IF(EIW220 = "", "", IFERROR(EIW220 / SUMIFS(Aux_Totales!$N:$N, Aux_Totales!$F:$F, $F224, Aux_Totales!$A:$A,#REF!), 0))</f>
        <v/>
      </c>
      <c r="EIX224" s="19" t="str">
        <f>IF(EIX220 = "", "", IFERROR(EIX220 / SUMIFS(Aux_Totales!$N:$N, Aux_Totales!$F:$F, $F224, Aux_Totales!$A:$A,#REF!), 0))</f>
        <v/>
      </c>
      <c r="EIY224" s="19" t="str">
        <f>IF(EIY220 = "", "", IFERROR(EIY220 / SUMIFS(Aux_Totales!$N:$N, Aux_Totales!$F:$F, $F224, Aux_Totales!$A:$A,#REF!), 0))</f>
        <v/>
      </c>
      <c r="EIZ224" s="19" t="str">
        <f>IF(EIZ220 = "", "", IFERROR(EIZ220 / SUMIFS(Aux_Totales!$N:$N, Aux_Totales!$F:$F, $F224, Aux_Totales!$A:$A,#REF!), 0))</f>
        <v/>
      </c>
      <c r="EJA224" s="19" t="str">
        <f>IF(EJA220 = "", "", IFERROR(EJA220 / SUMIFS(Aux_Totales!$N:$N, Aux_Totales!$F:$F, $F224, Aux_Totales!$A:$A,#REF!), 0))</f>
        <v/>
      </c>
      <c r="EJB224" s="19" t="str">
        <f>IF(EJB220 = "", "", IFERROR(EJB220 / SUMIFS(Aux_Totales!$N:$N, Aux_Totales!$F:$F, $F224, Aux_Totales!$A:$A,#REF!), 0))</f>
        <v/>
      </c>
      <c r="EJC224" s="19" t="str">
        <f>IF(EJC220 = "", "", IFERROR(EJC220 / SUMIFS(Aux_Totales!$N:$N, Aux_Totales!$F:$F, $F224, Aux_Totales!$A:$A,#REF!), 0))</f>
        <v/>
      </c>
      <c r="EJD224" s="19" t="str">
        <f>IF(EJD220 = "", "", IFERROR(EJD220 / SUMIFS(Aux_Totales!$N:$N, Aux_Totales!$F:$F, $F224, Aux_Totales!$A:$A,#REF!), 0))</f>
        <v/>
      </c>
      <c r="EJE224" s="19" t="str">
        <f>IF(EJE220 = "", "", IFERROR(EJE220 / SUMIFS(Aux_Totales!$N:$N, Aux_Totales!$F:$F, $F224, Aux_Totales!$A:$A,#REF!), 0))</f>
        <v/>
      </c>
      <c r="EJF224" s="19" t="str">
        <f>IF(EJF220 = "", "", IFERROR(EJF220 / SUMIFS(Aux_Totales!$N:$N, Aux_Totales!$F:$F, $F224, Aux_Totales!$A:$A,#REF!), 0))</f>
        <v/>
      </c>
      <c r="EJG224" s="19" t="str">
        <f>IF(EJG220 = "", "", IFERROR(EJG220 / SUMIFS(Aux_Totales!$N:$N, Aux_Totales!$F:$F, $F224, Aux_Totales!$A:$A,#REF!), 0))</f>
        <v/>
      </c>
      <c r="EJH224" s="19" t="str">
        <f>IF(EJH220 = "", "", IFERROR(EJH220 / SUMIFS(Aux_Totales!$N:$N, Aux_Totales!$F:$F, $F224, Aux_Totales!$A:$A,#REF!), 0))</f>
        <v/>
      </c>
      <c r="EJI224" s="19" t="str">
        <f>IF(EJI220 = "", "", IFERROR(EJI220 / SUMIFS(Aux_Totales!$N:$N, Aux_Totales!$F:$F, $F224, Aux_Totales!$A:$A,#REF!), 0))</f>
        <v/>
      </c>
      <c r="EJJ224" s="19" t="str">
        <f>IF(EJJ220 = "", "", IFERROR(EJJ220 / SUMIFS(Aux_Totales!$N:$N, Aux_Totales!$F:$F, $F224, Aux_Totales!$A:$A,#REF!), 0))</f>
        <v/>
      </c>
      <c r="EJK224" s="19" t="str">
        <f>IF(EJK220 = "", "", IFERROR(EJK220 / SUMIFS(Aux_Totales!$N:$N, Aux_Totales!$F:$F, $F224, Aux_Totales!$A:$A,#REF!), 0))</f>
        <v/>
      </c>
      <c r="EJL224" s="19" t="str">
        <f>IF(EJL220 = "", "", IFERROR(EJL220 / SUMIFS(Aux_Totales!$N:$N, Aux_Totales!$F:$F, $F224, Aux_Totales!$A:$A,#REF!), 0))</f>
        <v/>
      </c>
      <c r="EJM224" s="19" t="str">
        <f>IF(EJM220 = "", "", IFERROR(EJM220 / SUMIFS(Aux_Totales!$N:$N, Aux_Totales!$F:$F, $F224, Aux_Totales!$A:$A,#REF!), 0))</f>
        <v/>
      </c>
      <c r="EJN224" s="19" t="str">
        <f>IF(EJN220 = "", "", IFERROR(EJN220 / SUMIFS(Aux_Totales!$N:$N, Aux_Totales!$F:$F, $F224, Aux_Totales!$A:$A,#REF!), 0))</f>
        <v/>
      </c>
      <c r="EJO224" s="19" t="str">
        <f>IF(EJO220 = "", "", IFERROR(EJO220 / SUMIFS(Aux_Totales!$N:$N, Aux_Totales!$F:$F, $F224, Aux_Totales!$A:$A,#REF!), 0))</f>
        <v/>
      </c>
      <c r="EJP224" s="19" t="str">
        <f>IF(EJP220 = "", "", IFERROR(EJP220 / SUMIFS(Aux_Totales!$N:$N, Aux_Totales!$F:$F, $F224, Aux_Totales!$A:$A,#REF!), 0))</f>
        <v/>
      </c>
      <c r="EJQ224" s="19" t="str">
        <f>IF(EJQ220 = "", "", IFERROR(EJQ220 / SUMIFS(Aux_Totales!$N:$N, Aux_Totales!$F:$F, $F224, Aux_Totales!$A:$A,#REF!), 0))</f>
        <v/>
      </c>
      <c r="EJR224" s="19" t="str">
        <f>IF(EJR220 = "", "", IFERROR(EJR220 / SUMIFS(Aux_Totales!$N:$N, Aux_Totales!$F:$F, $F224, Aux_Totales!$A:$A,#REF!), 0))</f>
        <v/>
      </c>
      <c r="EJS224" s="19" t="str">
        <f>IF(EJS220 = "", "", IFERROR(EJS220 / SUMIFS(Aux_Totales!$N:$N, Aux_Totales!$F:$F, $F224, Aux_Totales!$A:$A,#REF!), 0))</f>
        <v/>
      </c>
      <c r="EJT224" s="19" t="str">
        <f>IF(EJT220 = "", "", IFERROR(EJT220 / SUMIFS(Aux_Totales!$N:$N, Aux_Totales!$F:$F, $F224, Aux_Totales!$A:$A,#REF!), 0))</f>
        <v/>
      </c>
      <c r="EJU224" s="19" t="str">
        <f>IF(EJU220 = "", "", IFERROR(EJU220 / SUMIFS(Aux_Totales!$N:$N, Aux_Totales!$F:$F, $F224, Aux_Totales!$A:$A,#REF!), 0))</f>
        <v/>
      </c>
      <c r="EJV224" s="19" t="str">
        <f>IF(EJV220 = "", "", IFERROR(EJV220 / SUMIFS(Aux_Totales!$N:$N, Aux_Totales!$F:$F, $F224, Aux_Totales!$A:$A,#REF!), 0))</f>
        <v/>
      </c>
      <c r="EJW224" s="19" t="str">
        <f>IF(EJW220 = "", "", IFERROR(EJW220 / SUMIFS(Aux_Totales!$N:$N, Aux_Totales!$F:$F, $F224, Aux_Totales!$A:$A,#REF!), 0))</f>
        <v/>
      </c>
      <c r="EJX224" s="19" t="str">
        <f>IF(EJX220 = "", "", IFERROR(EJX220 / SUMIFS(Aux_Totales!$N:$N, Aux_Totales!$F:$F, $F224, Aux_Totales!$A:$A,#REF!), 0))</f>
        <v/>
      </c>
      <c r="EJY224" s="19" t="str">
        <f>IF(EJY220 = "", "", IFERROR(EJY220 / SUMIFS(Aux_Totales!$N:$N, Aux_Totales!$F:$F, $F224, Aux_Totales!$A:$A,#REF!), 0))</f>
        <v/>
      </c>
      <c r="EJZ224" s="19" t="str">
        <f>IF(EJZ220 = "", "", IFERROR(EJZ220 / SUMIFS(Aux_Totales!$N:$N, Aux_Totales!$F:$F, $F224, Aux_Totales!$A:$A,#REF!), 0))</f>
        <v/>
      </c>
      <c r="EKA224" s="19" t="str">
        <f>IF(EKA220 = "", "", IFERROR(EKA220 / SUMIFS(Aux_Totales!$N:$N, Aux_Totales!$F:$F, $F224, Aux_Totales!$A:$A,#REF!), 0))</f>
        <v/>
      </c>
      <c r="EKB224" s="19" t="str">
        <f>IF(EKB220 = "", "", IFERROR(EKB220 / SUMIFS(Aux_Totales!$N:$N, Aux_Totales!$F:$F, $F224, Aux_Totales!$A:$A,#REF!), 0))</f>
        <v/>
      </c>
      <c r="EKC224" s="19" t="str">
        <f>IF(EKC220 = "", "", IFERROR(EKC220 / SUMIFS(Aux_Totales!$N:$N, Aux_Totales!$F:$F, $F224, Aux_Totales!$A:$A,#REF!), 0))</f>
        <v/>
      </c>
      <c r="EKD224" s="19" t="str">
        <f>IF(EKD220 = "", "", IFERROR(EKD220 / SUMIFS(Aux_Totales!$N:$N, Aux_Totales!$F:$F, $F224, Aux_Totales!$A:$A,#REF!), 0))</f>
        <v/>
      </c>
      <c r="EKE224" s="19" t="str">
        <f>IF(EKE220 = "", "", IFERROR(EKE220 / SUMIFS(Aux_Totales!$N:$N, Aux_Totales!$F:$F, $F224, Aux_Totales!$A:$A,#REF!), 0))</f>
        <v/>
      </c>
      <c r="EKF224" s="19" t="str">
        <f>IF(EKF220 = "", "", IFERROR(EKF220 / SUMIFS(Aux_Totales!$N:$N, Aux_Totales!$F:$F, $F224, Aux_Totales!$A:$A,#REF!), 0))</f>
        <v/>
      </c>
      <c r="EKG224" s="19" t="str">
        <f>IF(EKG220 = "", "", IFERROR(EKG220 / SUMIFS(Aux_Totales!$N:$N, Aux_Totales!$F:$F, $F224, Aux_Totales!$A:$A,#REF!), 0))</f>
        <v/>
      </c>
      <c r="EKH224" s="19" t="str">
        <f>IF(EKH220 = "", "", IFERROR(EKH220 / SUMIFS(Aux_Totales!$N:$N, Aux_Totales!$F:$F, $F224, Aux_Totales!$A:$A,#REF!), 0))</f>
        <v/>
      </c>
      <c r="EKI224" s="19" t="str">
        <f>IF(EKI220 = "", "", IFERROR(EKI220 / SUMIFS(Aux_Totales!$N:$N, Aux_Totales!$F:$F, $F224, Aux_Totales!$A:$A,#REF!), 0))</f>
        <v/>
      </c>
      <c r="EKJ224" s="19" t="str">
        <f>IF(EKJ220 = "", "", IFERROR(EKJ220 / SUMIFS(Aux_Totales!$N:$N, Aux_Totales!$F:$F, $F224, Aux_Totales!$A:$A,#REF!), 0))</f>
        <v/>
      </c>
      <c r="EKK224" s="19" t="str">
        <f>IF(EKK220 = "", "", IFERROR(EKK220 / SUMIFS(Aux_Totales!$N:$N, Aux_Totales!$F:$F, $F224, Aux_Totales!$A:$A,#REF!), 0))</f>
        <v/>
      </c>
      <c r="EKL224" s="19" t="str">
        <f>IF(EKL220 = "", "", IFERROR(EKL220 / SUMIFS(Aux_Totales!$N:$N, Aux_Totales!$F:$F, $F224, Aux_Totales!$A:$A,#REF!), 0))</f>
        <v/>
      </c>
      <c r="EKM224" s="19" t="str">
        <f>IF(EKM220 = "", "", IFERROR(EKM220 / SUMIFS(Aux_Totales!$N:$N, Aux_Totales!$F:$F, $F224, Aux_Totales!$A:$A,#REF!), 0))</f>
        <v/>
      </c>
      <c r="EKN224" s="19" t="str">
        <f>IF(EKN220 = "", "", IFERROR(EKN220 / SUMIFS(Aux_Totales!$N:$N, Aux_Totales!$F:$F, $F224, Aux_Totales!$A:$A,#REF!), 0))</f>
        <v/>
      </c>
      <c r="EKO224" s="19" t="str">
        <f>IF(EKO220 = "", "", IFERROR(EKO220 / SUMIFS(Aux_Totales!$N:$N, Aux_Totales!$F:$F, $F224, Aux_Totales!$A:$A,#REF!), 0))</f>
        <v/>
      </c>
      <c r="EKP224" s="19" t="str">
        <f>IF(EKP220 = "", "", IFERROR(EKP220 / SUMIFS(Aux_Totales!$N:$N, Aux_Totales!$F:$F, $F224, Aux_Totales!$A:$A,#REF!), 0))</f>
        <v/>
      </c>
      <c r="EKQ224" s="19" t="str">
        <f>IF(EKQ220 = "", "", IFERROR(EKQ220 / SUMIFS(Aux_Totales!$N:$N, Aux_Totales!$F:$F, $F224, Aux_Totales!$A:$A,#REF!), 0))</f>
        <v/>
      </c>
      <c r="EKR224" s="19" t="str">
        <f>IF(EKR220 = "", "", IFERROR(EKR220 / SUMIFS(Aux_Totales!$N:$N, Aux_Totales!$F:$F, $F224, Aux_Totales!$A:$A,#REF!), 0))</f>
        <v/>
      </c>
      <c r="EKS224" s="19" t="str">
        <f>IF(EKS220 = "", "", IFERROR(EKS220 / SUMIFS(Aux_Totales!$N:$N, Aux_Totales!$F:$F, $F224, Aux_Totales!$A:$A,#REF!), 0))</f>
        <v/>
      </c>
      <c r="EKT224" s="19" t="str">
        <f>IF(EKT220 = "", "", IFERROR(EKT220 / SUMIFS(Aux_Totales!$N:$N, Aux_Totales!$F:$F, $F224, Aux_Totales!$A:$A,#REF!), 0))</f>
        <v/>
      </c>
      <c r="EKU224" s="19" t="str">
        <f>IF(EKU220 = "", "", IFERROR(EKU220 / SUMIFS(Aux_Totales!$N:$N, Aux_Totales!$F:$F, $F224, Aux_Totales!$A:$A,#REF!), 0))</f>
        <v/>
      </c>
      <c r="EKV224" s="19" t="str">
        <f>IF(EKV220 = "", "", IFERROR(EKV220 / SUMIFS(Aux_Totales!$N:$N, Aux_Totales!$F:$F, $F224, Aux_Totales!$A:$A,#REF!), 0))</f>
        <v/>
      </c>
      <c r="EKW224" s="19" t="str">
        <f>IF(EKW220 = "", "", IFERROR(EKW220 / SUMIFS(Aux_Totales!$N:$N, Aux_Totales!$F:$F, $F224, Aux_Totales!$A:$A,#REF!), 0))</f>
        <v/>
      </c>
      <c r="EKX224" s="19" t="str">
        <f>IF(EKX220 = "", "", IFERROR(EKX220 / SUMIFS(Aux_Totales!$N:$N, Aux_Totales!$F:$F, $F224, Aux_Totales!$A:$A,#REF!), 0))</f>
        <v/>
      </c>
      <c r="EKY224" s="19" t="str">
        <f>IF(EKY220 = "", "", IFERROR(EKY220 / SUMIFS(Aux_Totales!$N:$N, Aux_Totales!$F:$F, $F224, Aux_Totales!$A:$A,#REF!), 0))</f>
        <v/>
      </c>
      <c r="EKZ224" s="19" t="str">
        <f>IF(EKZ220 = "", "", IFERROR(EKZ220 / SUMIFS(Aux_Totales!$N:$N, Aux_Totales!$F:$F, $F224, Aux_Totales!$A:$A,#REF!), 0))</f>
        <v/>
      </c>
      <c r="ELA224" s="19" t="str">
        <f>IF(ELA220 = "", "", IFERROR(ELA220 / SUMIFS(Aux_Totales!$N:$N, Aux_Totales!$F:$F, $F224, Aux_Totales!$A:$A,#REF!), 0))</f>
        <v/>
      </c>
      <c r="ELB224" s="19" t="str">
        <f>IF(ELB220 = "", "", IFERROR(ELB220 / SUMIFS(Aux_Totales!$N:$N, Aux_Totales!$F:$F, $F224, Aux_Totales!$A:$A,#REF!), 0))</f>
        <v/>
      </c>
      <c r="ELC224" s="19" t="str">
        <f>IF(ELC220 = "", "", IFERROR(ELC220 / SUMIFS(Aux_Totales!$N:$N, Aux_Totales!$F:$F, $F224, Aux_Totales!$A:$A,#REF!), 0))</f>
        <v/>
      </c>
      <c r="ELD224" s="19" t="str">
        <f>IF(ELD220 = "", "", IFERROR(ELD220 / SUMIFS(Aux_Totales!$N:$N, Aux_Totales!$F:$F, $F224, Aux_Totales!$A:$A,#REF!), 0))</f>
        <v/>
      </c>
      <c r="ELE224" s="19" t="str">
        <f>IF(ELE220 = "", "", IFERROR(ELE220 / SUMIFS(Aux_Totales!$N:$N, Aux_Totales!$F:$F, $F224, Aux_Totales!$A:$A,#REF!), 0))</f>
        <v/>
      </c>
      <c r="ELF224" s="19" t="str">
        <f>IF(ELF220 = "", "", IFERROR(ELF220 / SUMIFS(Aux_Totales!$N:$N, Aux_Totales!$F:$F, $F224, Aux_Totales!$A:$A,#REF!), 0))</f>
        <v/>
      </c>
      <c r="ELG224" s="19" t="str">
        <f>IF(ELG220 = "", "", IFERROR(ELG220 / SUMIFS(Aux_Totales!$N:$N, Aux_Totales!$F:$F, $F224, Aux_Totales!$A:$A,#REF!), 0))</f>
        <v/>
      </c>
      <c r="ELH224" s="19" t="str">
        <f>IF(ELH220 = "", "", IFERROR(ELH220 / SUMIFS(Aux_Totales!$N:$N, Aux_Totales!$F:$F, $F224, Aux_Totales!$A:$A,#REF!), 0))</f>
        <v/>
      </c>
      <c r="ELI224" s="19" t="str">
        <f>IF(ELI220 = "", "", IFERROR(ELI220 / SUMIFS(Aux_Totales!$N:$N, Aux_Totales!$F:$F, $F224, Aux_Totales!$A:$A,#REF!), 0))</f>
        <v/>
      </c>
      <c r="ELJ224" s="19" t="str">
        <f>IF(ELJ220 = "", "", IFERROR(ELJ220 / SUMIFS(Aux_Totales!$N:$N, Aux_Totales!$F:$F, $F224, Aux_Totales!$A:$A,#REF!), 0))</f>
        <v/>
      </c>
      <c r="ELK224" s="19" t="str">
        <f>IF(ELK220 = "", "", IFERROR(ELK220 / SUMIFS(Aux_Totales!$N:$N, Aux_Totales!$F:$F, $F224, Aux_Totales!$A:$A,#REF!), 0))</f>
        <v/>
      </c>
      <c r="ELL224" s="19" t="str">
        <f>IF(ELL220 = "", "", IFERROR(ELL220 / SUMIFS(Aux_Totales!$N:$N, Aux_Totales!$F:$F, $F224, Aux_Totales!$A:$A,#REF!), 0))</f>
        <v/>
      </c>
      <c r="ELM224" s="19" t="str">
        <f>IF(ELM220 = "", "", IFERROR(ELM220 / SUMIFS(Aux_Totales!$N:$N, Aux_Totales!$F:$F, $F224, Aux_Totales!$A:$A,#REF!), 0))</f>
        <v/>
      </c>
      <c r="ELN224" s="19" t="str">
        <f>IF(ELN220 = "", "", IFERROR(ELN220 / SUMIFS(Aux_Totales!$N:$N, Aux_Totales!$F:$F, $F224, Aux_Totales!$A:$A,#REF!), 0))</f>
        <v/>
      </c>
      <c r="ELO224" s="19" t="str">
        <f>IF(ELO220 = "", "", IFERROR(ELO220 / SUMIFS(Aux_Totales!$N:$N, Aux_Totales!$F:$F, $F224, Aux_Totales!$A:$A,#REF!), 0))</f>
        <v/>
      </c>
      <c r="ELP224" s="19" t="str">
        <f>IF(ELP220 = "", "", IFERROR(ELP220 / SUMIFS(Aux_Totales!$N:$N, Aux_Totales!$F:$F, $F224, Aux_Totales!$A:$A,#REF!), 0))</f>
        <v/>
      </c>
      <c r="ELQ224" s="19" t="str">
        <f>IF(ELQ220 = "", "", IFERROR(ELQ220 / SUMIFS(Aux_Totales!$N:$N, Aux_Totales!$F:$F, $F224, Aux_Totales!$A:$A,#REF!), 0))</f>
        <v/>
      </c>
      <c r="ELR224" s="19" t="str">
        <f>IF(ELR220 = "", "", IFERROR(ELR220 / SUMIFS(Aux_Totales!$N:$N, Aux_Totales!$F:$F, $F224, Aux_Totales!$A:$A,#REF!), 0))</f>
        <v/>
      </c>
      <c r="ELS224" s="19" t="str">
        <f>IF(ELS220 = "", "", IFERROR(ELS220 / SUMIFS(Aux_Totales!$N:$N, Aux_Totales!$F:$F, $F224, Aux_Totales!$A:$A,#REF!), 0))</f>
        <v/>
      </c>
      <c r="ELT224" s="19" t="str">
        <f>IF(ELT220 = "", "", IFERROR(ELT220 / SUMIFS(Aux_Totales!$N:$N, Aux_Totales!$F:$F, $F224, Aux_Totales!$A:$A,#REF!), 0))</f>
        <v/>
      </c>
      <c r="ELU224" s="19" t="str">
        <f>IF(ELU220 = "", "", IFERROR(ELU220 / SUMIFS(Aux_Totales!$N:$N, Aux_Totales!$F:$F, $F224, Aux_Totales!$A:$A,#REF!), 0))</f>
        <v/>
      </c>
      <c r="ELV224" s="19" t="str">
        <f>IF(ELV220 = "", "", IFERROR(ELV220 / SUMIFS(Aux_Totales!$N:$N, Aux_Totales!$F:$F, $F224, Aux_Totales!$A:$A,#REF!), 0))</f>
        <v/>
      </c>
      <c r="ELW224" s="19" t="str">
        <f>IF(ELW220 = "", "", IFERROR(ELW220 / SUMIFS(Aux_Totales!$N:$N, Aux_Totales!$F:$F, $F224, Aux_Totales!$A:$A,#REF!), 0))</f>
        <v/>
      </c>
      <c r="ELX224" s="19" t="str">
        <f>IF(ELX220 = "", "", IFERROR(ELX220 / SUMIFS(Aux_Totales!$N:$N, Aux_Totales!$F:$F, $F224, Aux_Totales!$A:$A,#REF!), 0))</f>
        <v/>
      </c>
      <c r="ELY224" s="19" t="str">
        <f>IF(ELY220 = "", "", IFERROR(ELY220 / SUMIFS(Aux_Totales!$N:$N, Aux_Totales!$F:$F, $F224, Aux_Totales!$A:$A,#REF!), 0))</f>
        <v/>
      </c>
      <c r="ELZ224" s="19" t="str">
        <f>IF(ELZ220 = "", "", IFERROR(ELZ220 / SUMIFS(Aux_Totales!$N:$N, Aux_Totales!$F:$F, $F224, Aux_Totales!$A:$A,#REF!), 0))</f>
        <v/>
      </c>
      <c r="EMA224" s="19" t="str">
        <f>IF(EMA220 = "", "", IFERROR(EMA220 / SUMIFS(Aux_Totales!$N:$N, Aux_Totales!$F:$F, $F224, Aux_Totales!$A:$A,#REF!), 0))</f>
        <v/>
      </c>
      <c r="EMB224" s="19" t="str">
        <f>IF(EMB220 = "", "", IFERROR(EMB220 / SUMIFS(Aux_Totales!$N:$N, Aux_Totales!$F:$F, $F224, Aux_Totales!$A:$A,#REF!), 0))</f>
        <v/>
      </c>
      <c r="EMC224" s="19" t="str">
        <f>IF(EMC220 = "", "", IFERROR(EMC220 / SUMIFS(Aux_Totales!$N:$N, Aux_Totales!$F:$F, $F224, Aux_Totales!$A:$A,#REF!), 0))</f>
        <v/>
      </c>
      <c r="EMD224" s="19" t="str">
        <f>IF(EMD220 = "", "", IFERROR(EMD220 / SUMIFS(Aux_Totales!$N:$N, Aux_Totales!$F:$F, $F224, Aux_Totales!$A:$A,#REF!), 0))</f>
        <v/>
      </c>
      <c r="EME224" s="19" t="str">
        <f>IF(EME220 = "", "", IFERROR(EME220 / SUMIFS(Aux_Totales!$N:$N, Aux_Totales!$F:$F, $F224, Aux_Totales!$A:$A,#REF!), 0))</f>
        <v/>
      </c>
      <c r="EMF224" s="19" t="str">
        <f>IF(EMF220 = "", "", IFERROR(EMF220 / SUMIFS(Aux_Totales!$N:$N, Aux_Totales!$F:$F, $F224, Aux_Totales!$A:$A,#REF!), 0))</f>
        <v/>
      </c>
      <c r="EMG224" s="19" t="str">
        <f>IF(EMG220 = "", "", IFERROR(EMG220 / SUMIFS(Aux_Totales!$N:$N, Aux_Totales!$F:$F, $F224, Aux_Totales!$A:$A,#REF!), 0))</f>
        <v/>
      </c>
      <c r="EMH224" s="19" t="str">
        <f>IF(EMH220 = "", "", IFERROR(EMH220 / SUMIFS(Aux_Totales!$N:$N, Aux_Totales!$F:$F, $F224, Aux_Totales!$A:$A,#REF!), 0))</f>
        <v/>
      </c>
      <c r="EMI224" s="19" t="str">
        <f>IF(EMI220 = "", "", IFERROR(EMI220 / SUMIFS(Aux_Totales!$N:$N, Aux_Totales!$F:$F, $F224, Aux_Totales!$A:$A,#REF!), 0))</f>
        <v/>
      </c>
      <c r="EMJ224" s="19" t="str">
        <f>IF(EMJ220 = "", "", IFERROR(EMJ220 / SUMIFS(Aux_Totales!$N:$N, Aux_Totales!$F:$F, $F224, Aux_Totales!$A:$A,#REF!), 0))</f>
        <v/>
      </c>
      <c r="EMK224" s="19" t="str">
        <f>IF(EMK220 = "", "", IFERROR(EMK220 / SUMIFS(Aux_Totales!$N:$N, Aux_Totales!$F:$F, $F224, Aux_Totales!$A:$A,#REF!), 0))</f>
        <v/>
      </c>
      <c r="EML224" s="19" t="str">
        <f>IF(EML220 = "", "", IFERROR(EML220 / SUMIFS(Aux_Totales!$N:$N, Aux_Totales!$F:$F, $F224, Aux_Totales!$A:$A,#REF!), 0))</f>
        <v/>
      </c>
      <c r="EMM224" s="19" t="str">
        <f>IF(EMM220 = "", "", IFERROR(EMM220 / SUMIFS(Aux_Totales!$N:$N, Aux_Totales!$F:$F, $F224, Aux_Totales!$A:$A,#REF!), 0))</f>
        <v/>
      </c>
      <c r="EMN224" s="19" t="str">
        <f>IF(EMN220 = "", "", IFERROR(EMN220 / SUMIFS(Aux_Totales!$N:$N, Aux_Totales!$F:$F, $F224, Aux_Totales!$A:$A,#REF!), 0))</f>
        <v/>
      </c>
      <c r="EMO224" s="19" t="str">
        <f>IF(EMO220 = "", "", IFERROR(EMO220 / SUMIFS(Aux_Totales!$N:$N, Aux_Totales!$F:$F, $F224, Aux_Totales!$A:$A,#REF!), 0))</f>
        <v/>
      </c>
      <c r="EMP224" s="19" t="str">
        <f>IF(EMP220 = "", "", IFERROR(EMP220 / SUMIFS(Aux_Totales!$N:$N, Aux_Totales!$F:$F, $F224, Aux_Totales!$A:$A,#REF!), 0))</f>
        <v/>
      </c>
      <c r="EMQ224" s="19" t="str">
        <f>IF(EMQ220 = "", "", IFERROR(EMQ220 / SUMIFS(Aux_Totales!$N:$N, Aux_Totales!$F:$F, $F224, Aux_Totales!$A:$A,#REF!), 0))</f>
        <v/>
      </c>
      <c r="EMR224" s="19" t="str">
        <f>IF(EMR220 = "", "", IFERROR(EMR220 / SUMIFS(Aux_Totales!$N:$N, Aux_Totales!$F:$F, $F224, Aux_Totales!$A:$A,#REF!), 0))</f>
        <v/>
      </c>
      <c r="EMS224" s="19" t="str">
        <f>IF(EMS220 = "", "", IFERROR(EMS220 / SUMIFS(Aux_Totales!$N:$N, Aux_Totales!$F:$F, $F224, Aux_Totales!$A:$A,#REF!), 0))</f>
        <v/>
      </c>
      <c r="EMT224" s="19" t="str">
        <f>IF(EMT220 = "", "", IFERROR(EMT220 / SUMIFS(Aux_Totales!$N:$N, Aux_Totales!$F:$F, $F224, Aux_Totales!$A:$A,#REF!), 0))</f>
        <v/>
      </c>
      <c r="EMU224" s="19" t="str">
        <f>IF(EMU220 = "", "", IFERROR(EMU220 / SUMIFS(Aux_Totales!$N:$N, Aux_Totales!$F:$F, $F224, Aux_Totales!$A:$A,#REF!), 0))</f>
        <v/>
      </c>
      <c r="EMV224" s="19" t="str">
        <f>IF(EMV220 = "", "", IFERROR(EMV220 / SUMIFS(Aux_Totales!$N:$N, Aux_Totales!$F:$F, $F224, Aux_Totales!$A:$A,#REF!), 0))</f>
        <v/>
      </c>
      <c r="EMW224" s="19" t="str">
        <f>IF(EMW220 = "", "", IFERROR(EMW220 / SUMIFS(Aux_Totales!$N:$N, Aux_Totales!$F:$F, $F224, Aux_Totales!$A:$A,#REF!), 0))</f>
        <v/>
      </c>
      <c r="EMX224" s="19" t="str">
        <f>IF(EMX220 = "", "", IFERROR(EMX220 / SUMIFS(Aux_Totales!$N:$N, Aux_Totales!$F:$F, $F224, Aux_Totales!$A:$A,#REF!), 0))</f>
        <v/>
      </c>
      <c r="EMY224" s="19" t="str">
        <f>IF(EMY220 = "", "", IFERROR(EMY220 / SUMIFS(Aux_Totales!$N:$N, Aux_Totales!$F:$F, $F224, Aux_Totales!$A:$A,#REF!), 0))</f>
        <v/>
      </c>
      <c r="EMZ224" s="19" t="str">
        <f>IF(EMZ220 = "", "", IFERROR(EMZ220 / SUMIFS(Aux_Totales!$N:$N, Aux_Totales!$F:$F, $F224, Aux_Totales!$A:$A,#REF!), 0))</f>
        <v/>
      </c>
      <c r="ENA224" s="19" t="str">
        <f>IF(ENA220 = "", "", IFERROR(ENA220 / SUMIFS(Aux_Totales!$N:$N, Aux_Totales!$F:$F, $F224, Aux_Totales!$A:$A,#REF!), 0))</f>
        <v/>
      </c>
      <c r="ENB224" s="19" t="str">
        <f>IF(ENB220 = "", "", IFERROR(ENB220 / SUMIFS(Aux_Totales!$N:$N, Aux_Totales!$F:$F, $F224, Aux_Totales!$A:$A,#REF!), 0))</f>
        <v/>
      </c>
      <c r="ENC224" s="19" t="str">
        <f>IF(ENC220 = "", "", IFERROR(ENC220 / SUMIFS(Aux_Totales!$N:$N, Aux_Totales!$F:$F, $F224, Aux_Totales!$A:$A,#REF!), 0))</f>
        <v/>
      </c>
      <c r="END224" s="19" t="str">
        <f>IF(END220 = "", "", IFERROR(END220 / SUMIFS(Aux_Totales!$N:$N, Aux_Totales!$F:$F, $F224, Aux_Totales!$A:$A,#REF!), 0))</f>
        <v/>
      </c>
      <c r="ENE224" s="19" t="str">
        <f>IF(ENE220 = "", "", IFERROR(ENE220 / SUMIFS(Aux_Totales!$N:$N, Aux_Totales!$F:$F, $F224, Aux_Totales!$A:$A,#REF!), 0))</f>
        <v/>
      </c>
      <c r="ENF224" s="19" t="str">
        <f>IF(ENF220 = "", "", IFERROR(ENF220 / SUMIFS(Aux_Totales!$N:$N, Aux_Totales!$F:$F, $F224, Aux_Totales!$A:$A,#REF!), 0))</f>
        <v/>
      </c>
      <c r="ENG224" s="19" t="str">
        <f>IF(ENG220 = "", "", IFERROR(ENG220 / SUMIFS(Aux_Totales!$N:$N, Aux_Totales!$F:$F, $F224, Aux_Totales!$A:$A,#REF!), 0))</f>
        <v/>
      </c>
      <c r="ENH224" s="19" t="str">
        <f>IF(ENH220 = "", "", IFERROR(ENH220 / SUMIFS(Aux_Totales!$N:$N, Aux_Totales!$F:$F, $F224, Aux_Totales!$A:$A,#REF!), 0))</f>
        <v/>
      </c>
      <c r="ENI224" s="19" t="str">
        <f>IF(ENI220 = "", "", IFERROR(ENI220 / SUMIFS(Aux_Totales!$N:$N, Aux_Totales!$F:$F, $F224, Aux_Totales!$A:$A,#REF!), 0))</f>
        <v/>
      </c>
      <c r="ENJ224" s="19" t="str">
        <f>IF(ENJ220 = "", "", IFERROR(ENJ220 / SUMIFS(Aux_Totales!$N:$N, Aux_Totales!$F:$F, $F224, Aux_Totales!$A:$A,#REF!), 0))</f>
        <v/>
      </c>
      <c r="ENK224" s="19" t="str">
        <f>IF(ENK220 = "", "", IFERROR(ENK220 / SUMIFS(Aux_Totales!$N:$N, Aux_Totales!$F:$F, $F224, Aux_Totales!$A:$A,#REF!), 0))</f>
        <v/>
      </c>
      <c r="ENL224" s="19" t="str">
        <f>IF(ENL220 = "", "", IFERROR(ENL220 / SUMIFS(Aux_Totales!$N:$N, Aux_Totales!$F:$F, $F224, Aux_Totales!$A:$A,#REF!), 0))</f>
        <v/>
      </c>
      <c r="ENM224" s="19" t="str">
        <f>IF(ENM220 = "", "", IFERROR(ENM220 / SUMIFS(Aux_Totales!$N:$N, Aux_Totales!$F:$F, $F224, Aux_Totales!$A:$A,#REF!), 0))</f>
        <v/>
      </c>
      <c r="ENN224" s="19" t="str">
        <f>IF(ENN220 = "", "", IFERROR(ENN220 / SUMIFS(Aux_Totales!$N:$N, Aux_Totales!$F:$F, $F224, Aux_Totales!$A:$A,#REF!), 0))</f>
        <v/>
      </c>
      <c r="ENO224" s="19" t="str">
        <f>IF(ENO220 = "", "", IFERROR(ENO220 / SUMIFS(Aux_Totales!$N:$N, Aux_Totales!$F:$F, $F224, Aux_Totales!$A:$A,#REF!), 0))</f>
        <v/>
      </c>
      <c r="ENP224" s="19" t="str">
        <f>IF(ENP220 = "", "", IFERROR(ENP220 / SUMIFS(Aux_Totales!$N:$N, Aux_Totales!$F:$F, $F224, Aux_Totales!$A:$A,#REF!), 0))</f>
        <v/>
      </c>
      <c r="ENQ224" s="19" t="str">
        <f>IF(ENQ220 = "", "", IFERROR(ENQ220 / SUMIFS(Aux_Totales!$N:$N, Aux_Totales!$F:$F, $F224, Aux_Totales!$A:$A,#REF!), 0))</f>
        <v/>
      </c>
      <c r="ENR224" s="19" t="str">
        <f>IF(ENR220 = "", "", IFERROR(ENR220 / SUMIFS(Aux_Totales!$N:$N, Aux_Totales!$F:$F, $F224, Aux_Totales!$A:$A,#REF!), 0))</f>
        <v/>
      </c>
      <c r="ENS224" s="19" t="str">
        <f>IF(ENS220 = "", "", IFERROR(ENS220 / SUMIFS(Aux_Totales!$N:$N, Aux_Totales!$F:$F, $F224, Aux_Totales!$A:$A,#REF!), 0))</f>
        <v/>
      </c>
      <c r="ENT224" s="19" t="str">
        <f>IF(ENT220 = "", "", IFERROR(ENT220 / SUMIFS(Aux_Totales!$N:$N, Aux_Totales!$F:$F, $F224, Aux_Totales!$A:$A,#REF!), 0))</f>
        <v/>
      </c>
      <c r="ENU224" s="19" t="str">
        <f>IF(ENU220 = "", "", IFERROR(ENU220 / SUMIFS(Aux_Totales!$N:$N, Aux_Totales!$F:$F, $F224, Aux_Totales!$A:$A,#REF!), 0))</f>
        <v/>
      </c>
      <c r="ENV224" s="19" t="str">
        <f>IF(ENV220 = "", "", IFERROR(ENV220 / SUMIFS(Aux_Totales!$N:$N, Aux_Totales!$F:$F, $F224, Aux_Totales!$A:$A,#REF!), 0))</f>
        <v/>
      </c>
      <c r="ENW224" s="19" t="str">
        <f>IF(ENW220 = "", "", IFERROR(ENW220 / SUMIFS(Aux_Totales!$N:$N, Aux_Totales!$F:$F, $F224, Aux_Totales!$A:$A,#REF!), 0))</f>
        <v/>
      </c>
      <c r="ENX224" s="19" t="str">
        <f>IF(ENX220 = "", "", IFERROR(ENX220 / SUMIFS(Aux_Totales!$N:$N, Aux_Totales!$F:$F, $F224, Aux_Totales!$A:$A,#REF!), 0))</f>
        <v/>
      </c>
      <c r="ENY224" s="19" t="str">
        <f>IF(ENY220 = "", "", IFERROR(ENY220 / SUMIFS(Aux_Totales!$N:$N, Aux_Totales!$F:$F, $F224, Aux_Totales!$A:$A,#REF!), 0))</f>
        <v/>
      </c>
      <c r="ENZ224" s="19" t="str">
        <f>IF(ENZ220 = "", "", IFERROR(ENZ220 / SUMIFS(Aux_Totales!$N:$N, Aux_Totales!$F:$F, $F224, Aux_Totales!$A:$A,#REF!), 0))</f>
        <v/>
      </c>
      <c r="EOA224" s="19" t="str">
        <f>IF(EOA220 = "", "", IFERROR(EOA220 / SUMIFS(Aux_Totales!$N:$N, Aux_Totales!$F:$F, $F224, Aux_Totales!$A:$A,#REF!), 0))</f>
        <v/>
      </c>
      <c r="EOB224" s="19" t="str">
        <f>IF(EOB220 = "", "", IFERROR(EOB220 / SUMIFS(Aux_Totales!$N:$N, Aux_Totales!$F:$F, $F224, Aux_Totales!$A:$A,#REF!), 0))</f>
        <v/>
      </c>
      <c r="EOC224" s="19" t="str">
        <f>IF(EOC220 = "", "", IFERROR(EOC220 / SUMIFS(Aux_Totales!$N:$N, Aux_Totales!$F:$F, $F224, Aux_Totales!$A:$A,#REF!), 0))</f>
        <v/>
      </c>
      <c r="EOD224" s="19" t="str">
        <f>IF(EOD220 = "", "", IFERROR(EOD220 / SUMIFS(Aux_Totales!$N:$N, Aux_Totales!$F:$F, $F224, Aux_Totales!$A:$A,#REF!), 0))</f>
        <v/>
      </c>
      <c r="EOE224" s="19" t="str">
        <f>IF(EOE220 = "", "", IFERROR(EOE220 / SUMIFS(Aux_Totales!$N:$N, Aux_Totales!$F:$F, $F224, Aux_Totales!$A:$A,#REF!), 0))</f>
        <v/>
      </c>
      <c r="EOF224" s="19" t="str">
        <f>IF(EOF220 = "", "", IFERROR(EOF220 / SUMIFS(Aux_Totales!$N:$N, Aux_Totales!$F:$F, $F224, Aux_Totales!$A:$A,#REF!), 0))</f>
        <v/>
      </c>
      <c r="EOG224" s="19" t="str">
        <f>IF(EOG220 = "", "", IFERROR(EOG220 / SUMIFS(Aux_Totales!$N:$N, Aux_Totales!$F:$F, $F224, Aux_Totales!$A:$A,#REF!), 0))</f>
        <v/>
      </c>
      <c r="EOH224" s="19" t="str">
        <f>IF(EOH220 = "", "", IFERROR(EOH220 / SUMIFS(Aux_Totales!$N:$N, Aux_Totales!$F:$F, $F224, Aux_Totales!$A:$A,#REF!), 0))</f>
        <v/>
      </c>
      <c r="EOI224" s="19" t="str">
        <f>IF(EOI220 = "", "", IFERROR(EOI220 / SUMIFS(Aux_Totales!$N:$N, Aux_Totales!$F:$F, $F224, Aux_Totales!$A:$A,#REF!), 0))</f>
        <v/>
      </c>
      <c r="EOJ224" s="19" t="str">
        <f>IF(EOJ220 = "", "", IFERROR(EOJ220 / SUMIFS(Aux_Totales!$N:$N, Aux_Totales!$F:$F, $F224, Aux_Totales!$A:$A,#REF!), 0))</f>
        <v/>
      </c>
      <c r="EOK224" s="19" t="str">
        <f>IF(EOK220 = "", "", IFERROR(EOK220 / SUMIFS(Aux_Totales!$N:$N, Aux_Totales!$F:$F, $F224, Aux_Totales!$A:$A,#REF!), 0))</f>
        <v/>
      </c>
      <c r="EOL224" s="19" t="str">
        <f>IF(EOL220 = "", "", IFERROR(EOL220 / SUMIFS(Aux_Totales!$N:$N, Aux_Totales!$F:$F, $F224, Aux_Totales!$A:$A,#REF!), 0))</f>
        <v/>
      </c>
      <c r="EOM224" s="19" t="str">
        <f>IF(EOM220 = "", "", IFERROR(EOM220 / SUMIFS(Aux_Totales!$N:$N, Aux_Totales!$F:$F, $F224, Aux_Totales!$A:$A,#REF!), 0))</f>
        <v/>
      </c>
      <c r="EON224" s="19" t="str">
        <f>IF(EON220 = "", "", IFERROR(EON220 / SUMIFS(Aux_Totales!$N:$N, Aux_Totales!$F:$F, $F224, Aux_Totales!$A:$A,#REF!), 0))</f>
        <v/>
      </c>
      <c r="EOO224" s="19" t="str">
        <f>IF(EOO220 = "", "", IFERROR(EOO220 / SUMIFS(Aux_Totales!$N:$N, Aux_Totales!$F:$F, $F224, Aux_Totales!$A:$A,#REF!), 0))</f>
        <v/>
      </c>
      <c r="EOP224" s="19" t="str">
        <f>IF(EOP220 = "", "", IFERROR(EOP220 / SUMIFS(Aux_Totales!$N:$N, Aux_Totales!$F:$F, $F224, Aux_Totales!$A:$A,#REF!), 0))</f>
        <v/>
      </c>
      <c r="EOQ224" s="19" t="str">
        <f>IF(EOQ220 = "", "", IFERROR(EOQ220 / SUMIFS(Aux_Totales!$N:$N, Aux_Totales!$F:$F, $F224, Aux_Totales!$A:$A,#REF!), 0))</f>
        <v/>
      </c>
      <c r="EOR224" s="19" t="str">
        <f>IF(EOR220 = "", "", IFERROR(EOR220 / SUMIFS(Aux_Totales!$N:$N, Aux_Totales!$F:$F, $F224, Aux_Totales!$A:$A,#REF!), 0))</f>
        <v/>
      </c>
      <c r="EOS224" s="19" t="str">
        <f>IF(EOS220 = "", "", IFERROR(EOS220 / SUMIFS(Aux_Totales!$N:$N, Aux_Totales!$F:$F, $F224, Aux_Totales!$A:$A,#REF!), 0))</f>
        <v/>
      </c>
      <c r="EOT224" s="19" t="str">
        <f>IF(EOT220 = "", "", IFERROR(EOT220 / SUMIFS(Aux_Totales!$N:$N, Aux_Totales!$F:$F, $F224, Aux_Totales!$A:$A,#REF!), 0))</f>
        <v/>
      </c>
      <c r="EOU224" s="19" t="str">
        <f>IF(EOU220 = "", "", IFERROR(EOU220 / SUMIFS(Aux_Totales!$N:$N, Aux_Totales!$F:$F, $F224, Aux_Totales!$A:$A,#REF!), 0))</f>
        <v/>
      </c>
      <c r="EOV224" s="19" t="str">
        <f>IF(EOV220 = "", "", IFERROR(EOV220 / SUMIFS(Aux_Totales!$N:$N, Aux_Totales!$F:$F, $F224, Aux_Totales!$A:$A,#REF!), 0))</f>
        <v/>
      </c>
      <c r="EOW224" s="19" t="str">
        <f>IF(EOW220 = "", "", IFERROR(EOW220 / SUMIFS(Aux_Totales!$N:$N, Aux_Totales!$F:$F, $F224, Aux_Totales!$A:$A,#REF!), 0))</f>
        <v/>
      </c>
      <c r="EOX224" s="19" t="str">
        <f>IF(EOX220 = "", "", IFERROR(EOX220 / SUMIFS(Aux_Totales!$N:$N, Aux_Totales!$F:$F, $F224, Aux_Totales!$A:$A,#REF!), 0))</f>
        <v/>
      </c>
      <c r="EOY224" s="19" t="str">
        <f>IF(EOY220 = "", "", IFERROR(EOY220 / SUMIFS(Aux_Totales!$N:$N, Aux_Totales!$F:$F, $F224, Aux_Totales!$A:$A,#REF!), 0))</f>
        <v/>
      </c>
      <c r="EOZ224" s="19" t="str">
        <f>IF(EOZ220 = "", "", IFERROR(EOZ220 / SUMIFS(Aux_Totales!$N:$N, Aux_Totales!$F:$F, $F224, Aux_Totales!$A:$A,#REF!), 0))</f>
        <v/>
      </c>
      <c r="EPA224" s="19" t="str">
        <f>IF(EPA220 = "", "", IFERROR(EPA220 / SUMIFS(Aux_Totales!$N:$N, Aux_Totales!$F:$F, $F224, Aux_Totales!$A:$A,#REF!), 0))</f>
        <v/>
      </c>
      <c r="EPB224" s="19" t="str">
        <f>IF(EPB220 = "", "", IFERROR(EPB220 / SUMIFS(Aux_Totales!$N:$N, Aux_Totales!$F:$F, $F224, Aux_Totales!$A:$A,#REF!), 0))</f>
        <v/>
      </c>
      <c r="EPC224" s="19" t="str">
        <f>IF(EPC220 = "", "", IFERROR(EPC220 / SUMIFS(Aux_Totales!$N:$N, Aux_Totales!$F:$F, $F224, Aux_Totales!$A:$A,#REF!), 0))</f>
        <v/>
      </c>
      <c r="EPD224" s="19" t="str">
        <f>IF(EPD220 = "", "", IFERROR(EPD220 / SUMIFS(Aux_Totales!$N:$N, Aux_Totales!$F:$F, $F224, Aux_Totales!$A:$A,#REF!), 0))</f>
        <v/>
      </c>
      <c r="EPE224" s="19" t="str">
        <f>IF(EPE220 = "", "", IFERROR(EPE220 / SUMIFS(Aux_Totales!$N:$N, Aux_Totales!$F:$F, $F224, Aux_Totales!$A:$A,#REF!), 0))</f>
        <v/>
      </c>
      <c r="EPF224" s="19" t="str">
        <f>IF(EPF220 = "", "", IFERROR(EPF220 / SUMIFS(Aux_Totales!$N:$N, Aux_Totales!$F:$F, $F224, Aux_Totales!$A:$A,#REF!), 0))</f>
        <v/>
      </c>
      <c r="EPG224" s="19" t="str">
        <f>IF(EPG220 = "", "", IFERROR(EPG220 / SUMIFS(Aux_Totales!$N:$N, Aux_Totales!$F:$F, $F224, Aux_Totales!$A:$A,#REF!), 0))</f>
        <v/>
      </c>
      <c r="EPH224" s="19" t="str">
        <f>IF(EPH220 = "", "", IFERROR(EPH220 / SUMIFS(Aux_Totales!$N:$N, Aux_Totales!$F:$F, $F224, Aux_Totales!$A:$A,#REF!), 0))</f>
        <v/>
      </c>
      <c r="EPI224" s="19" t="str">
        <f>IF(EPI220 = "", "", IFERROR(EPI220 / SUMIFS(Aux_Totales!$N:$N, Aux_Totales!$F:$F, $F224, Aux_Totales!$A:$A,#REF!), 0))</f>
        <v/>
      </c>
      <c r="EPJ224" s="19" t="str">
        <f>IF(EPJ220 = "", "", IFERROR(EPJ220 / SUMIFS(Aux_Totales!$N:$N, Aux_Totales!$F:$F, $F224, Aux_Totales!$A:$A,#REF!), 0))</f>
        <v/>
      </c>
      <c r="EPK224" s="19" t="str">
        <f>IF(EPK220 = "", "", IFERROR(EPK220 / SUMIFS(Aux_Totales!$N:$N, Aux_Totales!$F:$F, $F224, Aux_Totales!$A:$A,#REF!), 0))</f>
        <v/>
      </c>
      <c r="EPL224" s="19" t="str">
        <f>IF(EPL220 = "", "", IFERROR(EPL220 / SUMIFS(Aux_Totales!$N:$N, Aux_Totales!$F:$F, $F224, Aux_Totales!$A:$A,#REF!), 0))</f>
        <v/>
      </c>
      <c r="EPM224" s="19" t="str">
        <f>IF(EPM220 = "", "", IFERROR(EPM220 / SUMIFS(Aux_Totales!$N:$N, Aux_Totales!$F:$F, $F224, Aux_Totales!$A:$A,#REF!), 0))</f>
        <v/>
      </c>
      <c r="EPN224" s="19" t="str">
        <f>IF(EPN220 = "", "", IFERROR(EPN220 / SUMIFS(Aux_Totales!$N:$N, Aux_Totales!$F:$F, $F224, Aux_Totales!$A:$A,#REF!), 0))</f>
        <v/>
      </c>
      <c r="EPO224" s="19" t="str">
        <f>IF(EPO220 = "", "", IFERROR(EPO220 / SUMIFS(Aux_Totales!$N:$N, Aux_Totales!$F:$F, $F224, Aux_Totales!$A:$A,#REF!), 0))</f>
        <v/>
      </c>
      <c r="EPP224" s="19" t="str">
        <f>IF(EPP220 = "", "", IFERROR(EPP220 / SUMIFS(Aux_Totales!$N:$N, Aux_Totales!$F:$F, $F224, Aux_Totales!$A:$A,#REF!), 0))</f>
        <v/>
      </c>
      <c r="EPQ224" s="19" t="str">
        <f>IF(EPQ220 = "", "", IFERROR(EPQ220 / SUMIFS(Aux_Totales!$N:$N, Aux_Totales!$F:$F, $F224, Aux_Totales!$A:$A,#REF!), 0))</f>
        <v/>
      </c>
      <c r="EPR224" s="19" t="str">
        <f>IF(EPR220 = "", "", IFERROR(EPR220 / SUMIFS(Aux_Totales!$N:$N, Aux_Totales!$F:$F, $F224, Aux_Totales!$A:$A,#REF!), 0))</f>
        <v/>
      </c>
      <c r="EPS224" s="19" t="str">
        <f>IF(EPS220 = "", "", IFERROR(EPS220 / SUMIFS(Aux_Totales!$N:$N, Aux_Totales!$F:$F, $F224, Aux_Totales!$A:$A,#REF!), 0))</f>
        <v/>
      </c>
      <c r="EPT224" s="19" t="str">
        <f>IF(EPT220 = "", "", IFERROR(EPT220 / SUMIFS(Aux_Totales!$N:$N, Aux_Totales!$F:$F, $F224, Aux_Totales!$A:$A,#REF!), 0))</f>
        <v/>
      </c>
      <c r="EPU224" s="19" t="str">
        <f>IF(EPU220 = "", "", IFERROR(EPU220 / SUMIFS(Aux_Totales!$N:$N, Aux_Totales!$F:$F, $F224, Aux_Totales!$A:$A,#REF!), 0))</f>
        <v/>
      </c>
      <c r="EPV224" s="19" t="str">
        <f>IF(EPV220 = "", "", IFERROR(EPV220 / SUMIFS(Aux_Totales!$N:$N, Aux_Totales!$F:$F, $F224, Aux_Totales!$A:$A,#REF!), 0))</f>
        <v/>
      </c>
      <c r="EPW224" s="19" t="str">
        <f>IF(EPW220 = "", "", IFERROR(EPW220 / SUMIFS(Aux_Totales!$N:$N, Aux_Totales!$F:$F, $F224, Aux_Totales!$A:$A,#REF!), 0))</f>
        <v/>
      </c>
      <c r="EPX224" s="19" t="str">
        <f>IF(EPX220 = "", "", IFERROR(EPX220 / SUMIFS(Aux_Totales!$N:$N, Aux_Totales!$F:$F, $F224, Aux_Totales!$A:$A,#REF!), 0))</f>
        <v/>
      </c>
      <c r="EPY224" s="19" t="str">
        <f>IF(EPY220 = "", "", IFERROR(EPY220 / SUMIFS(Aux_Totales!$N:$N, Aux_Totales!$F:$F, $F224, Aux_Totales!$A:$A,#REF!), 0))</f>
        <v/>
      </c>
      <c r="EPZ224" s="19" t="str">
        <f>IF(EPZ220 = "", "", IFERROR(EPZ220 / SUMIFS(Aux_Totales!$N:$N, Aux_Totales!$F:$F, $F224, Aux_Totales!$A:$A,#REF!), 0))</f>
        <v/>
      </c>
      <c r="EQA224" s="19" t="str">
        <f>IF(EQA220 = "", "", IFERROR(EQA220 / SUMIFS(Aux_Totales!$N:$N, Aux_Totales!$F:$F, $F224, Aux_Totales!$A:$A,#REF!), 0))</f>
        <v/>
      </c>
      <c r="EQB224" s="19" t="str">
        <f>IF(EQB220 = "", "", IFERROR(EQB220 / SUMIFS(Aux_Totales!$N:$N, Aux_Totales!$F:$F, $F224, Aux_Totales!$A:$A,#REF!), 0))</f>
        <v/>
      </c>
      <c r="EQC224" s="19" t="str">
        <f>IF(EQC220 = "", "", IFERROR(EQC220 / SUMIFS(Aux_Totales!$N:$N, Aux_Totales!$F:$F, $F224, Aux_Totales!$A:$A,#REF!), 0))</f>
        <v/>
      </c>
      <c r="EQD224" s="19" t="str">
        <f>IF(EQD220 = "", "", IFERROR(EQD220 / SUMIFS(Aux_Totales!$N:$N, Aux_Totales!$F:$F, $F224, Aux_Totales!$A:$A,#REF!), 0))</f>
        <v/>
      </c>
      <c r="EQE224" s="19" t="str">
        <f>IF(EQE220 = "", "", IFERROR(EQE220 / SUMIFS(Aux_Totales!$N:$N, Aux_Totales!$F:$F, $F224, Aux_Totales!$A:$A,#REF!), 0))</f>
        <v/>
      </c>
      <c r="EQF224" s="19" t="str">
        <f>IF(EQF220 = "", "", IFERROR(EQF220 / SUMIFS(Aux_Totales!$N:$N, Aux_Totales!$F:$F, $F224, Aux_Totales!$A:$A,#REF!), 0))</f>
        <v/>
      </c>
      <c r="EQG224" s="19" t="str">
        <f>IF(EQG220 = "", "", IFERROR(EQG220 / SUMIFS(Aux_Totales!$N:$N, Aux_Totales!$F:$F, $F224, Aux_Totales!$A:$A,#REF!), 0))</f>
        <v/>
      </c>
      <c r="EQH224" s="19" t="str">
        <f>IF(EQH220 = "", "", IFERROR(EQH220 / SUMIFS(Aux_Totales!$N:$N, Aux_Totales!$F:$F, $F224, Aux_Totales!$A:$A,#REF!), 0))</f>
        <v/>
      </c>
      <c r="EQI224" s="19" t="str">
        <f>IF(EQI220 = "", "", IFERROR(EQI220 / SUMIFS(Aux_Totales!$N:$N, Aux_Totales!$F:$F, $F224, Aux_Totales!$A:$A,#REF!), 0))</f>
        <v/>
      </c>
      <c r="EQJ224" s="19" t="str">
        <f>IF(EQJ220 = "", "", IFERROR(EQJ220 / SUMIFS(Aux_Totales!$N:$N, Aux_Totales!$F:$F, $F224, Aux_Totales!$A:$A,#REF!), 0))</f>
        <v/>
      </c>
      <c r="EQK224" s="19" t="str">
        <f>IF(EQK220 = "", "", IFERROR(EQK220 / SUMIFS(Aux_Totales!$N:$N, Aux_Totales!$F:$F, $F224, Aux_Totales!$A:$A,#REF!), 0))</f>
        <v/>
      </c>
      <c r="EQL224" s="19" t="str">
        <f>IF(EQL220 = "", "", IFERROR(EQL220 / SUMIFS(Aux_Totales!$N:$N, Aux_Totales!$F:$F, $F224, Aux_Totales!$A:$A,#REF!), 0))</f>
        <v/>
      </c>
      <c r="EQM224" s="19" t="str">
        <f>IF(EQM220 = "", "", IFERROR(EQM220 / SUMIFS(Aux_Totales!$N:$N, Aux_Totales!$F:$F, $F224, Aux_Totales!$A:$A,#REF!), 0))</f>
        <v/>
      </c>
      <c r="EQN224" s="19" t="str">
        <f>IF(EQN220 = "", "", IFERROR(EQN220 / SUMIFS(Aux_Totales!$N:$N, Aux_Totales!$F:$F, $F224, Aux_Totales!$A:$A,#REF!), 0))</f>
        <v/>
      </c>
      <c r="EQO224" s="19" t="str">
        <f>IF(EQO220 = "", "", IFERROR(EQO220 / SUMIFS(Aux_Totales!$N:$N, Aux_Totales!$F:$F, $F224, Aux_Totales!$A:$A,#REF!), 0))</f>
        <v/>
      </c>
      <c r="EQP224" s="19" t="str">
        <f>IF(EQP220 = "", "", IFERROR(EQP220 / SUMIFS(Aux_Totales!$N:$N, Aux_Totales!$F:$F, $F224, Aux_Totales!$A:$A,#REF!), 0))</f>
        <v/>
      </c>
      <c r="EQQ224" s="19" t="str">
        <f>IF(EQQ220 = "", "", IFERROR(EQQ220 / SUMIFS(Aux_Totales!$N:$N, Aux_Totales!$F:$F, $F224, Aux_Totales!$A:$A,#REF!), 0))</f>
        <v/>
      </c>
      <c r="EQR224" s="19" t="str">
        <f>IF(EQR220 = "", "", IFERROR(EQR220 / SUMIFS(Aux_Totales!$N:$N, Aux_Totales!$F:$F, $F224, Aux_Totales!$A:$A,#REF!), 0))</f>
        <v/>
      </c>
      <c r="EQS224" s="19" t="str">
        <f>IF(EQS220 = "", "", IFERROR(EQS220 / SUMIFS(Aux_Totales!$N:$N, Aux_Totales!$F:$F, $F224, Aux_Totales!$A:$A,#REF!), 0))</f>
        <v/>
      </c>
      <c r="EQT224" s="19" t="str">
        <f>IF(EQT220 = "", "", IFERROR(EQT220 / SUMIFS(Aux_Totales!$N:$N, Aux_Totales!$F:$F, $F224, Aux_Totales!$A:$A,#REF!), 0))</f>
        <v/>
      </c>
      <c r="EQU224" s="19" t="str">
        <f>IF(EQU220 = "", "", IFERROR(EQU220 / SUMIFS(Aux_Totales!$N:$N, Aux_Totales!$F:$F, $F224, Aux_Totales!$A:$A,#REF!), 0))</f>
        <v/>
      </c>
      <c r="EQV224" s="19" t="str">
        <f>IF(EQV220 = "", "", IFERROR(EQV220 / SUMIFS(Aux_Totales!$N:$N, Aux_Totales!$F:$F, $F224, Aux_Totales!$A:$A,#REF!), 0))</f>
        <v/>
      </c>
      <c r="EQW224" s="19" t="str">
        <f>IF(EQW220 = "", "", IFERROR(EQW220 / SUMIFS(Aux_Totales!$N:$N, Aux_Totales!$F:$F, $F224, Aux_Totales!$A:$A,#REF!), 0))</f>
        <v/>
      </c>
      <c r="EQX224" s="19" t="str">
        <f>IF(EQX220 = "", "", IFERROR(EQX220 / SUMIFS(Aux_Totales!$N:$N, Aux_Totales!$F:$F, $F224, Aux_Totales!$A:$A,#REF!), 0))</f>
        <v/>
      </c>
      <c r="EQY224" s="19" t="str">
        <f>IF(EQY220 = "", "", IFERROR(EQY220 / SUMIFS(Aux_Totales!$N:$N, Aux_Totales!$F:$F, $F224, Aux_Totales!$A:$A,#REF!), 0))</f>
        <v/>
      </c>
      <c r="EQZ224" s="19" t="str">
        <f>IF(EQZ220 = "", "", IFERROR(EQZ220 / SUMIFS(Aux_Totales!$N:$N, Aux_Totales!$F:$F, $F224, Aux_Totales!$A:$A,#REF!), 0))</f>
        <v/>
      </c>
      <c r="ERA224" s="19" t="str">
        <f>IF(ERA220 = "", "", IFERROR(ERA220 / SUMIFS(Aux_Totales!$N:$N, Aux_Totales!$F:$F, $F224, Aux_Totales!$A:$A,#REF!), 0))</f>
        <v/>
      </c>
      <c r="ERB224" s="19" t="str">
        <f>IF(ERB220 = "", "", IFERROR(ERB220 / SUMIFS(Aux_Totales!$N:$N, Aux_Totales!$F:$F, $F224, Aux_Totales!$A:$A,#REF!), 0))</f>
        <v/>
      </c>
      <c r="ERC224" s="19" t="str">
        <f>IF(ERC220 = "", "", IFERROR(ERC220 / SUMIFS(Aux_Totales!$N:$N, Aux_Totales!$F:$F, $F224, Aux_Totales!$A:$A,#REF!), 0))</f>
        <v/>
      </c>
      <c r="ERD224" s="19" t="str">
        <f>IF(ERD220 = "", "", IFERROR(ERD220 / SUMIFS(Aux_Totales!$N:$N, Aux_Totales!$F:$F, $F224, Aux_Totales!$A:$A,#REF!), 0))</f>
        <v/>
      </c>
      <c r="ERE224" s="19" t="str">
        <f>IF(ERE220 = "", "", IFERROR(ERE220 / SUMIFS(Aux_Totales!$N:$N, Aux_Totales!$F:$F, $F224, Aux_Totales!$A:$A,#REF!), 0))</f>
        <v/>
      </c>
      <c r="ERF224" s="19" t="str">
        <f>IF(ERF220 = "", "", IFERROR(ERF220 / SUMIFS(Aux_Totales!$N:$N, Aux_Totales!$F:$F, $F224, Aux_Totales!$A:$A,#REF!), 0))</f>
        <v/>
      </c>
      <c r="ERG224" s="19" t="str">
        <f>IF(ERG220 = "", "", IFERROR(ERG220 / SUMIFS(Aux_Totales!$N:$N, Aux_Totales!$F:$F, $F224, Aux_Totales!$A:$A,#REF!), 0))</f>
        <v/>
      </c>
      <c r="ERH224" s="19" t="str">
        <f>IF(ERH220 = "", "", IFERROR(ERH220 / SUMIFS(Aux_Totales!$N:$N, Aux_Totales!$F:$F, $F224, Aux_Totales!$A:$A,#REF!), 0))</f>
        <v/>
      </c>
      <c r="ERI224" s="19" t="str">
        <f>IF(ERI220 = "", "", IFERROR(ERI220 / SUMIFS(Aux_Totales!$N:$N, Aux_Totales!$F:$F, $F224, Aux_Totales!$A:$A,#REF!), 0))</f>
        <v/>
      </c>
      <c r="ERJ224" s="19" t="str">
        <f>IF(ERJ220 = "", "", IFERROR(ERJ220 / SUMIFS(Aux_Totales!$N:$N, Aux_Totales!$F:$F, $F224, Aux_Totales!$A:$A,#REF!), 0))</f>
        <v/>
      </c>
      <c r="ERK224" s="19" t="str">
        <f>IF(ERK220 = "", "", IFERROR(ERK220 / SUMIFS(Aux_Totales!$N:$N, Aux_Totales!$F:$F, $F224, Aux_Totales!$A:$A,#REF!), 0))</f>
        <v/>
      </c>
      <c r="ERL224" s="19" t="str">
        <f>IF(ERL220 = "", "", IFERROR(ERL220 / SUMIFS(Aux_Totales!$N:$N, Aux_Totales!$F:$F, $F224, Aux_Totales!$A:$A,#REF!), 0))</f>
        <v/>
      </c>
      <c r="ERM224" s="19" t="str">
        <f>IF(ERM220 = "", "", IFERROR(ERM220 / SUMIFS(Aux_Totales!$N:$N, Aux_Totales!$F:$F, $F224, Aux_Totales!$A:$A,#REF!), 0))</f>
        <v/>
      </c>
      <c r="ERN224" s="19" t="str">
        <f>IF(ERN220 = "", "", IFERROR(ERN220 / SUMIFS(Aux_Totales!$N:$N, Aux_Totales!$F:$F, $F224, Aux_Totales!$A:$A,#REF!), 0))</f>
        <v/>
      </c>
      <c r="ERO224" s="19" t="str">
        <f>IF(ERO220 = "", "", IFERROR(ERO220 / SUMIFS(Aux_Totales!$N:$N, Aux_Totales!$F:$F, $F224, Aux_Totales!$A:$A,#REF!), 0))</f>
        <v/>
      </c>
      <c r="ERP224" s="19" t="str">
        <f>IF(ERP220 = "", "", IFERROR(ERP220 / SUMIFS(Aux_Totales!$N:$N, Aux_Totales!$F:$F, $F224, Aux_Totales!$A:$A,#REF!), 0))</f>
        <v/>
      </c>
      <c r="ERQ224" s="19" t="str">
        <f>IF(ERQ220 = "", "", IFERROR(ERQ220 / SUMIFS(Aux_Totales!$N:$N, Aux_Totales!$F:$F, $F224, Aux_Totales!$A:$A,#REF!), 0))</f>
        <v/>
      </c>
      <c r="ERR224" s="19" t="str">
        <f>IF(ERR220 = "", "", IFERROR(ERR220 / SUMIFS(Aux_Totales!$N:$N, Aux_Totales!$F:$F, $F224, Aux_Totales!$A:$A,#REF!), 0))</f>
        <v/>
      </c>
      <c r="ERS224" s="19" t="str">
        <f>IF(ERS220 = "", "", IFERROR(ERS220 / SUMIFS(Aux_Totales!$N:$N, Aux_Totales!$F:$F, $F224, Aux_Totales!$A:$A,#REF!), 0))</f>
        <v/>
      </c>
      <c r="ERT224" s="19" t="str">
        <f>IF(ERT220 = "", "", IFERROR(ERT220 / SUMIFS(Aux_Totales!$N:$N, Aux_Totales!$F:$F, $F224, Aux_Totales!$A:$A,#REF!), 0))</f>
        <v/>
      </c>
      <c r="ERU224" s="19" t="str">
        <f>IF(ERU220 = "", "", IFERROR(ERU220 / SUMIFS(Aux_Totales!$N:$N, Aux_Totales!$F:$F, $F224, Aux_Totales!$A:$A,#REF!), 0))</f>
        <v/>
      </c>
      <c r="ERV224" s="19" t="str">
        <f>IF(ERV220 = "", "", IFERROR(ERV220 / SUMIFS(Aux_Totales!$N:$N, Aux_Totales!$F:$F, $F224, Aux_Totales!$A:$A,#REF!), 0))</f>
        <v/>
      </c>
      <c r="ERW224" s="19" t="str">
        <f>IF(ERW220 = "", "", IFERROR(ERW220 / SUMIFS(Aux_Totales!$N:$N, Aux_Totales!$F:$F, $F224, Aux_Totales!$A:$A,#REF!), 0))</f>
        <v/>
      </c>
      <c r="ERX224" s="19" t="str">
        <f>IF(ERX220 = "", "", IFERROR(ERX220 / SUMIFS(Aux_Totales!$N:$N, Aux_Totales!$F:$F, $F224, Aux_Totales!$A:$A,#REF!), 0))</f>
        <v/>
      </c>
      <c r="ERY224" s="19" t="str">
        <f>IF(ERY220 = "", "", IFERROR(ERY220 / SUMIFS(Aux_Totales!$N:$N, Aux_Totales!$F:$F, $F224, Aux_Totales!$A:$A,#REF!), 0))</f>
        <v/>
      </c>
      <c r="ERZ224" s="19" t="str">
        <f>IF(ERZ220 = "", "", IFERROR(ERZ220 / SUMIFS(Aux_Totales!$N:$N, Aux_Totales!$F:$F, $F224, Aux_Totales!$A:$A,#REF!), 0))</f>
        <v/>
      </c>
      <c r="ESA224" s="19" t="str">
        <f>IF(ESA220 = "", "", IFERROR(ESA220 / SUMIFS(Aux_Totales!$N:$N, Aux_Totales!$F:$F, $F224, Aux_Totales!$A:$A,#REF!), 0))</f>
        <v/>
      </c>
      <c r="ESB224" s="19" t="str">
        <f>IF(ESB220 = "", "", IFERROR(ESB220 / SUMIFS(Aux_Totales!$N:$N, Aux_Totales!$F:$F, $F224, Aux_Totales!$A:$A,#REF!), 0))</f>
        <v/>
      </c>
      <c r="ESC224" s="19" t="str">
        <f>IF(ESC220 = "", "", IFERROR(ESC220 / SUMIFS(Aux_Totales!$N:$N, Aux_Totales!$F:$F, $F224, Aux_Totales!$A:$A,#REF!), 0))</f>
        <v/>
      </c>
      <c r="ESD224" s="19" t="str">
        <f>IF(ESD220 = "", "", IFERROR(ESD220 / SUMIFS(Aux_Totales!$N:$N, Aux_Totales!$F:$F, $F224, Aux_Totales!$A:$A,#REF!), 0))</f>
        <v/>
      </c>
      <c r="ESE224" s="19" t="str">
        <f>IF(ESE220 = "", "", IFERROR(ESE220 / SUMIFS(Aux_Totales!$N:$N, Aux_Totales!$F:$F, $F224, Aux_Totales!$A:$A,#REF!), 0))</f>
        <v/>
      </c>
      <c r="ESF224" s="19" t="str">
        <f>IF(ESF220 = "", "", IFERROR(ESF220 / SUMIFS(Aux_Totales!$N:$N, Aux_Totales!$F:$F, $F224, Aux_Totales!$A:$A,#REF!), 0))</f>
        <v/>
      </c>
      <c r="ESG224" s="19" t="str">
        <f>IF(ESG220 = "", "", IFERROR(ESG220 / SUMIFS(Aux_Totales!$N:$N, Aux_Totales!$F:$F, $F224, Aux_Totales!$A:$A,#REF!), 0))</f>
        <v/>
      </c>
      <c r="ESH224" s="19" t="str">
        <f>IF(ESH220 = "", "", IFERROR(ESH220 / SUMIFS(Aux_Totales!$N:$N, Aux_Totales!$F:$F, $F224, Aux_Totales!$A:$A,#REF!), 0))</f>
        <v/>
      </c>
      <c r="ESI224" s="19" t="str">
        <f>IF(ESI220 = "", "", IFERROR(ESI220 / SUMIFS(Aux_Totales!$N:$N, Aux_Totales!$F:$F, $F224, Aux_Totales!$A:$A,#REF!), 0))</f>
        <v/>
      </c>
      <c r="ESJ224" s="19" t="str">
        <f>IF(ESJ220 = "", "", IFERROR(ESJ220 / SUMIFS(Aux_Totales!$N:$N, Aux_Totales!$F:$F, $F224, Aux_Totales!$A:$A,#REF!), 0))</f>
        <v/>
      </c>
      <c r="ESK224" s="19" t="str">
        <f>IF(ESK220 = "", "", IFERROR(ESK220 / SUMIFS(Aux_Totales!$N:$N, Aux_Totales!$F:$F, $F224, Aux_Totales!$A:$A,#REF!), 0))</f>
        <v/>
      </c>
      <c r="ESL224" s="19" t="str">
        <f>IF(ESL220 = "", "", IFERROR(ESL220 / SUMIFS(Aux_Totales!$N:$N, Aux_Totales!$F:$F, $F224, Aux_Totales!$A:$A,#REF!), 0))</f>
        <v/>
      </c>
      <c r="ESM224" s="19" t="str">
        <f>IF(ESM220 = "", "", IFERROR(ESM220 / SUMIFS(Aux_Totales!$N:$N, Aux_Totales!$F:$F, $F224, Aux_Totales!$A:$A,#REF!), 0))</f>
        <v/>
      </c>
      <c r="ESN224" s="19" t="str">
        <f>IF(ESN220 = "", "", IFERROR(ESN220 / SUMIFS(Aux_Totales!$N:$N, Aux_Totales!$F:$F, $F224, Aux_Totales!$A:$A,#REF!), 0))</f>
        <v/>
      </c>
      <c r="ESO224" s="19" t="str">
        <f>IF(ESO220 = "", "", IFERROR(ESO220 / SUMIFS(Aux_Totales!$N:$N, Aux_Totales!$F:$F, $F224, Aux_Totales!$A:$A,#REF!), 0))</f>
        <v/>
      </c>
      <c r="ESP224" s="19" t="str">
        <f>IF(ESP220 = "", "", IFERROR(ESP220 / SUMIFS(Aux_Totales!$N:$N, Aux_Totales!$F:$F, $F224, Aux_Totales!$A:$A,#REF!), 0))</f>
        <v/>
      </c>
      <c r="ESQ224" s="19" t="str">
        <f>IF(ESQ220 = "", "", IFERROR(ESQ220 / SUMIFS(Aux_Totales!$N:$N, Aux_Totales!$F:$F, $F224, Aux_Totales!$A:$A,#REF!), 0))</f>
        <v/>
      </c>
      <c r="ESR224" s="19" t="str">
        <f>IF(ESR220 = "", "", IFERROR(ESR220 / SUMIFS(Aux_Totales!$N:$N, Aux_Totales!$F:$F, $F224, Aux_Totales!$A:$A,#REF!), 0))</f>
        <v/>
      </c>
      <c r="ESS224" s="19" t="str">
        <f>IF(ESS220 = "", "", IFERROR(ESS220 / SUMIFS(Aux_Totales!$N:$N, Aux_Totales!$F:$F, $F224, Aux_Totales!$A:$A,#REF!), 0))</f>
        <v/>
      </c>
      <c r="EST224" s="19" t="str">
        <f>IF(EST220 = "", "", IFERROR(EST220 / SUMIFS(Aux_Totales!$N:$N, Aux_Totales!$F:$F, $F224, Aux_Totales!$A:$A,#REF!), 0))</f>
        <v/>
      </c>
      <c r="ESU224" s="19" t="str">
        <f>IF(ESU220 = "", "", IFERROR(ESU220 / SUMIFS(Aux_Totales!$N:$N, Aux_Totales!$F:$F, $F224, Aux_Totales!$A:$A,#REF!), 0))</f>
        <v/>
      </c>
      <c r="ESV224" s="19" t="str">
        <f>IF(ESV220 = "", "", IFERROR(ESV220 / SUMIFS(Aux_Totales!$N:$N, Aux_Totales!$F:$F, $F224, Aux_Totales!$A:$A,#REF!), 0))</f>
        <v/>
      </c>
      <c r="ESW224" s="19" t="str">
        <f>IF(ESW220 = "", "", IFERROR(ESW220 / SUMIFS(Aux_Totales!$N:$N, Aux_Totales!$F:$F, $F224, Aux_Totales!$A:$A,#REF!), 0))</f>
        <v/>
      </c>
      <c r="ESX224" s="19" t="str">
        <f>IF(ESX220 = "", "", IFERROR(ESX220 / SUMIFS(Aux_Totales!$N:$N, Aux_Totales!$F:$F, $F224, Aux_Totales!$A:$A,#REF!), 0))</f>
        <v/>
      </c>
      <c r="ESY224" s="19" t="str">
        <f>IF(ESY220 = "", "", IFERROR(ESY220 / SUMIFS(Aux_Totales!$N:$N, Aux_Totales!$F:$F, $F224, Aux_Totales!$A:$A,#REF!), 0))</f>
        <v/>
      </c>
      <c r="ESZ224" s="19" t="str">
        <f>IF(ESZ220 = "", "", IFERROR(ESZ220 / SUMIFS(Aux_Totales!$N:$N, Aux_Totales!$F:$F, $F224, Aux_Totales!$A:$A,#REF!), 0))</f>
        <v/>
      </c>
      <c r="ETA224" s="19" t="str">
        <f>IF(ETA220 = "", "", IFERROR(ETA220 / SUMIFS(Aux_Totales!$N:$N, Aux_Totales!$F:$F, $F224, Aux_Totales!$A:$A,#REF!), 0))</f>
        <v/>
      </c>
      <c r="ETB224" s="19" t="str">
        <f>IF(ETB220 = "", "", IFERROR(ETB220 / SUMIFS(Aux_Totales!$N:$N, Aux_Totales!$F:$F, $F224, Aux_Totales!$A:$A,#REF!), 0))</f>
        <v/>
      </c>
      <c r="ETC224" s="19" t="str">
        <f>IF(ETC220 = "", "", IFERROR(ETC220 / SUMIFS(Aux_Totales!$N:$N, Aux_Totales!$F:$F, $F224, Aux_Totales!$A:$A,#REF!), 0))</f>
        <v/>
      </c>
      <c r="ETD224" s="19" t="str">
        <f>IF(ETD220 = "", "", IFERROR(ETD220 / SUMIFS(Aux_Totales!$N:$N, Aux_Totales!$F:$F, $F224, Aux_Totales!$A:$A,#REF!), 0))</f>
        <v/>
      </c>
      <c r="ETE224" s="19" t="str">
        <f>IF(ETE220 = "", "", IFERROR(ETE220 / SUMIFS(Aux_Totales!$N:$N, Aux_Totales!$F:$F, $F224, Aux_Totales!$A:$A,#REF!), 0))</f>
        <v/>
      </c>
      <c r="ETF224" s="19" t="str">
        <f>IF(ETF220 = "", "", IFERROR(ETF220 / SUMIFS(Aux_Totales!$N:$N, Aux_Totales!$F:$F, $F224, Aux_Totales!$A:$A,#REF!), 0))</f>
        <v/>
      </c>
      <c r="ETG224" s="19" t="str">
        <f>IF(ETG220 = "", "", IFERROR(ETG220 / SUMIFS(Aux_Totales!$N:$N, Aux_Totales!$F:$F, $F224, Aux_Totales!$A:$A,#REF!), 0))</f>
        <v/>
      </c>
      <c r="ETH224" s="19" t="str">
        <f>IF(ETH220 = "", "", IFERROR(ETH220 / SUMIFS(Aux_Totales!$N:$N, Aux_Totales!$F:$F, $F224, Aux_Totales!$A:$A,#REF!), 0))</f>
        <v/>
      </c>
      <c r="ETI224" s="19" t="str">
        <f>IF(ETI220 = "", "", IFERROR(ETI220 / SUMIFS(Aux_Totales!$N:$N, Aux_Totales!$F:$F, $F224, Aux_Totales!$A:$A,#REF!), 0))</f>
        <v/>
      </c>
      <c r="ETJ224" s="19" t="str">
        <f>IF(ETJ220 = "", "", IFERROR(ETJ220 / SUMIFS(Aux_Totales!$N:$N, Aux_Totales!$F:$F, $F224, Aux_Totales!$A:$A,#REF!), 0))</f>
        <v/>
      </c>
      <c r="ETK224" s="19" t="str">
        <f>IF(ETK220 = "", "", IFERROR(ETK220 / SUMIFS(Aux_Totales!$N:$N, Aux_Totales!$F:$F, $F224, Aux_Totales!$A:$A,#REF!), 0))</f>
        <v/>
      </c>
      <c r="ETL224" s="19" t="str">
        <f>IF(ETL220 = "", "", IFERROR(ETL220 / SUMIFS(Aux_Totales!$N:$N, Aux_Totales!$F:$F, $F224, Aux_Totales!$A:$A,#REF!), 0))</f>
        <v/>
      </c>
      <c r="ETM224" s="19" t="str">
        <f>IF(ETM220 = "", "", IFERROR(ETM220 / SUMIFS(Aux_Totales!$N:$N, Aux_Totales!$F:$F, $F224, Aux_Totales!$A:$A,#REF!), 0))</f>
        <v/>
      </c>
      <c r="ETN224" s="19" t="str">
        <f>IF(ETN220 = "", "", IFERROR(ETN220 / SUMIFS(Aux_Totales!$N:$N, Aux_Totales!$F:$F, $F224, Aux_Totales!$A:$A,#REF!), 0))</f>
        <v/>
      </c>
      <c r="ETO224" s="19" t="str">
        <f>IF(ETO220 = "", "", IFERROR(ETO220 / SUMIFS(Aux_Totales!$N:$N, Aux_Totales!$F:$F, $F224, Aux_Totales!$A:$A,#REF!), 0))</f>
        <v/>
      </c>
      <c r="ETP224" s="19" t="str">
        <f>IF(ETP220 = "", "", IFERROR(ETP220 / SUMIFS(Aux_Totales!$N:$N, Aux_Totales!$F:$F, $F224, Aux_Totales!$A:$A,#REF!), 0))</f>
        <v/>
      </c>
      <c r="ETQ224" s="19" t="str">
        <f>IF(ETQ220 = "", "", IFERROR(ETQ220 / SUMIFS(Aux_Totales!$N:$N, Aux_Totales!$F:$F, $F224, Aux_Totales!$A:$A,#REF!), 0))</f>
        <v/>
      </c>
      <c r="ETR224" s="19" t="str">
        <f>IF(ETR220 = "", "", IFERROR(ETR220 / SUMIFS(Aux_Totales!$N:$N, Aux_Totales!$F:$F, $F224, Aux_Totales!$A:$A,#REF!), 0))</f>
        <v/>
      </c>
      <c r="ETS224" s="19" t="str">
        <f>IF(ETS220 = "", "", IFERROR(ETS220 / SUMIFS(Aux_Totales!$N:$N, Aux_Totales!$F:$F, $F224, Aux_Totales!$A:$A,#REF!), 0))</f>
        <v/>
      </c>
      <c r="ETT224" s="19" t="str">
        <f>IF(ETT220 = "", "", IFERROR(ETT220 / SUMIFS(Aux_Totales!$N:$N, Aux_Totales!$F:$F, $F224, Aux_Totales!$A:$A,#REF!), 0))</f>
        <v/>
      </c>
      <c r="ETU224" s="19" t="str">
        <f>IF(ETU220 = "", "", IFERROR(ETU220 / SUMIFS(Aux_Totales!$N:$N, Aux_Totales!$F:$F, $F224, Aux_Totales!$A:$A,#REF!), 0))</f>
        <v/>
      </c>
      <c r="ETV224" s="19" t="str">
        <f>IF(ETV220 = "", "", IFERROR(ETV220 / SUMIFS(Aux_Totales!$N:$N, Aux_Totales!$F:$F, $F224, Aux_Totales!$A:$A,#REF!), 0))</f>
        <v/>
      </c>
      <c r="ETW224" s="19" t="str">
        <f>IF(ETW220 = "", "", IFERROR(ETW220 / SUMIFS(Aux_Totales!$N:$N, Aux_Totales!$F:$F, $F224, Aux_Totales!$A:$A,#REF!), 0))</f>
        <v/>
      </c>
      <c r="ETX224" s="19" t="str">
        <f>IF(ETX220 = "", "", IFERROR(ETX220 / SUMIFS(Aux_Totales!$N:$N, Aux_Totales!$F:$F, $F224, Aux_Totales!$A:$A,#REF!), 0))</f>
        <v/>
      </c>
      <c r="ETY224" s="19" t="str">
        <f>IF(ETY220 = "", "", IFERROR(ETY220 / SUMIFS(Aux_Totales!$N:$N, Aux_Totales!$F:$F, $F224, Aux_Totales!$A:$A,#REF!), 0))</f>
        <v/>
      </c>
      <c r="ETZ224" s="19" t="str">
        <f>IF(ETZ220 = "", "", IFERROR(ETZ220 / SUMIFS(Aux_Totales!$N:$N, Aux_Totales!$F:$F, $F224, Aux_Totales!$A:$A,#REF!), 0))</f>
        <v/>
      </c>
      <c r="EUA224" s="19" t="str">
        <f>IF(EUA220 = "", "", IFERROR(EUA220 / SUMIFS(Aux_Totales!$N:$N, Aux_Totales!$F:$F, $F224, Aux_Totales!$A:$A,#REF!), 0))</f>
        <v/>
      </c>
      <c r="EUB224" s="19" t="str">
        <f>IF(EUB220 = "", "", IFERROR(EUB220 / SUMIFS(Aux_Totales!$N:$N, Aux_Totales!$F:$F, $F224, Aux_Totales!$A:$A,#REF!), 0))</f>
        <v/>
      </c>
      <c r="EUC224" s="19" t="str">
        <f>IF(EUC220 = "", "", IFERROR(EUC220 / SUMIFS(Aux_Totales!$N:$N, Aux_Totales!$F:$F, $F224, Aux_Totales!$A:$A,#REF!), 0))</f>
        <v/>
      </c>
      <c r="EUD224" s="19" t="str">
        <f>IF(EUD220 = "", "", IFERROR(EUD220 / SUMIFS(Aux_Totales!$N:$N, Aux_Totales!$F:$F, $F224, Aux_Totales!$A:$A,#REF!), 0))</f>
        <v/>
      </c>
      <c r="EUE224" s="19" t="str">
        <f>IF(EUE220 = "", "", IFERROR(EUE220 / SUMIFS(Aux_Totales!$N:$N, Aux_Totales!$F:$F, $F224, Aux_Totales!$A:$A,#REF!), 0))</f>
        <v/>
      </c>
      <c r="EUF224" s="19" t="str">
        <f>IF(EUF220 = "", "", IFERROR(EUF220 / SUMIFS(Aux_Totales!$N:$N, Aux_Totales!$F:$F, $F224, Aux_Totales!$A:$A,#REF!), 0))</f>
        <v/>
      </c>
      <c r="EUG224" s="19" t="str">
        <f>IF(EUG220 = "", "", IFERROR(EUG220 / SUMIFS(Aux_Totales!$N:$N, Aux_Totales!$F:$F, $F224, Aux_Totales!$A:$A,#REF!), 0))</f>
        <v/>
      </c>
      <c r="EUH224" s="19" t="str">
        <f>IF(EUH220 = "", "", IFERROR(EUH220 / SUMIFS(Aux_Totales!$N:$N, Aux_Totales!$F:$F, $F224, Aux_Totales!$A:$A,#REF!), 0))</f>
        <v/>
      </c>
      <c r="EUI224" s="19" t="str">
        <f>IF(EUI220 = "", "", IFERROR(EUI220 / SUMIFS(Aux_Totales!$N:$N, Aux_Totales!$F:$F, $F224, Aux_Totales!$A:$A,#REF!), 0))</f>
        <v/>
      </c>
      <c r="EUJ224" s="19" t="str">
        <f>IF(EUJ220 = "", "", IFERROR(EUJ220 / SUMIFS(Aux_Totales!$N:$N, Aux_Totales!$F:$F, $F224, Aux_Totales!$A:$A,#REF!), 0))</f>
        <v/>
      </c>
      <c r="EUK224" s="19" t="str">
        <f>IF(EUK220 = "", "", IFERROR(EUK220 / SUMIFS(Aux_Totales!$N:$N, Aux_Totales!$F:$F, $F224, Aux_Totales!$A:$A,#REF!), 0))</f>
        <v/>
      </c>
      <c r="EUL224" s="19" t="str">
        <f>IF(EUL220 = "", "", IFERROR(EUL220 / SUMIFS(Aux_Totales!$N:$N, Aux_Totales!$F:$F, $F224, Aux_Totales!$A:$A,#REF!), 0))</f>
        <v/>
      </c>
      <c r="EUM224" s="19" t="str">
        <f>IF(EUM220 = "", "", IFERROR(EUM220 / SUMIFS(Aux_Totales!$N:$N, Aux_Totales!$F:$F, $F224, Aux_Totales!$A:$A,#REF!), 0))</f>
        <v/>
      </c>
      <c r="EUN224" s="19" t="str">
        <f>IF(EUN220 = "", "", IFERROR(EUN220 / SUMIFS(Aux_Totales!$N:$N, Aux_Totales!$F:$F, $F224, Aux_Totales!$A:$A,#REF!), 0))</f>
        <v/>
      </c>
      <c r="EUO224" s="19" t="str">
        <f>IF(EUO220 = "", "", IFERROR(EUO220 / SUMIFS(Aux_Totales!$N:$N, Aux_Totales!$F:$F, $F224, Aux_Totales!$A:$A,#REF!), 0))</f>
        <v/>
      </c>
      <c r="EUP224" s="19" t="str">
        <f>IF(EUP220 = "", "", IFERROR(EUP220 / SUMIFS(Aux_Totales!$N:$N, Aux_Totales!$F:$F, $F224, Aux_Totales!$A:$A,#REF!), 0))</f>
        <v/>
      </c>
      <c r="EUQ224" s="19" t="str">
        <f>IF(EUQ220 = "", "", IFERROR(EUQ220 / SUMIFS(Aux_Totales!$N:$N, Aux_Totales!$F:$F, $F224, Aux_Totales!$A:$A,#REF!), 0))</f>
        <v/>
      </c>
      <c r="EUR224" s="19" t="str">
        <f>IF(EUR220 = "", "", IFERROR(EUR220 / SUMIFS(Aux_Totales!$N:$N, Aux_Totales!$F:$F, $F224, Aux_Totales!$A:$A,#REF!), 0))</f>
        <v/>
      </c>
      <c r="EUS224" s="19" t="str">
        <f>IF(EUS220 = "", "", IFERROR(EUS220 / SUMIFS(Aux_Totales!$N:$N, Aux_Totales!$F:$F, $F224, Aux_Totales!$A:$A,#REF!), 0))</f>
        <v/>
      </c>
      <c r="EUT224" s="19" t="str">
        <f>IF(EUT220 = "", "", IFERROR(EUT220 / SUMIFS(Aux_Totales!$N:$N, Aux_Totales!$F:$F, $F224, Aux_Totales!$A:$A,#REF!), 0))</f>
        <v/>
      </c>
      <c r="EUU224" s="19" t="str">
        <f>IF(EUU220 = "", "", IFERROR(EUU220 / SUMIFS(Aux_Totales!$N:$N, Aux_Totales!$F:$F, $F224, Aux_Totales!$A:$A,#REF!), 0))</f>
        <v/>
      </c>
      <c r="EUV224" s="19" t="str">
        <f>IF(EUV220 = "", "", IFERROR(EUV220 / SUMIFS(Aux_Totales!$N:$N, Aux_Totales!$F:$F, $F224, Aux_Totales!$A:$A,#REF!), 0))</f>
        <v/>
      </c>
      <c r="EUW224" s="19" t="str">
        <f>IF(EUW220 = "", "", IFERROR(EUW220 / SUMIFS(Aux_Totales!$N:$N, Aux_Totales!$F:$F, $F224, Aux_Totales!$A:$A,#REF!), 0))</f>
        <v/>
      </c>
      <c r="EUX224" s="19" t="str">
        <f>IF(EUX220 = "", "", IFERROR(EUX220 / SUMIFS(Aux_Totales!$N:$N, Aux_Totales!$F:$F, $F224, Aux_Totales!$A:$A,#REF!), 0))</f>
        <v/>
      </c>
      <c r="EUY224" s="19" t="str">
        <f>IF(EUY220 = "", "", IFERROR(EUY220 / SUMIFS(Aux_Totales!$N:$N, Aux_Totales!$F:$F, $F224, Aux_Totales!$A:$A,#REF!), 0))</f>
        <v/>
      </c>
      <c r="EUZ224" s="19" t="str">
        <f>IF(EUZ220 = "", "", IFERROR(EUZ220 / SUMIFS(Aux_Totales!$N:$N, Aux_Totales!$F:$F, $F224, Aux_Totales!$A:$A,#REF!), 0))</f>
        <v/>
      </c>
      <c r="EVA224" s="19" t="str">
        <f>IF(EVA220 = "", "", IFERROR(EVA220 / SUMIFS(Aux_Totales!$N:$N, Aux_Totales!$F:$F, $F224, Aux_Totales!$A:$A,#REF!), 0))</f>
        <v/>
      </c>
      <c r="EVB224" s="19" t="str">
        <f>IF(EVB220 = "", "", IFERROR(EVB220 / SUMIFS(Aux_Totales!$N:$N, Aux_Totales!$F:$F, $F224, Aux_Totales!$A:$A,#REF!), 0))</f>
        <v/>
      </c>
      <c r="EVC224" s="19" t="str">
        <f>IF(EVC220 = "", "", IFERROR(EVC220 / SUMIFS(Aux_Totales!$N:$N, Aux_Totales!$F:$F, $F224, Aux_Totales!$A:$A,#REF!), 0))</f>
        <v/>
      </c>
      <c r="EVD224" s="19" t="str">
        <f>IF(EVD220 = "", "", IFERROR(EVD220 / SUMIFS(Aux_Totales!$N:$N, Aux_Totales!$F:$F, $F224, Aux_Totales!$A:$A,#REF!), 0))</f>
        <v/>
      </c>
      <c r="EVE224" s="19" t="str">
        <f>IF(EVE220 = "", "", IFERROR(EVE220 / SUMIFS(Aux_Totales!$N:$N, Aux_Totales!$F:$F, $F224, Aux_Totales!$A:$A,#REF!), 0))</f>
        <v/>
      </c>
      <c r="EVF224" s="19" t="str">
        <f>IF(EVF220 = "", "", IFERROR(EVF220 / SUMIFS(Aux_Totales!$N:$N, Aux_Totales!$F:$F, $F224, Aux_Totales!$A:$A,#REF!), 0))</f>
        <v/>
      </c>
      <c r="EVG224" s="19" t="str">
        <f>IF(EVG220 = "", "", IFERROR(EVG220 / SUMIFS(Aux_Totales!$N:$N, Aux_Totales!$F:$F, $F224, Aux_Totales!$A:$A,#REF!), 0))</f>
        <v/>
      </c>
      <c r="EVH224" s="19" t="str">
        <f>IF(EVH220 = "", "", IFERROR(EVH220 / SUMIFS(Aux_Totales!$N:$N, Aux_Totales!$F:$F, $F224, Aux_Totales!$A:$A,#REF!), 0))</f>
        <v/>
      </c>
      <c r="EVI224" s="19" t="str">
        <f>IF(EVI220 = "", "", IFERROR(EVI220 / SUMIFS(Aux_Totales!$N:$N, Aux_Totales!$F:$F, $F224, Aux_Totales!$A:$A,#REF!), 0))</f>
        <v/>
      </c>
      <c r="EVJ224" s="19" t="str">
        <f>IF(EVJ220 = "", "", IFERROR(EVJ220 / SUMIFS(Aux_Totales!$N:$N, Aux_Totales!$F:$F, $F224, Aux_Totales!$A:$A,#REF!), 0))</f>
        <v/>
      </c>
      <c r="EVK224" s="19" t="str">
        <f>IF(EVK220 = "", "", IFERROR(EVK220 / SUMIFS(Aux_Totales!$N:$N, Aux_Totales!$F:$F, $F224, Aux_Totales!$A:$A,#REF!), 0))</f>
        <v/>
      </c>
      <c r="EVL224" s="19" t="str">
        <f>IF(EVL220 = "", "", IFERROR(EVL220 / SUMIFS(Aux_Totales!$N:$N, Aux_Totales!$F:$F, $F224, Aux_Totales!$A:$A,#REF!), 0))</f>
        <v/>
      </c>
      <c r="EVM224" s="19" t="str">
        <f>IF(EVM220 = "", "", IFERROR(EVM220 / SUMIFS(Aux_Totales!$N:$N, Aux_Totales!$F:$F, $F224, Aux_Totales!$A:$A,#REF!), 0))</f>
        <v/>
      </c>
      <c r="EVN224" s="19" t="str">
        <f>IF(EVN220 = "", "", IFERROR(EVN220 / SUMIFS(Aux_Totales!$N:$N, Aux_Totales!$F:$F, $F224, Aux_Totales!$A:$A,#REF!), 0))</f>
        <v/>
      </c>
      <c r="EVO224" s="19" t="str">
        <f>IF(EVO220 = "", "", IFERROR(EVO220 / SUMIFS(Aux_Totales!$N:$N, Aux_Totales!$F:$F, $F224, Aux_Totales!$A:$A,#REF!), 0))</f>
        <v/>
      </c>
      <c r="EVP224" s="19" t="str">
        <f>IF(EVP220 = "", "", IFERROR(EVP220 / SUMIFS(Aux_Totales!$N:$N, Aux_Totales!$F:$F, $F224, Aux_Totales!$A:$A,#REF!), 0))</f>
        <v/>
      </c>
      <c r="EVQ224" s="19" t="str">
        <f>IF(EVQ220 = "", "", IFERROR(EVQ220 / SUMIFS(Aux_Totales!$N:$N, Aux_Totales!$F:$F, $F224, Aux_Totales!$A:$A,#REF!), 0))</f>
        <v/>
      </c>
      <c r="EVR224" s="19" t="str">
        <f>IF(EVR220 = "", "", IFERROR(EVR220 / SUMIFS(Aux_Totales!$N:$N, Aux_Totales!$F:$F, $F224, Aux_Totales!$A:$A,#REF!), 0))</f>
        <v/>
      </c>
      <c r="EVS224" s="19" t="str">
        <f>IF(EVS220 = "", "", IFERROR(EVS220 / SUMIFS(Aux_Totales!$N:$N, Aux_Totales!$F:$F, $F224, Aux_Totales!$A:$A,#REF!), 0))</f>
        <v/>
      </c>
      <c r="EVT224" s="19" t="str">
        <f>IF(EVT220 = "", "", IFERROR(EVT220 / SUMIFS(Aux_Totales!$N:$N, Aux_Totales!$F:$F, $F224, Aux_Totales!$A:$A,#REF!), 0))</f>
        <v/>
      </c>
      <c r="EVU224" s="19" t="str">
        <f>IF(EVU220 = "", "", IFERROR(EVU220 / SUMIFS(Aux_Totales!$N:$N, Aux_Totales!$F:$F, $F224, Aux_Totales!$A:$A,#REF!), 0))</f>
        <v/>
      </c>
      <c r="EVV224" s="19" t="str">
        <f>IF(EVV220 = "", "", IFERROR(EVV220 / SUMIFS(Aux_Totales!$N:$N, Aux_Totales!$F:$F, $F224, Aux_Totales!$A:$A,#REF!), 0))</f>
        <v/>
      </c>
      <c r="EVW224" s="19" t="str">
        <f>IF(EVW220 = "", "", IFERROR(EVW220 / SUMIFS(Aux_Totales!$N:$N, Aux_Totales!$F:$F, $F224, Aux_Totales!$A:$A,#REF!), 0))</f>
        <v/>
      </c>
      <c r="EVX224" s="19" t="str">
        <f>IF(EVX220 = "", "", IFERROR(EVX220 / SUMIFS(Aux_Totales!$N:$N, Aux_Totales!$F:$F, $F224, Aux_Totales!$A:$A,#REF!), 0))</f>
        <v/>
      </c>
      <c r="EVY224" s="19" t="str">
        <f>IF(EVY220 = "", "", IFERROR(EVY220 / SUMIFS(Aux_Totales!$N:$N, Aux_Totales!$F:$F, $F224, Aux_Totales!$A:$A,#REF!), 0))</f>
        <v/>
      </c>
      <c r="EVZ224" s="19" t="str">
        <f>IF(EVZ220 = "", "", IFERROR(EVZ220 / SUMIFS(Aux_Totales!$N:$N, Aux_Totales!$F:$F, $F224, Aux_Totales!$A:$A,#REF!), 0))</f>
        <v/>
      </c>
      <c r="EWA224" s="19" t="str">
        <f>IF(EWA220 = "", "", IFERROR(EWA220 / SUMIFS(Aux_Totales!$N:$N, Aux_Totales!$F:$F, $F224, Aux_Totales!$A:$A,#REF!), 0))</f>
        <v/>
      </c>
      <c r="EWB224" s="19" t="str">
        <f>IF(EWB220 = "", "", IFERROR(EWB220 / SUMIFS(Aux_Totales!$N:$N, Aux_Totales!$F:$F, $F224, Aux_Totales!$A:$A,#REF!), 0))</f>
        <v/>
      </c>
      <c r="EWC224" s="19" t="str">
        <f>IF(EWC220 = "", "", IFERROR(EWC220 / SUMIFS(Aux_Totales!$N:$N, Aux_Totales!$F:$F, $F224, Aux_Totales!$A:$A,#REF!), 0))</f>
        <v/>
      </c>
      <c r="EWD224" s="19" t="str">
        <f>IF(EWD220 = "", "", IFERROR(EWD220 / SUMIFS(Aux_Totales!$N:$N, Aux_Totales!$F:$F, $F224, Aux_Totales!$A:$A,#REF!), 0))</f>
        <v/>
      </c>
      <c r="EWE224" s="19" t="str">
        <f>IF(EWE220 = "", "", IFERROR(EWE220 / SUMIFS(Aux_Totales!$N:$N, Aux_Totales!$F:$F, $F224, Aux_Totales!$A:$A,#REF!), 0))</f>
        <v/>
      </c>
      <c r="EWF224" s="19" t="str">
        <f>IF(EWF220 = "", "", IFERROR(EWF220 / SUMIFS(Aux_Totales!$N:$N, Aux_Totales!$F:$F, $F224, Aux_Totales!$A:$A,#REF!), 0))</f>
        <v/>
      </c>
      <c r="EWG224" s="19" t="str">
        <f>IF(EWG220 = "", "", IFERROR(EWG220 / SUMIFS(Aux_Totales!$N:$N, Aux_Totales!$F:$F, $F224, Aux_Totales!$A:$A,#REF!), 0))</f>
        <v/>
      </c>
      <c r="EWH224" s="19" t="str">
        <f>IF(EWH220 = "", "", IFERROR(EWH220 / SUMIFS(Aux_Totales!$N:$N, Aux_Totales!$F:$F, $F224, Aux_Totales!$A:$A,#REF!), 0))</f>
        <v/>
      </c>
      <c r="EWI224" s="19" t="str">
        <f>IF(EWI220 = "", "", IFERROR(EWI220 / SUMIFS(Aux_Totales!$N:$N, Aux_Totales!$F:$F, $F224, Aux_Totales!$A:$A,#REF!), 0))</f>
        <v/>
      </c>
      <c r="EWJ224" s="19" t="str">
        <f>IF(EWJ220 = "", "", IFERROR(EWJ220 / SUMIFS(Aux_Totales!$N:$N, Aux_Totales!$F:$F, $F224, Aux_Totales!$A:$A,#REF!), 0))</f>
        <v/>
      </c>
      <c r="EWK224" s="19" t="str">
        <f>IF(EWK220 = "", "", IFERROR(EWK220 / SUMIFS(Aux_Totales!$N:$N, Aux_Totales!$F:$F, $F224, Aux_Totales!$A:$A,#REF!), 0))</f>
        <v/>
      </c>
      <c r="EWL224" s="19" t="str">
        <f>IF(EWL220 = "", "", IFERROR(EWL220 / SUMIFS(Aux_Totales!$N:$N, Aux_Totales!$F:$F, $F224, Aux_Totales!$A:$A,#REF!), 0))</f>
        <v/>
      </c>
      <c r="EWM224" s="19" t="str">
        <f>IF(EWM220 = "", "", IFERROR(EWM220 / SUMIFS(Aux_Totales!$N:$N, Aux_Totales!$F:$F, $F224, Aux_Totales!$A:$A,#REF!), 0))</f>
        <v/>
      </c>
      <c r="EWN224" s="19" t="str">
        <f>IF(EWN220 = "", "", IFERROR(EWN220 / SUMIFS(Aux_Totales!$N:$N, Aux_Totales!$F:$F, $F224, Aux_Totales!$A:$A,#REF!), 0))</f>
        <v/>
      </c>
      <c r="EWO224" s="19" t="str">
        <f>IF(EWO220 = "", "", IFERROR(EWO220 / SUMIFS(Aux_Totales!$N:$N, Aux_Totales!$F:$F, $F224, Aux_Totales!$A:$A,#REF!), 0))</f>
        <v/>
      </c>
      <c r="EWP224" s="19" t="str">
        <f>IF(EWP220 = "", "", IFERROR(EWP220 / SUMIFS(Aux_Totales!$N:$N, Aux_Totales!$F:$F, $F224, Aux_Totales!$A:$A,#REF!), 0))</f>
        <v/>
      </c>
      <c r="EWQ224" s="19" t="str">
        <f>IF(EWQ220 = "", "", IFERROR(EWQ220 / SUMIFS(Aux_Totales!$N:$N, Aux_Totales!$F:$F, $F224, Aux_Totales!$A:$A,#REF!), 0))</f>
        <v/>
      </c>
      <c r="EWR224" s="19" t="str">
        <f>IF(EWR220 = "", "", IFERROR(EWR220 / SUMIFS(Aux_Totales!$N:$N, Aux_Totales!$F:$F, $F224, Aux_Totales!$A:$A,#REF!), 0))</f>
        <v/>
      </c>
      <c r="EWS224" s="19" t="str">
        <f>IF(EWS220 = "", "", IFERROR(EWS220 / SUMIFS(Aux_Totales!$N:$N, Aux_Totales!$F:$F, $F224, Aux_Totales!$A:$A,#REF!), 0))</f>
        <v/>
      </c>
      <c r="EWT224" s="19" t="str">
        <f>IF(EWT220 = "", "", IFERROR(EWT220 / SUMIFS(Aux_Totales!$N:$N, Aux_Totales!$F:$F, $F224, Aux_Totales!$A:$A,#REF!), 0))</f>
        <v/>
      </c>
      <c r="EWU224" s="19" t="str">
        <f>IF(EWU220 = "", "", IFERROR(EWU220 / SUMIFS(Aux_Totales!$N:$N, Aux_Totales!$F:$F, $F224, Aux_Totales!$A:$A,#REF!), 0))</f>
        <v/>
      </c>
      <c r="EWV224" s="19" t="str">
        <f>IF(EWV220 = "", "", IFERROR(EWV220 / SUMIFS(Aux_Totales!$N:$N, Aux_Totales!$F:$F, $F224, Aux_Totales!$A:$A,#REF!), 0))</f>
        <v/>
      </c>
      <c r="EWW224" s="19" t="str">
        <f>IF(EWW220 = "", "", IFERROR(EWW220 / SUMIFS(Aux_Totales!$N:$N, Aux_Totales!$F:$F, $F224, Aux_Totales!$A:$A,#REF!), 0))</f>
        <v/>
      </c>
      <c r="EWX224" s="19" t="str">
        <f>IF(EWX220 = "", "", IFERROR(EWX220 / SUMIFS(Aux_Totales!$N:$N, Aux_Totales!$F:$F, $F224, Aux_Totales!$A:$A,#REF!), 0))</f>
        <v/>
      </c>
      <c r="EWY224" s="19" t="str">
        <f>IF(EWY220 = "", "", IFERROR(EWY220 / SUMIFS(Aux_Totales!$N:$N, Aux_Totales!$F:$F, $F224, Aux_Totales!$A:$A,#REF!), 0))</f>
        <v/>
      </c>
      <c r="EWZ224" s="19" t="str">
        <f>IF(EWZ220 = "", "", IFERROR(EWZ220 / SUMIFS(Aux_Totales!$N:$N, Aux_Totales!$F:$F, $F224, Aux_Totales!$A:$A,#REF!), 0))</f>
        <v/>
      </c>
      <c r="EXA224" s="19" t="str">
        <f>IF(EXA220 = "", "", IFERROR(EXA220 / SUMIFS(Aux_Totales!$N:$N, Aux_Totales!$F:$F, $F224, Aux_Totales!$A:$A,#REF!), 0))</f>
        <v/>
      </c>
      <c r="EXB224" s="19" t="str">
        <f>IF(EXB220 = "", "", IFERROR(EXB220 / SUMIFS(Aux_Totales!$N:$N, Aux_Totales!$F:$F, $F224, Aux_Totales!$A:$A,#REF!), 0))</f>
        <v/>
      </c>
      <c r="EXC224" s="19" t="str">
        <f>IF(EXC220 = "", "", IFERROR(EXC220 / SUMIFS(Aux_Totales!$N:$N, Aux_Totales!$F:$F, $F224, Aux_Totales!$A:$A,#REF!), 0))</f>
        <v/>
      </c>
      <c r="EXD224" s="19" t="str">
        <f>IF(EXD220 = "", "", IFERROR(EXD220 / SUMIFS(Aux_Totales!$N:$N, Aux_Totales!$F:$F, $F224, Aux_Totales!$A:$A,#REF!), 0))</f>
        <v/>
      </c>
      <c r="EXE224" s="19" t="str">
        <f>IF(EXE220 = "", "", IFERROR(EXE220 / SUMIFS(Aux_Totales!$N:$N, Aux_Totales!$F:$F, $F224, Aux_Totales!$A:$A,#REF!), 0))</f>
        <v/>
      </c>
      <c r="EXF224" s="19" t="str">
        <f>IF(EXF220 = "", "", IFERROR(EXF220 / SUMIFS(Aux_Totales!$N:$N, Aux_Totales!$F:$F, $F224, Aux_Totales!$A:$A,#REF!), 0))</f>
        <v/>
      </c>
      <c r="EXG224" s="19" t="str">
        <f>IF(EXG220 = "", "", IFERROR(EXG220 / SUMIFS(Aux_Totales!$N:$N, Aux_Totales!$F:$F, $F224, Aux_Totales!$A:$A,#REF!), 0))</f>
        <v/>
      </c>
      <c r="EXH224" s="19" t="str">
        <f>IF(EXH220 = "", "", IFERROR(EXH220 / SUMIFS(Aux_Totales!$N:$N, Aux_Totales!$F:$F, $F224, Aux_Totales!$A:$A,#REF!), 0))</f>
        <v/>
      </c>
      <c r="EXI224" s="19" t="str">
        <f>IF(EXI220 = "", "", IFERROR(EXI220 / SUMIFS(Aux_Totales!$N:$N, Aux_Totales!$F:$F, $F224, Aux_Totales!$A:$A,#REF!), 0))</f>
        <v/>
      </c>
      <c r="EXJ224" s="19" t="str">
        <f>IF(EXJ220 = "", "", IFERROR(EXJ220 / SUMIFS(Aux_Totales!$N:$N, Aux_Totales!$F:$F, $F224, Aux_Totales!$A:$A,#REF!), 0))</f>
        <v/>
      </c>
      <c r="EXK224" s="19" t="str">
        <f>IF(EXK220 = "", "", IFERROR(EXK220 / SUMIFS(Aux_Totales!$N:$N, Aux_Totales!$F:$F, $F224, Aux_Totales!$A:$A,#REF!), 0))</f>
        <v/>
      </c>
      <c r="EXL224" s="19" t="str">
        <f>IF(EXL220 = "", "", IFERROR(EXL220 / SUMIFS(Aux_Totales!$N:$N, Aux_Totales!$F:$F, $F224, Aux_Totales!$A:$A,#REF!), 0))</f>
        <v/>
      </c>
      <c r="EXM224" s="19" t="str">
        <f>IF(EXM220 = "", "", IFERROR(EXM220 / SUMIFS(Aux_Totales!$N:$N, Aux_Totales!$F:$F, $F224, Aux_Totales!$A:$A,#REF!), 0))</f>
        <v/>
      </c>
      <c r="EXN224" s="19" t="str">
        <f>IF(EXN220 = "", "", IFERROR(EXN220 / SUMIFS(Aux_Totales!$N:$N, Aux_Totales!$F:$F, $F224, Aux_Totales!$A:$A,#REF!), 0))</f>
        <v/>
      </c>
      <c r="EXO224" s="19" t="str">
        <f>IF(EXO220 = "", "", IFERROR(EXO220 / SUMIFS(Aux_Totales!$N:$N, Aux_Totales!$F:$F, $F224, Aux_Totales!$A:$A,#REF!), 0))</f>
        <v/>
      </c>
      <c r="EXP224" s="19" t="str">
        <f>IF(EXP220 = "", "", IFERROR(EXP220 / SUMIFS(Aux_Totales!$N:$N, Aux_Totales!$F:$F, $F224, Aux_Totales!$A:$A,#REF!), 0))</f>
        <v/>
      </c>
      <c r="EXQ224" s="19" t="str">
        <f>IF(EXQ220 = "", "", IFERROR(EXQ220 / SUMIFS(Aux_Totales!$N:$N, Aux_Totales!$F:$F, $F224, Aux_Totales!$A:$A,#REF!), 0))</f>
        <v/>
      </c>
      <c r="EXR224" s="19" t="str">
        <f>IF(EXR220 = "", "", IFERROR(EXR220 / SUMIFS(Aux_Totales!$N:$N, Aux_Totales!$F:$F, $F224, Aux_Totales!$A:$A,#REF!), 0))</f>
        <v/>
      </c>
      <c r="EXS224" s="19" t="str">
        <f>IF(EXS220 = "", "", IFERROR(EXS220 / SUMIFS(Aux_Totales!$N:$N, Aux_Totales!$F:$F, $F224, Aux_Totales!$A:$A,#REF!), 0))</f>
        <v/>
      </c>
      <c r="EXT224" s="19" t="str">
        <f>IF(EXT220 = "", "", IFERROR(EXT220 / SUMIFS(Aux_Totales!$N:$N, Aux_Totales!$F:$F, $F224, Aux_Totales!$A:$A,#REF!), 0))</f>
        <v/>
      </c>
      <c r="EXU224" s="19" t="str">
        <f>IF(EXU220 = "", "", IFERROR(EXU220 / SUMIFS(Aux_Totales!$N:$N, Aux_Totales!$F:$F, $F224, Aux_Totales!$A:$A,#REF!), 0))</f>
        <v/>
      </c>
      <c r="EXV224" s="19" t="str">
        <f>IF(EXV220 = "", "", IFERROR(EXV220 / SUMIFS(Aux_Totales!$N:$N, Aux_Totales!$F:$F, $F224, Aux_Totales!$A:$A,#REF!), 0))</f>
        <v/>
      </c>
      <c r="EXW224" s="19" t="str">
        <f>IF(EXW220 = "", "", IFERROR(EXW220 / SUMIFS(Aux_Totales!$N:$N, Aux_Totales!$F:$F, $F224, Aux_Totales!$A:$A,#REF!), 0))</f>
        <v/>
      </c>
      <c r="EXX224" s="19" t="str">
        <f>IF(EXX220 = "", "", IFERROR(EXX220 / SUMIFS(Aux_Totales!$N:$N, Aux_Totales!$F:$F, $F224, Aux_Totales!$A:$A,#REF!), 0))</f>
        <v/>
      </c>
      <c r="EXY224" s="19" t="str">
        <f>IF(EXY220 = "", "", IFERROR(EXY220 / SUMIFS(Aux_Totales!$N:$N, Aux_Totales!$F:$F, $F224, Aux_Totales!$A:$A,#REF!), 0))</f>
        <v/>
      </c>
      <c r="EXZ224" s="19" t="str">
        <f>IF(EXZ220 = "", "", IFERROR(EXZ220 / SUMIFS(Aux_Totales!$N:$N, Aux_Totales!$F:$F, $F224, Aux_Totales!$A:$A,#REF!), 0))</f>
        <v/>
      </c>
      <c r="EYA224" s="19" t="str">
        <f>IF(EYA220 = "", "", IFERROR(EYA220 / SUMIFS(Aux_Totales!$N:$N, Aux_Totales!$F:$F, $F224, Aux_Totales!$A:$A,#REF!), 0))</f>
        <v/>
      </c>
      <c r="EYB224" s="19" t="str">
        <f>IF(EYB220 = "", "", IFERROR(EYB220 / SUMIFS(Aux_Totales!$N:$N, Aux_Totales!$F:$F, $F224, Aux_Totales!$A:$A,#REF!), 0))</f>
        <v/>
      </c>
      <c r="EYC224" s="19" t="str">
        <f>IF(EYC220 = "", "", IFERROR(EYC220 / SUMIFS(Aux_Totales!$N:$N, Aux_Totales!$F:$F, $F224, Aux_Totales!$A:$A,#REF!), 0))</f>
        <v/>
      </c>
      <c r="EYD224" s="19" t="str">
        <f>IF(EYD220 = "", "", IFERROR(EYD220 / SUMIFS(Aux_Totales!$N:$N, Aux_Totales!$F:$F, $F224, Aux_Totales!$A:$A,#REF!), 0))</f>
        <v/>
      </c>
      <c r="EYE224" s="19" t="str">
        <f>IF(EYE220 = "", "", IFERROR(EYE220 / SUMIFS(Aux_Totales!$N:$N, Aux_Totales!$F:$F, $F224, Aux_Totales!$A:$A,#REF!), 0))</f>
        <v/>
      </c>
      <c r="EYF224" s="19" t="str">
        <f>IF(EYF220 = "", "", IFERROR(EYF220 / SUMIFS(Aux_Totales!$N:$N, Aux_Totales!$F:$F, $F224, Aux_Totales!$A:$A,#REF!), 0))</f>
        <v/>
      </c>
      <c r="EYG224" s="19" t="str">
        <f>IF(EYG220 = "", "", IFERROR(EYG220 / SUMIFS(Aux_Totales!$N:$N, Aux_Totales!$F:$F, $F224, Aux_Totales!$A:$A,#REF!), 0))</f>
        <v/>
      </c>
      <c r="EYH224" s="19" t="str">
        <f>IF(EYH220 = "", "", IFERROR(EYH220 / SUMIFS(Aux_Totales!$N:$N, Aux_Totales!$F:$F, $F224, Aux_Totales!$A:$A,#REF!), 0))</f>
        <v/>
      </c>
      <c r="EYI224" s="19" t="str">
        <f>IF(EYI220 = "", "", IFERROR(EYI220 / SUMIFS(Aux_Totales!$N:$N, Aux_Totales!$F:$F, $F224, Aux_Totales!$A:$A,#REF!), 0))</f>
        <v/>
      </c>
      <c r="EYJ224" s="19" t="str">
        <f>IF(EYJ220 = "", "", IFERROR(EYJ220 / SUMIFS(Aux_Totales!$N:$N, Aux_Totales!$F:$F, $F224, Aux_Totales!$A:$A,#REF!), 0))</f>
        <v/>
      </c>
      <c r="EYK224" s="19" t="str">
        <f>IF(EYK220 = "", "", IFERROR(EYK220 / SUMIFS(Aux_Totales!$N:$N, Aux_Totales!$F:$F, $F224, Aux_Totales!$A:$A,#REF!), 0))</f>
        <v/>
      </c>
      <c r="EYL224" s="19" t="str">
        <f>IF(EYL220 = "", "", IFERROR(EYL220 / SUMIFS(Aux_Totales!$N:$N, Aux_Totales!$F:$F, $F224, Aux_Totales!$A:$A,#REF!), 0))</f>
        <v/>
      </c>
      <c r="EYM224" s="19" t="str">
        <f>IF(EYM220 = "", "", IFERROR(EYM220 / SUMIFS(Aux_Totales!$N:$N, Aux_Totales!$F:$F, $F224, Aux_Totales!$A:$A,#REF!), 0))</f>
        <v/>
      </c>
      <c r="EYN224" s="19" t="str">
        <f>IF(EYN220 = "", "", IFERROR(EYN220 / SUMIFS(Aux_Totales!$N:$N, Aux_Totales!$F:$F, $F224, Aux_Totales!$A:$A,#REF!), 0))</f>
        <v/>
      </c>
      <c r="EYO224" s="19" t="str">
        <f>IF(EYO220 = "", "", IFERROR(EYO220 / SUMIFS(Aux_Totales!$N:$N, Aux_Totales!$F:$F, $F224, Aux_Totales!$A:$A,#REF!), 0))</f>
        <v/>
      </c>
      <c r="EYP224" s="19" t="str">
        <f>IF(EYP220 = "", "", IFERROR(EYP220 / SUMIFS(Aux_Totales!$N:$N, Aux_Totales!$F:$F, $F224, Aux_Totales!$A:$A,#REF!), 0))</f>
        <v/>
      </c>
      <c r="EYQ224" s="19" t="str">
        <f>IF(EYQ220 = "", "", IFERROR(EYQ220 / SUMIFS(Aux_Totales!$N:$N, Aux_Totales!$F:$F, $F224, Aux_Totales!$A:$A,#REF!), 0))</f>
        <v/>
      </c>
      <c r="EYR224" s="19" t="str">
        <f>IF(EYR220 = "", "", IFERROR(EYR220 / SUMIFS(Aux_Totales!$N:$N, Aux_Totales!$F:$F, $F224, Aux_Totales!$A:$A,#REF!), 0))</f>
        <v/>
      </c>
      <c r="EYS224" s="19" t="str">
        <f>IF(EYS220 = "", "", IFERROR(EYS220 / SUMIFS(Aux_Totales!$N:$N, Aux_Totales!$F:$F, $F224, Aux_Totales!$A:$A,#REF!), 0))</f>
        <v/>
      </c>
      <c r="EYT224" s="19" t="str">
        <f>IF(EYT220 = "", "", IFERROR(EYT220 / SUMIFS(Aux_Totales!$N:$N, Aux_Totales!$F:$F, $F224, Aux_Totales!$A:$A,#REF!), 0))</f>
        <v/>
      </c>
      <c r="EYU224" s="19" t="str">
        <f>IF(EYU220 = "", "", IFERROR(EYU220 / SUMIFS(Aux_Totales!$N:$N, Aux_Totales!$F:$F, $F224, Aux_Totales!$A:$A,#REF!), 0))</f>
        <v/>
      </c>
      <c r="EYV224" s="19" t="str">
        <f>IF(EYV220 = "", "", IFERROR(EYV220 / SUMIFS(Aux_Totales!$N:$N, Aux_Totales!$F:$F, $F224, Aux_Totales!$A:$A,#REF!), 0))</f>
        <v/>
      </c>
      <c r="EYW224" s="19" t="str">
        <f>IF(EYW220 = "", "", IFERROR(EYW220 / SUMIFS(Aux_Totales!$N:$N, Aux_Totales!$F:$F, $F224, Aux_Totales!$A:$A,#REF!), 0))</f>
        <v/>
      </c>
      <c r="EYX224" s="19" t="str">
        <f>IF(EYX220 = "", "", IFERROR(EYX220 / SUMIFS(Aux_Totales!$N:$N, Aux_Totales!$F:$F, $F224, Aux_Totales!$A:$A,#REF!), 0))</f>
        <v/>
      </c>
      <c r="EYY224" s="19" t="str">
        <f>IF(EYY220 = "", "", IFERROR(EYY220 / SUMIFS(Aux_Totales!$N:$N, Aux_Totales!$F:$F, $F224, Aux_Totales!$A:$A,#REF!), 0))</f>
        <v/>
      </c>
      <c r="EYZ224" s="19" t="str">
        <f>IF(EYZ220 = "", "", IFERROR(EYZ220 / SUMIFS(Aux_Totales!$N:$N, Aux_Totales!$F:$F, $F224, Aux_Totales!$A:$A,#REF!), 0))</f>
        <v/>
      </c>
      <c r="EZA224" s="19" t="str">
        <f>IF(EZA220 = "", "", IFERROR(EZA220 / SUMIFS(Aux_Totales!$N:$N, Aux_Totales!$F:$F, $F224, Aux_Totales!$A:$A,#REF!), 0))</f>
        <v/>
      </c>
      <c r="EZB224" s="19" t="str">
        <f>IF(EZB220 = "", "", IFERROR(EZB220 / SUMIFS(Aux_Totales!$N:$N, Aux_Totales!$F:$F, $F224, Aux_Totales!$A:$A,#REF!), 0))</f>
        <v/>
      </c>
      <c r="EZC224" s="19" t="str">
        <f>IF(EZC220 = "", "", IFERROR(EZC220 / SUMIFS(Aux_Totales!$N:$N, Aux_Totales!$F:$F, $F224, Aux_Totales!$A:$A,#REF!), 0))</f>
        <v/>
      </c>
      <c r="EZD224" s="19" t="str">
        <f>IF(EZD220 = "", "", IFERROR(EZD220 / SUMIFS(Aux_Totales!$N:$N, Aux_Totales!$F:$F, $F224, Aux_Totales!$A:$A,#REF!), 0))</f>
        <v/>
      </c>
      <c r="EZE224" s="19" t="str">
        <f>IF(EZE220 = "", "", IFERROR(EZE220 / SUMIFS(Aux_Totales!$N:$N, Aux_Totales!$F:$F, $F224, Aux_Totales!$A:$A,#REF!), 0))</f>
        <v/>
      </c>
      <c r="EZF224" s="19" t="str">
        <f>IF(EZF220 = "", "", IFERROR(EZF220 / SUMIFS(Aux_Totales!$N:$N, Aux_Totales!$F:$F, $F224, Aux_Totales!$A:$A,#REF!), 0))</f>
        <v/>
      </c>
      <c r="EZG224" s="19" t="str">
        <f>IF(EZG220 = "", "", IFERROR(EZG220 / SUMIFS(Aux_Totales!$N:$N, Aux_Totales!$F:$F, $F224, Aux_Totales!$A:$A,#REF!), 0))</f>
        <v/>
      </c>
      <c r="EZH224" s="19" t="str">
        <f>IF(EZH220 = "", "", IFERROR(EZH220 / SUMIFS(Aux_Totales!$N:$N, Aux_Totales!$F:$F, $F224, Aux_Totales!$A:$A,#REF!), 0))</f>
        <v/>
      </c>
      <c r="EZI224" s="19" t="str">
        <f>IF(EZI220 = "", "", IFERROR(EZI220 / SUMIFS(Aux_Totales!$N:$N, Aux_Totales!$F:$F, $F224, Aux_Totales!$A:$A,#REF!), 0))</f>
        <v/>
      </c>
      <c r="EZJ224" s="19" t="str">
        <f>IF(EZJ220 = "", "", IFERROR(EZJ220 / SUMIFS(Aux_Totales!$N:$N, Aux_Totales!$F:$F, $F224, Aux_Totales!$A:$A,#REF!), 0))</f>
        <v/>
      </c>
      <c r="EZK224" s="19" t="str">
        <f>IF(EZK220 = "", "", IFERROR(EZK220 / SUMIFS(Aux_Totales!$N:$N, Aux_Totales!$F:$F, $F224, Aux_Totales!$A:$A,#REF!), 0))</f>
        <v/>
      </c>
      <c r="EZL224" s="19" t="str">
        <f>IF(EZL220 = "", "", IFERROR(EZL220 / SUMIFS(Aux_Totales!$N:$N, Aux_Totales!$F:$F, $F224, Aux_Totales!$A:$A,#REF!), 0))</f>
        <v/>
      </c>
      <c r="EZM224" s="19" t="str">
        <f>IF(EZM220 = "", "", IFERROR(EZM220 / SUMIFS(Aux_Totales!$N:$N, Aux_Totales!$F:$F, $F224, Aux_Totales!$A:$A,#REF!), 0))</f>
        <v/>
      </c>
      <c r="EZN224" s="19" t="str">
        <f>IF(EZN220 = "", "", IFERROR(EZN220 / SUMIFS(Aux_Totales!$N:$N, Aux_Totales!$F:$F, $F224, Aux_Totales!$A:$A,#REF!), 0))</f>
        <v/>
      </c>
      <c r="EZO224" s="19" t="str">
        <f>IF(EZO220 = "", "", IFERROR(EZO220 / SUMIFS(Aux_Totales!$N:$N, Aux_Totales!$F:$F, $F224, Aux_Totales!$A:$A,#REF!), 0))</f>
        <v/>
      </c>
      <c r="EZP224" s="19" t="str">
        <f>IF(EZP220 = "", "", IFERROR(EZP220 / SUMIFS(Aux_Totales!$N:$N, Aux_Totales!$F:$F, $F224, Aux_Totales!$A:$A,#REF!), 0))</f>
        <v/>
      </c>
      <c r="EZQ224" s="19" t="str">
        <f>IF(EZQ220 = "", "", IFERROR(EZQ220 / SUMIFS(Aux_Totales!$N:$N, Aux_Totales!$F:$F, $F224, Aux_Totales!$A:$A,#REF!), 0))</f>
        <v/>
      </c>
      <c r="EZR224" s="19" t="str">
        <f>IF(EZR220 = "", "", IFERROR(EZR220 / SUMIFS(Aux_Totales!$N:$N, Aux_Totales!$F:$F, $F224, Aux_Totales!$A:$A,#REF!), 0))</f>
        <v/>
      </c>
      <c r="EZS224" s="19" t="str">
        <f>IF(EZS220 = "", "", IFERROR(EZS220 / SUMIFS(Aux_Totales!$N:$N, Aux_Totales!$F:$F, $F224, Aux_Totales!$A:$A,#REF!), 0))</f>
        <v/>
      </c>
      <c r="EZT224" s="19" t="str">
        <f>IF(EZT220 = "", "", IFERROR(EZT220 / SUMIFS(Aux_Totales!$N:$N, Aux_Totales!$F:$F, $F224, Aux_Totales!$A:$A,#REF!), 0))</f>
        <v/>
      </c>
      <c r="EZU224" s="19" t="str">
        <f>IF(EZU220 = "", "", IFERROR(EZU220 / SUMIFS(Aux_Totales!$N:$N, Aux_Totales!$F:$F, $F224, Aux_Totales!$A:$A,#REF!), 0))</f>
        <v/>
      </c>
      <c r="EZV224" s="19" t="str">
        <f>IF(EZV220 = "", "", IFERROR(EZV220 / SUMIFS(Aux_Totales!$N:$N, Aux_Totales!$F:$F, $F224, Aux_Totales!$A:$A,#REF!), 0))</f>
        <v/>
      </c>
      <c r="EZW224" s="19" t="str">
        <f>IF(EZW220 = "", "", IFERROR(EZW220 / SUMIFS(Aux_Totales!$N:$N, Aux_Totales!$F:$F, $F224, Aux_Totales!$A:$A,#REF!), 0))</f>
        <v/>
      </c>
      <c r="EZX224" s="19" t="str">
        <f>IF(EZX220 = "", "", IFERROR(EZX220 / SUMIFS(Aux_Totales!$N:$N, Aux_Totales!$F:$F, $F224, Aux_Totales!$A:$A,#REF!), 0))</f>
        <v/>
      </c>
      <c r="EZY224" s="19" t="str">
        <f>IF(EZY220 = "", "", IFERROR(EZY220 / SUMIFS(Aux_Totales!$N:$N, Aux_Totales!$F:$F, $F224, Aux_Totales!$A:$A,#REF!), 0))</f>
        <v/>
      </c>
      <c r="EZZ224" s="19" t="str">
        <f>IF(EZZ220 = "", "", IFERROR(EZZ220 / SUMIFS(Aux_Totales!$N:$N, Aux_Totales!$F:$F, $F224, Aux_Totales!$A:$A,#REF!), 0))</f>
        <v/>
      </c>
      <c r="FAA224" s="19" t="str">
        <f>IF(FAA220 = "", "", IFERROR(FAA220 / SUMIFS(Aux_Totales!$N:$N, Aux_Totales!$F:$F, $F224, Aux_Totales!$A:$A,#REF!), 0))</f>
        <v/>
      </c>
      <c r="FAB224" s="19" t="str">
        <f>IF(FAB220 = "", "", IFERROR(FAB220 / SUMIFS(Aux_Totales!$N:$N, Aux_Totales!$F:$F, $F224, Aux_Totales!$A:$A,#REF!), 0))</f>
        <v/>
      </c>
      <c r="FAC224" s="19" t="str">
        <f>IF(FAC220 = "", "", IFERROR(FAC220 / SUMIFS(Aux_Totales!$N:$N, Aux_Totales!$F:$F, $F224, Aux_Totales!$A:$A,#REF!), 0))</f>
        <v/>
      </c>
      <c r="FAD224" s="19" t="str">
        <f>IF(FAD220 = "", "", IFERROR(FAD220 / SUMIFS(Aux_Totales!$N:$N, Aux_Totales!$F:$F, $F224, Aux_Totales!$A:$A,#REF!), 0))</f>
        <v/>
      </c>
      <c r="FAE224" s="19" t="str">
        <f>IF(FAE220 = "", "", IFERROR(FAE220 / SUMIFS(Aux_Totales!$N:$N, Aux_Totales!$F:$F, $F224, Aux_Totales!$A:$A,#REF!), 0))</f>
        <v/>
      </c>
      <c r="FAF224" s="19" t="str">
        <f>IF(FAF220 = "", "", IFERROR(FAF220 / SUMIFS(Aux_Totales!$N:$N, Aux_Totales!$F:$F, $F224, Aux_Totales!$A:$A,#REF!), 0))</f>
        <v/>
      </c>
      <c r="FAG224" s="19" t="str">
        <f>IF(FAG220 = "", "", IFERROR(FAG220 / SUMIFS(Aux_Totales!$N:$N, Aux_Totales!$F:$F, $F224, Aux_Totales!$A:$A,#REF!), 0))</f>
        <v/>
      </c>
      <c r="FAH224" s="19" t="str">
        <f>IF(FAH220 = "", "", IFERROR(FAH220 / SUMIFS(Aux_Totales!$N:$N, Aux_Totales!$F:$F, $F224, Aux_Totales!$A:$A,#REF!), 0))</f>
        <v/>
      </c>
      <c r="FAI224" s="19" t="str">
        <f>IF(FAI220 = "", "", IFERROR(FAI220 / SUMIFS(Aux_Totales!$N:$N, Aux_Totales!$F:$F, $F224, Aux_Totales!$A:$A,#REF!), 0))</f>
        <v/>
      </c>
      <c r="FAJ224" s="19" t="str">
        <f>IF(FAJ220 = "", "", IFERROR(FAJ220 / SUMIFS(Aux_Totales!$N:$N, Aux_Totales!$F:$F, $F224, Aux_Totales!$A:$A,#REF!), 0))</f>
        <v/>
      </c>
      <c r="FAK224" s="19" t="str">
        <f>IF(FAK220 = "", "", IFERROR(FAK220 / SUMIFS(Aux_Totales!$N:$N, Aux_Totales!$F:$F, $F224, Aux_Totales!$A:$A,#REF!), 0))</f>
        <v/>
      </c>
      <c r="FAL224" s="19" t="str">
        <f>IF(FAL220 = "", "", IFERROR(FAL220 / SUMIFS(Aux_Totales!$N:$N, Aux_Totales!$F:$F, $F224, Aux_Totales!$A:$A,#REF!), 0))</f>
        <v/>
      </c>
      <c r="FAM224" s="19" t="str">
        <f>IF(FAM220 = "", "", IFERROR(FAM220 / SUMIFS(Aux_Totales!$N:$N, Aux_Totales!$F:$F, $F224, Aux_Totales!$A:$A,#REF!), 0))</f>
        <v/>
      </c>
      <c r="FAN224" s="19" t="str">
        <f>IF(FAN220 = "", "", IFERROR(FAN220 / SUMIFS(Aux_Totales!$N:$N, Aux_Totales!$F:$F, $F224, Aux_Totales!$A:$A,#REF!), 0))</f>
        <v/>
      </c>
      <c r="FAO224" s="19" t="str">
        <f>IF(FAO220 = "", "", IFERROR(FAO220 / SUMIFS(Aux_Totales!$N:$N, Aux_Totales!$F:$F, $F224, Aux_Totales!$A:$A,#REF!), 0))</f>
        <v/>
      </c>
      <c r="FAP224" s="19" t="str">
        <f>IF(FAP220 = "", "", IFERROR(FAP220 / SUMIFS(Aux_Totales!$N:$N, Aux_Totales!$F:$F, $F224, Aux_Totales!$A:$A,#REF!), 0))</f>
        <v/>
      </c>
      <c r="FAQ224" s="19" t="str">
        <f>IF(FAQ220 = "", "", IFERROR(FAQ220 / SUMIFS(Aux_Totales!$N:$N, Aux_Totales!$F:$F, $F224, Aux_Totales!$A:$A,#REF!), 0))</f>
        <v/>
      </c>
      <c r="FAR224" s="19" t="str">
        <f>IF(FAR220 = "", "", IFERROR(FAR220 / SUMIFS(Aux_Totales!$N:$N, Aux_Totales!$F:$F, $F224, Aux_Totales!$A:$A,#REF!), 0))</f>
        <v/>
      </c>
      <c r="FAS224" s="19" t="str">
        <f>IF(FAS220 = "", "", IFERROR(FAS220 / SUMIFS(Aux_Totales!$N:$N, Aux_Totales!$F:$F, $F224, Aux_Totales!$A:$A,#REF!), 0))</f>
        <v/>
      </c>
      <c r="FAT224" s="19" t="str">
        <f>IF(FAT220 = "", "", IFERROR(FAT220 / SUMIFS(Aux_Totales!$N:$N, Aux_Totales!$F:$F, $F224, Aux_Totales!$A:$A,#REF!), 0))</f>
        <v/>
      </c>
      <c r="FAU224" s="19" t="str">
        <f>IF(FAU220 = "", "", IFERROR(FAU220 / SUMIFS(Aux_Totales!$N:$N, Aux_Totales!$F:$F, $F224, Aux_Totales!$A:$A,#REF!), 0))</f>
        <v/>
      </c>
      <c r="FAV224" s="19" t="str">
        <f>IF(FAV220 = "", "", IFERROR(FAV220 / SUMIFS(Aux_Totales!$N:$N, Aux_Totales!$F:$F, $F224, Aux_Totales!$A:$A,#REF!), 0))</f>
        <v/>
      </c>
      <c r="FAW224" s="19" t="str">
        <f>IF(FAW220 = "", "", IFERROR(FAW220 / SUMIFS(Aux_Totales!$N:$N, Aux_Totales!$F:$F, $F224, Aux_Totales!$A:$A,#REF!), 0))</f>
        <v/>
      </c>
      <c r="FAX224" s="19" t="str">
        <f>IF(FAX220 = "", "", IFERROR(FAX220 / SUMIFS(Aux_Totales!$N:$N, Aux_Totales!$F:$F, $F224, Aux_Totales!$A:$A,#REF!), 0))</f>
        <v/>
      </c>
      <c r="FAY224" s="19" t="str">
        <f>IF(FAY220 = "", "", IFERROR(FAY220 / SUMIFS(Aux_Totales!$N:$N, Aux_Totales!$F:$F, $F224, Aux_Totales!$A:$A,#REF!), 0))</f>
        <v/>
      </c>
      <c r="FAZ224" s="19" t="str">
        <f>IF(FAZ220 = "", "", IFERROR(FAZ220 / SUMIFS(Aux_Totales!$N:$N, Aux_Totales!$F:$F, $F224, Aux_Totales!$A:$A,#REF!), 0))</f>
        <v/>
      </c>
      <c r="FBA224" s="19" t="str">
        <f>IF(FBA220 = "", "", IFERROR(FBA220 / SUMIFS(Aux_Totales!$N:$N, Aux_Totales!$F:$F, $F224, Aux_Totales!$A:$A,#REF!), 0))</f>
        <v/>
      </c>
      <c r="FBB224" s="19" t="str">
        <f>IF(FBB220 = "", "", IFERROR(FBB220 / SUMIFS(Aux_Totales!$N:$N, Aux_Totales!$F:$F, $F224, Aux_Totales!$A:$A,#REF!), 0))</f>
        <v/>
      </c>
      <c r="FBC224" s="19" t="str">
        <f>IF(FBC220 = "", "", IFERROR(FBC220 / SUMIFS(Aux_Totales!$N:$N, Aux_Totales!$F:$F, $F224, Aux_Totales!$A:$A,#REF!), 0))</f>
        <v/>
      </c>
      <c r="FBD224" s="19" t="str">
        <f>IF(FBD220 = "", "", IFERROR(FBD220 / SUMIFS(Aux_Totales!$N:$N, Aux_Totales!$F:$F, $F224, Aux_Totales!$A:$A,#REF!), 0))</f>
        <v/>
      </c>
      <c r="FBE224" s="19" t="str">
        <f>IF(FBE220 = "", "", IFERROR(FBE220 / SUMIFS(Aux_Totales!$N:$N, Aux_Totales!$F:$F, $F224, Aux_Totales!$A:$A,#REF!), 0))</f>
        <v/>
      </c>
      <c r="FBF224" s="19" t="str">
        <f>IF(FBF220 = "", "", IFERROR(FBF220 / SUMIFS(Aux_Totales!$N:$N, Aux_Totales!$F:$F, $F224, Aux_Totales!$A:$A,#REF!), 0))</f>
        <v/>
      </c>
      <c r="FBG224" s="19" t="str">
        <f>IF(FBG220 = "", "", IFERROR(FBG220 / SUMIFS(Aux_Totales!$N:$N, Aux_Totales!$F:$F, $F224, Aux_Totales!$A:$A,#REF!), 0))</f>
        <v/>
      </c>
      <c r="FBH224" s="19" t="str">
        <f>IF(FBH220 = "", "", IFERROR(FBH220 / SUMIFS(Aux_Totales!$N:$N, Aux_Totales!$F:$F, $F224, Aux_Totales!$A:$A,#REF!), 0))</f>
        <v/>
      </c>
      <c r="FBI224" s="19" t="str">
        <f>IF(FBI220 = "", "", IFERROR(FBI220 / SUMIFS(Aux_Totales!$N:$N, Aux_Totales!$F:$F, $F224, Aux_Totales!$A:$A,#REF!), 0))</f>
        <v/>
      </c>
      <c r="FBJ224" s="19" t="str">
        <f>IF(FBJ220 = "", "", IFERROR(FBJ220 / SUMIFS(Aux_Totales!$N:$N, Aux_Totales!$F:$F, $F224, Aux_Totales!$A:$A,#REF!), 0))</f>
        <v/>
      </c>
      <c r="FBK224" s="19" t="str">
        <f>IF(FBK220 = "", "", IFERROR(FBK220 / SUMIFS(Aux_Totales!$N:$N, Aux_Totales!$F:$F, $F224, Aux_Totales!$A:$A,#REF!), 0))</f>
        <v/>
      </c>
      <c r="FBL224" s="19" t="str">
        <f>IF(FBL220 = "", "", IFERROR(FBL220 / SUMIFS(Aux_Totales!$N:$N, Aux_Totales!$F:$F, $F224, Aux_Totales!$A:$A,#REF!), 0))</f>
        <v/>
      </c>
      <c r="FBM224" s="19" t="str">
        <f>IF(FBM220 = "", "", IFERROR(FBM220 / SUMIFS(Aux_Totales!$N:$N, Aux_Totales!$F:$F, $F224, Aux_Totales!$A:$A,#REF!), 0))</f>
        <v/>
      </c>
      <c r="FBN224" s="19" t="str">
        <f>IF(FBN220 = "", "", IFERROR(FBN220 / SUMIFS(Aux_Totales!$N:$N, Aux_Totales!$F:$F, $F224, Aux_Totales!$A:$A,#REF!), 0))</f>
        <v/>
      </c>
      <c r="FBO224" s="19" t="str">
        <f>IF(FBO220 = "", "", IFERROR(FBO220 / SUMIFS(Aux_Totales!$N:$N, Aux_Totales!$F:$F, $F224, Aux_Totales!$A:$A,#REF!), 0))</f>
        <v/>
      </c>
      <c r="FBP224" s="19" t="str">
        <f>IF(FBP220 = "", "", IFERROR(FBP220 / SUMIFS(Aux_Totales!$N:$N, Aux_Totales!$F:$F, $F224, Aux_Totales!$A:$A,#REF!), 0))</f>
        <v/>
      </c>
      <c r="FBQ224" s="19" t="str">
        <f>IF(FBQ220 = "", "", IFERROR(FBQ220 / SUMIFS(Aux_Totales!$N:$N, Aux_Totales!$F:$F, $F224, Aux_Totales!$A:$A,#REF!), 0))</f>
        <v/>
      </c>
      <c r="FBR224" s="19" t="str">
        <f>IF(FBR220 = "", "", IFERROR(FBR220 / SUMIFS(Aux_Totales!$N:$N, Aux_Totales!$F:$F, $F224, Aux_Totales!$A:$A,#REF!), 0))</f>
        <v/>
      </c>
      <c r="FBS224" s="19" t="str">
        <f>IF(FBS220 = "", "", IFERROR(FBS220 / SUMIFS(Aux_Totales!$N:$N, Aux_Totales!$F:$F, $F224, Aux_Totales!$A:$A,#REF!), 0))</f>
        <v/>
      </c>
      <c r="FBT224" s="19" t="str">
        <f>IF(FBT220 = "", "", IFERROR(FBT220 / SUMIFS(Aux_Totales!$N:$N, Aux_Totales!$F:$F, $F224, Aux_Totales!$A:$A,#REF!), 0))</f>
        <v/>
      </c>
      <c r="FBU224" s="19" t="str">
        <f>IF(FBU220 = "", "", IFERROR(FBU220 / SUMIFS(Aux_Totales!$N:$N, Aux_Totales!$F:$F, $F224, Aux_Totales!$A:$A,#REF!), 0))</f>
        <v/>
      </c>
      <c r="FBV224" s="19" t="str">
        <f>IF(FBV220 = "", "", IFERROR(FBV220 / SUMIFS(Aux_Totales!$N:$N, Aux_Totales!$F:$F, $F224, Aux_Totales!$A:$A,#REF!), 0))</f>
        <v/>
      </c>
      <c r="FBW224" s="19" t="str">
        <f>IF(FBW220 = "", "", IFERROR(FBW220 / SUMIFS(Aux_Totales!$N:$N, Aux_Totales!$F:$F, $F224, Aux_Totales!$A:$A,#REF!), 0))</f>
        <v/>
      </c>
      <c r="FBX224" s="19" t="str">
        <f>IF(FBX220 = "", "", IFERROR(FBX220 / SUMIFS(Aux_Totales!$N:$N, Aux_Totales!$F:$F, $F224, Aux_Totales!$A:$A,#REF!), 0))</f>
        <v/>
      </c>
      <c r="FBY224" s="19" t="str">
        <f>IF(FBY220 = "", "", IFERROR(FBY220 / SUMIFS(Aux_Totales!$N:$N, Aux_Totales!$F:$F, $F224, Aux_Totales!$A:$A,#REF!), 0))</f>
        <v/>
      </c>
      <c r="FBZ224" s="19" t="str">
        <f>IF(FBZ220 = "", "", IFERROR(FBZ220 / SUMIFS(Aux_Totales!$N:$N, Aux_Totales!$F:$F, $F224, Aux_Totales!$A:$A,#REF!), 0))</f>
        <v/>
      </c>
      <c r="FCA224" s="19" t="str">
        <f>IF(FCA220 = "", "", IFERROR(FCA220 / SUMIFS(Aux_Totales!$N:$N, Aux_Totales!$F:$F, $F224, Aux_Totales!$A:$A,#REF!), 0))</f>
        <v/>
      </c>
      <c r="FCB224" s="19" t="str">
        <f>IF(FCB220 = "", "", IFERROR(FCB220 / SUMIFS(Aux_Totales!$N:$N, Aux_Totales!$F:$F, $F224, Aux_Totales!$A:$A,#REF!), 0))</f>
        <v/>
      </c>
      <c r="FCC224" s="19" t="str">
        <f>IF(FCC220 = "", "", IFERROR(FCC220 / SUMIFS(Aux_Totales!$N:$N, Aux_Totales!$F:$F, $F224, Aux_Totales!$A:$A,#REF!), 0))</f>
        <v/>
      </c>
      <c r="FCD224" s="19" t="str">
        <f>IF(FCD220 = "", "", IFERROR(FCD220 / SUMIFS(Aux_Totales!$N:$N, Aux_Totales!$F:$F, $F224, Aux_Totales!$A:$A,#REF!), 0))</f>
        <v/>
      </c>
      <c r="FCE224" s="19" t="str">
        <f>IF(FCE220 = "", "", IFERROR(FCE220 / SUMIFS(Aux_Totales!$N:$N, Aux_Totales!$F:$F, $F224, Aux_Totales!$A:$A,#REF!), 0))</f>
        <v/>
      </c>
      <c r="FCF224" s="19" t="str">
        <f>IF(FCF220 = "", "", IFERROR(FCF220 / SUMIFS(Aux_Totales!$N:$N, Aux_Totales!$F:$F, $F224, Aux_Totales!$A:$A,#REF!), 0))</f>
        <v/>
      </c>
      <c r="FCG224" s="19" t="str">
        <f>IF(FCG220 = "", "", IFERROR(FCG220 / SUMIFS(Aux_Totales!$N:$N, Aux_Totales!$F:$F, $F224, Aux_Totales!$A:$A,#REF!), 0))</f>
        <v/>
      </c>
      <c r="FCH224" s="19" t="str">
        <f>IF(FCH220 = "", "", IFERROR(FCH220 / SUMIFS(Aux_Totales!$N:$N, Aux_Totales!$F:$F, $F224, Aux_Totales!$A:$A,#REF!), 0))</f>
        <v/>
      </c>
      <c r="FCI224" s="19" t="str">
        <f>IF(FCI220 = "", "", IFERROR(FCI220 / SUMIFS(Aux_Totales!$N:$N, Aux_Totales!$F:$F, $F224, Aux_Totales!$A:$A,#REF!), 0))</f>
        <v/>
      </c>
      <c r="FCJ224" s="19" t="str">
        <f>IF(FCJ220 = "", "", IFERROR(FCJ220 / SUMIFS(Aux_Totales!$N:$N, Aux_Totales!$F:$F, $F224, Aux_Totales!$A:$A,#REF!), 0))</f>
        <v/>
      </c>
      <c r="FCK224" s="19" t="str">
        <f>IF(FCK220 = "", "", IFERROR(FCK220 / SUMIFS(Aux_Totales!$N:$N, Aux_Totales!$F:$F, $F224, Aux_Totales!$A:$A,#REF!), 0))</f>
        <v/>
      </c>
      <c r="FCL224" s="19" t="str">
        <f>IF(FCL220 = "", "", IFERROR(FCL220 / SUMIFS(Aux_Totales!$N:$N, Aux_Totales!$F:$F, $F224, Aux_Totales!$A:$A,#REF!), 0))</f>
        <v/>
      </c>
      <c r="FCM224" s="19" t="str">
        <f>IF(FCM220 = "", "", IFERROR(FCM220 / SUMIFS(Aux_Totales!$N:$N, Aux_Totales!$F:$F, $F224, Aux_Totales!$A:$A,#REF!), 0))</f>
        <v/>
      </c>
      <c r="FCN224" s="19" t="str">
        <f>IF(FCN220 = "", "", IFERROR(FCN220 / SUMIFS(Aux_Totales!$N:$N, Aux_Totales!$F:$F, $F224, Aux_Totales!$A:$A,#REF!), 0))</f>
        <v/>
      </c>
      <c r="FCO224" s="19" t="str">
        <f>IF(FCO220 = "", "", IFERROR(FCO220 / SUMIFS(Aux_Totales!$N:$N, Aux_Totales!$F:$F, $F224, Aux_Totales!$A:$A,#REF!), 0))</f>
        <v/>
      </c>
      <c r="FCP224" s="19" t="str">
        <f>IF(FCP220 = "", "", IFERROR(FCP220 / SUMIFS(Aux_Totales!$N:$N, Aux_Totales!$F:$F, $F224, Aux_Totales!$A:$A,#REF!), 0))</f>
        <v/>
      </c>
      <c r="FCQ224" s="19" t="str">
        <f>IF(FCQ220 = "", "", IFERROR(FCQ220 / SUMIFS(Aux_Totales!$N:$N, Aux_Totales!$F:$F, $F224, Aux_Totales!$A:$A,#REF!), 0))</f>
        <v/>
      </c>
      <c r="FCR224" s="19" t="str">
        <f>IF(FCR220 = "", "", IFERROR(FCR220 / SUMIFS(Aux_Totales!$N:$N, Aux_Totales!$F:$F, $F224, Aux_Totales!$A:$A,#REF!), 0))</f>
        <v/>
      </c>
      <c r="FCS224" s="19" t="str">
        <f>IF(FCS220 = "", "", IFERROR(FCS220 / SUMIFS(Aux_Totales!$N:$N, Aux_Totales!$F:$F, $F224, Aux_Totales!$A:$A,#REF!), 0))</f>
        <v/>
      </c>
      <c r="FCT224" s="19" t="str">
        <f>IF(FCT220 = "", "", IFERROR(FCT220 / SUMIFS(Aux_Totales!$N:$N, Aux_Totales!$F:$F, $F224, Aux_Totales!$A:$A,#REF!), 0))</f>
        <v/>
      </c>
      <c r="FCU224" s="19" t="str">
        <f>IF(FCU220 = "", "", IFERROR(FCU220 / SUMIFS(Aux_Totales!$N:$N, Aux_Totales!$F:$F, $F224, Aux_Totales!$A:$A,#REF!), 0))</f>
        <v/>
      </c>
      <c r="FCV224" s="19" t="str">
        <f>IF(FCV220 = "", "", IFERROR(FCV220 / SUMIFS(Aux_Totales!$N:$N, Aux_Totales!$F:$F, $F224, Aux_Totales!$A:$A,#REF!), 0))</f>
        <v/>
      </c>
      <c r="FCW224" s="19" t="str">
        <f>IF(FCW220 = "", "", IFERROR(FCW220 / SUMIFS(Aux_Totales!$N:$N, Aux_Totales!$F:$F, $F224, Aux_Totales!$A:$A,#REF!), 0))</f>
        <v/>
      </c>
      <c r="FCX224" s="19" t="str">
        <f>IF(FCX220 = "", "", IFERROR(FCX220 / SUMIFS(Aux_Totales!$N:$N, Aux_Totales!$F:$F, $F224, Aux_Totales!$A:$A,#REF!), 0))</f>
        <v/>
      </c>
      <c r="FCY224" s="19" t="str">
        <f>IF(FCY220 = "", "", IFERROR(FCY220 / SUMIFS(Aux_Totales!$N:$N, Aux_Totales!$F:$F, $F224, Aux_Totales!$A:$A,#REF!), 0))</f>
        <v/>
      </c>
      <c r="FCZ224" s="19" t="str">
        <f>IF(FCZ220 = "", "", IFERROR(FCZ220 / SUMIFS(Aux_Totales!$N:$N, Aux_Totales!$F:$F, $F224, Aux_Totales!$A:$A,#REF!), 0))</f>
        <v/>
      </c>
      <c r="FDA224" s="19" t="str">
        <f>IF(FDA220 = "", "", IFERROR(FDA220 / SUMIFS(Aux_Totales!$N:$N, Aux_Totales!$F:$F, $F224, Aux_Totales!$A:$A,#REF!), 0))</f>
        <v/>
      </c>
      <c r="FDB224" s="19" t="str">
        <f>IF(FDB220 = "", "", IFERROR(FDB220 / SUMIFS(Aux_Totales!$N:$N, Aux_Totales!$F:$F, $F224, Aux_Totales!$A:$A,#REF!), 0))</f>
        <v/>
      </c>
      <c r="FDC224" s="19" t="str">
        <f>IF(FDC220 = "", "", IFERROR(FDC220 / SUMIFS(Aux_Totales!$N:$N, Aux_Totales!$F:$F, $F224, Aux_Totales!$A:$A,#REF!), 0))</f>
        <v/>
      </c>
      <c r="FDD224" s="19" t="str">
        <f>IF(FDD220 = "", "", IFERROR(FDD220 / SUMIFS(Aux_Totales!$N:$N, Aux_Totales!$F:$F, $F224, Aux_Totales!$A:$A,#REF!), 0))</f>
        <v/>
      </c>
      <c r="FDE224" s="19" t="str">
        <f>IF(FDE220 = "", "", IFERROR(FDE220 / SUMIFS(Aux_Totales!$N:$N, Aux_Totales!$F:$F, $F224, Aux_Totales!$A:$A,#REF!), 0))</f>
        <v/>
      </c>
      <c r="FDF224" s="19" t="str">
        <f>IF(FDF220 = "", "", IFERROR(FDF220 / SUMIFS(Aux_Totales!$N:$N, Aux_Totales!$F:$F, $F224, Aux_Totales!$A:$A,#REF!), 0))</f>
        <v/>
      </c>
      <c r="FDG224" s="19" t="str">
        <f>IF(FDG220 = "", "", IFERROR(FDG220 / SUMIFS(Aux_Totales!$N:$N, Aux_Totales!$F:$F, $F224, Aux_Totales!$A:$A,#REF!), 0))</f>
        <v/>
      </c>
      <c r="FDH224" s="19" t="str">
        <f>IF(FDH220 = "", "", IFERROR(FDH220 / SUMIFS(Aux_Totales!$N:$N, Aux_Totales!$F:$F, $F224, Aux_Totales!$A:$A,#REF!), 0))</f>
        <v/>
      </c>
      <c r="FDI224" s="19" t="str">
        <f>IF(FDI220 = "", "", IFERROR(FDI220 / SUMIFS(Aux_Totales!$N:$N, Aux_Totales!$F:$F, $F224, Aux_Totales!$A:$A,#REF!), 0))</f>
        <v/>
      </c>
      <c r="FDJ224" s="19" t="str">
        <f>IF(FDJ220 = "", "", IFERROR(FDJ220 / SUMIFS(Aux_Totales!$N:$N, Aux_Totales!$F:$F, $F224, Aux_Totales!$A:$A,#REF!), 0))</f>
        <v/>
      </c>
      <c r="FDK224" s="19" t="str">
        <f>IF(FDK220 = "", "", IFERROR(FDK220 / SUMIFS(Aux_Totales!$N:$N, Aux_Totales!$F:$F, $F224, Aux_Totales!$A:$A,#REF!), 0))</f>
        <v/>
      </c>
      <c r="FDL224" s="19" t="str">
        <f>IF(FDL220 = "", "", IFERROR(FDL220 / SUMIFS(Aux_Totales!$N:$N, Aux_Totales!$F:$F, $F224, Aux_Totales!$A:$A,#REF!), 0))</f>
        <v/>
      </c>
      <c r="FDM224" s="19" t="str">
        <f>IF(FDM220 = "", "", IFERROR(FDM220 / SUMIFS(Aux_Totales!$N:$N, Aux_Totales!$F:$F, $F224, Aux_Totales!$A:$A,#REF!), 0))</f>
        <v/>
      </c>
      <c r="FDN224" s="19" t="str">
        <f>IF(FDN220 = "", "", IFERROR(FDN220 / SUMIFS(Aux_Totales!$N:$N, Aux_Totales!$F:$F, $F224, Aux_Totales!$A:$A,#REF!), 0))</f>
        <v/>
      </c>
      <c r="FDO224" s="19" t="str">
        <f>IF(FDO220 = "", "", IFERROR(FDO220 / SUMIFS(Aux_Totales!$N:$N, Aux_Totales!$F:$F, $F224, Aux_Totales!$A:$A,#REF!), 0))</f>
        <v/>
      </c>
      <c r="FDP224" s="19" t="str">
        <f>IF(FDP220 = "", "", IFERROR(FDP220 / SUMIFS(Aux_Totales!$N:$N, Aux_Totales!$F:$F, $F224, Aux_Totales!$A:$A,#REF!), 0))</f>
        <v/>
      </c>
      <c r="FDQ224" s="19" t="str">
        <f>IF(FDQ220 = "", "", IFERROR(FDQ220 / SUMIFS(Aux_Totales!$N:$N, Aux_Totales!$F:$F, $F224, Aux_Totales!$A:$A,#REF!), 0))</f>
        <v/>
      </c>
      <c r="FDR224" s="19" t="str">
        <f>IF(FDR220 = "", "", IFERROR(FDR220 / SUMIFS(Aux_Totales!$N:$N, Aux_Totales!$F:$F, $F224, Aux_Totales!$A:$A,#REF!), 0))</f>
        <v/>
      </c>
      <c r="FDS224" s="19" t="str">
        <f>IF(FDS220 = "", "", IFERROR(FDS220 / SUMIFS(Aux_Totales!$N:$N, Aux_Totales!$F:$F, $F224, Aux_Totales!$A:$A,#REF!), 0))</f>
        <v/>
      </c>
      <c r="FDT224" s="19" t="str">
        <f>IF(FDT220 = "", "", IFERROR(FDT220 / SUMIFS(Aux_Totales!$N:$N, Aux_Totales!$F:$F, $F224, Aux_Totales!$A:$A,#REF!), 0))</f>
        <v/>
      </c>
      <c r="FDU224" s="19" t="str">
        <f>IF(FDU220 = "", "", IFERROR(FDU220 / SUMIFS(Aux_Totales!$N:$N, Aux_Totales!$F:$F, $F224, Aux_Totales!$A:$A,#REF!), 0))</f>
        <v/>
      </c>
      <c r="FDV224" s="19" t="str">
        <f>IF(FDV220 = "", "", IFERROR(FDV220 / SUMIFS(Aux_Totales!$N:$N, Aux_Totales!$F:$F, $F224, Aux_Totales!$A:$A,#REF!), 0))</f>
        <v/>
      </c>
      <c r="FDW224" s="19" t="str">
        <f>IF(FDW220 = "", "", IFERROR(FDW220 / SUMIFS(Aux_Totales!$N:$N, Aux_Totales!$F:$F, $F224, Aux_Totales!$A:$A,#REF!), 0))</f>
        <v/>
      </c>
      <c r="FDX224" s="19" t="str">
        <f>IF(FDX220 = "", "", IFERROR(FDX220 / SUMIFS(Aux_Totales!$N:$N, Aux_Totales!$F:$F, $F224, Aux_Totales!$A:$A,#REF!), 0))</f>
        <v/>
      </c>
      <c r="FDY224" s="19" t="str">
        <f>IF(FDY220 = "", "", IFERROR(FDY220 / SUMIFS(Aux_Totales!$N:$N, Aux_Totales!$F:$F, $F224, Aux_Totales!$A:$A,#REF!), 0))</f>
        <v/>
      </c>
      <c r="FDZ224" s="19" t="str">
        <f>IF(FDZ220 = "", "", IFERROR(FDZ220 / SUMIFS(Aux_Totales!$N:$N, Aux_Totales!$F:$F, $F224, Aux_Totales!$A:$A,#REF!), 0))</f>
        <v/>
      </c>
      <c r="FEA224" s="19" t="str">
        <f>IF(FEA220 = "", "", IFERROR(FEA220 / SUMIFS(Aux_Totales!$N:$N, Aux_Totales!$F:$F, $F224, Aux_Totales!$A:$A,#REF!), 0))</f>
        <v/>
      </c>
      <c r="FEB224" s="19" t="str">
        <f>IF(FEB220 = "", "", IFERROR(FEB220 / SUMIFS(Aux_Totales!$N:$N, Aux_Totales!$F:$F, $F224, Aux_Totales!$A:$A,#REF!), 0))</f>
        <v/>
      </c>
      <c r="FEC224" s="19" t="str">
        <f>IF(FEC220 = "", "", IFERROR(FEC220 / SUMIFS(Aux_Totales!$N:$N, Aux_Totales!$F:$F, $F224, Aux_Totales!$A:$A,#REF!), 0))</f>
        <v/>
      </c>
      <c r="FED224" s="19" t="str">
        <f>IF(FED220 = "", "", IFERROR(FED220 / SUMIFS(Aux_Totales!$N:$N, Aux_Totales!$F:$F, $F224, Aux_Totales!$A:$A,#REF!), 0))</f>
        <v/>
      </c>
      <c r="FEE224" s="19" t="str">
        <f>IF(FEE220 = "", "", IFERROR(FEE220 / SUMIFS(Aux_Totales!$N:$N, Aux_Totales!$F:$F, $F224, Aux_Totales!$A:$A,#REF!), 0))</f>
        <v/>
      </c>
      <c r="FEF224" s="19" t="str">
        <f>IF(FEF220 = "", "", IFERROR(FEF220 / SUMIFS(Aux_Totales!$N:$N, Aux_Totales!$F:$F, $F224, Aux_Totales!$A:$A,#REF!), 0))</f>
        <v/>
      </c>
      <c r="FEG224" s="19" t="str">
        <f>IF(FEG220 = "", "", IFERROR(FEG220 / SUMIFS(Aux_Totales!$N:$N, Aux_Totales!$F:$F, $F224, Aux_Totales!$A:$A,#REF!), 0))</f>
        <v/>
      </c>
      <c r="FEH224" s="19" t="str">
        <f>IF(FEH220 = "", "", IFERROR(FEH220 / SUMIFS(Aux_Totales!$N:$N, Aux_Totales!$F:$F, $F224, Aux_Totales!$A:$A,#REF!), 0))</f>
        <v/>
      </c>
      <c r="FEI224" s="19" t="str">
        <f>IF(FEI220 = "", "", IFERROR(FEI220 / SUMIFS(Aux_Totales!$N:$N, Aux_Totales!$F:$F, $F224, Aux_Totales!$A:$A,#REF!), 0))</f>
        <v/>
      </c>
      <c r="FEJ224" s="19" t="str">
        <f>IF(FEJ220 = "", "", IFERROR(FEJ220 / SUMIFS(Aux_Totales!$N:$N, Aux_Totales!$F:$F, $F224, Aux_Totales!$A:$A,#REF!), 0))</f>
        <v/>
      </c>
      <c r="FEK224" s="19" t="str">
        <f>IF(FEK220 = "", "", IFERROR(FEK220 / SUMIFS(Aux_Totales!$N:$N, Aux_Totales!$F:$F, $F224, Aux_Totales!$A:$A,#REF!), 0))</f>
        <v/>
      </c>
      <c r="FEL224" s="19" t="str">
        <f>IF(FEL220 = "", "", IFERROR(FEL220 / SUMIFS(Aux_Totales!$N:$N, Aux_Totales!$F:$F, $F224, Aux_Totales!$A:$A,#REF!), 0))</f>
        <v/>
      </c>
      <c r="FEM224" s="19" t="str">
        <f>IF(FEM220 = "", "", IFERROR(FEM220 / SUMIFS(Aux_Totales!$N:$N, Aux_Totales!$F:$F, $F224, Aux_Totales!$A:$A,#REF!), 0))</f>
        <v/>
      </c>
      <c r="FEN224" s="19" t="str">
        <f>IF(FEN220 = "", "", IFERROR(FEN220 / SUMIFS(Aux_Totales!$N:$N, Aux_Totales!$F:$F, $F224, Aux_Totales!$A:$A,#REF!), 0))</f>
        <v/>
      </c>
      <c r="FEO224" s="19" t="str">
        <f>IF(FEO220 = "", "", IFERROR(FEO220 / SUMIFS(Aux_Totales!$N:$N, Aux_Totales!$F:$F, $F224, Aux_Totales!$A:$A,#REF!), 0))</f>
        <v/>
      </c>
      <c r="FEP224" s="19" t="str">
        <f>IF(FEP220 = "", "", IFERROR(FEP220 / SUMIFS(Aux_Totales!$N:$N, Aux_Totales!$F:$F, $F224, Aux_Totales!$A:$A,#REF!), 0))</f>
        <v/>
      </c>
      <c r="FEQ224" s="19" t="str">
        <f>IF(FEQ220 = "", "", IFERROR(FEQ220 / SUMIFS(Aux_Totales!$N:$N, Aux_Totales!$F:$F, $F224, Aux_Totales!$A:$A,#REF!), 0))</f>
        <v/>
      </c>
      <c r="FER224" s="19" t="str">
        <f>IF(FER220 = "", "", IFERROR(FER220 / SUMIFS(Aux_Totales!$N:$N, Aux_Totales!$F:$F, $F224, Aux_Totales!$A:$A,#REF!), 0))</f>
        <v/>
      </c>
      <c r="FES224" s="19" t="str">
        <f>IF(FES220 = "", "", IFERROR(FES220 / SUMIFS(Aux_Totales!$N:$N, Aux_Totales!$F:$F, $F224, Aux_Totales!$A:$A,#REF!), 0))</f>
        <v/>
      </c>
      <c r="FET224" s="19" t="str">
        <f>IF(FET220 = "", "", IFERROR(FET220 / SUMIFS(Aux_Totales!$N:$N, Aux_Totales!$F:$F, $F224, Aux_Totales!$A:$A,#REF!), 0))</f>
        <v/>
      </c>
      <c r="FEU224" s="19" t="str">
        <f>IF(FEU220 = "", "", IFERROR(FEU220 / SUMIFS(Aux_Totales!$N:$N, Aux_Totales!$F:$F, $F224, Aux_Totales!$A:$A,#REF!), 0))</f>
        <v/>
      </c>
      <c r="FEV224" s="19" t="str">
        <f>IF(FEV220 = "", "", IFERROR(FEV220 / SUMIFS(Aux_Totales!$N:$N, Aux_Totales!$F:$F, $F224, Aux_Totales!$A:$A,#REF!), 0))</f>
        <v/>
      </c>
      <c r="FEW224" s="19" t="str">
        <f>IF(FEW220 = "", "", IFERROR(FEW220 / SUMIFS(Aux_Totales!$N:$N, Aux_Totales!$F:$F, $F224, Aux_Totales!$A:$A,#REF!), 0))</f>
        <v/>
      </c>
      <c r="FEX224" s="19" t="str">
        <f>IF(FEX220 = "", "", IFERROR(FEX220 / SUMIFS(Aux_Totales!$N:$N, Aux_Totales!$F:$F, $F224, Aux_Totales!$A:$A,#REF!), 0))</f>
        <v/>
      </c>
      <c r="FEY224" s="19" t="str">
        <f>IF(FEY220 = "", "", IFERROR(FEY220 / SUMIFS(Aux_Totales!$N:$N, Aux_Totales!$F:$F, $F224, Aux_Totales!$A:$A,#REF!), 0))</f>
        <v/>
      </c>
      <c r="FEZ224" s="19" t="str">
        <f>IF(FEZ220 = "", "", IFERROR(FEZ220 / SUMIFS(Aux_Totales!$N:$N, Aux_Totales!$F:$F, $F224, Aux_Totales!$A:$A,#REF!), 0))</f>
        <v/>
      </c>
      <c r="FFA224" s="19" t="str">
        <f>IF(FFA220 = "", "", IFERROR(FFA220 / SUMIFS(Aux_Totales!$N:$N, Aux_Totales!$F:$F, $F224, Aux_Totales!$A:$A,#REF!), 0))</f>
        <v/>
      </c>
      <c r="FFB224" s="19" t="str">
        <f>IF(FFB220 = "", "", IFERROR(FFB220 / SUMIFS(Aux_Totales!$N:$N, Aux_Totales!$F:$F, $F224, Aux_Totales!$A:$A,#REF!), 0))</f>
        <v/>
      </c>
      <c r="FFC224" s="19" t="str">
        <f>IF(FFC220 = "", "", IFERROR(FFC220 / SUMIFS(Aux_Totales!$N:$N, Aux_Totales!$F:$F, $F224, Aux_Totales!$A:$A,#REF!), 0))</f>
        <v/>
      </c>
      <c r="FFD224" s="19" t="str">
        <f>IF(FFD220 = "", "", IFERROR(FFD220 / SUMIFS(Aux_Totales!$N:$N, Aux_Totales!$F:$F, $F224, Aux_Totales!$A:$A,#REF!), 0))</f>
        <v/>
      </c>
      <c r="FFE224" s="19" t="str">
        <f>IF(FFE220 = "", "", IFERROR(FFE220 / SUMIFS(Aux_Totales!$N:$N, Aux_Totales!$F:$F, $F224, Aux_Totales!$A:$A,#REF!), 0))</f>
        <v/>
      </c>
      <c r="FFF224" s="19" t="str">
        <f>IF(FFF220 = "", "", IFERROR(FFF220 / SUMIFS(Aux_Totales!$N:$N, Aux_Totales!$F:$F, $F224, Aux_Totales!$A:$A,#REF!), 0))</f>
        <v/>
      </c>
      <c r="FFG224" s="19" t="str">
        <f>IF(FFG220 = "", "", IFERROR(FFG220 / SUMIFS(Aux_Totales!$N:$N, Aux_Totales!$F:$F, $F224, Aux_Totales!$A:$A,#REF!), 0))</f>
        <v/>
      </c>
      <c r="FFH224" s="19" t="str">
        <f>IF(FFH220 = "", "", IFERROR(FFH220 / SUMIFS(Aux_Totales!$N:$N, Aux_Totales!$F:$F, $F224, Aux_Totales!$A:$A,#REF!), 0))</f>
        <v/>
      </c>
      <c r="FFI224" s="19" t="str">
        <f>IF(FFI220 = "", "", IFERROR(FFI220 / SUMIFS(Aux_Totales!$N:$N, Aux_Totales!$F:$F, $F224, Aux_Totales!$A:$A,#REF!), 0))</f>
        <v/>
      </c>
      <c r="FFJ224" s="19" t="str">
        <f>IF(FFJ220 = "", "", IFERROR(FFJ220 / SUMIFS(Aux_Totales!$N:$N, Aux_Totales!$F:$F, $F224, Aux_Totales!$A:$A,#REF!), 0))</f>
        <v/>
      </c>
      <c r="FFK224" s="19" t="str">
        <f>IF(FFK220 = "", "", IFERROR(FFK220 / SUMIFS(Aux_Totales!$N:$N, Aux_Totales!$F:$F, $F224, Aux_Totales!$A:$A,#REF!), 0))</f>
        <v/>
      </c>
      <c r="FFL224" s="19" t="str">
        <f>IF(FFL220 = "", "", IFERROR(FFL220 / SUMIFS(Aux_Totales!$N:$N, Aux_Totales!$F:$F, $F224, Aux_Totales!$A:$A,#REF!), 0))</f>
        <v/>
      </c>
      <c r="FFM224" s="19" t="str">
        <f>IF(FFM220 = "", "", IFERROR(FFM220 / SUMIFS(Aux_Totales!$N:$N, Aux_Totales!$F:$F, $F224, Aux_Totales!$A:$A,#REF!), 0))</f>
        <v/>
      </c>
      <c r="FFN224" s="19" t="str">
        <f>IF(FFN220 = "", "", IFERROR(FFN220 / SUMIFS(Aux_Totales!$N:$N, Aux_Totales!$F:$F, $F224, Aux_Totales!$A:$A,#REF!), 0))</f>
        <v/>
      </c>
      <c r="FFO224" s="19" t="str">
        <f>IF(FFO220 = "", "", IFERROR(FFO220 / SUMIFS(Aux_Totales!$N:$N, Aux_Totales!$F:$F, $F224, Aux_Totales!$A:$A,#REF!), 0))</f>
        <v/>
      </c>
      <c r="FFP224" s="19" t="str">
        <f>IF(FFP220 = "", "", IFERROR(FFP220 / SUMIFS(Aux_Totales!$N:$N, Aux_Totales!$F:$F, $F224, Aux_Totales!$A:$A,#REF!), 0))</f>
        <v/>
      </c>
      <c r="FFQ224" s="19" t="str">
        <f>IF(FFQ220 = "", "", IFERROR(FFQ220 / SUMIFS(Aux_Totales!$N:$N, Aux_Totales!$F:$F, $F224, Aux_Totales!$A:$A,#REF!), 0))</f>
        <v/>
      </c>
      <c r="FFR224" s="19" t="str">
        <f>IF(FFR220 = "", "", IFERROR(FFR220 / SUMIFS(Aux_Totales!$N:$N, Aux_Totales!$F:$F, $F224, Aux_Totales!$A:$A,#REF!), 0))</f>
        <v/>
      </c>
      <c r="FFS224" s="19" t="str">
        <f>IF(FFS220 = "", "", IFERROR(FFS220 / SUMIFS(Aux_Totales!$N:$N, Aux_Totales!$F:$F, $F224, Aux_Totales!$A:$A,#REF!), 0))</f>
        <v/>
      </c>
      <c r="FFT224" s="19" t="str">
        <f>IF(FFT220 = "", "", IFERROR(FFT220 / SUMIFS(Aux_Totales!$N:$N, Aux_Totales!$F:$F, $F224, Aux_Totales!$A:$A,#REF!), 0))</f>
        <v/>
      </c>
      <c r="FFU224" s="19" t="str">
        <f>IF(FFU220 = "", "", IFERROR(FFU220 / SUMIFS(Aux_Totales!$N:$N, Aux_Totales!$F:$F, $F224, Aux_Totales!$A:$A,#REF!), 0))</f>
        <v/>
      </c>
      <c r="FFV224" s="19" t="str">
        <f>IF(FFV220 = "", "", IFERROR(FFV220 / SUMIFS(Aux_Totales!$N:$N, Aux_Totales!$F:$F, $F224, Aux_Totales!$A:$A,#REF!), 0))</f>
        <v/>
      </c>
      <c r="FFW224" s="19" t="str">
        <f>IF(FFW220 = "", "", IFERROR(FFW220 / SUMIFS(Aux_Totales!$N:$N, Aux_Totales!$F:$F, $F224, Aux_Totales!$A:$A,#REF!), 0))</f>
        <v/>
      </c>
      <c r="FFX224" s="19" t="str">
        <f>IF(FFX220 = "", "", IFERROR(FFX220 / SUMIFS(Aux_Totales!$N:$N, Aux_Totales!$F:$F, $F224, Aux_Totales!$A:$A,#REF!), 0))</f>
        <v/>
      </c>
      <c r="FFY224" s="19" t="str">
        <f>IF(FFY220 = "", "", IFERROR(FFY220 / SUMIFS(Aux_Totales!$N:$N, Aux_Totales!$F:$F, $F224, Aux_Totales!$A:$A,#REF!), 0))</f>
        <v/>
      </c>
      <c r="FFZ224" s="19" t="str">
        <f>IF(FFZ220 = "", "", IFERROR(FFZ220 / SUMIFS(Aux_Totales!$N:$N, Aux_Totales!$F:$F, $F224, Aux_Totales!$A:$A,#REF!), 0))</f>
        <v/>
      </c>
      <c r="FGA224" s="19" t="str">
        <f>IF(FGA220 = "", "", IFERROR(FGA220 / SUMIFS(Aux_Totales!$N:$N, Aux_Totales!$F:$F, $F224, Aux_Totales!$A:$A,#REF!), 0))</f>
        <v/>
      </c>
      <c r="FGB224" s="19" t="str">
        <f>IF(FGB220 = "", "", IFERROR(FGB220 / SUMIFS(Aux_Totales!$N:$N, Aux_Totales!$F:$F, $F224, Aux_Totales!$A:$A,#REF!), 0))</f>
        <v/>
      </c>
      <c r="FGC224" s="19" t="str">
        <f>IF(FGC220 = "", "", IFERROR(FGC220 / SUMIFS(Aux_Totales!$N:$N, Aux_Totales!$F:$F, $F224, Aux_Totales!$A:$A,#REF!), 0))</f>
        <v/>
      </c>
      <c r="FGD224" s="19" t="str">
        <f>IF(FGD220 = "", "", IFERROR(FGD220 / SUMIFS(Aux_Totales!$N:$N, Aux_Totales!$F:$F, $F224, Aux_Totales!$A:$A,#REF!), 0))</f>
        <v/>
      </c>
      <c r="FGE224" s="19" t="str">
        <f>IF(FGE220 = "", "", IFERROR(FGE220 / SUMIFS(Aux_Totales!$N:$N, Aux_Totales!$F:$F, $F224, Aux_Totales!$A:$A,#REF!), 0))</f>
        <v/>
      </c>
      <c r="FGF224" s="19" t="str">
        <f>IF(FGF220 = "", "", IFERROR(FGF220 / SUMIFS(Aux_Totales!$N:$N, Aux_Totales!$F:$F, $F224, Aux_Totales!$A:$A,#REF!), 0))</f>
        <v/>
      </c>
      <c r="FGG224" s="19" t="str">
        <f>IF(FGG220 = "", "", IFERROR(FGG220 / SUMIFS(Aux_Totales!$N:$N, Aux_Totales!$F:$F, $F224, Aux_Totales!$A:$A,#REF!), 0))</f>
        <v/>
      </c>
      <c r="FGH224" s="19" t="str">
        <f>IF(FGH220 = "", "", IFERROR(FGH220 / SUMIFS(Aux_Totales!$N:$N, Aux_Totales!$F:$F, $F224, Aux_Totales!$A:$A,#REF!), 0))</f>
        <v/>
      </c>
      <c r="FGI224" s="19" t="str">
        <f>IF(FGI220 = "", "", IFERROR(FGI220 / SUMIFS(Aux_Totales!$N:$N, Aux_Totales!$F:$F, $F224, Aux_Totales!$A:$A,#REF!), 0))</f>
        <v/>
      </c>
      <c r="FGJ224" s="19" t="str">
        <f>IF(FGJ220 = "", "", IFERROR(FGJ220 / SUMIFS(Aux_Totales!$N:$N, Aux_Totales!$F:$F, $F224, Aux_Totales!$A:$A,#REF!), 0))</f>
        <v/>
      </c>
      <c r="FGK224" s="19" t="str">
        <f>IF(FGK220 = "", "", IFERROR(FGK220 / SUMIFS(Aux_Totales!$N:$N, Aux_Totales!$F:$F, $F224, Aux_Totales!$A:$A,#REF!), 0))</f>
        <v/>
      </c>
      <c r="FGL224" s="19" t="str">
        <f>IF(FGL220 = "", "", IFERROR(FGL220 / SUMIFS(Aux_Totales!$N:$N, Aux_Totales!$F:$F, $F224, Aux_Totales!$A:$A,#REF!), 0))</f>
        <v/>
      </c>
      <c r="FGM224" s="19" t="str">
        <f>IF(FGM220 = "", "", IFERROR(FGM220 / SUMIFS(Aux_Totales!$N:$N, Aux_Totales!$F:$F, $F224, Aux_Totales!$A:$A,#REF!), 0))</f>
        <v/>
      </c>
      <c r="FGN224" s="19" t="str">
        <f>IF(FGN220 = "", "", IFERROR(FGN220 / SUMIFS(Aux_Totales!$N:$N, Aux_Totales!$F:$F, $F224, Aux_Totales!$A:$A,#REF!), 0))</f>
        <v/>
      </c>
      <c r="FGO224" s="19" t="str">
        <f>IF(FGO220 = "", "", IFERROR(FGO220 / SUMIFS(Aux_Totales!$N:$N, Aux_Totales!$F:$F, $F224, Aux_Totales!$A:$A,#REF!), 0))</f>
        <v/>
      </c>
      <c r="FGP224" s="19" t="str">
        <f>IF(FGP220 = "", "", IFERROR(FGP220 / SUMIFS(Aux_Totales!$N:$N, Aux_Totales!$F:$F, $F224, Aux_Totales!$A:$A,#REF!), 0))</f>
        <v/>
      </c>
      <c r="FGQ224" s="19" t="str">
        <f>IF(FGQ220 = "", "", IFERROR(FGQ220 / SUMIFS(Aux_Totales!$N:$N, Aux_Totales!$F:$F, $F224, Aux_Totales!$A:$A,#REF!), 0))</f>
        <v/>
      </c>
      <c r="FGR224" s="19" t="str">
        <f>IF(FGR220 = "", "", IFERROR(FGR220 / SUMIFS(Aux_Totales!$N:$N, Aux_Totales!$F:$F, $F224, Aux_Totales!$A:$A,#REF!), 0))</f>
        <v/>
      </c>
      <c r="FGS224" s="19" t="str">
        <f>IF(FGS220 = "", "", IFERROR(FGS220 / SUMIFS(Aux_Totales!$N:$N, Aux_Totales!$F:$F, $F224, Aux_Totales!$A:$A,#REF!), 0))</f>
        <v/>
      </c>
      <c r="FGT224" s="19" t="str">
        <f>IF(FGT220 = "", "", IFERROR(FGT220 / SUMIFS(Aux_Totales!$N:$N, Aux_Totales!$F:$F, $F224, Aux_Totales!$A:$A,#REF!), 0))</f>
        <v/>
      </c>
      <c r="FGU224" s="19" t="str">
        <f>IF(FGU220 = "", "", IFERROR(FGU220 / SUMIFS(Aux_Totales!$N:$N, Aux_Totales!$F:$F, $F224, Aux_Totales!$A:$A,#REF!), 0))</f>
        <v/>
      </c>
      <c r="FGV224" s="19" t="str">
        <f>IF(FGV220 = "", "", IFERROR(FGV220 / SUMIFS(Aux_Totales!$N:$N, Aux_Totales!$F:$F, $F224, Aux_Totales!$A:$A,#REF!), 0))</f>
        <v/>
      </c>
      <c r="FGW224" s="19" t="str">
        <f>IF(FGW220 = "", "", IFERROR(FGW220 / SUMIFS(Aux_Totales!$N:$N, Aux_Totales!$F:$F, $F224, Aux_Totales!$A:$A,#REF!), 0))</f>
        <v/>
      </c>
      <c r="FGX224" s="19" t="str">
        <f>IF(FGX220 = "", "", IFERROR(FGX220 / SUMIFS(Aux_Totales!$N:$N, Aux_Totales!$F:$F, $F224, Aux_Totales!$A:$A,#REF!), 0))</f>
        <v/>
      </c>
      <c r="FGY224" s="19" t="str">
        <f>IF(FGY220 = "", "", IFERROR(FGY220 / SUMIFS(Aux_Totales!$N:$N, Aux_Totales!$F:$F, $F224, Aux_Totales!$A:$A,#REF!), 0))</f>
        <v/>
      </c>
      <c r="FGZ224" s="19" t="str">
        <f>IF(FGZ220 = "", "", IFERROR(FGZ220 / SUMIFS(Aux_Totales!$N:$N, Aux_Totales!$F:$F, $F224, Aux_Totales!$A:$A,#REF!), 0))</f>
        <v/>
      </c>
      <c r="FHA224" s="19" t="str">
        <f>IF(FHA220 = "", "", IFERROR(FHA220 / SUMIFS(Aux_Totales!$N:$N, Aux_Totales!$F:$F, $F224, Aux_Totales!$A:$A,#REF!), 0))</f>
        <v/>
      </c>
      <c r="FHB224" s="19" t="str">
        <f>IF(FHB220 = "", "", IFERROR(FHB220 / SUMIFS(Aux_Totales!$N:$N, Aux_Totales!$F:$F, $F224, Aux_Totales!$A:$A,#REF!), 0))</f>
        <v/>
      </c>
      <c r="FHC224" s="19" t="str">
        <f>IF(FHC220 = "", "", IFERROR(FHC220 / SUMIFS(Aux_Totales!$N:$N, Aux_Totales!$F:$F, $F224, Aux_Totales!$A:$A,#REF!), 0))</f>
        <v/>
      </c>
      <c r="FHD224" s="19" t="str">
        <f>IF(FHD220 = "", "", IFERROR(FHD220 / SUMIFS(Aux_Totales!$N:$N, Aux_Totales!$F:$F, $F224, Aux_Totales!$A:$A,#REF!), 0))</f>
        <v/>
      </c>
      <c r="FHE224" s="19" t="str">
        <f>IF(FHE220 = "", "", IFERROR(FHE220 / SUMIFS(Aux_Totales!$N:$N, Aux_Totales!$F:$F, $F224, Aux_Totales!$A:$A,#REF!), 0))</f>
        <v/>
      </c>
      <c r="FHF224" s="19" t="str">
        <f>IF(FHF220 = "", "", IFERROR(FHF220 / SUMIFS(Aux_Totales!$N:$N, Aux_Totales!$F:$F, $F224, Aux_Totales!$A:$A,#REF!), 0))</f>
        <v/>
      </c>
      <c r="FHG224" s="19" t="str">
        <f>IF(FHG220 = "", "", IFERROR(FHG220 / SUMIFS(Aux_Totales!$N:$N, Aux_Totales!$F:$F, $F224, Aux_Totales!$A:$A,#REF!), 0))</f>
        <v/>
      </c>
      <c r="FHH224" s="19" t="str">
        <f>IF(FHH220 = "", "", IFERROR(FHH220 / SUMIFS(Aux_Totales!$N:$N, Aux_Totales!$F:$F, $F224, Aux_Totales!$A:$A,#REF!), 0))</f>
        <v/>
      </c>
      <c r="FHI224" s="19" t="str">
        <f>IF(FHI220 = "", "", IFERROR(FHI220 / SUMIFS(Aux_Totales!$N:$N, Aux_Totales!$F:$F, $F224, Aux_Totales!$A:$A,#REF!), 0))</f>
        <v/>
      </c>
      <c r="FHJ224" s="19" t="str">
        <f>IF(FHJ220 = "", "", IFERROR(FHJ220 / SUMIFS(Aux_Totales!$N:$N, Aux_Totales!$F:$F, $F224, Aux_Totales!$A:$A,#REF!), 0))</f>
        <v/>
      </c>
      <c r="FHK224" s="19" t="str">
        <f>IF(FHK220 = "", "", IFERROR(FHK220 / SUMIFS(Aux_Totales!$N:$N, Aux_Totales!$F:$F, $F224, Aux_Totales!$A:$A,#REF!), 0))</f>
        <v/>
      </c>
      <c r="FHL224" s="19" t="str">
        <f>IF(FHL220 = "", "", IFERROR(FHL220 / SUMIFS(Aux_Totales!$N:$N, Aux_Totales!$F:$F, $F224, Aux_Totales!$A:$A,#REF!), 0))</f>
        <v/>
      </c>
      <c r="FHM224" s="19" t="str">
        <f>IF(FHM220 = "", "", IFERROR(FHM220 / SUMIFS(Aux_Totales!$N:$N, Aux_Totales!$F:$F, $F224, Aux_Totales!$A:$A,#REF!), 0))</f>
        <v/>
      </c>
      <c r="FHN224" s="19" t="str">
        <f>IF(FHN220 = "", "", IFERROR(FHN220 / SUMIFS(Aux_Totales!$N:$N, Aux_Totales!$F:$F, $F224, Aux_Totales!$A:$A,#REF!), 0))</f>
        <v/>
      </c>
      <c r="FHO224" s="19" t="str">
        <f>IF(FHO220 = "", "", IFERROR(FHO220 / SUMIFS(Aux_Totales!$N:$N, Aux_Totales!$F:$F, $F224, Aux_Totales!$A:$A,#REF!), 0))</f>
        <v/>
      </c>
      <c r="FHP224" s="19" t="str">
        <f>IF(FHP220 = "", "", IFERROR(FHP220 / SUMIFS(Aux_Totales!$N:$N, Aux_Totales!$F:$F, $F224, Aux_Totales!$A:$A,#REF!), 0))</f>
        <v/>
      </c>
      <c r="FHQ224" s="19" t="str">
        <f>IF(FHQ220 = "", "", IFERROR(FHQ220 / SUMIFS(Aux_Totales!$N:$N, Aux_Totales!$F:$F, $F224, Aux_Totales!$A:$A,#REF!), 0))</f>
        <v/>
      </c>
      <c r="FHR224" s="19" t="str">
        <f>IF(FHR220 = "", "", IFERROR(FHR220 / SUMIFS(Aux_Totales!$N:$N, Aux_Totales!$F:$F, $F224, Aux_Totales!$A:$A,#REF!), 0))</f>
        <v/>
      </c>
      <c r="FHS224" s="19" t="str">
        <f>IF(FHS220 = "", "", IFERROR(FHS220 / SUMIFS(Aux_Totales!$N:$N, Aux_Totales!$F:$F, $F224, Aux_Totales!$A:$A,#REF!), 0))</f>
        <v/>
      </c>
      <c r="FHT224" s="19" t="str">
        <f>IF(FHT220 = "", "", IFERROR(FHT220 / SUMIFS(Aux_Totales!$N:$N, Aux_Totales!$F:$F, $F224, Aux_Totales!$A:$A,#REF!), 0))</f>
        <v/>
      </c>
      <c r="FHU224" s="19" t="str">
        <f>IF(FHU220 = "", "", IFERROR(FHU220 / SUMIFS(Aux_Totales!$N:$N, Aux_Totales!$F:$F, $F224, Aux_Totales!$A:$A,#REF!), 0))</f>
        <v/>
      </c>
      <c r="FHV224" s="19" t="str">
        <f>IF(FHV220 = "", "", IFERROR(FHV220 / SUMIFS(Aux_Totales!$N:$N, Aux_Totales!$F:$F, $F224, Aux_Totales!$A:$A,#REF!), 0))</f>
        <v/>
      </c>
      <c r="FHW224" s="19" t="str">
        <f>IF(FHW220 = "", "", IFERROR(FHW220 / SUMIFS(Aux_Totales!$N:$N, Aux_Totales!$F:$F, $F224, Aux_Totales!$A:$A,#REF!), 0))</f>
        <v/>
      </c>
      <c r="FHX224" s="19" t="str">
        <f>IF(FHX220 = "", "", IFERROR(FHX220 / SUMIFS(Aux_Totales!$N:$N, Aux_Totales!$F:$F, $F224, Aux_Totales!$A:$A,#REF!), 0))</f>
        <v/>
      </c>
      <c r="FHY224" s="19" t="str">
        <f>IF(FHY220 = "", "", IFERROR(FHY220 / SUMIFS(Aux_Totales!$N:$N, Aux_Totales!$F:$F, $F224, Aux_Totales!$A:$A,#REF!), 0))</f>
        <v/>
      </c>
      <c r="FHZ224" s="19" t="str">
        <f>IF(FHZ220 = "", "", IFERROR(FHZ220 / SUMIFS(Aux_Totales!$N:$N, Aux_Totales!$F:$F, $F224, Aux_Totales!$A:$A,#REF!), 0))</f>
        <v/>
      </c>
      <c r="FIA224" s="19" t="str">
        <f>IF(FIA220 = "", "", IFERROR(FIA220 / SUMIFS(Aux_Totales!$N:$N, Aux_Totales!$F:$F, $F224, Aux_Totales!$A:$A,#REF!), 0))</f>
        <v/>
      </c>
      <c r="FIB224" s="19" t="str">
        <f>IF(FIB220 = "", "", IFERROR(FIB220 / SUMIFS(Aux_Totales!$N:$N, Aux_Totales!$F:$F, $F224, Aux_Totales!$A:$A,#REF!), 0))</f>
        <v/>
      </c>
      <c r="FIC224" s="19" t="str">
        <f>IF(FIC220 = "", "", IFERROR(FIC220 / SUMIFS(Aux_Totales!$N:$N, Aux_Totales!$F:$F, $F224, Aux_Totales!$A:$A,#REF!), 0))</f>
        <v/>
      </c>
      <c r="FID224" s="19" t="str">
        <f>IF(FID220 = "", "", IFERROR(FID220 / SUMIFS(Aux_Totales!$N:$N, Aux_Totales!$F:$F, $F224, Aux_Totales!$A:$A,#REF!), 0))</f>
        <v/>
      </c>
      <c r="FIE224" s="19" t="str">
        <f>IF(FIE220 = "", "", IFERROR(FIE220 / SUMIFS(Aux_Totales!$N:$N, Aux_Totales!$F:$F, $F224, Aux_Totales!$A:$A,#REF!), 0))</f>
        <v/>
      </c>
      <c r="FIF224" s="19" t="str">
        <f>IF(FIF220 = "", "", IFERROR(FIF220 / SUMIFS(Aux_Totales!$N:$N, Aux_Totales!$F:$F, $F224, Aux_Totales!$A:$A,#REF!), 0))</f>
        <v/>
      </c>
      <c r="FIG224" s="19" t="str">
        <f>IF(FIG220 = "", "", IFERROR(FIG220 / SUMIFS(Aux_Totales!$N:$N, Aux_Totales!$F:$F, $F224, Aux_Totales!$A:$A,#REF!), 0))</f>
        <v/>
      </c>
      <c r="FIH224" s="19" t="str">
        <f>IF(FIH220 = "", "", IFERROR(FIH220 / SUMIFS(Aux_Totales!$N:$N, Aux_Totales!$F:$F, $F224, Aux_Totales!$A:$A,#REF!), 0))</f>
        <v/>
      </c>
      <c r="FII224" s="19" t="str">
        <f>IF(FII220 = "", "", IFERROR(FII220 / SUMIFS(Aux_Totales!$N:$N, Aux_Totales!$F:$F, $F224, Aux_Totales!$A:$A,#REF!), 0))</f>
        <v/>
      </c>
      <c r="FIJ224" s="19" t="str">
        <f>IF(FIJ220 = "", "", IFERROR(FIJ220 / SUMIFS(Aux_Totales!$N:$N, Aux_Totales!$F:$F, $F224, Aux_Totales!$A:$A,#REF!), 0))</f>
        <v/>
      </c>
      <c r="FIK224" s="19" t="str">
        <f>IF(FIK220 = "", "", IFERROR(FIK220 / SUMIFS(Aux_Totales!$N:$N, Aux_Totales!$F:$F, $F224, Aux_Totales!$A:$A,#REF!), 0))</f>
        <v/>
      </c>
      <c r="FIL224" s="19" t="str">
        <f>IF(FIL220 = "", "", IFERROR(FIL220 / SUMIFS(Aux_Totales!$N:$N, Aux_Totales!$F:$F, $F224, Aux_Totales!$A:$A,#REF!), 0))</f>
        <v/>
      </c>
      <c r="FIM224" s="19" t="str">
        <f>IF(FIM220 = "", "", IFERROR(FIM220 / SUMIFS(Aux_Totales!$N:$N, Aux_Totales!$F:$F, $F224, Aux_Totales!$A:$A,#REF!), 0))</f>
        <v/>
      </c>
      <c r="FIN224" s="19" t="str">
        <f>IF(FIN220 = "", "", IFERROR(FIN220 / SUMIFS(Aux_Totales!$N:$N, Aux_Totales!$F:$F, $F224, Aux_Totales!$A:$A,#REF!), 0))</f>
        <v/>
      </c>
      <c r="FIO224" s="19" t="str">
        <f>IF(FIO220 = "", "", IFERROR(FIO220 / SUMIFS(Aux_Totales!$N:$N, Aux_Totales!$F:$F, $F224, Aux_Totales!$A:$A,#REF!), 0))</f>
        <v/>
      </c>
      <c r="FIP224" s="19" t="str">
        <f>IF(FIP220 = "", "", IFERROR(FIP220 / SUMIFS(Aux_Totales!$N:$N, Aux_Totales!$F:$F, $F224, Aux_Totales!$A:$A,#REF!), 0))</f>
        <v/>
      </c>
      <c r="FIQ224" s="19" t="str">
        <f>IF(FIQ220 = "", "", IFERROR(FIQ220 / SUMIFS(Aux_Totales!$N:$N, Aux_Totales!$F:$F, $F224, Aux_Totales!$A:$A,#REF!), 0))</f>
        <v/>
      </c>
      <c r="FIR224" s="19" t="str">
        <f>IF(FIR220 = "", "", IFERROR(FIR220 / SUMIFS(Aux_Totales!$N:$N, Aux_Totales!$F:$F, $F224, Aux_Totales!$A:$A,#REF!), 0))</f>
        <v/>
      </c>
      <c r="FIS224" s="19" t="str">
        <f>IF(FIS220 = "", "", IFERROR(FIS220 / SUMIFS(Aux_Totales!$N:$N, Aux_Totales!$F:$F, $F224, Aux_Totales!$A:$A,#REF!), 0))</f>
        <v/>
      </c>
      <c r="FIT224" s="19" t="str">
        <f>IF(FIT220 = "", "", IFERROR(FIT220 / SUMIFS(Aux_Totales!$N:$N, Aux_Totales!$F:$F, $F224, Aux_Totales!$A:$A,#REF!), 0))</f>
        <v/>
      </c>
      <c r="FIU224" s="19" t="str">
        <f>IF(FIU220 = "", "", IFERROR(FIU220 / SUMIFS(Aux_Totales!$N:$N, Aux_Totales!$F:$F, $F224, Aux_Totales!$A:$A,#REF!), 0))</f>
        <v/>
      </c>
      <c r="FIV224" s="19" t="str">
        <f>IF(FIV220 = "", "", IFERROR(FIV220 / SUMIFS(Aux_Totales!$N:$N, Aux_Totales!$F:$F, $F224, Aux_Totales!$A:$A,#REF!), 0))</f>
        <v/>
      </c>
      <c r="FIW224" s="19" t="str">
        <f>IF(FIW220 = "", "", IFERROR(FIW220 / SUMIFS(Aux_Totales!$N:$N, Aux_Totales!$F:$F, $F224, Aux_Totales!$A:$A,#REF!), 0))</f>
        <v/>
      </c>
      <c r="FIX224" s="19" t="str">
        <f>IF(FIX220 = "", "", IFERROR(FIX220 / SUMIFS(Aux_Totales!$N:$N, Aux_Totales!$F:$F, $F224, Aux_Totales!$A:$A,#REF!), 0))</f>
        <v/>
      </c>
      <c r="FIY224" s="19" t="str">
        <f>IF(FIY220 = "", "", IFERROR(FIY220 / SUMIFS(Aux_Totales!$N:$N, Aux_Totales!$F:$F, $F224, Aux_Totales!$A:$A,#REF!), 0))</f>
        <v/>
      </c>
      <c r="FIZ224" s="19" t="str">
        <f>IF(FIZ220 = "", "", IFERROR(FIZ220 / SUMIFS(Aux_Totales!$N:$N, Aux_Totales!$F:$F, $F224, Aux_Totales!$A:$A,#REF!), 0))</f>
        <v/>
      </c>
      <c r="FJA224" s="19" t="str">
        <f>IF(FJA220 = "", "", IFERROR(FJA220 / SUMIFS(Aux_Totales!$N:$N, Aux_Totales!$F:$F, $F224, Aux_Totales!$A:$A,#REF!), 0))</f>
        <v/>
      </c>
      <c r="FJB224" s="19" t="str">
        <f>IF(FJB220 = "", "", IFERROR(FJB220 / SUMIFS(Aux_Totales!$N:$N, Aux_Totales!$F:$F, $F224, Aux_Totales!$A:$A,#REF!), 0))</f>
        <v/>
      </c>
      <c r="FJC224" s="19" t="str">
        <f>IF(FJC220 = "", "", IFERROR(FJC220 / SUMIFS(Aux_Totales!$N:$N, Aux_Totales!$F:$F, $F224, Aux_Totales!$A:$A,#REF!), 0))</f>
        <v/>
      </c>
      <c r="FJD224" s="19" t="str">
        <f>IF(FJD220 = "", "", IFERROR(FJD220 / SUMIFS(Aux_Totales!$N:$N, Aux_Totales!$F:$F, $F224, Aux_Totales!$A:$A,#REF!), 0))</f>
        <v/>
      </c>
      <c r="FJE224" s="19" t="str">
        <f>IF(FJE220 = "", "", IFERROR(FJE220 / SUMIFS(Aux_Totales!$N:$N, Aux_Totales!$F:$F, $F224, Aux_Totales!$A:$A,#REF!), 0))</f>
        <v/>
      </c>
      <c r="FJF224" s="19" t="str">
        <f>IF(FJF220 = "", "", IFERROR(FJF220 / SUMIFS(Aux_Totales!$N:$N, Aux_Totales!$F:$F, $F224, Aux_Totales!$A:$A,#REF!), 0))</f>
        <v/>
      </c>
      <c r="FJG224" s="19" t="str">
        <f>IF(FJG220 = "", "", IFERROR(FJG220 / SUMIFS(Aux_Totales!$N:$N, Aux_Totales!$F:$F, $F224, Aux_Totales!$A:$A,#REF!), 0))</f>
        <v/>
      </c>
      <c r="FJH224" s="19" t="str">
        <f>IF(FJH220 = "", "", IFERROR(FJH220 / SUMIFS(Aux_Totales!$N:$N, Aux_Totales!$F:$F, $F224, Aux_Totales!$A:$A,#REF!), 0))</f>
        <v/>
      </c>
      <c r="FJI224" s="19" t="str">
        <f>IF(FJI220 = "", "", IFERROR(FJI220 / SUMIFS(Aux_Totales!$N:$N, Aux_Totales!$F:$F, $F224, Aux_Totales!$A:$A,#REF!), 0))</f>
        <v/>
      </c>
      <c r="FJJ224" s="19" t="str">
        <f>IF(FJJ220 = "", "", IFERROR(FJJ220 / SUMIFS(Aux_Totales!$N:$N, Aux_Totales!$F:$F, $F224, Aux_Totales!$A:$A,#REF!), 0))</f>
        <v/>
      </c>
      <c r="FJK224" s="19" t="str">
        <f>IF(FJK220 = "", "", IFERROR(FJK220 / SUMIFS(Aux_Totales!$N:$N, Aux_Totales!$F:$F, $F224, Aux_Totales!$A:$A,#REF!), 0))</f>
        <v/>
      </c>
      <c r="FJL224" s="19" t="str">
        <f>IF(FJL220 = "", "", IFERROR(FJL220 / SUMIFS(Aux_Totales!$N:$N, Aux_Totales!$F:$F, $F224, Aux_Totales!$A:$A,#REF!), 0))</f>
        <v/>
      </c>
      <c r="FJM224" s="19" t="str">
        <f>IF(FJM220 = "", "", IFERROR(FJM220 / SUMIFS(Aux_Totales!$N:$N, Aux_Totales!$F:$F, $F224, Aux_Totales!$A:$A,#REF!), 0))</f>
        <v/>
      </c>
      <c r="FJN224" s="19" t="str">
        <f>IF(FJN220 = "", "", IFERROR(FJN220 / SUMIFS(Aux_Totales!$N:$N, Aux_Totales!$F:$F, $F224, Aux_Totales!$A:$A,#REF!), 0))</f>
        <v/>
      </c>
      <c r="FJO224" s="19" t="str">
        <f>IF(FJO220 = "", "", IFERROR(FJO220 / SUMIFS(Aux_Totales!$N:$N, Aux_Totales!$F:$F, $F224, Aux_Totales!$A:$A,#REF!), 0))</f>
        <v/>
      </c>
      <c r="FJP224" s="19" t="str">
        <f>IF(FJP220 = "", "", IFERROR(FJP220 / SUMIFS(Aux_Totales!$N:$N, Aux_Totales!$F:$F, $F224, Aux_Totales!$A:$A,#REF!), 0))</f>
        <v/>
      </c>
      <c r="FJQ224" s="19" t="str">
        <f>IF(FJQ220 = "", "", IFERROR(FJQ220 / SUMIFS(Aux_Totales!$N:$N, Aux_Totales!$F:$F, $F224, Aux_Totales!$A:$A,#REF!), 0))</f>
        <v/>
      </c>
      <c r="FJR224" s="19" t="str">
        <f>IF(FJR220 = "", "", IFERROR(FJR220 / SUMIFS(Aux_Totales!$N:$N, Aux_Totales!$F:$F, $F224, Aux_Totales!$A:$A,#REF!), 0))</f>
        <v/>
      </c>
      <c r="FJS224" s="19" t="str">
        <f>IF(FJS220 = "", "", IFERROR(FJS220 / SUMIFS(Aux_Totales!$N:$N, Aux_Totales!$F:$F, $F224, Aux_Totales!$A:$A,#REF!), 0))</f>
        <v/>
      </c>
      <c r="FJT224" s="19" t="str">
        <f>IF(FJT220 = "", "", IFERROR(FJT220 / SUMIFS(Aux_Totales!$N:$N, Aux_Totales!$F:$F, $F224, Aux_Totales!$A:$A,#REF!), 0))</f>
        <v/>
      </c>
      <c r="FJU224" s="19" t="str">
        <f>IF(FJU220 = "", "", IFERROR(FJU220 / SUMIFS(Aux_Totales!$N:$N, Aux_Totales!$F:$F, $F224, Aux_Totales!$A:$A,#REF!), 0))</f>
        <v/>
      </c>
      <c r="FJV224" s="19" t="str">
        <f>IF(FJV220 = "", "", IFERROR(FJV220 / SUMIFS(Aux_Totales!$N:$N, Aux_Totales!$F:$F, $F224, Aux_Totales!$A:$A,#REF!), 0))</f>
        <v/>
      </c>
      <c r="FJW224" s="19" t="str">
        <f>IF(FJW220 = "", "", IFERROR(FJW220 / SUMIFS(Aux_Totales!$N:$N, Aux_Totales!$F:$F, $F224, Aux_Totales!$A:$A,#REF!), 0))</f>
        <v/>
      </c>
      <c r="FJX224" s="19" t="str">
        <f>IF(FJX220 = "", "", IFERROR(FJX220 / SUMIFS(Aux_Totales!$N:$N, Aux_Totales!$F:$F, $F224, Aux_Totales!$A:$A,#REF!), 0))</f>
        <v/>
      </c>
      <c r="FJY224" s="19" t="str">
        <f>IF(FJY220 = "", "", IFERROR(FJY220 / SUMIFS(Aux_Totales!$N:$N, Aux_Totales!$F:$F, $F224, Aux_Totales!$A:$A,#REF!), 0))</f>
        <v/>
      </c>
      <c r="FJZ224" s="19" t="str">
        <f>IF(FJZ220 = "", "", IFERROR(FJZ220 / SUMIFS(Aux_Totales!$N:$N, Aux_Totales!$F:$F, $F224, Aux_Totales!$A:$A,#REF!), 0))</f>
        <v/>
      </c>
      <c r="FKA224" s="19" t="str">
        <f>IF(FKA220 = "", "", IFERROR(FKA220 / SUMIFS(Aux_Totales!$N:$N, Aux_Totales!$F:$F, $F224, Aux_Totales!$A:$A,#REF!), 0))</f>
        <v/>
      </c>
      <c r="FKB224" s="19" t="str">
        <f>IF(FKB220 = "", "", IFERROR(FKB220 / SUMIFS(Aux_Totales!$N:$N, Aux_Totales!$F:$F, $F224, Aux_Totales!$A:$A,#REF!), 0))</f>
        <v/>
      </c>
      <c r="FKC224" s="19" t="str">
        <f>IF(FKC220 = "", "", IFERROR(FKC220 / SUMIFS(Aux_Totales!$N:$N, Aux_Totales!$F:$F, $F224, Aux_Totales!$A:$A,#REF!), 0))</f>
        <v/>
      </c>
      <c r="FKD224" s="19" t="str">
        <f>IF(FKD220 = "", "", IFERROR(FKD220 / SUMIFS(Aux_Totales!$N:$N, Aux_Totales!$F:$F, $F224, Aux_Totales!$A:$A,#REF!), 0))</f>
        <v/>
      </c>
      <c r="FKE224" s="19" t="str">
        <f>IF(FKE220 = "", "", IFERROR(FKE220 / SUMIFS(Aux_Totales!$N:$N, Aux_Totales!$F:$F, $F224, Aux_Totales!$A:$A,#REF!), 0))</f>
        <v/>
      </c>
      <c r="FKF224" s="19" t="str">
        <f>IF(FKF220 = "", "", IFERROR(FKF220 / SUMIFS(Aux_Totales!$N:$N, Aux_Totales!$F:$F, $F224, Aux_Totales!$A:$A,#REF!), 0))</f>
        <v/>
      </c>
      <c r="FKG224" s="19" t="str">
        <f>IF(FKG220 = "", "", IFERROR(FKG220 / SUMIFS(Aux_Totales!$N:$N, Aux_Totales!$F:$F, $F224, Aux_Totales!$A:$A,#REF!), 0))</f>
        <v/>
      </c>
      <c r="FKH224" s="19" t="str">
        <f>IF(FKH220 = "", "", IFERROR(FKH220 / SUMIFS(Aux_Totales!$N:$N, Aux_Totales!$F:$F, $F224, Aux_Totales!$A:$A,#REF!), 0))</f>
        <v/>
      </c>
      <c r="FKI224" s="19" t="str">
        <f>IF(FKI220 = "", "", IFERROR(FKI220 / SUMIFS(Aux_Totales!$N:$N, Aux_Totales!$F:$F, $F224, Aux_Totales!$A:$A,#REF!), 0))</f>
        <v/>
      </c>
      <c r="FKJ224" s="19" t="str">
        <f>IF(FKJ220 = "", "", IFERROR(FKJ220 / SUMIFS(Aux_Totales!$N:$N, Aux_Totales!$F:$F, $F224, Aux_Totales!$A:$A,#REF!), 0))</f>
        <v/>
      </c>
      <c r="FKK224" s="19" t="str">
        <f>IF(FKK220 = "", "", IFERROR(FKK220 / SUMIFS(Aux_Totales!$N:$N, Aux_Totales!$F:$F, $F224, Aux_Totales!$A:$A,#REF!), 0))</f>
        <v/>
      </c>
      <c r="FKL224" s="19" t="str">
        <f>IF(FKL220 = "", "", IFERROR(FKL220 / SUMIFS(Aux_Totales!$N:$N, Aux_Totales!$F:$F, $F224, Aux_Totales!$A:$A,#REF!), 0))</f>
        <v/>
      </c>
      <c r="FKM224" s="19" t="str">
        <f>IF(FKM220 = "", "", IFERROR(FKM220 / SUMIFS(Aux_Totales!$N:$N, Aux_Totales!$F:$F, $F224, Aux_Totales!$A:$A,#REF!), 0))</f>
        <v/>
      </c>
      <c r="FKN224" s="19" t="str">
        <f>IF(FKN220 = "", "", IFERROR(FKN220 / SUMIFS(Aux_Totales!$N:$N, Aux_Totales!$F:$F, $F224, Aux_Totales!$A:$A,#REF!), 0))</f>
        <v/>
      </c>
      <c r="FKO224" s="19" t="str">
        <f>IF(FKO220 = "", "", IFERROR(FKO220 / SUMIFS(Aux_Totales!$N:$N, Aux_Totales!$F:$F, $F224, Aux_Totales!$A:$A,#REF!), 0))</f>
        <v/>
      </c>
      <c r="FKP224" s="19" t="str">
        <f>IF(FKP220 = "", "", IFERROR(FKP220 / SUMIFS(Aux_Totales!$N:$N, Aux_Totales!$F:$F, $F224, Aux_Totales!$A:$A,#REF!), 0))</f>
        <v/>
      </c>
      <c r="FKQ224" s="19" t="str">
        <f>IF(FKQ220 = "", "", IFERROR(FKQ220 / SUMIFS(Aux_Totales!$N:$N, Aux_Totales!$F:$F, $F224, Aux_Totales!$A:$A,#REF!), 0))</f>
        <v/>
      </c>
      <c r="FKR224" s="19" t="str">
        <f>IF(FKR220 = "", "", IFERROR(FKR220 / SUMIFS(Aux_Totales!$N:$N, Aux_Totales!$F:$F, $F224, Aux_Totales!$A:$A,#REF!), 0))</f>
        <v/>
      </c>
      <c r="FKS224" s="19" t="str">
        <f>IF(FKS220 = "", "", IFERROR(FKS220 / SUMIFS(Aux_Totales!$N:$N, Aux_Totales!$F:$F, $F224, Aux_Totales!$A:$A,#REF!), 0))</f>
        <v/>
      </c>
      <c r="FKT224" s="19" t="str">
        <f>IF(FKT220 = "", "", IFERROR(FKT220 / SUMIFS(Aux_Totales!$N:$N, Aux_Totales!$F:$F, $F224, Aux_Totales!$A:$A,#REF!), 0))</f>
        <v/>
      </c>
      <c r="FKU224" s="19" t="str">
        <f>IF(FKU220 = "", "", IFERROR(FKU220 / SUMIFS(Aux_Totales!$N:$N, Aux_Totales!$F:$F, $F224, Aux_Totales!$A:$A,#REF!), 0))</f>
        <v/>
      </c>
      <c r="FKV224" s="19" t="str">
        <f>IF(FKV220 = "", "", IFERROR(FKV220 / SUMIFS(Aux_Totales!$N:$N, Aux_Totales!$F:$F, $F224, Aux_Totales!$A:$A,#REF!), 0))</f>
        <v/>
      </c>
      <c r="FKW224" s="19" t="str">
        <f>IF(FKW220 = "", "", IFERROR(FKW220 / SUMIFS(Aux_Totales!$N:$N, Aux_Totales!$F:$F, $F224, Aux_Totales!$A:$A,#REF!), 0))</f>
        <v/>
      </c>
      <c r="FKX224" s="19" t="str">
        <f>IF(FKX220 = "", "", IFERROR(FKX220 / SUMIFS(Aux_Totales!$N:$N, Aux_Totales!$F:$F, $F224, Aux_Totales!$A:$A,#REF!), 0))</f>
        <v/>
      </c>
      <c r="FKY224" s="19" t="str">
        <f>IF(FKY220 = "", "", IFERROR(FKY220 / SUMIFS(Aux_Totales!$N:$N, Aux_Totales!$F:$F, $F224, Aux_Totales!$A:$A,#REF!), 0))</f>
        <v/>
      </c>
      <c r="FKZ224" s="19" t="str">
        <f>IF(FKZ220 = "", "", IFERROR(FKZ220 / SUMIFS(Aux_Totales!$N:$N, Aux_Totales!$F:$F, $F224, Aux_Totales!$A:$A,#REF!), 0))</f>
        <v/>
      </c>
      <c r="FLA224" s="19" t="str">
        <f>IF(FLA220 = "", "", IFERROR(FLA220 / SUMIFS(Aux_Totales!$N:$N, Aux_Totales!$F:$F, $F224, Aux_Totales!$A:$A,#REF!), 0))</f>
        <v/>
      </c>
      <c r="FLB224" s="19" t="str">
        <f>IF(FLB220 = "", "", IFERROR(FLB220 / SUMIFS(Aux_Totales!$N:$N, Aux_Totales!$F:$F, $F224, Aux_Totales!$A:$A,#REF!), 0))</f>
        <v/>
      </c>
      <c r="FLC224" s="19" t="str">
        <f>IF(FLC220 = "", "", IFERROR(FLC220 / SUMIFS(Aux_Totales!$N:$N, Aux_Totales!$F:$F, $F224, Aux_Totales!$A:$A,#REF!), 0))</f>
        <v/>
      </c>
      <c r="FLD224" s="19" t="str">
        <f>IF(FLD220 = "", "", IFERROR(FLD220 / SUMIFS(Aux_Totales!$N:$N, Aux_Totales!$F:$F, $F224, Aux_Totales!$A:$A,#REF!), 0))</f>
        <v/>
      </c>
      <c r="FLE224" s="19" t="str">
        <f>IF(FLE220 = "", "", IFERROR(FLE220 / SUMIFS(Aux_Totales!$N:$N, Aux_Totales!$F:$F, $F224, Aux_Totales!$A:$A,#REF!), 0))</f>
        <v/>
      </c>
      <c r="FLF224" s="19" t="str">
        <f>IF(FLF220 = "", "", IFERROR(FLF220 / SUMIFS(Aux_Totales!$N:$N, Aux_Totales!$F:$F, $F224, Aux_Totales!$A:$A,#REF!), 0))</f>
        <v/>
      </c>
      <c r="FLG224" s="19" t="str">
        <f>IF(FLG220 = "", "", IFERROR(FLG220 / SUMIFS(Aux_Totales!$N:$N, Aux_Totales!$F:$F, $F224, Aux_Totales!$A:$A,#REF!), 0))</f>
        <v/>
      </c>
      <c r="FLH224" s="19" t="str">
        <f>IF(FLH220 = "", "", IFERROR(FLH220 / SUMIFS(Aux_Totales!$N:$N, Aux_Totales!$F:$F, $F224, Aux_Totales!$A:$A,#REF!), 0))</f>
        <v/>
      </c>
      <c r="FLI224" s="19" t="str">
        <f>IF(FLI220 = "", "", IFERROR(FLI220 / SUMIFS(Aux_Totales!$N:$N, Aux_Totales!$F:$F, $F224, Aux_Totales!$A:$A,#REF!), 0))</f>
        <v/>
      </c>
      <c r="FLJ224" s="19" t="str">
        <f>IF(FLJ220 = "", "", IFERROR(FLJ220 / SUMIFS(Aux_Totales!$N:$N, Aux_Totales!$F:$F, $F224, Aux_Totales!$A:$A,#REF!), 0))</f>
        <v/>
      </c>
      <c r="FLK224" s="19" t="str">
        <f>IF(FLK220 = "", "", IFERROR(FLK220 / SUMIFS(Aux_Totales!$N:$N, Aux_Totales!$F:$F, $F224, Aux_Totales!$A:$A,#REF!), 0))</f>
        <v/>
      </c>
      <c r="FLL224" s="19" t="str">
        <f>IF(FLL220 = "", "", IFERROR(FLL220 / SUMIFS(Aux_Totales!$N:$N, Aux_Totales!$F:$F, $F224, Aux_Totales!$A:$A,#REF!), 0))</f>
        <v/>
      </c>
      <c r="FLM224" s="19" t="str">
        <f>IF(FLM220 = "", "", IFERROR(FLM220 / SUMIFS(Aux_Totales!$N:$N, Aux_Totales!$F:$F, $F224, Aux_Totales!$A:$A,#REF!), 0))</f>
        <v/>
      </c>
      <c r="FLN224" s="19" t="str">
        <f>IF(FLN220 = "", "", IFERROR(FLN220 / SUMIFS(Aux_Totales!$N:$N, Aux_Totales!$F:$F, $F224, Aux_Totales!$A:$A,#REF!), 0))</f>
        <v/>
      </c>
      <c r="FLO224" s="19" t="str">
        <f>IF(FLO220 = "", "", IFERROR(FLO220 / SUMIFS(Aux_Totales!$N:$N, Aux_Totales!$F:$F, $F224, Aux_Totales!$A:$A,#REF!), 0))</f>
        <v/>
      </c>
      <c r="FLP224" s="19" t="str">
        <f>IF(FLP220 = "", "", IFERROR(FLP220 / SUMIFS(Aux_Totales!$N:$N, Aux_Totales!$F:$F, $F224, Aux_Totales!$A:$A,#REF!), 0))</f>
        <v/>
      </c>
      <c r="FLQ224" s="19" t="str">
        <f>IF(FLQ220 = "", "", IFERROR(FLQ220 / SUMIFS(Aux_Totales!$N:$N, Aux_Totales!$F:$F, $F224, Aux_Totales!$A:$A,#REF!), 0))</f>
        <v/>
      </c>
      <c r="FLR224" s="19" t="str">
        <f>IF(FLR220 = "", "", IFERROR(FLR220 / SUMIFS(Aux_Totales!$N:$N, Aux_Totales!$F:$F, $F224, Aux_Totales!$A:$A,#REF!), 0))</f>
        <v/>
      </c>
      <c r="FLS224" s="19" t="str">
        <f>IF(FLS220 = "", "", IFERROR(FLS220 / SUMIFS(Aux_Totales!$N:$N, Aux_Totales!$F:$F, $F224, Aux_Totales!$A:$A,#REF!), 0))</f>
        <v/>
      </c>
      <c r="FLT224" s="19" t="str">
        <f>IF(FLT220 = "", "", IFERROR(FLT220 / SUMIFS(Aux_Totales!$N:$N, Aux_Totales!$F:$F, $F224, Aux_Totales!$A:$A,#REF!), 0))</f>
        <v/>
      </c>
      <c r="FLU224" s="19" t="str">
        <f>IF(FLU220 = "", "", IFERROR(FLU220 / SUMIFS(Aux_Totales!$N:$N, Aux_Totales!$F:$F, $F224, Aux_Totales!$A:$A,#REF!), 0))</f>
        <v/>
      </c>
      <c r="FLV224" s="19" t="str">
        <f>IF(FLV220 = "", "", IFERROR(FLV220 / SUMIFS(Aux_Totales!$N:$N, Aux_Totales!$F:$F, $F224, Aux_Totales!$A:$A,#REF!), 0))</f>
        <v/>
      </c>
      <c r="FLW224" s="19" t="str">
        <f>IF(FLW220 = "", "", IFERROR(FLW220 / SUMIFS(Aux_Totales!$N:$N, Aux_Totales!$F:$F, $F224, Aux_Totales!$A:$A,#REF!), 0))</f>
        <v/>
      </c>
      <c r="FLX224" s="19" t="str">
        <f>IF(FLX220 = "", "", IFERROR(FLX220 / SUMIFS(Aux_Totales!$N:$N, Aux_Totales!$F:$F, $F224, Aux_Totales!$A:$A,#REF!), 0))</f>
        <v/>
      </c>
      <c r="FLY224" s="19" t="str">
        <f>IF(FLY220 = "", "", IFERROR(FLY220 / SUMIFS(Aux_Totales!$N:$N, Aux_Totales!$F:$F, $F224, Aux_Totales!$A:$A,#REF!), 0))</f>
        <v/>
      </c>
      <c r="FLZ224" s="19" t="str">
        <f>IF(FLZ220 = "", "", IFERROR(FLZ220 / SUMIFS(Aux_Totales!$N:$N, Aux_Totales!$F:$F, $F224, Aux_Totales!$A:$A,#REF!), 0))</f>
        <v/>
      </c>
      <c r="FMA224" s="19" t="str">
        <f>IF(FMA220 = "", "", IFERROR(FMA220 / SUMIFS(Aux_Totales!$N:$N, Aux_Totales!$F:$F, $F224, Aux_Totales!$A:$A,#REF!), 0))</f>
        <v/>
      </c>
      <c r="FMB224" s="19" t="str">
        <f>IF(FMB220 = "", "", IFERROR(FMB220 / SUMIFS(Aux_Totales!$N:$N, Aux_Totales!$F:$F, $F224, Aux_Totales!$A:$A,#REF!), 0))</f>
        <v/>
      </c>
      <c r="FMC224" s="19" t="str">
        <f>IF(FMC220 = "", "", IFERROR(FMC220 / SUMIFS(Aux_Totales!$N:$N, Aux_Totales!$F:$F, $F224, Aux_Totales!$A:$A,#REF!), 0))</f>
        <v/>
      </c>
      <c r="FMD224" s="19" t="str">
        <f>IF(FMD220 = "", "", IFERROR(FMD220 / SUMIFS(Aux_Totales!$N:$N, Aux_Totales!$F:$F, $F224, Aux_Totales!$A:$A,#REF!), 0))</f>
        <v/>
      </c>
      <c r="FME224" s="19" t="str">
        <f>IF(FME220 = "", "", IFERROR(FME220 / SUMIFS(Aux_Totales!$N:$N, Aux_Totales!$F:$F, $F224, Aux_Totales!$A:$A,#REF!), 0))</f>
        <v/>
      </c>
      <c r="FMF224" s="19" t="str">
        <f>IF(FMF220 = "", "", IFERROR(FMF220 / SUMIFS(Aux_Totales!$N:$N, Aux_Totales!$F:$F, $F224, Aux_Totales!$A:$A,#REF!), 0))</f>
        <v/>
      </c>
      <c r="FMG224" s="19" t="str">
        <f>IF(FMG220 = "", "", IFERROR(FMG220 / SUMIFS(Aux_Totales!$N:$N, Aux_Totales!$F:$F, $F224, Aux_Totales!$A:$A,#REF!), 0))</f>
        <v/>
      </c>
      <c r="FMH224" s="19" t="str">
        <f>IF(FMH220 = "", "", IFERROR(FMH220 / SUMIFS(Aux_Totales!$N:$N, Aux_Totales!$F:$F, $F224, Aux_Totales!$A:$A,#REF!), 0))</f>
        <v/>
      </c>
      <c r="FMI224" s="19" t="str">
        <f>IF(FMI220 = "", "", IFERROR(FMI220 / SUMIFS(Aux_Totales!$N:$N, Aux_Totales!$F:$F, $F224, Aux_Totales!$A:$A,#REF!), 0))</f>
        <v/>
      </c>
      <c r="FMJ224" s="19" t="str">
        <f>IF(FMJ220 = "", "", IFERROR(FMJ220 / SUMIFS(Aux_Totales!$N:$N, Aux_Totales!$F:$F, $F224, Aux_Totales!$A:$A,#REF!), 0))</f>
        <v/>
      </c>
      <c r="FMK224" s="19" t="str">
        <f>IF(FMK220 = "", "", IFERROR(FMK220 / SUMIFS(Aux_Totales!$N:$N, Aux_Totales!$F:$F, $F224, Aux_Totales!$A:$A,#REF!), 0))</f>
        <v/>
      </c>
      <c r="FML224" s="19" t="str">
        <f>IF(FML220 = "", "", IFERROR(FML220 / SUMIFS(Aux_Totales!$N:$N, Aux_Totales!$F:$F, $F224, Aux_Totales!$A:$A,#REF!), 0))</f>
        <v/>
      </c>
      <c r="FMM224" s="19" t="str">
        <f>IF(FMM220 = "", "", IFERROR(FMM220 / SUMIFS(Aux_Totales!$N:$N, Aux_Totales!$F:$F, $F224, Aux_Totales!$A:$A,#REF!), 0))</f>
        <v/>
      </c>
      <c r="FMN224" s="19" t="str">
        <f>IF(FMN220 = "", "", IFERROR(FMN220 / SUMIFS(Aux_Totales!$N:$N, Aux_Totales!$F:$F, $F224, Aux_Totales!$A:$A,#REF!), 0))</f>
        <v/>
      </c>
      <c r="FMO224" s="19" t="str">
        <f>IF(FMO220 = "", "", IFERROR(FMO220 / SUMIFS(Aux_Totales!$N:$N, Aux_Totales!$F:$F, $F224, Aux_Totales!$A:$A,#REF!), 0))</f>
        <v/>
      </c>
      <c r="FMP224" s="19" t="str">
        <f>IF(FMP220 = "", "", IFERROR(FMP220 / SUMIFS(Aux_Totales!$N:$N, Aux_Totales!$F:$F, $F224, Aux_Totales!$A:$A,#REF!), 0))</f>
        <v/>
      </c>
      <c r="FMQ224" s="19" t="str">
        <f>IF(FMQ220 = "", "", IFERROR(FMQ220 / SUMIFS(Aux_Totales!$N:$N, Aux_Totales!$F:$F, $F224, Aux_Totales!$A:$A,#REF!), 0))</f>
        <v/>
      </c>
      <c r="FMR224" s="19" t="str">
        <f>IF(FMR220 = "", "", IFERROR(FMR220 / SUMIFS(Aux_Totales!$N:$N, Aux_Totales!$F:$F, $F224, Aux_Totales!$A:$A,#REF!), 0))</f>
        <v/>
      </c>
      <c r="FMS224" s="19" t="str">
        <f>IF(FMS220 = "", "", IFERROR(FMS220 / SUMIFS(Aux_Totales!$N:$N, Aux_Totales!$F:$F, $F224, Aux_Totales!$A:$A,#REF!), 0))</f>
        <v/>
      </c>
      <c r="FMT224" s="19" t="str">
        <f>IF(FMT220 = "", "", IFERROR(FMT220 / SUMIFS(Aux_Totales!$N:$N, Aux_Totales!$F:$F, $F224, Aux_Totales!$A:$A,#REF!), 0))</f>
        <v/>
      </c>
      <c r="FMU224" s="19" t="str">
        <f>IF(FMU220 = "", "", IFERROR(FMU220 / SUMIFS(Aux_Totales!$N:$N, Aux_Totales!$F:$F, $F224, Aux_Totales!$A:$A,#REF!), 0))</f>
        <v/>
      </c>
      <c r="FMV224" s="19" t="str">
        <f>IF(FMV220 = "", "", IFERROR(FMV220 / SUMIFS(Aux_Totales!$N:$N, Aux_Totales!$F:$F, $F224, Aux_Totales!$A:$A,#REF!), 0))</f>
        <v/>
      </c>
      <c r="FMW224" s="19" t="str">
        <f>IF(FMW220 = "", "", IFERROR(FMW220 / SUMIFS(Aux_Totales!$N:$N, Aux_Totales!$F:$F, $F224, Aux_Totales!$A:$A,#REF!), 0))</f>
        <v/>
      </c>
      <c r="FMX224" s="19" t="str">
        <f>IF(FMX220 = "", "", IFERROR(FMX220 / SUMIFS(Aux_Totales!$N:$N, Aux_Totales!$F:$F, $F224, Aux_Totales!$A:$A,#REF!), 0))</f>
        <v/>
      </c>
      <c r="FMY224" s="19" t="str">
        <f>IF(FMY220 = "", "", IFERROR(FMY220 / SUMIFS(Aux_Totales!$N:$N, Aux_Totales!$F:$F, $F224, Aux_Totales!$A:$A,#REF!), 0))</f>
        <v/>
      </c>
      <c r="FMZ224" s="19" t="str">
        <f>IF(FMZ220 = "", "", IFERROR(FMZ220 / SUMIFS(Aux_Totales!$N:$N, Aux_Totales!$F:$F, $F224, Aux_Totales!$A:$A,#REF!), 0))</f>
        <v/>
      </c>
      <c r="FNA224" s="19" t="str">
        <f>IF(FNA220 = "", "", IFERROR(FNA220 / SUMIFS(Aux_Totales!$N:$N, Aux_Totales!$F:$F, $F224, Aux_Totales!$A:$A,#REF!), 0))</f>
        <v/>
      </c>
      <c r="FNB224" s="19" t="str">
        <f>IF(FNB220 = "", "", IFERROR(FNB220 / SUMIFS(Aux_Totales!$N:$N, Aux_Totales!$F:$F, $F224, Aux_Totales!$A:$A,#REF!), 0))</f>
        <v/>
      </c>
      <c r="FNC224" s="19" t="str">
        <f>IF(FNC220 = "", "", IFERROR(FNC220 / SUMIFS(Aux_Totales!$N:$N, Aux_Totales!$F:$F, $F224, Aux_Totales!$A:$A,#REF!), 0))</f>
        <v/>
      </c>
      <c r="FND224" s="19" t="str">
        <f>IF(FND220 = "", "", IFERROR(FND220 / SUMIFS(Aux_Totales!$N:$N, Aux_Totales!$F:$F, $F224, Aux_Totales!$A:$A,#REF!), 0))</f>
        <v/>
      </c>
      <c r="FNE224" s="19" t="str">
        <f>IF(FNE220 = "", "", IFERROR(FNE220 / SUMIFS(Aux_Totales!$N:$N, Aux_Totales!$F:$F, $F224, Aux_Totales!$A:$A,#REF!), 0))</f>
        <v/>
      </c>
      <c r="FNF224" s="19" t="str">
        <f>IF(FNF220 = "", "", IFERROR(FNF220 / SUMIFS(Aux_Totales!$N:$N, Aux_Totales!$F:$F, $F224, Aux_Totales!$A:$A,#REF!), 0))</f>
        <v/>
      </c>
      <c r="FNG224" s="19" t="str">
        <f>IF(FNG220 = "", "", IFERROR(FNG220 / SUMIFS(Aux_Totales!$N:$N, Aux_Totales!$F:$F, $F224, Aux_Totales!$A:$A,#REF!), 0))</f>
        <v/>
      </c>
      <c r="FNH224" s="19" t="str">
        <f>IF(FNH220 = "", "", IFERROR(FNH220 / SUMIFS(Aux_Totales!$N:$N, Aux_Totales!$F:$F, $F224, Aux_Totales!$A:$A,#REF!), 0))</f>
        <v/>
      </c>
      <c r="FNI224" s="19" t="str">
        <f>IF(FNI220 = "", "", IFERROR(FNI220 / SUMIFS(Aux_Totales!$N:$N, Aux_Totales!$F:$F, $F224, Aux_Totales!$A:$A,#REF!), 0))</f>
        <v/>
      </c>
      <c r="FNJ224" s="19" t="str">
        <f>IF(FNJ220 = "", "", IFERROR(FNJ220 / SUMIFS(Aux_Totales!$N:$N, Aux_Totales!$F:$F, $F224, Aux_Totales!$A:$A,#REF!), 0))</f>
        <v/>
      </c>
      <c r="FNK224" s="19" t="str">
        <f>IF(FNK220 = "", "", IFERROR(FNK220 / SUMIFS(Aux_Totales!$N:$N, Aux_Totales!$F:$F, $F224, Aux_Totales!$A:$A,#REF!), 0))</f>
        <v/>
      </c>
      <c r="FNL224" s="19" t="str">
        <f>IF(FNL220 = "", "", IFERROR(FNL220 / SUMIFS(Aux_Totales!$N:$N, Aux_Totales!$F:$F, $F224, Aux_Totales!$A:$A,#REF!), 0))</f>
        <v/>
      </c>
      <c r="FNM224" s="19" t="str">
        <f>IF(FNM220 = "", "", IFERROR(FNM220 / SUMIFS(Aux_Totales!$N:$N, Aux_Totales!$F:$F, $F224, Aux_Totales!$A:$A,#REF!), 0))</f>
        <v/>
      </c>
      <c r="FNN224" s="19" t="str">
        <f>IF(FNN220 = "", "", IFERROR(FNN220 / SUMIFS(Aux_Totales!$N:$N, Aux_Totales!$F:$F, $F224, Aux_Totales!$A:$A,#REF!), 0))</f>
        <v/>
      </c>
      <c r="FNO224" s="19" t="str">
        <f>IF(FNO220 = "", "", IFERROR(FNO220 / SUMIFS(Aux_Totales!$N:$N, Aux_Totales!$F:$F, $F224, Aux_Totales!$A:$A,#REF!), 0))</f>
        <v/>
      </c>
      <c r="FNP224" s="19" t="str">
        <f>IF(FNP220 = "", "", IFERROR(FNP220 / SUMIFS(Aux_Totales!$N:$N, Aux_Totales!$F:$F, $F224, Aux_Totales!$A:$A,#REF!), 0))</f>
        <v/>
      </c>
      <c r="FNQ224" s="19" t="str">
        <f>IF(FNQ220 = "", "", IFERROR(FNQ220 / SUMIFS(Aux_Totales!$N:$N, Aux_Totales!$F:$F, $F224, Aux_Totales!$A:$A,#REF!), 0))</f>
        <v/>
      </c>
      <c r="FNR224" s="19" t="str">
        <f>IF(FNR220 = "", "", IFERROR(FNR220 / SUMIFS(Aux_Totales!$N:$N, Aux_Totales!$F:$F, $F224, Aux_Totales!$A:$A,#REF!), 0))</f>
        <v/>
      </c>
      <c r="FNS224" s="19" t="str">
        <f>IF(FNS220 = "", "", IFERROR(FNS220 / SUMIFS(Aux_Totales!$N:$N, Aux_Totales!$F:$F, $F224, Aux_Totales!$A:$A,#REF!), 0))</f>
        <v/>
      </c>
      <c r="FNT224" s="19" t="str">
        <f>IF(FNT220 = "", "", IFERROR(FNT220 / SUMIFS(Aux_Totales!$N:$N, Aux_Totales!$F:$F, $F224, Aux_Totales!$A:$A,#REF!), 0))</f>
        <v/>
      </c>
      <c r="FNU224" s="19" t="str">
        <f>IF(FNU220 = "", "", IFERROR(FNU220 / SUMIFS(Aux_Totales!$N:$N, Aux_Totales!$F:$F, $F224, Aux_Totales!$A:$A,#REF!), 0))</f>
        <v/>
      </c>
      <c r="FNV224" s="19" t="str">
        <f>IF(FNV220 = "", "", IFERROR(FNV220 / SUMIFS(Aux_Totales!$N:$N, Aux_Totales!$F:$F, $F224, Aux_Totales!$A:$A,#REF!), 0))</f>
        <v/>
      </c>
      <c r="FNW224" s="19" t="str">
        <f>IF(FNW220 = "", "", IFERROR(FNW220 / SUMIFS(Aux_Totales!$N:$N, Aux_Totales!$F:$F, $F224, Aux_Totales!$A:$A,#REF!), 0))</f>
        <v/>
      </c>
      <c r="FNX224" s="19" t="str">
        <f>IF(FNX220 = "", "", IFERROR(FNX220 / SUMIFS(Aux_Totales!$N:$N, Aux_Totales!$F:$F, $F224, Aux_Totales!$A:$A,#REF!), 0))</f>
        <v/>
      </c>
      <c r="FNY224" s="19" t="str">
        <f>IF(FNY220 = "", "", IFERROR(FNY220 / SUMIFS(Aux_Totales!$N:$N, Aux_Totales!$F:$F, $F224, Aux_Totales!$A:$A,#REF!), 0))</f>
        <v/>
      </c>
      <c r="FNZ224" s="19" t="str">
        <f>IF(FNZ220 = "", "", IFERROR(FNZ220 / SUMIFS(Aux_Totales!$N:$N, Aux_Totales!$F:$F, $F224, Aux_Totales!$A:$A,#REF!), 0))</f>
        <v/>
      </c>
      <c r="FOA224" s="19" t="str">
        <f>IF(FOA220 = "", "", IFERROR(FOA220 / SUMIFS(Aux_Totales!$N:$N, Aux_Totales!$F:$F, $F224, Aux_Totales!$A:$A,#REF!), 0))</f>
        <v/>
      </c>
      <c r="FOB224" s="19" t="str">
        <f>IF(FOB220 = "", "", IFERROR(FOB220 / SUMIFS(Aux_Totales!$N:$N, Aux_Totales!$F:$F, $F224, Aux_Totales!$A:$A,#REF!), 0))</f>
        <v/>
      </c>
      <c r="FOC224" s="19" t="str">
        <f>IF(FOC220 = "", "", IFERROR(FOC220 / SUMIFS(Aux_Totales!$N:$N, Aux_Totales!$F:$F, $F224, Aux_Totales!$A:$A,#REF!), 0))</f>
        <v/>
      </c>
      <c r="FOD224" s="19" t="str">
        <f>IF(FOD220 = "", "", IFERROR(FOD220 / SUMIFS(Aux_Totales!$N:$N, Aux_Totales!$F:$F, $F224, Aux_Totales!$A:$A,#REF!), 0))</f>
        <v/>
      </c>
      <c r="FOE224" s="19" t="str">
        <f>IF(FOE220 = "", "", IFERROR(FOE220 / SUMIFS(Aux_Totales!$N:$N, Aux_Totales!$F:$F, $F224, Aux_Totales!$A:$A,#REF!), 0))</f>
        <v/>
      </c>
      <c r="FOF224" s="19" t="str">
        <f>IF(FOF220 = "", "", IFERROR(FOF220 / SUMIFS(Aux_Totales!$N:$N, Aux_Totales!$F:$F, $F224, Aux_Totales!$A:$A,#REF!), 0))</f>
        <v/>
      </c>
      <c r="FOG224" s="19" t="str">
        <f>IF(FOG220 = "", "", IFERROR(FOG220 / SUMIFS(Aux_Totales!$N:$N, Aux_Totales!$F:$F, $F224, Aux_Totales!$A:$A,#REF!), 0))</f>
        <v/>
      </c>
      <c r="FOH224" s="19" t="str">
        <f>IF(FOH220 = "", "", IFERROR(FOH220 / SUMIFS(Aux_Totales!$N:$N, Aux_Totales!$F:$F, $F224, Aux_Totales!$A:$A,#REF!), 0))</f>
        <v/>
      </c>
      <c r="FOI224" s="19" t="str">
        <f>IF(FOI220 = "", "", IFERROR(FOI220 / SUMIFS(Aux_Totales!$N:$N, Aux_Totales!$F:$F, $F224, Aux_Totales!$A:$A,#REF!), 0))</f>
        <v/>
      </c>
      <c r="FOJ224" s="19" t="str">
        <f>IF(FOJ220 = "", "", IFERROR(FOJ220 / SUMIFS(Aux_Totales!$N:$N, Aux_Totales!$F:$F, $F224, Aux_Totales!$A:$A,#REF!), 0))</f>
        <v/>
      </c>
      <c r="FOK224" s="19" t="str">
        <f>IF(FOK220 = "", "", IFERROR(FOK220 / SUMIFS(Aux_Totales!$N:$N, Aux_Totales!$F:$F, $F224, Aux_Totales!$A:$A,#REF!), 0))</f>
        <v/>
      </c>
      <c r="FOL224" s="19" t="str">
        <f>IF(FOL220 = "", "", IFERROR(FOL220 / SUMIFS(Aux_Totales!$N:$N, Aux_Totales!$F:$F, $F224, Aux_Totales!$A:$A,#REF!), 0))</f>
        <v/>
      </c>
      <c r="FOM224" s="19" t="str">
        <f>IF(FOM220 = "", "", IFERROR(FOM220 / SUMIFS(Aux_Totales!$N:$N, Aux_Totales!$F:$F, $F224, Aux_Totales!$A:$A,#REF!), 0))</f>
        <v/>
      </c>
      <c r="FON224" s="19" t="str">
        <f>IF(FON220 = "", "", IFERROR(FON220 / SUMIFS(Aux_Totales!$N:$N, Aux_Totales!$F:$F, $F224, Aux_Totales!$A:$A,#REF!), 0))</f>
        <v/>
      </c>
      <c r="FOO224" s="19" t="str">
        <f>IF(FOO220 = "", "", IFERROR(FOO220 / SUMIFS(Aux_Totales!$N:$N, Aux_Totales!$F:$F, $F224, Aux_Totales!$A:$A,#REF!), 0))</f>
        <v/>
      </c>
      <c r="FOP224" s="19" t="str">
        <f>IF(FOP220 = "", "", IFERROR(FOP220 / SUMIFS(Aux_Totales!$N:$N, Aux_Totales!$F:$F, $F224, Aux_Totales!$A:$A,#REF!), 0))</f>
        <v/>
      </c>
      <c r="FOQ224" s="19" t="str">
        <f>IF(FOQ220 = "", "", IFERROR(FOQ220 / SUMIFS(Aux_Totales!$N:$N, Aux_Totales!$F:$F, $F224, Aux_Totales!$A:$A,#REF!), 0))</f>
        <v/>
      </c>
      <c r="FOR224" s="19" t="str">
        <f>IF(FOR220 = "", "", IFERROR(FOR220 / SUMIFS(Aux_Totales!$N:$N, Aux_Totales!$F:$F, $F224, Aux_Totales!$A:$A,#REF!), 0))</f>
        <v/>
      </c>
      <c r="FOS224" s="19" t="str">
        <f>IF(FOS220 = "", "", IFERROR(FOS220 / SUMIFS(Aux_Totales!$N:$N, Aux_Totales!$F:$F, $F224, Aux_Totales!$A:$A,#REF!), 0))</f>
        <v/>
      </c>
      <c r="FOT224" s="19" t="str">
        <f>IF(FOT220 = "", "", IFERROR(FOT220 / SUMIFS(Aux_Totales!$N:$N, Aux_Totales!$F:$F, $F224, Aux_Totales!$A:$A,#REF!), 0))</f>
        <v/>
      </c>
      <c r="FOU224" s="19" t="str">
        <f>IF(FOU220 = "", "", IFERROR(FOU220 / SUMIFS(Aux_Totales!$N:$N, Aux_Totales!$F:$F, $F224, Aux_Totales!$A:$A,#REF!), 0))</f>
        <v/>
      </c>
      <c r="FOV224" s="19" t="str">
        <f>IF(FOV220 = "", "", IFERROR(FOV220 / SUMIFS(Aux_Totales!$N:$N, Aux_Totales!$F:$F, $F224, Aux_Totales!$A:$A,#REF!), 0))</f>
        <v/>
      </c>
      <c r="FOW224" s="19" t="str">
        <f>IF(FOW220 = "", "", IFERROR(FOW220 / SUMIFS(Aux_Totales!$N:$N, Aux_Totales!$F:$F, $F224, Aux_Totales!$A:$A,#REF!), 0))</f>
        <v/>
      </c>
      <c r="FOX224" s="19" t="str">
        <f>IF(FOX220 = "", "", IFERROR(FOX220 / SUMIFS(Aux_Totales!$N:$N, Aux_Totales!$F:$F, $F224, Aux_Totales!$A:$A,#REF!), 0))</f>
        <v/>
      </c>
      <c r="FOY224" s="19" t="str">
        <f>IF(FOY220 = "", "", IFERROR(FOY220 / SUMIFS(Aux_Totales!$N:$N, Aux_Totales!$F:$F, $F224, Aux_Totales!$A:$A,#REF!), 0))</f>
        <v/>
      </c>
      <c r="FOZ224" s="19" t="str">
        <f>IF(FOZ220 = "", "", IFERROR(FOZ220 / SUMIFS(Aux_Totales!$N:$N, Aux_Totales!$F:$F, $F224, Aux_Totales!$A:$A,#REF!), 0))</f>
        <v/>
      </c>
      <c r="FPA224" s="19" t="str">
        <f>IF(FPA220 = "", "", IFERROR(FPA220 / SUMIFS(Aux_Totales!$N:$N, Aux_Totales!$F:$F, $F224, Aux_Totales!$A:$A,#REF!), 0))</f>
        <v/>
      </c>
      <c r="FPB224" s="19" t="str">
        <f>IF(FPB220 = "", "", IFERROR(FPB220 / SUMIFS(Aux_Totales!$N:$N, Aux_Totales!$F:$F, $F224, Aux_Totales!$A:$A,#REF!), 0))</f>
        <v/>
      </c>
      <c r="FPC224" s="19" t="str">
        <f>IF(FPC220 = "", "", IFERROR(FPC220 / SUMIFS(Aux_Totales!$N:$N, Aux_Totales!$F:$F, $F224, Aux_Totales!$A:$A,#REF!), 0))</f>
        <v/>
      </c>
      <c r="FPD224" s="19" t="str">
        <f>IF(FPD220 = "", "", IFERROR(FPD220 / SUMIFS(Aux_Totales!$N:$N, Aux_Totales!$F:$F, $F224, Aux_Totales!$A:$A,#REF!), 0))</f>
        <v/>
      </c>
      <c r="FPE224" s="19" t="str">
        <f>IF(FPE220 = "", "", IFERROR(FPE220 / SUMIFS(Aux_Totales!$N:$N, Aux_Totales!$F:$F, $F224, Aux_Totales!$A:$A,#REF!), 0))</f>
        <v/>
      </c>
      <c r="FPF224" s="19" t="str">
        <f>IF(FPF220 = "", "", IFERROR(FPF220 / SUMIFS(Aux_Totales!$N:$N, Aux_Totales!$F:$F, $F224, Aux_Totales!$A:$A,#REF!), 0))</f>
        <v/>
      </c>
      <c r="FPG224" s="19" t="str">
        <f>IF(FPG220 = "", "", IFERROR(FPG220 / SUMIFS(Aux_Totales!$N:$N, Aux_Totales!$F:$F, $F224, Aux_Totales!$A:$A,#REF!), 0))</f>
        <v/>
      </c>
      <c r="FPH224" s="19" t="str">
        <f>IF(FPH220 = "", "", IFERROR(FPH220 / SUMIFS(Aux_Totales!$N:$N, Aux_Totales!$F:$F, $F224, Aux_Totales!$A:$A,#REF!), 0))</f>
        <v/>
      </c>
      <c r="FPI224" s="19" t="str">
        <f>IF(FPI220 = "", "", IFERROR(FPI220 / SUMIFS(Aux_Totales!$N:$N, Aux_Totales!$F:$F, $F224, Aux_Totales!$A:$A,#REF!), 0))</f>
        <v/>
      </c>
      <c r="FPJ224" s="19" t="str">
        <f>IF(FPJ220 = "", "", IFERROR(FPJ220 / SUMIFS(Aux_Totales!$N:$N, Aux_Totales!$F:$F, $F224, Aux_Totales!$A:$A,#REF!), 0))</f>
        <v/>
      </c>
      <c r="FPK224" s="19" t="str">
        <f>IF(FPK220 = "", "", IFERROR(FPK220 / SUMIFS(Aux_Totales!$N:$N, Aux_Totales!$F:$F, $F224, Aux_Totales!$A:$A,#REF!), 0))</f>
        <v/>
      </c>
      <c r="FPL224" s="19" t="str">
        <f>IF(FPL220 = "", "", IFERROR(FPL220 / SUMIFS(Aux_Totales!$N:$N, Aux_Totales!$F:$F, $F224, Aux_Totales!$A:$A,#REF!), 0))</f>
        <v/>
      </c>
      <c r="FPM224" s="19" t="str">
        <f>IF(FPM220 = "", "", IFERROR(FPM220 / SUMIFS(Aux_Totales!$N:$N, Aux_Totales!$F:$F, $F224, Aux_Totales!$A:$A,#REF!), 0))</f>
        <v/>
      </c>
      <c r="FPN224" s="19" t="str">
        <f>IF(FPN220 = "", "", IFERROR(FPN220 / SUMIFS(Aux_Totales!$N:$N, Aux_Totales!$F:$F, $F224, Aux_Totales!$A:$A,#REF!), 0))</f>
        <v/>
      </c>
      <c r="FPO224" s="19" t="str">
        <f>IF(FPO220 = "", "", IFERROR(FPO220 / SUMIFS(Aux_Totales!$N:$N, Aux_Totales!$F:$F, $F224, Aux_Totales!$A:$A,#REF!), 0))</f>
        <v/>
      </c>
      <c r="FPP224" s="19" t="str">
        <f>IF(FPP220 = "", "", IFERROR(FPP220 / SUMIFS(Aux_Totales!$N:$N, Aux_Totales!$F:$F, $F224, Aux_Totales!$A:$A,#REF!), 0))</f>
        <v/>
      </c>
      <c r="FPQ224" s="19" t="str">
        <f>IF(FPQ220 = "", "", IFERROR(FPQ220 / SUMIFS(Aux_Totales!$N:$N, Aux_Totales!$F:$F, $F224, Aux_Totales!$A:$A,#REF!), 0))</f>
        <v/>
      </c>
      <c r="FPR224" s="19" t="str">
        <f>IF(FPR220 = "", "", IFERROR(FPR220 / SUMIFS(Aux_Totales!$N:$N, Aux_Totales!$F:$F, $F224, Aux_Totales!$A:$A,#REF!), 0))</f>
        <v/>
      </c>
      <c r="FPS224" s="19" t="str">
        <f>IF(FPS220 = "", "", IFERROR(FPS220 / SUMIFS(Aux_Totales!$N:$N, Aux_Totales!$F:$F, $F224, Aux_Totales!$A:$A,#REF!), 0))</f>
        <v/>
      </c>
      <c r="FPT224" s="19" t="str">
        <f>IF(FPT220 = "", "", IFERROR(FPT220 / SUMIFS(Aux_Totales!$N:$N, Aux_Totales!$F:$F, $F224, Aux_Totales!$A:$A,#REF!), 0))</f>
        <v/>
      </c>
      <c r="FPU224" s="19" t="str">
        <f>IF(FPU220 = "", "", IFERROR(FPU220 / SUMIFS(Aux_Totales!$N:$N, Aux_Totales!$F:$F, $F224, Aux_Totales!$A:$A,#REF!), 0))</f>
        <v/>
      </c>
      <c r="FPV224" s="19" t="str">
        <f>IF(FPV220 = "", "", IFERROR(FPV220 / SUMIFS(Aux_Totales!$N:$N, Aux_Totales!$F:$F, $F224, Aux_Totales!$A:$A,#REF!), 0))</f>
        <v/>
      </c>
      <c r="FPW224" s="19" t="str">
        <f>IF(FPW220 = "", "", IFERROR(FPW220 / SUMIFS(Aux_Totales!$N:$N, Aux_Totales!$F:$F, $F224, Aux_Totales!$A:$A,#REF!), 0))</f>
        <v/>
      </c>
      <c r="FPX224" s="19" t="str">
        <f>IF(FPX220 = "", "", IFERROR(FPX220 / SUMIFS(Aux_Totales!$N:$N, Aux_Totales!$F:$F, $F224, Aux_Totales!$A:$A,#REF!), 0))</f>
        <v/>
      </c>
      <c r="FPY224" s="19" t="str">
        <f>IF(FPY220 = "", "", IFERROR(FPY220 / SUMIFS(Aux_Totales!$N:$N, Aux_Totales!$F:$F, $F224, Aux_Totales!$A:$A,#REF!), 0))</f>
        <v/>
      </c>
      <c r="FPZ224" s="19" t="str">
        <f>IF(FPZ220 = "", "", IFERROR(FPZ220 / SUMIFS(Aux_Totales!$N:$N, Aux_Totales!$F:$F, $F224, Aux_Totales!$A:$A,#REF!), 0))</f>
        <v/>
      </c>
      <c r="FQA224" s="19" t="str">
        <f>IF(FQA220 = "", "", IFERROR(FQA220 / SUMIFS(Aux_Totales!$N:$N, Aux_Totales!$F:$F, $F224, Aux_Totales!$A:$A,#REF!), 0))</f>
        <v/>
      </c>
      <c r="FQB224" s="19" t="str">
        <f>IF(FQB220 = "", "", IFERROR(FQB220 / SUMIFS(Aux_Totales!$N:$N, Aux_Totales!$F:$F, $F224, Aux_Totales!$A:$A,#REF!), 0))</f>
        <v/>
      </c>
      <c r="FQC224" s="19" t="str">
        <f>IF(FQC220 = "", "", IFERROR(FQC220 / SUMIFS(Aux_Totales!$N:$N, Aux_Totales!$F:$F, $F224, Aux_Totales!$A:$A,#REF!), 0))</f>
        <v/>
      </c>
      <c r="FQD224" s="19" t="str">
        <f>IF(FQD220 = "", "", IFERROR(FQD220 / SUMIFS(Aux_Totales!$N:$N, Aux_Totales!$F:$F, $F224, Aux_Totales!$A:$A,#REF!), 0))</f>
        <v/>
      </c>
      <c r="FQE224" s="19" t="str">
        <f>IF(FQE220 = "", "", IFERROR(FQE220 / SUMIFS(Aux_Totales!$N:$N, Aux_Totales!$F:$F, $F224, Aux_Totales!$A:$A,#REF!), 0))</f>
        <v/>
      </c>
      <c r="FQF224" s="19" t="str">
        <f>IF(FQF220 = "", "", IFERROR(FQF220 / SUMIFS(Aux_Totales!$N:$N, Aux_Totales!$F:$F, $F224, Aux_Totales!$A:$A,#REF!), 0))</f>
        <v/>
      </c>
      <c r="FQG224" s="19" t="str">
        <f>IF(FQG220 = "", "", IFERROR(FQG220 / SUMIFS(Aux_Totales!$N:$N, Aux_Totales!$F:$F, $F224, Aux_Totales!$A:$A,#REF!), 0))</f>
        <v/>
      </c>
      <c r="FQH224" s="19" t="str">
        <f>IF(FQH220 = "", "", IFERROR(FQH220 / SUMIFS(Aux_Totales!$N:$N, Aux_Totales!$F:$F, $F224, Aux_Totales!$A:$A,#REF!), 0))</f>
        <v/>
      </c>
      <c r="FQI224" s="19" t="str">
        <f>IF(FQI220 = "", "", IFERROR(FQI220 / SUMIFS(Aux_Totales!$N:$N, Aux_Totales!$F:$F, $F224, Aux_Totales!$A:$A,#REF!), 0))</f>
        <v/>
      </c>
      <c r="FQJ224" s="19" t="str">
        <f>IF(FQJ220 = "", "", IFERROR(FQJ220 / SUMIFS(Aux_Totales!$N:$N, Aux_Totales!$F:$F, $F224, Aux_Totales!$A:$A,#REF!), 0))</f>
        <v/>
      </c>
      <c r="FQK224" s="19" t="str">
        <f>IF(FQK220 = "", "", IFERROR(FQK220 / SUMIFS(Aux_Totales!$N:$N, Aux_Totales!$F:$F, $F224, Aux_Totales!$A:$A,#REF!), 0))</f>
        <v/>
      </c>
      <c r="FQL224" s="19" t="str">
        <f>IF(FQL220 = "", "", IFERROR(FQL220 / SUMIFS(Aux_Totales!$N:$N, Aux_Totales!$F:$F, $F224, Aux_Totales!$A:$A,#REF!), 0))</f>
        <v/>
      </c>
      <c r="FQM224" s="19" t="str">
        <f>IF(FQM220 = "", "", IFERROR(FQM220 / SUMIFS(Aux_Totales!$N:$N, Aux_Totales!$F:$F, $F224, Aux_Totales!$A:$A,#REF!), 0))</f>
        <v/>
      </c>
      <c r="FQN224" s="19" t="str">
        <f>IF(FQN220 = "", "", IFERROR(FQN220 / SUMIFS(Aux_Totales!$N:$N, Aux_Totales!$F:$F, $F224, Aux_Totales!$A:$A,#REF!), 0))</f>
        <v/>
      </c>
      <c r="FQO224" s="19" t="str">
        <f>IF(FQO220 = "", "", IFERROR(FQO220 / SUMIFS(Aux_Totales!$N:$N, Aux_Totales!$F:$F, $F224, Aux_Totales!$A:$A,#REF!), 0))</f>
        <v/>
      </c>
      <c r="FQP224" s="19" t="str">
        <f>IF(FQP220 = "", "", IFERROR(FQP220 / SUMIFS(Aux_Totales!$N:$N, Aux_Totales!$F:$F, $F224, Aux_Totales!$A:$A,#REF!), 0))</f>
        <v/>
      </c>
      <c r="FQQ224" s="19" t="str">
        <f>IF(FQQ220 = "", "", IFERROR(FQQ220 / SUMIFS(Aux_Totales!$N:$N, Aux_Totales!$F:$F, $F224, Aux_Totales!$A:$A,#REF!), 0))</f>
        <v/>
      </c>
      <c r="FQR224" s="19" t="str">
        <f>IF(FQR220 = "", "", IFERROR(FQR220 / SUMIFS(Aux_Totales!$N:$N, Aux_Totales!$F:$F, $F224, Aux_Totales!$A:$A,#REF!), 0))</f>
        <v/>
      </c>
      <c r="FQS224" s="19" t="str">
        <f>IF(FQS220 = "", "", IFERROR(FQS220 / SUMIFS(Aux_Totales!$N:$N, Aux_Totales!$F:$F, $F224, Aux_Totales!$A:$A,#REF!), 0))</f>
        <v/>
      </c>
      <c r="FQT224" s="19" t="str">
        <f>IF(FQT220 = "", "", IFERROR(FQT220 / SUMIFS(Aux_Totales!$N:$N, Aux_Totales!$F:$F, $F224, Aux_Totales!$A:$A,#REF!), 0))</f>
        <v/>
      </c>
      <c r="FQU224" s="19" t="str">
        <f>IF(FQU220 = "", "", IFERROR(FQU220 / SUMIFS(Aux_Totales!$N:$N, Aux_Totales!$F:$F, $F224, Aux_Totales!$A:$A,#REF!), 0))</f>
        <v/>
      </c>
      <c r="FQV224" s="19" t="str">
        <f>IF(FQV220 = "", "", IFERROR(FQV220 / SUMIFS(Aux_Totales!$N:$N, Aux_Totales!$F:$F, $F224, Aux_Totales!$A:$A,#REF!), 0))</f>
        <v/>
      </c>
      <c r="FQW224" s="19" t="str">
        <f>IF(FQW220 = "", "", IFERROR(FQW220 / SUMIFS(Aux_Totales!$N:$N, Aux_Totales!$F:$F, $F224, Aux_Totales!$A:$A,#REF!), 0))</f>
        <v/>
      </c>
      <c r="FQX224" s="19" t="str">
        <f>IF(FQX220 = "", "", IFERROR(FQX220 / SUMIFS(Aux_Totales!$N:$N, Aux_Totales!$F:$F, $F224, Aux_Totales!$A:$A,#REF!), 0))</f>
        <v/>
      </c>
      <c r="FQY224" s="19" t="str">
        <f>IF(FQY220 = "", "", IFERROR(FQY220 / SUMIFS(Aux_Totales!$N:$N, Aux_Totales!$F:$F, $F224, Aux_Totales!$A:$A,#REF!), 0))</f>
        <v/>
      </c>
      <c r="FQZ224" s="19" t="str">
        <f>IF(FQZ220 = "", "", IFERROR(FQZ220 / SUMIFS(Aux_Totales!$N:$N, Aux_Totales!$F:$F, $F224, Aux_Totales!$A:$A,#REF!), 0))</f>
        <v/>
      </c>
      <c r="FRA224" s="19" t="str">
        <f>IF(FRA220 = "", "", IFERROR(FRA220 / SUMIFS(Aux_Totales!$N:$N, Aux_Totales!$F:$F, $F224, Aux_Totales!$A:$A,#REF!), 0))</f>
        <v/>
      </c>
      <c r="FRB224" s="19" t="str">
        <f>IF(FRB220 = "", "", IFERROR(FRB220 / SUMIFS(Aux_Totales!$N:$N, Aux_Totales!$F:$F, $F224, Aux_Totales!$A:$A,#REF!), 0))</f>
        <v/>
      </c>
      <c r="FRC224" s="19" t="str">
        <f>IF(FRC220 = "", "", IFERROR(FRC220 / SUMIFS(Aux_Totales!$N:$N, Aux_Totales!$F:$F, $F224, Aux_Totales!$A:$A,#REF!), 0))</f>
        <v/>
      </c>
      <c r="FRD224" s="19" t="str">
        <f>IF(FRD220 = "", "", IFERROR(FRD220 / SUMIFS(Aux_Totales!$N:$N, Aux_Totales!$F:$F, $F224, Aux_Totales!$A:$A,#REF!), 0))</f>
        <v/>
      </c>
      <c r="FRE224" s="19" t="str">
        <f>IF(FRE220 = "", "", IFERROR(FRE220 / SUMIFS(Aux_Totales!$N:$N, Aux_Totales!$F:$F, $F224, Aux_Totales!$A:$A,#REF!), 0))</f>
        <v/>
      </c>
      <c r="FRF224" s="19" t="str">
        <f>IF(FRF220 = "", "", IFERROR(FRF220 / SUMIFS(Aux_Totales!$N:$N, Aux_Totales!$F:$F, $F224, Aux_Totales!$A:$A,#REF!), 0))</f>
        <v/>
      </c>
      <c r="FRG224" s="19" t="str">
        <f>IF(FRG220 = "", "", IFERROR(FRG220 / SUMIFS(Aux_Totales!$N:$N, Aux_Totales!$F:$F, $F224, Aux_Totales!$A:$A,#REF!), 0))</f>
        <v/>
      </c>
      <c r="FRH224" s="19" t="str">
        <f>IF(FRH220 = "", "", IFERROR(FRH220 / SUMIFS(Aux_Totales!$N:$N, Aux_Totales!$F:$F, $F224, Aux_Totales!$A:$A,#REF!), 0))</f>
        <v/>
      </c>
      <c r="FRI224" s="19" t="str">
        <f>IF(FRI220 = "", "", IFERROR(FRI220 / SUMIFS(Aux_Totales!$N:$N, Aux_Totales!$F:$F, $F224, Aux_Totales!$A:$A,#REF!), 0))</f>
        <v/>
      </c>
      <c r="FRJ224" s="19" t="str">
        <f>IF(FRJ220 = "", "", IFERROR(FRJ220 / SUMIFS(Aux_Totales!$N:$N, Aux_Totales!$F:$F, $F224, Aux_Totales!$A:$A,#REF!), 0))</f>
        <v/>
      </c>
      <c r="FRK224" s="19" t="str">
        <f>IF(FRK220 = "", "", IFERROR(FRK220 / SUMIFS(Aux_Totales!$N:$N, Aux_Totales!$F:$F, $F224, Aux_Totales!$A:$A,#REF!), 0))</f>
        <v/>
      </c>
      <c r="FRL224" s="19" t="str">
        <f>IF(FRL220 = "", "", IFERROR(FRL220 / SUMIFS(Aux_Totales!$N:$N, Aux_Totales!$F:$F, $F224, Aux_Totales!$A:$A,#REF!), 0))</f>
        <v/>
      </c>
      <c r="FRM224" s="19" t="str">
        <f>IF(FRM220 = "", "", IFERROR(FRM220 / SUMIFS(Aux_Totales!$N:$N, Aux_Totales!$F:$F, $F224, Aux_Totales!$A:$A,#REF!), 0))</f>
        <v/>
      </c>
      <c r="FRN224" s="19" t="str">
        <f>IF(FRN220 = "", "", IFERROR(FRN220 / SUMIFS(Aux_Totales!$N:$N, Aux_Totales!$F:$F, $F224, Aux_Totales!$A:$A,#REF!), 0))</f>
        <v/>
      </c>
      <c r="FRO224" s="19" t="str">
        <f>IF(FRO220 = "", "", IFERROR(FRO220 / SUMIFS(Aux_Totales!$N:$N, Aux_Totales!$F:$F, $F224, Aux_Totales!$A:$A,#REF!), 0))</f>
        <v/>
      </c>
      <c r="FRP224" s="19" t="str">
        <f>IF(FRP220 = "", "", IFERROR(FRP220 / SUMIFS(Aux_Totales!$N:$N, Aux_Totales!$F:$F, $F224, Aux_Totales!$A:$A,#REF!), 0))</f>
        <v/>
      </c>
      <c r="FRQ224" s="19" t="str">
        <f>IF(FRQ220 = "", "", IFERROR(FRQ220 / SUMIFS(Aux_Totales!$N:$N, Aux_Totales!$F:$F, $F224, Aux_Totales!$A:$A,#REF!), 0))</f>
        <v/>
      </c>
      <c r="FRR224" s="19" t="str">
        <f>IF(FRR220 = "", "", IFERROR(FRR220 / SUMIFS(Aux_Totales!$N:$N, Aux_Totales!$F:$F, $F224, Aux_Totales!$A:$A,#REF!), 0))</f>
        <v/>
      </c>
      <c r="FRS224" s="19" t="str">
        <f>IF(FRS220 = "", "", IFERROR(FRS220 / SUMIFS(Aux_Totales!$N:$N, Aux_Totales!$F:$F, $F224, Aux_Totales!$A:$A,#REF!), 0))</f>
        <v/>
      </c>
      <c r="FRT224" s="19" t="str">
        <f>IF(FRT220 = "", "", IFERROR(FRT220 / SUMIFS(Aux_Totales!$N:$N, Aux_Totales!$F:$F, $F224, Aux_Totales!$A:$A,#REF!), 0))</f>
        <v/>
      </c>
      <c r="FRU224" s="19" t="str">
        <f>IF(FRU220 = "", "", IFERROR(FRU220 / SUMIFS(Aux_Totales!$N:$N, Aux_Totales!$F:$F, $F224, Aux_Totales!$A:$A,#REF!), 0))</f>
        <v/>
      </c>
      <c r="FRV224" s="19" t="str">
        <f>IF(FRV220 = "", "", IFERROR(FRV220 / SUMIFS(Aux_Totales!$N:$N, Aux_Totales!$F:$F, $F224, Aux_Totales!$A:$A,#REF!), 0))</f>
        <v/>
      </c>
      <c r="FRW224" s="19" t="str">
        <f>IF(FRW220 = "", "", IFERROR(FRW220 / SUMIFS(Aux_Totales!$N:$N, Aux_Totales!$F:$F, $F224, Aux_Totales!$A:$A,#REF!), 0))</f>
        <v/>
      </c>
      <c r="FRX224" s="19" t="str">
        <f>IF(FRX220 = "", "", IFERROR(FRX220 / SUMIFS(Aux_Totales!$N:$N, Aux_Totales!$F:$F, $F224, Aux_Totales!$A:$A,#REF!), 0))</f>
        <v/>
      </c>
      <c r="FRY224" s="19" t="str">
        <f>IF(FRY220 = "", "", IFERROR(FRY220 / SUMIFS(Aux_Totales!$N:$N, Aux_Totales!$F:$F, $F224, Aux_Totales!$A:$A,#REF!), 0))</f>
        <v/>
      </c>
      <c r="FRZ224" s="19" t="str">
        <f>IF(FRZ220 = "", "", IFERROR(FRZ220 / SUMIFS(Aux_Totales!$N:$N, Aux_Totales!$F:$F, $F224, Aux_Totales!$A:$A,#REF!), 0))</f>
        <v/>
      </c>
      <c r="FSA224" s="19" t="str">
        <f>IF(FSA220 = "", "", IFERROR(FSA220 / SUMIFS(Aux_Totales!$N:$N, Aux_Totales!$F:$F, $F224, Aux_Totales!$A:$A,#REF!), 0))</f>
        <v/>
      </c>
      <c r="FSB224" s="19" t="str">
        <f>IF(FSB220 = "", "", IFERROR(FSB220 / SUMIFS(Aux_Totales!$N:$N, Aux_Totales!$F:$F, $F224, Aux_Totales!$A:$A,#REF!), 0))</f>
        <v/>
      </c>
      <c r="FSC224" s="19" t="str">
        <f>IF(FSC220 = "", "", IFERROR(FSC220 / SUMIFS(Aux_Totales!$N:$N, Aux_Totales!$F:$F, $F224, Aux_Totales!$A:$A,#REF!), 0))</f>
        <v/>
      </c>
      <c r="FSD224" s="19" t="str">
        <f>IF(FSD220 = "", "", IFERROR(FSD220 / SUMIFS(Aux_Totales!$N:$N, Aux_Totales!$F:$F, $F224, Aux_Totales!$A:$A,#REF!), 0))</f>
        <v/>
      </c>
      <c r="FSE224" s="19" t="str">
        <f>IF(FSE220 = "", "", IFERROR(FSE220 / SUMIFS(Aux_Totales!$N:$N, Aux_Totales!$F:$F, $F224, Aux_Totales!$A:$A,#REF!), 0))</f>
        <v/>
      </c>
      <c r="FSF224" s="19" t="str">
        <f>IF(FSF220 = "", "", IFERROR(FSF220 / SUMIFS(Aux_Totales!$N:$N, Aux_Totales!$F:$F, $F224, Aux_Totales!$A:$A,#REF!), 0))</f>
        <v/>
      </c>
      <c r="FSG224" s="19" t="str">
        <f>IF(FSG220 = "", "", IFERROR(FSG220 / SUMIFS(Aux_Totales!$N:$N, Aux_Totales!$F:$F, $F224, Aux_Totales!$A:$A,#REF!), 0))</f>
        <v/>
      </c>
      <c r="FSH224" s="19" t="str">
        <f>IF(FSH220 = "", "", IFERROR(FSH220 / SUMIFS(Aux_Totales!$N:$N, Aux_Totales!$F:$F, $F224, Aux_Totales!$A:$A,#REF!), 0))</f>
        <v/>
      </c>
      <c r="FSI224" s="19" t="str">
        <f>IF(FSI220 = "", "", IFERROR(FSI220 / SUMIFS(Aux_Totales!$N:$N, Aux_Totales!$F:$F, $F224, Aux_Totales!$A:$A,#REF!), 0))</f>
        <v/>
      </c>
      <c r="FSJ224" s="19" t="str">
        <f>IF(FSJ220 = "", "", IFERROR(FSJ220 / SUMIFS(Aux_Totales!$N:$N, Aux_Totales!$F:$F, $F224, Aux_Totales!$A:$A,#REF!), 0))</f>
        <v/>
      </c>
      <c r="FSK224" s="19" t="str">
        <f>IF(FSK220 = "", "", IFERROR(FSK220 / SUMIFS(Aux_Totales!$N:$N, Aux_Totales!$F:$F, $F224, Aux_Totales!$A:$A,#REF!), 0))</f>
        <v/>
      </c>
      <c r="FSL224" s="19" t="str">
        <f>IF(FSL220 = "", "", IFERROR(FSL220 / SUMIFS(Aux_Totales!$N:$N, Aux_Totales!$F:$F, $F224, Aux_Totales!$A:$A,#REF!), 0))</f>
        <v/>
      </c>
      <c r="FSM224" s="19" t="str">
        <f>IF(FSM220 = "", "", IFERROR(FSM220 / SUMIFS(Aux_Totales!$N:$N, Aux_Totales!$F:$F, $F224, Aux_Totales!$A:$A,#REF!), 0))</f>
        <v/>
      </c>
      <c r="FSN224" s="19" t="str">
        <f>IF(FSN220 = "", "", IFERROR(FSN220 / SUMIFS(Aux_Totales!$N:$N, Aux_Totales!$F:$F, $F224, Aux_Totales!$A:$A,#REF!), 0))</f>
        <v/>
      </c>
      <c r="FSO224" s="19" t="str">
        <f>IF(FSO220 = "", "", IFERROR(FSO220 / SUMIFS(Aux_Totales!$N:$N, Aux_Totales!$F:$F, $F224, Aux_Totales!$A:$A,#REF!), 0))</f>
        <v/>
      </c>
      <c r="FSP224" s="19" t="str">
        <f>IF(FSP220 = "", "", IFERROR(FSP220 / SUMIFS(Aux_Totales!$N:$N, Aux_Totales!$F:$F, $F224, Aux_Totales!$A:$A,#REF!), 0))</f>
        <v/>
      </c>
      <c r="FSQ224" s="19" t="str">
        <f>IF(FSQ220 = "", "", IFERROR(FSQ220 / SUMIFS(Aux_Totales!$N:$N, Aux_Totales!$F:$F, $F224, Aux_Totales!$A:$A,#REF!), 0))</f>
        <v/>
      </c>
      <c r="FSR224" s="19" t="str">
        <f>IF(FSR220 = "", "", IFERROR(FSR220 / SUMIFS(Aux_Totales!$N:$N, Aux_Totales!$F:$F, $F224, Aux_Totales!$A:$A,#REF!), 0))</f>
        <v/>
      </c>
      <c r="FSS224" s="19" t="str">
        <f>IF(FSS220 = "", "", IFERROR(FSS220 / SUMIFS(Aux_Totales!$N:$N, Aux_Totales!$F:$F, $F224, Aux_Totales!$A:$A,#REF!), 0))</f>
        <v/>
      </c>
      <c r="FST224" s="19" t="str">
        <f>IF(FST220 = "", "", IFERROR(FST220 / SUMIFS(Aux_Totales!$N:$N, Aux_Totales!$F:$F, $F224, Aux_Totales!$A:$A,#REF!), 0))</f>
        <v/>
      </c>
      <c r="FSU224" s="19" t="str">
        <f>IF(FSU220 = "", "", IFERROR(FSU220 / SUMIFS(Aux_Totales!$N:$N, Aux_Totales!$F:$F, $F224, Aux_Totales!$A:$A,#REF!), 0))</f>
        <v/>
      </c>
      <c r="FSV224" s="19" t="str">
        <f>IF(FSV220 = "", "", IFERROR(FSV220 / SUMIFS(Aux_Totales!$N:$N, Aux_Totales!$F:$F, $F224, Aux_Totales!$A:$A,#REF!), 0))</f>
        <v/>
      </c>
      <c r="FSW224" s="19" t="str">
        <f>IF(FSW220 = "", "", IFERROR(FSW220 / SUMIFS(Aux_Totales!$N:$N, Aux_Totales!$F:$F, $F224, Aux_Totales!$A:$A,#REF!), 0))</f>
        <v/>
      </c>
      <c r="FSX224" s="19" t="str">
        <f>IF(FSX220 = "", "", IFERROR(FSX220 / SUMIFS(Aux_Totales!$N:$N, Aux_Totales!$F:$F, $F224, Aux_Totales!$A:$A,#REF!), 0))</f>
        <v/>
      </c>
      <c r="FSY224" s="19" t="str">
        <f>IF(FSY220 = "", "", IFERROR(FSY220 / SUMIFS(Aux_Totales!$N:$N, Aux_Totales!$F:$F, $F224, Aux_Totales!$A:$A,#REF!), 0))</f>
        <v/>
      </c>
      <c r="FSZ224" s="19" t="str">
        <f>IF(FSZ220 = "", "", IFERROR(FSZ220 / SUMIFS(Aux_Totales!$N:$N, Aux_Totales!$F:$F, $F224, Aux_Totales!$A:$A,#REF!), 0))</f>
        <v/>
      </c>
      <c r="FTA224" s="19" t="str">
        <f>IF(FTA220 = "", "", IFERROR(FTA220 / SUMIFS(Aux_Totales!$N:$N, Aux_Totales!$F:$F, $F224, Aux_Totales!$A:$A,#REF!), 0))</f>
        <v/>
      </c>
      <c r="FTB224" s="19" t="str">
        <f>IF(FTB220 = "", "", IFERROR(FTB220 / SUMIFS(Aux_Totales!$N:$N, Aux_Totales!$F:$F, $F224, Aux_Totales!$A:$A,#REF!), 0))</f>
        <v/>
      </c>
      <c r="FTC224" s="19" t="str">
        <f>IF(FTC220 = "", "", IFERROR(FTC220 / SUMIFS(Aux_Totales!$N:$N, Aux_Totales!$F:$F, $F224, Aux_Totales!$A:$A,#REF!), 0))</f>
        <v/>
      </c>
      <c r="FTD224" s="19" t="str">
        <f>IF(FTD220 = "", "", IFERROR(FTD220 / SUMIFS(Aux_Totales!$N:$N, Aux_Totales!$F:$F, $F224, Aux_Totales!$A:$A,#REF!), 0))</f>
        <v/>
      </c>
      <c r="FTE224" s="19" t="str">
        <f>IF(FTE220 = "", "", IFERROR(FTE220 / SUMIFS(Aux_Totales!$N:$N, Aux_Totales!$F:$F, $F224, Aux_Totales!$A:$A,#REF!), 0))</f>
        <v/>
      </c>
      <c r="FTF224" s="19" t="str">
        <f>IF(FTF220 = "", "", IFERROR(FTF220 / SUMIFS(Aux_Totales!$N:$N, Aux_Totales!$F:$F, $F224, Aux_Totales!$A:$A,#REF!), 0))</f>
        <v/>
      </c>
      <c r="FTG224" s="19" t="str">
        <f>IF(FTG220 = "", "", IFERROR(FTG220 / SUMIFS(Aux_Totales!$N:$N, Aux_Totales!$F:$F, $F224, Aux_Totales!$A:$A,#REF!), 0))</f>
        <v/>
      </c>
      <c r="FTH224" s="19" t="str">
        <f>IF(FTH220 = "", "", IFERROR(FTH220 / SUMIFS(Aux_Totales!$N:$N, Aux_Totales!$F:$F, $F224, Aux_Totales!$A:$A,#REF!), 0))</f>
        <v/>
      </c>
      <c r="FTI224" s="19" t="str">
        <f>IF(FTI220 = "", "", IFERROR(FTI220 / SUMIFS(Aux_Totales!$N:$N, Aux_Totales!$F:$F, $F224, Aux_Totales!$A:$A,#REF!), 0))</f>
        <v/>
      </c>
      <c r="FTJ224" s="19" t="str">
        <f>IF(FTJ220 = "", "", IFERROR(FTJ220 / SUMIFS(Aux_Totales!$N:$N, Aux_Totales!$F:$F, $F224, Aux_Totales!$A:$A,#REF!), 0))</f>
        <v/>
      </c>
      <c r="FTK224" s="19" t="str">
        <f>IF(FTK220 = "", "", IFERROR(FTK220 / SUMIFS(Aux_Totales!$N:$N, Aux_Totales!$F:$F, $F224, Aux_Totales!$A:$A,#REF!), 0))</f>
        <v/>
      </c>
      <c r="FTL224" s="19" t="str">
        <f>IF(FTL220 = "", "", IFERROR(FTL220 / SUMIFS(Aux_Totales!$N:$N, Aux_Totales!$F:$F, $F224, Aux_Totales!$A:$A,#REF!), 0))</f>
        <v/>
      </c>
      <c r="FTM224" s="19" t="str">
        <f>IF(FTM220 = "", "", IFERROR(FTM220 / SUMIFS(Aux_Totales!$N:$N, Aux_Totales!$F:$F, $F224, Aux_Totales!$A:$A,#REF!), 0))</f>
        <v/>
      </c>
      <c r="FTN224" s="19" t="str">
        <f>IF(FTN220 = "", "", IFERROR(FTN220 / SUMIFS(Aux_Totales!$N:$N, Aux_Totales!$F:$F, $F224, Aux_Totales!$A:$A,#REF!), 0))</f>
        <v/>
      </c>
      <c r="FTO224" s="19" t="str">
        <f>IF(FTO220 = "", "", IFERROR(FTO220 / SUMIFS(Aux_Totales!$N:$N, Aux_Totales!$F:$F, $F224, Aux_Totales!$A:$A,#REF!), 0))</f>
        <v/>
      </c>
      <c r="FTP224" s="19" t="str">
        <f>IF(FTP220 = "", "", IFERROR(FTP220 / SUMIFS(Aux_Totales!$N:$N, Aux_Totales!$F:$F, $F224, Aux_Totales!$A:$A,#REF!), 0))</f>
        <v/>
      </c>
      <c r="FTQ224" s="19" t="str">
        <f>IF(FTQ220 = "", "", IFERROR(FTQ220 / SUMIFS(Aux_Totales!$N:$N, Aux_Totales!$F:$F, $F224, Aux_Totales!$A:$A,#REF!), 0))</f>
        <v/>
      </c>
      <c r="FTR224" s="19" t="str">
        <f>IF(FTR220 = "", "", IFERROR(FTR220 / SUMIFS(Aux_Totales!$N:$N, Aux_Totales!$F:$F, $F224, Aux_Totales!$A:$A,#REF!), 0))</f>
        <v/>
      </c>
      <c r="FTS224" s="19" t="str">
        <f>IF(FTS220 = "", "", IFERROR(FTS220 / SUMIFS(Aux_Totales!$N:$N, Aux_Totales!$F:$F, $F224, Aux_Totales!$A:$A,#REF!), 0))</f>
        <v/>
      </c>
      <c r="FTT224" s="19" t="str">
        <f>IF(FTT220 = "", "", IFERROR(FTT220 / SUMIFS(Aux_Totales!$N:$N, Aux_Totales!$F:$F, $F224, Aux_Totales!$A:$A,#REF!), 0))</f>
        <v/>
      </c>
      <c r="FTU224" s="19" t="str">
        <f>IF(FTU220 = "", "", IFERROR(FTU220 / SUMIFS(Aux_Totales!$N:$N, Aux_Totales!$F:$F, $F224, Aux_Totales!$A:$A,#REF!), 0))</f>
        <v/>
      </c>
      <c r="FTV224" s="19" t="str">
        <f>IF(FTV220 = "", "", IFERROR(FTV220 / SUMIFS(Aux_Totales!$N:$N, Aux_Totales!$F:$F, $F224, Aux_Totales!$A:$A,#REF!), 0))</f>
        <v/>
      </c>
      <c r="FTW224" s="19" t="str">
        <f>IF(FTW220 = "", "", IFERROR(FTW220 / SUMIFS(Aux_Totales!$N:$N, Aux_Totales!$F:$F, $F224, Aux_Totales!$A:$A,#REF!), 0))</f>
        <v/>
      </c>
      <c r="FTX224" s="19" t="str">
        <f>IF(FTX220 = "", "", IFERROR(FTX220 / SUMIFS(Aux_Totales!$N:$N, Aux_Totales!$F:$F, $F224, Aux_Totales!$A:$A,#REF!), 0))</f>
        <v/>
      </c>
      <c r="FTY224" s="19" t="str">
        <f>IF(FTY220 = "", "", IFERROR(FTY220 / SUMIFS(Aux_Totales!$N:$N, Aux_Totales!$F:$F, $F224, Aux_Totales!$A:$A,#REF!), 0))</f>
        <v/>
      </c>
      <c r="FTZ224" s="19" t="str">
        <f>IF(FTZ220 = "", "", IFERROR(FTZ220 / SUMIFS(Aux_Totales!$N:$N, Aux_Totales!$F:$F, $F224, Aux_Totales!$A:$A,#REF!), 0))</f>
        <v/>
      </c>
      <c r="FUA224" s="19" t="str">
        <f>IF(FUA220 = "", "", IFERROR(FUA220 / SUMIFS(Aux_Totales!$N:$N, Aux_Totales!$F:$F, $F224, Aux_Totales!$A:$A,#REF!), 0))</f>
        <v/>
      </c>
      <c r="FUB224" s="19" t="str">
        <f>IF(FUB220 = "", "", IFERROR(FUB220 / SUMIFS(Aux_Totales!$N:$N, Aux_Totales!$F:$F, $F224, Aux_Totales!$A:$A,#REF!), 0))</f>
        <v/>
      </c>
      <c r="FUC224" s="19" t="str">
        <f>IF(FUC220 = "", "", IFERROR(FUC220 / SUMIFS(Aux_Totales!$N:$N, Aux_Totales!$F:$F, $F224, Aux_Totales!$A:$A,#REF!), 0))</f>
        <v/>
      </c>
      <c r="FUD224" s="19" t="str">
        <f>IF(FUD220 = "", "", IFERROR(FUD220 / SUMIFS(Aux_Totales!$N:$N, Aux_Totales!$F:$F, $F224, Aux_Totales!$A:$A,#REF!), 0))</f>
        <v/>
      </c>
      <c r="FUE224" s="19" t="str">
        <f>IF(FUE220 = "", "", IFERROR(FUE220 / SUMIFS(Aux_Totales!$N:$N, Aux_Totales!$F:$F, $F224, Aux_Totales!$A:$A,#REF!), 0))</f>
        <v/>
      </c>
      <c r="FUF224" s="19" t="str">
        <f>IF(FUF220 = "", "", IFERROR(FUF220 / SUMIFS(Aux_Totales!$N:$N, Aux_Totales!$F:$F, $F224, Aux_Totales!$A:$A,#REF!), 0))</f>
        <v/>
      </c>
      <c r="FUG224" s="19" t="str">
        <f>IF(FUG220 = "", "", IFERROR(FUG220 / SUMIFS(Aux_Totales!$N:$N, Aux_Totales!$F:$F, $F224, Aux_Totales!$A:$A,#REF!), 0))</f>
        <v/>
      </c>
      <c r="FUH224" s="19" t="str">
        <f>IF(FUH220 = "", "", IFERROR(FUH220 / SUMIFS(Aux_Totales!$N:$N, Aux_Totales!$F:$F, $F224, Aux_Totales!$A:$A,#REF!), 0))</f>
        <v/>
      </c>
      <c r="FUI224" s="19" t="str">
        <f>IF(FUI220 = "", "", IFERROR(FUI220 / SUMIFS(Aux_Totales!$N:$N, Aux_Totales!$F:$F, $F224, Aux_Totales!$A:$A,#REF!), 0))</f>
        <v/>
      </c>
      <c r="FUJ224" s="19" t="str">
        <f>IF(FUJ220 = "", "", IFERROR(FUJ220 / SUMIFS(Aux_Totales!$N:$N, Aux_Totales!$F:$F, $F224, Aux_Totales!$A:$A,#REF!), 0))</f>
        <v/>
      </c>
      <c r="FUK224" s="19" t="str">
        <f>IF(FUK220 = "", "", IFERROR(FUK220 / SUMIFS(Aux_Totales!$N:$N, Aux_Totales!$F:$F, $F224, Aux_Totales!$A:$A,#REF!), 0))</f>
        <v/>
      </c>
      <c r="FUL224" s="19" t="str">
        <f>IF(FUL220 = "", "", IFERROR(FUL220 / SUMIFS(Aux_Totales!$N:$N, Aux_Totales!$F:$F, $F224, Aux_Totales!$A:$A,#REF!), 0))</f>
        <v/>
      </c>
      <c r="FUM224" s="19" t="str">
        <f>IF(FUM220 = "", "", IFERROR(FUM220 / SUMIFS(Aux_Totales!$N:$N, Aux_Totales!$F:$F, $F224, Aux_Totales!$A:$A,#REF!), 0))</f>
        <v/>
      </c>
      <c r="FUN224" s="19" t="str">
        <f>IF(FUN220 = "", "", IFERROR(FUN220 / SUMIFS(Aux_Totales!$N:$N, Aux_Totales!$F:$F, $F224, Aux_Totales!$A:$A,#REF!), 0))</f>
        <v/>
      </c>
      <c r="FUO224" s="19" t="str">
        <f>IF(FUO220 = "", "", IFERROR(FUO220 / SUMIFS(Aux_Totales!$N:$N, Aux_Totales!$F:$F, $F224, Aux_Totales!$A:$A,#REF!), 0))</f>
        <v/>
      </c>
      <c r="FUP224" s="19" t="str">
        <f>IF(FUP220 = "", "", IFERROR(FUP220 / SUMIFS(Aux_Totales!$N:$N, Aux_Totales!$F:$F, $F224, Aux_Totales!$A:$A,#REF!), 0))</f>
        <v/>
      </c>
      <c r="FUQ224" s="19" t="str">
        <f>IF(FUQ220 = "", "", IFERROR(FUQ220 / SUMIFS(Aux_Totales!$N:$N, Aux_Totales!$F:$F, $F224, Aux_Totales!$A:$A,#REF!), 0))</f>
        <v/>
      </c>
      <c r="FUR224" s="19" t="str">
        <f>IF(FUR220 = "", "", IFERROR(FUR220 / SUMIFS(Aux_Totales!$N:$N, Aux_Totales!$F:$F, $F224, Aux_Totales!$A:$A,#REF!), 0))</f>
        <v/>
      </c>
      <c r="FUS224" s="19" t="str">
        <f>IF(FUS220 = "", "", IFERROR(FUS220 / SUMIFS(Aux_Totales!$N:$N, Aux_Totales!$F:$F, $F224, Aux_Totales!$A:$A,#REF!), 0))</f>
        <v/>
      </c>
      <c r="FUT224" s="19" t="str">
        <f>IF(FUT220 = "", "", IFERROR(FUT220 / SUMIFS(Aux_Totales!$N:$N, Aux_Totales!$F:$F, $F224, Aux_Totales!$A:$A,#REF!), 0))</f>
        <v/>
      </c>
      <c r="FUU224" s="19" t="str">
        <f>IF(FUU220 = "", "", IFERROR(FUU220 / SUMIFS(Aux_Totales!$N:$N, Aux_Totales!$F:$F, $F224, Aux_Totales!$A:$A,#REF!), 0))</f>
        <v/>
      </c>
      <c r="FUV224" s="19" t="str">
        <f>IF(FUV220 = "", "", IFERROR(FUV220 / SUMIFS(Aux_Totales!$N:$N, Aux_Totales!$F:$F, $F224, Aux_Totales!$A:$A,#REF!), 0))</f>
        <v/>
      </c>
      <c r="FUW224" s="19" t="str">
        <f>IF(FUW220 = "", "", IFERROR(FUW220 / SUMIFS(Aux_Totales!$N:$N, Aux_Totales!$F:$F, $F224, Aux_Totales!$A:$A,#REF!), 0))</f>
        <v/>
      </c>
      <c r="FUX224" s="19" t="str">
        <f>IF(FUX220 = "", "", IFERROR(FUX220 / SUMIFS(Aux_Totales!$N:$N, Aux_Totales!$F:$F, $F224, Aux_Totales!$A:$A,#REF!), 0))</f>
        <v/>
      </c>
      <c r="FUY224" s="19" t="str">
        <f>IF(FUY220 = "", "", IFERROR(FUY220 / SUMIFS(Aux_Totales!$N:$N, Aux_Totales!$F:$F, $F224, Aux_Totales!$A:$A,#REF!), 0))</f>
        <v/>
      </c>
      <c r="FUZ224" s="19" t="str">
        <f>IF(FUZ220 = "", "", IFERROR(FUZ220 / SUMIFS(Aux_Totales!$N:$N, Aux_Totales!$F:$F, $F224, Aux_Totales!$A:$A,#REF!), 0))</f>
        <v/>
      </c>
      <c r="FVA224" s="19" t="str">
        <f>IF(FVA220 = "", "", IFERROR(FVA220 / SUMIFS(Aux_Totales!$N:$N, Aux_Totales!$F:$F, $F224, Aux_Totales!$A:$A,#REF!), 0))</f>
        <v/>
      </c>
      <c r="FVB224" s="19" t="str">
        <f>IF(FVB220 = "", "", IFERROR(FVB220 / SUMIFS(Aux_Totales!$N:$N, Aux_Totales!$F:$F, $F224, Aux_Totales!$A:$A,#REF!), 0))</f>
        <v/>
      </c>
      <c r="FVC224" s="19" t="str">
        <f>IF(FVC220 = "", "", IFERROR(FVC220 / SUMIFS(Aux_Totales!$N:$N, Aux_Totales!$F:$F, $F224, Aux_Totales!$A:$A,#REF!), 0))</f>
        <v/>
      </c>
      <c r="FVD224" s="19" t="str">
        <f>IF(FVD220 = "", "", IFERROR(FVD220 / SUMIFS(Aux_Totales!$N:$N, Aux_Totales!$F:$F, $F224, Aux_Totales!$A:$A,#REF!), 0))</f>
        <v/>
      </c>
      <c r="FVE224" s="19" t="str">
        <f>IF(FVE220 = "", "", IFERROR(FVE220 / SUMIFS(Aux_Totales!$N:$N, Aux_Totales!$F:$F, $F224, Aux_Totales!$A:$A,#REF!), 0))</f>
        <v/>
      </c>
      <c r="FVF224" s="19" t="str">
        <f>IF(FVF220 = "", "", IFERROR(FVF220 / SUMIFS(Aux_Totales!$N:$N, Aux_Totales!$F:$F, $F224, Aux_Totales!$A:$A,#REF!), 0))</f>
        <v/>
      </c>
      <c r="FVG224" s="19" t="str">
        <f>IF(FVG220 = "", "", IFERROR(FVG220 / SUMIFS(Aux_Totales!$N:$N, Aux_Totales!$F:$F, $F224, Aux_Totales!$A:$A,#REF!), 0))</f>
        <v/>
      </c>
      <c r="FVH224" s="19" t="str">
        <f>IF(FVH220 = "", "", IFERROR(FVH220 / SUMIFS(Aux_Totales!$N:$N, Aux_Totales!$F:$F, $F224, Aux_Totales!$A:$A,#REF!), 0))</f>
        <v/>
      </c>
      <c r="FVI224" s="19" t="str">
        <f>IF(FVI220 = "", "", IFERROR(FVI220 / SUMIFS(Aux_Totales!$N:$N, Aux_Totales!$F:$F, $F224, Aux_Totales!$A:$A,#REF!), 0))</f>
        <v/>
      </c>
      <c r="FVJ224" s="19" t="str">
        <f>IF(FVJ220 = "", "", IFERROR(FVJ220 / SUMIFS(Aux_Totales!$N:$N, Aux_Totales!$F:$F, $F224, Aux_Totales!$A:$A,#REF!), 0))</f>
        <v/>
      </c>
      <c r="FVK224" s="19" t="str">
        <f>IF(FVK220 = "", "", IFERROR(FVK220 / SUMIFS(Aux_Totales!$N:$N, Aux_Totales!$F:$F, $F224, Aux_Totales!$A:$A,#REF!), 0))</f>
        <v/>
      </c>
      <c r="FVL224" s="19" t="str">
        <f>IF(FVL220 = "", "", IFERROR(FVL220 / SUMIFS(Aux_Totales!$N:$N, Aux_Totales!$F:$F, $F224, Aux_Totales!$A:$A,#REF!), 0))</f>
        <v/>
      </c>
      <c r="FVM224" s="19" t="str">
        <f>IF(FVM220 = "", "", IFERROR(FVM220 / SUMIFS(Aux_Totales!$N:$N, Aux_Totales!$F:$F, $F224, Aux_Totales!$A:$A,#REF!), 0))</f>
        <v/>
      </c>
      <c r="FVN224" s="19" t="str">
        <f>IF(FVN220 = "", "", IFERROR(FVN220 / SUMIFS(Aux_Totales!$N:$N, Aux_Totales!$F:$F, $F224, Aux_Totales!$A:$A,#REF!), 0))</f>
        <v/>
      </c>
      <c r="FVO224" s="19" t="str">
        <f>IF(FVO220 = "", "", IFERROR(FVO220 / SUMIFS(Aux_Totales!$N:$N, Aux_Totales!$F:$F, $F224, Aux_Totales!$A:$A,#REF!), 0))</f>
        <v/>
      </c>
      <c r="FVP224" s="19" t="str">
        <f>IF(FVP220 = "", "", IFERROR(FVP220 / SUMIFS(Aux_Totales!$N:$N, Aux_Totales!$F:$F, $F224, Aux_Totales!$A:$A,#REF!), 0))</f>
        <v/>
      </c>
      <c r="FVQ224" s="19" t="str">
        <f>IF(FVQ220 = "", "", IFERROR(FVQ220 / SUMIFS(Aux_Totales!$N:$N, Aux_Totales!$F:$F, $F224, Aux_Totales!$A:$A,#REF!), 0))</f>
        <v/>
      </c>
      <c r="FVR224" s="19" t="str">
        <f>IF(FVR220 = "", "", IFERROR(FVR220 / SUMIFS(Aux_Totales!$N:$N, Aux_Totales!$F:$F, $F224, Aux_Totales!$A:$A,#REF!), 0))</f>
        <v/>
      </c>
      <c r="FVS224" s="19" t="str">
        <f>IF(FVS220 = "", "", IFERROR(FVS220 / SUMIFS(Aux_Totales!$N:$N, Aux_Totales!$F:$F, $F224, Aux_Totales!$A:$A,#REF!), 0))</f>
        <v/>
      </c>
      <c r="FVT224" s="19" t="str">
        <f>IF(FVT220 = "", "", IFERROR(FVT220 / SUMIFS(Aux_Totales!$N:$N, Aux_Totales!$F:$F, $F224, Aux_Totales!$A:$A,#REF!), 0))</f>
        <v/>
      </c>
      <c r="FVU224" s="19" t="str">
        <f>IF(FVU220 = "", "", IFERROR(FVU220 / SUMIFS(Aux_Totales!$N:$N, Aux_Totales!$F:$F, $F224, Aux_Totales!$A:$A,#REF!), 0))</f>
        <v/>
      </c>
      <c r="FVV224" s="19" t="str">
        <f>IF(FVV220 = "", "", IFERROR(FVV220 / SUMIFS(Aux_Totales!$N:$N, Aux_Totales!$F:$F, $F224, Aux_Totales!$A:$A,#REF!), 0))</f>
        <v/>
      </c>
      <c r="FVW224" s="19" t="str">
        <f>IF(FVW220 = "", "", IFERROR(FVW220 / SUMIFS(Aux_Totales!$N:$N, Aux_Totales!$F:$F, $F224, Aux_Totales!$A:$A,#REF!), 0))</f>
        <v/>
      </c>
      <c r="FVX224" s="19" t="str">
        <f>IF(FVX220 = "", "", IFERROR(FVX220 / SUMIFS(Aux_Totales!$N:$N, Aux_Totales!$F:$F, $F224, Aux_Totales!$A:$A,#REF!), 0))</f>
        <v/>
      </c>
      <c r="FVY224" s="19" t="str">
        <f>IF(FVY220 = "", "", IFERROR(FVY220 / SUMIFS(Aux_Totales!$N:$N, Aux_Totales!$F:$F, $F224, Aux_Totales!$A:$A,#REF!), 0))</f>
        <v/>
      </c>
      <c r="FVZ224" s="19" t="str">
        <f>IF(FVZ220 = "", "", IFERROR(FVZ220 / SUMIFS(Aux_Totales!$N:$N, Aux_Totales!$F:$F, $F224, Aux_Totales!$A:$A,#REF!), 0))</f>
        <v/>
      </c>
      <c r="FWA224" s="19" t="str">
        <f>IF(FWA220 = "", "", IFERROR(FWA220 / SUMIFS(Aux_Totales!$N:$N, Aux_Totales!$F:$F, $F224, Aux_Totales!$A:$A,#REF!), 0))</f>
        <v/>
      </c>
      <c r="FWB224" s="19" t="str">
        <f>IF(FWB220 = "", "", IFERROR(FWB220 / SUMIFS(Aux_Totales!$N:$N, Aux_Totales!$F:$F, $F224, Aux_Totales!$A:$A,#REF!), 0))</f>
        <v/>
      </c>
      <c r="FWC224" s="19" t="str">
        <f>IF(FWC220 = "", "", IFERROR(FWC220 / SUMIFS(Aux_Totales!$N:$N, Aux_Totales!$F:$F, $F224, Aux_Totales!$A:$A,#REF!), 0))</f>
        <v/>
      </c>
      <c r="FWD224" s="19" t="str">
        <f>IF(FWD220 = "", "", IFERROR(FWD220 / SUMIFS(Aux_Totales!$N:$N, Aux_Totales!$F:$F, $F224, Aux_Totales!$A:$A,#REF!), 0))</f>
        <v/>
      </c>
      <c r="FWE224" s="19" t="str">
        <f>IF(FWE220 = "", "", IFERROR(FWE220 / SUMIFS(Aux_Totales!$N:$N, Aux_Totales!$F:$F, $F224, Aux_Totales!$A:$A,#REF!), 0))</f>
        <v/>
      </c>
      <c r="FWF224" s="19" t="str">
        <f>IF(FWF220 = "", "", IFERROR(FWF220 / SUMIFS(Aux_Totales!$N:$N, Aux_Totales!$F:$F, $F224, Aux_Totales!$A:$A,#REF!), 0))</f>
        <v/>
      </c>
      <c r="FWG224" s="19" t="str">
        <f>IF(FWG220 = "", "", IFERROR(FWG220 / SUMIFS(Aux_Totales!$N:$N, Aux_Totales!$F:$F, $F224, Aux_Totales!$A:$A,#REF!), 0))</f>
        <v/>
      </c>
      <c r="FWH224" s="19" t="str">
        <f>IF(FWH220 = "", "", IFERROR(FWH220 / SUMIFS(Aux_Totales!$N:$N, Aux_Totales!$F:$F, $F224, Aux_Totales!$A:$A,#REF!), 0))</f>
        <v/>
      </c>
      <c r="FWI224" s="19" t="str">
        <f>IF(FWI220 = "", "", IFERROR(FWI220 / SUMIFS(Aux_Totales!$N:$N, Aux_Totales!$F:$F, $F224, Aux_Totales!$A:$A,#REF!), 0))</f>
        <v/>
      </c>
      <c r="FWJ224" s="19" t="str">
        <f>IF(FWJ220 = "", "", IFERROR(FWJ220 / SUMIFS(Aux_Totales!$N:$N, Aux_Totales!$F:$F, $F224, Aux_Totales!$A:$A,#REF!), 0))</f>
        <v/>
      </c>
      <c r="FWK224" s="19" t="str">
        <f>IF(FWK220 = "", "", IFERROR(FWK220 / SUMIFS(Aux_Totales!$N:$N, Aux_Totales!$F:$F, $F224, Aux_Totales!$A:$A,#REF!), 0))</f>
        <v/>
      </c>
      <c r="FWL224" s="19" t="str">
        <f>IF(FWL220 = "", "", IFERROR(FWL220 / SUMIFS(Aux_Totales!$N:$N, Aux_Totales!$F:$F, $F224, Aux_Totales!$A:$A,#REF!), 0))</f>
        <v/>
      </c>
      <c r="FWM224" s="19" t="str">
        <f>IF(FWM220 = "", "", IFERROR(FWM220 / SUMIFS(Aux_Totales!$N:$N, Aux_Totales!$F:$F, $F224, Aux_Totales!$A:$A,#REF!), 0))</f>
        <v/>
      </c>
      <c r="FWN224" s="19" t="str">
        <f>IF(FWN220 = "", "", IFERROR(FWN220 / SUMIFS(Aux_Totales!$N:$N, Aux_Totales!$F:$F, $F224, Aux_Totales!$A:$A,#REF!), 0))</f>
        <v/>
      </c>
      <c r="FWO224" s="19" t="str">
        <f>IF(FWO220 = "", "", IFERROR(FWO220 / SUMIFS(Aux_Totales!$N:$N, Aux_Totales!$F:$F, $F224, Aux_Totales!$A:$A,#REF!), 0))</f>
        <v/>
      </c>
      <c r="FWP224" s="19" t="str">
        <f>IF(FWP220 = "", "", IFERROR(FWP220 / SUMIFS(Aux_Totales!$N:$N, Aux_Totales!$F:$F, $F224, Aux_Totales!$A:$A,#REF!), 0))</f>
        <v/>
      </c>
      <c r="FWQ224" s="19" t="str">
        <f>IF(FWQ220 = "", "", IFERROR(FWQ220 / SUMIFS(Aux_Totales!$N:$N, Aux_Totales!$F:$F, $F224, Aux_Totales!$A:$A,#REF!), 0))</f>
        <v/>
      </c>
      <c r="FWR224" s="19" t="str">
        <f>IF(FWR220 = "", "", IFERROR(FWR220 / SUMIFS(Aux_Totales!$N:$N, Aux_Totales!$F:$F, $F224, Aux_Totales!$A:$A,#REF!), 0))</f>
        <v/>
      </c>
      <c r="FWS224" s="19" t="str">
        <f>IF(FWS220 = "", "", IFERROR(FWS220 / SUMIFS(Aux_Totales!$N:$N, Aux_Totales!$F:$F, $F224, Aux_Totales!$A:$A,#REF!), 0))</f>
        <v/>
      </c>
      <c r="FWT224" s="19" t="str">
        <f>IF(FWT220 = "", "", IFERROR(FWT220 / SUMIFS(Aux_Totales!$N:$N, Aux_Totales!$F:$F, $F224, Aux_Totales!$A:$A,#REF!), 0))</f>
        <v/>
      </c>
      <c r="FWU224" s="19" t="str">
        <f>IF(FWU220 = "", "", IFERROR(FWU220 / SUMIFS(Aux_Totales!$N:$N, Aux_Totales!$F:$F, $F224, Aux_Totales!$A:$A,#REF!), 0))</f>
        <v/>
      </c>
      <c r="FWV224" s="19" t="str">
        <f>IF(FWV220 = "", "", IFERROR(FWV220 / SUMIFS(Aux_Totales!$N:$N, Aux_Totales!$F:$F, $F224, Aux_Totales!$A:$A,#REF!), 0))</f>
        <v/>
      </c>
      <c r="FWW224" s="19" t="str">
        <f>IF(FWW220 = "", "", IFERROR(FWW220 / SUMIFS(Aux_Totales!$N:$N, Aux_Totales!$F:$F, $F224, Aux_Totales!$A:$A,#REF!), 0))</f>
        <v/>
      </c>
      <c r="FWX224" s="19" t="str">
        <f>IF(FWX220 = "", "", IFERROR(FWX220 / SUMIFS(Aux_Totales!$N:$N, Aux_Totales!$F:$F, $F224, Aux_Totales!$A:$A,#REF!), 0))</f>
        <v/>
      </c>
      <c r="FWY224" s="19" t="str">
        <f>IF(FWY220 = "", "", IFERROR(FWY220 / SUMIFS(Aux_Totales!$N:$N, Aux_Totales!$F:$F, $F224, Aux_Totales!$A:$A,#REF!), 0))</f>
        <v/>
      </c>
      <c r="FWZ224" s="19" t="str">
        <f>IF(FWZ220 = "", "", IFERROR(FWZ220 / SUMIFS(Aux_Totales!$N:$N, Aux_Totales!$F:$F, $F224, Aux_Totales!$A:$A,#REF!), 0))</f>
        <v/>
      </c>
      <c r="FXA224" s="19" t="str">
        <f>IF(FXA220 = "", "", IFERROR(FXA220 / SUMIFS(Aux_Totales!$N:$N, Aux_Totales!$F:$F, $F224, Aux_Totales!$A:$A,#REF!), 0))</f>
        <v/>
      </c>
      <c r="FXB224" s="19" t="str">
        <f>IF(FXB220 = "", "", IFERROR(FXB220 / SUMIFS(Aux_Totales!$N:$N, Aux_Totales!$F:$F, $F224, Aux_Totales!$A:$A,#REF!), 0))</f>
        <v/>
      </c>
      <c r="FXC224" s="19" t="str">
        <f>IF(FXC220 = "", "", IFERROR(FXC220 / SUMIFS(Aux_Totales!$N:$N, Aux_Totales!$F:$F, $F224, Aux_Totales!$A:$A,#REF!), 0))</f>
        <v/>
      </c>
      <c r="FXD224" s="19" t="str">
        <f>IF(FXD220 = "", "", IFERROR(FXD220 / SUMIFS(Aux_Totales!$N:$N, Aux_Totales!$F:$F, $F224, Aux_Totales!$A:$A,#REF!), 0))</f>
        <v/>
      </c>
      <c r="FXE224" s="19" t="str">
        <f>IF(FXE220 = "", "", IFERROR(FXE220 / SUMIFS(Aux_Totales!$N:$N, Aux_Totales!$F:$F, $F224, Aux_Totales!$A:$A,#REF!), 0))</f>
        <v/>
      </c>
      <c r="FXF224" s="19" t="str">
        <f>IF(FXF220 = "", "", IFERROR(FXF220 / SUMIFS(Aux_Totales!$N:$N, Aux_Totales!$F:$F, $F224, Aux_Totales!$A:$A,#REF!), 0))</f>
        <v/>
      </c>
      <c r="FXG224" s="19" t="str">
        <f>IF(FXG220 = "", "", IFERROR(FXG220 / SUMIFS(Aux_Totales!$N:$N, Aux_Totales!$F:$F, $F224, Aux_Totales!$A:$A,#REF!), 0))</f>
        <v/>
      </c>
      <c r="FXH224" s="19" t="str">
        <f>IF(FXH220 = "", "", IFERROR(FXH220 / SUMIFS(Aux_Totales!$N:$N, Aux_Totales!$F:$F, $F224, Aux_Totales!$A:$A,#REF!), 0))</f>
        <v/>
      </c>
      <c r="FXI224" s="19" t="str">
        <f>IF(FXI220 = "", "", IFERROR(FXI220 / SUMIFS(Aux_Totales!$N:$N, Aux_Totales!$F:$F, $F224, Aux_Totales!$A:$A,#REF!), 0))</f>
        <v/>
      </c>
      <c r="FXJ224" s="19" t="str">
        <f>IF(FXJ220 = "", "", IFERROR(FXJ220 / SUMIFS(Aux_Totales!$N:$N, Aux_Totales!$F:$F, $F224, Aux_Totales!$A:$A,#REF!), 0))</f>
        <v/>
      </c>
      <c r="FXK224" s="19" t="str">
        <f>IF(FXK220 = "", "", IFERROR(FXK220 / SUMIFS(Aux_Totales!$N:$N, Aux_Totales!$F:$F, $F224, Aux_Totales!$A:$A,#REF!), 0))</f>
        <v/>
      </c>
      <c r="FXL224" s="19" t="str">
        <f>IF(FXL220 = "", "", IFERROR(FXL220 / SUMIFS(Aux_Totales!$N:$N, Aux_Totales!$F:$F, $F224, Aux_Totales!$A:$A,#REF!), 0))</f>
        <v/>
      </c>
      <c r="FXM224" s="19" t="str">
        <f>IF(FXM220 = "", "", IFERROR(FXM220 / SUMIFS(Aux_Totales!$N:$N, Aux_Totales!$F:$F, $F224, Aux_Totales!$A:$A,#REF!), 0))</f>
        <v/>
      </c>
      <c r="FXN224" s="19" t="str">
        <f>IF(FXN220 = "", "", IFERROR(FXN220 / SUMIFS(Aux_Totales!$N:$N, Aux_Totales!$F:$F, $F224, Aux_Totales!$A:$A,#REF!), 0))</f>
        <v/>
      </c>
      <c r="FXO224" s="19" t="str">
        <f>IF(FXO220 = "", "", IFERROR(FXO220 / SUMIFS(Aux_Totales!$N:$N, Aux_Totales!$F:$F, $F224, Aux_Totales!$A:$A,#REF!), 0))</f>
        <v/>
      </c>
      <c r="FXP224" s="19" t="str">
        <f>IF(FXP220 = "", "", IFERROR(FXP220 / SUMIFS(Aux_Totales!$N:$N, Aux_Totales!$F:$F, $F224, Aux_Totales!$A:$A,#REF!), 0))</f>
        <v/>
      </c>
      <c r="FXQ224" s="19" t="str">
        <f>IF(FXQ220 = "", "", IFERROR(FXQ220 / SUMIFS(Aux_Totales!$N:$N, Aux_Totales!$F:$F, $F224, Aux_Totales!$A:$A,#REF!), 0))</f>
        <v/>
      </c>
      <c r="FXR224" s="19" t="str">
        <f>IF(FXR220 = "", "", IFERROR(FXR220 / SUMIFS(Aux_Totales!$N:$N, Aux_Totales!$F:$F, $F224, Aux_Totales!$A:$A,#REF!), 0))</f>
        <v/>
      </c>
      <c r="FXS224" s="19" t="str">
        <f>IF(FXS220 = "", "", IFERROR(FXS220 / SUMIFS(Aux_Totales!$N:$N, Aux_Totales!$F:$F, $F224, Aux_Totales!$A:$A,#REF!), 0))</f>
        <v/>
      </c>
      <c r="FXT224" s="19" t="str">
        <f>IF(FXT220 = "", "", IFERROR(FXT220 / SUMIFS(Aux_Totales!$N:$N, Aux_Totales!$F:$F, $F224, Aux_Totales!$A:$A,#REF!), 0))</f>
        <v/>
      </c>
      <c r="FXU224" s="19" t="str">
        <f>IF(FXU220 = "", "", IFERROR(FXU220 / SUMIFS(Aux_Totales!$N:$N, Aux_Totales!$F:$F, $F224, Aux_Totales!$A:$A,#REF!), 0))</f>
        <v/>
      </c>
      <c r="FXV224" s="19" t="str">
        <f>IF(FXV220 = "", "", IFERROR(FXV220 / SUMIFS(Aux_Totales!$N:$N, Aux_Totales!$F:$F, $F224, Aux_Totales!$A:$A,#REF!), 0))</f>
        <v/>
      </c>
      <c r="FXW224" s="19" t="str">
        <f>IF(FXW220 = "", "", IFERROR(FXW220 / SUMIFS(Aux_Totales!$N:$N, Aux_Totales!$F:$F, $F224, Aux_Totales!$A:$A,#REF!), 0))</f>
        <v/>
      </c>
      <c r="FXX224" s="19" t="str">
        <f>IF(FXX220 = "", "", IFERROR(FXX220 / SUMIFS(Aux_Totales!$N:$N, Aux_Totales!$F:$F, $F224, Aux_Totales!$A:$A,#REF!), 0))</f>
        <v/>
      </c>
      <c r="FXY224" s="19" t="str">
        <f>IF(FXY220 = "", "", IFERROR(FXY220 / SUMIFS(Aux_Totales!$N:$N, Aux_Totales!$F:$F, $F224, Aux_Totales!$A:$A,#REF!), 0))</f>
        <v/>
      </c>
      <c r="FXZ224" s="19" t="str">
        <f>IF(FXZ220 = "", "", IFERROR(FXZ220 / SUMIFS(Aux_Totales!$N:$N, Aux_Totales!$F:$F, $F224, Aux_Totales!$A:$A,#REF!), 0))</f>
        <v/>
      </c>
      <c r="FYA224" s="19" t="str">
        <f>IF(FYA220 = "", "", IFERROR(FYA220 / SUMIFS(Aux_Totales!$N:$N, Aux_Totales!$F:$F, $F224, Aux_Totales!$A:$A,#REF!), 0))</f>
        <v/>
      </c>
      <c r="FYB224" s="19" t="str">
        <f>IF(FYB220 = "", "", IFERROR(FYB220 / SUMIFS(Aux_Totales!$N:$N, Aux_Totales!$F:$F, $F224, Aux_Totales!$A:$A,#REF!), 0))</f>
        <v/>
      </c>
      <c r="FYC224" s="19" t="str">
        <f>IF(FYC220 = "", "", IFERROR(FYC220 / SUMIFS(Aux_Totales!$N:$N, Aux_Totales!$F:$F, $F224, Aux_Totales!$A:$A,#REF!), 0))</f>
        <v/>
      </c>
      <c r="FYD224" s="19" t="str">
        <f>IF(FYD220 = "", "", IFERROR(FYD220 / SUMIFS(Aux_Totales!$N:$N, Aux_Totales!$F:$F, $F224, Aux_Totales!$A:$A,#REF!), 0))</f>
        <v/>
      </c>
      <c r="FYE224" s="19" t="str">
        <f>IF(FYE220 = "", "", IFERROR(FYE220 / SUMIFS(Aux_Totales!$N:$N, Aux_Totales!$F:$F, $F224, Aux_Totales!$A:$A,#REF!), 0))</f>
        <v/>
      </c>
      <c r="FYF224" s="19" t="str">
        <f>IF(FYF220 = "", "", IFERROR(FYF220 / SUMIFS(Aux_Totales!$N:$N, Aux_Totales!$F:$F, $F224, Aux_Totales!$A:$A,#REF!), 0))</f>
        <v/>
      </c>
      <c r="FYG224" s="19" t="str">
        <f>IF(FYG220 = "", "", IFERROR(FYG220 / SUMIFS(Aux_Totales!$N:$N, Aux_Totales!$F:$F, $F224, Aux_Totales!$A:$A,#REF!), 0))</f>
        <v/>
      </c>
      <c r="FYH224" s="19" t="str">
        <f>IF(FYH220 = "", "", IFERROR(FYH220 / SUMIFS(Aux_Totales!$N:$N, Aux_Totales!$F:$F, $F224, Aux_Totales!$A:$A,#REF!), 0))</f>
        <v/>
      </c>
      <c r="FYI224" s="19" t="str">
        <f>IF(FYI220 = "", "", IFERROR(FYI220 / SUMIFS(Aux_Totales!$N:$N, Aux_Totales!$F:$F, $F224, Aux_Totales!$A:$A,#REF!), 0))</f>
        <v/>
      </c>
      <c r="FYJ224" s="19" t="str">
        <f>IF(FYJ220 = "", "", IFERROR(FYJ220 / SUMIFS(Aux_Totales!$N:$N, Aux_Totales!$F:$F, $F224, Aux_Totales!$A:$A,#REF!), 0))</f>
        <v/>
      </c>
      <c r="FYK224" s="19" t="str">
        <f>IF(FYK220 = "", "", IFERROR(FYK220 / SUMIFS(Aux_Totales!$N:$N, Aux_Totales!$F:$F, $F224, Aux_Totales!$A:$A,#REF!), 0))</f>
        <v/>
      </c>
      <c r="FYL224" s="19" t="str">
        <f>IF(FYL220 = "", "", IFERROR(FYL220 / SUMIFS(Aux_Totales!$N:$N, Aux_Totales!$F:$F, $F224, Aux_Totales!$A:$A,#REF!), 0))</f>
        <v/>
      </c>
      <c r="FYM224" s="19" t="str">
        <f>IF(FYM220 = "", "", IFERROR(FYM220 / SUMIFS(Aux_Totales!$N:$N, Aux_Totales!$F:$F, $F224, Aux_Totales!$A:$A,#REF!), 0))</f>
        <v/>
      </c>
      <c r="FYN224" s="19" t="str">
        <f>IF(FYN220 = "", "", IFERROR(FYN220 / SUMIFS(Aux_Totales!$N:$N, Aux_Totales!$F:$F, $F224, Aux_Totales!$A:$A,#REF!), 0))</f>
        <v/>
      </c>
      <c r="FYO224" s="19" t="str">
        <f>IF(FYO220 = "", "", IFERROR(FYO220 / SUMIFS(Aux_Totales!$N:$N, Aux_Totales!$F:$F, $F224, Aux_Totales!$A:$A,#REF!), 0))</f>
        <v/>
      </c>
      <c r="FYP224" s="19" t="str">
        <f>IF(FYP220 = "", "", IFERROR(FYP220 / SUMIFS(Aux_Totales!$N:$N, Aux_Totales!$F:$F, $F224, Aux_Totales!$A:$A,#REF!), 0))</f>
        <v/>
      </c>
      <c r="FYQ224" s="19" t="str">
        <f>IF(FYQ220 = "", "", IFERROR(FYQ220 / SUMIFS(Aux_Totales!$N:$N, Aux_Totales!$F:$F, $F224, Aux_Totales!$A:$A,#REF!), 0))</f>
        <v/>
      </c>
      <c r="FYR224" s="19" t="str">
        <f>IF(FYR220 = "", "", IFERROR(FYR220 / SUMIFS(Aux_Totales!$N:$N, Aux_Totales!$F:$F, $F224, Aux_Totales!$A:$A,#REF!), 0))</f>
        <v/>
      </c>
      <c r="FYS224" s="19" t="str">
        <f>IF(FYS220 = "", "", IFERROR(FYS220 / SUMIFS(Aux_Totales!$N:$N, Aux_Totales!$F:$F, $F224, Aux_Totales!$A:$A,#REF!), 0))</f>
        <v/>
      </c>
      <c r="FYT224" s="19" t="str">
        <f>IF(FYT220 = "", "", IFERROR(FYT220 / SUMIFS(Aux_Totales!$N:$N, Aux_Totales!$F:$F, $F224, Aux_Totales!$A:$A,#REF!), 0))</f>
        <v/>
      </c>
      <c r="FYU224" s="19" t="str">
        <f>IF(FYU220 = "", "", IFERROR(FYU220 / SUMIFS(Aux_Totales!$N:$N, Aux_Totales!$F:$F, $F224, Aux_Totales!$A:$A,#REF!), 0))</f>
        <v/>
      </c>
      <c r="FYV224" s="19" t="str">
        <f>IF(FYV220 = "", "", IFERROR(FYV220 / SUMIFS(Aux_Totales!$N:$N, Aux_Totales!$F:$F, $F224, Aux_Totales!$A:$A,#REF!), 0))</f>
        <v/>
      </c>
      <c r="FYW224" s="19" t="str">
        <f>IF(FYW220 = "", "", IFERROR(FYW220 / SUMIFS(Aux_Totales!$N:$N, Aux_Totales!$F:$F, $F224, Aux_Totales!$A:$A,#REF!), 0))</f>
        <v/>
      </c>
      <c r="FYX224" s="19" t="str">
        <f>IF(FYX220 = "", "", IFERROR(FYX220 / SUMIFS(Aux_Totales!$N:$N, Aux_Totales!$F:$F, $F224, Aux_Totales!$A:$A,#REF!), 0))</f>
        <v/>
      </c>
      <c r="FYY224" s="19" t="str">
        <f>IF(FYY220 = "", "", IFERROR(FYY220 / SUMIFS(Aux_Totales!$N:$N, Aux_Totales!$F:$F, $F224, Aux_Totales!$A:$A,#REF!), 0))</f>
        <v/>
      </c>
      <c r="FYZ224" s="19" t="str">
        <f>IF(FYZ220 = "", "", IFERROR(FYZ220 / SUMIFS(Aux_Totales!$N:$N, Aux_Totales!$F:$F, $F224, Aux_Totales!$A:$A,#REF!), 0))</f>
        <v/>
      </c>
      <c r="FZA224" s="19" t="str">
        <f>IF(FZA220 = "", "", IFERROR(FZA220 / SUMIFS(Aux_Totales!$N:$N, Aux_Totales!$F:$F, $F224, Aux_Totales!$A:$A,#REF!), 0))</f>
        <v/>
      </c>
      <c r="FZB224" s="19" t="str">
        <f>IF(FZB220 = "", "", IFERROR(FZB220 / SUMIFS(Aux_Totales!$N:$N, Aux_Totales!$F:$F, $F224, Aux_Totales!$A:$A,#REF!), 0))</f>
        <v/>
      </c>
      <c r="FZC224" s="19" t="str">
        <f>IF(FZC220 = "", "", IFERROR(FZC220 / SUMIFS(Aux_Totales!$N:$N, Aux_Totales!$F:$F, $F224, Aux_Totales!$A:$A,#REF!), 0))</f>
        <v/>
      </c>
      <c r="FZD224" s="19" t="str">
        <f>IF(FZD220 = "", "", IFERROR(FZD220 / SUMIFS(Aux_Totales!$N:$N, Aux_Totales!$F:$F, $F224, Aux_Totales!$A:$A,#REF!), 0))</f>
        <v/>
      </c>
      <c r="FZE224" s="19" t="str">
        <f>IF(FZE220 = "", "", IFERROR(FZE220 / SUMIFS(Aux_Totales!$N:$N, Aux_Totales!$F:$F, $F224, Aux_Totales!$A:$A,#REF!), 0))</f>
        <v/>
      </c>
      <c r="FZF224" s="19" t="str">
        <f>IF(FZF220 = "", "", IFERROR(FZF220 / SUMIFS(Aux_Totales!$N:$N, Aux_Totales!$F:$F, $F224, Aux_Totales!$A:$A,#REF!), 0))</f>
        <v/>
      </c>
      <c r="FZG224" s="19" t="str">
        <f>IF(FZG220 = "", "", IFERROR(FZG220 / SUMIFS(Aux_Totales!$N:$N, Aux_Totales!$F:$F, $F224, Aux_Totales!$A:$A,#REF!), 0))</f>
        <v/>
      </c>
      <c r="FZH224" s="19" t="str">
        <f>IF(FZH220 = "", "", IFERROR(FZH220 / SUMIFS(Aux_Totales!$N:$N, Aux_Totales!$F:$F, $F224, Aux_Totales!$A:$A,#REF!), 0))</f>
        <v/>
      </c>
      <c r="FZI224" s="19" t="str">
        <f>IF(FZI220 = "", "", IFERROR(FZI220 / SUMIFS(Aux_Totales!$N:$N, Aux_Totales!$F:$F, $F224, Aux_Totales!$A:$A,#REF!), 0))</f>
        <v/>
      </c>
      <c r="FZJ224" s="19" t="str">
        <f>IF(FZJ220 = "", "", IFERROR(FZJ220 / SUMIFS(Aux_Totales!$N:$N, Aux_Totales!$F:$F, $F224, Aux_Totales!$A:$A,#REF!), 0))</f>
        <v/>
      </c>
      <c r="FZK224" s="19" t="str">
        <f>IF(FZK220 = "", "", IFERROR(FZK220 / SUMIFS(Aux_Totales!$N:$N, Aux_Totales!$F:$F, $F224, Aux_Totales!$A:$A,#REF!), 0))</f>
        <v/>
      </c>
      <c r="FZL224" s="19" t="str">
        <f>IF(FZL220 = "", "", IFERROR(FZL220 / SUMIFS(Aux_Totales!$N:$N, Aux_Totales!$F:$F, $F224, Aux_Totales!$A:$A,#REF!), 0))</f>
        <v/>
      </c>
      <c r="FZM224" s="19" t="str">
        <f>IF(FZM220 = "", "", IFERROR(FZM220 / SUMIFS(Aux_Totales!$N:$N, Aux_Totales!$F:$F, $F224, Aux_Totales!$A:$A,#REF!), 0))</f>
        <v/>
      </c>
      <c r="FZN224" s="19" t="str">
        <f>IF(FZN220 = "", "", IFERROR(FZN220 / SUMIFS(Aux_Totales!$N:$N, Aux_Totales!$F:$F, $F224, Aux_Totales!$A:$A,#REF!), 0))</f>
        <v/>
      </c>
      <c r="FZO224" s="19" t="str">
        <f>IF(FZO220 = "", "", IFERROR(FZO220 / SUMIFS(Aux_Totales!$N:$N, Aux_Totales!$F:$F, $F224, Aux_Totales!$A:$A,#REF!), 0))</f>
        <v/>
      </c>
      <c r="FZP224" s="19" t="str">
        <f>IF(FZP220 = "", "", IFERROR(FZP220 / SUMIFS(Aux_Totales!$N:$N, Aux_Totales!$F:$F, $F224, Aux_Totales!$A:$A,#REF!), 0))</f>
        <v/>
      </c>
      <c r="FZQ224" s="19" t="str">
        <f>IF(FZQ220 = "", "", IFERROR(FZQ220 / SUMIFS(Aux_Totales!$N:$N, Aux_Totales!$F:$F, $F224, Aux_Totales!$A:$A,#REF!), 0))</f>
        <v/>
      </c>
      <c r="FZR224" s="19" t="str">
        <f>IF(FZR220 = "", "", IFERROR(FZR220 / SUMIFS(Aux_Totales!$N:$N, Aux_Totales!$F:$F, $F224, Aux_Totales!$A:$A,#REF!), 0))</f>
        <v/>
      </c>
      <c r="FZS224" s="19" t="str">
        <f>IF(FZS220 = "", "", IFERROR(FZS220 / SUMIFS(Aux_Totales!$N:$N, Aux_Totales!$F:$F, $F224, Aux_Totales!$A:$A,#REF!), 0))</f>
        <v/>
      </c>
      <c r="FZT224" s="19" t="str">
        <f>IF(FZT220 = "", "", IFERROR(FZT220 / SUMIFS(Aux_Totales!$N:$N, Aux_Totales!$F:$F, $F224, Aux_Totales!$A:$A,#REF!), 0))</f>
        <v/>
      </c>
      <c r="FZU224" s="19" t="str">
        <f>IF(FZU220 = "", "", IFERROR(FZU220 / SUMIFS(Aux_Totales!$N:$N, Aux_Totales!$F:$F, $F224, Aux_Totales!$A:$A,#REF!), 0))</f>
        <v/>
      </c>
      <c r="FZV224" s="19" t="str">
        <f>IF(FZV220 = "", "", IFERROR(FZV220 / SUMIFS(Aux_Totales!$N:$N, Aux_Totales!$F:$F, $F224, Aux_Totales!$A:$A,#REF!), 0))</f>
        <v/>
      </c>
      <c r="FZW224" s="19" t="str">
        <f>IF(FZW220 = "", "", IFERROR(FZW220 / SUMIFS(Aux_Totales!$N:$N, Aux_Totales!$F:$F, $F224, Aux_Totales!$A:$A,#REF!), 0))</f>
        <v/>
      </c>
      <c r="FZX224" s="19" t="str">
        <f>IF(FZX220 = "", "", IFERROR(FZX220 / SUMIFS(Aux_Totales!$N:$N, Aux_Totales!$F:$F, $F224, Aux_Totales!$A:$A,#REF!), 0))</f>
        <v/>
      </c>
      <c r="FZY224" s="19" t="str">
        <f>IF(FZY220 = "", "", IFERROR(FZY220 / SUMIFS(Aux_Totales!$N:$N, Aux_Totales!$F:$F, $F224, Aux_Totales!$A:$A,#REF!), 0))</f>
        <v/>
      </c>
      <c r="FZZ224" s="19" t="str">
        <f>IF(FZZ220 = "", "", IFERROR(FZZ220 / SUMIFS(Aux_Totales!$N:$N, Aux_Totales!$F:$F, $F224, Aux_Totales!$A:$A,#REF!), 0))</f>
        <v/>
      </c>
      <c r="GAA224" s="19" t="str">
        <f>IF(GAA220 = "", "", IFERROR(GAA220 / SUMIFS(Aux_Totales!$N:$N, Aux_Totales!$F:$F, $F224, Aux_Totales!$A:$A,#REF!), 0))</f>
        <v/>
      </c>
      <c r="GAB224" s="19" t="str">
        <f>IF(GAB220 = "", "", IFERROR(GAB220 / SUMIFS(Aux_Totales!$N:$N, Aux_Totales!$F:$F, $F224, Aux_Totales!$A:$A,#REF!), 0))</f>
        <v/>
      </c>
      <c r="GAC224" s="19" t="str">
        <f>IF(GAC220 = "", "", IFERROR(GAC220 / SUMIFS(Aux_Totales!$N:$N, Aux_Totales!$F:$F, $F224, Aux_Totales!$A:$A,#REF!), 0))</f>
        <v/>
      </c>
      <c r="GAD224" s="19" t="str">
        <f>IF(GAD220 = "", "", IFERROR(GAD220 / SUMIFS(Aux_Totales!$N:$N, Aux_Totales!$F:$F, $F224, Aux_Totales!$A:$A,#REF!), 0))</f>
        <v/>
      </c>
      <c r="GAE224" s="19" t="str">
        <f>IF(GAE220 = "", "", IFERROR(GAE220 / SUMIFS(Aux_Totales!$N:$N, Aux_Totales!$F:$F, $F224, Aux_Totales!$A:$A,#REF!), 0))</f>
        <v/>
      </c>
      <c r="GAF224" s="19" t="str">
        <f>IF(GAF220 = "", "", IFERROR(GAF220 / SUMIFS(Aux_Totales!$N:$N, Aux_Totales!$F:$F, $F224, Aux_Totales!$A:$A,#REF!), 0))</f>
        <v/>
      </c>
      <c r="GAG224" s="19" t="str">
        <f>IF(GAG220 = "", "", IFERROR(GAG220 / SUMIFS(Aux_Totales!$N:$N, Aux_Totales!$F:$F, $F224, Aux_Totales!$A:$A,#REF!), 0))</f>
        <v/>
      </c>
      <c r="GAH224" s="19" t="str">
        <f>IF(GAH220 = "", "", IFERROR(GAH220 / SUMIFS(Aux_Totales!$N:$N, Aux_Totales!$F:$F, $F224, Aux_Totales!$A:$A,#REF!), 0))</f>
        <v/>
      </c>
      <c r="GAI224" s="19" t="str">
        <f>IF(GAI220 = "", "", IFERROR(GAI220 / SUMIFS(Aux_Totales!$N:$N, Aux_Totales!$F:$F, $F224, Aux_Totales!$A:$A,#REF!), 0))</f>
        <v/>
      </c>
      <c r="GAJ224" s="19" t="str">
        <f>IF(GAJ220 = "", "", IFERROR(GAJ220 / SUMIFS(Aux_Totales!$N:$N, Aux_Totales!$F:$F, $F224, Aux_Totales!$A:$A,#REF!), 0))</f>
        <v/>
      </c>
      <c r="GAK224" s="19" t="str">
        <f>IF(GAK220 = "", "", IFERROR(GAK220 / SUMIFS(Aux_Totales!$N:$N, Aux_Totales!$F:$F, $F224, Aux_Totales!$A:$A,#REF!), 0))</f>
        <v/>
      </c>
      <c r="GAL224" s="19" t="str">
        <f>IF(GAL220 = "", "", IFERROR(GAL220 / SUMIFS(Aux_Totales!$N:$N, Aux_Totales!$F:$F, $F224, Aux_Totales!$A:$A,#REF!), 0))</f>
        <v/>
      </c>
      <c r="GAM224" s="19" t="str">
        <f>IF(GAM220 = "", "", IFERROR(GAM220 / SUMIFS(Aux_Totales!$N:$N, Aux_Totales!$F:$F, $F224, Aux_Totales!$A:$A,#REF!), 0))</f>
        <v/>
      </c>
      <c r="GAN224" s="19" t="str">
        <f>IF(GAN220 = "", "", IFERROR(GAN220 / SUMIFS(Aux_Totales!$N:$N, Aux_Totales!$F:$F, $F224, Aux_Totales!$A:$A,#REF!), 0))</f>
        <v/>
      </c>
      <c r="GAO224" s="19" t="str">
        <f>IF(GAO220 = "", "", IFERROR(GAO220 / SUMIFS(Aux_Totales!$N:$N, Aux_Totales!$F:$F, $F224, Aux_Totales!$A:$A,#REF!), 0))</f>
        <v/>
      </c>
      <c r="GAP224" s="19" t="str">
        <f>IF(GAP220 = "", "", IFERROR(GAP220 / SUMIFS(Aux_Totales!$N:$N, Aux_Totales!$F:$F, $F224, Aux_Totales!$A:$A,#REF!), 0))</f>
        <v/>
      </c>
      <c r="GAQ224" s="19" t="str">
        <f>IF(GAQ220 = "", "", IFERROR(GAQ220 / SUMIFS(Aux_Totales!$N:$N, Aux_Totales!$F:$F, $F224, Aux_Totales!$A:$A,#REF!), 0))</f>
        <v/>
      </c>
      <c r="GAR224" s="19" t="str">
        <f>IF(GAR220 = "", "", IFERROR(GAR220 / SUMIFS(Aux_Totales!$N:$N, Aux_Totales!$F:$F, $F224, Aux_Totales!$A:$A,#REF!), 0))</f>
        <v/>
      </c>
      <c r="GAS224" s="19" t="str">
        <f>IF(GAS220 = "", "", IFERROR(GAS220 / SUMIFS(Aux_Totales!$N:$N, Aux_Totales!$F:$F, $F224, Aux_Totales!$A:$A,#REF!), 0))</f>
        <v/>
      </c>
      <c r="GAT224" s="19" t="str">
        <f>IF(GAT220 = "", "", IFERROR(GAT220 / SUMIFS(Aux_Totales!$N:$N, Aux_Totales!$F:$F, $F224, Aux_Totales!$A:$A,#REF!), 0))</f>
        <v/>
      </c>
      <c r="GAU224" s="19" t="str">
        <f>IF(GAU220 = "", "", IFERROR(GAU220 / SUMIFS(Aux_Totales!$N:$N, Aux_Totales!$F:$F, $F224, Aux_Totales!$A:$A,#REF!), 0))</f>
        <v/>
      </c>
      <c r="GAV224" s="19" t="str">
        <f>IF(GAV220 = "", "", IFERROR(GAV220 / SUMIFS(Aux_Totales!$N:$N, Aux_Totales!$F:$F, $F224, Aux_Totales!$A:$A,#REF!), 0))</f>
        <v/>
      </c>
      <c r="GAW224" s="19" t="str">
        <f>IF(GAW220 = "", "", IFERROR(GAW220 / SUMIFS(Aux_Totales!$N:$N, Aux_Totales!$F:$F, $F224, Aux_Totales!$A:$A,#REF!), 0))</f>
        <v/>
      </c>
      <c r="GAX224" s="19" t="str">
        <f>IF(GAX220 = "", "", IFERROR(GAX220 / SUMIFS(Aux_Totales!$N:$N, Aux_Totales!$F:$F, $F224, Aux_Totales!$A:$A,#REF!), 0))</f>
        <v/>
      </c>
      <c r="GAY224" s="19" t="str">
        <f>IF(GAY220 = "", "", IFERROR(GAY220 / SUMIFS(Aux_Totales!$N:$N, Aux_Totales!$F:$F, $F224, Aux_Totales!$A:$A,#REF!), 0))</f>
        <v/>
      </c>
      <c r="GAZ224" s="19" t="str">
        <f>IF(GAZ220 = "", "", IFERROR(GAZ220 / SUMIFS(Aux_Totales!$N:$N, Aux_Totales!$F:$F, $F224, Aux_Totales!$A:$A,#REF!), 0))</f>
        <v/>
      </c>
      <c r="GBA224" s="19" t="str">
        <f>IF(GBA220 = "", "", IFERROR(GBA220 / SUMIFS(Aux_Totales!$N:$N, Aux_Totales!$F:$F, $F224, Aux_Totales!$A:$A,#REF!), 0))</f>
        <v/>
      </c>
      <c r="GBB224" s="19" t="str">
        <f>IF(GBB220 = "", "", IFERROR(GBB220 / SUMIFS(Aux_Totales!$N:$N, Aux_Totales!$F:$F, $F224, Aux_Totales!$A:$A,#REF!), 0))</f>
        <v/>
      </c>
      <c r="GBC224" s="19" t="str">
        <f>IF(GBC220 = "", "", IFERROR(GBC220 / SUMIFS(Aux_Totales!$N:$N, Aux_Totales!$F:$F, $F224, Aux_Totales!$A:$A,#REF!), 0))</f>
        <v/>
      </c>
      <c r="GBD224" s="19" t="str">
        <f>IF(GBD220 = "", "", IFERROR(GBD220 / SUMIFS(Aux_Totales!$N:$N, Aux_Totales!$F:$F, $F224, Aux_Totales!$A:$A,#REF!), 0))</f>
        <v/>
      </c>
      <c r="GBE224" s="19" t="str">
        <f>IF(GBE220 = "", "", IFERROR(GBE220 / SUMIFS(Aux_Totales!$N:$N, Aux_Totales!$F:$F, $F224, Aux_Totales!$A:$A,#REF!), 0))</f>
        <v/>
      </c>
      <c r="GBF224" s="19" t="str">
        <f>IF(GBF220 = "", "", IFERROR(GBF220 / SUMIFS(Aux_Totales!$N:$N, Aux_Totales!$F:$F, $F224, Aux_Totales!$A:$A,#REF!), 0))</f>
        <v/>
      </c>
      <c r="GBG224" s="19" t="str">
        <f>IF(GBG220 = "", "", IFERROR(GBG220 / SUMIFS(Aux_Totales!$N:$N, Aux_Totales!$F:$F, $F224, Aux_Totales!$A:$A,#REF!), 0))</f>
        <v/>
      </c>
      <c r="GBH224" s="19" t="str">
        <f>IF(GBH220 = "", "", IFERROR(GBH220 / SUMIFS(Aux_Totales!$N:$N, Aux_Totales!$F:$F, $F224, Aux_Totales!$A:$A,#REF!), 0))</f>
        <v/>
      </c>
      <c r="GBI224" s="19" t="str">
        <f>IF(GBI220 = "", "", IFERROR(GBI220 / SUMIFS(Aux_Totales!$N:$N, Aux_Totales!$F:$F, $F224, Aux_Totales!$A:$A,#REF!), 0))</f>
        <v/>
      </c>
      <c r="GBJ224" s="19" t="str">
        <f>IF(GBJ220 = "", "", IFERROR(GBJ220 / SUMIFS(Aux_Totales!$N:$N, Aux_Totales!$F:$F, $F224, Aux_Totales!$A:$A,#REF!), 0))</f>
        <v/>
      </c>
      <c r="GBK224" s="19" t="str">
        <f>IF(GBK220 = "", "", IFERROR(GBK220 / SUMIFS(Aux_Totales!$N:$N, Aux_Totales!$F:$F, $F224, Aux_Totales!$A:$A,#REF!), 0))</f>
        <v/>
      </c>
      <c r="GBL224" s="19" t="str">
        <f>IF(GBL220 = "", "", IFERROR(GBL220 / SUMIFS(Aux_Totales!$N:$N, Aux_Totales!$F:$F, $F224, Aux_Totales!$A:$A,#REF!), 0))</f>
        <v/>
      </c>
      <c r="GBM224" s="19" t="str">
        <f>IF(GBM220 = "", "", IFERROR(GBM220 / SUMIFS(Aux_Totales!$N:$N, Aux_Totales!$F:$F, $F224, Aux_Totales!$A:$A,#REF!), 0))</f>
        <v/>
      </c>
      <c r="GBN224" s="19" t="str">
        <f>IF(GBN220 = "", "", IFERROR(GBN220 / SUMIFS(Aux_Totales!$N:$N, Aux_Totales!$F:$F, $F224, Aux_Totales!$A:$A,#REF!), 0))</f>
        <v/>
      </c>
      <c r="GBO224" s="19" t="str">
        <f>IF(GBO220 = "", "", IFERROR(GBO220 / SUMIFS(Aux_Totales!$N:$N, Aux_Totales!$F:$F, $F224, Aux_Totales!$A:$A,#REF!), 0))</f>
        <v/>
      </c>
      <c r="GBP224" s="19" t="str">
        <f>IF(GBP220 = "", "", IFERROR(GBP220 / SUMIFS(Aux_Totales!$N:$N, Aux_Totales!$F:$F, $F224, Aux_Totales!$A:$A,#REF!), 0))</f>
        <v/>
      </c>
      <c r="GBQ224" s="19" t="str">
        <f>IF(GBQ220 = "", "", IFERROR(GBQ220 / SUMIFS(Aux_Totales!$N:$N, Aux_Totales!$F:$F, $F224, Aux_Totales!$A:$A,#REF!), 0))</f>
        <v/>
      </c>
      <c r="GBR224" s="19" t="str">
        <f>IF(GBR220 = "", "", IFERROR(GBR220 / SUMIFS(Aux_Totales!$N:$N, Aux_Totales!$F:$F, $F224, Aux_Totales!$A:$A,#REF!), 0))</f>
        <v/>
      </c>
      <c r="GBS224" s="19" t="str">
        <f>IF(GBS220 = "", "", IFERROR(GBS220 / SUMIFS(Aux_Totales!$N:$N, Aux_Totales!$F:$F, $F224, Aux_Totales!$A:$A,#REF!), 0))</f>
        <v/>
      </c>
      <c r="GBT224" s="19" t="str">
        <f>IF(GBT220 = "", "", IFERROR(GBT220 / SUMIFS(Aux_Totales!$N:$N, Aux_Totales!$F:$F, $F224, Aux_Totales!$A:$A,#REF!), 0))</f>
        <v/>
      </c>
      <c r="GBU224" s="19" t="str">
        <f>IF(GBU220 = "", "", IFERROR(GBU220 / SUMIFS(Aux_Totales!$N:$N, Aux_Totales!$F:$F, $F224, Aux_Totales!$A:$A,#REF!), 0))</f>
        <v/>
      </c>
      <c r="GBV224" s="19" t="str">
        <f>IF(GBV220 = "", "", IFERROR(GBV220 / SUMIFS(Aux_Totales!$N:$N, Aux_Totales!$F:$F, $F224, Aux_Totales!$A:$A,#REF!), 0))</f>
        <v/>
      </c>
      <c r="GBW224" s="19" t="str">
        <f>IF(GBW220 = "", "", IFERROR(GBW220 / SUMIFS(Aux_Totales!$N:$N, Aux_Totales!$F:$F, $F224, Aux_Totales!$A:$A,#REF!), 0))</f>
        <v/>
      </c>
      <c r="GBX224" s="19" t="str">
        <f>IF(GBX220 = "", "", IFERROR(GBX220 / SUMIFS(Aux_Totales!$N:$N, Aux_Totales!$F:$F, $F224, Aux_Totales!$A:$A,#REF!), 0))</f>
        <v/>
      </c>
      <c r="GBY224" s="19" t="str">
        <f>IF(GBY220 = "", "", IFERROR(GBY220 / SUMIFS(Aux_Totales!$N:$N, Aux_Totales!$F:$F, $F224, Aux_Totales!$A:$A,#REF!), 0))</f>
        <v/>
      </c>
      <c r="GBZ224" s="19" t="str">
        <f>IF(GBZ220 = "", "", IFERROR(GBZ220 / SUMIFS(Aux_Totales!$N:$N, Aux_Totales!$F:$F, $F224, Aux_Totales!$A:$A,#REF!), 0))</f>
        <v/>
      </c>
      <c r="GCA224" s="19" t="str">
        <f>IF(GCA220 = "", "", IFERROR(GCA220 / SUMIFS(Aux_Totales!$N:$N, Aux_Totales!$F:$F, $F224, Aux_Totales!$A:$A,#REF!), 0))</f>
        <v/>
      </c>
      <c r="GCB224" s="19" t="str">
        <f>IF(GCB220 = "", "", IFERROR(GCB220 / SUMIFS(Aux_Totales!$N:$N, Aux_Totales!$F:$F, $F224, Aux_Totales!$A:$A,#REF!), 0))</f>
        <v/>
      </c>
      <c r="GCC224" s="19" t="str">
        <f>IF(GCC220 = "", "", IFERROR(GCC220 / SUMIFS(Aux_Totales!$N:$N, Aux_Totales!$F:$F, $F224, Aux_Totales!$A:$A,#REF!), 0))</f>
        <v/>
      </c>
      <c r="GCD224" s="19" t="str">
        <f>IF(GCD220 = "", "", IFERROR(GCD220 / SUMIFS(Aux_Totales!$N:$N, Aux_Totales!$F:$F, $F224, Aux_Totales!$A:$A,#REF!), 0))</f>
        <v/>
      </c>
      <c r="GCE224" s="19" t="str">
        <f>IF(GCE220 = "", "", IFERROR(GCE220 / SUMIFS(Aux_Totales!$N:$N, Aux_Totales!$F:$F, $F224, Aux_Totales!$A:$A,#REF!), 0))</f>
        <v/>
      </c>
      <c r="GCF224" s="19" t="str">
        <f>IF(GCF220 = "", "", IFERROR(GCF220 / SUMIFS(Aux_Totales!$N:$N, Aux_Totales!$F:$F, $F224, Aux_Totales!$A:$A,#REF!), 0))</f>
        <v/>
      </c>
      <c r="GCG224" s="19" t="str">
        <f>IF(GCG220 = "", "", IFERROR(GCG220 / SUMIFS(Aux_Totales!$N:$N, Aux_Totales!$F:$F, $F224, Aux_Totales!$A:$A,#REF!), 0))</f>
        <v/>
      </c>
      <c r="GCH224" s="19" t="str">
        <f>IF(GCH220 = "", "", IFERROR(GCH220 / SUMIFS(Aux_Totales!$N:$N, Aux_Totales!$F:$F, $F224, Aux_Totales!$A:$A,#REF!), 0))</f>
        <v/>
      </c>
      <c r="GCI224" s="19" t="str">
        <f>IF(GCI220 = "", "", IFERROR(GCI220 / SUMIFS(Aux_Totales!$N:$N, Aux_Totales!$F:$F, $F224, Aux_Totales!$A:$A,#REF!), 0))</f>
        <v/>
      </c>
      <c r="GCJ224" s="19" t="str">
        <f>IF(GCJ220 = "", "", IFERROR(GCJ220 / SUMIFS(Aux_Totales!$N:$N, Aux_Totales!$F:$F, $F224, Aux_Totales!$A:$A,#REF!), 0))</f>
        <v/>
      </c>
      <c r="GCK224" s="19" t="str">
        <f>IF(GCK220 = "", "", IFERROR(GCK220 / SUMIFS(Aux_Totales!$N:$N, Aux_Totales!$F:$F, $F224, Aux_Totales!$A:$A,#REF!), 0))</f>
        <v/>
      </c>
      <c r="GCL224" s="19" t="str">
        <f>IF(GCL220 = "", "", IFERROR(GCL220 / SUMIFS(Aux_Totales!$N:$N, Aux_Totales!$F:$F, $F224, Aux_Totales!$A:$A,#REF!), 0))</f>
        <v/>
      </c>
      <c r="GCM224" s="19" t="str">
        <f>IF(GCM220 = "", "", IFERROR(GCM220 / SUMIFS(Aux_Totales!$N:$N, Aux_Totales!$F:$F, $F224, Aux_Totales!$A:$A,#REF!), 0))</f>
        <v/>
      </c>
      <c r="GCN224" s="19" t="str">
        <f>IF(GCN220 = "", "", IFERROR(GCN220 / SUMIFS(Aux_Totales!$N:$N, Aux_Totales!$F:$F, $F224, Aux_Totales!$A:$A,#REF!), 0))</f>
        <v/>
      </c>
      <c r="GCO224" s="19" t="str">
        <f>IF(GCO220 = "", "", IFERROR(GCO220 / SUMIFS(Aux_Totales!$N:$N, Aux_Totales!$F:$F, $F224, Aux_Totales!$A:$A,#REF!), 0))</f>
        <v/>
      </c>
      <c r="GCP224" s="19" t="str">
        <f>IF(GCP220 = "", "", IFERROR(GCP220 / SUMIFS(Aux_Totales!$N:$N, Aux_Totales!$F:$F, $F224, Aux_Totales!$A:$A,#REF!), 0))</f>
        <v/>
      </c>
      <c r="GCQ224" s="19" t="str">
        <f>IF(GCQ220 = "", "", IFERROR(GCQ220 / SUMIFS(Aux_Totales!$N:$N, Aux_Totales!$F:$F, $F224, Aux_Totales!$A:$A,#REF!), 0))</f>
        <v/>
      </c>
      <c r="GCR224" s="19" t="str">
        <f>IF(GCR220 = "", "", IFERROR(GCR220 / SUMIFS(Aux_Totales!$N:$N, Aux_Totales!$F:$F, $F224, Aux_Totales!$A:$A,#REF!), 0))</f>
        <v/>
      </c>
      <c r="GCS224" s="19" t="str">
        <f>IF(GCS220 = "", "", IFERROR(GCS220 / SUMIFS(Aux_Totales!$N:$N, Aux_Totales!$F:$F, $F224, Aux_Totales!$A:$A,#REF!), 0))</f>
        <v/>
      </c>
      <c r="GCT224" s="19" t="str">
        <f>IF(GCT220 = "", "", IFERROR(GCT220 / SUMIFS(Aux_Totales!$N:$N, Aux_Totales!$F:$F, $F224, Aux_Totales!$A:$A,#REF!), 0))</f>
        <v/>
      </c>
      <c r="GCU224" s="19" t="str">
        <f>IF(GCU220 = "", "", IFERROR(GCU220 / SUMIFS(Aux_Totales!$N:$N, Aux_Totales!$F:$F, $F224, Aux_Totales!$A:$A,#REF!), 0))</f>
        <v/>
      </c>
      <c r="GCV224" s="19" t="str">
        <f>IF(GCV220 = "", "", IFERROR(GCV220 / SUMIFS(Aux_Totales!$N:$N, Aux_Totales!$F:$F, $F224, Aux_Totales!$A:$A,#REF!), 0))</f>
        <v/>
      </c>
      <c r="GCW224" s="19" t="str">
        <f>IF(GCW220 = "", "", IFERROR(GCW220 / SUMIFS(Aux_Totales!$N:$N, Aux_Totales!$F:$F, $F224, Aux_Totales!$A:$A,#REF!), 0))</f>
        <v/>
      </c>
      <c r="GCX224" s="19" t="str">
        <f>IF(GCX220 = "", "", IFERROR(GCX220 / SUMIFS(Aux_Totales!$N:$N, Aux_Totales!$F:$F, $F224, Aux_Totales!$A:$A,#REF!), 0))</f>
        <v/>
      </c>
      <c r="GCY224" s="19" t="str">
        <f>IF(GCY220 = "", "", IFERROR(GCY220 / SUMIFS(Aux_Totales!$N:$N, Aux_Totales!$F:$F, $F224, Aux_Totales!$A:$A,#REF!), 0))</f>
        <v/>
      </c>
      <c r="GCZ224" s="19" t="str">
        <f>IF(GCZ220 = "", "", IFERROR(GCZ220 / SUMIFS(Aux_Totales!$N:$N, Aux_Totales!$F:$F, $F224, Aux_Totales!$A:$A,#REF!), 0))</f>
        <v/>
      </c>
      <c r="GDA224" s="19" t="str">
        <f>IF(GDA220 = "", "", IFERROR(GDA220 / SUMIFS(Aux_Totales!$N:$N, Aux_Totales!$F:$F, $F224, Aux_Totales!$A:$A,#REF!), 0))</f>
        <v/>
      </c>
      <c r="GDB224" s="19" t="str">
        <f>IF(GDB220 = "", "", IFERROR(GDB220 / SUMIFS(Aux_Totales!$N:$N, Aux_Totales!$F:$F, $F224, Aux_Totales!$A:$A,#REF!), 0))</f>
        <v/>
      </c>
      <c r="GDC224" s="19" t="str">
        <f>IF(GDC220 = "", "", IFERROR(GDC220 / SUMIFS(Aux_Totales!$N:$N, Aux_Totales!$F:$F, $F224, Aux_Totales!$A:$A,#REF!), 0))</f>
        <v/>
      </c>
      <c r="GDD224" s="19" t="str">
        <f>IF(GDD220 = "", "", IFERROR(GDD220 / SUMIFS(Aux_Totales!$N:$N, Aux_Totales!$F:$F, $F224, Aux_Totales!$A:$A,#REF!), 0))</f>
        <v/>
      </c>
      <c r="GDE224" s="19" t="str">
        <f>IF(GDE220 = "", "", IFERROR(GDE220 / SUMIFS(Aux_Totales!$N:$N, Aux_Totales!$F:$F, $F224, Aux_Totales!$A:$A,#REF!), 0))</f>
        <v/>
      </c>
      <c r="GDF224" s="19" t="str">
        <f>IF(GDF220 = "", "", IFERROR(GDF220 / SUMIFS(Aux_Totales!$N:$N, Aux_Totales!$F:$F, $F224, Aux_Totales!$A:$A,#REF!), 0))</f>
        <v/>
      </c>
      <c r="GDG224" s="19" t="str">
        <f>IF(GDG220 = "", "", IFERROR(GDG220 / SUMIFS(Aux_Totales!$N:$N, Aux_Totales!$F:$F, $F224, Aux_Totales!$A:$A,#REF!), 0))</f>
        <v/>
      </c>
      <c r="GDH224" s="19" t="str">
        <f>IF(GDH220 = "", "", IFERROR(GDH220 / SUMIFS(Aux_Totales!$N:$N, Aux_Totales!$F:$F, $F224, Aux_Totales!$A:$A,#REF!), 0))</f>
        <v/>
      </c>
      <c r="GDI224" s="19" t="str">
        <f>IF(GDI220 = "", "", IFERROR(GDI220 / SUMIFS(Aux_Totales!$N:$N, Aux_Totales!$F:$F, $F224, Aux_Totales!$A:$A,#REF!), 0))</f>
        <v/>
      </c>
      <c r="GDJ224" s="19" t="str">
        <f>IF(GDJ220 = "", "", IFERROR(GDJ220 / SUMIFS(Aux_Totales!$N:$N, Aux_Totales!$F:$F, $F224, Aux_Totales!$A:$A,#REF!), 0))</f>
        <v/>
      </c>
      <c r="GDK224" s="19" t="str">
        <f>IF(GDK220 = "", "", IFERROR(GDK220 / SUMIFS(Aux_Totales!$N:$N, Aux_Totales!$F:$F, $F224, Aux_Totales!$A:$A,#REF!), 0))</f>
        <v/>
      </c>
      <c r="GDL224" s="19" t="str">
        <f>IF(GDL220 = "", "", IFERROR(GDL220 / SUMIFS(Aux_Totales!$N:$N, Aux_Totales!$F:$F, $F224, Aux_Totales!$A:$A,#REF!), 0))</f>
        <v/>
      </c>
      <c r="GDM224" s="19" t="str">
        <f>IF(GDM220 = "", "", IFERROR(GDM220 / SUMIFS(Aux_Totales!$N:$N, Aux_Totales!$F:$F, $F224, Aux_Totales!$A:$A,#REF!), 0))</f>
        <v/>
      </c>
      <c r="GDN224" s="19" t="str">
        <f>IF(GDN220 = "", "", IFERROR(GDN220 / SUMIFS(Aux_Totales!$N:$N, Aux_Totales!$F:$F, $F224, Aux_Totales!$A:$A,#REF!), 0))</f>
        <v/>
      </c>
      <c r="GDO224" s="19" t="str">
        <f>IF(GDO220 = "", "", IFERROR(GDO220 / SUMIFS(Aux_Totales!$N:$N, Aux_Totales!$F:$F, $F224, Aux_Totales!$A:$A,#REF!), 0))</f>
        <v/>
      </c>
      <c r="GDP224" s="19" t="str">
        <f>IF(GDP220 = "", "", IFERROR(GDP220 / SUMIFS(Aux_Totales!$N:$N, Aux_Totales!$F:$F, $F224, Aux_Totales!$A:$A,#REF!), 0))</f>
        <v/>
      </c>
      <c r="GDQ224" s="19" t="str">
        <f>IF(GDQ220 = "", "", IFERROR(GDQ220 / SUMIFS(Aux_Totales!$N:$N, Aux_Totales!$F:$F, $F224, Aux_Totales!$A:$A,#REF!), 0))</f>
        <v/>
      </c>
      <c r="GDR224" s="19" t="str">
        <f>IF(GDR220 = "", "", IFERROR(GDR220 / SUMIFS(Aux_Totales!$N:$N, Aux_Totales!$F:$F, $F224, Aux_Totales!$A:$A,#REF!), 0))</f>
        <v/>
      </c>
      <c r="GDS224" s="19" t="str">
        <f>IF(GDS220 = "", "", IFERROR(GDS220 / SUMIFS(Aux_Totales!$N:$N, Aux_Totales!$F:$F, $F224, Aux_Totales!$A:$A,#REF!), 0))</f>
        <v/>
      </c>
      <c r="GDT224" s="19" t="str">
        <f>IF(GDT220 = "", "", IFERROR(GDT220 / SUMIFS(Aux_Totales!$N:$N, Aux_Totales!$F:$F, $F224, Aux_Totales!$A:$A,#REF!), 0))</f>
        <v/>
      </c>
      <c r="GDU224" s="19" t="str">
        <f>IF(GDU220 = "", "", IFERROR(GDU220 / SUMIFS(Aux_Totales!$N:$N, Aux_Totales!$F:$F, $F224, Aux_Totales!$A:$A,#REF!), 0))</f>
        <v/>
      </c>
      <c r="GDV224" s="19" t="str">
        <f>IF(GDV220 = "", "", IFERROR(GDV220 / SUMIFS(Aux_Totales!$N:$N, Aux_Totales!$F:$F, $F224, Aux_Totales!$A:$A,#REF!), 0))</f>
        <v/>
      </c>
      <c r="GDW224" s="19" t="str">
        <f>IF(GDW220 = "", "", IFERROR(GDW220 / SUMIFS(Aux_Totales!$N:$N, Aux_Totales!$F:$F, $F224, Aux_Totales!$A:$A,#REF!), 0))</f>
        <v/>
      </c>
      <c r="GDX224" s="19" t="str">
        <f>IF(GDX220 = "", "", IFERROR(GDX220 / SUMIFS(Aux_Totales!$N:$N, Aux_Totales!$F:$F, $F224, Aux_Totales!$A:$A,#REF!), 0))</f>
        <v/>
      </c>
      <c r="GDY224" s="19" t="str">
        <f>IF(GDY220 = "", "", IFERROR(GDY220 / SUMIFS(Aux_Totales!$N:$N, Aux_Totales!$F:$F, $F224, Aux_Totales!$A:$A,#REF!), 0))</f>
        <v/>
      </c>
      <c r="GDZ224" s="19" t="str">
        <f>IF(GDZ220 = "", "", IFERROR(GDZ220 / SUMIFS(Aux_Totales!$N:$N, Aux_Totales!$F:$F, $F224, Aux_Totales!$A:$A,#REF!), 0))</f>
        <v/>
      </c>
      <c r="GEA224" s="19" t="str">
        <f>IF(GEA220 = "", "", IFERROR(GEA220 / SUMIFS(Aux_Totales!$N:$N, Aux_Totales!$F:$F, $F224, Aux_Totales!$A:$A,#REF!), 0))</f>
        <v/>
      </c>
      <c r="GEB224" s="19" t="str">
        <f>IF(GEB220 = "", "", IFERROR(GEB220 / SUMIFS(Aux_Totales!$N:$N, Aux_Totales!$F:$F, $F224, Aux_Totales!$A:$A,#REF!), 0))</f>
        <v/>
      </c>
      <c r="GEC224" s="19" t="str">
        <f>IF(GEC220 = "", "", IFERROR(GEC220 / SUMIFS(Aux_Totales!$N:$N, Aux_Totales!$F:$F, $F224, Aux_Totales!$A:$A,#REF!), 0))</f>
        <v/>
      </c>
      <c r="GED224" s="19" t="str">
        <f>IF(GED220 = "", "", IFERROR(GED220 / SUMIFS(Aux_Totales!$N:$N, Aux_Totales!$F:$F, $F224, Aux_Totales!$A:$A,#REF!), 0))</f>
        <v/>
      </c>
      <c r="GEE224" s="19" t="str">
        <f>IF(GEE220 = "", "", IFERROR(GEE220 / SUMIFS(Aux_Totales!$N:$N, Aux_Totales!$F:$F, $F224, Aux_Totales!$A:$A,#REF!), 0))</f>
        <v/>
      </c>
      <c r="GEF224" s="19" t="str">
        <f>IF(GEF220 = "", "", IFERROR(GEF220 / SUMIFS(Aux_Totales!$N:$N, Aux_Totales!$F:$F, $F224, Aux_Totales!$A:$A,#REF!), 0))</f>
        <v/>
      </c>
      <c r="GEG224" s="19" t="str">
        <f>IF(GEG220 = "", "", IFERROR(GEG220 / SUMIFS(Aux_Totales!$N:$N, Aux_Totales!$F:$F, $F224, Aux_Totales!$A:$A,#REF!), 0))</f>
        <v/>
      </c>
      <c r="GEH224" s="19" t="str">
        <f>IF(GEH220 = "", "", IFERROR(GEH220 / SUMIFS(Aux_Totales!$N:$N, Aux_Totales!$F:$F, $F224, Aux_Totales!$A:$A,#REF!), 0))</f>
        <v/>
      </c>
      <c r="GEI224" s="19" t="str">
        <f>IF(GEI220 = "", "", IFERROR(GEI220 / SUMIFS(Aux_Totales!$N:$N, Aux_Totales!$F:$F, $F224, Aux_Totales!$A:$A,#REF!), 0))</f>
        <v/>
      </c>
      <c r="GEJ224" s="19" t="str">
        <f>IF(GEJ220 = "", "", IFERROR(GEJ220 / SUMIFS(Aux_Totales!$N:$N, Aux_Totales!$F:$F, $F224, Aux_Totales!$A:$A,#REF!), 0))</f>
        <v/>
      </c>
      <c r="GEK224" s="19" t="str">
        <f>IF(GEK220 = "", "", IFERROR(GEK220 / SUMIFS(Aux_Totales!$N:$N, Aux_Totales!$F:$F, $F224, Aux_Totales!$A:$A,#REF!), 0))</f>
        <v/>
      </c>
      <c r="GEL224" s="19" t="str">
        <f>IF(GEL220 = "", "", IFERROR(GEL220 / SUMIFS(Aux_Totales!$N:$N, Aux_Totales!$F:$F, $F224, Aux_Totales!$A:$A,#REF!), 0))</f>
        <v/>
      </c>
      <c r="GEM224" s="19" t="str">
        <f>IF(GEM220 = "", "", IFERROR(GEM220 / SUMIFS(Aux_Totales!$N:$N, Aux_Totales!$F:$F, $F224, Aux_Totales!$A:$A,#REF!), 0))</f>
        <v/>
      </c>
      <c r="GEN224" s="19" t="str">
        <f>IF(GEN220 = "", "", IFERROR(GEN220 / SUMIFS(Aux_Totales!$N:$N, Aux_Totales!$F:$F, $F224, Aux_Totales!$A:$A,#REF!), 0))</f>
        <v/>
      </c>
      <c r="GEO224" s="19" t="str">
        <f>IF(GEO220 = "", "", IFERROR(GEO220 / SUMIFS(Aux_Totales!$N:$N, Aux_Totales!$F:$F, $F224, Aux_Totales!$A:$A,#REF!), 0))</f>
        <v/>
      </c>
      <c r="GEP224" s="19" t="str">
        <f>IF(GEP220 = "", "", IFERROR(GEP220 / SUMIFS(Aux_Totales!$N:$N, Aux_Totales!$F:$F, $F224, Aux_Totales!$A:$A,#REF!), 0))</f>
        <v/>
      </c>
      <c r="GEQ224" s="19" t="str">
        <f>IF(GEQ220 = "", "", IFERROR(GEQ220 / SUMIFS(Aux_Totales!$N:$N, Aux_Totales!$F:$F, $F224, Aux_Totales!$A:$A,#REF!), 0))</f>
        <v/>
      </c>
      <c r="GER224" s="19" t="str">
        <f>IF(GER220 = "", "", IFERROR(GER220 / SUMIFS(Aux_Totales!$N:$N, Aux_Totales!$F:$F, $F224, Aux_Totales!$A:$A,#REF!), 0))</f>
        <v/>
      </c>
      <c r="GES224" s="19" t="str">
        <f>IF(GES220 = "", "", IFERROR(GES220 / SUMIFS(Aux_Totales!$N:$N, Aux_Totales!$F:$F, $F224, Aux_Totales!$A:$A,#REF!), 0))</f>
        <v/>
      </c>
      <c r="GET224" s="19" t="str">
        <f>IF(GET220 = "", "", IFERROR(GET220 / SUMIFS(Aux_Totales!$N:$N, Aux_Totales!$F:$F, $F224, Aux_Totales!$A:$A,#REF!), 0))</f>
        <v/>
      </c>
      <c r="GEU224" s="19" t="str">
        <f>IF(GEU220 = "", "", IFERROR(GEU220 / SUMIFS(Aux_Totales!$N:$N, Aux_Totales!$F:$F, $F224, Aux_Totales!$A:$A,#REF!), 0))</f>
        <v/>
      </c>
      <c r="GEV224" s="19" t="str">
        <f>IF(GEV220 = "", "", IFERROR(GEV220 / SUMIFS(Aux_Totales!$N:$N, Aux_Totales!$F:$F, $F224, Aux_Totales!$A:$A,#REF!), 0))</f>
        <v/>
      </c>
      <c r="GEW224" s="19" t="str">
        <f>IF(GEW220 = "", "", IFERROR(GEW220 / SUMIFS(Aux_Totales!$N:$N, Aux_Totales!$F:$F, $F224, Aux_Totales!$A:$A,#REF!), 0))</f>
        <v/>
      </c>
      <c r="GEX224" s="19" t="str">
        <f>IF(GEX220 = "", "", IFERROR(GEX220 / SUMIFS(Aux_Totales!$N:$N, Aux_Totales!$F:$F, $F224, Aux_Totales!$A:$A,#REF!), 0))</f>
        <v/>
      </c>
      <c r="GEY224" s="19" t="str">
        <f>IF(GEY220 = "", "", IFERROR(GEY220 / SUMIFS(Aux_Totales!$N:$N, Aux_Totales!$F:$F, $F224, Aux_Totales!$A:$A,#REF!), 0))</f>
        <v/>
      </c>
      <c r="GEZ224" s="19" t="str">
        <f>IF(GEZ220 = "", "", IFERROR(GEZ220 / SUMIFS(Aux_Totales!$N:$N, Aux_Totales!$F:$F, $F224, Aux_Totales!$A:$A,#REF!), 0))</f>
        <v/>
      </c>
      <c r="GFA224" s="19" t="str">
        <f>IF(GFA220 = "", "", IFERROR(GFA220 / SUMIFS(Aux_Totales!$N:$N, Aux_Totales!$F:$F, $F224, Aux_Totales!$A:$A,#REF!), 0))</f>
        <v/>
      </c>
      <c r="GFB224" s="19" t="str">
        <f>IF(GFB220 = "", "", IFERROR(GFB220 / SUMIFS(Aux_Totales!$N:$N, Aux_Totales!$F:$F, $F224, Aux_Totales!$A:$A,#REF!), 0))</f>
        <v/>
      </c>
      <c r="GFC224" s="19" t="str">
        <f>IF(GFC220 = "", "", IFERROR(GFC220 / SUMIFS(Aux_Totales!$N:$N, Aux_Totales!$F:$F, $F224, Aux_Totales!$A:$A,#REF!), 0))</f>
        <v/>
      </c>
      <c r="GFD224" s="19" t="str">
        <f>IF(GFD220 = "", "", IFERROR(GFD220 / SUMIFS(Aux_Totales!$N:$N, Aux_Totales!$F:$F, $F224, Aux_Totales!$A:$A,#REF!), 0))</f>
        <v/>
      </c>
      <c r="GFE224" s="19" t="str">
        <f>IF(GFE220 = "", "", IFERROR(GFE220 / SUMIFS(Aux_Totales!$N:$N, Aux_Totales!$F:$F, $F224, Aux_Totales!$A:$A,#REF!), 0))</f>
        <v/>
      </c>
      <c r="GFF224" s="19" t="str">
        <f>IF(GFF220 = "", "", IFERROR(GFF220 / SUMIFS(Aux_Totales!$N:$N, Aux_Totales!$F:$F, $F224, Aux_Totales!$A:$A,#REF!), 0))</f>
        <v/>
      </c>
      <c r="GFG224" s="19" t="str">
        <f>IF(GFG220 = "", "", IFERROR(GFG220 / SUMIFS(Aux_Totales!$N:$N, Aux_Totales!$F:$F, $F224, Aux_Totales!$A:$A,#REF!), 0))</f>
        <v/>
      </c>
      <c r="GFH224" s="19" t="str">
        <f>IF(GFH220 = "", "", IFERROR(GFH220 / SUMIFS(Aux_Totales!$N:$N, Aux_Totales!$F:$F, $F224, Aux_Totales!$A:$A,#REF!), 0))</f>
        <v/>
      </c>
      <c r="GFI224" s="19" t="str">
        <f>IF(GFI220 = "", "", IFERROR(GFI220 / SUMIFS(Aux_Totales!$N:$N, Aux_Totales!$F:$F, $F224, Aux_Totales!$A:$A,#REF!), 0))</f>
        <v/>
      </c>
      <c r="GFJ224" s="19" t="str">
        <f>IF(GFJ220 = "", "", IFERROR(GFJ220 / SUMIFS(Aux_Totales!$N:$N, Aux_Totales!$F:$F, $F224, Aux_Totales!$A:$A,#REF!), 0))</f>
        <v/>
      </c>
      <c r="GFK224" s="19" t="str">
        <f>IF(GFK220 = "", "", IFERROR(GFK220 / SUMIFS(Aux_Totales!$N:$N, Aux_Totales!$F:$F, $F224, Aux_Totales!$A:$A,#REF!), 0))</f>
        <v/>
      </c>
      <c r="GFL224" s="19" t="str">
        <f>IF(GFL220 = "", "", IFERROR(GFL220 / SUMIFS(Aux_Totales!$N:$N, Aux_Totales!$F:$F, $F224, Aux_Totales!$A:$A,#REF!), 0))</f>
        <v/>
      </c>
      <c r="GFM224" s="19" t="str">
        <f>IF(GFM220 = "", "", IFERROR(GFM220 / SUMIFS(Aux_Totales!$N:$N, Aux_Totales!$F:$F, $F224, Aux_Totales!$A:$A,#REF!), 0))</f>
        <v/>
      </c>
      <c r="GFN224" s="19" t="str">
        <f>IF(GFN220 = "", "", IFERROR(GFN220 / SUMIFS(Aux_Totales!$N:$N, Aux_Totales!$F:$F, $F224, Aux_Totales!$A:$A,#REF!), 0))</f>
        <v/>
      </c>
      <c r="GFO224" s="19" t="str">
        <f>IF(GFO220 = "", "", IFERROR(GFO220 / SUMIFS(Aux_Totales!$N:$N, Aux_Totales!$F:$F, $F224, Aux_Totales!$A:$A,#REF!), 0))</f>
        <v/>
      </c>
      <c r="GFP224" s="19" t="str">
        <f>IF(GFP220 = "", "", IFERROR(GFP220 / SUMIFS(Aux_Totales!$N:$N, Aux_Totales!$F:$F, $F224, Aux_Totales!$A:$A,#REF!), 0))</f>
        <v/>
      </c>
      <c r="GFQ224" s="19" t="str">
        <f>IF(GFQ220 = "", "", IFERROR(GFQ220 / SUMIFS(Aux_Totales!$N:$N, Aux_Totales!$F:$F, $F224, Aux_Totales!$A:$A,#REF!), 0))</f>
        <v/>
      </c>
      <c r="GFR224" s="19" t="str">
        <f>IF(GFR220 = "", "", IFERROR(GFR220 / SUMIFS(Aux_Totales!$N:$N, Aux_Totales!$F:$F, $F224, Aux_Totales!$A:$A,#REF!), 0))</f>
        <v/>
      </c>
      <c r="GFS224" s="19" t="str">
        <f>IF(GFS220 = "", "", IFERROR(GFS220 / SUMIFS(Aux_Totales!$N:$N, Aux_Totales!$F:$F, $F224, Aux_Totales!$A:$A,#REF!), 0))</f>
        <v/>
      </c>
      <c r="GFT224" s="19" t="str">
        <f>IF(GFT220 = "", "", IFERROR(GFT220 / SUMIFS(Aux_Totales!$N:$N, Aux_Totales!$F:$F, $F224, Aux_Totales!$A:$A,#REF!), 0))</f>
        <v/>
      </c>
      <c r="GFU224" s="19" t="str">
        <f>IF(GFU220 = "", "", IFERROR(GFU220 / SUMIFS(Aux_Totales!$N:$N, Aux_Totales!$F:$F, $F224, Aux_Totales!$A:$A,#REF!), 0))</f>
        <v/>
      </c>
      <c r="GFV224" s="19" t="str">
        <f>IF(GFV220 = "", "", IFERROR(GFV220 / SUMIFS(Aux_Totales!$N:$N, Aux_Totales!$F:$F, $F224, Aux_Totales!$A:$A,#REF!), 0))</f>
        <v/>
      </c>
      <c r="GFW224" s="19" t="str">
        <f>IF(GFW220 = "", "", IFERROR(GFW220 / SUMIFS(Aux_Totales!$N:$N, Aux_Totales!$F:$F, $F224, Aux_Totales!$A:$A,#REF!), 0))</f>
        <v/>
      </c>
      <c r="GFX224" s="19" t="str">
        <f>IF(GFX220 = "", "", IFERROR(GFX220 / SUMIFS(Aux_Totales!$N:$N, Aux_Totales!$F:$F, $F224, Aux_Totales!$A:$A,#REF!), 0))</f>
        <v/>
      </c>
      <c r="GFY224" s="19" t="str">
        <f>IF(GFY220 = "", "", IFERROR(GFY220 / SUMIFS(Aux_Totales!$N:$N, Aux_Totales!$F:$F, $F224, Aux_Totales!$A:$A,#REF!), 0))</f>
        <v/>
      </c>
      <c r="GFZ224" s="19" t="str">
        <f>IF(GFZ220 = "", "", IFERROR(GFZ220 / SUMIFS(Aux_Totales!$N:$N, Aux_Totales!$F:$F, $F224, Aux_Totales!$A:$A,#REF!), 0))</f>
        <v/>
      </c>
      <c r="GGA224" s="19" t="str">
        <f>IF(GGA220 = "", "", IFERROR(GGA220 / SUMIFS(Aux_Totales!$N:$N, Aux_Totales!$F:$F, $F224, Aux_Totales!$A:$A,#REF!), 0))</f>
        <v/>
      </c>
      <c r="GGB224" s="19" t="str">
        <f>IF(GGB220 = "", "", IFERROR(GGB220 / SUMIFS(Aux_Totales!$N:$N, Aux_Totales!$F:$F, $F224, Aux_Totales!$A:$A,#REF!), 0))</f>
        <v/>
      </c>
      <c r="GGC224" s="19" t="str">
        <f>IF(GGC220 = "", "", IFERROR(GGC220 / SUMIFS(Aux_Totales!$N:$N, Aux_Totales!$F:$F, $F224, Aux_Totales!$A:$A,#REF!), 0))</f>
        <v/>
      </c>
      <c r="GGD224" s="19" t="str">
        <f>IF(GGD220 = "", "", IFERROR(GGD220 / SUMIFS(Aux_Totales!$N:$N, Aux_Totales!$F:$F, $F224, Aux_Totales!$A:$A,#REF!), 0))</f>
        <v/>
      </c>
      <c r="GGE224" s="19" t="str">
        <f>IF(GGE220 = "", "", IFERROR(GGE220 / SUMIFS(Aux_Totales!$N:$N, Aux_Totales!$F:$F, $F224, Aux_Totales!$A:$A,#REF!), 0))</f>
        <v/>
      </c>
      <c r="GGF224" s="19" t="str">
        <f>IF(GGF220 = "", "", IFERROR(GGF220 / SUMIFS(Aux_Totales!$N:$N, Aux_Totales!$F:$F, $F224, Aux_Totales!$A:$A,#REF!), 0))</f>
        <v/>
      </c>
      <c r="GGG224" s="19" t="str">
        <f>IF(GGG220 = "", "", IFERROR(GGG220 / SUMIFS(Aux_Totales!$N:$N, Aux_Totales!$F:$F, $F224, Aux_Totales!$A:$A,#REF!), 0))</f>
        <v/>
      </c>
      <c r="GGH224" s="19" t="str">
        <f>IF(GGH220 = "", "", IFERROR(GGH220 / SUMIFS(Aux_Totales!$N:$N, Aux_Totales!$F:$F, $F224, Aux_Totales!$A:$A,#REF!), 0))</f>
        <v/>
      </c>
      <c r="GGI224" s="19" t="str">
        <f>IF(GGI220 = "", "", IFERROR(GGI220 / SUMIFS(Aux_Totales!$N:$N, Aux_Totales!$F:$F, $F224, Aux_Totales!$A:$A,#REF!), 0))</f>
        <v/>
      </c>
      <c r="GGJ224" s="19" t="str">
        <f>IF(GGJ220 = "", "", IFERROR(GGJ220 / SUMIFS(Aux_Totales!$N:$N, Aux_Totales!$F:$F, $F224, Aux_Totales!$A:$A,#REF!), 0))</f>
        <v/>
      </c>
      <c r="GGK224" s="19" t="str">
        <f>IF(GGK220 = "", "", IFERROR(GGK220 / SUMIFS(Aux_Totales!$N:$N, Aux_Totales!$F:$F, $F224, Aux_Totales!$A:$A,#REF!), 0))</f>
        <v/>
      </c>
      <c r="GGL224" s="19" t="str">
        <f>IF(GGL220 = "", "", IFERROR(GGL220 / SUMIFS(Aux_Totales!$N:$N, Aux_Totales!$F:$F, $F224, Aux_Totales!$A:$A,#REF!), 0))</f>
        <v/>
      </c>
      <c r="GGM224" s="19" t="str">
        <f>IF(GGM220 = "", "", IFERROR(GGM220 / SUMIFS(Aux_Totales!$N:$N, Aux_Totales!$F:$F, $F224, Aux_Totales!$A:$A,#REF!), 0))</f>
        <v/>
      </c>
      <c r="GGN224" s="19" t="str">
        <f>IF(GGN220 = "", "", IFERROR(GGN220 / SUMIFS(Aux_Totales!$N:$N, Aux_Totales!$F:$F, $F224, Aux_Totales!$A:$A,#REF!), 0))</f>
        <v/>
      </c>
      <c r="GGO224" s="19" t="str">
        <f>IF(GGO220 = "", "", IFERROR(GGO220 / SUMIFS(Aux_Totales!$N:$N, Aux_Totales!$F:$F, $F224, Aux_Totales!$A:$A,#REF!), 0))</f>
        <v/>
      </c>
      <c r="GGP224" s="19" t="str">
        <f>IF(GGP220 = "", "", IFERROR(GGP220 / SUMIFS(Aux_Totales!$N:$N, Aux_Totales!$F:$F, $F224, Aux_Totales!$A:$A,#REF!), 0))</f>
        <v/>
      </c>
      <c r="GGQ224" s="19" t="str">
        <f>IF(GGQ220 = "", "", IFERROR(GGQ220 / SUMIFS(Aux_Totales!$N:$N, Aux_Totales!$F:$F, $F224, Aux_Totales!$A:$A,#REF!), 0))</f>
        <v/>
      </c>
      <c r="GGR224" s="19" t="str">
        <f>IF(GGR220 = "", "", IFERROR(GGR220 / SUMIFS(Aux_Totales!$N:$N, Aux_Totales!$F:$F, $F224, Aux_Totales!$A:$A,#REF!), 0))</f>
        <v/>
      </c>
      <c r="GGS224" s="19" t="str">
        <f>IF(GGS220 = "", "", IFERROR(GGS220 / SUMIFS(Aux_Totales!$N:$N, Aux_Totales!$F:$F, $F224, Aux_Totales!$A:$A,#REF!), 0))</f>
        <v/>
      </c>
      <c r="GGT224" s="19" t="str">
        <f>IF(GGT220 = "", "", IFERROR(GGT220 / SUMIFS(Aux_Totales!$N:$N, Aux_Totales!$F:$F, $F224, Aux_Totales!$A:$A,#REF!), 0))</f>
        <v/>
      </c>
      <c r="GGU224" s="19" t="str">
        <f>IF(GGU220 = "", "", IFERROR(GGU220 / SUMIFS(Aux_Totales!$N:$N, Aux_Totales!$F:$F, $F224, Aux_Totales!$A:$A,#REF!), 0))</f>
        <v/>
      </c>
      <c r="GGV224" s="19" t="str">
        <f>IF(GGV220 = "", "", IFERROR(GGV220 / SUMIFS(Aux_Totales!$N:$N, Aux_Totales!$F:$F, $F224, Aux_Totales!$A:$A,#REF!), 0))</f>
        <v/>
      </c>
      <c r="GGW224" s="19" t="str">
        <f>IF(GGW220 = "", "", IFERROR(GGW220 / SUMIFS(Aux_Totales!$N:$N, Aux_Totales!$F:$F, $F224, Aux_Totales!$A:$A,#REF!), 0))</f>
        <v/>
      </c>
      <c r="GGX224" s="19" t="str">
        <f>IF(GGX220 = "", "", IFERROR(GGX220 / SUMIFS(Aux_Totales!$N:$N, Aux_Totales!$F:$F, $F224, Aux_Totales!$A:$A,#REF!), 0))</f>
        <v/>
      </c>
      <c r="GGY224" s="19" t="str">
        <f>IF(GGY220 = "", "", IFERROR(GGY220 / SUMIFS(Aux_Totales!$N:$N, Aux_Totales!$F:$F, $F224, Aux_Totales!$A:$A,#REF!), 0))</f>
        <v/>
      </c>
      <c r="GGZ224" s="19" t="str">
        <f>IF(GGZ220 = "", "", IFERROR(GGZ220 / SUMIFS(Aux_Totales!$N:$N, Aux_Totales!$F:$F, $F224, Aux_Totales!$A:$A,#REF!), 0))</f>
        <v/>
      </c>
      <c r="GHA224" s="19" t="str">
        <f>IF(GHA220 = "", "", IFERROR(GHA220 / SUMIFS(Aux_Totales!$N:$N, Aux_Totales!$F:$F, $F224, Aux_Totales!$A:$A,#REF!), 0))</f>
        <v/>
      </c>
      <c r="GHB224" s="19" t="str">
        <f>IF(GHB220 = "", "", IFERROR(GHB220 / SUMIFS(Aux_Totales!$N:$N, Aux_Totales!$F:$F, $F224, Aux_Totales!$A:$A,#REF!), 0))</f>
        <v/>
      </c>
      <c r="GHC224" s="19" t="str">
        <f>IF(GHC220 = "", "", IFERROR(GHC220 / SUMIFS(Aux_Totales!$N:$N, Aux_Totales!$F:$F, $F224, Aux_Totales!$A:$A,#REF!), 0))</f>
        <v/>
      </c>
      <c r="GHD224" s="19" t="str">
        <f>IF(GHD220 = "", "", IFERROR(GHD220 / SUMIFS(Aux_Totales!$N:$N, Aux_Totales!$F:$F, $F224, Aux_Totales!$A:$A,#REF!), 0))</f>
        <v/>
      </c>
      <c r="GHE224" s="19" t="str">
        <f>IF(GHE220 = "", "", IFERROR(GHE220 / SUMIFS(Aux_Totales!$N:$N, Aux_Totales!$F:$F, $F224, Aux_Totales!$A:$A,#REF!), 0))</f>
        <v/>
      </c>
      <c r="GHF224" s="19" t="str">
        <f>IF(GHF220 = "", "", IFERROR(GHF220 / SUMIFS(Aux_Totales!$N:$N, Aux_Totales!$F:$F, $F224, Aux_Totales!$A:$A,#REF!), 0))</f>
        <v/>
      </c>
      <c r="GHG224" s="19" t="str">
        <f>IF(GHG220 = "", "", IFERROR(GHG220 / SUMIFS(Aux_Totales!$N:$N, Aux_Totales!$F:$F, $F224, Aux_Totales!$A:$A,#REF!), 0))</f>
        <v/>
      </c>
      <c r="GHH224" s="19" t="str">
        <f>IF(GHH220 = "", "", IFERROR(GHH220 / SUMIFS(Aux_Totales!$N:$N, Aux_Totales!$F:$F, $F224, Aux_Totales!$A:$A,#REF!), 0))</f>
        <v/>
      </c>
      <c r="GHI224" s="19" t="str">
        <f>IF(GHI220 = "", "", IFERROR(GHI220 / SUMIFS(Aux_Totales!$N:$N, Aux_Totales!$F:$F, $F224, Aux_Totales!$A:$A,#REF!), 0))</f>
        <v/>
      </c>
      <c r="GHJ224" s="19" t="str">
        <f>IF(GHJ220 = "", "", IFERROR(GHJ220 / SUMIFS(Aux_Totales!$N:$N, Aux_Totales!$F:$F, $F224, Aux_Totales!$A:$A,#REF!), 0))</f>
        <v/>
      </c>
      <c r="GHK224" s="19" t="str">
        <f>IF(GHK220 = "", "", IFERROR(GHK220 / SUMIFS(Aux_Totales!$N:$N, Aux_Totales!$F:$F, $F224, Aux_Totales!$A:$A,#REF!), 0))</f>
        <v/>
      </c>
      <c r="GHL224" s="19" t="str">
        <f>IF(GHL220 = "", "", IFERROR(GHL220 / SUMIFS(Aux_Totales!$N:$N, Aux_Totales!$F:$F, $F224, Aux_Totales!$A:$A,#REF!), 0))</f>
        <v/>
      </c>
      <c r="GHM224" s="19" t="str">
        <f>IF(GHM220 = "", "", IFERROR(GHM220 / SUMIFS(Aux_Totales!$N:$N, Aux_Totales!$F:$F, $F224, Aux_Totales!$A:$A,#REF!), 0))</f>
        <v/>
      </c>
      <c r="GHN224" s="19" t="str">
        <f>IF(GHN220 = "", "", IFERROR(GHN220 / SUMIFS(Aux_Totales!$N:$N, Aux_Totales!$F:$F, $F224, Aux_Totales!$A:$A,#REF!), 0))</f>
        <v/>
      </c>
      <c r="GHO224" s="19" t="str">
        <f>IF(GHO220 = "", "", IFERROR(GHO220 / SUMIFS(Aux_Totales!$N:$N, Aux_Totales!$F:$F, $F224, Aux_Totales!$A:$A,#REF!), 0))</f>
        <v/>
      </c>
      <c r="GHP224" s="19" t="str">
        <f>IF(GHP220 = "", "", IFERROR(GHP220 / SUMIFS(Aux_Totales!$N:$N, Aux_Totales!$F:$F, $F224, Aux_Totales!$A:$A,#REF!), 0))</f>
        <v/>
      </c>
      <c r="GHQ224" s="19" t="str">
        <f>IF(GHQ220 = "", "", IFERROR(GHQ220 / SUMIFS(Aux_Totales!$N:$N, Aux_Totales!$F:$F, $F224, Aux_Totales!$A:$A,#REF!), 0))</f>
        <v/>
      </c>
      <c r="GHR224" s="19" t="str">
        <f>IF(GHR220 = "", "", IFERROR(GHR220 / SUMIFS(Aux_Totales!$N:$N, Aux_Totales!$F:$F, $F224, Aux_Totales!$A:$A,#REF!), 0))</f>
        <v/>
      </c>
      <c r="GHS224" s="19" t="str">
        <f>IF(GHS220 = "", "", IFERROR(GHS220 / SUMIFS(Aux_Totales!$N:$N, Aux_Totales!$F:$F, $F224, Aux_Totales!$A:$A,#REF!), 0))</f>
        <v/>
      </c>
      <c r="GHT224" s="19" t="str">
        <f>IF(GHT220 = "", "", IFERROR(GHT220 / SUMIFS(Aux_Totales!$N:$N, Aux_Totales!$F:$F, $F224, Aux_Totales!$A:$A,#REF!), 0))</f>
        <v/>
      </c>
      <c r="GHU224" s="19" t="str">
        <f>IF(GHU220 = "", "", IFERROR(GHU220 / SUMIFS(Aux_Totales!$N:$N, Aux_Totales!$F:$F, $F224, Aux_Totales!$A:$A,#REF!), 0))</f>
        <v/>
      </c>
      <c r="GHV224" s="19" t="str">
        <f>IF(GHV220 = "", "", IFERROR(GHV220 / SUMIFS(Aux_Totales!$N:$N, Aux_Totales!$F:$F, $F224, Aux_Totales!$A:$A,#REF!), 0))</f>
        <v/>
      </c>
      <c r="GHW224" s="19" t="str">
        <f>IF(GHW220 = "", "", IFERROR(GHW220 / SUMIFS(Aux_Totales!$N:$N, Aux_Totales!$F:$F, $F224, Aux_Totales!$A:$A,#REF!), 0))</f>
        <v/>
      </c>
      <c r="GHX224" s="19" t="str">
        <f>IF(GHX220 = "", "", IFERROR(GHX220 / SUMIFS(Aux_Totales!$N:$N, Aux_Totales!$F:$F, $F224, Aux_Totales!$A:$A,#REF!), 0))</f>
        <v/>
      </c>
      <c r="GHY224" s="19" t="str">
        <f>IF(GHY220 = "", "", IFERROR(GHY220 / SUMIFS(Aux_Totales!$N:$N, Aux_Totales!$F:$F, $F224, Aux_Totales!$A:$A,#REF!), 0))</f>
        <v/>
      </c>
      <c r="GHZ224" s="19" t="str">
        <f>IF(GHZ220 = "", "", IFERROR(GHZ220 / SUMIFS(Aux_Totales!$N:$N, Aux_Totales!$F:$F, $F224, Aux_Totales!$A:$A,#REF!), 0))</f>
        <v/>
      </c>
      <c r="GIA224" s="19" t="str">
        <f>IF(GIA220 = "", "", IFERROR(GIA220 / SUMIFS(Aux_Totales!$N:$N, Aux_Totales!$F:$F, $F224, Aux_Totales!$A:$A,#REF!), 0))</f>
        <v/>
      </c>
      <c r="GIB224" s="19" t="str">
        <f>IF(GIB220 = "", "", IFERROR(GIB220 / SUMIFS(Aux_Totales!$N:$N, Aux_Totales!$F:$F, $F224, Aux_Totales!$A:$A,#REF!), 0))</f>
        <v/>
      </c>
      <c r="GIC224" s="19" t="str">
        <f>IF(GIC220 = "", "", IFERROR(GIC220 / SUMIFS(Aux_Totales!$N:$N, Aux_Totales!$F:$F, $F224, Aux_Totales!$A:$A,#REF!), 0))</f>
        <v/>
      </c>
      <c r="GID224" s="19" t="str">
        <f>IF(GID220 = "", "", IFERROR(GID220 / SUMIFS(Aux_Totales!$N:$N, Aux_Totales!$F:$F, $F224, Aux_Totales!$A:$A,#REF!), 0))</f>
        <v/>
      </c>
      <c r="GIE224" s="19" t="str">
        <f>IF(GIE220 = "", "", IFERROR(GIE220 / SUMIFS(Aux_Totales!$N:$N, Aux_Totales!$F:$F, $F224, Aux_Totales!$A:$A,#REF!), 0))</f>
        <v/>
      </c>
      <c r="GIF224" s="19" t="str">
        <f>IF(GIF220 = "", "", IFERROR(GIF220 / SUMIFS(Aux_Totales!$N:$N, Aux_Totales!$F:$F, $F224, Aux_Totales!$A:$A,#REF!), 0))</f>
        <v/>
      </c>
      <c r="GIG224" s="19" t="str">
        <f>IF(GIG220 = "", "", IFERROR(GIG220 / SUMIFS(Aux_Totales!$N:$N, Aux_Totales!$F:$F, $F224, Aux_Totales!$A:$A,#REF!), 0))</f>
        <v/>
      </c>
      <c r="GIH224" s="19" t="str">
        <f>IF(GIH220 = "", "", IFERROR(GIH220 / SUMIFS(Aux_Totales!$N:$N, Aux_Totales!$F:$F, $F224, Aux_Totales!$A:$A,#REF!), 0))</f>
        <v/>
      </c>
      <c r="GII224" s="19" t="str">
        <f>IF(GII220 = "", "", IFERROR(GII220 / SUMIFS(Aux_Totales!$N:$N, Aux_Totales!$F:$F, $F224, Aux_Totales!$A:$A,#REF!), 0))</f>
        <v/>
      </c>
      <c r="GIJ224" s="19" t="str">
        <f>IF(GIJ220 = "", "", IFERROR(GIJ220 / SUMIFS(Aux_Totales!$N:$N, Aux_Totales!$F:$F, $F224, Aux_Totales!$A:$A,#REF!), 0))</f>
        <v/>
      </c>
      <c r="GIK224" s="19" t="str">
        <f>IF(GIK220 = "", "", IFERROR(GIK220 / SUMIFS(Aux_Totales!$N:$N, Aux_Totales!$F:$F, $F224, Aux_Totales!$A:$A,#REF!), 0))</f>
        <v/>
      </c>
      <c r="GIL224" s="19" t="str">
        <f>IF(GIL220 = "", "", IFERROR(GIL220 / SUMIFS(Aux_Totales!$N:$N, Aux_Totales!$F:$F, $F224, Aux_Totales!$A:$A,#REF!), 0))</f>
        <v/>
      </c>
      <c r="GIM224" s="19" t="str">
        <f>IF(GIM220 = "", "", IFERROR(GIM220 / SUMIFS(Aux_Totales!$N:$N, Aux_Totales!$F:$F, $F224, Aux_Totales!$A:$A,#REF!), 0))</f>
        <v/>
      </c>
      <c r="GIN224" s="19" t="str">
        <f>IF(GIN220 = "", "", IFERROR(GIN220 / SUMIFS(Aux_Totales!$N:$N, Aux_Totales!$F:$F, $F224, Aux_Totales!$A:$A,#REF!), 0))</f>
        <v/>
      </c>
      <c r="GIO224" s="19" t="str">
        <f>IF(GIO220 = "", "", IFERROR(GIO220 / SUMIFS(Aux_Totales!$N:$N, Aux_Totales!$F:$F, $F224, Aux_Totales!$A:$A,#REF!), 0))</f>
        <v/>
      </c>
      <c r="GIP224" s="19" t="str">
        <f>IF(GIP220 = "", "", IFERROR(GIP220 / SUMIFS(Aux_Totales!$N:$N, Aux_Totales!$F:$F, $F224, Aux_Totales!$A:$A,#REF!), 0))</f>
        <v/>
      </c>
      <c r="GIQ224" s="19" t="str">
        <f>IF(GIQ220 = "", "", IFERROR(GIQ220 / SUMIFS(Aux_Totales!$N:$N, Aux_Totales!$F:$F, $F224, Aux_Totales!$A:$A,#REF!), 0))</f>
        <v/>
      </c>
      <c r="GIR224" s="19" t="str">
        <f>IF(GIR220 = "", "", IFERROR(GIR220 / SUMIFS(Aux_Totales!$N:$N, Aux_Totales!$F:$F, $F224, Aux_Totales!$A:$A,#REF!), 0))</f>
        <v/>
      </c>
      <c r="GIS224" s="19" t="str">
        <f>IF(GIS220 = "", "", IFERROR(GIS220 / SUMIFS(Aux_Totales!$N:$N, Aux_Totales!$F:$F, $F224, Aux_Totales!$A:$A,#REF!), 0))</f>
        <v/>
      </c>
      <c r="GIT224" s="19" t="str">
        <f>IF(GIT220 = "", "", IFERROR(GIT220 / SUMIFS(Aux_Totales!$N:$N, Aux_Totales!$F:$F, $F224, Aux_Totales!$A:$A,#REF!), 0))</f>
        <v/>
      </c>
      <c r="GIU224" s="19" t="str">
        <f>IF(GIU220 = "", "", IFERROR(GIU220 / SUMIFS(Aux_Totales!$N:$N, Aux_Totales!$F:$F, $F224, Aux_Totales!$A:$A,#REF!), 0))</f>
        <v/>
      </c>
      <c r="GIV224" s="19" t="str">
        <f>IF(GIV220 = "", "", IFERROR(GIV220 / SUMIFS(Aux_Totales!$N:$N, Aux_Totales!$F:$F, $F224, Aux_Totales!$A:$A,#REF!), 0))</f>
        <v/>
      </c>
      <c r="GIW224" s="19" t="str">
        <f>IF(GIW220 = "", "", IFERROR(GIW220 / SUMIFS(Aux_Totales!$N:$N, Aux_Totales!$F:$F, $F224, Aux_Totales!$A:$A,#REF!), 0))</f>
        <v/>
      </c>
      <c r="GIX224" s="19" t="str">
        <f>IF(GIX220 = "", "", IFERROR(GIX220 / SUMIFS(Aux_Totales!$N:$N, Aux_Totales!$F:$F, $F224, Aux_Totales!$A:$A,#REF!), 0))</f>
        <v/>
      </c>
      <c r="GIY224" s="19" t="str">
        <f>IF(GIY220 = "", "", IFERROR(GIY220 / SUMIFS(Aux_Totales!$N:$N, Aux_Totales!$F:$F, $F224, Aux_Totales!$A:$A,#REF!), 0))</f>
        <v/>
      </c>
      <c r="GIZ224" s="19" t="str">
        <f>IF(GIZ220 = "", "", IFERROR(GIZ220 / SUMIFS(Aux_Totales!$N:$N, Aux_Totales!$F:$F, $F224, Aux_Totales!$A:$A,#REF!), 0))</f>
        <v/>
      </c>
      <c r="GJA224" s="19" t="str">
        <f>IF(GJA220 = "", "", IFERROR(GJA220 / SUMIFS(Aux_Totales!$N:$N, Aux_Totales!$F:$F, $F224, Aux_Totales!$A:$A,#REF!), 0))</f>
        <v/>
      </c>
      <c r="GJB224" s="19" t="str">
        <f>IF(GJB220 = "", "", IFERROR(GJB220 / SUMIFS(Aux_Totales!$N:$N, Aux_Totales!$F:$F, $F224, Aux_Totales!$A:$A,#REF!), 0))</f>
        <v/>
      </c>
      <c r="GJC224" s="19" t="str">
        <f>IF(GJC220 = "", "", IFERROR(GJC220 / SUMIFS(Aux_Totales!$N:$N, Aux_Totales!$F:$F, $F224, Aux_Totales!$A:$A,#REF!), 0))</f>
        <v/>
      </c>
      <c r="GJD224" s="19" t="str">
        <f>IF(GJD220 = "", "", IFERROR(GJD220 / SUMIFS(Aux_Totales!$N:$N, Aux_Totales!$F:$F, $F224, Aux_Totales!$A:$A,#REF!), 0))</f>
        <v/>
      </c>
      <c r="GJE224" s="19" t="str">
        <f>IF(GJE220 = "", "", IFERROR(GJE220 / SUMIFS(Aux_Totales!$N:$N, Aux_Totales!$F:$F, $F224, Aux_Totales!$A:$A,#REF!), 0))</f>
        <v/>
      </c>
      <c r="GJF224" s="19" t="str">
        <f>IF(GJF220 = "", "", IFERROR(GJF220 / SUMIFS(Aux_Totales!$N:$N, Aux_Totales!$F:$F, $F224, Aux_Totales!$A:$A,#REF!), 0))</f>
        <v/>
      </c>
      <c r="GJG224" s="19" t="str">
        <f>IF(GJG220 = "", "", IFERROR(GJG220 / SUMIFS(Aux_Totales!$N:$N, Aux_Totales!$F:$F, $F224, Aux_Totales!$A:$A,#REF!), 0))</f>
        <v/>
      </c>
      <c r="GJH224" s="19" t="str">
        <f>IF(GJH220 = "", "", IFERROR(GJH220 / SUMIFS(Aux_Totales!$N:$N, Aux_Totales!$F:$F, $F224, Aux_Totales!$A:$A,#REF!), 0))</f>
        <v/>
      </c>
      <c r="GJI224" s="19" t="str">
        <f>IF(GJI220 = "", "", IFERROR(GJI220 / SUMIFS(Aux_Totales!$N:$N, Aux_Totales!$F:$F, $F224, Aux_Totales!$A:$A,#REF!), 0))</f>
        <v/>
      </c>
      <c r="GJJ224" s="19" t="str">
        <f>IF(GJJ220 = "", "", IFERROR(GJJ220 / SUMIFS(Aux_Totales!$N:$N, Aux_Totales!$F:$F, $F224, Aux_Totales!$A:$A,#REF!), 0))</f>
        <v/>
      </c>
      <c r="GJK224" s="19" t="str">
        <f>IF(GJK220 = "", "", IFERROR(GJK220 / SUMIFS(Aux_Totales!$N:$N, Aux_Totales!$F:$F, $F224, Aux_Totales!$A:$A,#REF!), 0))</f>
        <v/>
      </c>
      <c r="GJL224" s="19" t="str">
        <f>IF(GJL220 = "", "", IFERROR(GJL220 / SUMIFS(Aux_Totales!$N:$N, Aux_Totales!$F:$F, $F224, Aux_Totales!$A:$A,#REF!), 0))</f>
        <v/>
      </c>
      <c r="GJM224" s="19" t="str">
        <f>IF(GJM220 = "", "", IFERROR(GJM220 / SUMIFS(Aux_Totales!$N:$N, Aux_Totales!$F:$F, $F224, Aux_Totales!$A:$A,#REF!), 0))</f>
        <v/>
      </c>
      <c r="GJN224" s="19" t="str">
        <f>IF(GJN220 = "", "", IFERROR(GJN220 / SUMIFS(Aux_Totales!$N:$N, Aux_Totales!$F:$F, $F224, Aux_Totales!$A:$A,#REF!), 0))</f>
        <v/>
      </c>
      <c r="GJO224" s="19" t="str">
        <f>IF(GJO220 = "", "", IFERROR(GJO220 / SUMIFS(Aux_Totales!$N:$N, Aux_Totales!$F:$F, $F224, Aux_Totales!$A:$A,#REF!), 0))</f>
        <v/>
      </c>
      <c r="GJP224" s="19" t="str">
        <f>IF(GJP220 = "", "", IFERROR(GJP220 / SUMIFS(Aux_Totales!$N:$N, Aux_Totales!$F:$F, $F224, Aux_Totales!$A:$A,#REF!), 0))</f>
        <v/>
      </c>
      <c r="GJQ224" s="19" t="str">
        <f>IF(GJQ220 = "", "", IFERROR(GJQ220 / SUMIFS(Aux_Totales!$N:$N, Aux_Totales!$F:$F, $F224, Aux_Totales!$A:$A,#REF!), 0))</f>
        <v/>
      </c>
      <c r="GJR224" s="19" t="str">
        <f>IF(GJR220 = "", "", IFERROR(GJR220 / SUMIFS(Aux_Totales!$N:$N, Aux_Totales!$F:$F, $F224, Aux_Totales!$A:$A,#REF!), 0))</f>
        <v/>
      </c>
      <c r="GJS224" s="19" t="str">
        <f>IF(GJS220 = "", "", IFERROR(GJS220 / SUMIFS(Aux_Totales!$N:$N, Aux_Totales!$F:$F, $F224, Aux_Totales!$A:$A,#REF!), 0))</f>
        <v/>
      </c>
      <c r="GJT224" s="19" t="str">
        <f>IF(GJT220 = "", "", IFERROR(GJT220 / SUMIFS(Aux_Totales!$N:$N, Aux_Totales!$F:$F, $F224, Aux_Totales!$A:$A,#REF!), 0))</f>
        <v/>
      </c>
      <c r="GJU224" s="19" t="str">
        <f>IF(GJU220 = "", "", IFERROR(GJU220 / SUMIFS(Aux_Totales!$N:$N, Aux_Totales!$F:$F, $F224, Aux_Totales!$A:$A,#REF!), 0))</f>
        <v/>
      </c>
      <c r="GJV224" s="19" t="str">
        <f>IF(GJV220 = "", "", IFERROR(GJV220 / SUMIFS(Aux_Totales!$N:$N, Aux_Totales!$F:$F, $F224, Aux_Totales!$A:$A,#REF!), 0))</f>
        <v/>
      </c>
      <c r="GJW224" s="19" t="str">
        <f>IF(GJW220 = "", "", IFERROR(GJW220 / SUMIFS(Aux_Totales!$N:$N, Aux_Totales!$F:$F, $F224, Aux_Totales!$A:$A,#REF!), 0))</f>
        <v/>
      </c>
      <c r="GJX224" s="19" t="str">
        <f>IF(GJX220 = "", "", IFERROR(GJX220 / SUMIFS(Aux_Totales!$N:$N, Aux_Totales!$F:$F, $F224, Aux_Totales!$A:$A,#REF!), 0))</f>
        <v/>
      </c>
      <c r="GJY224" s="19" t="str">
        <f>IF(GJY220 = "", "", IFERROR(GJY220 / SUMIFS(Aux_Totales!$N:$N, Aux_Totales!$F:$F, $F224, Aux_Totales!$A:$A,#REF!), 0))</f>
        <v/>
      </c>
      <c r="GJZ224" s="19" t="str">
        <f>IF(GJZ220 = "", "", IFERROR(GJZ220 / SUMIFS(Aux_Totales!$N:$N, Aux_Totales!$F:$F, $F224, Aux_Totales!$A:$A,#REF!), 0))</f>
        <v/>
      </c>
      <c r="GKA224" s="19" t="str">
        <f>IF(GKA220 = "", "", IFERROR(GKA220 / SUMIFS(Aux_Totales!$N:$N, Aux_Totales!$F:$F, $F224, Aux_Totales!$A:$A,#REF!), 0))</f>
        <v/>
      </c>
      <c r="GKB224" s="19" t="str">
        <f>IF(GKB220 = "", "", IFERROR(GKB220 / SUMIFS(Aux_Totales!$N:$N, Aux_Totales!$F:$F, $F224, Aux_Totales!$A:$A,#REF!), 0))</f>
        <v/>
      </c>
      <c r="GKC224" s="19" t="str">
        <f>IF(GKC220 = "", "", IFERROR(GKC220 / SUMIFS(Aux_Totales!$N:$N, Aux_Totales!$F:$F, $F224, Aux_Totales!$A:$A,#REF!), 0))</f>
        <v/>
      </c>
      <c r="GKD224" s="19" t="str">
        <f>IF(GKD220 = "", "", IFERROR(GKD220 / SUMIFS(Aux_Totales!$N:$N, Aux_Totales!$F:$F, $F224, Aux_Totales!$A:$A,#REF!), 0))</f>
        <v/>
      </c>
      <c r="GKE224" s="19" t="str">
        <f>IF(GKE220 = "", "", IFERROR(GKE220 / SUMIFS(Aux_Totales!$N:$N, Aux_Totales!$F:$F, $F224, Aux_Totales!$A:$A,#REF!), 0))</f>
        <v/>
      </c>
      <c r="GKF224" s="19" t="str">
        <f>IF(GKF220 = "", "", IFERROR(GKF220 / SUMIFS(Aux_Totales!$N:$N, Aux_Totales!$F:$F, $F224, Aux_Totales!$A:$A,#REF!), 0))</f>
        <v/>
      </c>
      <c r="GKG224" s="19" t="str">
        <f>IF(GKG220 = "", "", IFERROR(GKG220 / SUMIFS(Aux_Totales!$N:$N, Aux_Totales!$F:$F, $F224, Aux_Totales!$A:$A,#REF!), 0))</f>
        <v/>
      </c>
      <c r="GKH224" s="19" t="str">
        <f>IF(GKH220 = "", "", IFERROR(GKH220 / SUMIFS(Aux_Totales!$N:$N, Aux_Totales!$F:$F, $F224, Aux_Totales!$A:$A,#REF!), 0))</f>
        <v/>
      </c>
      <c r="GKI224" s="19" t="str">
        <f>IF(GKI220 = "", "", IFERROR(GKI220 / SUMIFS(Aux_Totales!$N:$N, Aux_Totales!$F:$F, $F224, Aux_Totales!$A:$A,#REF!), 0))</f>
        <v/>
      </c>
      <c r="GKJ224" s="19" t="str">
        <f>IF(GKJ220 = "", "", IFERROR(GKJ220 / SUMIFS(Aux_Totales!$N:$N, Aux_Totales!$F:$F, $F224, Aux_Totales!$A:$A,#REF!), 0))</f>
        <v/>
      </c>
      <c r="GKK224" s="19" t="str">
        <f>IF(GKK220 = "", "", IFERROR(GKK220 / SUMIFS(Aux_Totales!$N:$N, Aux_Totales!$F:$F, $F224, Aux_Totales!$A:$A,#REF!), 0))</f>
        <v/>
      </c>
      <c r="GKL224" s="19" t="str">
        <f>IF(GKL220 = "", "", IFERROR(GKL220 / SUMIFS(Aux_Totales!$N:$N, Aux_Totales!$F:$F, $F224, Aux_Totales!$A:$A,#REF!), 0))</f>
        <v/>
      </c>
      <c r="GKM224" s="19" t="str">
        <f>IF(GKM220 = "", "", IFERROR(GKM220 / SUMIFS(Aux_Totales!$N:$N, Aux_Totales!$F:$F, $F224, Aux_Totales!$A:$A,#REF!), 0))</f>
        <v/>
      </c>
      <c r="GKN224" s="19" t="str">
        <f>IF(GKN220 = "", "", IFERROR(GKN220 / SUMIFS(Aux_Totales!$N:$N, Aux_Totales!$F:$F, $F224, Aux_Totales!$A:$A,#REF!), 0))</f>
        <v/>
      </c>
      <c r="GKO224" s="19" t="str">
        <f>IF(GKO220 = "", "", IFERROR(GKO220 / SUMIFS(Aux_Totales!$N:$N, Aux_Totales!$F:$F, $F224, Aux_Totales!$A:$A,#REF!), 0))</f>
        <v/>
      </c>
      <c r="GKP224" s="19" t="str">
        <f>IF(GKP220 = "", "", IFERROR(GKP220 / SUMIFS(Aux_Totales!$N:$N, Aux_Totales!$F:$F, $F224, Aux_Totales!$A:$A,#REF!), 0))</f>
        <v/>
      </c>
      <c r="GKQ224" s="19" t="str">
        <f>IF(GKQ220 = "", "", IFERROR(GKQ220 / SUMIFS(Aux_Totales!$N:$N, Aux_Totales!$F:$F, $F224, Aux_Totales!$A:$A,#REF!), 0))</f>
        <v/>
      </c>
      <c r="GKR224" s="19" t="str">
        <f>IF(GKR220 = "", "", IFERROR(GKR220 / SUMIFS(Aux_Totales!$N:$N, Aux_Totales!$F:$F, $F224, Aux_Totales!$A:$A,#REF!), 0))</f>
        <v/>
      </c>
      <c r="GKS224" s="19" t="str">
        <f>IF(GKS220 = "", "", IFERROR(GKS220 / SUMIFS(Aux_Totales!$N:$N, Aux_Totales!$F:$F, $F224, Aux_Totales!$A:$A,#REF!), 0))</f>
        <v/>
      </c>
      <c r="GKT224" s="19" t="str">
        <f>IF(GKT220 = "", "", IFERROR(GKT220 / SUMIFS(Aux_Totales!$N:$N, Aux_Totales!$F:$F, $F224, Aux_Totales!$A:$A,#REF!), 0))</f>
        <v/>
      </c>
      <c r="GKU224" s="19" t="str">
        <f>IF(GKU220 = "", "", IFERROR(GKU220 / SUMIFS(Aux_Totales!$N:$N, Aux_Totales!$F:$F, $F224, Aux_Totales!$A:$A,#REF!), 0))</f>
        <v/>
      </c>
      <c r="GKV224" s="19" t="str">
        <f>IF(GKV220 = "", "", IFERROR(GKV220 / SUMIFS(Aux_Totales!$N:$N, Aux_Totales!$F:$F, $F224, Aux_Totales!$A:$A,#REF!), 0))</f>
        <v/>
      </c>
      <c r="GKW224" s="19" t="str">
        <f>IF(GKW220 = "", "", IFERROR(GKW220 / SUMIFS(Aux_Totales!$N:$N, Aux_Totales!$F:$F, $F224, Aux_Totales!$A:$A,#REF!), 0))</f>
        <v/>
      </c>
      <c r="GKX224" s="19" t="str">
        <f>IF(GKX220 = "", "", IFERROR(GKX220 / SUMIFS(Aux_Totales!$N:$N, Aux_Totales!$F:$F, $F224, Aux_Totales!$A:$A,#REF!), 0))</f>
        <v/>
      </c>
      <c r="GKY224" s="19" t="str">
        <f>IF(GKY220 = "", "", IFERROR(GKY220 / SUMIFS(Aux_Totales!$N:$N, Aux_Totales!$F:$F, $F224, Aux_Totales!$A:$A,#REF!), 0))</f>
        <v/>
      </c>
      <c r="GKZ224" s="19" t="str">
        <f>IF(GKZ220 = "", "", IFERROR(GKZ220 / SUMIFS(Aux_Totales!$N:$N, Aux_Totales!$F:$F, $F224, Aux_Totales!$A:$A,#REF!), 0))</f>
        <v/>
      </c>
      <c r="GLA224" s="19" t="str">
        <f>IF(GLA220 = "", "", IFERROR(GLA220 / SUMIFS(Aux_Totales!$N:$N, Aux_Totales!$F:$F, $F224, Aux_Totales!$A:$A,#REF!), 0))</f>
        <v/>
      </c>
      <c r="GLB224" s="19" t="str">
        <f>IF(GLB220 = "", "", IFERROR(GLB220 / SUMIFS(Aux_Totales!$N:$N, Aux_Totales!$F:$F, $F224, Aux_Totales!$A:$A,#REF!), 0))</f>
        <v/>
      </c>
      <c r="GLC224" s="19" t="str">
        <f>IF(GLC220 = "", "", IFERROR(GLC220 / SUMIFS(Aux_Totales!$N:$N, Aux_Totales!$F:$F, $F224, Aux_Totales!$A:$A,#REF!), 0))</f>
        <v/>
      </c>
      <c r="GLD224" s="19" t="str">
        <f>IF(GLD220 = "", "", IFERROR(GLD220 / SUMIFS(Aux_Totales!$N:$N, Aux_Totales!$F:$F, $F224, Aux_Totales!$A:$A,#REF!), 0))</f>
        <v/>
      </c>
      <c r="GLE224" s="19" t="str">
        <f>IF(GLE220 = "", "", IFERROR(GLE220 / SUMIFS(Aux_Totales!$N:$N, Aux_Totales!$F:$F, $F224, Aux_Totales!$A:$A,#REF!), 0))</f>
        <v/>
      </c>
      <c r="GLF224" s="19" t="str">
        <f>IF(GLF220 = "", "", IFERROR(GLF220 / SUMIFS(Aux_Totales!$N:$N, Aux_Totales!$F:$F, $F224, Aux_Totales!$A:$A,#REF!), 0))</f>
        <v/>
      </c>
      <c r="GLG224" s="19" t="str">
        <f>IF(GLG220 = "", "", IFERROR(GLG220 / SUMIFS(Aux_Totales!$N:$N, Aux_Totales!$F:$F, $F224, Aux_Totales!$A:$A,#REF!), 0))</f>
        <v/>
      </c>
      <c r="GLH224" s="19" t="str">
        <f>IF(GLH220 = "", "", IFERROR(GLH220 / SUMIFS(Aux_Totales!$N:$N, Aux_Totales!$F:$F, $F224, Aux_Totales!$A:$A,#REF!), 0))</f>
        <v/>
      </c>
      <c r="GLI224" s="19" t="str">
        <f>IF(GLI220 = "", "", IFERROR(GLI220 / SUMIFS(Aux_Totales!$N:$N, Aux_Totales!$F:$F, $F224, Aux_Totales!$A:$A,#REF!), 0))</f>
        <v/>
      </c>
      <c r="GLJ224" s="19" t="str">
        <f>IF(GLJ220 = "", "", IFERROR(GLJ220 / SUMIFS(Aux_Totales!$N:$N, Aux_Totales!$F:$F, $F224, Aux_Totales!$A:$A,#REF!), 0))</f>
        <v/>
      </c>
      <c r="GLK224" s="19" t="str">
        <f>IF(GLK220 = "", "", IFERROR(GLK220 / SUMIFS(Aux_Totales!$N:$N, Aux_Totales!$F:$F, $F224, Aux_Totales!$A:$A,#REF!), 0))</f>
        <v/>
      </c>
      <c r="GLL224" s="19" t="str">
        <f>IF(GLL220 = "", "", IFERROR(GLL220 / SUMIFS(Aux_Totales!$N:$N, Aux_Totales!$F:$F, $F224, Aux_Totales!$A:$A,#REF!), 0))</f>
        <v/>
      </c>
      <c r="GLM224" s="19" t="str">
        <f>IF(GLM220 = "", "", IFERROR(GLM220 / SUMIFS(Aux_Totales!$N:$N, Aux_Totales!$F:$F, $F224, Aux_Totales!$A:$A,#REF!), 0))</f>
        <v/>
      </c>
      <c r="GLN224" s="19" t="str">
        <f>IF(GLN220 = "", "", IFERROR(GLN220 / SUMIFS(Aux_Totales!$N:$N, Aux_Totales!$F:$F, $F224, Aux_Totales!$A:$A,#REF!), 0))</f>
        <v/>
      </c>
      <c r="GLO224" s="19" t="str">
        <f>IF(GLO220 = "", "", IFERROR(GLO220 / SUMIFS(Aux_Totales!$N:$N, Aux_Totales!$F:$F, $F224, Aux_Totales!$A:$A,#REF!), 0))</f>
        <v/>
      </c>
      <c r="GLP224" s="19" t="str">
        <f>IF(GLP220 = "", "", IFERROR(GLP220 / SUMIFS(Aux_Totales!$N:$N, Aux_Totales!$F:$F, $F224, Aux_Totales!$A:$A,#REF!), 0))</f>
        <v/>
      </c>
      <c r="GLQ224" s="19" t="str">
        <f>IF(GLQ220 = "", "", IFERROR(GLQ220 / SUMIFS(Aux_Totales!$N:$N, Aux_Totales!$F:$F, $F224, Aux_Totales!$A:$A,#REF!), 0))</f>
        <v/>
      </c>
      <c r="GLR224" s="19" t="str">
        <f>IF(GLR220 = "", "", IFERROR(GLR220 / SUMIFS(Aux_Totales!$N:$N, Aux_Totales!$F:$F, $F224, Aux_Totales!$A:$A,#REF!), 0))</f>
        <v/>
      </c>
      <c r="GLS224" s="19" t="str">
        <f>IF(GLS220 = "", "", IFERROR(GLS220 / SUMIFS(Aux_Totales!$N:$N, Aux_Totales!$F:$F, $F224, Aux_Totales!$A:$A,#REF!), 0))</f>
        <v/>
      </c>
      <c r="GLT224" s="19" t="str">
        <f>IF(GLT220 = "", "", IFERROR(GLT220 / SUMIFS(Aux_Totales!$N:$N, Aux_Totales!$F:$F, $F224, Aux_Totales!$A:$A,#REF!), 0))</f>
        <v/>
      </c>
      <c r="GLU224" s="19" t="str">
        <f>IF(GLU220 = "", "", IFERROR(GLU220 / SUMIFS(Aux_Totales!$N:$N, Aux_Totales!$F:$F, $F224, Aux_Totales!$A:$A,#REF!), 0))</f>
        <v/>
      </c>
      <c r="GLV224" s="19" t="str">
        <f>IF(GLV220 = "", "", IFERROR(GLV220 / SUMIFS(Aux_Totales!$N:$N, Aux_Totales!$F:$F, $F224, Aux_Totales!$A:$A,#REF!), 0))</f>
        <v/>
      </c>
      <c r="GLW224" s="19" t="str">
        <f>IF(GLW220 = "", "", IFERROR(GLW220 / SUMIFS(Aux_Totales!$N:$N, Aux_Totales!$F:$F, $F224, Aux_Totales!$A:$A,#REF!), 0))</f>
        <v/>
      </c>
      <c r="GLX224" s="19" t="str">
        <f>IF(GLX220 = "", "", IFERROR(GLX220 / SUMIFS(Aux_Totales!$N:$N, Aux_Totales!$F:$F, $F224, Aux_Totales!$A:$A,#REF!), 0))</f>
        <v/>
      </c>
      <c r="GLY224" s="19" t="str">
        <f>IF(GLY220 = "", "", IFERROR(GLY220 / SUMIFS(Aux_Totales!$N:$N, Aux_Totales!$F:$F, $F224, Aux_Totales!$A:$A,#REF!), 0))</f>
        <v/>
      </c>
      <c r="GLZ224" s="19" t="str">
        <f>IF(GLZ220 = "", "", IFERROR(GLZ220 / SUMIFS(Aux_Totales!$N:$N, Aux_Totales!$F:$F, $F224, Aux_Totales!$A:$A,#REF!), 0))</f>
        <v/>
      </c>
      <c r="GMA224" s="19" t="str">
        <f>IF(GMA220 = "", "", IFERROR(GMA220 / SUMIFS(Aux_Totales!$N:$N, Aux_Totales!$F:$F, $F224, Aux_Totales!$A:$A,#REF!), 0))</f>
        <v/>
      </c>
      <c r="GMB224" s="19" t="str">
        <f>IF(GMB220 = "", "", IFERROR(GMB220 / SUMIFS(Aux_Totales!$N:$N, Aux_Totales!$F:$F, $F224, Aux_Totales!$A:$A,#REF!), 0))</f>
        <v/>
      </c>
      <c r="GMC224" s="19" t="str">
        <f>IF(GMC220 = "", "", IFERROR(GMC220 / SUMIFS(Aux_Totales!$N:$N, Aux_Totales!$F:$F, $F224, Aux_Totales!$A:$A,#REF!), 0))</f>
        <v/>
      </c>
      <c r="GMD224" s="19" t="str">
        <f>IF(GMD220 = "", "", IFERROR(GMD220 / SUMIFS(Aux_Totales!$N:$N, Aux_Totales!$F:$F, $F224, Aux_Totales!$A:$A,#REF!), 0))</f>
        <v/>
      </c>
      <c r="GME224" s="19" t="str">
        <f>IF(GME220 = "", "", IFERROR(GME220 / SUMIFS(Aux_Totales!$N:$N, Aux_Totales!$F:$F, $F224, Aux_Totales!$A:$A,#REF!), 0))</f>
        <v/>
      </c>
      <c r="GMF224" s="19" t="str">
        <f>IF(GMF220 = "", "", IFERROR(GMF220 / SUMIFS(Aux_Totales!$N:$N, Aux_Totales!$F:$F, $F224, Aux_Totales!$A:$A,#REF!), 0))</f>
        <v/>
      </c>
      <c r="GMG224" s="19" t="str">
        <f>IF(GMG220 = "", "", IFERROR(GMG220 / SUMIFS(Aux_Totales!$N:$N, Aux_Totales!$F:$F, $F224, Aux_Totales!$A:$A,#REF!), 0))</f>
        <v/>
      </c>
      <c r="GMH224" s="19" t="str">
        <f>IF(GMH220 = "", "", IFERROR(GMH220 / SUMIFS(Aux_Totales!$N:$N, Aux_Totales!$F:$F, $F224, Aux_Totales!$A:$A,#REF!), 0))</f>
        <v/>
      </c>
      <c r="GMI224" s="19" t="str">
        <f>IF(GMI220 = "", "", IFERROR(GMI220 / SUMIFS(Aux_Totales!$N:$N, Aux_Totales!$F:$F, $F224, Aux_Totales!$A:$A,#REF!), 0))</f>
        <v/>
      </c>
      <c r="GMJ224" s="19" t="str">
        <f>IF(GMJ220 = "", "", IFERROR(GMJ220 / SUMIFS(Aux_Totales!$N:$N, Aux_Totales!$F:$F, $F224, Aux_Totales!$A:$A,#REF!), 0))</f>
        <v/>
      </c>
      <c r="GMK224" s="19" t="str">
        <f>IF(GMK220 = "", "", IFERROR(GMK220 / SUMIFS(Aux_Totales!$N:$N, Aux_Totales!$F:$F, $F224, Aux_Totales!$A:$A,#REF!), 0))</f>
        <v/>
      </c>
      <c r="GML224" s="19" t="str">
        <f>IF(GML220 = "", "", IFERROR(GML220 / SUMIFS(Aux_Totales!$N:$N, Aux_Totales!$F:$F, $F224, Aux_Totales!$A:$A,#REF!), 0))</f>
        <v/>
      </c>
      <c r="GMM224" s="19" t="str">
        <f>IF(GMM220 = "", "", IFERROR(GMM220 / SUMIFS(Aux_Totales!$N:$N, Aux_Totales!$F:$F, $F224, Aux_Totales!$A:$A,#REF!), 0))</f>
        <v/>
      </c>
      <c r="GMN224" s="19" t="str">
        <f>IF(GMN220 = "", "", IFERROR(GMN220 / SUMIFS(Aux_Totales!$N:$N, Aux_Totales!$F:$F, $F224, Aux_Totales!$A:$A,#REF!), 0))</f>
        <v/>
      </c>
      <c r="GMO224" s="19" t="str">
        <f>IF(GMO220 = "", "", IFERROR(GMO220 / SUMIFS(Aux_Totales!$N:$N, Aux_Totales!$F:$F, $F224, Aux_Totales!$A:$A,#REF!), 0))</f>
        <v/>
      </c>
      <c r="GMP224" s="19" t="str">
        <f>IF(GMP220 = "", "", IFERROR(GMP220 / SUMIFS(Aux_Totales!$N:$N, Aux_Totales!$F:$F, $F224, Aux_Totales!$A:$A,#REF!), 0))</f>
        <v/>
      </c>
      <c r="GMQ224" s="19" t="str">
        <f>IF(GMQ220 = "", "", IFERROR(GMQ220 / SUMIFS(Aux_Totales!$N:$N, Aux_Totales!$F:$F, $F224, Aux_Totales!$A:$A,#REF!), 0))</f>
        <v/>
      </c>
      <c r="GMR224" s="19" t="str">
        <f>IF(GMR220 = "", "", IFERROR(GMR220 / SUMIFS(Aux_Totales!$N:$N, Aux_Totales!$F:$F, $F224, Aux_Totales!$A:$A,#REF!), 0))</f>
        <v/>
      </c>
      <c r="GMS224" s="19" t="str">
        <f>IF(GMS220 = "", "", IFERROR(GMS220 / SUMIFS(Aux_Totales!$N:$N, Aux_Totales!$F:$F, $F224, Aux_Totales!$A:$A,#REF!), 0))</f>
        <v/>
      </c>
      <c r="GMT224" s="19" t="str">
        <f>IF(GMT220 = "", "", IFERROR(GMT220 / SUMIFS(Aux_Totales!$N:$N, Aux_Totales!$F:$F, $F224, Aux_Totales!$A:$A,#REF!), 0))</f>
        <v/>
      </c>
      <c r="GMU224" s="19" t="str">
        <f>IF(GMU220 = "", "", IFERROR(GMU220 / SUMIFS(Aux_Totales!$N:$N, Aux_Totales!$F:$F, $F224, Aux_Totales!$A:$A,#REF!), 0))</f>
        <v/>
      </c>
      <c r="GMV224" s="19" t="str">
        <f>IF(GMV220 = "", "", IFERROR(GMV220 / SUMIFS(Aux_Totales!$N:$N, Aux_Totales!$F:$F, $F224, Aux_Totales!$A:$A,#REF!), 0))</f>
        <v/>
      </c>
      <c r="GMW224" s="19" t="str">
        <f>IF(GMW220 = "", "", IFERROR(GMW220 / SUMIFS(Aux_Totales!$N:$N, Aux_Totales!$F:$F, $F224, Aux_Totales!$A:$A,#REF!), 0))</f>
        <v/>
      </c>
      <c r="GMX224" s="19" t="str">
        <f>IF(GMX220 = "", "", IFERROR(GMX220 / SUMIFS(Aux_Totales!$N:$N, Aux_Totales!$F:$F, $F224, Aux_Totales!$A:$A,#REF!), 0))</f>
        <v/>
      </c>
      <c r="GMY224" s="19" t="str">
        <f>IF(GMY220 = "", "", IFERROR(GMY220 / SUMIFS(Aux_Totales!$N:$N, Aux_Totales!$F:$F, $F224, Aux_Totales!$A:$A,#REF!), 0))</f>
        <v/>
      </c>
      <c r="GMZ224" s="19" t="str">
        <f>IF(GMZ220 = "", "", IFERROR(GMZ220 / SUMIFS(Aux_Totales!$N:$N, Aux_Totales!$F:$F, $F224, Aux_Totales!$A:$A,#REF!), 0))</f>
        <v/>
      </c>
      <c r="GNA224" s="19" t="str">
        <f>IF(GNA220 = "", "", IFERROR(GNA220 / SUMIFS(Aux_Totales!$N:$N, Aux_Totales!$F:$F, $F224, Aux_Totales!$A:$A,#REF!), 0))</f>
        <v/>
      </c>
      <c r="GNB224" s="19" t="str">
        <f>IF(GNB220 = "", "", IFERROR(GNB220 / SUMIFS(Aux_Totales!$N:$N, Aux_Totales!$F:$F, $F224, Aux_Totales!$A:$A,#REF!), 0))</f>
        <v/>
      </c>
      <c r="GNC224" s="19" t="str">
        <f>IF(GNC220 = "", "", IFERROR(GNC220 / SUMIFS(Aux_Totales!$N:$N, Aux_Totales!$F:$F, $F224, Aux_Totales!$A:$A,#REF!), 0))</f>
        <v/>
      </c>
      <c r="GND224" s="19" t="str">
        <f>IF(GND220 = "", "", IFERROR(GND220 / SUMIFS(Aux_Totales!$N:$N, Aux_Totales!$F:$F, $F224, Aux_Totales!$A:$A,#REF!), 0))</f>
        <v/>
      </c>
      <c r="GNE224" s="19" t="str">
        <f>IF(GNE220 = "", "", IFERROR(GNE220 / SUMIFS(Aux_Totales!$N:$N, Aux_Totales!$F:$F, $F224, Aux_Totales!$A:$A,#REF!), 0))</f>
        <v/>
      </c>
      <c r="GNF224" s="19" t="str">
        <f>IF(GNF220 = "", "", IFERROR(GNF220 / SUMIFS(Aux_Totales!$N:$N, Aux_Totales!$F:$F, $F224, Aux_Totales!$A:$A,#REF!), 0))</f>
        <v/>
      </c>
      <c r="GNG224" s="19" t="str">
        <f>IF(GNG220 = "", "", IFERROR(GNG220 / SUMIFS(Aux_Totales!$N:$N, Aux_Totales!$F:$F, $F224, Aux_Totales!$A:$A,#REF!), 0))</f>
        <v/>
      </c>
      <c r="GNH224" s="19" t="str">
        <f>IF(GNH220 = "", "", IFERROR(GNH220 / SUMIFS(Aux_Totales!$N:$N, Aux_Totales!$F:$F, $F224, Aux_Totales!$A:$A,#REF!), 0))</f>
        <v/>
      </c>
      <c r="GNI224" s="19" t="str">
        <f>IF(GNI220 = "", "", IFERROR(GNI220 / SUMIFS(Aux_Totales!$N:$N, Aux_Totales!$F:$F, $F224, Aux_Totales!$A:$A,#REF!), 0))</f>
        <v/>
      </c>
      <c r="GNJ224" s="19" t="str">
        <f>IF(GNJ220 = "", "", IFERROR(GNJ220 / SUMIFS(Aux_Totales!$N:$N, Aux_Totales!$F:$F, $F224, Aux_Totales!$A:$A,#REF!), 0))</f>
        <v/>
      </c>
      <c r="GNK224" s="19" t="str">
        <f>IF(GNK220 = "", "", IFERROR(GNK220 / SUMIFS(Aux_Totales!$N:$N, Aux_Totales!$F:$F, $F224, Aux_Totales!$A:$A,#REF!), 0))</f>
        <v/>
      </c>
      <c r="GNL224" s="19" t="str">
        <f>IF(GNL220 = "", "", IFERROR(GNL220 / SUMIFS(Aux_Totales!$N:$N, Aux_Totales!$F:$F, $F224, Aux_Totales!$A:$A,#REF!), 0))</f>
        <v/>
      </c>
      <c r="GNM224" s="19" t="str">
        <f>IF(GNM220 = "", "", IFERROR(GNM220 / SUMIFS(Aux_Totales!$N:$N, Aux_Totales!$F:$F, $F224, Aux_Totales!$A:$A,#REF!), 0))</f>
        <v/>
      </c>
      <c r="GNN224" s="19" t="str">
        <f>IF(GNN220 = "", "", IFERROR(GNN220 / SUMIFS(Aux_Totales!$N:$N, Aux_Totales!$F:$F, $F224, Aux_Totales!$A:$A,#REF!), 0))</f>
        <v/>
      </c>
      <c r="GNO224" s="19" t="str">
        <f>IF(GNO220 = "", "", IFERROR(GNO220 / SUMIFS(Aux_Totales!$N:$N, Aux_Totales!$F:$F, $F224, Aux_Totales!$A:$A,#REF!), 0))</f>
        <v/>
      </c>
      <c r="GNP224" s="19" t="str">
        <f>IF(GNP220 = "", "", IFERROR(GNP220 / SUMIFS(Aux_Totales!$N:$N, Aux_Totales!$F:$F, $F224, Aux_Totales!$A:$A,#REF!), 0))</f>
        <v/>
      </c>
      <c r="GNQ224" s="19" t="str">
        <f>IF(GNQ220 = "", "", IFERROR(GNQ220 / SUMIFS(Aux_Totales!$N:$N, Aux_Totales!$F:$F, $F224, Aux_Totales!$A:$A,#REF!), 0))</f>
        <v/>
      </c>
      <c r="GNR224" s="19" t="str">
        <f>IF(GNR220 = "", "", IFERROR(GNR220 / SUMIFS(Aux_Totales!$N:$N, Aux_Totales!$F:$F, $F224, Aux_Totales!$A:$A,#REF!), 0))</f>
        <v/>
      </c>
      <c r="GNS224" s="19" t="str">
        <f>IF(GNS220 = "", "", IFERROR(GNS220 / SUMIFS(Aux_Totales!$N:$N, Aux_Totales!$F:$F, $F224, Aux_Totales!$A:$A,#REF!), 0))</f>
        <v/>
      </c>
      <c r="GNT224" s="19" t="str">
        <f>IF(GNT220 = "", "", IFERROR(GNT220 / SUMIFS(Aux_Totales!$N:$N, Aux_Totales!$F:$F, $F224, Aux_Totales!$A:$A,#REF!), 0))</f>
        <v/>
      </c>
      <c r="GNU224" s="19" t="str">
        <f>IF(GNU220 = "", "", IFERROR(GNU220 / SUMIFS(Aux_Totales!$N:$N, Aux_Totales!$F:$F, $F224, Aux_Totales!$A:$A,#REF!), 0))</f>
        <v/>
      </c>
      <c r="GNV224" s="19" t="str">
        <f>IF(GNV220 = "", "", IFERROR(GNV220 / SUMIFS(Aux_Totales!$N:$N, Aux_Totales!$F:$F, $F224, Aux_Totales!$A:$A,#REF!), 0))</f>
        <v/>
      </c>
      <c r="GNW224" s="19" t="str">
        <f>IF(GNW220 = "", "", IFERROR(GNW220 / SUMIFS(Aux_Totales!$N:$N, Aux_Totales!$F:$F, $F224, Aux_Totales!$A:$A,#REF!), 0))</f>
        <v/>
      </c>
      <c r="GNX224" s="19" t="str">
        <f>IF(GNX220 = "", "", IFERROR(GNX220 / SUMIFS(Aux_Totales!$N:$N, Aux_Totales!$F:$F, $F224, Aux_Totales!$A:$A,#REF!), 0))</f>
        <v/>
      </c>
      <c r="GNY224" s="19" t="str">
        <f>IF(GNY220 = "", "", IFERROR(GNY220 / SUMIFS(Aux_Totales!$N:$N, Aux_Totales!$F:$F, $F224, Aux_Totales!$A:$A,#REF!), 0))</f>
        <v/>
      </c>
      <c r="GNZ224" s="19" t="str">
        <f>IF(GNZ220 = "", "", IFERROR(GNZ220 / SUMIFS(Aux_Totales!$N:$N, Aux_Totales!$F:$F, $F224, Aux_Totales!$A:$A,#REF!), 0))</f>
        <v/>
      </c>
      <c r="GOA224" s="19" t="str">
        <f>IF(GOA220 = "", "", IFERROR(GOA220 / SUMIFS(Aux_Totales!$N:$N, Aux_Totales!$F:$F, $F224, Aux_Totales!$A:$A,#REF!), 0))</f>
        <v/>
      </c>
      <c r="GOB224" s="19" t="str">
        <f>IF(GOB220 = "", "", IFERROR(GOB220 / SUMIFS(Aux_Totales!$N:$N, Aux_Totales!$F:$F, $F224, Aux_Totales!$A:$A,#REF!), 0))</f>
        <v/>
      </c>
      <c r="GOC224" s="19" t="str">
        <f>IF(GOC220 = "", "", IFERROR(GOC220 / SUMIFS(Aux_Totales!$N:$N, Aux_Totales!$F:$F, $F224, Aux_Totales!$A:$A,#REF!), 0))</f>
        <v/>
      </c>
      <c r="GOD224" s="19" t="str">
        <f>IF(GOD220 = "", "", IFERROR(GOD220 / SUMIFS(Aux_Totales!$N:$N, Aux_Totales!$F:$F, $F224, Aux_Totales!$A:$A,#REF!), 0))</f>
        <v/>
      </c>
      <c r="GOE224" s="19" t="str">
        <f>IF(GOE220 = "", "", IFERROR(GOE220 / SUMIFS(Aux_Totales!$N:$N, Aux_Totales!$F:$F, $F224, Aux_Totales!$A:$A,#REF!), 0))</f>
        <v/>
      </c>
      <c r="GOF224" s="19" t="str">
        <f>IF(GOF220 = "", "", IFERROR(GOF220 / SUMIFS(Aux_Totales!$N:$N, Aux_Totales!$F:$F, $F224, Aux_Totales!$A:$A,#REF!), 0))</f>
        <v/>
      </c>
      <c r="GOG224" s="19" t="str">
        <f>IF(GOG220 = "", "", IFERROR(GOG220 / SUMIFS(Aux_Totales!$N:$N, Aux_Totales!$F:$F, $F224, Aux_Totales!$A:$A,#REF!), 0))</f>
        <v/>
      </c>
      <c r="GOH224" s="19" t="str">
        <f>IF(GOH220 = "", "", IFERROR(GOH220 / SUMIFS(Aux_Totales!$N:$N, Aux_Totales!$F:$F, $F224, Aux_Totales!$A:$A,#REF!), 0))</f>
        <v/>
      </c>
      <c r="GOI224" s="19" t="str">
        <f>IF(GOI220 = "", "", IFERROR(GOI220 / SUMIFS(Aux_Totales!$N:$N, Aux_Totales!$F:$F, $F224, Aux_Totales!$A:$A,#REF!), 0))</f>
        <v/>
      </c>
      <c r="GOJ224" s="19" t="str">
        <f>IF(GOJ220 = "", "", IFERROR(GOJ220 / SUMIFS(Aux_Totales!$N:$N, Aux_Totales!$F:$F, $F224, Aux_Totales!$A:$A,#REF!), 0))</f>
        <v/>
      </c>
      <c r="GOK224" s="19" t="str">
        <f>IF(GOK220 = "", "", IFERROR(GOK220 / SUMIFS(Aux_Totales!$N:$N, Aux_Totales!$F:$F, $F224, Aux_Totales!$A:$A,#REF!), 0))</f>
        <v/>
      </c>
      <c r="GOL224" s="19" t="str">
        <f>IF(GOL220 = "", "", IFERROR(GOL220 / SUMIFS(Aux_Totales!$N:$N, Aux_Totales!$F:$F, $F224, Aux_Totales!$A:$A,#REF!), 0))</f>
        <v/>
      </c>
      <c r="GOM224" s="19" t="str">
        <f>IF(GOM220 = "", "", IFERROR(GOM220 / SUMIFS(Aux_Totales!$N:$N, Aux_Totales!$F:$F, $F224, Aux_Totales!$A:$A,#REF!), 0))</f>
        <v/>
      </c>
      <c r="GON224" s="19" t="str">
        <f>IF(GON220 = "", "", IFERROR(GON220 / SUMIFS(Aux_Totales!$N:$N, Aux_Totales!$F:$F, $F224, Aux_Totales!$A:$A,#REF!), 0))</f>
        <v/>
      </c>
      <c r="GOO224" s="19" t="str">
        <f>IF(GOO220 = "", "", IFERROR(GOO220 / SUMIFS(Aux_Totales!$N:$N, Aux_Totales!$F:$F, $F224, Aux_Totales!$A:$A,#REF!), 0))</f>
        <v/>
      </c>
      <c r="GOP224" s="19" t="str">
        <f>IF(GOP220 = "", "", IFERROR(GOP220 / SUMIFS(Aux_Totales!$N:$N, Aux_Totales!$F:$F, $F224, Aux_Totales!$A:$A,#REF!), 0))</f>
        <v/>
      </c>
      <c r="GOQ224" s="19" t="str">
        <f>IF(GOQ220 = "", "", IFERROR(GOQ220 / SUMIFS(Aux_Totales!$N:$N, Aux_Totales!$F:$F, $F224, Aux_Totales!$A:$A,#REF!), 0))</f>
        <v/>
      </c>
      <c r="GOR224" s="19" t="str">
        <f>IF(GOR220 = "", "", IFERROR(GOR220 / SUMIFS(Aux_Totales!$N:$N, Aux_Totales!$F:$F, $F224, Aux_Totales!$A:$A,#REF!), 0))</f>
        <v/>
      </c>
      <c r="GOS224" s="19" t="str">
        <f>IF(GOS220 = "", "", IFERROR(GOS220 / SUMIFS(Aux_Totales!$N:$N, Aux_Totales!$F:$F, $F224, Aux_Totales!$A:$A,#REF!), 0))</f>
        <v/>
      </c>
      <c r="GOT224" s="19" t="str">
        <f>IF(GOT220 = "", "", IFERROR(GOT220 / SUMIFS(Aux_Totales!$N:$N, Aux_Totales!$F:$F, $F224, Aux_Totales!$A:$A,#REF!), 0))</f>
        <v/>
      </c>
      <c r="GOU224" s="19" t="str">
        <f>IF(GOU220 = "", "", IFERROR(GOU220 / SUMIFS(Aux_Totales!$N:$N, Aux_Totales!$F:$F, $F224, Aux_Totales!$A:$A,#REF!), 0))</f>
        <v/>
      </c>
      <c r="GOV224" s="19" t="str">
        <f>IF(GOV220 = "", "", IFERROR(GOV220 / SUMIFS(Aux_Totales!$N:$N, Aux_Totales!$F:$F, $F224, Aux_Totales!$A:$A,#REF!), 0))</f>
        <v/>
      </c>
      <c r="GOW224" s="19" t="str">
        <f>IF(GOW220 = "", "", IFERROR(GOW220 / SUMIFS(Aux_Totales!$N:$N, Aux_Totales!$F:$F, $F224, Aux_Totales!$A:$A,#REF!), 0))</f>
        <v/>
      </c>
      <c r="GOX224" s="19" t="str">
        <f>IF(GOX220 = "", "", IFERROR(GOX220 / SUMIFS(Aux_Totales!$N:$N, Aux_Totales!$F:$F, $F224, Aux_Totales!$A:$A,#REF!), 0))</f>
        <v/>
      </c>
      <c r="GOY224" s="19" t="str">
        <f>IF(GOY220 = "", "", IFERROR(GOY220 / SUMIFS(Aux_Totales!$N:$N, Aux_Totales!$F:$F, $F224, Aux_Totales!$A:$A,#REF!), 0))</f>
        <v/>
      </c>
      <c r="GOZ224" s="19" t="str">
        <f>IF(GOZ220 = "", "", IFERROR(GOZ220 / SUMIFS(Aux_Totales!$N:$N, Aux_Totales!$F:$F, $F224, Aux_Totales!$A:$A,#REF!), 0))</f>
        <v/>
      </c>
      <c r="GPA224" s="19" t="str">
        <f>IF(GPA220 = "", "", IFERROR(GPA220 / SUMIFS(Aux_Totales!$N:$N, Aux_Totales!$F:$F, $F224, Aux_Totales!$A:$A,#REF!), 0))</f>
        <v/>
      </c>
      <c r="GPB224" s="19" t="str">
        <f>IF(GPB220 = "", "", IFERROR(GPB220 / SUMIFS(Aux_Totales!$N:$N, Aux_Totales!$F:$F, $F224, Aux_Totales!$A:$A,#REF!), 0))</f>
        <v/>
      </c>
      <c r="GPC224" s="19" t="str">
        <f>IF(GPC220 = "", "", IFERROR(GPC220 / SUMIFS(Aux_Totales!$N:$N, Aux_Totales!$F:$F, $F224, Aux_Totales!$A:$A,#REF!), 0))</f>
        <v/>
      </c>
      <c r="GPD224" s="19" t="str">
        <f>IF(GPD220 = "", "", IFERROR(GPD220 / SUMIFS(Aux_Totales!$N:$N, Aux_Totales!$F:$F, $F224, Aux_Totales!$A:$A,#REF!), 0))</f>
        <v/>
      </c>
      <c r="GPE224" s="19" t="str">
        <f>IF(GPE220 = "", "", IFERROR(GPE220 / SUMIFS(Aux_Totales!$N:$N, Aux_Totales!$F:$F, $F224, Aux_Totales!$A:$A,#REF!), 0))</f>
        <v/>
      </c>
      <c r="GPF224" s="19" t="str">
        <f>IF(GPF220 = "", "", IFERROR(GPF220 / SUMIFS(Aux_Totales!$N:$N, Aux_Totales!$F:$F, $F224, Aux_Totales!$A:$A,#REF!), 0))</f>
        <v/>
      </c>
      <c r="GPG224" s="19" t="str">
        <f>IF(GPG220 = "", "", IFERROR(GPG220 / SUMIFS(Aux_Totales!$N:$N, Aux_Totales!$F:$F, $F224, Aux_Totales!$A:$A,#REF!), 0))</f>
        <v/>
      </c>
      <c r="GPH224" s="19" t="str">
        <f>IF(GPH220 = "", "", IFERROR(GPH220 / SUMIFS(Aux_Totales!$N:$N, Aux_Totales!$F:$F, $F224, Aux_Totales!$A:$A,#REF!), 0))</f>
        <v/>
      </c>
      <c r="GPI224" s="19" t="str">
        <f>IF(GPI220 = "", "", IFERROR(GPI220 / SUMIFS(Aux_Totales!$N:$N, Aux_Totales!$F:$F, $F224, Aux_Totales!$A:$A,#REF!), 0))</f>
        <v/>
      </c>
      <c r="GPJ224" s="19" t="str">
        <f>IF(GPJ220 = "", "", IFERROR(GPJ220 / SUMIFS(Aux_Totales!$N:$N, Aux_Totales!$F:$F, $F224, Aux_Totales!$A:$A,#REF!), 0))</f>
        <v/>
      </c>
      <c r="GPK224" s="19" t="str">
        <f>IF(GPK220 = "", "", IFERROR(GPK220 / SUMIFS(Aux_Totales!$N:$N, Aux_Totales!$F:$F, $F224, Aux_Totales!$A:$A,#REF!), 0))</f>
        <v/>
      </c>
      <c r="GPL224" s="19" t="str">
        <f>IF(GPL220 = "", "", IFERROR(GPL220 / SUMIFS(Aux_Totales!$N:$N, Aux_Totales!$F:$F, $F224, Aux_Totales!$A:$A,#REF!), 0))</f>
        <v/>
      </c>
      <c r="GPM224" s="19" t="str">
        <f>IF(GPM220 = "", "", IFERROR(GPM220 / SUMIFS(Aux_Totales!$N:$N, Aux_Totales!$F:$F, $F224, Aux_Totales!$A:$A,#REF!), 0))</f>
        <v/>
      </c>
      <c r="GPN224" s="19" t="str">
        <f>IF(GPN220 = "", "", IFERROR(GPN220 / SUMIFS(Aux_Totales!$N:$N, Aux_Totales!$F:$F, $F224, Aux_Totales!$A:$A,#REF!), 0))</f>
        <v/>
      </c>
      <c r="GPO224" s="19" t="str">
        <f>IF(GPO220 = "", "", IFERROR(GPO220 / SUMIFS(Aux_Totales!$N:$N, Aux_Totales!$F:$F, $F224, Aux_Totales!$A:$A,#REF!), 0))</f>
        <v/>
      </c>
      <c r="GPP224" s="19" t="str">
        <f>IF(GPP220 = "", "", IFERROR(GPP220 / SUMIFS(Aux_Totales!$N:$N, Aux_Totales!$F:$F, $F224, Aux_Totales!$A:$A,#REF!), 0))</f>
        <v/>
      </c>
      <c r="GPQ224" s="19" t="str">
        <f>IF(GPQ220 = "", "", IFERROR(GPQ220 / SUMIFS(Aux_Totales!$N:$N, Aux_Totales!$F:$F, $F224, Aux_Totales!$A:$A,#REF!), 0))</f>
        <v/>
      </c>
      <c r="GPR224" s="19" t="str">
        <f>IF(GPR220 = "", "", IFERROR(GPR220 / SUMIFS(Aux_Totales!$N:$N, Aux_Totales!$F:$F, $F224, Aux_Totales!$A:$A,#REF!), 0))</f>
        <v/>
      </c>
      <c r="GPS224" s="19" t="str">
        <f>IF(GPS220 = "", "", IFERROR(GPS220 / SUMIFS(Aux_Totales!$N:$N, Aux_Totales!$F:$F, $F224, Aux_Totales!$A:$A,#REF!), 0))</f>
        <v/>
      </c>
      <c r="GPT224" s="19" t="str">
        <f>IF(GPT220 = "", "", IFERROR(GPT220 / SUMIFS(Aux_Totales!$N:$N, Aux_Totales!$F:$F, $F224, Aux_Totales!$A:$A,#REF!), 0))</f>
        <v/>
      </c>
      <c r="GPU224" s="19" t="str">
        <f>IF(GPU220 = "", "", IFERROR(GPU220 / SUMIFS(Aux_Totales!$N:$N, Aux_Totales!$F:$F, $F224, Aux_Totales!$A:$A,#REF!), 0))</f>
        <v/>
      </c>
      <c r="GPV224" s="19" t="str">
        <f>IF(GPV220 = "", "", IFERROR(GPV220 / SUMIFS(Aux_Totales!$N:$N, Aux_Totales!$F:$F, $F224, Aux_Totales!$A:$A,#REF!), 0))</f>
        <v/>
      </c>
      <c r="GPW224" s="19" t="str">
        <f>IF(GPW220 = "", "", IFERROR(GPW220 / SUMIFS(Aux_Totales!$N:$N, Aux_Totales!$F:$F, $F224, Aux_Totales!$A:$A,#REF!), 0))</f>
        <v/>
      </c>
      <c r="GPX224" s="19" t="str">
        <f>IF(GPX220 = "", "", IFERROR(GPX220 / SUMIFS(Aux_Totales!$N:$N, Aux_Totales!$F:$F, $F224, Aux_Totales!$A:$A,#REF!), 0))</f>
        <v/>
      </c>
      <c r="GPY224" s="19" t="str">
        <f>IF(GPY220 = "", "", IFERROR(GPY220 / SUMIFS(Aux_Totales!$N:$N, Aux_Totales!$F:$F, $F224, Aux_Totales!$A:$A,#REF!), 0))</f>
        <v/>
      </c>
      <c r="GPZ224" s="19" t="str">
        <f>IF(GPZ220 = "", "", IFERROR(GPZ220 / SUMIFS(Aux_Totales!$N:$N, Aux_Totales!$F:$F, $F224, Aux_Totales!$A:$A,#REF!), 0))</f>
        <v/>
      </c>
      <c r="GQA224" s="19" t="str">
        <f>IF(GQA220 = "", "", IFERROR(GQA220 / SUMIFS(Aux_Totales!$N:$N, Aux_Totales!$F:$F, $F224, Aux_Totales!$A:$A,#REF!), 0))</f>
        <v/>
      </c>
      <c r="GQB224" s="19" t="str">
        <f>IF(GQB220 = "", "", IFERROR(GQB220 / SUMIFS(Aux_Totales!$N:$N, Aux_Totales!$F:$F, $F224, Aux_Totales!$A:$A,#REF!), 0))</f>
        <v/>
      </c>
      <c r="GQC224" s="19" t="str">
        <f>IF(GQC220 = "", "", IFERROR(GQC220 / SUMIFS(Aux_Totales!$N:$N, Aux_Totales!$F:$F, $F224, Aux_Totales!$A:$A,#REF!), 0))</f>
        <v/>
      </c>
      <c r="GQD224" s="19" t="str">
        <f>IF(GQD220 = "", "", IFERROR(GQD220 / SUMIFS(Aux_Totales!$N:$N, Aux_Totales!$F:$F, $F224, Aux_Totales!$A:$A,#REF!), 0))</f>
        <v/>
      </c>
      <c r="GQE224" s="19" t="str">
        <f>IF(GQE220 = "", "", IFERROR(GQE220 / SUMIFS(Aux_Totales!$N:$N, Aux_Totales!$F:$F, $F224, Aux_Totales!$A:$A,#REF!), 0))</f>
        <v/>
      </c>
      <c r="GQF224" s="19" t="str">
        <f>IF(GQF220 = "", "", IFERROR(GQF220 / SUMIFS(Aux_Totales!$N:$N, Aux_Totales!$F:$F, $F224, Aux_Totales!$A:$A,#REF!), 0))</f>
        <v/>
      </c>
      <c r="GQG224" s="19" t="str">
        <f>IF(GQG220 = "", "", IFERROR(GQG220 / SUMIFS(Aux_Totales!$N:$N, Aux_Totales!$F:$F, $F224, Aux_Totales!$A:$A,#REF!), 0))</f>
        <v/>
      </c>
      <c r="GQH224" s="19" t="str">
        <f>IF(GQH220 = "", "", IFERROR(GQH220 / SUMIFS(Aux_Totales!$N:$N, Aux_Totales!$F:$F, $F224, Aux_Totales!$A:$A,#REF!), 0))</f>
        <v/>
      </c>
      <c r="GQI224" s="19" t="str">
        <f>IF(GQI220 = "", "", IFERROR(GQI220 / SUMIFS(Aux_Totales!$N:$N, Aux_Totales!$F:$F, $F224, Aux_Totales!$A:$A,#REF!), 0))</f>
        <v/>
      </c>
      <c r="GQJ224" s="19" t="str">
        <f>IF(GQJ220 = "", "", IFERROR(GQJ220 / SUMIFS(Aux_Totales!$N:$N, Aux_Totales!$F:$F, $F224, Aux_Totales!$A:$A,#REF!), 0))</f>
        <v/>
      </c>
      <c r="GQK224" s="19" t="str">
        <f>IF(GQK220 = "", "", IFERROR(GQK220 / SUMIFS(Aux_Totales!$N:$N, Aux_Totales!$F:$F, $F224, Aux_Totales!$A:$A,#REF!), 0))</f>
        <v/>
      </c>
      <c r="GQL224" s="19" t="str">
        <f>IF(GQL220 = "", "", IFERROR(GQL220 / SUMIFS(Aux_Totales!$N:$N, Aux_Totales!$F:$F, $F224, Aux_Totales!$A:$A,#REF!), 0))</f>
        <v/>
      </c>
      <c r="GQM224" s="19" t="str">
        <f>IF(GQM220 = "", "", IFERROR(GQM220 / SUMIFS(Aux_Totales!$N:$N, Aux_Totales!$F:$F, $F224, Aux_Totales!$A:$A,#REF!), 0))</f>
        <v/>
      </c>
      <c r="GQN224" s="19" t="str">
        <f>IF(GQN220 = "", "", IFERROR(GQN220 / SUMIFS(Aux_Totales!$N:$N, Aux_Totales!$F:$F, $F224, Aux_Totales!$A:$A,#REF!), 0))</f>
        <v/>
      </c>
      <c r="GQO224" s="19" t="str">
        <f>IF(GQO220 = "", "", IFERROR(GQO220 / SUMIFS(Aux_Totales!$N:$N, Aux_Totales!$F:$F, $F224, Aux_Totales!$A:$A,#REF!), 0))</f>
        <v/>
      </c>
      <c r="GQP224" s="19" t="str">
        <f>IF(GQP220 = "", "", IFERROR(GQP220 / SUMIFS(Aux_Totales!$N:$N, Aux_Totales!$F:$F, $F224, Aux_Totales!$A:$A,#REF!), 0))</f>
        <v/>
      </c>
      <c r="GQQ224" s="19" t="str">
        <f>IF(GQQ220 = "", "", IFERROR(GQQ220 / SUMIFS(Aux_Totales!$N:$N, Aux_Totales!$F:$F, $F224, Aux_Totales!$A:$A,#REF!), 0))</f>
        <v/>
      </c>
      <c r="GQR224" s="19" t="str">
        <f>IF(GQR220 = "", "", IFERROR(GQR220 / SUMIFS(Aux_Totales!$N:$N, Aux_Totales!$F:$F, $F224, Aux_Totales!$A:$A,#REF!), 0))</f>
        <v/>
      </c>
      <c r="GQS224" s="19" t="str">
        <f>IF(GQS220 = "", "", IFERROR(GQS220 / SUMIFS(Aux_Totales!$N:$N, Aux_Totales!$F:$F, $F224, Aux_Totales!$A:$A,#REF!), 0))</f>
        <v/>
      </c>
      <c r="GQT224" s="19" t="str">
        <f>IF(GQT220 = "", "", IFERROR(GQT220 / SUMIFS(Aux_Totales!$N:$N, Aux_Totales!$F:$F, $F224, Aux_Totales!$A:$A,#REF!), 0))</f>
        <v/>
      </c>
      <c r="GQU224" s="19" t="str">
        <f>IF(GQU220 = "", "", IFERROR(GQU220 / SUMIFS(Aux_Totales!$N:$N, Aux_Totales!$F:$F, $F224, Aux_Totales!$A:$A,#REF!), 0))</f>
        <v/>
      </c>
      <c r="GQV224" s="19" t="str">
        <f>IF(GQV220 = "", "", IFERROR(GQV220 / SUMIFS(Aux_Totales!$N:$N, Aux_Totales!$F:$F, $F224, Aux_Totales!$A:$A,#REF!), 0))</f>
        <v/>
      </c>
      <c r="GQW224" s="19" t="str">
        <f>IF(GQW220 = "", "", IFERROR(GQW220 / SUMIFS(Aux_Totales!$N:$N, Aux_Totales!$F:$F, $F224, Aux_Totales!$A:$A,#REF!), 0))</f>
        <v/>
      </c>
      <c r="GQX224" s="19" t="str">
        <f>IF(GQX220 = "", "", IFERROR(GQX220 / SUMIFS(Aux_Totales!$N:$N, Aux_Totales!$F:$F, $F224, Aux_Totales!$A:$A,#REF!), 0))</f>
        <v/>
      </c>
      <c r="GQY224" s="19" t="str">
        <f>IF(GQY220 = "", "", IFERROR(GQY220 / SUMIFS(Aux_Totales!$N:$N, Aux_Totales!$F:$F, $F224, Aux_Totales!$A:$A,#REF!), 0))</f>
        <v/>
      </c>
      <c r="GQZ224" s="19" t="str">
        <f>IF(GQZ220 = "", "", IFERROR(GQZ220 / SUMIFS(Aux_Totales!$N:$N, Aux_Totales!$F:$F, $F224, Aux_Totales!$A:$A,#REF!), 0))</f>
        <v/>
      </c>
      <c r="GRA224" s="19" t="str">
        <f>IF(GRA220 = "", "", IFERROR(GRA220 / SUMIFS(Aux_Totales!$N:$N, Aux_Totales!$F:$F, $F224, Aux_Totales!$A:$A,#REF!), 0))</f>
        <v/>
      </c>
      <c r="GRB224" s="19" t="str">
        <f>IF(GRB220 = "", "", IFERROR(GRB220 / SUMIFS(Aux_Totales!$N:$N, Aux_Totales!$F:$F, $F224, Aux_Totales!$A:$A,#REF!), 0))</f>
        <v/>
      </c>
      <c r="GRC224" s="19" t="str">
        <f>IF(GRC220 = "", "", IFERROR(GRC220 / SUMIFS(Aux_Totales!$N:$N, Aux_Totales!$F:$F, $F224, Aux_Totales!$A:$A,#REF!), 0))</f>
        <v/>
      </c>
      <c r="GRD224" s="19" t="str">
        <f>IF(GRD220 = "", "", IFERROR(GRD220 / SUMIFS(Aux_Totales!$N:$N, Aux_Totales!$F:$F, $F224, Aux_Totales!$A:$A,#REF!), 0))</f>
        <v/>
      </c>
      <c r="GRE224" s="19" t="str">
        <f>IF(GRE220 = "", "", IFERROR(GRE220 / SUMIFS(Aux_Totales!$N:$N, Aux_Totales!$F:$F, $F224, Aux_Totales!$A:$A,#REF!), 0))</f>
        <v/>
      </c>
      <c r="GRF224" s="19" t="str">
        <f>IF(GRF220 = "", "", IFERROR(GRF220 / SUMIFS(Aux_Totales!$N:$N, Aux_Totales!$F:$F, $F224, Aux_Totales!$A:$A,#REF!), 0))</f>
        <v/>
      </c>
      <c r="GRG224" s="19" t="str">
        <f>IF(GRG220 = "", "", IFERROR(GRG220 / SUMIFS(Aux_Totales!$N:$N, Aux_Totales!$F:$F, $F224, Aux_Totales!$A:$A,#REF!), 0))</f>
        <v/>
      </c>
      <c r="GRH224" s="19" t="str">
        <f>IF(GRH220 = "", "", IFERROR(GRH220 / SUMIFS(Aux_Totales!$N:$N, Aux_Totales!$F:$F, $F224, Aux_Totales!$A:$A,#REF!), 0))</f>
        <v/>
      </c>
      <c r="GRI224" s="19" t="str">
        <f>IF(GRI220 = "", "", IFERROR(GRI220 / SUMIFS(Aux_Totales!$N:$N, Aux_Totales!$F:$F, $F224, Aux_Totales!$A:$A,#REF!), 0))</f>
        <v/>
      </c>
      <c r="GRJ224" s="19" t="str">
        <f>IF(GRJ220 = "", "", IFERROR(GRJ220 / SUMIFS(Aux_Totales!$N:$N, Aux_Totales!$F:$F, $F224, Aux_Totales!$A:$A,#REF!), 0))</f>
        <v/>
      </c>
      <c r="GRK224" s="19" t="str">
        <f>IF(GRK220 = "", "", IFERROR(GRK220 / SUMIFS(Aux_Totales!$N:$N, Aux_Totales!$F:$F, $F224, Aux_Totales!$A:$A,#REF!), 0))</f>
        <v/>
      </c>
      <c r="GRL224" s="19" t="str">
        <f>IF(GRL220 = "", "", IFERROR(GRL220 / SUMIFS(Aux_Totales!$N:$N, Aux_Totales!$F:$F, $F224, Aux_Totales!$A:$A,#REF!), 0))</f>
        <v/>
      </c>
      <c r="GRM224" s="19" t="str">
        <f>IF(GRM220 = "", "", IFERROR(GRM220 / SUMIFS(Aux_Totales!$N:$N, Aux_Totales!$F:$F, $F224, Aux_Totales!$A:$A,#REF!), 0))</f>
        <v/>
      </c>
      <c r="GRN224" s="19" t="str">
        <f>IF(GRN220 = "", "", IFERROR(GRN220 / SUMIFS(Aux_Totales!$N:$N, Aux_Totales!$F:$F, $F224, Aux_Totales!$A:$A,#REF!), 0))</f>
        <v/>
      </c>
      <c r="GRO224" s="19" t="str">
        <f>IF(GRO220 = "", "", IFERROR(GRO220 / SUMIFS(Aux_Totales!$N:$N, Aux_Totales!$F:$F, $F224, Aux_Totales!$A:$A,#REF!), 0))</f>
        <v/>
      </c>
      <c r="GRP224" s="19" t="str">
        <f>IF(GRP220 = "", "", IFERROR(GRP220 / SUMIFS(Aux_Totales!$N:$N, Aux_Totales!$F:$F, $F224, Aux_Totales!$A:$A,#REF!), 0))</f>
        <v/>
      </c>
      <c r="GRQ224" s="19" t="str">
        <f>IF(GRQ220 = "", "", IFERROR(GRQ220 / SUMIFS(Aux_Totales!$N:$N, Aux_Totales!$F:$F, $F224, Aux_Totales!$A:$A,#REF!), 0))</f>
        <v/>
      </c>
      <c r="GRR224" s="19" t="str">
        <f>IF(GRR220 = "", "", IFERROR(GRR220 / SUMIFS(Aux_Totales!$N:$N, Aux_Totales!$F:$F, $F224, Aux_Totales!$A:$A,#REF!), 0))</f>
        <v/>
      </c>
      <c r="GRS224" s="19" t="str">
        <f>IF(GRS220 = "", "", IFERROR(GRS220 / SUMIFS(Aux_Totales!$N:$N, Aux_Totales!$F:$F, $F224, Aux_Totales!$A:$A,#REF!), 0))</f>
        <v/>
      </c>
      <c r="GRT224" s="19" t="str">
        <f>IF(GRT220 = "", "", IFERROR(GRT220 / SUMIFS(Aux_Totales!$N:$N, Aux_Totales!$F:$F, $F224, Aux_Totales!$A:$A,#REF!), 0))</f>
        <v/>
      </c>
      <c r="GRU224" s="19" t="str">
        <f>IF(GRU220 = "", "", IFERROR(GRU220 / SUMIFS(Aux_Totales!$N:$N, Aux_Totales!$F:$F, $F224, Aux_Totales!$A:$A,#REF!), 0))</f>
        <v/>
      </c>
      <c r="GRV224" s="19" t="str">
        <f>IF(GRV220 = "", "", IFERROR(GRV220 / SUMIFS(Aux_Totales!$N:$N, Aux_Totales!$F:$F, $F224, Aux_Totales!$A:$A,#REF!), 0))</f>
        <v/>
      </c>
      <c r="GRW224" s="19" t="str">
        <f>IF(GRW220 = "", "", IFERROR(GRW220 / SUMIFS(Aux_Totales!$N:$N, Aux_Totales!$F:$F, $F224, Aux_Totales!$A:$A,#REF!), 0))</f>
        <v/>
      </c>
      <c r="GRX224" s="19" t="str">
        <f>IF(GRX220 = "", "", IFERROR(GRX220 / SUMIFS(Aux_Totales!$N:$N, Aux_Totales!$F:$F, $F224, Aux_Totales!$A:$A,#REF!), 0))</f>
        <v/>
      </c>
      <c r="GRY224" s="19" t="str">
        <f>IF(GRY220 = "", "", IFERROR(GRY220 / SUMIFS(Aux_Totales!$N:$N, Aux_Totales!$F:$F, $F224, Aux_Totales!$A:$A,#REF!), 0))</f>
        <v/>
      </c>
      <c r="GRZ224" s="19" t="str">
        <f>IF(GRZ220 = "", "", IFERROR(GRZ220 / SUMIFS(Aux_Totales!$N:$N, Aux_Totales!$F:$F, $F224, Aux_Totales!$A:$A,#REF!), 0))</f>
        <v/>
      </c>
      <c r="GSA224" s="19" t="str">
        <f>IF(GSA220 = "", "", IFERROR(GSA220 / SUMIFS(Aux_Totales!$N:$N, Aux_Totales!$F:$F, $F224, Aux_Totales!$A:$A,#REF!), 0))</f>
        <v/>
      </c>
      <c r="GSB224" s="19" t="str">
        <f>IF(GSB220 = "", "", IFERROR(GSB220 / SUMIFS(Aux_Totales!$N:$N, Aux_Totales!$F:$F, $F224, Aux_Totales!$A:$A,#REF!), 0))</f>
        <v/>
      </c>
      <c r="GSC224" s="19" t="str">
        <f>IF(GSC220 = "", "", IFERROR(GSC220 / SUMIFS(Aux_Totales!$N:$N, Aux_Totales!$F:$F, $F224, Aux_Totales!$A:$A,#REF!), 0))</f>
        <v/>
      </c>
      <c r="GSD224" s="19" t="str">
        <f>IF(GSD220 = "", "", IFERROR(GSD220 / SUMIFS(Aux_Totales!$N:$N, Aux_Totales!$F:$F, $F224, Aux_Totales!$A:$A,#REF!), 0))</f>
        <v/>
      </c>
      <c r="GSE224" s="19" t="str">
        <f>IF(GSE220 = "", "", IFERROR(GSE220 / SUMIFS(Aux_Totales!$N:$N, Aux_Totales!$F:$F, $F224, Aux_Totales!$A:$A,#REF!), 0))</f>
        <v/>
      </c>
      <c r="GSF224" s="19" t="str">
        <f>IF(GSF220 = "", "", IFERROR(GSF220 / SUMIFS(Aux_Totales!$N:$N, Aux_Totales!$F:$F, $F224, Aux_Totales!$A:$A,#REF!), 0))</f>
        <v/>
      </c>
      <c r="GSG224" s="19" t="str">
        <f>IF(GSG220 = "", "", IFERROR(GSG220 / SUMIFS(Aux_Totales!$N:$N, Aux_Totales!$F:$F, $F224, Aux_Totales!$A:$A,#REF!), 0))</f>
        <v/>
      </c>
      <c r="GSH224" s="19" t="str">
        <f>IF(GSH220 = "", "", IFERROR(GSH220 / SUMIFS(Aux_Totales!$N:$N, Aux_Totales!$F:$F, $F224, Aux_Totales!$A:$A,#REF!), 0))</f>
        <v/>
      </c>
      <c r="GSI224" s="19" t="str">
        <f>IF(GSI220 = "", "", IFERROR(GSI220 / SUMIFS(Aux_Totales!$N:$N, Aux_Totales!$F:$F, $F224, Aux_Totales!$A:$A,#REF!), 0))</f>
        <v/>
      </c>
      <c r="GSJ224" s="19" t="str">
        <f>IF(GSJ220 = "", "", IFERROR(GSJ220 / SUMIFS(Aux_Totales!$N:$N, Aux_Totales!$F:$F, $F224, Aux_Totales!$A:$A,#REF!), 0))</f>
        <v/>
      </c>
      <c r="GSK224" s="19" t="str">
        <f>IF(GSK220 = "", "", IFERROR(GSK220 / SUMIFS(Aux_Totales!$N:$N, Aux_Totales!$F:$F, $F224, Aux_Totales!$A:$A,#REF!), 0))</f>
        <v/>
      </c>
      <c r="GSL224" s="19" t="str">
        <f>IF(GSL220 = "", "", IFERROR(GSL220 / SUMIFS(Aux_Totales!$N:$N, Aux_Totales!$F:$F, $F224, Aux_Totales!$A:$A,#REF!), 0))</f>
        <v/>
      </c>
      <c r="GSM224" s="19" t="str">
        <f>IF(GSM220 = "", "", IFERROR(GSM220 / SUMIFS(Aux_Totales!$N:$N, Aux_Totales!$F:$F, $F224, Aux_Totales!$A:$A,#REF!), 0))</f>
        <v/>
      </c>
      <c r="GSN224" s="19" t="str">
        <f>IF(GSN220 = "", "", IFERROR(GSN220 / SUMIFS(Aux_Totales!$N:$N, Aux_Totales!$F:$F, $F224, Aux_Totales!$A:$A,#REF!), 0))</f>
        <v/>
      </c>
      <c r="GSO224" s="19" t="str">
        <f>IF(GSO220 = "", "", IFERROR(GSO220 / SUMIFS(Aux_Totales!$N:$N, Aux_Totales!$F:$F, $F224, Aux_Totales!$A:$A,#REF!), 0))</f>
        <v/>
      </c>
      <c r="GSP224" s="19" t="str">
        <f>IF(GSP220 = "", "", IFERROR(GSP220 / SUMIFS(Aux_Totales!$N:$N, Aux_Totales!$F:$F, $F224, Aux_Totales!$A:$A,#REF!), 0))</f>
        <v/>
      </c>
      <c r="GSQ224" s="19" t="str">
        <f>IF(GSQ220 = "", "", IFERROR(GSQ220 / SUMIFS(Aux_Totales!$N:$N, Aux_Totales!$F:$F, $F224, Aux_Totales!$A:$A,#REF!), 0))</f>
        <v/>
      </c>
      <c r="GSR224" s="19" t="str">
        <f>IF(GSR220 = "", "", IFERROR(GSR220 / SUMIFS(Aux_Totales!$N:$N, Aux_Totales!$F:$F, $F224, Aux_Totales!$A:$A,#REF!), 0))</f>
        <v/>
      </c>
      <c r="GSS224" s="19" t="str">
        <f>IF(GSS220 = "", "", IFERROR(GSS220 / SUMIFS(Aux_Totales!$N:$N, Aux_Totales!$F:$F, $F224, Aux_Totales!$A:$A,#REF!), 0))</f>
        <v/>
      </c>
      <c r="GST224" s="19" t="str">
        <f>IF(GST220 = "", "", IFERROR(GST220 / SUMIFS(Aux_Totales!$N:$N, Aux_Totales!$F:$F, $F224, Aux_Totales!$A:$A,#REF!), 0))</f>
        <v/>
      </c>
      <c r="GSU224" s="19" t="str">
        <f>IF(GSU220 = "", "", IFERROR(GSU220 / SUMIFS(Aux_Totales!$N:$N, Aux_Totales!$F:$F, $F224, Aux_Totales!$A:$A,#REF!), 0))</f>
        <v/>
      </c>
      <c r="GSV224" s="19" t="str">
        <f>IF(GSV220 = "", "", IFERROR(GSV220 / SUMIFS(Aux_Totales!$N:$N, Aux_Totales!$F:$F, $F224, Aux_Totales!$A:$A,#REF!), 0))</f>
        <v/>
      </c>
      <c r="GSW224" s="19" t="str">
        <f>IF(GSW220 = "", "", IFERROR(GSW220 / SUMIFS(Aux_Totales!$N:$N, Aux_Totales!$F:$F, $F224, Aux_Totales!$A:$A,#REF!), 0))</f>
        <v/>
      </c>
      <c r="GSX224" s="19" t="str">
        <f>IF(GSX220 = "", "", IFERROR(GSX220 / SUMIFS(Aux_Totales!$N:$N, Aux_Totales!$F:$F, $F224, Aux_Totales!$A:$A,#REF!), 0))</f>
        <v/>
      </c>
      <c r="GSY224" s="19" t="str">
        <f>IF(GSY220 = "", "", IFERROR(GSY220 / SUMIFS(Aux_Totales!$N:$N, Aux_Totales!$F:$F, $F224, Aux_Totales!$A:$A,#REF!), 0))</f>
        <v/>
      </c>
      <c r="GSZ224" s="19" t="str">
        <f>IF(GSZ220 = "", "", IFERROR(GSZ220 / SUMIFS(Aux_Totales!$N:$N, Aux_Totales!$F:$F, $F224, Aux_Totales!$A:$A,#REF!), 0))</f>
        <v/>
      </c>
      <c r="GTA224" s="19" t="str">
        <f>IF(GTA220 = "", "", IFERROR(GTA220 / SUMIFS(Aux_Totales!$N:$N, Aux_Totales!$F:$F, $F224, Aux_Totales!$A:$A,#REF!), 0))</f>
        <v/>
      </c>
      <c r="GTB224" s="19" t="str">
        <f>IF(GTB220 = "", "", IFERROR(GTB220 / SUMIFS(Aux_Totales!$N:$N, Aux_Totales!$F:$F, $F224, Aux_Totales!$A:$A,#REF!), 0))</f>
        <v/>
      </c>
      <c r="GTC224" s="19" t="str">
        <f>IF(GTC220 = "", "", IFERROR(GTC220 / SUMIFS(Aux_Totales!$N:$N, Aux_Totales!$F:$F, $F224, Aux_Totales!$A:$A,#REF!), 0))</f>
        <v/>
      </c>
      <c r="GTD224" s="19" t="str">
        <f>IF(GTD220 = "", "", IFERROR(GTD220 / SUMIFS(Aux_Totales!$N:$N, Aux_Totales!$F:$F, $F224, Aux_Totales!$A:$A,#REF!), 0))</f>
        <v/>
      </c>
      <c r="GTE224" s="19" t="str">
        <f>IF(GTE220 = "", "", IFERROR(GTE220 / SUMIFS(Aux_Totales!$N:$N, Aux_Totales!$F:$F, $F224, Aux_Totales!$A:$A,#REF!), 0))</f>
        <v/>
      </c>
      <c r="GTF224" s="19" t="str">
        <f>IF(GTF220 = "", "", IFERROR(GTF220 / SUMIFS(Aux_Totales!$N:$N, Aux_Totales!$F:$F, $F224, Aux_Totales!$A:$A,#REF!), 0))</f>
        <v/>
      </c>
      <c r="GTG224" s="19" t="str">
        <f>IF(GTG220 = "", "", IFERROR(GTG220 / SUMIFS(Aux_Totales!$N:$N, Aux_Totales!$F:$F, $F224, Aux_Totales!$A:$A,#REF!), 0))</f>
        <v/>
      </c>
      <c r="GTH224" s="19" t="str">
        <f>IF(GTH220 = "", "", IFERROR(GTH220 / SUMIFS(Aux_Totales!$N:$N, Aux_Totales!$F:$F, $F224, Aux_Totales!$A:$A,#REF!), 0))</f>
        <v/>
      </c>
      <c r="GTI224" s="19" t="str">
        <f>IF(GTI220 = "", "", IFERROR(GTI220 / SUMIFS(Aux_Totales!$N:$N, Aux_Totales!$F:$F, $F224, Aux_Totales!$A:$A,#REF!), 0))</f>
        <v/>
      </c>
      <c r="GTJ224" s="19" t="str">
        <f>IF(GTJ220 = "", "", IFERROR(GTJ220 / SUMIFS(Aux_Totales!$N:$N, Aux_Totales!$F:$F, $F224, Aux_Totales!$A:$A,#REF!), 0))</f>
        <v/>
      </c>
      <c r="GTK224" s="19" t="str">
        <f>IF(GTK220 = "", "", IFERROR(GTK220 / SUMIFS(Aux_Totales!$N:$N, Aux_Totales!$F:$F, $F224, Aux_Totales!$A:$A,#REF!), 0))</f>
        <v/>
      </c>
      <c r="GTL224" s="19" t="str">
        <f>IF(GTL220 = "", "", IFERROR(GTL220 / SUMIFS(Aux_Totales!$N:$N, Aux_Totales!$F:$F, $F224, Aux_Totales!$A:$A,#REF!), 0))</f>
        <v/>
      </c>
      <c r="GTM224" s="19" t="str">
        <f>IF(GTM220 = "", "", IFERROR(GTM220 / SUMIFS(Aux_Totales!$N:$N, Aux_Totales!$F:$F, $F224, Aux_Totales!$A:$A,#REF!), 0))</f>
        <v/>
      </c>
      <c r="GTN224" s="19" t="str">
        <f>IF(GTN220 = "", "", IFERROR(GTN220 / SUMIFS(Aux_Totales!$N:$N, Aux_Totales!$F:$F, $F224, Aux_Totales!$A:$A,#REF!), 0))</f>
        <v/>
      </c>
      <c r="GTO224" s="19" t="str">
        <f>IF(GTO220 = "", "", IFERROR(GTO220 / SUMIFS(Aux_Totales!$N:$N, Aux_Totales!$F:$F, $F224, Aux_Totales!$A:$A,#REF!), 0))</f>
        <v/>
      </c>
      <c r="GTP224" s="19" t="str">
        <f>IF(GTP220 = "", "", IFERROR(GTP220 / SUMIFS(Aux_Totales!$N:$N, Aux_Totales!$F:$F, $F224, Aux_Totales!$A:$A,#REF!), 0))</f>
        <v/>
      </c>
      <c r="GTQ224" s="19" t="str">
        <f>IF(GTQ220 = "", "", IFERROR(GTQ220 / SUMIFS(Aux_Totales!$N:$N, Aux_Totales!$F:$F, $F224, Aux_Totales!$A:$A,#REF!), 0))</f>
        <v/>
      </c>
      <c r="GTR224" s="19" t="str">
        <f>IF(GTR220 = "", "", IFERROR(GTR220 / SUMIFS(Aux_Totales!$N:$N, Aux_Totales!$F:$F, $F224, Aux_Totales!$A:$A,#REF!), 0))</f>
        <v/>
      </c>
      <c r="GTS224" s="19" t="str">
        <f>IF(GTS220 = "", "", IFERROR(GTS220 / SUMIFS(Aux_Totales!$N:$N, Aux_Totales!$F:$F, $F224, Aux_Totales!$A:$A,#REF!), 0))</f>
        <v/>
      </c>
      <c r="GTT224" s="19" t="str">
        <f>IF(GTT220 = "", "", IFERROR(GTT220 / SUMIFS(Aux_Totales!$N:$N, Aux_Totales!$F:$F, $F224, Aux_Totales!$A:$A,#REF!), 0))</f>
        <v/>
      </c>
      <c r="GTU224" s="19" t="str">
        <f>IF(GTU220 = "", "", IFERROR(GTU220 / SUMIFS(Aux_Totales!$N:$N, Aux_Totales!$F:$F, $F224, Aux_Totales!$A:$A,#REF!), 0))</f>
        <v/>
      </c>
      <c r="GTV224" s="19" t="str">
        <f>IF(GTV220 = "", "", IFERROR(GTV220 / SUMIFS(Aux_Totales!$N:$N, Aux_Totales!$F:$F, $F224, Aux_Totales!$A:$A,#REF!), 0))</f>
        <v/>
      </c>
      <c r="GTW224" s="19" t="str">
        <f>IF(GTW220 = "", "", IFERROR(GTW220 / SUMIFS(Aux_Totales!$N:$N, Aux_Totales!$F:$F, $F224, Aux_Totales!$A:$A,#REF!), 0))</f>
        <v/>
      </c>
      <c r="GTX224" s="19" t="str">
        <f>IF(GTX220 = "", "", IFERROR(GTX220 / SUMIFS(Aux_Totales!$N:$N, Aux_Totales!$F:$F, $F224, Aux_Totales!$A:$A,#REF!), 0))</f>
        <v/>
      </c>
      <c r="GTY224" s="19" t="str">
        <f>IF(GTY220 = "", "", IFERROR(GTY220 / SUMIFS(Aux_Totales!$N:$N, Aux_Totales!$F:$F, $F224, Aux_Totales!$A:$A,#REF!), 0))</f>
        <v/>
      </c>
      <c r="GTZ224" s="19" t="str">
        <f>IF(GTZ220 = "", "", IFERROR(GTZ220 / SUMIFS(Aux_Totales!$N:$N, Aux_Totales!$F:$F, $F224, Aux_Totales!$A:$A,#REF!), 0))</f>
        <v/>
      </c>
      <c r="GUA224" s="19" t="str">
        <f>IF(GUA220 = "", "", IFERROR(GUA220 / SUMIFS(Aux_Totales!$N:$N, Aux_Totales!$F:$F, $F224, Aux_Totales!$A:$A,#REF!), 0))</f>
        <v/>
      </c>
      <c r="GUB224" s="19" t="str">
        <f>IF(GUB220 = "", "", IFERROR(GUB220 / SUMIFS(Aux_Totales!$N:$N, Aux_Totales!$F:$F, $F224, Aux_Totales!$A:$A,#REF!), 0))</f>
        <v/>
      </c>
      <c r="GUC224" s="19" t="str">
        <f>IF(GUC220 = "", "", IFERROR(GUC220 / SUMIFS(Aux_Totales!$N:$N, Aux_Totales!$F:$F, $F224, Aux_Totales!$A:$A,#REF!), 0))</f>
        <v/>
      </c>
      <c r="GUD224" s="19" t="str">
        <f>IF(GUD220 = "", "", IFERROR(GUD220 / SUMIFS(Aux_Totales!$N:$N, Aux_Totales!$F:$F, $F224, Aux_Totales!$A:$A,#REF!), 0))</f>
        <v/>
      </c>
      <c r="GUE224" s="19" t="str">
        <f>IF(GUE220 = "", "", IFERROR(GUE220 / SUMIFS(Aux_Totales!$N:$N, Aux_Totales!$F:$F, $F224, Aux_Totales!$A:$A,#REF!), 0))</f>
        <v/>
      </c>
      <c r="GUF224" s="19" t="str">
        <f>IF(GUF220 = "", "", IFERROR(GUF220 / SUMIFS(Aux_Totales!$N:$N, Aux_Totales!$F:$F, $F224, Aux_Totales!$A:$A,#REF!), 0))</f>
        <v/>
      </c>
      <c r="GUG224" s="19" t="str">
        <f>IF(GUG220 = "", "", IFERROR(GUG220 / SUMIFS(Aux_Totales!$N:$N, Aux_Totales!$F:$F, $F224, Aux_Totales!$A:$A,#REF!), 0))</f>
        <v/>
      </c>
      <c r="GUH224" s="19" t="str">
        <f>IF(GUH220 = "", "", IFERROR(GUH220 / SUMIFS(Aux_Totales!$N:$N, Aux_Totales!$F:$F, $F224, Aux_Totales!$A:$A,#REF!), 0))</f>
        <v/>
      </c>
      <c r="GUI224" s="19" t="str">
        <f>IF(GUI220 = "", "", IFERROR(GUI220 / SUMIFS(Aux_Totales!$N:$N, Aux_Totales!$F:$F, $F224, Aux_Totales!$A:$A,#REF!), 0))</f>
        <v/>
      </c>
      <c r="GUJ224" s="19" t="str">
        <f>IF(GUJ220 = "", "", IFERROR(GUJ220 / SUMIFS(Aux_Totales!$N:$N, Aux_Totales!$F:$F, $F224, Aux_Totales!$A:$A,#REF!), 0))</f>
        <v/>
      </c>
      <c r="GUK224" s="19" t="str">
        <f>IF(GUK220 = "", "", IFERROR(GUK220 / SUMIFS(Aux_Totales!$N:$N, Aux_Totales!$F:$F, $F224, Aux_Totales!$A:$A,#REF!), 0))</f>
        <v/>
      </c>
      <c r="GUL224" s="19" t="str">
        <f>IF(GUL220 = "", "", IFERROR(GUL220 / SUMIFS(Aux_Totales!$N:$N, Aux_Totales!$F:$F, $F224, Aux_Totales!$A:$A,#REF!), 0))</f>
        <v/>
      </c>
      <c r="GUM224" s="19" t="str">
        <f>IF(GUM220 = "", "", IFERROR(GUM220 / SUMIFS(Aux_Totales!$N:$N, Aux_Totales!$F:$F, $F224, Aux_Totales!$A:$A,#REF!), 0))</f>
        <v/>
      </c>
      <c r="GUN224" s="19" t="str">
        <f>IF(GUN220 = "", "", IFERROR(GUN220 / SUMIFS(Aux_Totales!$N:$N, Aux_Totales!$F:$F, $F224, Aux_Totales!$A:$A,#REF!), 0))</f>
        <v/>
      </c>
      <c r="GUO224" s="19" t="str">
        <f>IF(GUO220 = "", "", IFERROR(GUO220 / SUMIFS(Aux_Totales!$N:$N, Aux_Totales!$F:$F, $F224, Aux_Totales!$A:$A,#REF!), 0))</f>
        <v/>
      </c>
      <c r="GUP224" s="19" t="str">
        <f>IF(GUP220 = "", "", IFERROR(GUP220 / SUMIFS(Aux_Totales!$N:$N, Aux_Totales!$F:$F, $F224, Aux_Totales!$A:$A,#REF!), 0))</f>
        <v/>
      </c>
      <c r="GUQ224" s="19" t="str">
        <f>IF(GUQ220 = "", "", IFERROR(GUQ220 / SUMIFS(Aux_Totales!$N:$N, Aux_Totales!$F:$F, $F224, Aux_Totales!$A:$A,#REF!), 0))</f>
        <v/>
      </c>
      <c r="GUR224" s="19" t="str">
        <f>IF(GUR220 = "", "", IFERROR(GUR220 / SUMIFS(Aux_Totales!$N:$N, Aux_Totales!$F:$F, $F224, Aux_Totales!$A:$A,#REF!), 0))</f>
        <v/>
      </c>
      <c r="GUS224" s="19" t="str">
        <f>IF(GUS220 = "", "", IFERROR(GUS220 / SUMIFS(Aux_Totales!$N:$N, Aux_Totales!$F:$F, $F224, Aux_Totales!$A:$A,#REF!), 0))</f>
        <v/>
      </c>
      <c r="GUT224" s="19" t="str">
        <f>IF(GUT220 = "", "", IFERROR(GUT220 / SUMIFS(Aux_Totales!$N:$N, Aux_Totales!$F:$F, $F224, Aux_Totales!$A:$A,#REF!), 0))</f>
        <v/>
      </c>
      <c r="GUU224" s="19" t="str">
        <f>IF(GUU220 = "", "", IFERROR(GUU220 / SUMIFS(Aux_Totales!$N:$N, Aux_Totales!$F:$F, $F224, Aux_Totales!$A:$A,#REF!), 0))</f>
        <v/>
      </c>
      <c r="GUV224" s="19" t="str">
        <f>IF(GUV220 = "", "", IFERROR(GUV220 / SUMIFS(Aux_Totales!$N:$N, Aux_Totales!$F:$F, $F224, Aux_Totales!$A:$A,#REF!), 0))</f>
        <v/>
      </c>
      <c r="GUW224" s="19" t="str">
        <f>IF(GUW220 = "", "", IFERROR(GUW220 / SUMIFS(Aux_Totales!$N:$N, Aux_Totales!$F:$F, $F224, Aux_Totales!$A:$A,#REF!), 0))</f>
        <v/>
      </c>
      <c r="GUX224" s="19" t="str">
        <f>IF(GUX220 = "", "", IFERROR(GUX220 / SUMIFS(Aux_Totales!$N:$N, Aux_Totales!$F:$F, $F224, Aux_Totales!$A:$A,#REF!), 0))</f>
        <v/>
      </c>
      <c r="GUY224" s="19" t="str">
        <f>IF(GUY220 = "", "", IFERROR(GUY220 / SUMIFS(Aux_Totales!$N:$N, Aux_Totales!$F:$F, $F224, Aux_Totales!$A:$A,#REF!), 0))</f>
        <v/>
      </c>
      <c r="GUZ224" s="19" t="str">
        <f>IF(GUZ220 = "", "", IFERROR(GUZ220 / SUMIFS(Aux_Totales!$N:$N, Aux_Totales!$F:$F, $F224, Aux_Totales!$A:$A,#REF!), 0))</f>
        <v/>
      </c>
      <c r="GVA224" s="19" t="str">
        <f>IF(GVA220 = "", "", IFERROR(GVA220 / SUMIFS(Aux_Totales!$N:$N, Aux_Totales!$F:$F, $F224, Aux_Totales!$A:$A,#REF!), 0))</f>
        <v/>
      </c>
      <c r="GVB224" s="19" t="str">
        <f>IF(GVB220 = "", "", IFERROR(GVB220 / SUMIFS(Aux_Totales!$N:$N, Aux_Totales!$F:$F, $F224, Aux_Totales!$A:$A,#REF!), 0))</f>
        <v/>
      </c>
      <c r="GVC224" s="19" t="str">
        <f>IF(GVC220 = "", "", IFERROR(GVC220 / SUMIFS(Aux_Totales!$N:$N, Aux_Totales!$F:$F, $F224, Aux_Totales!$A:$A,#REF!), 0))</f>
        <v/>
      </c>
      <c r="GVD224" s="19" t="str">
        <f>IF(GVD220 = "", "", IFERROR(GVD220 / SUMIFS(Aux_Totales!$N:$N, Aux_Totales!$F:$F, $F224, Aux_Totales!$A:$A,#REF!), 0))</f>
        <v/>
      </c>
      <c r="GVE224" s="19" t="str">
        <f>IF(GVE220 = "", "", IFERROR(GVE220 / SUMIFS(Aux_Totales!$N:$N, Aux_Totales!$F:$F, $F224, Aux_Totales!$A:$A,#REF!), 0))</f>
        <v/>
      </c>
      <c r="GVF224" s="19" t="str">
        <f>IF(GVF220 = "", "", IFERROR(GVF220 / SUMIFS(Aux_Totales!$N:$N, Aux_Totales!$F:$F, $F224, Aux_Totales!$A:$A,#REF!), 0))</f>
        <v/>
      </c>
      <c r="GVG224" s="19" t="str">
        <f>IF(GVG220 = "", "", IFERROR(GVG220 / SUMIFS(Aux_Totales!$N:$N, Aux_Totales!$F:$F, $F224, Aux_Totales!$A:$A,#REF!), 0))</f>
        <v/>
      </c>
      <c r="GVH224" s="19" t="str">
        <f>IF(GVH220 = "", "", IFERROR(GVH220 / SUMIFS(Aux_Totales!$N:$N, Aux_Totales!$F:$F, $F224, Aux_Totales!$A:$A,#REF!), 0))</f>
        <v/>
      </c>
      <c r="GVI224" s="19" t="str">
        <f>IF(GVI220 = "", "", IFERROR(GVI220 / SUMIFS(Aux_Totales!$N:$N, Aux_Totales!$F:$F, $F224, Aux_Totales!$A:$A,#REF!), 0))</f>
        <v/>
      </c>
      <c r="GVJ224" s="19" t="str">
        <f>IF(GVJ220 = "", "", IFERROR(GVJ220 / SUMIFS(Aux_Totales!$N:$N, Aux_Totales!$F:$F, $F224, Aux_Totales!$A:$A,#REF!), 0))</f>
        <v/>
      </c>
      <c r="GVK224" s="19" t="str">
        <f>IF(GVK220 = "", "", IFERROR(GVK220 / SUMIFS(Aux_Totales!$N:$N, Aux_Totales!$F:$F, $F224, Aux_Totales!$A:$A,#REF!), 0))</f>
        <v/>
      </c>
      <c r="GVL224" s="19" t="str">
        <f>IF(GVL220 = "", "", IFERROR(GVL220 / SUMIFS(Aux_Totales!$N:$N, Aux_Totales!$F:$F, $F224, Aux_Totales!$A:$A,#REF!), 0))</f>
        <v/>
      </c>
      <c r="GVM224" s="19" t="str">
        <f>IF(GVM220 = "", "", IFERROR(GVM220 / SUMIFS(Aux_Totales!$N:$N, Aux_Totales!$F:$F, $F224, Aux_Totales!$A:$A,#REF!), 0))</f>
        <v/>
      </c>
      <c r="GVN224" s="19" t="str">
        <f>IF(GVN220 = "", "", IFERROR(GVN220 / SUMIFS(Aux_Totales!$N:$N, Aux_Totales!$F:$F, $F224, Aux_Totales!$A:$A,#REF!), 0))</f>
        <v/>
      </c>
      <c r="GVO224" s="19" t="str">
        <f>IF(GVO220 = "", "", IFERROR(GVO220 / SUMIFS(Aux_Totales!$N:$N, Aux_Totales!$F:$F, $F224, Aux_Totales!$A:$A,#REF!), 0))</f>
        <v/>
      </c>
      <c r="GVP224" s="19" t="str">
        <f>IF(GVP220 = "", "", IFERROR(GVP220 / SUMIFS(Aux_Totales!$N:$N, Aux_Totales!$F:$F, $F224, Aux_Totales!$A:$A,#REF!), 0))</f>
        <v/>
      </c>
      <c r="GVQ224" s="19" t="str">
        <f>IF(GVQ220 = "", "", IFERROR(GVQ220 / SUMIFS(Aux_Totales!$N:$N, Aux_Totales!$F:$F, $F224, Aux_Totales!$A:$A,#REF!), 0))</f>
        <v/>
      </c>
      <c r="GVR224" s="19" t="str">
        <f>IF(GVR220 = "", "", IFERROR(GVR220 / SUMIFS(Aux_Totales!$N:$N, Aux_Totales!$F:$F, $F224, Aux_Totales!$A:$A,#REF!), 0))</f>
        <v/>
      </c>
      <c r="GVS224" s="19" t="str">
        <f>IF(GVS220 = "", "", IFERROR(GVS220 / SUMIFS(Aux_Totales!$N:$N, Aux_Totales!$F:$F, $F224, Aux_Totales!$A:$A,#REF!), 0))</f>
        <v/>
      </c>
      <c r="GVT224" s="19" t="str">
        <f>IF(GVT220 = "", "", IFERROR(GVT220 / SUMIFS(Aux_Totales!$N:$N, Aux_Totales!$F:$F, $F224, Aux_Totales!$A:$A,#REF!), 0))</f>
        <v/>
      </c>
      <c r="GVU224" s="19" t="str">
        <f>IF(GVU220 = "", "", IFERROR(GVU220 / SUMIFS(Aux_Totales!$N:$N, Aux_Totales!$F:$F, $F224, Aux_Totales!$A:$A,#REF!), 0))</f>
        <v/>
      </c>
      <c r="GVV224" s="19" t="str">
        <f>IF(GVV220 = "", "", IFERROR(GVV220 / SUMIFS(Aux_Totales!$N:$N, Aux_Totales!$F:$F, $F224, Aux_Totales!$A:$A,#REF!), 0))</f>
        <v/>
      </c>
      <c r="GVW224" s="19" t="str">
        <f>IF(GVW220 = "", "", IFERROR(GVW220 / SUMIFS(Aux_Totales!$N:$N, Aux_Totales!$F:$F, $F224, Aux_Totales!$A:$A,#REF!), 0))</f>
        <v/>
      </c>
      <c r="GVX224" s="19" t="str">
        <f>IF(GVX220 = "", "", IFERROR(GVX220 / SUMIFS(Aux_Totales!$N:$N, Aux_Totales!$F:$F, $F224, Aux_Totales!$A:$A,#REF!), 0))</f>
        <v/>
      </c>
      <c r="GVY224" s="19" t="str">
        <f>IF(GVY220 = "", "", IFERROR(GVY220 / SUMIFS(Aux_Totales!$N:$N, Aux_Totales!$F:$F, $F224, Aux_Totales!$A:$A,#REF!), 0))</f>
        <v/>
      </c>
      <c r="GVZ224" s="19" t="str">
        <f>IF(GVZ220 = "", "", IFERROR(GVZ220 / SUMIFS(Aux_Totales!$N:$N, Aux_Totales!$F:$F, $F224, Aux_Totales!$A:$A,#REF!), 0))</f>
        <v/>
      </c>
      <c r="GWA224" s="19" t="str">
        <f>IF(GWA220 = "", "", IFERROR(GWA220 / SUMIFS(Aux_Totales!$N:$N, Aux_Totales!$F:$F, $F224, Aux_Totales!$A:$A,#REF!), 0))</f>
        <v/>
      </c>
      <c r="GWB224" s="19" t="str">
        <f>IF(GWB220 = "", "", IFERROR(GWB220 / SUMIFS(Aux_Totales!$N:$N, Aux_Totales!$F:$F, $F224, Aux_Totales!$A:$A,#REF!), 0))</f>
        <v/>
      </c>
      <c r="GWC224" s="19" t="str">
        <f>IF(GWC220 = "", "", IFERROR(GWC220 / SUMIFS(Aux_Totales!$N:$N, Aux_Totales!$F:$F, $F224, Aux_Totales!$A:$A,#REF!), 0))</f>
        <v/>
      </c>
      <c r="GWD224" s="19" t="str">
        <f>IF(GWD220 = "", "", IFERROR(GWD220 / SUMIFS(Aux_Totales!$N:$N, Aux_Totales!$F:$F, $F224, Aux_Totales!$A:$A,#REF!), 0))</f>
        <v/>
      </c>
      <c r="GWE224" s="19" t="str">
        <f>IF(GWE220 = "", "", IFERROR(GWE220 / SUMIFS(Aux_Totales!$N:$N, Aux_Totales!$F:$F, $F224, Aux_Totales!$A:$A,#REF!), 0))</f>
        <v/>
      </c>
      <c r="GWF224" s="19" t="str">
        <f>IF(GWF220 = "", "", IFERROR(GWF220 / SUMIFS(Aux_Totales!$N:$N, Aux_Totales!$F:$F, $F224, Aux_Totales!$A:$A,#REF!), 0))</f>
        <v/>
      </c>
      <c r="GWG224" s="19" t="str">
        <f>IF(GWG220 = "", "", IFERROR(GWG220 / SUMIFS(Aux_Totales!$N:$N, Aux_Totales!$F:$F, $F224, Aux_Totales!$A:$A,#REF!), 0))</f>
        <v/>
      </c>
      <c r="GWH224" s="19" t="str">
        <f>IF(GWH220 = "", "", IFERROR(GWH220 / SUMIFS(Aux_Totales!$N:$N, Aux_Totales!$F:$F, $F224, Aux_Totales!$A:$A,#REF!), 0))</f>
        <v/>
      </c>
      <c r="GWI224" s="19" t="str">
        <f>IF(GWI220 = "", "", IFERROR(GWI220 / SUMIFS(Aux_Totales!$N:$N, Aux_Totales!$F:$F, $F224, Aux_Totales!$A:$A,#REF!), 0))</f>
        <v/>
      </c>
      <c r="GWJ224" s="19" t="str">
        <f>IF(GWJ220 = "", "", IFERROR(GWJ220 / SUMIFS(Aux_Totales!$N:$N, Aux_Totales!$F:$F, $F224, Aux_Totales!$A:$A,#REF!), 0))</f>
        <v/>
      </c>
      <c r="GWK224" s="19" t="str">
        <f>IF(GWK220 = "", "", IFERROR(GWK220 / SUMIFS(Aux_Totales!$N:$N, Aux_Totales!$F:$F, $F224, Aux_Totales!$A:$A,#REF!), 0))</f>
        <v/>
      </c>
      <c r="GWL224" s="19" t="str">
        <f>IF(GWL220 = "", "", IFERROR(GWL220 / SUMIFS(Aux_Totales!$N:$N, Aux_Totales!$F:$F, $F224, Aux_Totales!$A:$A,#REF!), 0))</f>
        <v/>
      </c>
      <c r="GWM224" s="19" t="str">
        <f>IF(GWM220 = "", "", IFERROR(GWM220 / SUMIFS(Aux_Totales!$N:$N, Aux_Totales!$F:$F, $F224, Aux_Totales!$A:$A,#REF!), 0))</f>
        <v/>
      </c>
      <c r="GWN224" s="19" t="str">
        <f>IF(GWN220 = "", "", IFERROR(GWN220 / SUMIFS(Aux_Totales!$N:$N, Aux_Totales!$F:$F, $F224, Aux_Totales!$A:$A,#REF!), 0))</f>
        <v/>
      </c>
      <c r="GWO224" s="19" t="str">
        <f>IF(GWO220 = "", "", IFERROR(GWO220 / SUMIFS(Aux_Totales!$N:$N, Aux_Totales!$F:$F, $F224, Aux_Totales!$A:$A,#REF!), 0))</f>
        <v/>
      </c>
      <c r="GWP224" s="19" t="str">
        <f>IF(GWP220 = "", "", IFERROR(GWP220 / SUMIFS(Aux_Totales!$N:$N, Aux_Totales!$F:$F, $F224, Aux_Totales!$A:$A,#REF!), 0))</f>
        <v/>
      </c>
      <c r="GWQ224" s="19" t="str">
        <f>IF(GWQ220 = "", "", IFERROR(GWQ220 / SUMIFS(Aux_Totales!$N:$N, Aux_Totales!$F:$F, $F224, Aux_Totales!$A:$A,#REF!), 0))</f>
        <v/>
      </c>
      <c r="GWR224" s="19" t="str">
        <f>IF(GWR220 = "", "", IFERROR(GWR220 / SUMIFS(Aux_Totales!$N:$N, Aux_Totales!$F:$F, $F224, Aux_Totales!$A:$A,#REF!), 0))</f>
        <v/>
      </c>
      <c r="GWS224" s="19" t="str">
        <f>IF(GWS220 = "", "", IFERROR(GWS220 / SUMIFS(Aux_Totales!$N:$N, Aux_Totales!$F:$F, $F224, Aux_Totales!$A:$A,#REF!), 0))</f>
        <v/>
      </c>
      <c r="GWT224" s="19" t="str">
        <f>IF(GWT220 = "", "", IFERROR(GWT220 / SUMIFS(Aux_Totales!$N:$N, Aux_Totales!$F:$F, $F224, Aux_Totales!$A:$A,#REF!), 0))</f>
        <v/>
      </c>
      <c r="GWU224" s="19" t="str">
        <f>IF(GWU220 = "", "", IFERROR(GWU220 / SUMIFS(Aux_Totales!$N:$N, Aux_Totales!$F:$F, $F224, Aux_Totales!$A:$A,#REF!), 0))</f>
        <v/>
      </c>
      <c r="GWV224" s="19" t="str">
        <f>IF(GWV220 = "", "", IFERROR(GWV220 / SUMIFS(Aux_Totales!$N:$N, Aux_Totales!$F:$F, $F224, Aux_Totales!$A:$A,#REF!), 0))</f>
        <v/>
      </c>
      <c r="GWW224" s="19" t="str">
        <f>IF(GWW220 = "", "", IFERROR(GWW220 / SUMIFS(Aux_Totales!$N:$N, Aux_Totales!$F:$F, $F224, Aux_Totales!$A:$A,#REF!), 0))</f>
        <v/>
      </c>
      <c r="GWX224" s="19" t="str">
        <f>IF(GWX220 = "", "", IFERROR(GWX220 / SUMIFS(Aux_Totales!$N:$N, Aux_Totales!$F:$F, $F224, Aux_Totales!$A:$A,#REF!), 0))</f>
        <v/>
      </c>
      <c r="GWY224" s="19" t="str">
        <f>IF(GWY220 = "", "", IFERROR(GWY220 / SUMIFS(Aux_Totales!$N:$N, Aux_Totales!$F:$F, $F224, Aux_Totales!$A:$A,#REF!), 0))</f>
        <v/>
      </c>
      <c r="GWZ224" s="19" t="str">
        <f>IF(GWZ220 = "", "", IFERROR(GWZ220 / SUMIFS(Aux_Totales!$N:$N, Aux_Totales!$F:$F, $F224, Aux_Totales!$A:$A,#REF!), 0))</f>
        <v/>
      </c>
      <c r="GXA224" s="19" t="str">
        <f>IF(GXA220 = "", "", IFERROR(GXA220 / SUMIFS(Aux_Totales!$N:$N, Aux_Totales!$F:$F, $F224, Aux_Totales!$A:$A,#REF!), 0))</f>
        <v/>
      </c>
      <c r="GXB224" s="19" t="str">
        <f>IF(GXB220 = "", "", IFERROR(GXB220 / SUMIFS(Aux_Totales!$N:$N, Aux_Totales!$F:$F, $F224, Aux_Totales!$A:$A,#REF!), 0))</f>
        <v/>
      </c>
      <c r="GXC224" s="19" t="str">
        <f>IF(GXC220 = "", "", IFERROR(GXC220 / SUMIFS(Aux_Totales!$N:$N, Aux_Totales!$F:$F, $F224, Aux_Totales!$A:$A,#REF!), 0))</f>
        <v/>
      </c>
      <c r="GXD224" s="19" t="str">
        <f>IF(GXD220 = "", "", IFERROR(GXD220 / SUMIFS(Aux_Totales!$N:$N, Aux_Totales!$F:$F, $F224, Aux_Totales!$A:$A,#REF!), 0))</f>
        <v/>
      </c>
      <c r="GXE224" s="19" t="str">
        <f>IF(GXE220 = "", "", IFERROR(GXE220 / SUMIFS(Aux_Totales!$N:$N, Aux_Totales!$F:$F, $F224, Aux_Totales!$A:$A,#REF!), 0))</f>
        <v/>
      </c>
      <c r="GXF224" s="19" t="str">
        <f>IF(GXF220 = "", "", IFERROR(GXF220 / SUMIFS(Aux_Totales!$N:$N, Aux_Totales!$F:$F, $F224, Aux_Totales!$A:$A,#REF!), 0))</f>
        <v/>
      </c>
      <c r="GXG224" s="19" t="str">
        <f>IF(GXG220 = "", "", IFERROR(GXG220 / SUMIFS(Aux_Totales!$N:$N, Aux_Totales!$F:$F, $F224, Aux_Totales!$A:$A,#REF!), 0))</f>
        <v/>
      </c>
      <c r="GXH224" s="19" t="str">
        <f>IF(GXH220 = "", "", IFERROR(GXH220 / SUMIFS(Aux_Totales!$N:$N, Aux_Totales!$F:$F, $F224, Aux_Totales!$A:$A,#REF!), 0))</f>
        <v/>
      </c>
      <c r="GXI224" s="19" t="str">
        <f>IF(GXI220 = "", "", IFERROR(GXI220 / SUMIFS(Aux_Totales!$N:$N, Aux_Totales!$F:$F, $F224, Aux_Totales!$A:$A,#REF!), 0))</f>
        <v/>
      </c>
      <c r="GXJ224" s="19" t="str">
        <f>IF(GXJ220 = "", "", IFERROR(GXJ220 / SUMIFS(Aux_Totales!$N:$N, Aux_Totales!$F:$F, $F224, Aux_Totales!$A:$A,#REF!), 0))</f>
        <v/>
      </c>
      <c r="GXK224" s="19" t="str">
        <f>IF(GXK220 = "", "", IFERROR(GXK220 / SUMIFS(Aux_Totales!$N:$N, Aux_Totales!$F:$F, $F224, Aux_Totales!$A:$A,#REF!), 0))</f>
        <v/>
      </c>
      <c r="GXL224" s="19" t="str">
        <f>IF(GXL220 = "", "", IFERROR(GXL220 / SUMIFS(Aux_Totales!$N:$N, Aux_Totales!$F:$F, $F224, Aux_Totales!$A:$A,#REF!), 0))</f>
        <v/>
      </c>
      <c r="GXM224" s="19" t="str">
        <f>IF(GXM220 = "", "", IFERROR(GXM220 / SUMIFS(Aux_Totales!$N:$N, Aux_Totales!$F:$F, $F224, Aux_Totales!$A:$A,#REF!), 0))</f>
        <v/>
      </c>
      <c r="GXN224" s="19" t="str">
        <f>IF(GXN220 = "", "", IFERROR(GXN220 / SUMIFS(Aux_Totales!$N:$N, Aux_Totales!$F:$F, $F224, Aux_Totales!$A:$A,#REF!), 0))</f>
        <v/>
      </c>
      <c r="GXO224" s="19" t="str">
        <f>IF(GXO220 = "", "", IFERROR(GXO220 / SUMIFS(Aux_Totales!$N:$N, Aux_Totales!$F:$F, $F224, Aux_Totales!$A:$A,#REF!), 0))</f>
        <v/>
      </c>
      <c r="GXP224" s="19" t="str">
        <f>IF(GXP220 = "", "", IFERROR(GXP220 / SUMIFS(Aux_Totales!$N:$N, Aux_Totales!$F:$F, $F224, Aux_Totales!$A:$A,#REF!), 0))</f>
        <v/>
      </c>
      <c r="GXQ224" s="19" t="str">
        <f>IF(GXQ220 = "", "", IFERROR(GXQ220 / SUMIFS(Aux_Totales!$N:$N, Aux_Totales!$F:$F, $F224, Aux_Totales!$A:$A,#REF!), 0))</f>
        <v/>
      </c>
      <c r="GXR224" s="19" t="str">
        <f>IF(GXR220 = "", "", IFERROR(GXR220 / SUMIFS(Aux_Totales!$N:$N, Aux_Totales!$F:$F, $F224, Aux_Totales!$A:$A,#REF!), 0))</f>
        <v/>
      </c>
      <c r="GXS224" s="19" t="str">
        <f>IF(GXS220 = "", "", IFERROR(GXS220 / SUMIFS(Aux_Totales!$N:$N, Aux_Totales!$F:$F, $F224, Aux_Totales!$A:$A,#REF!), 0))</f>
        <v/>
      </c>
      <c r="GXT224" s="19" t="str">
        <f>IF(GXT220 = "", "", IFERROR(GXT220 / SUMIFS(Aux_Totales!$N:$N, Aux_Totales!$F:$F, $F224, Aux_Totales!$A:$A,#REF!), 0))</f>
        <v/>
      </c>
      <c r="GXU224" s="19" t="str">
        <f>IF(GXU220 = "", "", IFERROR(GXU220 / SUMIFS(Aux_Totales!$N:$N, Aux_Totales!$F:$F, $F224, Aux_Totales!$A:$A,#REF!), 0))</f>
        <v/>
      </c>
      <c r="GXV224" s="19" t="str">
        <f>IF(GXV220 = "", "", IFERROR(GXV220 / SUMIFS(Aux_Totales!$N:$N, Aux_Totales!$F:$F, $F224, Aux_Totales!$A:$A,#REF!), 0))</f>
        <v/>
      </c>
      <c r="GXW224" s="19" t="str">
        <f>IF(GXW220 = "", "", IFERROR(GXW220 / SUMIFS(Aux_Totales!$N:$N, Aux_Totales!$F:$F, $F224, Aux_Totales!$A:$A,#REF!), 0))</f>
        <v/>
      </c>
      <c r="GXX224" s="19" t="str">
        <f>IF(GXX220 = "", "", IFERROR(GXX220 / SUMIFS(Aux_Totales!$N:$N, Aux_Totales!$F:$F, $F224, Aux_Totales!$A:$A,#REF!), 0))</f>
        <v/>
      </c>
      <c r="GXY224" s="19" t="str">
        <f>IF(GXY220 = "", "", IFERROR(GXY220 / SUMIFS(Aux_Totales!$N:$N, Aux_Totales!$F:$F, $F224, Aux_Totales!$A:$A,#REF!), 0))</f>
        <v/>
      </c>
      <c r="GXZ224" s="19" t="str">
        <f>IF(GXZ220 = "", "", IFERROR(GXZ220 / SUMIFS(Aux_Totales!$N:$N, Aux_Totales!$F:$F, $F224, Aux_Totales!$A:$A,#REF!), 0))</f>
        <v/>
      </c>
      <c r="GYA224" s="19" t="str">
        <f>IF(GYA220 = "", "", IFERROR(GYA220 / SUMIFS(Aux_Totales!$N:$N, Aux_Totales!$F:$F, $F224, Aux_Totales!$A:$A,#REF!), 0))</f>
        <v/>
      </c>
      <c r="GYB224" s="19" t="str">
        <f>IF(GYB220 = "", "", IFERROR(GYB220 / SUMIFS(Aux_Totales!$N:$N, Aux_Totales!$F:$F, $F224, Aux_Totales!$A:$A,#REF!), 0))</f>
        <v/>
      </c>
      <c r="GYC224" s="19" t="str">
        <f>IF(GYC220 = "", "", IFERROR(GYC220 / SUMIFS(Aux_Totales!$N:$N, Aux_Totales!$F:$F, $F224, Aux_Totales!$A:$A,#REF!), 0))</f>
        <v/>
      </c>
      <c r="GYD224" s="19" t="str">
        <f>IF(GYD220 = "", "", IFERROR(GYD220 / SUMIFS(Aux_Totales!$N:$N, Aux_Totales!$F:$F, $F224, Aux_Totales!$A:$A,#REF!), 0))</f>
        <v/>
      </c>
      <c r="GYE224" s="19" t="str">
        <f>IF(GYE220 = "", "", IFERROR(GYE220 / SUMIFS(Aux_Totales!$N:$N, Aux_Totales!$F:$F, $F224, Aux_Totales!$A:$A,#REF!), 0))</f>
        <v/>
      </c>
      <c r="GYF224" s="19" t="str">
        <f>IF(GYF220 = "", "", IFERROR(GYF220 / SUMIFS(Aux_Totales!$N:$N, Aux_Totales!$F:$F, $F224, Aux_Totales!$A:$A,#REF!), 0))</f>
        <v/>
      </c>
      <c r="GYG224" s="19" t="str">
        <f>IF(GYG220 = "", "", IFERROR(GYG220 / SUMIFS(Aux_Totales!$N:$N, Aux_Totales!$F:$F, $F224, Aux_Totales!$A:$A,#REF!), 0))</f>
        <v/>
      </c>
      <c r="GYH224" s="19" t="str">
        <f>IF(GYH220 = "", "", IFERROR(GYH220 / SUMIFS(Aux_Totales!$N:$N, Aux_Totales!$F:$F, $F224, Aux_Totales!$A:$A,#REF!), 0))</f>
        <v/>
      </c>
      <c r="GYI224" s="19" t="str">
        <f>IF(GYI220 = "", "", IFERROR(GYI220 / SUMIFS(Aux_Totales!$N:$N, Aux_Totales!$F:$F, $F224, Aux_Totales!$A:$A,#REF!), 0))</f>
        <v/>
      </c>
      <c r="GYJ224" s="19" t="str">
        <f>IF(GYJ220 = "", "", IFERROR(GYJ220 / SUMIFS(Aux_Totales!$N:$N, Aux_Totales!$F:$F, $F224, Aux_Totales!$A:$A,#REF!), 0))</f>
        <v/>
      </c>
      <c r="GYK224" s="19" t="str">
        <f>IF(GYK220 = "", "", IFERROR(GYK220 / SUMIFS(Aux_Totales!$N:$N, Aux_Totales!$F:$F, $F224, Aux_Totales!$A:$A,#REF!), 0))</f>
        <v/>
      </c>
      <c r="GYL224" s="19" t="str">
        <f>IF(GYL220 = "", "", IFERROR(GYL220 / SUMIFS(Aux_Totales!$N:$N, Aux_Totales!$F:$F, $F224, Aux_Totales!$A:$A,#REF!), 0))</f>
        <v/>
      </c>
      <c r="GYM224" s="19" t="str">
        <f>IF(GYM220 = "", "", IFERROR(GYM220 / SUMIFS(Aux_Totales!$N:$N, Aux_Totales!$F:$F, $F224, Aux_Totales!$A:$A,#REF!), 0))</f>
        <v/>
      </c>
      <c r="GYN224" s="19" t="str">
        <f>IF(GYN220 = "", "", IFERROR(GYN220 / SUMIFS(Aux_Totales!$N:$N, Aux_Totales!$F:$F, $F224, Aux_Totales!$A:$A,#REF!), 0))</f>
        <v/>
      </c>
      <c r="GYO224" s="19" t="str">
        <f>IF(GYO220 = "", "", IFERROR(GYO220 / SUMIFS(Aux_Totales!$N:$N, Aux_Totales!$F:$F, $F224, Aux_Totales!$A:$A,#REF!), 0))</f>
        <v/>
      </c>
      <c r="GYP224" s="19" t="str">
        <f>IF(GYP220 = "", "", IFERROR(GYP220 / SUMIFS(Aux_Totales!$N:$N, Aux_Totales!$F:$F, $F224, Aux_Totales!$A:$A,#REF!), 0))</f>
        <v/>
      </c>
      <c r="GYQ224" s="19" t="str">
        <f>IF(GYQ220 = "", "", IFERROR(GYQ220 / SUMIFS(Aux_Totales!$N:$N, Aux_Totales!$F:$F, $F224, Aux_Totales!$A:$A,#REF!), 0))</f>
        <v/>
      </c>
      <c r="GYR224" s="19" t="str">
        <f>IF(GYR220 = "", "", IFERROR(GYR220 / SUMIFS(Aux_Totales!$N:$N, Aux_Totales!$F:$F, $F224, Aux_Totales!$A:$A,#REF!), 0))</f>
        <v/>
      </c>
      <c r="GYS224" s="19" t="str">
        <f>IF(GYS220 = "", "", IFERROR(GYS220 / SUMIFS(Aux_Totales!$N:$N, Aux_Totales!$F:$F, $F224, Aux_Totales!$A:$A,#REF!), 0))</f>
        <v/>
      </c>
      <c r="GYT224" s="19" t="str">
        <f>IF(GYT220 = "", "", IFERROR(GYT220 / SUMIFS(Aux_Totales!$N:$N, Aux_Totales!$F:$F, $F224, Aux_Totales!$A:$A,#REF!), 0))</f>
        <v/>
      </c>
      <c r="GYU224" s="19" t="str">
        <f>IF(GYU220 = "", "", IFERROR(GYU220 / SUMIFS(Aux_Totales!$N:$N, Aux_Totales!$F:$F, $F224, Aux_Totales!$A:$A,#REF!), 0))</f>
        <v/>
      </c>
      <c r="GYV224" s="19" t="str">
        <f>IF(GYV220 = "", "", IFERROR(GYV220 / SUMIFS(Aux_Totales!$N:$N, Aux_Totales!$F:$F, $F224, Aux_Totales!$A:$A,#REF!), 0))</f>
        <v/>
      </c>
      <c r="GYW224" s="19" t="str">
        <f>IF(GYW220 = "", "", IFERROR(GYW220 / SUMIFS(Aux_Totales!$N:$N, Aux_Totales!$F:$F, $F224, Aux_Totales!$A:$A,#REF!), 0))</f>
        <v/>
      </c>
      <c r="GYX224" s="19" t="str">
        <f>IF(GYX220 = "", "", IFERROR(GYX220 / SUMIFS(Aux_Totales!$N:$N, Aux_Totales!$F:$F, $F224, Aux_Totales!$A:$A,#REF!), 0))</f>
        <v/>
      </c>
      <c r="GYY224" s="19" t="str">
        <f>IF(GYY220 = "", "", IFERROR(GYY220 / SUMIFS(Aux_Totales!$N:$N, Aux_Totales!$F:$F, $F224, Aux_Totales!$A:$A,#REF!), 0))</f>
        <v/>
      </c>
      <c r="GYZ224" s="19" t="str">
        <f>IF(GYZ220 = "", "", IFERROR(GYZ220 / SUMIFS(Aux_Totales!$N:$N, Aux_Totales!$F:$F, $F224, Aux_Totales!$A:$A,#REF!), 0))</f>
        <v/>
      </c>
      <c r="GZA224" s="19" t="str">
        <f>IF(GZA220 = "", "", IFERROR(GZA220 / SUMIFS(Aux_Totales!$N:$N, Aux_Totales!$F:$F, $F224, Aux_Totales!$A:$A,#REF!), 0))</f>
        <v/>
      </c>
      <c r="GZB224" s="19" t="str">
        <f>IF(GZB220 = "", "", IFERROR(GZB220 / SUMIFS(Aux_Totales!$N:$N, Aux_Totales!$F:$F, $F224, Aux_Totales!$A:$A,#REF!), 0))</f>
        <v/>
      </c>
      <c r="GZC224" s="19" t="str">
        <f>IF(GZC220 = "", "", IFERROR(GZC220 / SUMIFS(Aux_Totales!$N:$N, Aux_Totales!$F:$F, $F224, Aux_Totales!$A:$A,#REF!), 0))</f>
        <v/>
      </c>
      <c r="GZD224" s="19" t="str">
        <f>IF(GZD220 = "", "", IFERROR(GZD220 / SUMIFS(Aux_Totales!$N:$N, Aux_Totales!$F:$F, $F224, Aux_Totales!$A:$A,#REF!), 0))</f>
        <v/>
      </c>
      <c r="GZE224" s="19" t="str">
        <f>IF(GZE220 = "", "", IFERROR(GZE220 / SUMIFS(Aux_Totales!$N:$N, Aux_Totales!$F:$F, $F224, Aux_Totales!$A:$A,#REF!), 0))</f>
        <v/>
      </c>
      <c r="GZF224" s="19" t="str">
        <f>IF(GZF220 = "", "", IFERROR(GZF220 / SUMIFS(Aux_Totales!$N:$N, Aux_Totales!$F:$F, $F224, Aux_Totales!$A:$A,#REF!), 0))</f>
        <v/>
      </c>
      <c r="GZG224" s="19" t="str">
        <f>IF(GZG220 = "", "", IFERROR(GZG220 / SUMIFS(Aux_Totales!$N:$N, Aux_Totales!$F:$F, $F224, Aux_Totales!$A:$A,#REF!), 0))</f>
        <v/>
      </c>
      <c r="GZH224" s="19" t="str">
        <f>IF(GZH220 = "", "", IFERROR(GZH220 / SUMIFS(Aux_Totales!$N:$N, Aux_Totales!$F:$F, $F224, Aux_Totales!$A:$A,#REF!), 0))</f>
        <v/>
      </c>
      <c r="GZI224" s="19" t="str">
        <f>IF(GZI220 = "", "", IFERROR(GZI220 / SUMIFS(Aux_Totales!$N:$N, Aux_Totales!$F:$F, $F224, Aux_Totales!$A:$A,#REF!), 0))</f>
        <v/>
      </c>
      <c r="GZJ224" s="19" t="str">
        <f>IF(GZJ220 = "", "", IFERROR(GZJ220 / SUMIFS(Aux_Totales!$N:$N, Aux_Totales!$F:$F, $F224, Aux_Totales!$A:$A,#REF!), 0))</f>
        <v/>
      </c>
      <c r="GZK224" s="19" t="str">
        <f>IF(GZK220 = "", "", IFERROR(GZK220 / SUMIFS(Aux_Totales!$N:$N, Aux_Totales!$F:$F, $F224, Aux_Totales!$A:$A,#REF!), 0))</f>
        <v/>
      </c>
      <c r="GZL224" s="19" t="str">
        <f>IF(GZL220 = "", "", IFERROR(GZL220 / SUMIFS(Aux_Totales!$N:$N, Aux_Totales!$F:$F, $F224, Aux_Totales!$A:$A,#REF!), 0))</f>
        <v/>
      </c>
      <c r="GZM224" s="19" t="str">
        <f>IF(GZM220 = "", "", IFERROR(GZM220 / SUMIFS(Aux_Totales!$N:$N, Aux_Totales!$F:$F, $F224, Aux_Totales!$A:$A,#REF!), 0))</f>
        <v/>
      </c>
      <c r="GZN224" s="19" t="str">
        <f>IF(GZN220 = "", "", IFERROR(GZN220 / SUMIFS(Aux_Totales!$N:$N, Aux_Totales!$F:$F, $F224, Aux_Totales!$A:$A,#REF!), 0))</f>
        <v/>
      </c>
      <c r="GZO224" s="19" t="str">
        <f>IF(GZO220 = "", "", IFERROR(GZO220 / SUMIFS(Aux_Totales!$N:$N, Aux_Totales!$F:$F, $F224, Aux_Totales!$A:$A,#REF!), 0))</f>
        <v/>
      </c>
      <c r="GZP224" s="19" t="str">
        <f>IF(GZP220 = "", "", IFERROR(GZP220 / SUMIFS(Aux_Totales!$N:$N, Aux_Totales!$F:$F, $F224, Aux_Totales!$A:$A,#REF!), 0))</f>
        <v/>
      </c>
      <c r="GZQ224" s="19" t="str">
        <f>IF(GZQ220 = "", "", IFERROR(GZQ220 / SUMIFS(Aux_Totales!$N:$N, Aux_Totales!$F:$F, $F224, Aux_Totales!$A:$A,#REF!), 0))</f>
        <v/>
      </c>
      <c r="GZR224" s="19" t="str">
        <f>IF(GZR220 = "", "", IFERROR(GZR220 / SUMIFS(Aux_Totales!$N:$N, Aux_Totales!$F:$F, $F224, Aux_Totales!$A:$A,#REF!), 0))</f>
        <v/>
      </c>
      <c r="GZS224" s="19" t="str">
        <f>IF(GZS220 = "", "", IFERROR(GZS220 / SUMIFS(Aux_Totales!$N:$N, Aux_Totales!$F:$F, $F224, Aux_Totales!$A:$A,#REF!), 0))</f>
        <v/>
      </c>
      <c r="GZT224" s="19" t="str">
        <f>IF(GZT220 = "", "", IFERROR(GZT220 / SUMIFS(Aux_Totales!$N:$N, Aux_Totales!$F:$F, $F224, Aux_Totales!$A:$A,#REF!), 0))</f>
        <v/>
      </c>
      <c r="GZU224" s="19" t="str">
        <f>IF(GZU220 = "", "", IFERROR(GZU220 / SUMIFS(Aux_Totales!$N:$N, Aux_Totales!$F:$F, $F224, Aux_Totales!$A:$A,#REF!), 0))</f>
        <v/>
      </c>
      <c r="GZV224" s="19" t="str">
        <f>IF(GZV220 = "", "", IFERROR(GZV220 / SUMIFS(Aux_Totales!$N:$N, Aux_Totales!$F:$F, $F224, Aux_Totales!$A:$A,#REF!), 0))</f>
        <v/>
      </c>
      <c r="GZW224" s="19" t="str">
        <f>IF(GZW220 = "", "", IFERROR(GZW220 / SUMIFS(Aux_Totales!$N:$N, Aux_Totales!$F:$F, $F224, Aux_Totales!$A:$A,#REF!), 0))</f>
        <v/>
      </c>
      <c r="GZX224" s="19" t="str">
        <f>IF(GZX220 = "", "", IFERROR(GZX220 / SUMIFS(Aux_Totales!$N:$N, Aux_Totales!$F:$F, $F224, Aux_Totales!$A:$A,#REF!), 0))</f>
        <v/>
      </c>
      <c r="GZY224" s="19" t="str">
        <f>IF(GZY220 = "", "", IFERROR(GZY220 / SUMIFS(Aux_Totales!$N:$N, Aux_Totales!$F:$F, $F224, Aux_Totales!$A:$A,#REF!), 0))</f>
        <v/>
      </c>
      <c r="GZZ224" s="19" t="str">
        <f>IF(GZZ220 = "", "", IFERROR(GZZ220 / SUMIFS(Aux_Totales!$N:$N, Aux_Totales!$F:$F, $F224, Aux_Totales!$A:$A,#REF!), 0))</f>
        <v/>
      </c>
      <c r="HAA224" s="19" t="str">
        <f>IF(HAA220 = "", "", IFERROR(HAA220 / SUMIFS(Aux_Totales!$N:$N, Aux_Totales!$F:$F, $F224, Aux_Totales!$A:$A,#REF!), 0))</f>
        <v/>
      </c>
      <c r="HAB224" s="19" t="str">
        <f>IF(HAB220 = "", "", IFERROR(HAB220 / SUMIFS(Aux_Totales!$N:$N, Aux_Totales!$F:$F, $F224, Aux_Totales!$A:$A,#REF!), 0))</f>
        <v/>
      </c>
      <c r="HAC224" s="19" t="str">
        <f>IF(HAC220 = "", "", IFERROR(HAC220 / SUMIFS(Aux_Totales!$N:$N, Aux_Totales!$F:$F, $F224, Aux_Totales!$A:$A,#REF!), 0))</f>
        <v/>
      </c>
      <c r="HAD224" s="19" t="str">
        <f>IF(HAD220 = "", "", IFERROR(HAD220 / SUMIFS(Aux_Totales!$N:$N, Aux_Totales!$F:$F, $F224, Aux_Totales!$A:$A,#REF!), 0))</f>
        <v/>
      </c>
      <c r="HAE224" s="19" t="str">
        <f>IF(HAE220 = "", "", IFERROR(HAE220 / SUMIFS(Aux_Totales!$N:$N, Aux_Totales!$F:$F, $F224, Aux_Totales!$A:$A,#REF!), 0))</f>
        <v/>
      </c>
      <c r="HAF224" s="19" t="str">
        <f>IF(HAF220 = "", "", IFERROR(HAF220 / SUMIFS(Aux_Totales!$N:$N, Aux_Totales!$F:$F, $F224, Aux_Totales!$A:$A,#REF!), 0))</f>
        <v/>
      </c>
      <c r="HAG224" s="19" t="str">
        <f>IF(HAG220 = "", "", IFERROR(HAG220 / SUMIFS(Aux_Totales!$N:$N, Aux_Totales!$F:$F, $F224, Aux_Totales!$A:$A,#REF!), 0))</f>
        <v/>
      </c>
      <c r="HAH224" s="19" t="str">
        <f>IF(HAH220 = "", "", IFERROR(HAH220 / SUMIFS(Aux_Totales!$N:$N, Aux_Totales!$F:$F, $F224, Aux_Totales!$A:$A,#REF!), 0))</f>
        <v/>
      </c>
      <c r="HAI224" s="19" t="str">
        <f>IF(HAI220 = "", "", IFERROR(HAI220 / SUMIFS(Aux_Totales!$N:$N, Aux_Totales!$F:$F, $F224, Aux_Totales!$A:$A,#REF!), 0))</f>
        <v/>
      </c>
      <c r="HAJ224" s="19" t="str">
        <f>IF(HAJ220 = "", "", IFERROR(HAJ220 / SUMIFS(Aux_Totales!$N:$N, Aux_Totales!$F:$F, $F224, Aux_Totales!$A:$A,#REF!), 0))</f>
        <v/>
      </c>
      <c r="HAK224" s="19" t="str">
        <f>IF(HAK220 = "", "", IFERROR(HAK220 / SUMIFS(Aux_Totales!$N:$N, Aux_Totales!$F:$F, $F224, Aux_Totales!$A:$A,#REF!), 0))</f>
        <v/>
      </c>
      <c r="HAL224" s="19" t="str">
        <f>IF(HAL220 = "", "", IFERROR(HAL220 / SUMIFS(Aux_Totales!$N:$N, Aux_Totales!$F:$F, $F224, Aux_Totales!$A:$A,#REF!), 0))</f>
        <v/>
      </c>
      <c r="HAM224" s="19" t="str">
        <f>IF(HAM220 = "", "", IFERROR(HAM220 / SUMIFS(Aux_Totales!$N:$N, Aux_Totales!$F:$F, $F224, Aux_Totales!$A:$A,#REF!), 0))</f>
        <v/>
      </c>
      <c r="HAN224" s="19" t="str">
        <f>IF(HAN220 = "", "", IFERROR(HAN220 / SUMIFS(Aux_Totales!$N:$N, Aux_Totales!$F:$F, $F224, Aux_Totales!$A:$A,#REF!), 0))</f>
        <v/>
      </c>
      <c r="HAO224" s="19" t="str">
        <f>IF(HAO220 = "", "", IFERROR(HAO220 / SUMIFS(Aux_Totales!$N:$N, Aux_Totales!$F:$F, $F224, Aux_Totales!$A:$A,#REF!), 0))</f>
        <v/>
      </c>
      <c r="HAP224" s="19" t="str">
        <f>IF(HAP220 = "", "", IFERROR(HAP220 / SUMIFS(Aux_Totales!$N:$N, Aux_Totales!$F:$F, $F224, Aux_Totales!$A:$A,#REF!), 0))</f>
        <v/>
      </c>
      <c r="HAQ224" s="19" t="str">
        <f>IF(HAQ220 = "", "", IFERROR(HAQ220 / SUMIFS(Aux_Totales!$N:$N, Aux_Totales!$F:$F, $F224, Aux_Totales!$A:$A,#REF!), 0))</f>
        <v/>
      </c>
      <c r="HAR224" s="19" t="str">
        <f>IF(HAR220 = "", "", IFERROR(HAR220 / SUMIFS(Aux_Totales!$N:$N, Aux_Totales!$F:$F, $F224, Aux_Totales!$A:$A,#REF!), 0))</f>
        <v/>
      </c>
      <c r="HAS224" s="19" t="str">
        <f>IF(HAS220 = "", "", IFERROR(HAS220 / SUMIFS(Aux_Totales!$N:$N, Aux_Totales!$F:$F, $F224, Aux_Totales!$A:$A,#REF!), 0))</f>
        <v/>
      </c>
      <c r="HAT224" s="19" t="str">
        <f>IF(HAT220 = "", "", IFERROR(HAT220 / SUMIFS(Aux_Totales!$N:$N, Aux_Totales!$F:$F, $F224, Aux_Totales!$A:$A,#REF!), 0))</f>
        <v/>
      </c>
      <c r="HAU224" s="19" t="str">
        <f>IF(HAU220 = "", "", IFERROR(HAU220 / SUMIFS(Aux_Totales!$N:$N, Aux_Totales!$F:$F, $F224, Aux_Totales!$A:$A,#REF!), 0))</f>
        <v/>
      </c>
      <c r="HAV224" s="19" t="str">
        <f>IF(HAV220 = "", "", IFERROR(HAV220 / SUMIFS(Aux_Totales!$N:$N, Aux_Totales!$F:$F, $F224, Aux_Totales!$A:$A,#REF!), 0))</f>
        <v/>
      </c>
      <c r="HAW224" s="19" t="str">
        <f>IF(HAW220 = "", "", IFERROR(HAW220 / SUMIFS(Aux_Totales!$N:$N, Aux_Totales!$F:$F, $F224, Aux_Totales!$A:$A,#REF!), 0))</f>
        <v/>
      </c>
      <c r="HAX224" s="19" t="str">
        <f>IF(HAX220 = "", "", IFERROR(HAX220 / SUMIFS(Aux_Totales!$N:$N, Aux_Totales!$F:$F, $F224, Aux_Totales!$A:$A,#REF!), 0))</f>
        <v/>
      </c>
      <c r="HAY224" s="19" t="str">
        <f>IF(HAY220 = "", "", IFERROR(HAY220 / SUMIFS(Aux_Totales!$N:$N, Aux_Totales!$F:$F, $F224, Aux_Totales!$A:$A,#REF!), 0))</f>
        <v/>
      </c>
      <c r="HAZ224" s="19" t="str">
        <f>IF(HAZ220 = "", "", IFERROR(HAZ220 / SUMIFS(Aux_Totales!$N:$N, Aux_Totales!$F:$F, $F224, Aux_Totales!$A:$A,#REF!), 0))</f>
        <v/>
      </c>
      <c r="HBA224" s="19" t="str">
        <f>IF(HBA220 = "", "", IFERROR(HBA220 / SUMIFS(Aux_Totales!$N:$N, Aux_Totales!$F:$F, $F224, Aux_Totales!$A:$A,#REF!), 0))</f>
        <v/>
      </c>
      <c r="HBB224" s="19" t="str">
        <f>IF(HBB220 = "", "", IFERROR(HBB220 / SUMIFS(Aux_Totales!$N:$N, Aux_Totales!$F:$F, $F224, Aux_Totales!$A:$A,#REF!), 0))</f>
        <v/>
      </c>
      <c r="HBC224" s="19" t="str">
        <f>IF(HBC220 = "", "", IFERROR(HBC220 / SUMIFS(Aux_Totales!$N:$N, Aux_Totales!$F:$F, $F224, Aux_Totales!$A:$A,#REF!), 0))</f>
        <v/>
      </c>
      <c r="HBD224" s="19" t="str">
        <f>IF(HBD220 = "", "", IFERROR(HBD220 / SUMIFS(Aux_Totales!$N:$N, Aux_Totales!$F:$F, $F224, Aux_Totales!$A:$A,#REF!), 0))</f>
        <v/>
      </c>
      <c r="HBE224" s="19" t="str">
        <f>IF(HBE220 = "", "", IFERROR(HBE220 / SUMIFS(Aux_Totales!$N:$N, Aux_Totales!$F:$F, $F224, Aux_Totales!$A:$A,#REF!), 0))</f>
        <v/>
      </c>
      <c r="HBF224" s="19" t="str">
        <f>IF(HBF220 = "", "", IFERROR(HBF220 / SUMIFS(Aux_Totales!$N:$N, Aux_Totales!$F:$F, $F224, Aux_Totales!$A:$A,#REF!), 0))</f>
        <v/>
      </c>
      <c r="HBG224" s="19" t="str">
        <f>IF(HBG220 = "", "", IFERROR(HBG220 / SUMIFS(Aux_Totales!$N:$N, Aux_Totales!$F:$F, $F224, Aux_Totales!$A:$A,#REF!), 0))</f>
        <v/>
      </c>
      <c r="HBH224" s="19" t="str">
        <f>IF(HBH220 = "", "", IFERROR(HBH220 / SUMIFS(Aux_Totales!$N:$N, Aux_Totales!$F:$F, $F224, Aux_Totales!$A:$A,#REF!), 0))</f>
        <v/>
      </c>
      <c r="HBI224" s="19" t="str">
        <f>IF(HBI220 = "", "", IFERROR(HBI220 / SUMIFS(Aux_Totales!$N:$N, Aux_Totales!$F:$F, $F224, Aux_Totales!$A:$A,#REF!), 0))</f>
        <v/>
      </c>
      <c r="HBJ224" s="19" t="str">
        <f>IF(HBJ220 = "", "", IFERROR(HBJ220 / SUMIFS(Aux_Totales!$N:$N, Aux_Totales!$F:$F, $F224, Aux_Totales!$A:$A,#REF!), 0))</f>
        <v/>
      </c>
      <c r="HBK224" s="19" t="str">
        <f>IF(HBK220 = "", "", IFERROR(HBK220 / SUMIFS(Aux_Totales!$N:$N, Aux_Totales!$F:$F, $F224, Aux_Totales!$A:$A,#REF!), 0))</f>
        <v/>
      </c>
      <c r="HBL224" s="19" t="str">
        <f>IF(HBL220 = "", "", IFERROR(HBL220 / SUMIFS(Aux_Totales!$N:$N, Aux_Totales!$F:$F, $F224, Aux_Totales!$A:$A,#REF!), 0))</f>
        <v/>
      </c>
      <c r="HBM224" s="19" t="str">
        <f>IF(HBM220 = "", "", IFERROR(HBM220 / SUMIFS(Aux_Totales!$N:$N, Aux_Totales!$F:$F, $F224, Aux_Totales!$A:$A,#REF!), 0))</f>
        <v/>
      </c>
      <c r="HBN224" s="19" t="str">
        <f>IF(HBN220 = "", "", IFERROR(HBN220 / SUMIFS(Aux_Totales!$N:$N, Aux_Totales!$F:$F, $F224, Aux_Totales!$A:$A,#REF!), 0))</f>
        <v/>
      </c>
      <c r="HBO224" s="19" t="str">
        <f>IF(HBO220 = "", "", IFERROR(HBO220 / SUMIFS(Aux_Totales!$N:$N, Aux_Totales!$F:$F, $F224, Aux_Totales!$A:$A,#REF!), 0))</f>
        <v/>
      </c>
      <c r="HBP224" s="19" t="str">
        <f>IF(HBP220 = "", "", IFERROR(HBP220 / SUMIFS(Aux_Totales!$N:$N, Aux_Totales!$F:$F, $F224, Aux_Totales!$A:$A,#REF!), 0))</f>
        <v/>
      </c>
      <c r="HBQ224" s="19" t="str">
        <f>IF(HBQ220 = "", "", IFERROR(HBQ220 / SUMIFS(Aux_Totales!$N:$N, Aux_Totales!$F:$F, $F224, Aux_Totales!$A:$A,#REF!), 0))</f>
        <v/>
      </c>
      <c r="HBR224" s="19" t="str">
        <f>IF(HBR220 = "", "", IFERROR(HBR220 / SUMIFS(Aux_Totales!$N:$N, Aux_Totales!$F:$F, $F224, Aux_Totales!$A:$A,#REF!), 0))</f>
        <v/>
      </c>
      <c r="HBS224" s="19" t="str">
        <f>IF(HBS220 = "", "", IFERROR(HBS220 / SUMIFS(Aux_Totales!$N:$N, Aux_Totales!$F:$F, $F224, Aux_Totales!$A:$A,#REF!), 0))</f>
        <v/>
      </c>
      <c r="HBT224" s="19" t="str">
        <f>IF(HBT220 = "", "", IFERROR(HBT220 / SUMIFS(Aux_Totales!$N:$N, Aux_Totales!$F:$F, $F224, Aux_Totales!$A:$A,#REF!), 0))</f>
        <v/>
      </c>
      <c r="HBU224" s="19" t="str">
        <f>IF(HBU220 = "", "", IFERROR(HBU220 / SUMIFS(Aux_Totales!$N:$N, Aux_Totales!$F:$F, $F224, Aux_Totales!$A:$A,#REF!), 0))</f>
        <v/>
      </c>
      <c r="HBV224" s="19" t="str">
        <f>IF(HBV220 = "", "", IFERROR(HBV220 / SUMIFS(Aux_Totales!$N:$N, Aux_Totales!$F:$F, $F224, Aux_Totales!$A:$A,#REF!), 0))</f>
        <v/>
      </c>
      <c r="HBW224" s="19" t="str">
        <f>IF(HBW220 = "", "", IFERROR(HBW220 / SUMIFS(Aux_Totales!$N:$N, Aux_Totales!$F:$F, $F224, Aux_Totales!$A:$A,#REF!), 0))</f>
        <v/>
      </c>
      <c r="HBX224" s="19" t="str">
        <f>IF(HBX220 = "", "", IFERROR(HBX220 / SUMIFS(Aux_Totales!$N:$N, Aux_Totales!$F:$F, $F224, Aux_Totales!$A:$A,#REF!), 0))</f>
        <v/>
      </c>
      <c r="HBY224" s="19" t="str">
        <f>IF(HBY220 = "", "", IFERROR(HBY220 / SUMIFS(Aux_Totales!$N:$N, Aux_Totales!$F:$F, $F224, Aux_Totales!$A:$A,#REF!), 0))</f>
        <v/>
      </c>
      <c r="HBZ224" s="19" t="str">
        <f>IF(HBZ220 = "", "", IFERROR(HBZ220 / SUMIFS(Aux_Totales!$N:$N, Aux_Totales!$F:$F, $F224, Aux_Totales!$A:$A,#REF!), 0))</f>
        <v/>
      </c>
      <c r="HCA224" s="19" t="str">
        <f>IF(HCA220 = "", "", IFERROR(HCA220 / SUMIFS(Aux_Totales!$N:$N, Aux_Totales!$F:$F, $F224, Aux_Totales!$A:$A,#REF!), 0))</f>
        <v/>
      </c>
      <c r="HCB224" s="19" t="str">
        <f>IF(HCB220 = "", "", IFERROR(HCB220 / SUMIFS(Aux_Totales!$N:$N, Aux_Totales!$F:$F, $F224, Aux_Totales!$A:$A,#REF!), 0))</f>
        <v/>
      </c>
      <c r="HCC224" s="19" t="str">
        <f>IF(HCC220 = "", "", IFERROR(HCC220 / SUMIFS(Aux_Totales!$N:$N, Aux_Totales!$F:$F, $F224, Aux_Totales!$A:$A,#REF!), 0))</f>
        <v/>
      </c>
      <c r="HCD224" s="19" t="str">
        <f>IF(HCD220 = "", "", IFERROR(HCD220 / SUMIFS(Aux_Totales!$N:$N, Aux_Totales!$F:$F, $F224, Aux_Totales!$A:$A,#REF!), 0))</f>
        <v/>
      </c>
      <c r="HCE224" s="19" t="str">
        <f>IF(HCE220 = "", "", IFERROR(HCE220 / SUMIFS(Aux_Totales!$N:$N, Aux_Totales!$F:$F, $F224, Aux_Totales!$A:$A,#REF!), 0))</f>
        <v/>
      </c>
      <c r="HCF224" s="19" t="str">
        <f>IF(HCF220 = "", "", IFERROR(HCF220 / SUMIFS(Aux_Totales!$N:$N, Aux_Totales!$F:$F, $F224, Aux_Totales!$A:$A,#REF!), 0))</f>
        <v/>
      </c>
      <c r="HCG224" s="19" t="str">
        <f>IF(HCG220 = "", "", IFERROR(HCG220 / SUMIFS(Aux_Totales!$N:$N, Aux_Totales!$F:$F, $F224, Aux_Totales!$A:$A,#REF!), 0))</f>
        <v/>
      </c>
      <c r="HCH224" s="19" t="str">
        <f>IF(HCH220 = "", "", IFERROR(HCH220 / SUMIFS(Aux_Totales!$N:$N, Aux_Totales!$F:$F, $F224, Aux_Totales!$A:$A,#REF!), 0))</f>
        <v/>
      </c>
      <c r="HCI224" s="19" t="str">
        <f>IF(HCI220 = "", "", IFERROR(HCI220 / SUMIFS(Aux_Totales!$N:$N, Aux_Totales!$F:$F, $F224, Aux_Totales!$A:$A,#REF!), 0))</f>
        <v/>
      </c>
      <c r="HCJ224" s="19" t="str">
        <f>IF(HCJ220 = "", "", IFERROR(HCJ220 / SUMIFS(Aux_Totales!$N:$N, Aux_Totales!$F:$F, $F224, Aux_Totales!$A:$A,#REF!), 0))</f>
        <v/>
      </c>
      <c r="HCK224" s="19" t="str">
        <f>IF(HCK220 = "", "", IFERROR(HCK220 / SUMIFS(Aux_Totales!$N:$N, Aux_Totales!$F:$F, $F224, Aux_Totales!$A:$A,#REF!), 0))</f>
        <v/>
      </c>
      <c r="HCL224" s="19" t="str">
        <f>IF(HCL220 = "", "", IFERROR(HCL220 / SUMIFS(Aux_Totales!$N:$N, Aux_Totales!$F:$F, $F224, Aux_Totales!$A:$A,#REF!), 0))</f>
        <v/>
      </c>
      <c r="HCM224" s="19" t="str">
        <f>IF(HCM220 = "", "", IFERROR(HCM220 / SUMIFS(Aux_Totales!$N:$N, Aux_Totales!$F:$F, $F224, Aux_Totales!$A:$A,#REF!), 0))</f>
        <v/>
      </c>
      <c r="HCN224" s="19" t="str">
        <f>IF(HCN220 = "", "", IFERROR(HCN220 / SUMIFS(Aux_Totales!$N:$N, Aux_Totales!$F:$F, $F224, Aux_Totales!$A:$A,#REF!), 0))</f>
        <v/>
      </c>
      <c r="HCO224" s="19" t="str">
        <f>IF(HCO220 = "", "", IFERROR(HCO220 / SUMIFS(Aux_Totales!$N:$N, Aux_Totales!$F:$F, $F224, Aux_Totales!$A:$A,#REF!), 0))</f>
        <v/>
      </c>
      <c r="HCP224" s="19" t="str">
        <f>IF(HCP220 = "", "", IFERROR(HCP220 / SUMIFS(Aux_Totales!$N:$N, Aux_Totales!$F:$F, $F224, Aux_Totales!$A:$A,#REF!), 0))</f>
        <v/>
      </c>
      <c r="HCQ224" s="19" t="str">
        <f>IF(HCQ220 = "", "", IFERROR(HCQ220 / SUMIFS(Aux_Totales!$N:$N, Aux_Totales!$F:$F, $F224, Aux_Totales!$A:$A,#REF!), 0))</f>
        <v/>
      </c>
      <c r="HCR224" s="19" t="str">
        <f>IF(HCR220 = "", "", IFERROR(HCR220 / SUMIFS(Aux_Totales!$N:$N, Aux_Totales!$F:$F, $F224, Aux_Totales!$A:$A,#REF!), 0))</f>
        <v/>
      </c>
      <c r="HCS224" s="19" t="str">
        <f>IF(HCS220 = "", "", IFERROR(HCS220 / SUMIFS(Aux_Totales!$N:$N, Aux_Totales!$F:$F, $F224, Aux_Totales!$A:$A,#REF!), 0))</f>
        <v/>
      </c>
      <c r="HCT224" s="19" t="str">
        <f>IF(HCT220 = "", "", IFERROR(HCT220 / SUMIFS(Aux_Totales!$N:$N, Aux_Totales!$F:$F, $F224, Aux_Totales!$A:$A,#REF!), 0))</f>
        <v/>
      </c>
      <c r="HCU224" s="19" t="str">
        <f>IF(HCU220 = "", "", IFERROR(HCU220 / SUMIFS(Aux_Totales!$N:$N, Aux_Totales!$F:$F, $F224, Aux_Totales!$A:$A,#REF!), 0))</f>
        <v/>
      </c>
      <c r="HCV224" s="19" t="str">
        <f>IF(HCV220 = "", "", IFERROR(HCV220 / SUMIFS(Aux_Totales!$N:$N, Aux_Totales!$F:$F, $F224, Aux_Totales!$A:$A,#REF!), 0))</f>
        <v/>
      </c>
      <c r="HCW224" s="19" t="str">
        <f>IF(HCW220 = "", "", IFERROR(HCW220 / SUMIFS(Aux_Totales!$N:$N, Aux_Totales!$F:$F, $F224, Aux_Totales!$A:$A,#REF!), 0))</f>
        <v/>
      </c>
      <c r="HCX224" s="19" t="str">
        <f>IF(HCX220 = "", "", IFERROR(HCX220 / SUMIFS(Aux_Totales!$N:$N, Aux_Totales!$F:$F, $F224, Aux_Totales!$A:$A,#REF!), 0))</f>
        <v/>
      </c>
      <c r="HCY224" s="19" t="str">
        <f>IF(HCY220 = "", "", IFERROR(HCY220 / SUMIFS(Aux_Totales!$N:$N, Aux_Totales!$F:$F, $F224, Aux_Totales!$A:$A,#REF!), 0))</f>
        <v/>
      </c>
      <c r="HCZ224" s="19" t="str">
        <f>IF(HCZ220 = "", "", IFERROR(HCZ220 / SUMIFS(Aux_Totales!$N:$N, Aux_Totales!$F:$F, $F224, Aux_Totales!$A:$A,#REF!), 0))</f>
        <v/>
      </c>
      <c r="HDA224" s="19" t="str">
        <f>IF(HDA220 = "", "", IFERROR(HDA220 / SUMIFS(Aux_Totales!$N:$N, Aux_Totales!$F:$F, $F224, Aux_Totales!$A:$A,#REF!), 0))</f>
        <v/>
      </c>
      <c r="HDB224" s="19" t="str">
        <f>IF(HDB220 = "", "", IFERROR(HDB220 / SUMIFS(Aux_Totales!$N:$N, Aux_Totales!$F:$F, $F224, Aux_Totales!$A:$A,#REF!), 0))</f>
        <v/>
      </c>
      <c r="HDC224" s="19" t="str">
        <f>IF(HDC220 = "", "", IFERROR(HDC220 / SUMIFS(Aux_Totales!$N:$N, Aux_Totales!$F:$F, $F224, Aux_Totales!$A:$A,#REF!), 0))</f>
        <v/>
      </c>
      <c r="HDD224" s="19" t="str">
        <f>IF(HDD220 = "", "", IFERROR(HDD220 / SUMIFS(Aux_Totales!$N:$N, Aux_Totales!$F:$F, $F224, Aux_Totales!$A:$A,#REF!), 0))</f>
        <v/>
      </c>
      <c r="HDE224" s="19" t="str">
        <f>IF(HDE220 = "", "", IFERROR(HDE220 / SUMIFS(Aux_Totales!$N:$N, Aux_Totales!$F:$F, $F224, Aux_Totales!$A:$A,#REF!), 0))</f>
        <v/>
      </c>
      <c r="HDF224" s="19" t="str">
        <f>IF(HDF220 = "", "", IFERROR(HDF220 / SUMIFS(Aux_Totales!$N:$N, Aux_Totales!$F:$F, $F224, Aux_Totales!$A:$A,#REF!), 0))</f>
        <v/>
      </c>
      <c r="HDG224" s="19" t="str">
        <f>IF(HDG220 = "", "", IFERROR(HDG220 / SUMIFS(Aux_Totales!$N:$N, Aux_Totales!$F:$F, $F224, Aux_Totales!$A:$A,#REF!), 0))</f>
        <v/>
      </c>
      <c r="HDH224" s="19" t="str">
        <f>IF(HDH220 = "", "", IFERROR(HDH220 / SUMIFS(Aux_Totales!$N:$N, Aux_Totales!$F:$F, $F224, Aux_Totales!$A:$A,#REF!), 0))</f>
        <v/>
      </c>
      <c r="HDI224" s="19" t="str">
        <f>IF(HDI220 = "", "", IFERROR(HDI220 / SUMIFS(Aux_Totales!$N:$N, Aux_Totales!$F:$F, $F224, Aux_Totales!$A:$A,#REF!), 0))</f>
        <v/>
      </c>
      <c r="HDJ224" s="19" t="str">
        <f>IF(HDJ220 = "", "", IFERROR(HDJ220 / SUMIFS(Aux_Totales!$N:$N, Aux_Totales!$F:$F, $F224, Aux_Totales!$A:$A,#REF!), 0))</f>
        <v/>
      </c>
      <c r="HDK224" s="19" t="str">
        <f>IF(HDK220 = "", "", IFERROR(HDK220 / SUMIFS(Aux_Totales!$N:$N, Aux_Totales!$F:$F, $F224, Aux_Totales!$A:$A,#REF!), 0))</f>
        <v/>
      </c>
      <c r="HDL224" s="19" t="str">
        <f>IF(HDL220 = "", "", IFERROR(HDL220 / SUMIFS(Aux_Totales!$N:$N, Aux_Totales!$F:$F, $F224, Aux_Totales!$A:$A,#REF!), 0))</f>
        <v/>
      </c>
      <c r="HDM224" s="19" t="str">
        <f>IF(HDM220 = "", "", IFERROR(HDM220 / SUMIFS(Aux_Totales!$N:$N, Aux_Totales!$F:$F, $F224, Aux_Totales!$A:$A,#REF!), 0))</f>
        <v/>
      </c>
      <c r="HDN224" s="19" t="str">
        <f>IF(HDN220 = "", "", IFERROR(HDN220 / SUMIFS(Aux_Totales!$N:$N, Aux_Totales!$F:$F, $F224, Aux_Totales!$A:$A,#REF!), 0))</f>
        <v/>
      </c>
      <c r="HDO224" s="19" t="str">
        <f>IF(HDO220 = "", "", IFERROR(HDO220 / SUMIFS(Aux_Totales!$N:$N, Aux_Totales!$F:$F, $F224, Aux_Totales!$A:$A,#REF!), 0))</f>
        <v/>
      </c>
      <c r="HDP224" s="19" t="str">
        <f>IF(HDP220 = "", "", IFERROR(HDP220 / SUMIFS(Aux_Totales!$N:$N, Aux_Totales!$F:$F, $F224, Aux_Totales!$A:$A,#REF!), 0))</f>
        <v/>
      </c>
      <c r="HDQ224" s="19" t="str">
        <f>IF(HDQ220 = "", "", IFERROR(HDQ220 / SUMIFS(Aux_Totales!$N:$N, Aux_Totales!$F:$F, $F224, Aux_Totales!$A:$A,#REF!), 0))</f>
        <v/>
      </c>
      <c r="HDR224" s="19" t="str">
        <f>IF(HDR220 = "", "", IFERROR(HDR220 / SUMIFS(Aux_Totales!$N:$N, Aux_Totales!$F:$F, $F224, Aux_Totales!$A:$A,#REF!), 0))</f>
        <v/>
      </c>
      <c r="HDS224" s="19" t="str">
        <f>IF(HDS220 = "", "", IFERROR(HDS220 / SUMIFS(Aux_Totales!$N:$N, Aux_Totales!$F:$F, $F224, Aux_Totales!$A:$A,#REF!), 0))</f>
        <v/>
      </c>
      <c r="HDT224" s="19" t="str">
        <f>IF(HDT220 = "", "", IFERROR(HDT220 / SUMIFS(Aux_Totales!$N:$N, Aux_Totales!$F:$F, $F224, Aux_Totales!$A:$A,#REF!), 0))</f>
        <v/>
      </c>
      <c r="HDU224" s="19" t="str">
        <f>IF(HDU220 = "", "", IFERROR(HDU220 / SUMIFS(Aux_Totales!$N:$N, Aux_Totales!$F:$F, $F224, Aux_Totales!$A:$A,#REF!), 0))</f>
        <v/>
      </c>
      <c r="HDV224" s="19" t="str">
        <f>IF(HDV220 = "", "", IFERROR(HDV220 / SUMIFS(Aux_Totales!$N:$N, Aux_Totales!$F:$F, $F224, Aux_Totales!$A:$A,#REF!), 0))</f>
        <v/>
      </c>
      <c r="HDW224" s="19" t="str">
        <f>IF(HDW220 = "", "", IFERROR(HDW220 / SUMIFS(Aux_Totales!$N:$N, Aux_Totales!$F:$F, $F224, Aux_Totales!$A:$A,#REF!), 0))</f>
        <v/>
      </c>
      <c r="HDX224" s="19" t="str">
        <f>IF(HDX220 = "", "", IFERROR(HDX220 / SUMIFS(Aux_Totales!$N:$N, Aux_Totales!$F:$F, $F224, Aux_Totales!$A:$A,#REF!), 0))</f>
        <v/>
      </c>
      <c r="HDY224" s="19" t="str">
        <f>IF(HDY220 = "", "", IFERROR(HDY220 / SUMIFS(Aux_Totales!$N:$N, Aux_Totales!$F:$F, $F224, Aux_Totales!$A:$A,#REF!), 0))</f>
        <v/>
      </c>
      <c r="HDZ224" s="19" t="str">
        <f>IF(HDZ220 = "", "", IFERROR(HDZ220 / SUMIFS(Aux_Totales!$N:$N, Aux_Totales!$F:$F, $F224, Aux_Totales!$A:$A,#REF!), 0))</f>
        <v/>
      </c>
      <c r="HEA224" s="19" t="str">
        <f>IF(HEA220 = "", "", IFERROR(HEA220 / SUMIFS(Aux_Totales!$N:$N, Aux_Totales!$F:$F, $F224, Aux_Totales!$A:$A,#REF!), 0))</f>
        <v/>
      </c>
      <c r="HEB224" s="19" t="str">
        <f>IF(HEB220 = "", "", IFERROR(HEB220 / SUMIFS(Aux_Totales!$N:$N, Aux_Totales!$F:$F, $F224, Aux_Totales!$A:$A,#REF!), 0))</f>
        <v/>
      </c>
      <c r="HEC224" s="19" t="str">
        <f>IF(HEC220 = "", "", IFERROR(HEC220 / SUMIFS(Aux_Totales!$N:$N, Aux_Totales!$F:$F, $F224, Aux_Totales!$A:$A,#REF!), 0))</f>
        <v/>
      </c>
      <c r="HED224" s="19" t="str">
        <f>IF(HED220 = "", "", IFERROR(HED220 / SUMIFS(Aux_Totales!$N:$N, Aux_Totales!$F:$F, $F224, Aux_Totales!$A:$A,#REF!), 0))</f>
        <v/>
      </c>
      <c r="HEE224" s="19" t="str">
        <f>IF(HEE220 = "", "", IFERROR(HEE220 / SUMIFS(Aux_Totales!$N:$N, Aux_Totales!$F:$F, $F224, Aux_Totales!$A:$A,#REF!), 0))</f>
        <v/>
      </c>
      <c r="HEF224" s="19" t="str">
        <f>IF(HEF220 = "", "", IFERROR(HEF220 / SUMIFS(Aux_Totales!$N:$N, Aux_Totales!$F:$F, $F224, Aux_Totales!$A:$A,#REF!), 0))</f>
        <v/>
      </c>
      <c r="HEG224" s="19" t="str">
        <f>IF(HEG220 = "", "", IFERROR(HEG220 / SUMIFS(Aux_Totales!$N:$N, Aux_Totales!$F:$F, $F224, Aux_Totales!$A:$A,#REF!), 0))</f>
        <v/>
      </c>
      <c r="HEH224" s="19" t="str">
        <f>IF(HEH220 = "", "", IFERROR(HEH220 / SUMIFS(Aux_Totales!$N:$N, Aux_Totales!$F:$F, $F224, Aux_Totales!$A:$A,#REF!), 0))</f>
        <v/>
      </c>
      <c r="HEI224" s="19" t="str">
        <f>IF(HEI220 = "", "", IFERROR(HEI220 / SUMIFS(Aux_Totales!$N:$N, Aux_Totales!$F:$F, $F224, Aux_Totales!$A:$A,#REF!), 0))</f>
        <v/>
      </c>
      <c r="HEJ224" s="19" t="str">
        <f>IF(HEJ220 = "", "", IFERROR(HEJ220 / SUMIFS(Aux_Totales!$N:$N, Aux_Totales!$F:$F, $F224, Aux_Totales!$A:$A,#REF!), 0))</f>
        <v/>
      </c>
      <c r="HEK224" s="19" t="str">
        <f>IF(HEK220 = "", "", IFERROR(HEK220 / SUMIFS(Aux_Totales!$N:$N, Aux_Totales!$F:$F, $F224, Aux_Totales!$A:$A,#REF!), 0))</f>
        <v/>
      </c>
      <c r="HEL224" s="19" t="str">
        <f>IF(HEL220 = "", "", IFERROR(HEL220 / SUMIFS(Aux_Totales!$N:$N, Aux_Totales!$F:$F, $F224, Aux_Totales!$A:$A,#REF!), 0))</f>
        <v/>
      </c>
      <c r="HEM224" s="19" t="str">
        <f>IF(HEM220 = "", "", IFERROR(HEM220 / SUMIFS(Aux_Totales!$N:$N, Aux_Totales!$F:$F, $F224, Aux_Totales!$A:$A,#REF!), 0))</f>
        <v/>
      </c>
      <c r="HEN224" s="19" t="str">
        <f>IF(HEN220 = "", "", IFERROR(HEN220 / SUMIFS(Aux_Totales!$N:$N, Aux_Totales!$F:$F, $F224, Aux_Totales!$A:$A,#REF!), 0))</f>
        <v/>
      </c>
      <c r="HEO224" s="19" t="str">
        <f>IF(HEO220 = "", "", IFERROR(HEO220 / SUMIFS(Aux_Totales!$N:$N, Aux_Totales!$F:$F, $F224, Aux_Totales!$A:$A,#REF!), 0))</f>
        <v/>
      </c>
      <c r="HEP224" s="19" t="str">
        <f>IF(HEP220 = "", "", IFERROR(HEP220 / SUMIFS(Aux_Totales!$N:$N, Aux_Totales!$F:$F, $F224, Aux_Totales!$A:$A,#REF!), 0))</f>
        <v/>
      </c>
      <c r="HEQ224" s="19" t="str">
        <f>IF(HEQ220 = "", "", IFERROR(HEQ220 / SUMIFS(Aux_Totales!$N:$N, Aux_Totales!$F:$F, $F224, Aux_Totales!$A:$A,#REF!), 0))</f>
        <v/>
      </c>
      <c r="HER224" s="19" t="str">
        <f>IF(HER220 = "", "", IFERROR(HER220 / SUMIFS(Aux_Totales!$N:$N, Aux_Totales!$F:$F, $F224, Aux_Totales!$A:$A,#REF!), 0))</f>
        <v/>
      </c>
      <c r="HES224" s="19" t="str">
        <f>IF(HES220 = "", "", IFERROR(HES220 / SUMIFS(Aux_Totales!$N:$N, Aux_Totales!$F:$F, $F224, Aux_Totales!$A:$A,#REF!), 0))</f>
        <v/>
      </c>
      <c r="HET224" s="19" t="str">
        <f>IF(HET220 = "", "", IFERROR(HET220 / SUMIFS(Aux_Totales!$N:$N, Aux_Totales!$F:$F, $F224, Aux_Totales!$A:$A,#REF!), 0))</f>
        <v/>
      </c>
      <c r="HEU224" s="19" t="str">
        <f>IF(HEU220 = "", "", IFERROR(HEU220 / SUMIFS(Aux_Totales!$N:$N, Aux_Totales!$F:$F, $F224, Aux_Totales!$A:$A,#REF!), 0))</f>
        <v/>
      </c>
      <c r="HEV224" s="19" t="str">
        <f>IF(HEV220 = "", "", IFERROR(HEV220 / SUMIFS(Aux_Totales!$N:$N, Aux_Totales!$F:$F, $F224, Aux_Totales!$A:$A,#REF!), 0))</f>
        <v/>
      </c>
      <c r="HEW224" s="19" t="str">
        <f>IF(HEW220 = "", "", IFERROR(HEW220 / SUMIFS(Aux_Totales!$N:$N, Aux_Totales!$F:$F, $F224, Aux_Totales!$A:$A,#REF!), 0))</f>
        <v/>
      </c>
      <c r="HEX224" s="19" t="str">
        <f>IF(HEX220 = "", "", IFERROR(HEX220 / SUMIFS(Aux_Totales!$N:$N, Aux_Totales!$F:$F, $F224, Aux_Totales!$A:$A,#REF!), 0))</f>
        <v/>
      </c>
      <c r="HEY224" s="19" t="str">
        <f>IF(HEY220 = "", "", IFERROR(HEY220 / SUMIFS(Aux_Totales!$N:$N, Aux_Totales!$F:$F, $F224, Aux_Totales!$A:$A,#REF!), 0))</f>
        <v/>
      </c>
      <c r="HEZ224" s="19" t="str">
        <f>IF(HEZ220 = "", "", IFERROR(HEZ220 / SUMIFS(Aux_Totales!$N:$N, Aux_Totales!$F:$F, $F224, Aux_Totales!$A:$A,#REF!), 0))</f>
        <v/>
      </c>
      <c r="HFA224" s="19" t="str">
        <f>IF(HFA220 = "", "", IFERROR(HFA220 / SUMIFS(Aux_Totales!$N:$N, Aux_Totales!$F:$F, $F224, Aux_Totales!$A:$A,#REF!), 0))</f>
        <v/>
      </c>
      <c r="HFB224" s="19" t="str">
        <f>IF(HFB220 = "", "", IFERROR(HFB220 / SUMIFS(Aux_Totales!$N:$N, Aux_Totales!$F:$F, $F224, Aux_Totales!$A:$A,#REF!), 0))</f>
        <v/>
      </c>
      <c r="HFC224" s="19" t="str">
        <f>IF(HFC220 = "", "", IFERROR(HFC220 / SUMIFS(Aux_Totales!$N:$N, Aux_Totales!$F:$F, $F224, Aux_Totales!$A:$A,#REF!), 0))</f>
        <v/>
      </c>
      <c r="HFD224" s="19" t="str">
        <f>IF(HFD220 = "", "", IFERROR(HFD220 / SUMIFS(Aux_Totales!$N:$N, Aux_Totales!$F:$F, $F224, Aux_Totales!$A:$A,#REF!), 0))</f>
        <v/>
      </c>
      <c r="HFE224" s="19" t="str">
        <f>IF(HFE220 = "", "", IFERROR(HFE220 / SUMIFS(Aux_Totales!$N:$N, Aux_Totales!$F:$F, $F224, Aux_Totales!$A:$A,#REF!), 0))</f>
        <v/>
      </c>
      <c r="HFF224" s="19" t="str">
        <f>IF(HFF220 = "", "", IFERROR(HFF220 / SUMIFS(Aux_Totales!$N:$N, Aux_Totales!$F:$F, $F224, Aux_Totales!$A:$A,#REF!), 0))</f>
        <v/>
      </c>
      <c r="HFG224" s="19" t="str">
        <f>IF(HFG220 = "", "", IFERROR(HFG220 / SUMIFS(Aux_Totales!$N:$N, Aux_Totales!$F:$F, $F224, Aux_Totales!$A:$A,#REF!), 0))</f>
        <v/>
      </c>
      <c r="HFH224" s="19" t="str">
        <f>IF(HFH220 = "", "", IFERROR(HFH220 / SUMIFS(Aux_Totales!$N:$N, Aux_Totales!$F:$F, $F224, Aux_Totales!$A:$A,#REF!), 0))</f>
        <v/>
      </c>
      <c r="HFI224" s="19" t="str">
        <f>IF(HFI220 = "", "", IFERROR(HFI220 / SUMIFS(Aux_Totales!$N:$N, Aux_Totales!$F:$F, $F224, Aux_Totales!$A:$A,#REF!), 0))</f>
        <v/>
      </c>
      <c r="HFJ224" s="19" t="str">
        <f>IF(HFJ220 = "", "", IFERROR(HFJ220 / SUMIFS(Aux_Totales!$N:$N, Aux_Totales!$F:$F, $F224, Aux_Totales!$A:$A,#REF!), 0))</f>
        <v/>
      </c>
      <c r="HFK224" s="19" t="str">
        <f>IF(HFK220 = "", "", IFERROR(HFK220 / SUMIFS(Aux_Totales!$N:$N, Aux_Totales!$F:$F, $F224, Aux_Totales!$A:$A,#REF!), 0))</f>
        <v/>
      </c>
      <c r="HFL224" s="19" t="str">
        <f>IF(HFL220 = "", "", IFERROR(HFL220 / SUMIFS(Aux_Totales!$N:$N, Aux_Totales!$F:$F, $F224, Aux_Totales!$A:$A,#REF!), 0))</f>
        <v/>
      </c>
      <c r="HFM224" s="19" t="str">
        <f>IF(HFM220 = "", "", IFERROR(HFM220 / SUMIFS(Aux_Totales!$N:$N, Aux_Totales!$F:$F, $F224, Aux_Totales!$A:$A,#REF!), 0))</f>
        <v/>
      </c>
      <c r="HFN224" s="19" t="str">
        <f>IF(HFN220 = "", "", IFERROR(HFN220 / SUMIFS(Aux_Totales!$N:$N, Aux_Totales!$F:$F, $F224, Aux_Totales!$A:$A,#REF!), 0))</f>
        <v/>
      </c>
      <c r="HFO224" s="19" t="str">
        <f>IF(HFO220 = "", "", IFERROR(HFO220 / SUMIFS(Aux_Totales!$N:$N, Aux_Totales!$F:$F, $F224, Aux_Totales!$A:$A,#REF!), 0))</f>
        <v/>
      </c>
      <c r="HFP224" s="19" t="str">
        <f>IF(HFP220 = "", "", IFERROR(HFP220 / SUMIFS(Aux_Totales!$N:$N, Aux_Totales!$F:$F, $F224, Aux_Totales!$A:$A,#REF!), 0))</f>
        <v/>
      </c>
      <c r="HFQ224" s="19" t="str">
        <f>IF(HFQ220 = "", "", IFERROR(HFQ220 / SUMIFS(Aux_Totales!$N:$N, Aux_Totales!$F:$F, $F224, Aux_Totales!$A:$A,#REF!), 0))</f>
        <v/>
      </c>
      <c r="HFR224" s="19" t="str">
        <f>IF(HFR220 = "", "", IFERROR(HFR220 / SUMIFS(Aux_Totales!$N:$N, Aux_Totales!$F:$F, $F224, Aux_Totales!$A:$A,#REF!), 0))</f>
        <v/>
      </c>
      <c r="HFS224" s="19" t="str">
        <f>IF(HFS220 = "", "", IFERROR(HFS220 / SUMIFS(Aux_Totales!$N:$N, Aux_Totales!$F:$F, $F224, Aux_Totales!$A:$A,#REF!), 0))</f>
        <v/>
      </c>
      <c r="HFT224" s="19" t="str">
        <f>IF(HFT220 = "", "", IFERROR(HFT220 / SUMIFS(Aux_Totales!$N:$N, Aux_Totales!$F:$F, $F224, Aux_Totales!$A:$A,#REF!), 0))</f>
        <v/>
      </c>
      <c r="HFU224" s="19" t="str">
        <f>IF(HFU220 = "", "", IFERROR(HFU220 / SUMIFS(Aux_Totales!$N:$N, Aux_Totales!$F:$F, $F224, Aux_Totales!$A:$A,#REF!), 0))</f>
        <v/>
      </c>
      <c r="HFV224" s="19" t="str">
        <f>IF(HFV220 = "", "", IFERROR(HFV220 / SUMIFS(Aux_Totales!$N:$N, Aux_Totales!$F:$F, $F224, Aux_Totales!$A:$A,#REF!), 0))</f>
        <v/>
      </c>
      <c r="HFW224" s="19" t="str">
        <f>IF(HFW220 = "", "", IFERROR(HFW220 / SUMIFS(Aux_Totales!$N:$N, Aux_Totales!$F:$F, $F224, Aux_Totales!$A:$A,#REF!), 0))</f>
        <v/>
      </c>
      <c r="HFX224" s="19" t="str">
        <f>IF(HFX220 = "", "", IFERROR(HFX220 / SUMIFS(Aux_Totales!$N:$N, Aux_Totales!$F:$F, $F224, Aux_Totales!$A:$A,#REF!), 0))</f>
        <v/>
      </c>
      <c r="HFY224" s="19" t="str">
        <f>IF(HFY220 = "", "", IFERROR(HFY220 / SUMIFS(Aux_Totales!$N:$N, Aux_Totales!$F:$F, $F224, Aux_Totales!$A:$A,#REF!), 0))</f>
        <v/>
      </c>
      <c r="HFZ224" s="19" t="str">
        <f>IF(HFZ220 = "", "", IFERROR(HFZ220 / SUMIFS(Aux_Totales!$N:$N, Aux_Totales!$F:$F, $F224, Aux_Totales!$A:$A,#REF!), 0))</f>
        <v/>
      </c>
      <c r="HGA224" s="19" t="str">
        <f>IF(HGA220 = "", "", IFERROR(HGA220 / SUMIFS(Aux_Totales!$N:$N, Aux_Totales!$F:$F, $F224, Aux_Totales!$A:$A,#REF!), 0))</f>
        <v/>
      </c>
      <c r="HGB224" s="19" t="str">
        <f>IF(HGB220 = "", "", IFERROR(HGB220 / SUMIFS(Aux_Totales!$N:$N, Aux_Totales!$F:$F, $F224, Aux_Totales!$A:$A,#REF!), 0))</f>
        <v/>
      </c>
      <c r="HGC224" s="19" t="str">
        <f>IF(HGC220 = "", "", IFERROR(HGC220 / SUMIFS(Aux_Totales!$N:$N, Aux_Totales!$F:$F, $F224, Aux_Totales!$A:$A,#REF!), 0))</f>
        <v/>
      </c>
      <c r="HGD224" s="19" t="str">
        <f>IF(HGD220 = "", "", IFERROR(HGD220 / SUMIFS(Aux_Totales!$N:$N, Aux_Totales!$F:$F, $F224, Aux_Totales!$A:$A,#REF!), 0))</f>
        <v/>
      </c>
      <c r="HGE224" s="19" t="str">
        <f>IF(HGE220 = "", "", IFERROR(HGE220 / SUMIFS(Aux_Totales!$N:$N, Aux_Totales!$F:$F, $F224, Aux_Totales!$A:$A,#REF!), 0))</f>
        <v/>
      </c>
      <c r="HGF224" s="19" t="str">
        <f>IF(HGF220 = "", "", IFERROR(HGF220 / SUMIFS(Aux_Totales!$N:$N, Aux_Totales!$F:$F, $F224, Aux_Totales!$A:$A,#REF!), 0))</f>
        <v/>
      </c>
      <c r="HGG224" s="19" t="str">
        <f>IF(HGG220 = "", "", IFERROR(HGG220 / SUMIFS(Aux_Totales!$N:$N, Aux_Totales!$F:$F, $F224, Aux_Totales!$A:$A,#REF!), 0))</f>
        <v/>
      </c>
      <c r="HGH224" s="19" t="str">
        <f>IF(HGH220 = "", "", IFERROR(HGH220 / SUMIFS(Aux_Totales!$N:$N, Aux_Totales!$F:$F, $F224, Aux_Totales!$A:$A,#REF!), 0))</f>
        <v/>
      </c>
      <c r="HGI224" s="19" t="str">
        <f>IF(HGI220 = "", "", IFERROR(HGI220 / SUMIFS(Aux_Totales!$N:$N, Aux_Totales!$F:$F, $F224, Aux_Totales!$A:$A,#REF!), 0))</f>
        <v/>
      </c>
      <c r="HGJ224" s="19" t="str">
        <f>IF(HGJ220 = "", "", IFERROR(HGJ220 / SUMIFS(Aux_Totales!$N:$N, Aux_Totales!$F:$F, $F224, Aux_Totales!$A:$A,#REF!), 0))</f>
        <v/>
      </c>
      <c r="HGK224" s="19" t="str">
        <f>IF(HGK220 = "", "", IFERROR(HGK220 / SUMIFS(Aux_Totales!$N:$N, Aux_Totales!$F:$F, $F224, Aux_Totales!$A:$A,#REF!), 0))</f>
        <v/>
      </c>
      <c r="HGL224" s="19" t="str">
        <f>IF(HGL220 = "", "", IFERROR(HGL220 / SUMIFS(Aux_Totales!$N:$N, Aux_Totales!$F:$F, $F224, Aux_Totales!$A:$A,#REF!), 0))</f>
        <v/>
      </c>
      <c r="HGM224" s="19" t="str">
        <f>IF(HGM220 = "", "", IFERROR(HGM220 / SUMIFS(Aux_Totales!$N:$N, Aux_Totales!$F:$F, $F224, Aux_Totales!$A:$A,#REF!), 0))</f>
        <v/>
      </c>
      <c r="HGN224" s="19" t="str">
        <f>IF(HGN220 = "", "", IFERROR(HGN220 / SUMIFS(Aux_Totales!$N:$N, Aux_Totales!$F:$F, $F224, Aux_Totales!$A:$A,#REF!), 0))</f>
        <v/>
      </c>
      <c r="HGO224" s="19" t="str">
        <f>IF(HGO220 = "", "", IFERROR(HGO220 / SUMIFS(Aux_Totales!$N:$N, Aux_Totales!$F:$F, $F224, Aux_Totales!$A:$A,#REF!), 0))</f>
        <v/>
      </c>
      <c r="HGP224" s="19" t="str">
        <f>IF(HGP220 = "", "", IFERROR(HGP220 / SUMIFS(Aux_Totales!$N:$N, Aux_Totales!$F:$F, $F224, Aux_Totales!$A:$A,#REF!), 0))</f>
        <v/>
      </c>
      <c r="HGQ224" s="19" t="str">
        <f>IF(HGQ220 = "", "", IFERROR(HGQ220 / SUMIFS(Aux_Totales!$N:$N, Aux_Totales!$F:$F, $F224, Aux_Totales!$A:$A,#REF!), 0))</f>
        <v/>
      </c>
      <c r="HGR224" s="19" t="str">
        <f>IF(HGR220 = "", "", IFERROR(HGR220 / SUMIFS(Aux_Totales!$N:$N, Aux_Totales!$F:$F, $F224, Aux_Totales!$A:$A,#REF!), 0))</f>
        <v/>
      </c>
      <c r="HGS224" s="19" t="str">
        <f>IF(HGS220 = "", "", IFERROR(HGS220 / SUMIFS(Aux_Totales!$N:$N, Aux_Totales!$F:$F, $F224, Aux_Totales!$A:$A,#REF!), 0))</f>
        <v/>
      </c>
      <c r="HGT224" s="19" t="str">
        <f>IF(HGT220 = "", "", IFERROR(HGT220 / SUMIFS(Aux_Totales!$N:$N, Aux_Totales!$F:$F, $F224, Aux_Totales!$A:$A,#REF!), 0))</f>
        <v/>
      </c>
      <c r="HGU224" s="19" t="str">
        <f>IF(HGU220 = "", "", IFERROR(HGU220 / SUMIFS(Aux_Totales!$N:$N, Aux_Totales!$F:$F, $F224, Aux_Totales!$A:$A,#REF!), 0))</f>
        <v/>
      </c>
      <c r="HGV224" s="19" t="str">
        <f>IF(HGV220 = "", "", IFERROR(HGV220 / SUMIFS(Aux_Totales!$N:$N, Aux_Totales!$F:$F, $F224, Aux_Totales!$A:$A,#REF!), 0))</f>
        <v/>
      </c>
      <c r="HGW224" s="19" t="str">
        <f>IF(HGW220 = "", "", IFERROR(HGW220 / SUMIFS(Aux_Totales!$N:$N, Aux_Totales!$F:$F, $F224, Aux_Totales!$A:$A,#REF!), 0))</f>
        <v/>
      </c>
      <c r="HGX224" s="19" t="str">
        <f>IF(HGX220 = "", "", IFERROR(HGX220 / SUMIFS(Aux_Totales!$N:$N, Aux_Totales!$F:$F, $F224, Aux_Totales!$A:$A,#REF!), 0))</f>
        <v/>
      </c>
      <c r="HGY224" s="19" t="str">
        <f>IF(HGY220 = "", "", IFERROR(HGY220 / SUMIFS(Aux_Totales!$N:$N, Aux_Totales!$F:$F, $F224, Aux_Totales!$A:$A,#REF!), 0))</f>
        <v/>
      </c>
      <c r="HGZ224" s="19" t="str">
        <f>IF(HGZ220 = "", "", IFERROR(HGZ220 / SUMIFS(Aux_Totales!$N:$N, Aux_Totales!$F:$F, $F224, Aux_Totales!$A:$A,#REF!), 0))</f>
        <v/>
      </c>
      <c r="HHA224" s="19" t="str">
        <f>IF(HHA220 = "", "", IFERROR(HHA220 / SUMIFS(Aux_Totales!$N:$N, Aux_Totales!$F:$F, $F224, Aux_Totales!$A:$A,#REF!), 0))</f>
        <v/>
      </c>
      <c r="HHB224" s="19" t="str">
        <f>IF(HHB220 = "", "", IFERROR(HHB220 / SUMIFS(Aux_Totales!$N:$N, Aux_Totales!$F:$F, $F224, Aux_Totales!$A:$A,#REF!), 0))</f>
        <v/>
      </c>
      <c r="HHC224" s="19" t="str">
        <f>IF(HHC220 = "", "", IFERROR(HHC220 / SUMIFS(Aux_Totales!$N:$N, Aux_Totales!$F:$F, $F224, Aux_Totales!$A:$A,#REF!), 0))</f>
        <v/>
      </c>
      <c r="HHD224" s="19" t="str">
        <f>IF(HHD220 = "", "", IFERROR(HHD220 / SUMIFS(Aux_Totales!$N:$N, Aux_Totales!$F:$F, $F224, Aux_Totales!$A:$A,#REF!), 0))</f>
        <v/>
      </c>
      <c r="HHE224" s="19" t="str">
        <f>IF(HHE220 = "", "", IFERROR(HHE220 / SUMIFS(Aux_Totales!$N:$N, Aux_Totales!$F:$F, $F224, Aux_Totales!$A:$A,#REF!), 0))</f>
        <v/>
      </c>
      <c r="HHF224" s="19" t="str">
        <f>IF(HHF220 = "", "", IFERROR(HHF220 / SUMIFS(Aux_Totales!$N:$N, Aux_Totales!$F:$F, $F224, Aux_Totales!$A:$A,#REF!), 0))</f>
        <v/>
      </c>
      <c r="HHG224" s="19" t="str">
        <f>IF(HHG220 = "", "", IFERROR(HHG220 / SUMIFS(Aux_Totales!$N:$N, Aux_Totales!$F:$F, $F224, Aux_Totales!$A:$A,#REF!), 0))</f>
        <v/>
      </c>
      <c r="HHH224" s="19" t="str">
        <f>IF(HHH220 = "", "", IFERROR(HHH220 / SUMIFS(Aux_Totales!$N:$N, Aux_Totales!$F:$F, $F224, Aux_Totales!$A:$A,#REF!), 0))</f>
        <v/>
      </c>
      <c r="HHI224" s="19" t="str">
        <f>IF(HHI220 = "", "", IFERROR(HHI220 / SUMIFS(Aux_Totales!$N:$N, Aux_Totales!$F:$F, $F224, Aux_Totales!$A:$A,#REF!), 0))</f>
        <v/>
      </c>
      <c r="HHJ224" s="19" t="str">
        <f>IF(HHJ220 = "", "", IFERROR(HHJ220 / SUMIFS(Aux_Totales!$N:$N, Aux_Totales!$F:$F, $F224, Aux_Totales!$A:$A,#REF!), 0))</f>
        <v/>
      </c>
      <c r="HHK224" s="19" t="str">
        <f>IF(HHK220 = "", "", IFERROR(HHK220 / SUMIFS(Aux_Totales!$N:$N, Aux_Totales!$F:$F, $F224, Aux_Totales!$A:$A,#REF!), 0))</f>
        <v/>
      </c>
      <c r="HHL224" s="19" t="str">
        <f>IF(HHL220 = "", "", IFERROR(HHL220 / SUMIFS(Aux_Totales!$N:$N, Aux_Totales!$F:$F, $F224, Aux_Totales!$A:$A,#REF!), 0))</f>
        <v/>
      </c>
      <c r="HHM224" s="19" t="str">
        <f>IF(HHM220 = "", "", IFERROR(HHM220 / SUMIFS(Aux_Totales!$N:$N, Aux_Totales!$F:$F, $F224, Aux_Totales!$A:$A,#REF!), 0))</f>
        <v/>
      </c>
      <c r="HHN224" s="19" t="str">
        <f>IF(HHN220 = "", "", IFERROR(HHN220 / SUMIFS(Aux_Totales!$N:$N, Aux_Totales!$F:$F, $F224, Aux_Totales!$A:$A,#REF!), 0))</f>
        <v/>
      </c>
      <c r="HHO224" s="19" t="str">
        <f>IF(HHO220 = "", "", IFERROR(HHO220 / SUMIFS(Aux_Totales!$N:$N, Aux_Totales!$F:$F, $F224, Aux_Totales!$A:$A,#REF!), 0))</f>
        <v/>
      </c>
      <c r="HHP224" s="19" t="str">
        <f>IF(HHP220 = "", "", IFERROR(HHP220 / SUMIFS(Aux_Totales!$N:$N, Aux_Totales!$F:$F, $F224, Aux_Totales!$A:$A,#REF!), 0))</f>
        <v/>
      </c>
      <c r="HHQ224" s="19" t="str">
        <f>IF(HHQ220 = "", "", IFERROR(HHQ220 / SUMIFS(Aux_Totales!$N:$N, Aux_Totales!$F:$F, $F224, Aux_Totales!$A:$A,#REF!), 0))</f>
        <v/>
      </c>
      <c r="HHR224" s="19" t="str">
        <f>IF(HHR220 = "", "", IFERROR(HHR220 / SUMIFS(Aux_Totales!$N:$N, Aux_Totales!$F:$F, $F224, Aux_Totales!$A:$A,#REF!), 0))</f>
        <v/>
      </c>
      <c r="HHS224" s="19" t="str">
        <f>IF(HHS220 = "", "", IFERROR(HHS220 / SUMIFS(Aux_Totales!$N:$N, Aux_Totales!$F:$F, $F224, Aux_Totales!$A:$A,#REF!), 0))</f>
        <v/>
      </c>
      <c r="HHT224" s="19" t="str">
        <f>IF(HHT220 = "", "", IFERROR(HHT220 / SUMIFS(Aux_Totales!$N:$N, Aux_Totales!$F:$F, $F224, Aux_Totales!$A:$A,#REF!), 0))</f>
        <v/>
      </c>
      <c r="HHU224" s="19" t="str">
        <f>IF(HHU220 = "", "", IFERROR(HHU220 / SUMIFS(Aux_Totales!$N:$N, Aux_Totales!$F:$F, $F224, Aux_Totales!$A:$A,#REF!), 0))</f>
        <v/>
      </c>
      <c r="HHV224" s="19" t="str">
        <f>IF(HHV220 = "", "", IFERROR(HHV220 / SUMIFS(Aux_Totales!$N:$N, Aux_Totales!$F:$F, $F224, Aux_Totales!$A:$A,#REF!), 0))</f>
        <v/>
      </c>
      <c r="HHW224" s="19" t="str">
        <f>IF(HHW220 = "", "", IFERROR(HHW220 / SUMIFS(Aux_Totales!$N:$N, Aux_Totales!$F:$F, $F224, Aux_Totales!$A:$A,#REF!), 0))</f>
        <v/>
      </c>
      <c r="HHX224" s="19" t="str">
        <f>IF(HHX220 = "", "", IFERROR(HHX220 / SUMIFS(Aux_Totales!$N:$N, Aux_Totales!$F:$F, $F224, Aux_Totales!$A:$A,#REF!), 0))</f>
        <v/>
      </c>
      <c r="HHY224" s="19" t="str">
        <f>IF(HHY220 = "", "", IFERROR(HHY220 / SUMIFS(Aux_Totales!$N:$N, Aux_Totales!$F:$F, $F224, Aux_Totales!$A:$A,#REF!), 0))</f>
        <v/>
      </c>
      <c r="HHZ224" s="19" t="str">
        <f>IF(HHZ220 = "", "", IFERROR(HHZ220 / SUMIFS(Aux_Totales!$N:$N, Aux_Totales!$F:$F, $F224, Aux_Totales!$A:$A,#REF!), 0))</f>
        <v/>
      </c>
      <c r="HIA224" s="19" t="str">
        <f>IF(HIA220 = "", "", IFERROR(HIA220 / SUMIFS(Aux_Totales!$N:$N, Aux_Totales!$F:$F, $F224, Aux_Totales!$A:$A,#REF!), 0))</f>
        <v/>
      </c>
      <c r="HIB224" s="19" t="str">
        <f>IF(HIB220 = "", "", IFERROR(HIB220 / SUMIFS(Aux_Totales!$N:$N, Aux_Totales!$F:$F, $F224, Aux_Totales!$A:$A,#REF!), 0))</f>
        <v/>
      </c>
      <c r="HIC224" s="19" t="str">
        <f>IF(HIC220 = "", "", IFERROR(HIC220 / SUMIFS(Aux_Totales!$N:$N, Aux_Totales!$F:$F, $F224, Aux_Totales!$A:$A,#REF!), 0))</f>
        <v/>
      </c>
      <c r="HID224" s="19" t="str">
        <f>IF(HID220 = "", "", IFERROR(HID220 / SUMIFS(Aux_Totales!$N:$N, Aux_Totales!$F:$F, $F224, Aux_Totales!$A:$A,#REF!), 0))</f>
        <v/>
      </c>
      <c r="HIE224" s="19" t="str">
        <f>IF(HIE220 = "", "", IFERROR(HIE220 / SUMIFS(Aux_Totales!$N:$N, Aux_Totales!$F:$F, $F224, Aux_Totales!$A:$A,#REF!), 0))</f>
        <v/>
      </c>
      <c r="HIF224" s="19" t="str">
        <f>IF(HIF220 = "", "", IFERROR(HIF220 / SUMIFS(Aux_Totales!$N:$N, Aux_Totales!$F:$F, $F224, Aux_Totales!$A:$A,#REF!), 0))</f>
        <v/>
      </c>
      <c r="HIG224" s="19" t="str">
        <f>IF(HIG220 = "", "", IFERROR(HIG220 / SUMIFS(Aux_Totales!$N:$N, Aux_Totales!$F:$F, $F224, Aux_Totales!$A:$A,#REF!), 0))</f>
        <v/>
      </c>
      <c r="HIH224" s="19" t="str">
        <f>IF(HIH220 = "", "", IFERROR(HIH220 / SUMIFS(Aux_Totales!$N:$N, Aux_Totales!$F:$F, $F224, Aux_Totales!$A:$A,#REF!), 0))</f>
        <v/>
      </c>
      <c r="HII224" s="19" t="str">
        <f>IF(HII220 = "", "", IFERROR(HII220 / SUMIFS(Aux_Totales!$N:$N, Aux_Totales!$F:$F, $F224, Aux_Totales!$A:$A,#REF!), 0))</f>
        <v/>
      </c>
      <c r="HIJ224" s="19" t="str">
        <f>IF(HIJ220 = "", "", IFERROR(HIJ220 / SUMIFS(Aux_Totales!$N:$N, Aux_Totales!$F:$F, $F224, Aux_Totales!$A:$A,#REF!), 0))</f>
        <v/>
      </c>
      <c r="HIK224" s="19" t="str">
        <f>IF(HIK220 = "", "", IFERROR(HIK220 / SUMIFS(Aux_Totales!$N:$N, Aux_Totales!$F:$F, $F224, Aux_Totales!$A:$A,#REF!), 0))</f>
        <v/>
      </c>
      <c r="HIL224" s="19" t="str">
        <f>IF(HIL220 = "", "", IFERROR(HIL220 / SUMIFS(Aux_Totales!$N:$N, Aux_Totales!$F:$F, $F224, Aux_Totales!$A:$A,#REF!), 0))</f>
        <v/>
      </c>
      <c r="HIM224" s="19" t="str">
        <f>IF(HIM220 = "", "", IFERROR(HIM220 / SUMIFS(Aux_Totales!$N:$N, Aux_Totales!$F:$F, $F224, Aux_Totales!$A:$A,#REF!), 0))</f>
        <v/>
      </c>
      <c r="HIN224" s="19" t="str">
        <f>IF(HIN220 = "", "", IFERROR(HIN220 / SUMIFS(Aux_Totales!$N:$N, Aux_Totales!$F:$F, $F224, Aux_Totales!$A:$A,#REF!), 0))</f>
        <v/>
      </c>
      <c r="HIO224" s="19" t="str">
        <f>IF(HIO220 = "", "", IFERROR(HIO220 / SUMIFS(Aux_Totales!$N:$N, Aux_Totales!$F:$F, $F224, Aux_Totales!$A:$A,#REF!), 0))</f>
        <v/>
      </c>
      <c r="HIP224" s="19" t="str">
        <f>IF(HIP220 = "", "", IFERROR(HIP220 / SUMIFS(Aux_Totales!$N:$N, Aux_Totales!$F:$F, $F224, Aux_Totales!$A:$A,#REF!), 0))</f>
        <v/>
      </c>
      <c r="HIQ224" s="19" t="str">
        <f>IF(HIQ220 = "", "", IFERROR(HIQ220 / SUMIFS(Aux_Totales!$N:$N, Aux_Totales!$F:$F, $F224, Aux_Totales!$A:$A,#REF!), 0))</f>
        <v/>
      </c>
      <c r="HIR224" s="19" t="str">
        <f>IF(HIR220 = "", "", IFERROR(HIR220 / SUMIFS(Aux_Totales!$N:$N, Aux_Totales!$F:$F, $F224, Aux_Totales!$A:$A,#REF!), 0))</f>
        <v/>
      </c>
      <c r="HIS224" s="19" t="str">
        <f>IF(HIS220 = "", "", IFERROR(HIS220 / SUMIFS(Aux_Totales!$N:$N, Aux_Totales!$F:$F, $F224, Aux_Totales!$A:$A,#REF!), 0))</f>
        <v/>
      </c>
      <c r="HIT224" s="19" t="str">
        <f>IF(HIT220 = "", "", IFERROR(HIT220 / SUMIFS(Aux_Totales!$N:$N, Aux_Totales!$F:$F, $F224, Aux_Totales!$A:$A,#REF!), 0))</f>
        <v/>
      </c>
      <c r="HIU224" s="19" t="str">
        <f>IF(HIU220 = "", "", IFERROR(HIU220 / SUMIFS(Aux_Totales!$N:$N, Aux_Totales!$F:$F, $F224, Aux_Totales!$A:$A,#REF!), 0))</f>
        <v/>
      </c>
      <c r="HIV224" s="19" t="str">
        <f>IF(HIV220 = "", "", IFERROR(HIV220 / SUMIFS(Aux_Totales!$N:$N, Aux_Totales!$F:$F, $F224, Aux_Totales!$A:$A,#REF!), 0))</f>
        <v/>
      </c>
      <c r="HIW224" s="19" t="str">
        <f>IF(HIW220 = "", "", IFERROR(HIW220 / SUMIFS(Aux_Totales!$N:$N, Aux_Totales!$F:$F, $F224, Aux_Totales!$A:$A,#REF!), 0))</f>
        <v/>
      </c>
      <c r="HIX224" s="19" t="str">
        <f>IF(HIX220 = "", "", IFERROR(HIX220 / SUMIFS(Aux_Totales!$N:$N, Aux_Totales!$F:$F, $F224, Aux_Totales!$A:$A,#REF!), 0))</f>
        <v/>
      </c>
      <c r="HIY224" s="19" t="str">
        <f>IF(HIY220 = "", "", IFERROR(HIY220 / SUMIFS(Aux_Totales!$N:$N, Aux_Totales!$F:$F, $F224, Aux_Totales!$A:$A,#REF!), 0))</f>
        <v/>
      </c>
      <c r="HIZ224" s="19" t="str">
        <f>IF(HIZ220 = "", "", IFERROR(HIZ220 / SUMIFS(Aux_Totales!$N:$N, Aux_Totales!$F:$F, $F224, Aux_Totales!$A:$A,#REF!), 0))</f>
        <v/>
      </c>
      <c r="HJA224" s="19" t="str">
        <f>IF(HJA220 = "", "", IFERROR(HJA220 / SUMIFS(Aux_Totales!$N:$N, Aux_Totales!$F:$F, $F224, Aux_Totales!$A:$A,#REF!), 0))</f>
        <v/>
      </c>
      <c r="HJB224" s="19" t="str">
        <f>IF(HJB220 = "", "", IFERROR(HJB220 / SUMIFS(Aux_Totales!$N:$N, Aux_Totales!$F:$F, $F224, Aux_Totales!$A:$A,#REF!), 0))</f>
        <v/>
      </c>
      <c r="HJC224" s="19" t="str">
        <f>IF(HJC220 = "", "", IFERROR(HJC220 / SUMIFS(Aux_Totales!$N:$N, Aux_Totales!$F:$F, $F224, Aux_Totales!$A:$A,#REF!), 0))</f>
        <v/>
      </c>
      <c r="HJD224" s="19" t="str">
        <f>IF(HJD220 = "", "", IFERROR(HJD220 / SUMIFS(Aux_Totales!$N:$N, Aux_Totales!$F:$F, $F224, Aux_Totales!$A:$A,#REF!), 0))</f>
        <v/>
      </c>
      <c r="HJE224" s="19" t="str">
        <f>IF(HJE220 = "", "", IFERROR(HJE220 / SUMIFS(Aux_Totales!$N:$N, Aux_Totales!$F:$F, $F224, Aux_Totales!$A:$A,#REF!), 0))</f>
        <v/>
      </c>
      <c r="HJF224" s="19" t="str">
        <f>IF(HJF220 = "", "", IFERROR(HJF220 / SUMIFS(Aux_Totales!$N:$N, Aux_Totales!$F:$F, $F224, Aux_Totales!$A:$A,#REF!), 0))</f>
        <v/>
      </c>
      <c r="HJG224" s="19" t="str">
        <f>IF(HJG220 = "", "", IFERROR(HJG220 / SUMIFS(Aux_Totales!$N:$N, Aux_Totales!$F:$F, $F224, Aux_Totales!$A:$A,#REF!), 0))</f>
        <v/>
      </c>
      <c r="HJH224" s="19" t="str">
        <f>IF(HJH220 = "", "", IFERROR(HJH220 / SUMIFS(Aux_Totales!$N:$N, Aux_Totales!$F:$F, $F224, Aux_Totales!$A:$A,#REF!), 0))</f>
        <v/>
      </c>
      <c r="HJI224" s="19" t="str">
        <f>IF(HJI220 = "", "", IFERROR(HJI220 / SUMIFS(Aux_Totales!$N:$N, Aux_Totales!$F:$F, $F224, Aux_Totales!$A:$A,#REF!), 0))</f>
        <v/>
      </c>
      <c r="HJJ224" s="19" t="str">
        <f>IF(HJJ220 = "", "", IFERROR(HJJ220 / SUMIFS(Aux_Totales!$N:$N, Aux_Totales!$F:$F, $F224, Aux_Totales!$A:$A,#REF!), 0))</f>
        <v/>
      </c>
      <c r="HJK224" s="19" t="str">
        <f>IF(HJK220 = "", "", IFERROR(HJK220 / SUMIFS(Aux_Totales!$N:$N, Aux_Totales!$F:$F, $F224, Aux_Totales!$A:$A,#REF!), 0))</f>
        <v/>
      </c>
      <c r="HJL224" s="19" t="str">
        <f>IF(HJL220 = "", "", IFERROR(HJL220 / SUMIFS(Aux_Totales!$N:$N, Aux_Totales!$F:$F, $F224, Aux_Totales!$A:$A,#REF!), 0))</f>
        <v/>
      </c>
      <c r="HJM224" s="19" t="str">
        <f>IF(HJM220 = "", "", IFERROR(HJM220 / SUMIFS(Aux_Totales!$N:$N, Aux_Totales!$F:$F, $F224, Aux_Totales!$A:$A,#REF!), 0))</f>
        <v/>
      </c>
      <c r="HJN224" s="19" t="str">
        <f>IF(HJN220 = "", "", IFERROR(HJN220 / SUMIFS(Aux_Totales!$N:$N, Aux_Totales!$F:$F, $F224, Aux_Totales!$A:$A,#REF!), 0))</f>
        <v/>
      </c>
      <c r="HJO224" s="19" t="str">
        <f>IF(HJO220 = "", "", IFERROR(HJO220 / SUMIFS(Aux_Totales!$N:$N, Aux_Totales!$F:$F, $F224, Aux_Totales!$A:$A,#REF!), 0))</f>
        <v/>
      </c>
      <c r="HJP224" s="19" t="str">
        <f>IF(HJP220 = "", "", IFERROR(HJP220 / SUMIFS(Aux_Totales!$N:$N, Aux_Totales!$F:$F, $F224, Aux_Totales!$A:$A,#REF!), 0))</f>
        <v/>
      </c>
      <c r="HJQ224" s="19" t="str">
        <f>IF(HJQ220 = "", "", IFERROR(HJQ220 / SUMIFS(Aux_Totales!$N:$N, Aux_Totales!$F:$F, $F224, Aux_Totales!$A:$A,#REF!), 0))</f>
        <v/>
      </c>
      <c r="HJR224" s="19" t="str">
        <f>IF(HJR220 = "", "", IFERROR(HJR220 / SUMIFS(Aux_Totales!$N:$N, Aux_Totales!$F:$F, $F224, Aux_Totales!$A:$A,#REF!), 0))</f>
        <v/>
      </c>
      <c r="HJS224" s="19" t="str">
        <f>IF(HJS220 = "", "", IFERROR(HJS220 / SUMIFS(Aux_Totales!$N:$N, Aux_Totales!$F:$F, $F224, Aux_Totales!$A:$A,#REF!), 0))</f>
        <v/>
      </c>
      <c r="HJT224" s="19" t="str">
        <f>IF(HJT220 = "", "", IFERROR(HJT220 / SUMIFS(Aux_Totales!$N:$N, Aux_Totales!$F:$F, $F224, Aux_Totales!$A:$A,#REF!), 0))</f>
        <v/>
      </c>
      <c r="HJU224" s="19" t="str">
        <f>IF(HJU220 = "", "", IFERROR(HJU220 / SUMIFS(Aux_Totales!$N:$N, Aux_Totales!$F:$F, $F224, Aux_Totales!$A:$A,#REF!), 0))</f>
        <v/>
      </c>
      <c r="HJV224" s="19" t="str">
        <f>IF(HJV220 = "", "", IFERROR(HJV220 / SUMIFS(Aux_Totales!$N:$N, Aux_Totales!$F:$F, $F224, Aux_Totales!$A:$A,#REF!), 0))</f>
        <v/>
      </c>
      <c r="HJW224" s="19" t="str">
        <f>IF(HJW220 = "", "", IFERROR(HJW220 / SUMIFS(Aux_Totales!$N:$N, Aux_Totales!$F:$F, $F224, Aux_Totales!$A:$A,#REF!), 0))</f>
        <v/>
      </c>
      <c r="HJX224" s="19" t="str">
        <f>IF(HJX220 = "", "", IFERROR(HJX220 / SUMIFS(Aux_Totales!$N:$N, Aux_Totales!$F:$F, $F224, Aux_Totales!$A:$A,#REF!), 0))</f>
        <v/>
      </c>
      <c r="HJY224" s="19" t="str">
        <f>IF(HJY220 = "", "", IFERROR(HJY220 / SUMIFS(Aux_Totales!$N:$N, Aux_Totales!$F:$F, $F224, Aux_Totales!$A:$A,#REF!), 0))</f>
        <v/>
      </c>
      <c r="HJZ224" s="19" t="str">
        <f>IF(HJZ220 = "", "", IFERROR(HJZ220 / SUMIFS(Aux_Totales!$N:$N, Aux_Totales!$F:$F, $F224, Aux_Totales!$A:$A,#REF!), 0))</f>
        <v/>
      </c>
      <c r="HKA224" s="19" t="str">
        <f>IF(HKA220 = "", "", IFERROR(HKA220 / SUMIFS(Aux_Totales!$N:$N, Aux_Totales!$F:$F, $F224, Aux_Totales!$A:$A,#REF!), 0))</f>
        <v/>
      </c>
      <c r="HKB224" s="19" t="str">
        <f>IF(HKB220 = "", "", IFERROR(HKB220 / SUMIFS(Aux_Totales!$N:$N, Aux_Totales!$F:$F, $F224, Aux_Totales!$A:$A,#REF!), 0))</f>
        <v/>
      </c>
      <c r="HKC224" s="19" t="str">
        <f>IF(HKC220 = "", "", IFERROR(HKC220 / SUMIFS(Aux_Totales!$N:$N, Aux_Totales!$F:$F, $F224, Aux_Totales!$A:$A,#REF!), 0))</f>
        <v/>
      </c>
      <c r="HKD224" s="19" t="str">
        <f>IF(HKD220 = "", "", IFERROR(HKD220 / SUMIFS(Aux_Totales!$N:$N, Aux_Totales!$F:$F, $F224, Aux_Totales!$A:$A,#REF!), 0))</f>
        <v/>
      </c>
      <c r="HKE224" s="19" t="str">
        <f>IF(HKE220 = "", "", IFERROR(HKE220 / SUMIFS(Aux_Totales!$N:$N, Aux_Totales!$F:$F, $F224, Aux_Totales!$A:$A,#REF!), 0))</f>
        <v/>
      </c>
      <c r="HKF224" s="19" t="str">
        <f>IF(HKF220 = "", "", IFERROR(HKF220 / SUMIFS(Aux_Totales!$N:$N, Aux_Totales!$F:$F, $F224, Aux_Totales!$A:$A,#REF!), 0))</f>
        <v/>
      </c>
      <c r="HKG224" s="19" t="str">
        <f>IF(HKG220 = "", "", IFERROR(HKG220 / SUMIFS(Aux_Totales!$N:$N, Aux_Totales!$F:$F, $F224, Aux_Totales!$A:$A,#REF!), 0))</f>
        <v/>
      </c>
      <c r="HKH224" s="19" t="str">
        <f>IF(HKH220 = "", "", IFERROR(HKH220 / SUMIFS(Aux_Totales!$N:$N, Aux_Totales!$F:$F, $F224, Aux_Totales!$A:$A,#REF!), 0))</f>
        <v/>
      </c>
      <c r="HKI224" s="19" t="str">
        <f>IF(HKI220 = "", "", IFERROR(HKI220 / SUMIFS(Aux_Totales!$N:$N, Aux_Totales!$F:$F, $F224, Aux_Totales!$A:$A,#REF!), 0))</f>
        <v/>
      </c>
      <c r="HKJ224" s="19" t="str">
        <f>IF(HKJ220 = "", "", IFERROR(HKJ220 / SUMIFS(Aux_Totales!$N:$N, Aux_Totales!$F:$F, $F224, Aux_Totales!$A:$A,#REF!), 0))</f>
        <v/>
      </c>
      <c r="HKK224" s="19" t="str">
        <f>IF(HKK220 = "", "", IFERROR(HKK220 / SUMIFS(Aux_Totales!$N:$N, Aux_Totales!$F:$F, $F224, Aux_Totales!$A:$A,#REF!), 0))</f>
        <v/>
      </c>
      <c r="HKL224" s="19" t="str">
        <f>IF(HKL220 = "", "", IFERROR(HKL220 / SUMIFS(Aux_Totales!$N:$N, Aux_Totales!$F:$F, $F224, Aux_Totales!$A:$A,#REF!), 0))</f>
        <v/>
      </c>
      <c r="HKM224" s="19" t="str">
        <f>IF(HKM220 = "", "", IFERROR(HKM220 / SUMIFS(Aux_Totales!$N:$N, Aux_Totales!$F:$F, $F224, Aux_Totales!$A:$A,#REF!), 0))</f>
        <v/>
      </c>
      <c r="HKN224" s="19" t="str">
        <f>IF(HKN220 = "", "", IFERROR(HKN220 / SUMIFS(Aux_Totales!$N:$N, Aux_Totales!$F:$F, $F224, Aux_Totales!$A:$A,#REF!), 0))</f>
        <v/>
      </c>
      <c r="HKO224" s="19" t="str">
        <f>IF(HKO220 = "", "", IFERROR(HKO220 / SUMIFS(Aux_Totales!$N:$N, Aux_Totales!$F:$F, $F224, Aux_Totales!$A:$A,#REF!), 0))</f>
        <v/>
      </c>
      <c r="HKP224" s="19" t="str">
        <f>IF(HKP220 = "", "", IFERROR(HKP220 / SUMIFS(Aux_Totales!$N:$N, Aux_Totales!$F:$F, $F224, Aux_Totales!$A:$A,#REF!), 0))</f>
        <v/>
      </c>
      <c r="HKQ224" s="19" t="str">
        <f>IF(HKQ220 = "", "", IFERROR(HKQ220 / SUMIFS(Aux_Totales!$N:$N, Aux_Totales!$F:$F, $F224, Aux_Totales!$A:$A,#REF!), 0))</f>
        <v/>
      </c>
      <c r="HKR224" s="19" t="str">
        <f>IF(HKR220 = "", "", IFERROR(HKR220 / SUMIFS(Aux_Totales!$N:$N, Aux_Totales!$F:$F, $F224, Aux_Totales!$A:$A,#REF!), 0))</f>
        <v/>
      </c>
      <c r="HKS224" s="19" t="str">
        <f>IF(HKS220 = "", "", IFERROR(HKS220 / SUMIFS(Aux_Totales!$N:$N, Aux_Totales!$F:$F, $F224, Aux_Totales!$A:$A,#REF!), 0))</f>
        <v/>
      </c>
      <c r="HKT224" s="19" t="str">
        <f>IF(HKT220 = "", "", IFERROR(HKT220 / SUMIFS(Aux_Totales!$N:$N, Aux_Totales!$F:$F, $F224, Aux_Totales!$A:$A,#REF!), 0))</f>
        <v/>
      </c>
      <c r="HKU224" s="19" t="str">
        <f>IF(HKU220 = "", "", IFERROR(HKU220 / SUMIFS(Aux_Totales!$N:$N, Aux_Totales!$F:$F, $F224, Aux_Totales!$A:$A,#REF!), 0))</f>
        <v/>
      </c>
      <c r="HKV224" s="19" t="str">
        <f>IF(HKV220 = "", "", IFERROR(HKV220 / SUMIFS(Aux_Totales!$N:$N, Aux_Totales!$F:$F, $F224, Aux_Totales!$A:$A,#REF!), 0))</f>
        <v/>
      </c>
      <c r="HKW224" s="19" t="str">
        <f>IF(HKW220 = "", "", IFERROR(HKW220 / SUMIFS(Aux_Totales!$N:$N, Aux_Totales!$F:$F, $F224, Aux_Totales!$A:$A,#REF!), 0))</f>
        <v/>
      </c>
      <c r="HKX224" s="19" t="str">
        <f>IF(HKX220 = "", "", IFERROR(HKX220 / SUMIFS(Aux_Totales!$N:$N, Aux_Totales!$F:$F, $F224, Aux_Totales!$A:$A,#REF!), 0))</f>
        <v/>
      </c>
      <c r="HKY224" s="19" t="str">
        <f>IF(HKY220 = "", "", IFERROR(HKY220 / SUMIFS(Aux_Totales!$N:$N, Aux_Totales!$F:$F, $F224, Aux_Totales!$A:$A,#REF!), 0))</f>
        <v/>
      </c>
      <c r="HKZ224" s="19" t="str">
        <f>IF(HKZ220 = "", "", IFERROR(HKZ220 / SUMIFS(Aux_Totales!$N:$N, Aux_Totales!$F:$F, $F224, Aux_Totales!$A:$A,#REF!), 0))</f>
        <v/>
      </c>
      <c r="HLA224" s="19" t="str">
        <f>IF(HLA220 = "", "", IFERROR(HLA220 / SUMIFS(Aux_Totales!$N:$N, Aux_Totales!$F:$F, $F224, Aux_Totales!$A:$A,#REF!), 0))</f>
        <v/>
      </c>
      <c r="HLB224" s="19" t="str">
        <f>IF(HLB220 = "", "", IFERROR(HLB220 / SUMIFS(Aux_Totales!$N:$N, Aux_Totales!$F:$F, $F224, Aux_Totales!$A:$A,#REF!), 0))</f>
        <v/>
      </c>
      <c r="HLC224" s="19" t="str">
        <f>IF(HLC220 = "", "", IFERROR(HLC220 / SUMIFS(Aux_Totales!$N:$N, Aux_Totales!$F:$F, $F224, Aux_Totales!$A:$A,#REF!), 0))</f>
        <v/>
      </c>
      <c r="HLD224" s="19" t="str">
        <f>IF(HLD220 = "", "", IFERROR(HLD220 / SUMIFS(Aux_Totales!$N:$N, Aux_Totales!$F:$F, $F224, Aux_Totales!$A:$A,#REF!), 0))</f>
        <v/>
      </c>
      <c r="HLE224" s="19" t="str">
        <f>IF(HLE220 = "", "", IFERROR(HLE220 / SUMIFS(Aux_Totales!$N:$N, Aux_Totales!$F:$F, $F224, Aux_Totales!$A:$A,#REF!), 0))</f>
        <v/>
      </c>
      <c r="HLF224" s="19" t="str">
        <f>IF(HLF220 = "", "", IFERROR(HLF220 / SUMIFS(Aux_Totales!$N:$N, Aux_Totales!$F:$F, $F224, Aux_Totales!$A:$A,#REF!), 0))</f>
        <v/>
      </c>
      <c r="HLG224" s="19" t="str">
        <f>IF(HLG220 = "", "", IFERROR(HLG220 / SUMIFS(Aux_Totales!$N:$N, Aux_Totales!$F:$F, $F224, Aux_Totales!$A:$A,#REF!), 0))</f>
        <v/>
      </c>
      <c r="HLH224" s="19" t="str">
        <f>IF(HLH220 = "", "", IFERROR(HLH220 / SUMIFS(Aux_Totales!$N:$N, Aux_Totales!$F:$F, $F224, Aux_Totales!$A:$A,#REF!), 0))</f>
        <v/>
      </c>
      <c r="HLI224" s="19" t="str">
        <f>IF(HLI220 = "", "", IFERROR(HLI220 / SUMIFS(Aux_Totales!$N:$N, Aux_Totales!$F:$F, $F224, Aux_Totales!$A:$A,#REF!), 0))</f>
        <v/>
      </c>
      <c r="HLJ224" s="19" t="str">
        <f>IF(HLJ220 = "", "", IFERROR(HLJ220 / SUMIFS(Aux_Totales!$N:$N, Aux_Totales!$F:$F, $F224, Aux_Totales!$A:$A,#REF!), 0))</f>
        <v/>
      </c>
      <c r="HLK224" s="19" t="str">
        <f>IF(HLK220 = "", "", IFERROR(HLK220 / SUMIFS(Aux_Totales!$N:$N, Aux_Totales!$F:$F, $F224, Aux_Totales!$A:$A,#REF!), 0))</f>
        <v/>
      </c>
      <c r="HLL224" s="19" t="str">
        <f>IF(HLL220 = "", "", IFERROR(HLL220 / SUMIFS(Aux_Totales!$N:$N, Aux_Totales!$F:$F, $F224, Aux_Totales!$A:$A,#REF!), 0))</f>
        <v/>
      </c>
      <c r="HLM224" s="19" t="str">
        <f>IF(HLM220 = "", "", IFERROR(HLM220 / SUMIFS(Aux_Totales!$N:$N, Aux_Totales!$F:$F, $F224, Aux_Totales!$A:$A,#REF!), 0))</f>
        <v/>
      </c>
      <c r="HLN224" s="19" t="str">
        <f>IF(HLN220 = "", "", IFERROR(HLN220 / SUMIFS(Aux_Totales!$N:$N, Aux_Totales!$F:$F, $F224, Aux_Totales!$A:$A,#REF!), 0))</f>
        <v/>
      </c>
      <c r="HLO224" s="19" t="str">
        <f>IF(HLO220 = "", "", IFERROR(HLO220 / SUMIFS(Aux_Totales!$N:$N, Aux_Totales!$F:$F, $F224, Aux_Totales!$A:$A,#REF!), 0))</f>
        <v/>
      </c>
      <c r="HLP224" s="19" t="str">
        <f>IF(HLP220 = "", "", IFERROR(HLP220 / SUMIFS(Aux_Totales!$N:$N, Aux_Totales!$F:$F, $F224, Aux_Totales!$A:$A,#REF!), 0))</f>
        <v/>
      </c>
      <c r="HLQ224" s="19" t="str">
        <f>IF(HLQ220 = "", "", IFERROR(HLQ220 / SUMIFS(Aux_Totales!$N:$N, Aux_Totales!$F:$F, $F224, Aux_Totales!$A:$A,#REF!), 0))</f>
        <v/>
      </c>
      <c r="HLR224" s="19" t="str">
        <f>IF(HLR220 = "", "", IFERROR(HLR220 / SUMIFS(Aux_Totales!$N:$N, Aux_Totales!$F:$F, $F224, Aux_Totales!$A:$A,#REF!), 0))</f>
        <v/>
      </c>
      <c r="HLS224" s="19" t="str">
        <f>IF(HLS220 = "", "", IFERROR(HLS220 / SUMIFS(Aux_Totales!$N:$N, Aux_Totales!$F:$F, $F224, Aux_Totales!$A:$A,#REF!), 0))</f>
        <v/>
      </c>
      <c r="HLT224" s="19" t="str">
        <f>IF(HLT220 = "", "", IFERROR(HLT220 / SUMIFS(Aux_Totales!$N:$N, Aux_Totales!$F:$F, $F224, Aux_Totales!$A:$A,#REF!), 0))</f>
        <v/>
      </c>
      <c r="HLU224" s="19" t="str">
        <f>IF(HLU220 = "", "", IFERROR(HLU220 / SUMIFS(Aux_Totales!$N:$N, Aux_Totales!$F:$F, $F224, Aux_Totales!$A:$A,#REF!), 0))</f>
        <v/>
      </c>
      <c r="HLV224" s="19" t="str">
        <f>IF(HLV220 = "", "", IFERROR(HLV220 / SUMIFS(Aux_Totales!$N:$N, Aux_Totales!$F:$F, $F224, Aux_Totales!$A:$A,#REF!), 0))</f>
        <v/>
      </c>
      <c r="HLW224" s="19" t="str">
        <f>IF(HLW220 = "", "", IFERROR(HLW220 / SUMIFS(Aux_Totales!$N:$N, Aux_Totales!$F:$F, $F224, Aux_Totales!$A:$A,#REF!), 0))</f>
        <v/>
      </c>
      <c r="HLX224" s="19" t="str">
        <f>IF(HLX220 = "", "", IFERROR(HLX220 / SUMIFS(Aux_Totales!$N:$N, Aux_Totales!$F:$F, $F224, Aux_Totales!$A:$A,#REF!), 0))</f>
        <v/>
      </c>
      <c r="HLY224" s="19" t="str">
        <f>IF(HLY220 = "", "", IFERROR(HLY220 / SUMIFS(Aux_Totales!$N:$N, Aux_Totales!$F:$F, $F224, Aux_Totales!$A:$A,#REF!), 0))</f>
        <v/>
      </c>
      <c r="HLZ224" s="19" t="str">
        <f>IF(HLZ220 = "", "", IFERROR(HLZ220 / SUMIFS(Aux_Totales!$N:$N, Aux_Totales!$F:$F, $F224, Aux_Totales!$A:$A,#REF!), 0))</f>
        <v/>
      </c>
      <c r="HMA224" s="19" t="str">
        <f>IF(HMA220 = "", "", IFERROR(HMA220 / SUMIFS(Aux_Totales!$N:$N, Aux_Totales!$F:$F, $F224, Aux_Totales!$A:$A,#REF!), 0))</f>
        <v/>
      </c>
      <c r="HMB224" s="19" t="str">
        <f>IF(HMB220 = "", "", IFERROR(HMB220 / SUMIFS(Aux_Totales!$N:$N, Aux_Totales!$F:$F, $F224, Aux_Totales!$A:$A,#REF!), 0))</f>
        <v/>
      </c>
      <c r="HMC224" s="19" t="str">
        <f>IF(HMC220 = "", "", IFERROR(HMC220 / SUMIFS(Aux_Totales!$N:$N, Aux_Totales!$F:$F, $F224, Aux_Totales!$A:$A,#REF!), 0))</f>
        <v/>
      </c>
      <c r="HMD224" s="19" t="str">
        <f>IF(HMD220 = "", "", IFERROR(HMD220 / SUMIFS(Aux_Totales!$N:$N, Aux_Totales!$F:$F, $F224, Aux_Totales!$A:$A,#REF!), 0))</f>
        <v/>
      </c>
      <c r="HME224" s="19" t="str">
        <f>IF(HME220 = "", "", IFERROR(HME220 / SUMIFS(Aux_Totales!$N:$N, Aux_Totales!$F:$F, $F224, Aux_Totales!$A:$A,#REF!), 0))</f>
        <v/>
      </c>
      <c r="HMF224" s="19" t="str">
        <f>IF(HMF220 = "", "", IFERROR(HMF220 / SUMIFS(Aux_Totales!$N:$N, Aux_Totales!$F:$F, $F224, Aux_Totales!$A:$A,#REF!), 0))</f>
        <v/>
      </c>
      <c r="HMG224" s="19" t="str">
        <f>IF(HMG220 = "", "", IFERROR(HMG220 / SUMIFS(Aux_Totales!$N:$N, Aux_Totales!$F:$F, $F224, Aux_Totales!$A:$A,#REF!), 0))</f>
        <v/>
      </c>
      <c r="HMH224" s="19" t="str">
        <f>IF(HMH220 = "", "", IFERROR(HMH220 / SUMIFS(Aux_Totales!$N:$N, Aux_Totales!$F:$F, $F224, Aux_Totales!$A:$A,#REF!), 0))</f>
        <v/>
      </c>
      <c r="HMI224" s="19" t="str">
        <f>IF(HMI220 = "", "", IFERROR(HMI220 / SUMIFS(Aux_Totales!$N:$N, Aux_Totales!$F:$F, $F224, Aux_Totales!$A:$A,#REF!), 0))</f>
        <v/>
      </c>
      <c r="HMJ224" s="19" t="str">
        <f>IF(HMJ220 = "", "", IFERROR(HMJ220 / SUMIFS(Aux_Totales!$N:$N, Aux_Totales!$F:$F, $F224, Aux_Totales!$A:$A,#REF!), 0))</f>
        <v/>
      </c>
      <c r="HMK224" s="19" t="str">
        <f>IF(HMK220 = "", "", IFERROR(HMK220 / SUMIFS(Aux_Totales!$N:$N, Aux_Totales!$F:$F, $F224, Aux_Totales!$A:$A,#REF!), 0))</f>
        <v/>
      </c>
      <c r="HML224" s="19" t="str">
        <f>IF(HML220 = "", "", IFERROR(HML220 / SUMIFS(Aux_Totales!$N:$N, Aux_Totales!$F:$F, $F224, Aux_Totales!$A:$A,#REF!), 0))</f>
        <v/>
      </c>
      <c r="HMM224" s="19" t="str">
        <f>IF(HMM220 = "", "", IFERROR(HMM220 / SUMIFS(Aux_Totales!$N:$N, Aux_Totales!$F:$F, $F224, Aux_Totales!$A:$A,#REF!), 0))</f>
        <v/>
      </c>
      <c r="HMN224" s="19" t="str">
        <f>IF(HMN220 = "", "", IFERROR(HMN220 / SUMIFS(Aux_Totales!$N:$N, Aux_Totales!$F:$F, $F224, Aux_Totales!$A:$A,#REF!), 0))</f>
        <v/>
      </c>
      <c r="HMO224" s="19" t="str">
        <f>IF(HMO220 = "", "", IFERROR(HMO220 / SUMIFS(Aux_Totales!$N:$N, Aux_Totales!$F:$F, $F224, Aux_Totales!$A:$A,#REF!), 0))</f>
        <v/>
      </c>
      <c r="HMP224" s="19" t="str">
        <f>IF(HMP220 = "", "", IFERROR(HMP220 / SUMIFS(Aux_Totales!$N:$N, Aux_Totales!$F:$F, $F224, Aux_Totales!$A:$A,#REF!), 0))</f>
        <v/>
      </c>
      <c r="HMQ224" s="19" t="str">
        <f>IF(HMQ220 = "", "", IFERROR(HMQ220 / SUMIFS(Aux_Totales!$N:$N, Aux_Totales!$F:$F, $F224, Aux_Totales!$A:$A,#REF!), 0))</f>
        <v/>
      </c>
      <c r="HMR224" s="19" t="str">
        <f>IF(HMR220 = "", "", IFERROR(HMR220 / SUMIFS(Aux_Totales!$N:$N, Aux_Totales!$F:$F, $F224, Aux_Totales!$A:$A,#REF!), 0))</f>
        <v/>
      </c>
      <c r="HMS224" s="19" t="str">
        <f>IF(HMS220 = "", "", IFERROR(HMS220 / SUMIFS(Aux_Totales!$N:$N, Aux_Totales!$F:$F, $F224, Aux_Totales!$A:$A,#REF!), 0))</f>
        <v/>
      </c>
      <c r="HMT224" s="19" t="str">
        <f>IF(HMT220 = "", "", IFERROR(HMT220 / SUMIFS(Aux_Totales!$N:$N, Aux_Totales!$F:$F, $F224, Aux_Totales!$A:$A,#REF!), 0))</f>
        <v/>
      </c>
      <c r="HMU224" s="19" t="str">
        <f>IF(HMU220 = "", "", IFERROR(HMU220 / SUMIFS(Aux_Totales!$N:$N, Aux_Totales!$F:$F, $F224, Aux_Totales!$A:$A,#REF!), 0))</f>
        <v/>
      </c>
      <c r="HMV224" s="19" t="str">
        <f>IF(HMV220 = "", "", IFERROR(HMV220 / SUMIFS(Aux_Totales!$N:$N, Aux_Totales!$F:$F, $F224, Aux_Totales!$A:$A,#REF!), 0))</f>
        <v/>
      </c>
      <c r="HMW224" s="19" t="str">
        <f>IF(HMW220 = "", "", IFERROR(HMW220 / SUMIFS(Aux_Totales!$N:$N, Aux_Totales!$F:$F, $F224, Aux_Totales!$A:$A,#REF!), 0))</f>
        <v/>
      </c>
      <c r="HMX224" s="19" t="str">
        <f>IF(HMX220 = "", "", IFERROR(HMX220 / SUMIFS(Aux_Totales!$N:$N, Aux_Totales!$F:$F, $F224, Aux_Totales!$A:$A,#REF!), 0))</f>
        <v/>
      </c>
      <c r="HMY224" s="19" t="str">
        <f>IF(HMY220 = "", "", IFERROR(HMY220 / SUMIFS(Aux_Totales!$N:$N, Aux_Totales!$F:$F, $F224, Aux_Totales!$A:$A,#REF!), 0))</f>
        <v/>
      </c>
      <c r="HMZ224" s="19" t="str">
        <f>IF(HMZ220 = "", "", IFERROR(HMZ220 / SUMIFS(Aux_Totales!$N:$N, Aux_Totales!$F:$F, $F224, Aux_Totales!$A:$A,#REF!), 0))</f>
        <v/>
      </c>
      <c r="HNA224" s="19" t="str">
        <f>IF(HNA220 = "", "", IFERROR(HNA220 / SUMIFS(Aux_Totales!$N:$N, Aux_Totales!$F:$F, $F224, Aux_Totales!$A:$A,#REF!), 0))</f>
        <v/>
      </c>
      <c r="HNB224" s="19" t="str">
        <f>IF(HNB220 = "", "", IFERROR(HNB220 / SUMIFS(Aux_Totales!$N:$N, Aux_Totales!$F:$F, $F224, Aux_Totales!$A:$A,#REF!), 0))</f>
        <v/>
      </c>
      <c r="HNC224" s="19" t="str">
        <f>IF(HNC220 = "", "", IFERROR(HNC220 / SUMIFS(Aux_Totales!$N:$N, Aux_Totales!$F:$F, $F224, Aux_Totales!$A:$A,#REF!), 0))</f>
        <v/>
      </c>
      <c r="HND224" s="19" t="str">
        <f>IF(HND220 = "", "", IFERROR(HND220 / SUMIFS(Aux_Totales!$N:$N, Aux_Totales!$F:$F, $F224, Aux_Totales!$A:$A,#REF!), 0))</f>
        <v/>
      </c>
      <c r="HNE224" s="19" t="str">
        <f>IF(HNE220 = "", "", IFERROR(HNE220 / SUMIFS(Aux_Totales!$N:$N, Aux_Totales!$F:$F, $F224, Aux_Totales!$A:$A,#REF!), 0))</f>
        <v/>
      </c>
      <c r="HNF224" s="19" t="str">
        <f>IF(HNF220 = "", "", IFERROR(HNF220 / SUMIFS(Aux_Totales!$N:$N, Aux_Totales!$F:$F, $F224, Aux_Totales!$A:$A,#REF!), 0))</f>
        <v/>
      </c>
      <c r="HNG224" s="19" t="str">
        <f>IF(HNG220 = "", "", IFERROR(HNG220 / SUMIFS(Aux_Totales!$N:$N, Aux_Totales!$F:$F, $F224, Aux_Totales!$A:$A,#REF!), 0))</f>
        <v/>
      </c>
      <c r="HNH224" s="19" t="str">
        <f>IF(HNH220 = "", "", IFERROR(HNH220 / SUMIFS(Aux_Totales!$N:$N, Aux_Totales!$F:$F, $F224, Aux_Totales!$A:$A,#REF!), 0))</f>
        <v/>
      </c>
      <c r="HNI224" s="19" t="str">
        <f>IF(HNI220 = "", "", IFERROR(HNI220 / SUMIFS(Aux_Totales!$N:$N, Aux_Totales!$F:$F, $F224, Aux_Totales!$A:$A,#REF!), 0))</f>
        <v/>
      </c>
      <c r="HNJ224" s="19" t="str">
        <f>IF(HNJ220 = "", "", IFERROR(HNJ220 / SUMIFS(Aux_Totales!$N:$N, Aux_Totales!$F:$F, $F224, Aux_Totales!$A:$A,#REF!), 0))</f>
        <v/>
      </c>
      <c r="HNK224" s="19" t="str">
        <f>IF(HNK220 = "", "", IFERROR(HNK220 / SUMIFS(Aux_Totales!$N:$N, Aux_Totales!$F:$F, $F224, Aux_Totales!$A:$A,#REF!), 0))</f>
        <v/>
      </c>
      <c r="HNL224" s="19" t="str">
        <f>IF(HNL220 = "", "", IFERROR(HNL220 / SUMIFS(Aux_Totales!$N:$N, Aux_Totales!$F:$F, $F224, Aux_Totales!$A:$A,#REF!), 0))</f>
        <v/>
      </c>
      <c r="HNM224" s="19" t="str">
        <f>IF(HNM220 = "", "", IFERROR(HNM220 / SUMIFS(Aux_Totales!$N:$N, Aux_Totales!$F:$F, $F224, Aux_Totales!$A:$A,#REF!), 0))</f>
        <v/>
      </c>
      <c r="HNN224" s="19" t="str">
        <f>IF(HNN220 = "", "", IFERROR(HNN220 / SUMIFS(Aux_Totales!$N:$N, Aux_Totales!$F:$F, $F224, Aux_Totales!$A:$A,#REF!), 0))</f>
        <v/>
      </c>
      <c r="HNO224" s="19" t="str">
        <f>IF(HNO220 = "", "", IFERROR(HNO220 / SUMIFS(Aux_Totales!$N:$N, Aux_Totales!$F:$F, $F224, Aux_Totales!$A:$A,#REF!), 0))</f>
        <v/>
      </c>
      <c r="HNP224" s="19" t="str">
        <f>IF(HNP220 = "", "", IFERROR(HNP220 / SUMIFS(Aux_Totales!$N:$N, Aux_Totales!$F:$F, $F224, Aux_Totales!$A:$A,#REF!), 0))</f>
        <v/>
      </c>
      <c r="HNQ224" s="19" t="str">
        <f>IF(HNQ220 = "", "", IFERROR(HNQ220 / SUMIFS(Aux_Totales!$N:$N, Aux_Totales!$F:$F, $F224, Aux_Totales!$A:$A,#REF!), 0))</f>
        <v/>
      </c>
      <c r="HNR224" s="19" t="str">
        <f>IF(HNR220 = "", "", IFERROR(HNR220 / SUMIFS(Aux_Totales!$N:$N, Aux_Totales!$F:$F, $F224, Aux_Totales!$A:$A,#REF!), 0))</f>
        <v/>
      </c>
      <c r="HNS224" s="19" t="str">
        <f>IF(HNS220 = "", "", IFERROR(HNS220 / SUMIFS(Aux_Totales!$N:$N, Aux_Totales!$F:$F, $F224, Aux_Totales!$A:$A,#REF!), 0))</f>
        <v/>
      </c>
      <c r="HNT224" s="19" t="str">
        <f>IF(HNT220 = "", "", IFERROR(HNT220 / SUMIFS(Aux_Totales!$N:$N, Aux_Totales!$F:$F, $F224, Aux_Totales!$A:$A,#REF!), 0))</f>
        <v/>
      </c>
      <c r="HNU224" s="19" t="str">
        <f>IF(HNU220 = "", "", IFERROR(HNU220 / SUMIFS(Aux_Totales!$N:$N, Aux_Totales!$F:$F, $F224, Aux_Totales!$A:$A,#REF!), 0))</f>
        <v/>
      </c>
      <c r="HNV224" s="19" t="str">
        <f>IF(HNV220 = "", "", IFERROR(HNV220 / SUMIFS(Aux_Totales!$N:$N, Aux_Totales!$F:$F, $F224, Aux_Totales!$A:$A,#REF!), 0))</f>
        <v/>
      </c>
      <c r="HNW224" s="19" t="str">
        <f>IF(HNW220 = "", "", IFERROR(HNW220 / SUMIFS(Aux_Totales!$N:$N, Aux_Totales!$F:$F, $F224, Aux_Totales!$A:$A,#REF!), 0))</f>
        <v/>
      </c>
      <c r="HNX224" s="19" t="str">
        <f>IF(HNX220 = "", "", IFERROR(HNX220 / SUMIFS(Aux_Totales!$N:$N, Aux_Totales!$F:$F, $F224, Aux_Totales!$A:$A,#REF!), 0))</f>
        <v/>
      </c>
      <c r="HNY224" s="19" t="str">
        <f>IF(HNY220 = "", "", IFERROR(HNY220 / SUMIFS(Aux_Totales!$N:$N, Aux_Totales!$F:$F, $F224, Aux_Totales!$A:$A,#REF!), 0))</f>
        <v/>
      </c>
      <c r="HNZ224" s="19" t="str">
        <f>IF(HNZ220 = "", "", IFERROR(HNZ220 / SUMIFS(Aux_Totales!$N:$N, Aux_Totales!$F:$F, $F224, Aux_Totales!$A:$A,#REF!), 0))</f>
        <v/>
      </c>
      <c r="HOA224" s="19" t="str">
        <f>IF(HOA220 = "", "", IFERROR(HOA220 / SUMIFS(Aux_Totales!$N:$N, Aux_Totales!$F:$F, $F224, Aux_Totales!$A:$A,#REF!), 0))</f>
        <v/>
      </c>
      <c r="HOB224" s="19" t="str">
        <f>IF(HOB220 = "", "", IFERROR(HOB220 / SUMIFS(Aux_Totales!$N:$N, Aux_Totales!$F:$F, $F224, Aux_Totales!$A:$A,#REF!), 0))</f>
        <v/>
      </c>
      <c r="HOC224" s="19" t="str">
        <f>IF(HOC220 = "", "", IFERROR(HOC220 / SUMIFS(Aux_Totales!$N:$N, Aux_Totales!$F:$F, $F224, Aux_Totales!$A:$A,#REF!), 0))</f>
        <v/>
      </c>
      <c r="HOD224" s="19" t="str">
        <f>IF(HOD220 = "", "", IFERROR(HOD220 / SUMIFS(Aux_Totales!$N:$N, Aux_Totales!$F:$F, $F224, Aux_Totales!$A:$A,#REF!), 0))</f>
        <v/>
      </c>
      <c r="HOE224" s="19" t="str">
        <f>IF(HOE220 = "", "", IFERROR(HOE220 / SUMIFS(Aux_Totales!$N:$N, Aux_Totales!$F:$F, $F224, Aux_Totales!$A:$A,#REF!), 0))</f>
        <v/>
      </c>
      <c r="HOF224" s="19" t="str">
        <f>IF(HOF220 = "", "", IFERROR(HOF220 / SUMIFS(Aux_Totales!$N:$N, Aux_Totales!$F:$F, $F224, Aux_Totales!$A:$A,#REF!), 0))</f>
        <v/>
      </c>
      <c r="HOG224" s="19" t="str">
        <f>IF(HOG220 = "", "", IFERROR(HOG220 / SUMIFS(Aux_Totales!$N:$N, Aux_Totales!$F:$F, $F224, Aux_Totales!$A:$A,#REF!), 0))</f>
        <v/>
      </c>
      <c r="HOH224" s="19" t="str">
        <f>IF(HOH220 = "", "", IFERROR(HOH220 / SUMIFS(Aux_Totales!$N:$N, Aux_Totales!$F:$F, $F224, Aux_Totales!$A:$A,#REF!), 0))</f>
        <v/>
      </c>
      <c r="HOI224" s="19" t="str">
        <f>IF(HOI220 = "", "", IFERROR(HOI220 / SUMIFS(Aux_Totales!$N:$N, Aux_Totales!$F:$F, $F224, Aux_Totales!$A:$A,#REF!), 0))</f>
        <v/>
      </c>
      <c r="HOJ224" s="19" t="str">
        <f>IF(HOJ220 = "", "", IFERROR(HOJ220 / SUMIFS(Aux_Totales!$N:$N, Aux_Totales!$F:$F, $F224, Aux_Totales!$A:$A,#REF!), 0))</f>
        <v/>
      </c>
      <c r="HOK224" s="19" t="str">
        <f>IF(HOK220 = "", "", IFERROR(HOK220 / SUMIFS(Aux_Totales!$N:$N, Aux_Totales!$F:$F, $F224, Aux_Totales!$A:$A,#REF!), 0))</f>
        <v/>
      </c>
      <c r="HOL224" s="19" t="str">
        <f>IF(HOL220 = "", "", IFERROR(HOL220 / SUMIFS(Aux_Totales!$N:$N, Aux_Totales!$F:$F, $F224, Aux_Totales!$A:$A,#REF!), 0))</f>
        <v/>
      </c>
      <c r="HOM224" s="19" t="str">
        <f>IF(HOM220 = "", "", IFERROR(HOM220 / SUMIFS(Aux_Totales!$N:$N, Aux_Totales!$F:$F, $F224, Aux_Totales!$A:$A,#REF!), 0))</f>
        <v/>
      </c>
      <c r="HON224" s="19" t="str">
        <f>IF(HON220 = "", "", IFERROR(HON220 / SUMIFS(Aux_Totales!$N:$N, Aux_Totales!$F:$F, $F224, Aux_Totales!$A:$A,#REF!), 0))</f>
        <v/>
      </c>
      <c r="HOO224" s="19" t="str">
        <f>IF(HOO220 = "", "", IFERROR(HOO220 / SUMIFS(Aux_Totales!$N:$N, Aux_Totales!$F:$F, $F224, Aux_Totales!$A:$A,#REF!), 0))</f>
        <v/>
      </c>
      <c r="HOP224" s="19" t="str">
        <f>IF(HOP220 = "", "", IFERROR(HOP220 / SUMIFS(Aux_Totales!$N:$N, Aux_Totales!$F:$F, $F224, Aux_Totales!$A:$A,#REF!), 0))</f>
        <v/>
      </c>
      <c r="HOQ224" s="19" t="str">
        <f>IF(HOQ220 = "", "", IFERROR(HOQ220 / SUMIFS(Aux_Totales!$N:$N, Aux_Totales!$F:$F, $F224, Aux_Totales!$A:$A,#REF!), 0))</f>
        <v/>
      </c>
      <c r="HOR224" s="19" t="str">
        <f>IF(HOR220 = "", "", IFERROR(HOR220 / SUMIFS(Aux_Totales!$N:$N, Aux_Totales!$F:$F, $F224, Aux_Totales!$A:$A,#REF!), 0))</f>
        <v/>
      </c>
      <c r="HOS224" s="19" t="str">
        <f>IF(HOS220 = "", "", IFERROR(HOS220 / SUMIFS(Aux_Totales!$N:$N, Aux_Totales!$F:$F, $F224, Aux_Totales!$A:$A,#REF!), 0))</f>
        <v/>
      </c>
      <c r="HOT224" s="19" t="str">
        <f>IF(HOT220 = "", "", IFERROR(HOT220 / SUMIFS(Aux_Totales!$N:$N, Aux_Totales!$F:$F, $F224, Aux_Totales!$A:$A,#REF!), 0))</f>
        <v/>
      </c>
      <c r="HOU224" s="19" t="str">
        <f>IF(HOU220 = "", "", IFERROR(HOU220 / SUMIFS(Aux_Totales!$N:$N, Aux_Totales!$F:$F, $F224, Aux_Totales!$A:$A,#REF!), 0))</f>
        <v/>
      </c>
      <c r="HOV224" s="19" t="str">
        <f>IF(HOV220 = "", "", IFERROR(HOV220 / SUMIFS(Aux_Totales!$N:$N, Aux_Totales!$F:$F, $F224, Aux_Totales!$A:$A,#REF!), 0))</f>
        <v/>
      </c>
      <c r="HOW224" s="19" t="str">
        <f>IF(HOW220 = "", "", IFERROR(HOW220 / SUMIFS(Aux_Totales!$N:$N, Aux_Totales!$F:$F, $F224, Aux_Totales!$A:$A,#REF!), 0))</f>
        <v/>
      </c>
      <c r="HOX224" s="19" t="str">
        <f>IF(HOX220 = "", "", IFERROR(HOX220 / SUMIFS(Aux_Totales!$N:$N, Aux_Totales!$F:$F, $F224, Aux_Totales!$A:$A,#REF!), 0))</f>
        <v/>
      </c>
      <c r="HOY224" s="19" t="str">
        <f>IF(HOY220 = "", "", IFERROR(HOY220 / SUMIFS(Aux_Totales!$N:$N, Aux_Totales!$F:$F, $F224, Aux_Totales!$A:$A,#REF!), 0))</f>
        <v/>
      </c>
      <c r="HOZ224" s="19" t="str">
        <f>IF(HOZ220 = "", "", IFERROR(HOZ220 / SUMIFS(Aux_Totales!$N:$N, Aux_Totales!$F:$F, $F224, Aux_Totales!$A:$A,#REF!), 0))</f>
        <v/>
      </c>
      <c r="HPA224" s="19" t="str">
        <f>IF(HPA220 = "", "", IFERROR(HPA220 / SUMIFS(Aux_Totales!$N:$N, Aux_Totales!$F:$F, $F224, Aux_Totales!$A:$A,#REF!), 0))</f>
        <v/>
      </c>
      <c r="HPB224" s="19" t="str">
        <f>IF(HPB220 = "", "", IFERROR(HPB220 / SUMIFS(Aux_Totales!$N:$N, Aux_Totales!$F:$F, $F224, Aux_Totales!$A:$A,#REF!), 0))</f>
        <v/>
      </c>
      <c r="HPC224" s="19" t="str">
        <f>IF(HPC220 = "", "", IFERROR(HPC220 / SUMIFS(Aux_Totales!$N:$N, Aux_Totales!$F:$F, $F224, Aux_Totales!$A:$A,#REF!), 0))</f>
        <v/>
      </c>
      <c r="HPD224" s="19" t="str">
        <f>IF(HPD220 = "", "", IFERROR(HPD220 / SUMIFS(Aux_Totales!$N:$N, Aux_Totales!$F:$F, $F224, Aux_Totales!$A:$A,#REF!), 0))</f>
        <v/>
      </c>
      <c r="HPE224" s="19" t="str">
        <f>IF(HPE220 = "", "", IFERROR(HPE220 / SUMIFS(Aux_Totales!$N:$N, Aux_Totales!$F:$F, $F224, Aux_Totales!$A:$A,#REF!), 0))</f>
        <v/>
      </c>
      <c r="HPF224" s="19" t="str">
        <f>IF(HPF220 = "", "", IFERROR(HPF220 / SUMIFS(Aux_Totales!$N:$N, Aux_Totales!$F:$F, $F224, Aux_Totales!$A:$A,#REF!), 0))</f>
        <v/>
      </c>
      <c r="HPG224" s="19" t="str">
        <f>IF(HPG220 = "", "", IFERROR(HPG220 / SUMIFS(Aux_Totales!$N:$N, Aux_Totales!$F:$F, $F224, Aux_Totales!$A:$A,#REF!), 0))</f>
        <v/>
      </c>
      <c r="HPH224" s="19" t="str">
        <f>IF(HPH220 = "", "", IFERROR(HPH220 / SUMIFS(Aux_Totales!$N:$N, Aux_Totales!$F:$F, $F224, Aux_Totales!$A:$A,#REF!), 0))</f>
        <v/>
      </c>
      <c r="HPI224" s="19" t="str">
        <f>IF(HPI220 = "", "", IFERROR(HPI220 / SUMIFS(Aux_Totales!$N:$N, Aux_Totales!$F:$F, $F224, Aux_Totales!$A:$A,#REF!), 0))</f>
        <v/>
      </c>
      <c r="HPJ224" s="19" t="str">
        <f>IF(HPJ220 = "", "", IFERROR(HPJ220 / SUMIFS(Aux_Totales!$N:$N, Aux_Totales!$F:$F, $F224, Aux_Totales!$A:$A,#REF!), 0))</f>
        <v/>
      </c>
      <c r="HPK224" s="19" t="str">
        <f>IF(HPK220 = "", "", IFERROR(HPK220 / SUMIFS(Aux_Totales!$N:$N, Aux_Totales!$F:$F, $F224, Aux_Totales!$A:$A,#REF!), 0))</f>
        <v/>
      </c>
      <c r="HPL224" s="19" t="str">
        <f>IF(HPL220 = "", "", IFERROR(HPL220 / SUMIFS(Aux_Totales!$N:$N, Aux_Totales!$F:$F, $F224, Aux_Totales!$A:$A,#REF!), 0))</f>
        <v/>
      </c>
      <c r="HPM224" s="19" t="str">
        <f>IF(HPM220 = "", "", IFERROR(HPM220 / SUMIFS(Aux_Totales!$N:$N, Aux_Totales!$F:$F, $F224, Aux_Totales!$A:$A,#REF!), 0))</f>
        <v/>
      </c>
      <c r="HPN224" s="19" t="str">
        <f>IF(HPN220 = "", "", IFERROR(HPN220 / SUMIFS(Aux_Totales!$N:$N, Aux_Totales!$F:$F, $F224, Aux_Totales!$A:$A,#REF!), 0))</f>
        <v/>
      </c>
      <c r="HPO224" s="19" t="str">
        <f>IF(HPO220 = "", "", IFERROR(HPO220 / SUMIFS(Aux_Totales!$N:$N, Aux_Totales!$F:$F, $F224, Aux_Totales!$A:$A,#REF!), 0))</f>
        <v/>
      </c>
      <c r="HPP224" s="19" t="str">
        <f>IF(HPP220 = "", "", IFERROR(HPP220 / SUMIFS(Aux_Totales!$N:$N, Aux_Totales!$F:$F, $F224, Aux_Totales!$A:$A,#REF!), 0))</f>
        <v/>
      </c>
      <c r="HPQ224" s="19" t="str">
        <f>IF(HPQ220 = "", "", IFERROR(HPQ220 / SUMIFS(Aux_Totales!$N:$N, Aux_Totales!$F:$F, $F224, Aux_Totales!$A:$A,#REF!), 0))</f>
        <v/>
      </c>
      <c r="HPR224" s="19" t="str">
        <f>IF(HPR220 = "", "", IFERROR(HPR220 / SUMIFS(Aux_Totales!$N:$N, Aux_Totales!$F:$F, $F224, Aux_Totales!$A:$A,#REF!), 0))</f>
        <v/>
      </c>
      <c r="HPS224" s="19" t="str">
        <f>IF(HPS220 = "", "", IFERROR(HPS220 / SUMIFS(Aux_Totales!$N:$N, Aux_Totales!$F:$F, $F224, Aux_Totales!$A:$A,#REF!), 0))</f>
        <v/>
      </c>
      <c r="HPT224" s="19" t="str">
        <f>IF(HPT220 = "", "", IFERROR(HPT220 / SUMIFS(Aux_Totales!$N:$N, Aux_Totales!$F:$F, $F224, Aux_Totales!$A:$A,#REF!), 0))</f>
        <v/>
      </c>
      <c r="HPU224" s="19" t="str">
        <f>IF(HPU220 = "", "", IFERROR(HPU220 / SUMIFS(Aux_Totales!$N:$N, Aux_Totales!$F:$F, $F224, Aux_Totales!$A:$A,#REF!), 0))</f>
        <v/>
      </c>
      <c r="HPV224" s="19" t="str">
        <f>IF(HPV220 = "", "", IFERROR(HPV220 / SUMIFS(Aux_Totales!$N:$N, Aux_Totales!$F:$F, $F224, Aux_Totales!$A:$A,#REF!), 0))</f>
        <v/>
      </c>
      <c r="HPW224" s="19" t="str">
        <f>IF(HPW220 = "", "", IFERROR(HPW220 / SUMIFS(Aux_Totales!$N:$N, Aux_Totales!$F:$F, $F224, Aux_Totales!$A:$A,#REF!), 0))</f>
        <v/>
      </c>
      <c r="HPX224" s="19" t="str">
        <f>IF(HPX220 = "", "", IFERROR(HPX220 / SUMIFS(Aux_Totales!$N:$N, Aux_Totales!$F:$F, $F224, Aux_Totales!$A:$A,#REF!), 0))</f>
        <v/>
      </c>
      <c r="HPY224" s="19" t="str">
        <f>IF(HPY220 = "", "", IFERROR(HPY220 / SUMIFS(Aux_Totales!$N:$N, Aux_Totales!$F:$F, $F224, Aux_Totales!$A:$A,#REF!), 0))</f>
        <v/>
      </c>
      <c r="HPZ224" s="19" t="str">
        <f>IF(HPZ220 = "", "", IFERROR(HPZ220 / SUMIFS(Aux_Totales!$N:$N, Aux_Totales!$F:$F, $F224, Aux_Totales!$A:$A,#REF!), 0))</f>
        <v/>
      </c>
      <c r="HQA224" s="19" t="str">
        <f>IF(HQA220 = "", "", IFERROR(HQA220 / SUMIFS(Aux_Totales!$N:$N, Aux_Totales!$F:$F, $F224, Aux_Totales!$A:$A,#REF!), 0))</f>
        <v/>
      </c>
      <c r="HQB224" s="19" t="str">
        <f>IF(HQB220 = "", "", IFERROR(HQB220 / SUMIFS(Aux_Totales!$N:$N, Aux_Totales!$F:$F, $F224, Aux_Totales!$A:$A,#REF!), 0))</f>
        <v/>
      </c>
      <c r="HQC224" s="19" t="str">
        <f>IF(HQC220 = "", "", IFERROR(HQC220 / SUMIFS(Aux_Totales!$N:$N, Aux_Totales!$F:$F, $F224, Aux_Totales!$A:$A,#REF!), 0))</f>
        <v/>
      </c>
      <c r="HQD224" s="19" t="str">
        <f>IF(HQD220 = "", "", IFERROR(HQD220 / SUMIFS(Aux_Totales!$N:$N, Aux_Totales!$F:$F, $F224, Aux_Totales!$A:$A,#REF!), 0))</f>
        <v/>
      </c>
      <c r="HQE224" s="19" t="str">
        <f>IF(HQE220 = "", "", IFERROR(HQE220 / SUMIFS(Aux_Totales!$N:$N, Aux_Totales!$F:$F, $F224, Aux_Totales!$A:$A,#REF!), 0))</f>
        <v/>
      </c>
      <c r="HQF224" s="19" t="str">
        <f>IF(HQF220 = "", "", IFERROR(HQF220 / SUMIFS(Aux_Totales!$N:$N, Aux_Totales!$F:$F, $F224, Aux_Totales!$A:$A,#REF!), 0))</f>
        <v/>
      </c>
      <c r="HQG224" s="19" t="str">
        <f>IF(HQG220 = "", "", IFERROR(HQG220 / SUMIFS(Aux_Totales!$N:$N, Aux_Totales!$F:$F, $F224, Aux_Totales!$A:$A,#REF!), 0))</f>
        <v/>
      </c>
      <c r="HQH224" s="19" t="str">
        <f>IF(HQH220 = "", "", IFERROR(HQH220 / SUMIFS(Aux_Totales!$N:$N, Aux_Totales!$F:$F, $F224, Aux_Totales!$A:$A,#REF!), 0))</f>
        <v/>
      </c>
      <c r="HQI224" s="19" t="str">
        <f>IF(HQI220 = "", "", IFERROR(HQI220 / SUMIFS(Aux_Totales!$N:$N, Aux_Totales!$F:$F, $F224, Aux_Totales!$A:$A,#REF!), 0))</f>
        <v/>
      </c>
      <c r="HQJ224" s="19" t="str">
        <f>IF(HQJ220 = "", "", IFERROR(HQJ220 / SUMIFS(Aux_Totales!$N:$N, Aux_Totales!$F:$F, $F224, Aux_Totales!$A:$A,#REF!), 0))</f>
        <v/>
      </c>
      <c r="HQK224" s="19" t="str">
        <f>IF(HQK220 = "", "", IFERROR(HQK220 / SUMIFS(Aux_Totales!$N:$N, Aux_Totales!$F:$F, $F224, Aux_Totales!$A:$A,#REF!), 0))</f>
        <v/>
      </c>
      <c r="HQL224" s="19" t="str">
        <f>IF(HQL220 = "", "", IFERROR(HQL220 / SUMIFS(Aux_Totales!$N:$N, Aux_Totales!$F:$F, $F224, Aux_Totales!$A:$A,#REF!), 0))</f>
        <v/>
      </c>
      <c r="HQM224" s="19" t="str">
        <f>IF(HQM220 = "", "", IFERROR(HQM220 / SUMIFS(Aux_Totales!$N:$N, Aux_Totales!$F:$F, $F224, Aux_Totales!$A:$A,#REF!), 0))</f>
        <v/>
      </c>
      <c r="HQN224" s="19" t="str">
        <f>IF(HQN220 = "", "", IFERROR(HQN220 / SUMIFS(Aux_Totales!$N:$N, Aux_Totales!$F:$F, $F224, Aux_Totales!$A:$A,#REF!), 0))</f>
        <v/>
      </c>
      <c r="HQO224" s="19" t="str">
        <f>IF(HQO220 = "", "", IFERROR(HQO220 / SUMIFS(Aux_Totales!$N:$N, Aux_Totales!$F:$F, $F224, Aux_Totales!$A:$A,#REF!), 0))</f>
        <v/>
      </c>
      <c r="HQP224" s="19" t="str">
        <f>IF(HQP220 = "", "", IFERROR(HQP220 / SUMIFS(Aux_Totales!$N:$N, Aux_Totales!$F:$F, $F224, Aux_Totales!$A:$A,#REF!), 0))</f>
        <v/>
      </c>
      <c r="HQQ224" s="19" t="str">
        <f>IF(HQQ220 = "", "", IFERROR(HQQ220 / SUMIFS(Aux_Totales!$N:$N, Aux_Totales!$F:$F, $F224, Aux_Totales!$A:$A,#REF!), 0))</f>
        <v/>
      </c>
      <c r="HQR224" s="19" t="str">
        <f>IF(HQR220 = "", "", IFERROR(HQR220 / SUMIFS(Aux_Totales!$N:$N, Aux_Totales!$F:$F, $F224, Aux_Totales!$A:$A,#REF!), 0))</f>
        <v/>
      </c>
      <c r="HQS224" s="19" t="str">
        <f>IF(HQS220 = "", "", IFERROR(HQS220 / SUMIFS(Aux_Totales!$N:$N, Aux_Totales!$F:$F, $F224, Aux_Totales!$A:$A,#REF!), 0))</f>
        <v/>
      </c>
      <c r="HQT224" s="19" t="str">
        <f>IF(HQT220 = "", "", IFERROR(HQT220 / SUMIFS(Aux_Totales!$N:$N, Aux_Totales!$F:$F, $F224, Aux_Totales!$A:$A,#REF!), 0))</f>
        <v/>
      </c>
      <c r="HQU224" s="19" t="str">
        <f>IF(HQU220 = "", "", IFERROR(HQU220 / SUMIFS(Aux_Totales!$N:$N, Aux_Totales!$F:$F, $F224, Aux_Totales!$A:$A,#REF!), 0))</f>
        <v/>
      </c>
      <c r="HQV224" s="19" t="str">
        <f>IF(HQV220 = "", "", IFERROR(HQV220 / SUMIFS(Aux_Totales!$N:$N, Aux_Totales!$F:$F, $F224, Aux_Totales!$A:$A,#REF!), 0))</f>
        <v/>
      </c>
      <c r="HQW224" s="19" t="str">
        <f>IF(HQW220 = "", "", IFERROR(HQW220 / SUMIFS(Aux_Totales!$N:$N, Aux_Totales!$F:$F, $F224, Aux_Totales!$A:$A,#REF!), 0))</f>
        <v/>
      </c>
      <c r="HQX224" s="19" t="str">
        <f>IF(HQX220 = "", "", IFERROR(HQX220 / SUMIFS(Aux_Totales!$N:$N, Aux_Totales!$F:$F, $F224, Aux_Totales!$A:$A,#REF!), 0))</f>
        <v/>
      </c>
      <c r="HQY224" s="19" t="str">
        <f>IF(HQY220 = "", "", IFERROR(HQY220 / SUMIFS(Aux_Totales!$N:$N, Aux_Totales!$F:$F, $F224, Aux_Totales!$A:$A,#REF!), 0))</f>
        <v/>
      </c>
      <c r="HQZ224" s="19" t="str">
        <f>IF(HQZ220 = "", "", IFERROR(HQZ220 / SUMIFS(Aux_Totales!$N:$N, Aux_Totales!$F:$F, $F224, Aux_Totales!$A:$A,#REF!), 0))</f>
        <v/>
      </c>
      <c r="HRA224" s="19" t="str">
        <f>IF(HRA220 = "", "", IFERROR(HRA220 / SUMIFS(Aux_Totales!$N:$N, Aux_Totales!$F:$F, $F224, Aux_Totales!$A:$A,#REF!), 0))</f>
        <v/>
      </c>
      <c r="HRB224" s="19" t="str">
        <f>IF(HRB220 = "", "", IFERROR(HRB220 / SUMIFS(Aux_Totales!$N:$N, Aux_Totales!$F:$F, $F224, Aux_Totales!$A:$A,#REF!), 0))</f>
        <v/>
      </c>
      <c r="HRC224" s="19" t="str">
        <f>IF(HRC220 = "", "", IFERROR(HRC220 / SUMIFS(Aux_Totales!$N:$N, Aux_Totales!$F:$F, $F224, Aux_Totales!$A:$A,#REF!), 0))</f>
        <v/>
      </c>
      <c r="HRD224" s="19" t="str">
        <f>IF(HRD220 = "", "", IFERROR(HRD220 / SUMIFS(Aux_Totales!$N:$N, Aux_Totales!$F:$F, $F224, Aux_Totales!$A:$A,#REF!), 0))</f>
        <v/>
      </c>
      <c r="HRE224" s="19" t="str">
        <f>IF(HRE220 = "", "", IFERROR(HRE220 / SUMIFS(Aux_Totales!$N:$N, Aux_Totales!$F:$F, $F224, Aux_Totales!$A:$A,#REF!), 0))</f>
        <v/>
      </c>
      <c r="HRF224" s="19" t="str">
        <f>IF(HRF220 = "", "", IFERROR(HRF220 / SUMIFS(Aux_Totales!$N:$N, Aux_Totales!$F:$F, $F224, Aux_Totales!$A:$A,#REF!), 0))</f>
        <v/>
      </c>
      <c r="HRG224" s="19" t="str">
        <f>IF(HRG220 = "", "", IFERROR(HRG220 / SUMIFS(Aux_Totales!$N:$N, Aux_Totales!$F:$F, $F224, Aux_Totales!$A:$A,#REF!), 0))</f>
        <v/>
      </c>
      <c r="HRH224" s="19" t="str">
        <f>IF(HRH220 = "", "", IFERROR(HRH220 / SUMIFS(Aux_Totales!$N:$N, Aux_Totales!$F:$F, $F224, Aux_Totales!$A:$A,#REF!), 0))</f>
        <v/>
      </c>
      <c r="HRI224" s="19" t="str">
        <f>IF(HRI220 = "", "", IFERROR(HRI220 / SUMIFS(Aux_Totales!$N:$N, Aux_Totales!$F:$F, $F224, Aux_Totales!$A:$A,#REF!), 0))</f>
        <v/>
      </c>
      <c r="HRJ224" s="19" t="str">
        <f>IF(HRJ220 = "", "", IFERROR(HRJ220 / SUMIFS(Aux_Totales!$N:$N, Aux_Totales!$F:$F, $F224, Aux_Totales!$A:$A,#REF!), 0))</f>
        <v/>
      </c>
      <c r="HRK224" s="19" t="str">
        <f>IF(HRK220 = "", "", IFERROR(HRK220 / SUMIFS(Aux_Totales!$N:$N, Aux_Totales!$F:$F, $F224, Aux_Totales!$A:$A,#REF!), 0))</f>
        <v/>
      </c>
      <c r="HRL224" s="19" t="str">
        <f>IF(HRL220 = "", "", IFERROR(HRL220 / SUMIFS(Aux_Totales!$N:$N, Aux_Totales!$F:$F, $F224, Aux_Totales!$A:$A,#REF!), 0))</f>
        <v/>
      </c>
      <c r="HRM224" s="19" t="str">
        <f>IF(HRM220 = "", "", IFERROR(HRM220 / SUMIFS(Aux_Totales!$N:$N, Aux_Totales!$F:$F, $F224, Aux_Totales!$A:$A,#REF!), 0))</f>
        <v/>
      </c>
      <c r="HRN224" s="19" t="str">
        <f>IF(HRN220 = "", "", IFERROR(HRN220 / SUMIFS(Aux_Totales!$N:$N, Aux_Totales!$F:$F, $F224, Aux_Totales!$A:$A,#REF!), 0))</f>
        <v/>
      </c>
      <c r="HRO224" s="19" t="str">
        <f>IF(HRO220 = "", "", IFERROR(HRO220 / SUMIFS(Aux_Totales!$N:$N, Aux_Totales!$F:$F, $F224, Aux_Totales!$A:$A,#REF!), 0))</f>
        <v/>
      </c>
      <c r="HRP224" s="19" t="str">
        <f>IF(HRP220 = "", "", IFERROR(HRP220 / SUMIFS(Aux_Totales!$N:$N, Aux_Totales!$F:$F, $F224, Aux_Totales!$A:$A,#REF!), 0))</f>
        <v/>
      </c>
      <c r="HRQ224" s="19" t="str">
        <f>IF(HRQ220 = "", "", IFERROR(HRQ220 / SUMIFS(Aux_Totales!$N:$N, Aux_Totales!$F:$F, $F224, Aux_Totales!$A:$A,#REF!), 0))</f>
        <v/>
      </c>
      <c r="HRR224" s="19" t="str">
        <f>IF(HRR220 = "", "", IFERROR(HRR220 / SUMIFS(Aux_Totales!$N:$N, Aux_Totales!$F:$F, $F224, Aux_Totales!$A:$A,#REF!), 0))</f>
        <v/>
      </c>
      <c r="HRS224" s="19" t="str">
        <f>IF(HRS220 = "", "", IFERROR(HRS220 / SUMIFS(Aux_Totales!$N:$N, Aux_Totales!$F:$F, $F224, Aux_Totales!$A:$A,#REF!), 0))</f>
        <v/>
      </c>
      <c r="HRT224" s="19" t="str">
        <f>IF(HRT220 = "", "", IFERROR(HRT220 / SUMIFS(Aux_Totales!$N:$N, Aux_Totales!$F:$F, $F224, Aux_Totales!$A:$A,#REF!), 0))</f>
        <v/>
      </c>
      <c r="HRU224" s="19" t="str">
        <f>IF(HRU220 = "", "", IFERROR(HRU220 / SUMIFS(Aux_Totales!$N:$N, Aux_Totales!$F:$F, $F224, Aux_Totales!$A:$A,#REF!), 0))</f>
        <v/>
      </c>
      <c r="HRV224" s="19" t="str">
        <f>IF(HRV220 = "", "", IFERROR(HRV220 / SUMIFS(Aux_Totales!$N:$N, Aux_Totales!$F:$F, $F224, Aux_Totales!$A:$A,#REF!), 0))</f>
        <v/>
      </c>
      <c r="HRW224" s="19" t="str">
        <f>IF(HRW220 = "", "", IFERROR(HRW220 / SUMIFS(Aux_Totales!$N:$N, Aux_Totales!$F:$F, $F224, Aux_Totales!$A:$A,#REF!), 0))</f>
        <v/>
      </c>
      <c r="HRX224" s="19" t="str">
        <f>IF(HRX220 = "", "", IFERROR(HRX220 / SUMIFS(Aux_Totales!$N:$N, Aux_Totales!$F:$F, $F224, Aux_Totales!$A:$A,#REF!), 0))</f>
        <v/>
      </c>
      <c r="HRY224" s="19" t="str">
        <f>IF(HRY220 = "", "", IFERROR(HRY220 / SUMIFS(Aux_Totales!$N:$N, Aux_Totales!$F:$F, $F224, Aux_Totales!$A:$A,#REF!), 0))</f>
        <v/>
      </c>
      <c r="HRZ224" s="19" t="str">
        <f>IF(HRZ220 = "", "", IFERROR(HRZ220 / SUMIFS(Aux_Totales!$N:$N, Aux_Totales!$F:$F, $F224, Aux_Totales!$A:$A,#REF!), 0))</f>
        <v/>
      </c>
      <c r="HSA224" s="19" t="str">
        <f>IF(HSA220 = "", "", IFERROR(HSA220 / SUMIFS(Aux_Totales!$N:$N, Aux_Totales!$F:$F, $F224, Aux_Totales!$A:$A,#REF!), 0))</f>
        <v/>
      </c>
      <c r="HSB224" s="19" t="str">
        <f>IF(HSB220 = "", "", IFERROR(HSB220 / SUMIFS(Aux_Totales!$N:$N, Aux_Totales!$F:$F, $F224, Aux_Totales!$A:$A,#REF!), 0))</f>
        <v/>
      </c>
      <c r="HSC224" s="19" t="str">
        <f>IF(HSC220 = "", "", IFERROR(HSC220 / SUMIFS(Aux_Totales!$N:$N, Aux_Totales!$F:$F, $F224, Aux_Totales!$A:$A,#REF!), 0))</f>
        <v/>
      </c>
      <c r="HSD224" s="19" t="str">
        <f>IF(HSD220 = "", "", IFERROR(HSD220 / SUMIFS(Aux_Totales!$N:$N, Aux_Totales!$F:$F, $F224, Aux_Totales!$A:$A,#REF!), 0))</f>
        <v/>
      </c>
      <c r="HSE224" s="19" t="str">
        <f>IF(HSE220 = "", "", IFERROR(HSE220 / SUMIFS(Aux_Totales!$N:$N, Aux_Totales!$F:$F, $F224, Aux_Totales!$A:$A,#REF!), 0))</f>
        <v/>
      </c>
      <c r="HSF224" s="19" t="str">
        <f>IF(HSF220 = "", "", IFERROR(HSF220 / SUMIFS(Aux_Totales!$N:$N, Aux_Totales!$F:$F, $F224, Aux_Totales!$A:$A,#REF!), 0))</f>
        <v/>
      </c>
      <c r="HSG224" s="19" t="str">
        <f>IF(HSG220 = "", "", IFERROR(HSG220 / SUMIFS(Aux_Totales!$N:$N, Aux_Totales!$F:$F, $F224, Aux_Totales!$A:$A,#REF!), 0))</f>
        <v/>
      </c>
      <c r="HSH224" s="19" t="str">
        <f>IF(HSH220 = "", "", IFERROR(HSH220 / SUMIFS(Aux_Totales!$N:$N, Aux_Totales!$F:$F, $F224, Aux_Totales!$A:$A,#REF!), 0))</f>
        <v/>
      </c>
      <c r="HSI224" s="19" t="str">
        <f>IF(HSI220 = "", "", IFERROR(HSI220 / SUMIFS(Aux_Totales!$N:$N, Aux_Totales!$F:$F, $F224, Aux_Totales!$A:$A,#REF!), 0))</f>
        <v/>
      </c>
      <c r="HSJ224" s="19" t="str">
        <f>IF(HSJ220 = "", "", IFERROR(HSJ220 / SUMIFS(Aux_Totales!$N:$N, Aux_Totales!$F:$F, $F224, Aux_Totales!$A:$A,#REF!), 0))</f>
        <v/>
      </c>
      <c r="HSK224" s="19" t="str">
        <f>IF(HSK220 = "", "", IFERROR(HSK220 / SUMIFS(Aux_Totales!$N:$N, Aux_Totales!$F:$F, $F224, Aux_Totales!$A:$A,#REF!), 0))</f>
        <v/>
      </c>
      <c r="HSL224" s="19" t="str">
        <f>IF(HSL220 = "", "", IFERROR(HSL220 / SUMIFS(Aux_Totales!$N:$N, Aux_Totales!$F:$F, $F224, Aux_Totales!$A:$A,#REF!), 0))</f>
        <v/>
      </c>
      <c r="HSM224" s="19" t="str">
        <f>IF(HSM220 = "", "", IFERROR(HSM220 / SUMIFS(Aux_Totales!$N:$N, Aux_Totales!$F:$F, $F224, Aux_Totales!$A:$A,#REF!), 0))</f>
        <v/>
      </c>
      <c r="HSN224" s="19" t="str">
        <f>IF(HSN220 = "", "", IFERROR(HSN220 / SUMIFS(Aux_Totales!$N:$N, Aux_Totales!$F:$F, $F224, Aux_Totales!$A:$A,#REF!), 0))</f>
        <v/>
      </c>
      <c r="HSO224" s="19" t="str">
        <f>IF(HSO220 = "", "", IFERROR(HSO220 / SUMIFS(Aux_Totales!$N:$N, Aux_Totales!$F:$F, $F224, Aux_Totales!$A:$A,#REF!), 0))</f>
        <v/>
      </c>
      <c r="HSP224" s="19" t="str">
        <f>IF(HSP220 = "", "", IFERROR(HSP220 / SUMIFS(Aux_Totales!$N:$N, Aux_Totales!$F:$F, $F224, Aux_Totales!$A:$A,#REF!), 0))</f>
        <v/>
      </c>
      <c r="HSQ224" s="19" t="str">
        <f>IF(HSQ220 = "", "", IFERROR(HSQ220 / SUMIFS(Aux_Totales!$N:$N, Aux_Totales!$F:$F, $F224, Aux_Totales!$A:$A,#REF!), 0))</f>
        <v/>
      </c>
      <c r="HSR224" s="19" t="str">
        <f>IF(HSR220 = "", "", IFERROR(HSR220 / SUMIFS(Aux_Totales!$N:$N, Aux_Totales!$F:$F, $F224, Aux_Totales!$A:$A,#REF!), 0))</f>
        <v/>
      </c>
      <c r="HSS224" s="19" t="str">
        <f>IF(HSS220 = "", "", IFERROR(HSS220 / SUMIFS(Aux_Totales!$N:$N, Aux_Totales!$F:$F, $F224, Aux_Totales!$A:$A,#REF!), 0))</f>
        <v/>
      </c>
      <c r="HST224" s="19" t="str">
        <f>IF(HST220 = "", "", IFERROR(HST220 / SUMIFS(Aux_Totales!$N:$N, Aux_Totales!$F:$F, $F224, Aux_Totales!$A:$A,#REF!), 0))</f>
        <v/>
      </c>
      <c r="HSU224" s="19" t="str">
        <f>IF(HSU220 = "", "", IFERROR(HSU220 / SUMIFS(Aux_Totales!$N:$N, Aux_Totales!$F:$F, $F224, Aux_Totales!$A:$A,#REF!), 0))</f>
        <v/>
      </c>
      <c r="HSV224" s="19" t="str">
        <f>IF(HSV220 = "", "", IFERROR(HSV220 / SUMIFS(Aux_Totales!$N:$N, Aux_Totales!$F:$F, $F224, Aux_Totales!$A:$A,#REF!), 0))</f>
        <v/>
      </c>
      <c r="HSW224" s="19" t="str">
        <f>IF(HSW220 = "", "", IFERROR(HSW220 / SUMIFS(Aux_Totales!$N:$N, Aux_Totales!$F:$F, $F224, Aux_Totales!$A:$A,#REF!), 0))</f>
        <v/>
      </c>
      <c r="HSX224" s="19" t="str">
        <f>IF(HSX220 = "", "", IFERROR(HSX220 / SUMIFS(Aux_Totales!$N:$N, Aux_Totales!$F:$F, $F224, Aux_Totales!$A:$A,#REF!), 0))</f>
        <v/>
      </c>
      <c r="HSY224" s="19" t="str">
        <f>IF(HSY220 = "", "", IFERROR(HSY220 / SUMIFS(Aux_Totales!$N:$N, Aux_Totales!$F:$F, $F224, Aux_Totales!$A:$A,#REF!), 0))</f>
        <v/>
      </c>
      <c r="HSZ224" s="19" t="str">
        <f>IF(HSZ220 = "", "", IFERROR(HSZ220 / SUMIFS(Aux_Totales!$N:$N, Aux_Totales!$F:$F, $F224, Aux_Totales!$A:$A,#REF!), 0))</f>
        <v/>
      </c>
      <c r="HTA224" s="19" t="str">
        <f>IF(HTA220 = "", "", IFERROR(HTA220 / SUMIFS(Aux_Totales!$N:$N, Aux_Totales!$F:$F, $F224, Aux_Totales!$A:$A,#REF!), 0))</f>
        <v/>
      </c>
      <c r="HTB224" s="19" t="str">
        <f>IF(HTB220 = "", "", IFERROR(HTB220 / SUMIFS(Aux_Totales!$N:$N, Aux_Totales!$F:$F, $F224, Aux_Totales!$A:$A,#REF!), 0))</f>
        <v/>
      </c>
      <c r="HTC224" s="19" t="str">
        <f>IF(HTC220 = "", "", IFERROR(HTC220 / SUMIFS(Aux_Totales!$N:$N, Aux_Totales!$F:$F, $F224, Aux_Totales!$A:$A,#REF!), 0))</f>
        <v/>
      </c>
      <c r="HTD224" s="19" t="str">
        <f>IF(HTD220 = "", "", IFERROR(HTD220 / SUMIFS(Aux_Totales!$N:$N, Aux_Totales!$F:$F, $F224, Aux_Totales!$A:$A,#REF!), 0))</f>
        <v/>
      </c>
      <c r="HTE224" s="19" t="str">
        <f>IF(HTE220 = "", "", IFERROR(HTE220 / SUMIFS(Aux_Totales!$N:$N, Aux_Totales!$F:$F, $F224, Aux_Totales!$A:$A,#REF!), 0))</f>
        <v/>
      </c>
      <c r="HTF224" s="19" t="str">
        <f>IF(HTF220 = "", "", IFERROR(HTF220 / SUMIFS(Aux_Totales!$N:$N, Aux_Totales!$F:$F, $F224, Aux_Totales!$A:$A,#REF!), 0))</f>
        <v/>
      </c>
      <c r="HTG224" s="19" t="str">
        <f>IF(HTG220 = "", "", IFERROR(HTG220 / SUMIFS(Aux_Totales!$N:$N, Aux_Totales!$F:$F, $F224, Aux_Totales!$A:$A,#REF!), 0))</f>
        <v/>
      </c>
      <c r="HTH224" s="19" t="str">
        <f>IF(HTH220 = "", "", IFERROR(HTH220 / SUMIFS(Aux_Totales!$N:$N, Aux_Totales!$F:$F, $F224, Aux_Totales!$A:$A,#REF!), 0))</f>
        <v/>
      </c>
      <c r="HTI224" s="19" t="str">
        <f>IF(HTI220 = "", "", IFERROR(HTI220 / SUMIFS(Aux_Totales!$N:$N, Aux_Totales!$F:$F, $F224, Aux_Totales!$A:$A,#REF!), 0))</f>
        <v/>
      </c>
      <c r="HTJ224" s="19" t="str">
        <f>IF(HTJ220 = "", "", IFERROR(HTJ220 / SUMIFS(Aux_Totales!$N:$N, Aux_Totales!$F:$F, $F224, Aux_Totales!$A:$A,#REF!), 0))</f>
        <v/>
      </c>
      <c r="HTK224" s="19" t="str">
        <f>IF(HTK220 = "", "", IFERROR(HTK220 / SUMIFS(Aux_Totales!$N:$N, Aux_Totales!$F:$F, $F224, Aux_Totales!$A:$A,#REF!), 0))</f>
        <v/>
      </c>
      <c r="HTL224" s="19" t="str">
        <f>IF(HTL220 = "", "", IFERROR(HTL220 / SUMIFS(Aux_Totales!$N:$N, Aux_Totales!$F:$F, $F224, Aux_Totales!$A:$A,#REF!), 0))</f>
        <v/>
      </c>
      <c r="HTM224" s="19" t="str">
        <f>IF(HTM220 = "", "", IFERROR(HTM220 / SUMIFS(Aux_Totales!$N:$N, Aux_Totales!$F:$F, $F224, Aux_Totales!$A:$A,#REF!), 0))</f>
        <v/>
      </c>
      <c r="HTN224" s="19" t="str">
        <f>IF(HTN220 = "", "", IFERROR(HTN220 / SUMIFS(Aux_Totales!$N:$N, Aux_Totales!$F:$F, $F224, Aux_Totales!$A:$A,#REF!), 0))</f>
        <v/>
      </c>
      <c r="HTO224" s="19" t="str">
        <f>IF(HTO220 = "", "", IFERROR(HTO220 / SUMIFS(Aux_Totales!$N:$N, Aux_Totales!$F:$F, $F224, Aux_Totales!$A:$A,#REF!), 0))</f>
        <v/>
      </c>
      <c r="HTP224" s="19" t="str">
        <f>IF(HTP220 = "", "", IFERROR(HTP220 / SUMIFS(Aux_Totales!$N:$N, Aux_Totales!$F:$F, $F224, Aux_Totales!$A:$A,#REF!), 0))</f>
        <v/>
      </c>
      <c r="HTQ224" s="19" t="str">
        <f>IF(HTQ220 = "", "", IFERROR(HTQ220 / SUMIFS(Aux_Totales!$N:$N, Aux_Totales!$F:$F, $F224, Aux_Totales!$A:$A,#REF!), 0))</f>
        <v/>
      </c>
      <c r="HTR224" s="19" t="str">
        <f>IF(HTR220 = "", "", IFERROR(HTR220 / SUMIFS(Aux_Totales!$N:$N, Aux_Totales!$F:$F, $F224, Aux_Totales!$A:$A,#REF!), 0))</f>
        <v/>
      </c>
      <c r="HTS224" s="19" t="str">
        <f>IF(HTS220 = "", "", IFERROR(HTS220 / SUMIFS(Aux_Totales!$N:$N, Aux_Totales!$F:$F, $F224, Aux_Totales!$A:$A,#REF!), 0))</f>
        <v/>
      </c>
      <c r="HTT224" s="19" t="str">
        <f>IF(HTT220 = "", "", IFERROR(HTT220 / SUMIFS(Aux_Totales!$N:$N, Aux_Totales!$F:$F, $F224, Aux_Totales!$A:$A,#REF!), 0))</f>
        <v/>
      </c>
      <c r="HTU224" s="19" t="str">
        <f>IF(HTU220 = "", "", IFERROR(HTU220 / SUMIFS(Aux_Totales!$N:$N, Aux_Totales!$F:$F, $F224, Aux_Totales!$A:$A,#REF!), 0))</f>
        <v/>
      </c>
      <c r="HTV224" s="19" t="str">
        <f>IF(HTV220 = "", "", IFERROR(HTV220 / SUMIFS(Aux_Totales!$N:$N, Aux_Totales!$F:$F, $F224, Aux_Totales!$A:$A,#REF!), 0))</f>
        <v/>
      </c>
      <c r="HTW224" s="19" t="str">
        <f>IF(HTW220 = "", "", IFERROR(HTW220 / SUMIFS(Aux_Totales!$N:$N, Aux_Totales!$F:$F, $F224, Aux_Totales!$A:$A,#REF!), 0))</f>
        <v/>
      </c>
      <c r="HTX224" s="19" t="str">
        <f>IF(HTX220 = "", "", IFERROR(HTX220 / SUMIFS(Aux_Totales!$N:$N, Aux_Totales!$F:$F, $F224, Aux_Totales!$A:$A,#REF!), 0))</f>
        <v/>
      </c>
      <c r="HTY224" s="19" t="str">
        <f>IF(HTY220 = "", "", IFERROR(HTY220 / SUMIFS(Aux_Totales!$N:$N, Aux_Totales!$F:$F, $F224, Aux_Totales!$A:$A,#REF!), 0))</f>
        <v/>
      </c>
      <c r="HTZ224" s="19" t="str">
        <f>IF(HTZ220 = "", "", IFERROR(HTZ220 / SUMIFS(Aux_Totales!$N:$N, Aux_Totales!$F:$F, $F224, Aux_Totales!$A:$A,#REF!), 0))</f>
        <v/>
      </c>
      <c r="HUA224" s="19" t="str">
        <f>IF(HUA220 = "", "", IFERROR(HUA220 / SUMIFS(Aux_Totales!$N:$N, Aux_Totales!$F:$F, $F224, Aux_Totales!$A:$A,#REF!), 0))</f>
        <v/>
      </c>
      <c r="HUB224" s="19" t="str">
        <f>IF(HUB220 = "", "", IFERROR(HUB220 / SUMIFS(Aux_Totales!$N:$N, Aux_Totales!$F:$F, $F224, Aux_Totales!$A:$A,#REF!), 0))</f>
        <v/>
      </c>
      <c r="HUC224" s="19" t="str">
        <f>IF(HUC220 = "", "", IFERROR(HUC220 / SUMIFS(Aux_Totales!$N:$N, Aux_Totales!$F:$F, $F224, Aux_Totales!$A:$A,#REF!), 0))</f>
        <v/>
      </c>
      <c r="HUD224" s="19" t="str">
        <f>IF(HUD220 = "", "", IFERROR(HUD220 / SUMIFS(Aux_Totales!$N:$N, Aux_Totales!$F:$F, $F224, Aux_Totales!$A:$A,#REF!), 0))</f>
        <v/>
      </c>
      <c r="HUE224" s="19" t="str">
        <f>IF(HUE220 = "", "", IFERROR(HUE220 / SUMIFS(Aux_Totales!$N:$N, Aux_Totales!$F:$F, $F224, Aux_Totales!$A:$A,#REF!), 0))</f>
        <v/>
      </c>
      <c r="HUF224" s="19" t="str">
        <f>IF(HUF220 = "", "", IFERROR(HUF220 / SUMIFS(Aux_Totales!$N:$N, Aux_Totales!$F:$F, $F224, Aux_Totales!$A:$A,#REF!), 0))</f>
        <v/>
      </c>
      <c r="HUG224" s="19" t="str">
        <f>IF(HUG220 = "", "", IFERROR(HUG220 / SUMIFS(Aux_Totales!$N:$N, Aux_Totales!$F:$F, $F224, Aux_Totales!$A:$A,#REF!), 0))</f>
        <v/>
      </c>
      <c r="HUH224" s="19" t="str">
        <f>IF(HUH220 = "", "", IFERROR(HUH220 / SUMIFS(Aux_Totales!$N:$N, Aux_Totales!$F:$F, $F224, Aux_Totales!$A:$A,#REF!), 0))</f>
        <v/>
      </c>
      <c r="HUI224" s="19" t="str">
        <f>IF(HUI220 = "", "", IFERROR(HUI220 / SUMIFS(Aux_Totales!$N:$N, Aux_Totales!$F:$F, $F224, Aux_Totales!$A:$A,#REF!), 0))</f>
        <v/>
      </c>
      <c r="HUJ224" s="19" t="str">
        <f>IF(HUJ220 = "", "", IFERROR(HUJ220 / SUMIFS(Aux_Totales!$N:$N, Aux_Totales!$F:$F, $F224, Aux_Totales!$A:$A,#REF!), 0))</f>
        <v/>
      </c>
      <c r="HUK224" s="19" t="str">
        <f>IF(HUK220 = "", "", IFERROR(HUK220 / SUMIFS(Aux_Totales!$N:$N, Aux_Totales!$F:$F, $F224, Aux_Totales!$A:$A,#REF!), 0))</f>
        <v/>
      </c>
      <c r="HUL224" s="19" t="str">
        <f>IF(HUL220 = "", "", IFERROR(HUL220 / SUMIFS(Aux_Totales!$N:$N, Aux_Totales!$F:$F, $F224, Aux_Totales!$A:$A,#REF!), 0))</f>
        <v/>
      </c>
      <c r="HUM224" s="19" t="str">
        <f>IF(HUM220 = "", "", IFERROR(HUM220 / SUMIFS(Aux_Totales!$N:$N, Aux_Totales!$F:$F, $F224, Aux_Totales!$A:$A,#REF!), 0))</f>
        <v/>
      </c>
      <c r="HUN224" s="19" t="str">
        <f>IF(HUN220 = "", "", IFERROR(HUN220 / SUMIFS(Aux_Totales!$N:$N, Aux_Totales!$F:$F, $F224, Aux_Totales!$A:$A,#REF!), 0))</f>
        <v/>
      </c>
      <c r="HUO224" s="19" t="str">
        <f>IF(HUO220 = "", "", IFERROR(HUO220 / SUMIFS(Aux_Totales!$N:$N, Aux_Totales!$F:$F, $F224, Aux_Totales!$A:$A,#REF!), 0))</f>
        <v/>
      </c>
      <c r="HUP224" s="19" t="str">
        <f>IF(HUP220 = "", "", IFERROR(HUP220 / SUMIFS(Aux_Totales!$N:$N, Aux_Totales!$F:$F, $F224, Aux_Totales!$A:$A,#REF!), 0))</f>
        <v/>
      </c>
      <c r="HUQ224" s="19" t="str">
        <f>IF(HUQ220 = "", "", IFERROR(HUQ220 / SUMIFS(Aux_Totales!$N:$N, Aux_Totales!$F:$F, $F224, Aux_Totales!$A:$A,#REF!), 0))</f>
        <v/>
      </c>
      <c r="HUR224" s="19" t="str">
        <f>IF(HUR220 = "", "", IFERROR(HUR220 / SUMIFS(Aux_Totales!$N:$N, Aux_Totales!$F:$F, $F224, Aux_Totales!$A:$A,#REF!), 0))</f>
        <v/>
      </c>
      <c r="HUS224" s="19" t="str">
        <f>IF(HUS220 = "", "", IFERROR(HUS220 / SUMIFS(Aux_Totales!$N:$N, Aux_Totales!$F:$F, $F224, Aux_Totales!$A:$A,#REF!), 0))</f>
        <v/>
      </c>
      <c r="HUT224" s="19" t="str">
        <f>IF(HUT220 = "", "", IFERROR(HUT220 / SUMIFS(Aux_Totales!$N:$N, Aux_Totales!$F:$F, $F224, Aux_Totales!$A:$A,#REF!), 0))</f>
        <v/>
      </c>
      <c r="HUU224" s="19" t="str">
        <f>IF(HUU220 = "", "", IFERROR(HUU220 / SUMIFS(Aux_Totales!$N:$N, Aux_Totales!$F:$F, $F224, Aux_Totales!$A:$A,#REF!), 0))</f>
        <v/>
      </c>
      <c r="HUV224" s="19" t="str">
        <f>IF(HUV220 = "", "", IFERROR(HUV220 / SUMIFS(Aux_Totales!$N:$N, Aux_Totales!$F:$F, $F224, Aux_Totales!$A:$A,#REF!), 0))</f>
        <v/>
      </c>
      <c r="HUW224" s="19" t="str">
        <f>IF(HUW220 = "", "", IFERROR(HUW220 / SUMIFS(Aux_Totales!$N:$N, Aux_Totales!$F:$F, $F224, Aux_Totales!$A:$A,#REF!), 0))</f>
        <v/>
      </c>
      <c r="HUX224" s="19" t="str">
        <f>IF(HUX220 = "", "", IFERROR(HUX220 / SUMIFS(Aux_Totales!$N:$N, Aux_Totales!$F:$F, $F224, Aux_Totales!$A:$A,#REF!), 0))</f>
        <v/>
      </c>
      <c r="HUY224" s="19" t="str">
        <f>IF(HUY220 = "", "", IFERROR(HUY220 / SUMIFS(Aux_Totales!$N:$N, Aux_Totales!$F:$F, $F224, Aux_Totales!$A:$A,#REF!), 0))</f>
        <v/>
      </c>
      <c r="HUZ224" s="19" t="str">
        <f>IF(HUZ220 = "", "", IFERROR(HUZ220 / SUMIFS(Aux_Totales!$N:$N, Aux_Totales!$F:$F, $F224, Aux_Totales!$A:$A,#REF!), 0))</f>
        <v/>
      </c>
      <c r="HVA224" s="19" t="str">
        <f>IF(HVA220 = "", "", IFERROR(HVA220 / SUMIFS(Aux_Totales!$N:$N, Aux_Totales!$F:$F, $F224, Aux_Totales!$A:$A,#REF!), 0))</f>
        <v/>
      </c>
      <c r="HVB224" s="19" t="str">
        <f>IF(HVB220 = "", "", IFERROR(HVB220 / SUMIFS(Aux_Totales!$N:$N, Aux_Totales!$F:$F, $F224, Aux_Totales!$A:$A,#REF!), 0))</f>
        <v/>
      </c>
      <c r="HVC224" s="19" t="str">
        <f>IF(HVC220 = "", "", IFERROR(HVC220 / SUMIFS(Aux_Totales!$N:$N, Aux_Totales!$F:$F, $F224, Aux_Totales!$A:$A,#REF!), 0))</f>
        <v/>
      </c>
      <c r="HVD224" s="19" t="str">
        <f>IF(HVD220 = "", "", IFERROR(HVD220 / SUMIFS(Aux_Totales!$N:$N, Aux_Totales!$F:$F, $F224, Aux_Totales!$A:$A,#REF!), 0))</f>
        <v/>
      </c>
      <c r="HVE224" s="19" t="str">
        <f>IF(HVE220 = "", "", IFERROR(HVE220 / SUMIFS(Aux_Totales!$N:$N, Aux_Totales!$F:$F, $F224, Aux_Totales!$A:$A,#REF!), 0))</f>
        <v/>
      </c>
      <c r="HVF224" s="19" t="str">
        <f>IF(HVF220 = "", "", IFERROR(HVF220 / SUMIFS(Aux_Totales!$N:$N, Aux_Totales!$F:$F, $F224, Aux_Totales!$A:$A,#REF!), 0))</f>
        <v/>
      </c>
      <c r="HVG224" s="19" t="str">
        <f>IF(HVG220 = "", "", IFERROR(HVG220 / SUMIFS(Aux_Totales!$N:$N, Aux_Totales!$F:$F, $F224, Aux_Totales!$A:$A,#REF!), 0))</f>
        <v/>
      </c>
      <c r="HVH224" s="19" t="str">
        <f>IF(HVH220 = "", "", IFERROR(HVH220 / SUMIFS(Aux_Totales!$N:$N, Aux_Totales!$F:$F, $F224, Aux_Totales!$A:$A,#REF!), 0))</f>
        <v/>
      </c>
      <c r="HVI224" s="19" t="str">
        <f>IF(HVI220 = "", "", IFERROR(HVI220 / SUMIFS(Aux_Totales!$N:$N, Aux_Totales!$F:$F, $F224, Aux_Totales!$A:$A,#REF!), 0))</f>
        <v/>
      </c>
      <c r="HVJ224" s="19" t="str">
        <f>IF(HVJ220 = "", "", IFERROR(HVJ220 / SUMIFS(Aux_Totales!$N:$N, Aux_Totales!$F:$F, $F224, Aux_Totales!$A:$A,#REF!), 0))</f>
        <v/>
      </c>
      <c r="HVK224" s="19" t="str">
        <f>IF(HVK220 = "", "", IFERROR(HVK220 / SUMIFS(Aux_Totales!$N:$N, Aux_Totales!$F:$F, $F224, Aux_Totales!$A:$A,#REF!), 0))</f>
        <v/>
      </c>
      <c r="HVL224" s="19" t="str">
        <f>IF(HVL220 = "", "", IFERROR(HVL220 / SUMIFS(Aux_Totales!$N:$N, Aux_Totales!$F:$F, $F224, Aux_Totales!$A:$A,#REF!), 0))</f>
        <v/>
      </c>
      <c r="HVM224" s="19" t="str">
        <f>IF(HVM220 = "", "", IFERROR(HVM220 / SUMIFS(Aux_Totales!$N:$N, Aux_Totales!$F:$F, $F224, Aux_Totales!$A:$A,#REF!), 0))</f>
        <v/>
      </c>
      <c r="HVN224" s="19" t="str">
        <f>IF(HVN220 = "", "", IFERROR(HVN220 / SUMIFS(Aux_Totales!$N:$N, Aux_Totales!$F:$F, $F224, Aux_Totales!$A:$A,#REF!), 0))</f>
        <v/>
      </c>
      <c r="HVO224" s="19" t="str">
        <f>IF(HVO220 = "", "", IFERROR(HVO220 / SUMIFS(Aux_Totales!$N:$N, Aux_Totales!$F:$F, $F224, Aux_Totales!$A:$A,#REF!), 0))</f>
        <v/>
      </c>
      <c r="HVP224" s="19" t="str">
        <f>IF(HVP220 = "", "", IFERROR(HVP220 / SUMIFS(Aux_Totales!$N:$N, Aux_Totales!$F:$F, $F224, Aux_Totales!$A:$A,#REF!), 0))</f>
        <v/>
      </c>
      <c r="HVQ224" s="19" t="str">
        <f>IF(HVQ220 = "", "", IFERROR(HVQ220 / SUMIFS(Aux_Totales!$N:$N, Aux_Totales!$F:$F, $F224, Aux_Totales!$A:$A,#REF!), 0))</f>
        <v/>
      </c>
      <c r="HVR224" s="19" t="str">
        <f>IF(HVR220 = "", "", IFERROR(HVR220 / SUMIFS(Aux_Totales!$N:$N, Aux_Totales!$F:$F, $F224, Aux_Totales!$A:$A,#REF!), 0))</f>
        <v/>
      </c>
      <c r="HVS224" s="19" t="str">
        <f>IF(HVS220 = "", "", IFERROR(HVS220 / SUMIFS(Aux_Totales!$N:$N, Aux_Totales!$F:$F, $F224, Aux_Totales!$A:$A,#REF!), 0))</f>
        <v/>
      </c>
      <c r="HVT224" s="19" t="str">
        <f>IF(HVT220 = "", "", IFERROR(HVT220 / SUMIFS(Aux_Totales!$N:$N, Aux_Totales!$F:$F, $F224, Aux_Totales!$A:$A,#REF!), 0))</f>
        <v/>
      </c>
      <c r="HVU224" s="19" t="str">
        <f>IF(HVU220 = "", "", IFERROR(HVU220 / SUMIFS(Aux_Totales!$N:$N, Aux_Totales!$F:$F, $F224, Aux_Totales!$A:$A,#REF!), 0))</f>
        <v/>
      </c>
      <c r="HVV224" s="19" t="str">
        <f>IF(HVV220 = "", "", IFERROR(HVV220 / SUMIFS(Aux_Totales!$N:$N, Aux_Totales!$F:$F, $F224, Aux_Totales!$A:$A,#REF!), 0))</f>
        <v/>
      </c>
      <c r="HVW224" s="19" t="str">
        <f>IF(HVW220 = "", "", IFERROR(HVW220 / SUMIFS(Aux_Totales!$N:$N, Aux_Totales!$F:$F, $F224, Aux_Totales!$A:$A,#REF!), 0))</f>
        <v/>
      </c>
      <c r="HVX224" s="19" t="str">
        <f>IF(HVX220 = "", "", IFERROR(HVX220 / SUMIFS(Aux_Totales!$N:$N, Aux_Totales!$F:$F, $F224, Aux_Totales!$A:$A,#REF!), 0))</f>
        <v/>
      </c>
      <c r="HVY224" s="19" t="str">
        <f>IF(HVY220 = "", "", IFERROR(HVY220 / SUMIFS(Aux_Totales!$N:$N, Aux_Totales!$F:$F, $F224, Aux_Totales!$A:$A,#REF!), 0))</f>
        <v/>
      </c>
      <c r="HVZ224" s="19" t="str">
        <f>IF(HVZ220 = "", "", IFERROR(HVZ220 / SUMIFS(Aux_Totales!$N:$N, Aux_Totales!$F:$F, $F224, Aux_Totales!$A:$A,#REF!), 0))</f>
        <v/>
      </c>
      <c r="HWA224" s="19" t="str">
        <f>IF(HWA220 = "", "", IFERROR(HWA220 / SUMIFS(Aux_Totales!$N:$N, Aux_Totales!$F:$F, $F224, Aux_Totales!$A:$A,#REF!), 0))</f>
        <v/>
      </c>
      <c r="HWB224" s="19" t="str">
        <f>IF(HWB220 = "", "", IFERROR(HWB220 / SUMIFS(Aux_Totales!$N:$N, Aux_Totales!$F:$F, $F224, Aux_Totales!$A:$A,#REF!), 0))</f>
        <v/>
      </c>
      <c r="HWC224" s="19" t="str">
        <f>IF(HWC220 = "", "", IFERROR(HWC220 / SUMIFS(Aux_Totales!$N:$N, Aux_Totales!$F:$F, $F224, Aux_Totales!$A:$A,#REF!), 0))</f>
        <v/>
      </c>
      <c r="HWD224" s="19" t="str">
        <f>IF(HWD220 = "", "", IFERROR(HWD220 / SUMIFS(Aux_Totales!$N:$N, Aux_Totales!$F:$F, $F224, Aux_Totales!$A:$A,#REF!), 0))</f>
        <v/>
      </c>
      <c r="HWE224" s="19" t="str">
        <f>IF(HWE220 = "", "", IFERROR(HWE220 / SUMIFS(Aux_Totales!$N:$N, Aux_Totales!$F:$F, $F224, Aux_Totales!$A:$A,#REF!), 0))</f>
        <v/>
      </c>
      <c r="HWF224" s="19" t="str">
        <f>IF(HWF220 = "", "", IFERROR(HWF220 / SUMIFS(Aux_Totales!$N:$N, Aux_Totales!$F:$F, $F224, Aux_Totales!$A:$A,#REF!), 0))</f>
        <v/>
      </c>
      <c r="HWG224" s="19" t="str">
        <f>IF(HWG220 = "", "", IFERROR(HWG220 / SUMIFS(Aux_Totales!$N:$N, Aux_Totales!$F:$F, $F224, Aux_Totales!$A:$A,#REF!), 0))</f>
        <v/>
      </c>
      <c r="HWH224" s="19" t="str">
        <f>IF(HWH220 = "", "", IFERROR(HWH220 / SUMIFS(Aux_Totales!$N:$N, Aux_Totales!$F:$F, $F224, Aux_Totales!$A:$A,#REF!), 0))</f>
        <v/>
      </c>
      <c r="HWI224" s="19" t="str">
        <f>IF(HWI220 = "", "", IFERROR(HWI220 / SUMIFS(Aux_Totales!$N:$N, Aux_Totales!$F:$F, $F224, Aux_Totales!$A:$A,#REF!), 0))</f>
        <v/>
      </c>
      <c r="HWJ224" s="19" t="str">
        <f>IF(HWJ220 = "", "", IFERROR(HWJ220 / SUMIFS(Aux_Totales!$N:$N, Aux_Totales!$F:$F, $F224, Aux_Totales!$A:$A,#REF!), 0))</f>
        <v/>
      </c>
      <c r="HWK224" s="19" t="str">
        <f>IF(HWK220 = "", "", IFERROR(HWK220 / SUMIFS(Aux_Totales!$N:$N, Aux_Totales!$F:$F, $F224, Aux_Totales!$A:$A,#REF!), 0))</f>
        <v/>
      </c>
      <c r="HWL224" s="19" t="str">
        <f>IF(HWL220 = "", "", IFERROR(HWL220 / SUMIFS(Aux_Totales!$N:$N, Aux_Totales!$F:$F, $F224, Aux_Totales!$A:$A,#REF!), 0))</f>
        <v/>
      </c>
      <c r="HWM224" s="19" t="str">
        <f>IF(HWM220 = "", "", IFERROR(HWM220 / SUMIFS(Aux_Totales!$N:$N, Aux_Totales!$F:$F, $F224, Aux_Totales!$A:$A,#REF!), 0))</f>
        <v/>
      </c>
      <c r="HWN224" s="19" t="str">
        <f>IF(HWN220 = "", "", IFERROR(HWN220 / SUMIFS(Aux_Totales!$N:$N, Aux_Totales!$F:$F, $F224, Aux_Totales!$A:$A,#REF!), 0))</f>
        <v/>
      </c>
      <c r="HWO224" s="19" t="str">
        <f>IF(HWO220 = "", "", IFERROR(HWO220 / SUMIFS(Aux_Totales!$N:$N, Aux_Totales!$F:$F, $F224, Aux_Totales!$A:$A,#REF!), 0))</f>
        <v/>
      </c>
      <c r="HWP224" s="19" t="str">
        <f>IF(HWP220 = "", "", IFERROR(HWP220 / SUMIFS(Aux_Totales!$N:$N, Aux_Totales!$F:$F, $F224, Aux_Totales!$A:$A,#REF!), 0))</f>
        <v/>
      </c>
      <c r="HWQ224" s="19" t="str">
        <f>IF(HWQ220 = "", "", IFERROR(HWQ220 / SUMIFS(Aux_Totales!$N:$N, Aux_Totales!$F:$F, $F224, Aux_Totales!$A:$A,#REF!), 0))</f>
        <v/>
      </c>
      <c r="HWR224" s="19" t="str">
        <f>IF(HWR220 = "", "", IFERROR(HWR220 / SUMIFS(Aux_Totales!$N:$N, Aux_Totales!$F:$F, $F224, Aux_Totales!$A:$A,#REF!), 0))</f>
        <v/>
      </c>
      <c r="HWS224" s="19" t="str">
        <f>IF(HWS220 = "", "", IFERROR(HWS220 / SUMIFS(Aux_Totales!$N:$N, Aux_Totales!$F:$F, $F224, Aux_Totales!$A:$A,#REF!), 0))</f>
        <v/>
      </c>
      <c r="HWT224" s="19" t="str">
        <f>IF(HWT220 = "", "", IFERROR(HWT220 / SUMIFS(Aux_Totales!$N:$N, Aux_Totales!$F:$F, $F224, Aux_Totales!$A:$A,#REF!), 0))</f>
        <v/>
      </c>
      <c r="HWU224" s="19" t="str">
        <f>IF(HWU220 = "", "", IFERROR(HWU220 / SUMIFS(Aux_Totales!$N:$N, Aux_Totales!$F:$F, $F224, Aux_Totales!$A:$A,#REF!), 0))</f>
        <v/>
      </c>
      <c r="HWV224" s="19" t="str">
        <f>IF(HWV220 = "", "", IFERROR(HWV220 / SUMIFS(Aux_Totales!$N:$N, Aux_Totales!$F:$F, $F224, Aux_Totales!$A:$A,#REF!), 0))</f>
        <v/>
      </c>
      <c r="HWW224" s="19" t="str">
        <f>IF(HWW220 = "", "", IFERROR(HWW220 / SUMIFS(Aux_Totales!$N:$N, Aux_Totales!$F:$F, $F224, Aux_Totales!$A:$A,#REF!), 0))</f>
        <v/>
      </c>
      <c r="HWX224" s="19" t="str">
        <f>IF(HWX220 = "", "", IFERROR(HWX220 / SUMIFS(Aux_Totales!$N:$N, Aux_Totales!$F:$F, $F224, Aux_Totales!$A:$A,#REF!), 0))</f>
        <v/>
      </c>
      <c r="HWY224" s="19" t="str">
        <f>IF(HWY220 = "", "", IFERROR(HWY220 / SUMIFS(Aux_Totales!$N:$N, Aux_Totales!$F:$F, $F224, Aux_Totales!$A:$A,#REF!), 0))</f>
        <v/>
      </c>
      <c r="HWZ224" s="19" t="str">
        <f>IF(HWZ220 = "", "", IFERROR(HWZ220 / SUMIFS(Aux_Totales!$N:$N, Aux_Totales!$F:$F, $F224, Aux_Totales!$A:$A,#REF!), 0))</f>
        <v/>
      </c>
      <c r="HXA224" s="19" t="str">
        <f>IF(HXA220 = "", "", IFERROR(HXA220 / SUMIFS(Aux_Totales!$N:$N, Aux_Totales!$F:$F, $F224, Aux_Totales!$A:$A,#REF!), 0))</f>
        <v/>
      </c>
      <c r="HXB224" s="19" t="str">
        <f>IF(HXB220 = "", "", IFERROR(HXB220 / SUMIFS(Aux_Totales!$N:$N, Aux_Totales!$F:$F, $F224, Aux_Totales!$A:$A,#REF!), 0))</f>
        <v/>
      </c>
      <c r="HXC224" s="19" t="str">
        <f>IF(HXC220 = "", "", IFERROR(HXC220 / SUMIFS(Aux_Totales!$N:$N, Aux_Totales!$F:$F, $F224, Aux_Totales!$A:$A,#REF!), 0))</f>
        <v/>
      </c>
      <c r="HXD224" s="19" t="str">
        <f>IF(HXD220 = "", "", IFERROR(HXD220 / SUMIFS(Aux_Totales!$N:$N, Aux_Totales!$F:$F, $F224, Aux_Totales!$A:$A,#REF!), 0))</f>
        <v/>
      </c>
      <c r="HXE224" s="19" t="str">
        <f>IF(HXE220 = "", "", IFERROR(HXE220 / SUMIFS(Aux_Totales!$N:$N, Aux_Totales!$F:$F, $F224, Aux_Totales!$A:$A,#REF!), 0))</f>
        <v/>
      </c>
      <c r="HXF224" s="19" t="str">
        <f>IF(HXF220 = "", "", IFERROR(HXF220 / SUMIFS(Aux_Totales!$N:$N, Aux_Totales!$F:$F, $F224, Aux_Totales!$A:$A,#REF!), 0))</f>
        <v/>
      </c>
      <c r="HXG224" s="19" t="str">
        <f>IF(HXG220 = "", "", IFERROR(HXG220 / SUMIFS(Aux_Totales!$N:$N, Aux_Totales!$F:$F, $F224, Aux_Totales!$A:$A,#REF!), 0))</f>
        <v/>
      </c>
      <c r="HXH224" s="19" t="str">
        <f>IF(HXH220 = "", "", IFERROR(HXH220 / SUMIFS(Aux_Totales!$N:$N, Aux_Totales!$F:$F, $F224, Aux_Totales!$A:$A,#REF!), 0))</f>
        <v/>
      </c>
      <c r="HXI224" s="19" t="str">
        <f>IF(HXI220 = "", "", IFERROR(HXI220 / SUMIFS(Aux_Totales!$N:$N, Aux_Totales!$F:$F, $F224, Aux_Totales!$A:$A,#REF!), 0))</f>
        <v/>
      </c>
      <c r="HXJ224" s="19" t="str">
        <f>IF(HXJ220 = "", "", IFERROR(HXJ220 / SUMIFS(Aux_Totales!$N:$N, Aux_Totales!$F:$F, $F224, Aux_Totales!$A:$A,#REF!), 0))</f>
        <v/>
      </c>
      <c r="HXK224" s="19" t="str">
        <f>IF(HXK220 = "", "", IFERROR(HXK220 / SUMIFS(Aux_Totales!$N:$N, Aux_Totales!$F:$F, $F224, Aux_Totales!$A:$A,#REF!), 0))</f>
        <v/>
      </c>
      <c r="HXL224" s="19" t="str">
        <f>IF(HXL220 = "", "", IFERROR(HXL220 / SUMIFS(Aux_Totales!$N:$N, Aux_Totales!$F:$F, $F224, Aux_Totales!$A:$A,#REF!), 0))</f>
        <v/>
      </c>
      <c r="HXM224" s="19" t="str">
        <f>IF(HXM220 = "", "", IFERROR(HXM220 / SUMIFS(Aux_Totales!$N:$N, Aux_Totales!$F:$F, $F224, Aux_Totales!$A:$A,#REF!), 0))</f>
        <v/>
      </c>
      <c r="HXN224" s="19" t="str">
        <f>IF(HXN220 = "", "", IFERROR(HXN220 / SUMIFS(Aux_Totales!$N:$N, Aux_Totales!$F:$F, $F224, Aux_Totales!$A:$A,#REF!), 0))</f>
        <v/>
      </c>
      <c r="HXO224" s="19" t="str">
        <f>IF(HXO220 = "", "", IFERROR(HXO220 / SUMIFS(Aux_Totales!$N:$N, Aux_Totales!$F:$F, $F224, Aux_Totales!$A:$A,#REF!), 0))</f>
        <v/>
      </c>
      <c r="HXP224" s="19" t="str">
        <f>IF(HXP220 = "", "", IFERROR(HXP220 / SUMIFS(Aux_Totales!$N:$N, Aux_Totales!$F:$F, $F224, Aux_Totales!$A:$A,#REF!), 0))</f>
        <v/>
      </c>
      <c r="HXQ224" s="19" t="str">
        <f>IF(HXQ220 = "", "", IFERROR(HXQ220 / SUMIFS(Aux_Totales!$N:$N, Aux_Totales!$F:$F, $F224, Aux_Totales!$A:$A,#REF!), 0))</f>
        <v/>
      </c>
      <c r="HXR224" s="19" t="str">
        <f>IF(HXR220 = "", "", IFERROR(HXR220 / SUMIFS(Aux_Totales!$N:$N, Aux_Totales!$F:$F, $F224, Aux_Totales!$A:$A,#REF!), 0))</f>
        <v/>
      </c>
      <c r="HXS224" s="19" t="str">
        <f>IF(HXS220 = "", "", IFERROR(HXS220 / SUMIFS(Aux_Totales!$N:$N, Aux_Totales!$F:$F, $F224, Aux_Totales!$A:$A,#REF!), 0))</f>
        <v/>
      </c>
      <c r="HXT224" s="19" t="str">
        <f>IF(HXT220 = "", "", IFERROR(HXT220 / SUMIFS(Aux_Totales!$N:$N, Aux_Totales!$F:$F, $F224, Aux_Totales!$A:$A,#REF!), 0))</f>
        <v/>
      </c>
      <c r="HXU224" s="19" t="str">
        <f>IF(HXU220 = "", "", IFERROR(HXU220 / SUMIFS(Aux_Totales!$N:$N, Aux_Totales!$F:$F, $F224, Aux_Totales!$A:$A,#REF!), 0))</f>
        <v/>
      </c>
      <c r="HXV224" s="19" t="str">
        <f>IF(HXV220 = "", "", IFERROR(HXV220 / SUMIFS(Aux_Totales!$N:$N, Aux_Totales!$F:$F, $F224, Aux_Totales!$A:$A,#REF!), 0))</f>
        <v/>
      </c>
      <c r="HXW224" s="19" t="str">
        <f>IF(HXW220 = "", "", IFERROR(HXW220 / SUMIFS(Aux_Totales!$N:$N, Aux_Totales!$F:$F, $F224, Aux_Totales!$A:$A,#REF!), 0))</f>
        <v/>
      </c>
      <c r="HXX224" s="19" t="str">
        <f>IF(HXX220 = "", "", IFERROR(HXX220 / SUMIFS(Aux_Totales!$N:$N, Aux_Totales!$F:$F, $F224, Aux_Totales!$A:$A,#REF!), 0))</f>
        <v/>
      </c>
      <c r="HXY224" s="19" t="str">
        <f>IF(HXY220 = "", "", IFERROR(HXY220 / SUMIFS(Aux_Totales!$N:$N, Aux_Totales!$F:$F, $F224, Aux_Totales!$A:$A,#REF!), 0))</f>
        <v/>
      </c>
      <c r="HXZ224" s="19" t="str">
        <f>IF(HXZ220 = "", "", IFERROR(HXZ220 / SUMIFS(Aux_Totales!$N:$N, Aux_Totales!$F:$F, $F224, Aux_Totales!$A:$A,#REF!), 0))</f>
        <v/>
      </c>
      <c r="HYA224" s="19" t="str">
        <f>IF(HYA220 = "", "", IFERROR(HYA220 / SUMIFS(Aux_Totales!$N:$N, Aux_Totales!$F:$F, $F224, Aux_Totales!$A:$A,#REF!), 0))</f>
        <v/>
      </c>
      <c r="HYB224" s="19" t="str">
        <f>IF(HYB220 = "", "", IFERROR(HYB220 / SUMIFS(Aux_Totales!$N:$N, Aux_Totales!$F:$F, $F224, Aux_Totales!$A:$A,#REF!), 0))</f>
        <v/>
      </c>
      <c r="HYC224" s="19" t="str">
        <f>IF(HYC220 = "", "", IFERROR(HYC220 / SUMIFS(Aux_Totales!$N:$N, Aux_Totales!$F:$F, $F224, Aux_Totales!$A:$A,#REF!), 0))</f>
        <v/>
      </c>
      <c r="HYD224" s="19" t="str">
        <f>IF(HYD220 = "", "", IFERROR(HYD220 / SUMIFS(Aux_Totales!$N:$N, Aux_Totales!$F:$F, $F224, Aux_Totales!$A:$A,#REF!), 0))</f>
        <v/>
      </c>
      <c r="HYE224" s="19" t="str">
        <f>IF(HYE220 = "", "", IFERROR(HYE220 / SUMIFS(Aux_Totales!$N:$N, Aux_Totales!$F:$F, $F224, Aux_Totales!$A:$A,#REF!), 0))</f>
        <v/>
      </c>
      <c r="HYF224" s="19" t="str">
        <f>IF(HYF220 = "", "", IFERROR(HYF220 / SUMIFS(Aux_Totales!$N:$N, Aux_Totales!$F:$F, $F224, Aux_Totales!$A:$A,#REF!), 0))</f>
        <v/>
      </c>
      <c r="HYG224" s="19" t="str">
        <f>IF(HYG220 = "", "", IFERROR(HYG220 / SUMIFS(Aux_Totales!$N:$N, Aux_Totales!$F:$F, $F224, Aux_Totales!$A:$A,#REF!), 0))</f>
        <v/>
      </c>
      <c r="HYH224" s="19" t="str">
        <f>IF(HYH220 = "", "", IFERROR(HYH220 / SUMIFS(Aux_Totales!$N:$N, Aux_Totales!$F:$F, $F224, Aux_Totales!$A:$A,#REF!), 0))</f>
        <v/>
      </c>
      <c r="HYI224" s="19" t="str">
        <f>IF(HYI220 = "", "", IFERROR(HYI220 / SUMIFS(Aux_Totales!$N:$N, Aux_Totales!$F:$F, $F224, Aux_Totales!$A:$A,#REF!), 0))</f>
        <v/>
      </c>
      <c r="HYJ224" s="19" t="str">
        <f>IF(HYJ220 = "", "", IFERROR(HYJ220 / SUMIFS(Aux_Totales!$N:$N, Aux_Totales!$F:$F, $F224, Aux_Totales!$A:$A,#REF!), 0))</f>
        <v/>
      </c>
      <c r="HYK224" s="19" t="str">
        <f>IF(HYK220 = "", "", IFERROR(HYK220 / SUMIFS(Aux_Totales!$N:$N, Aux_Totales!$F:$F, $F224, Aux_Totales!$A:$A,#REF!), 0))</f>
        <v/>
      </c>
      <c r="HYL224" s="19" t="str">
        <f>IF(HYL220 = "", "", IFERROR(HYL220 / SUMIFS(Aux_Totales!$N:$N, Aux_Totales!$F:$F, $F224, Aux_Totales!$A:$A,#REF!), 0))</f>
        <v/>
      </c>
      <c r="HYM224" s="19" t="str">
        <f>IF(HYM220 = "", "", IFERROR(HYM220 / SUMIFS(Aux_Totales!$N:$N, Aux_Totales!$F:$F, $F224, Aux_Totales!$A:$A,#REF!), 0))</f>
        <v/>
      </c>
      <c r="HYN224" s="19" t="str">
        <f>IF(HYN220 = "", "", IFERROR(HYN220 / SUMIFS(Aux_Totales!$N:$N, Aux_Totales!$F:$F, $F224, Aux_Totales!$A:$A,#REF!), 0))</f>
        <v/>
      </c>
      <c r="HYO224" s="19" t="str">
        <f>IF(HYO220 = "", "", IFERROR(HYO220 / SUMIFS(Aux_Totales!$N:$N, Aux_Totales!$F:$F, $F224, Aux_Totales!$A:$A,#REF!), 0))</f>
        <v/>
      </c>
      <c r="HYP224" s="19" t="str">
        <f>IF(HYP220 = "", "", IFERROR(HYP220 / SUMIFS(Aux_Totales!$N:$N, Aux_Totales!$F:$F, $F224, Aux_Totales!$A:$A,#REF!), 0))</f>
        <v/>
      </c>
      <c r="HYQ224" s="19" t="str">
        <f>IF(HYQ220 = "", "", IFERROR(HYQ220 / SUMIFS(Aux_Totales!$N:$N, Aux_Totales!$F:$F, $F224, Aux_Totales!$A:$A,#REF!), 0))</f>
        <v/>
      </c>
      <c r="HYR224" s="19" t="str">
        <f>IF(HYR220 = "", "", IFERROR(HYR220 / SUMIFS(Aux_Totales!$N:$N, Aux_Totales!$F:$F, $F224, Aux_Totales!$A:$A,#REF!), 0))</f>
        <v/>
      </c>
      <c r="HYS224" s="19" t="str">
        <f>IF(HYS220 = "", "", IFERROR(HYS220 / SUMIFS(Aux_Totales!$N:$N, Aux_Totales!$F:$F, $F224, Aux_Totales!$A:$A,#REF!), 0))</f>
        <v/>
      </c>
      <c r="HYT224" s="19" t="str">
        <f>IF(HYT220 = "", "", IFERROR(HYT220 / SUMIFS(Aux_Totales!$N:$N, Aux_Totales!$F:$F, $F224, Aux_Totales!$A:$A,#REF!), 0))</f>
        <v/>
      </c>
      <c r="HYU224" s="19" t="str">
        <f>IF(HYU220 = "", "", IFERROR(HYU220 / SUMIFS(Aux_Totales!$N:$N, Aux_Totales!$F:$F, $F224, Aux_Totales!$A:$A,#REF!), 0))</f>
        <v/>
      </c>
      <c r="HYV224" s="19" t="str">
        <f>IF(HYV220 = "", "", IFERROR(HYV220 / SUMIFS(Aux_Totales!$N:$N, Aux_Totales!$F:$F, $F224, Aux_Totales!$A:$A,#REF!), 0))</f>
        <v/>
      </c>
      <c r="HYW224" s="19" t="str">
        <f>IF(HYW220 = "", "", IFERROR(HYW220 / SUMIFS(Aux_Totales!$N:$N, Aux_Totales!$F:$F, $F224, Aux_Totales!$A:$A,#REF!), 0))</f>
        <v/>
      </c>
      <c r="HYX224" s="19" t="str">
        <f>IF(HYX220 = "", "", IFERROR(HYX220 / SUMIFS(Aux_Totales!$N:$N, Aux_Totales!$F:$F, $F224, Aux_Totales!$A:$A,#REF!), 0))</f>
        <v/>
      </c>
      <c r="HYY224" s="19" t="str">
        <f>IF(HYY220 = "", "", IFERROR(HYY220 / SUMIFS(Aux_Totales!$N:$N, Aux_Totales!$F:$F, $F224, Aux_Totales!$A:$A,#REF!), 0))</f>
        <v/>
      </c>
      <c r="HYZ224" s="19" t="str">
        <f>IF(HYZ220 = "", "", IFERROR(HYZ220 / SUMIFS(Aux_Totales!$N:$N, Aux_Totales!$F:$F, $F224, Aux_Totales!$A:$A,#REF!), 0))</f>
        <v/>
      </c>
      <c r="HZA224" s="19" t="str">
        <f>IF(HZA220 = "", "", IFERROR(HZA220 / SUMIFS(Aux_Totales!$N:$N, Aux_Totales!$F:$F, $F224, Aux_Totales!$A:$A,#REF!), 0))</f>
        <v/>
      </c>
      <c r="HZB224" s="19" t="str">
        <f>IF(HZB220 = "", "", IFERROR(HZB220 / SUMIFS(Aux_Totales!$N:$N, Aux_Totales!$F:$F, $F224, Aux_Totales!$A:$A,#REF!), 0))</f>
        <v/>
      </c>
      <c r="HZC224" s="19" t="str">
        <f>IF(HZC220 = "", "", IFERROR(HZC220 / SUMIFS(Aux_Totales!$N:$N, Aux_Totales!$F:$F, $F224, Aux_Totales!$A:$A,#REF!), 0))</f>
        <v/>
      </c>
      <c r="HZD224" s="19" t="str">
        <f>IF(HZD220 = "", "", IFERROR(HZD220 / SUMIFS(Aux_Totales!$N:$N, Aux_Totales!$F:$F, $F224, Aux_Totales!$A:$A,#REF!), 0))</f>
        <v/>
      </c>
      <c r="HZE224" s="19" t="str">
        <f>IF(HZE220 = "", "", IFERROR(HZE220 / SUMIFS(Aux_Totales!$N:$N, Aux_Totales!$F:$F, $F224, Aux_Totales!$A:$A,#REF!), 0))</f>
        <v/>
      </c>
      <c r="HZF224" s="19" t="str">
        <f>IF(HZF220 = "", "", IFERROR(HZF220 / SUMIFS(Aux_Totales!$N:$N, Aux_Totales!$F:$F, $F224, Aux_Totales!$A:$A,#REF!), 0))</f>
        <v/>
      </c>
      <c r="HZG224" s="19" t="str">
        <f>IF(HZG220 = "", "", IFERROR(HZG220 / SUMIFS(Aux_Totales!$N:$N, Aux_Totales!$F:$F, $F224, Aux_Totales!$A:$A,#REF!), 0))</f>
        <v/>
      </c>
      <c r="HZH224" s="19" t="str">
        <f>IF(HZH220 = "", "", IFERROR(HZH220 / SUMIFS(Aux_Totales!$N:$N, Aux_Totales!$F:$F, $F224, Aux_Totales!$A:$A,#REF!), 0))</f>
        <v/>
      </c>
      <c r="HZI224" s="19" t="str">
        <f>IF(HZI220 = "", "", IFERROR(HZI220 / SUMIFS(Aux_Totales!$N:$N, Aux_Totales!$F:$F, $F224, Aux_Totales!$A:$A,#REF!), 0))</f>
        <v/>
      </c>
      <c r="HZJ224" s="19" t="str">
        <f>IF(HZJ220 = "", "", IFERROR(HZJ220 / SUMIFS(Aux_Totales!$N:$N, Aux_Totales!$F:$F, $F224, Aux_Totales!$A:$A,#REF!), 0))</f>
        <v/>
      </c>
      <c r="HZK224" s="19" t="str">
        <f>IF(HZK220 = "", "", IFERROR(HZK220 / SUMIFS(Aux_Totales!$N:$N, Aux_Totales!$F:$F, $F224, Aux_Totales!$A:$A,#REF!), 0))</f>
        <v/>
      </c>
      <c r="HZL224" s="19" t="str">
        <f>IF(HZL220 = "", "", IFERROR(HZL220 / SUMIFS(Aux_Totales!$N:$N, Aux_Totales!$F:$F, $F224, Aux_Totales!$A:$A,#REF!), 0))</f>
        <v/>
      </c>
      <c r="HZM224" s="19" t="str">
        <f>IF(HZM220 = "", "", IFERROR(HZM220 / SUMIFS(Aux_Totales!$N:$N, Aux_Totales!$F:$F, $F224, Aux_Totales!$A:$A,#REF!), 0))</f>
        <v/>
      </c>
      <c r="HZN224" s="19" t="str">
        <f>IF(HZN220 = "", "", IFERROR(HZN220 / SUMIFS(Aux_Totales!$N:$N, Aux_Totales!$F:$F, $F224, Aux_Totales!$A:$A,#REF!), 0))</f>
        <v/>
      </c>
      <c r="HZO224" s="19" t="str">
        <f>IF(HZO220 = "", "", IFERROR(HZO220 / SUMIFS(Aux_Totales!$N:$N, Aux_Totales!$F:$F, $F224, Aux_Totales!$A:$A,#REF!), 0))</f>
        <v/>
      </c>
      <c r="HZP224" s="19" t="str">
        <f>IF(HZP220 = "", "", IFERROR(HZP220 / SUMIFS(Aux_Totales!$N:$N, Aux_Totales!$F:$F, $F224, Aux_Totales!$A:$A,#REF!), 0))</f>
        <v/>
      </c>
      <c r="HZQ224" s="19" t="str">
        <f>IF(HZQ220 = "", "", IFERROR(HZQ220 / SUMIFS(Aux_Totales!$N:$N, Aux_Totales!$F:$F, $F224, Aux_Totales!$A:$A,#REF!), 0))</f>
        <v/>
      </c>
      <c r="HZR224" s="19" t="str">
        <f>IF(HZR220 = "", "", IFERROR(HZR220 / SUMIFS(Aux_Totales!$N:$N, Aux_Totales!$F:$F, $F224, Aux_Totales!$A:$A,#REF!), 0))</f>
        <v/>
      </c>
      <c r="HZS224" s="19" t="str">
        <f>IF(HZS220 = "", "", IFERROR(HZS220 / SUMIFS(Aux_Totales!$N:$N, Aux_Totales!$F:$F, $F224, Aux_Totales!$A:$A,#REF!), 0))</f>
        <v/>
      </c>
      <c r="HZT224" s="19" t="str">
        <f>IF(HZT220 = "", "", IFERROR(HZT220 / SUMIFS(Aux_Totales!$N:$N, Aux_Totales!$F:$F, $F224, Aux_Totales!$A:$A,#REF!), 0))</f>
        <v/>
      </c>
      <c r="HZU224" s="19" t="str">
        <f>IF(HZU220 = "", "", IFERROR(HZU220 / SUMIFS(Aux_Totales!$N:$N, Aux_Totales!$F:$F, $F224, Aux_Totales!$A:$A,#REF!), 0))</f>
        <v/>
      </c>
      <c r="HZV224" s="19" t="str">
        <f>IF(HZV220 = "", "", IFERROR(HZV220 / SUMIFS(Aux_Totales!$N:$N, Aux_Totales!$F:$F, $F224, Aux_Totales!$A:$A,#REF!), 0))</f>
        <v/>
      </c>
      <c r="HZW224" s="19" t="str">
        <f>IF(HZW220 = "", "", IFERROR(HZW220 / SUMIFS(Aux_Totales!$N:$N, Aux_Totales!$F:$F, $F224, Aux_Totales!$A:$A,#REF!), 0))</f>
        <v/>
      </c>
      <c r="HZX224" s="19" t="str">
        <f>IF(HZX220 = "", "", IFERROR(HZX220 / SUMIFS(Aux_Totales!$N:$N, Aux_Totales!$F:$F, $F224, Aux_Totales!$A:$A,#REF!), 0))</f>
        <v/>
      </c>
      <c r="HZY224" s="19" t="str">
        <f>IF(HZY220 = "", "", IFERROR(HZY220 / SUMIFS(Aux_Totales!$N:$N, Aux_Totales!$F:$F, $F224, Aux_Totales!$A:$A,#REF!), 0))</f>
        <v/>
      </c>
      <c r="HZZ224" s="19" t="str">
        <f>IF(HZZ220 = "", "", IFERROR(HZZ220 / SUMIFS(Aux_Totales!$N:$N, Aux_Totales!$F:$F, $F224, Aux_Totales!$A:$A,#REF!), 0))</f>
        <v/>
      </c>
      <c r="IAA224" s="19" t="str">
        <f>IF(IAA220 = "", "", IFERROR(IAA220 / SUMIFS(Aux_Totales!$N:$N, Aux_Totales!$F:$F, $F224, Aux_Totales!$A:$A,#REF!), 0))</f>
        <v/>
      </c>
      <c r="IAB224" s="19" t="str">
        <f>IF(IAB220 = "", "", IFERROR(IAB220 / SUMIFS(Aux_Totales!$N:$N, Aux_Totales!$F:$F, $F224, Aux_Totales!$A:$A,#REF!), 0))</f>
        <v/>
      </c>
      <c r="IAC224" s="19" t="str">
        <f>IF(IAC220 = "", "", IFERROR(IAC220 / SUMIFS(Aux_Totales!$N:$N, Aux_Totales!$F:$F, $F224, Aux_Totales!$A:$A,#REF!), 0))</f>
        <v/>
      </c>
      <c r="IAD224" s="19" t="str">
        <f>IF(IAD220 = "", "", IFERROR(IAD220 / SUMIFS(Aux_Totales!$N:$N, Aux_Totales!$F:$F, $F224, Aux_Totales!$A:$A,#REF!), 0))</f>
        <v/>
      </c>
      <c r="IAE224" s="19" t="str">
        <f>IF(IAE220 = "", "", IFERROR(IAE220 / SUMIFS(Aux_Totales!$N:$N, Aux_Totales!$F:$F, $F224, Aux_Totales!$A:$A,#REF!), 0))</f>
        <v/>
      </c>
      <c r="IAF224" s="19" t="str">
        <f>IF(IAF220 = "", "", IFERROR(IAF220 / SUMIFS(Aux_Totales!$N:$N, Aux_Totales!$F:$F, $F224, Aux_Totales!$A:$A,#REF!), 0))</f>
        <v/>
      </c>
      <c r="IAG224" s="19" t="str">
        <f>IF(IAG220 = "", "", IFERROR(IAG220 / SUMIFS(Aux_Totales!$N:$N, Aux_Totales!$F:$F, $F224, Aux_Totales!$A:$A,#REF!), 0))</f>
        <v/>
      </c>
      <c r="IAH224" s="19" t="str">
        <f>IF(IAH220 = "", "", IFERROR(IAH220 / SUMIFS(Aux_Totales!$N:$N, Aux_Totales!$F:$F, $F224, Aux_Totales!$A:$A,#REF!), 0))</f>
        <v/>
      </c>
      <c r="IAI224" s="19" t="str">
        <f>IF(IAI220 = "", "", IFERROR(IAI220 / SUMIFS(Aux_Totales!$N:$N, Aux_Totales!$F:$F, $F224, Aux_Totales!$A:$A,#REF!), 0))</f>
        <v/>
      </c>
      <c r="IAJ224" s="19" t="str">
        <f>IF(IAJ220 = "", "", IFERROR(IAJ220 / SUMIFS(Aux_Totales!$N:$N, Aux_Totales!$F:$F, $F224, Aux_Totales!$A:$A,#REF!), 0))</f>
        <v/>
      </c>
      <c r="IAK224" s="19" t="str">
        <f>IF(IAK220 = "", "", IFERROR(IAK220 / SUMIFS(Aux_Totales!$N:$N, Aux_Totales!$F:$F, $F224, Aux_Totales!$A:$A,#REF!), 0))</f>
        <v/>
      </c>
      <c r="IAL224" s="19" t="str">
        <f>IF(IAL220 = "", "", IFERROR(IAL220 / SUMIFS(Aux_Totales!$N:$N, Aux_Totales!$F:$F, $F224, Aux_Totales!$A:$A,#REF!), 0))</f>
        <v/>
      </c>
      <c r="IAM224" s="19" t="str">
        <f>IF(IAM220 = "", "", IFERROR(IAM220 / SUMIFS(Aux_Totales!$N:$N, Aux_Totales!$F:$F, $F224, Aux_Totales!$A:$A,#REF!), 0))</f>
        <v/>
      </c>
      <c r="IAN224" s="19" t="str">
        <f>IF(IAN220 = "", "", IFERROR(IAN220 / SUMIFS(Aux_Totales!$N:$N, Aux_Totales!$F:$F, $F224, Aux_Totales!$A:$A,#REF!), 0))</f>
        <v/>
      </c>
      <c r="IAO224" s="19" t="str">
        <f>IF(IAO220 = "", "", IFERROR(IAO220 / SUMIFS(Aux_Totales!$N:$N, Aux_Totales!$F:$F, $F224, Aux_Totales!$A:$A,#REF!), 0))</f>
        <v/>
      </c>
      <c r="IAP224" s="19" t="str">
        <f>IF(IAP220 = "", "", IFERROR(IAP220 / SUMIFS(Aux_Totales!$N:$N, Aux_Totales!$F:$F, $F224, Aux_Totales!$A:$A,#REF!), 0))</f>
        <v/>
      </c>
      <c r="IAQ224" s="19" t="str">
        <f>IF(IAQ220 = "", "", IFERROR(IAQ220 / SUMIFS(Aux_Totales!$N:$N, Aux_Totales!$F:$F, $F224, Aux_Totales!$A:$A,#REF!), 0))</f>
        <v/>
      </c>
      <c r="IAR224" s="19" t="str">
        <f>IF(IAR220 = "", "", IFERROR(IAR220 / SUMIFS(Aux_Totales!$N:$N, Aux_Totales!$F:$F, $F224, Aux_Totales!$A:$A,#REF!), 0))</f>
        <v/>
      </c>
      <c r="IAS224" s="19" t="str">
        <f>IF(IAS220 = "", "", IFERROR(IAS220 / SUMIFS(Aux_Totales!$N:$N, Aux_Totales!$F:$F, $F224, Aux_Totales!$A:$A,#REF!), 0))</f>
        <v/>
      </c>
      <c r="IAT224" s="19" t="str">
        <f>IF(IAT220 = "", "", IFERROR(IAT220 / SUMIFS(Aux_Totales!$N:$N, Aux_Totales!$F:$F, $F224, Aux_Totales!$A:$A,#REF!), 0))</f>
        <v/>
      </c>
      <c r="IAU224" s="19" t="str">
        <f>IF(IAU220 = "", "", IFERROR(IAU220 / SUMIFS(Aux_Totales!$N:$N, Aux_Totales!$F:$F, $F224, Aux_Totales!$A:$A,#REF!), 0))</f>
        <v/>
      </c>
      <c r="IAV224" s="19" t="str">
        <f>IF(IAV220 = "", "", IFERROR(IAV220 / SUMIFS(Aux_Totales!$N:$N, Aux_Totales!$F:$F, $F224, Aux_Totales!$A:$A,#REF!), 0))</f>
        <v/>
      </c>
      <c r="IAW224" s="19" t="str">
        <f>IF(IAW220 = "", "", IFERROR(IAW220 / SUMIFS(Aux_Totales!$N:$N, Aux_Totales!$F:$F, $F224, Aux_Totales!$A:$A,#REF!), 0))</f>
        <v/>
      </c>
      <c r="IAX224" s="19" t="str">
        <f>IF(IAX220 = "", "", IFERROR(IAX220 / SUMIFS(Aux_Totales!$N:$N, Aux_Totales!$F:$F, $F224, Aux_Totales!$A:$A,#REF!), 0))</f>
        <v/>
      </c>
      <c r="IAY224" s="19" t="str">
        <f>IF(IAY220 = "", "", IFERROR(IAY220 / SUMIFS(Aux_Totales!$N:$N, Aux_Totales!$F:$F, $F224, Aux_Totales!$A:$A,#REF!), 0))</f>
        <v/>
      </c>
      <c r="IAZ224" s="19" t="str">
        <f>IF(IAZ220 = "", "", IFERROR(IAZ220 / SUMIFS(Aux_Totales!$N:$N, Aux_Totales!$F:$F, $F224, Aux_Totales!$A:$A,#REF!), 0))</f>
        <v/>
      </c>
      <c r="IBA224" s="19" t="str">
        <f>IF(IBA220 = "", "", IFERROR(IBA220 / SUMIFS(Aux_Totales!$N:$N, Aux_Totales!$F:$F, $F224, Aux_Totales!$A:$A,#REF!), 0))</f>
        <v/>
      </c>
      <c r="IBB224" s="19" t="str">
        <f>IF(IBB220 = "", "", IFERROR(IBB220 / SUMIFS(Aux_Totales!$N:$N, Aux_Totales!$F:$F, $F224, Aux_Totales!$A:$A,#REF!), 0))</f>
        <v/>
      </c>
      <c r="IBC224" s="19" t="str">
        <f>IF(IBC220 = "", "", IFERROR(IBC220 / SUMIFS(Aux_Totales!$N:$N, Aux_Totales!$F:$F, $F224, Aux_Totales!$A:$A,#REF!), 0))</f>
        <v/>
      </c>
      <c r="IBD224" s="19" t="str">
        <f>IF(IBD220 = "", "", IFERROR(IBD220 / SUMIFS(Aux_Totales!$N:$N, Aux_Totales!$F:$F, $F224, Aux_Totales!$A:$A,#REF!), 0))</f>
        <v/>
      </c>
      <c r="IBE224" s="19" t="str">
        <f>IF(IBE220 = "", "", IFERROR(IBE220 / SUMIFS(Aux_Totales!$N:$N, Aux_Totales!$F:$F, $F224, Aux_Totales!$A:$A,#REF!), 0))</f>
        <v/>
      </c>
      <c r="IBF224" s="19" t="str">
        <f>IF(IBF220 = "", "", IFERROR(IBF220 / SUMIFS(Aux_Totales!$N:$N, Aux_Totales!$F:$F, $F224, Aux_Totales!$A:$A,#REF!), 0))</f>
        <v/>
      </c>
      <c r="IBG224" s="19" t="str">
        <f>IF(IBG220 = "", "", IFERROR(IBG220 / SUMIFS(Aux_Totales!$N:$N, Aux_Totales!$F:$F, $F224, Aux_Totales!$A:$A,#REF!), 0))</f>
        <v/>
      </c>
      <c r="IBH224" s="19" t="str">
        <f>IF(IBH220 = "", "", IFERROR(IBH220 / SUMIFS(Aux_Totales!$N:$N, Aux_Totales!$F:$F, $F224, Aux_Totales!$A:$A,#REF!), 0))</f>
        <v/>
      </c>
      <c r="IBI224" s="19" t="str">
        <f>IF(IBI220 = "", "", IFERROR(IBI220 / SUMIFS(Aux_Totales!$N:$N, Aux_Totales!$F:$F, $F224, Aux_Totales!$A:$A,#REF!), 0))</f>
        <v/>
      </c>
      <c r="IBJ224" s="19" t="str">
        <f>IF(IBJ220 = "", "", IFERROR(IBJ220 / SUMIFS(Aux_Totales!$N:$N, Aux_Totales!$F:$F, $F224, Aux_Totales!$A:$A,#REF!), 0))</f>
        <v/>
      </c>
      <c r="IBK224" s="19" t="str">
        <f>IF(IBK220 = "", "", IFERROR(IBK220 / SUMIFS(Aux_Totales!$N:$N, Aux_Totales!$F:$F, $F224, Aux_Totales!$A:$A,#REF!), 0))</f>
        <v/>
      </c>
      <c r="IBL224" s="19" t="str">
        <f>IF(IBL220 = "", "", IFERROR(IBL220 / SUMIFS(Aux_Totales!$N:$N, Aux_Totales!$F:$F, $F224, Aux_Totales!$A:$A,#REF!), 0))</f>
        <v/>
      </c>
      <c r="IBM224" s="19" t="str">
        <f>IF(IBM220 = "", "", IFERROR(IBM220 / SUMIFS(Aux_Totales!$N:$N, Aux_Totales!$F:$F, $F224, Aux_Totales!$A:$A,#REF!), 0))</f>
        <v/>
      </c>
      <c r="IBN224" s="19" t="str">
        <f>IF(IBN220 = "", "", IFERROR(IBN220 / SUMIFS(Aux_Totales!$N:$N, Aux_Totales!$F:$F, $F224, Aux_Totales!$A:$A,#REF!), 0))</f>
        <v/>
      </c>
      <c r="IBO224" s="19" t="str">
        <f>IF(IBO220 = "", "", IFERROR(IBO220 / SUMIFS(Aux_Totales!$N:$N, Aux_Totales!$F:$F, $F224, Aux_Totales!$A:$A,#REF!), 0))</f>
        <v/>
      </c>
      <c r="IBP224" s="19" t="str">
        <f>IF(IBP220 = "", "", IFERROR(IBP220 / SUMIFS(Aux_Totales!$N:$N, Aux_Totales!$F:$F, $F224, Aux_Totales!$A:$A,#REF!), 0))</f>
        <v/>
      </c>
      <c r="IBQ224" s="19" t="str">
        <f>IF(IBQ220 = "", "", IFERROR(IBQ220 / SUMIFS(Aux_Totales!$N:$N, Aux_Totales!$F:$F, $F224, Aux_Totales!$A:$A,#REF!), 0))</f>
        <v/>
      </c>
      <c r="IBR224" s="19" t="str">
        <f>IF(IBR220 = "", "", IFERROR(IBR220 / SUMIFS(Aux_Totales!$N:$N, Aux_Totales!$F:$F, $F224, Aux_Totales!$A:$A,#REF!), 0))</f>
        <v/>
      </c>
      <c r="IBS224" s="19" t="str">
        <f>IF(IBS220 = "", "", IFERROR(IBS220 / SUMIFS(Aux_Totales!$N:$N, Aux_Totales!$F:$F, $F224, Aux_Totales!$A:$A,#REF!), 0))</f>
        <v/>
      </c>
      <c r="IBT224" s="19" t="str">
        <f>IF(IBT220 = "", "", IFERROR(IBT220 / SUMIFS(Aux_Totales!$N:$N, Aux_Totales!$F:$F, $F224, Aux_Totales!$A:$A,#REF!), 0))</f>
        <v/>
      </c>
      <c r="IBU224" s="19" t="str">
        <f>IF(IBU220 = "", "", IFERROR(IBU220 / SUMIFS(Aux_Totales!$N:$N, Aux_Totales!$F:$F, $F224, Aux_Totales!$A:$A,#REF!), 0))</f>
        <v/>
      </c>
      <c r="IBV224" s="19" t="str">
        <f>IF(IBV220 = "", "", IFERROR(IBV220 / SUMIFS(Aux_Totales!$N:$N, Aux_Totales!$F:$F, $F224, Aux_Totales!$A:$A,#REF!), 0))</f>
        <v/>
      </c>
      <c r="IBW224" s="19" t="str">
        <f>IF(IBW220 = "", "", IFERROR(IBW220 / SUMIFS(Aux_Totales!$N:$N, Aux_Totales!$F:$F, $F224, Aux_Totales!$A:$A,#REF!), 0))</f>
        <v/>
      </c>
      <c r="IBX224" s="19" t="str">
        <f>IF(IBX220 = "", "", IFERROR(IBX220 / SUMIFS(Aux_Totales!$N:$N, Aux_Totales!$F:$F, $F224, Aux_Totales!$A:$A,#REF!), 0))</f>
        <v/>
      </c>
      <c r="IBY224" s="19" t="str">
        <f>IF(IBY220 = "", "", IFERROR(IBY220 / SUMIFS(Aux_Totales!$N:$N, Aux_Totales!$F:$F, $F224, Aux_Totales!$A:$A,#REF!), 0))</f>
        <v/>
      </c>
      <c r="IBZ224" s="19" t="str">
        <f>IF(IBZ220 = "", "", IFERROR(IBZ220 / SUMIFS(Aux_Totales!$N:$N, Aux_Totales!$F:$F, $F224, Aux_Totales!$A:$A,#REF!), 0))</f>
        <v/>
      </c>
      <c r="ICA224" s="19" t="str">
        <f>IF(ICA220 = "", "", IFERROR(ICA220 / SUMIFS(Aux_Totales!$N:$N, Aux_Totales!$F:$F, $F224, Aux_Totales!$A:$A,#REF!), 0))</f>
        <v/>
      </c>
      <c r="ICB224" s="19" t="str">
        <f>IF(ICB220 = "", "", IFERROR(ICB220 / SUMIFS(Aux_Totales!$N:$N, Aux_Totales!$F:$F, $F224, Aux_Totales!$A:$A,#REF!), 0))</f>
        <v/>
      </c>
      <c r="ICC224" s="19" t="str">
        <f>IF(ICC220 = "", "", IFERROR(ICC220 / SUMIFS(Aux_Totales!$N:$N, Aux_Totales!$F:$F, $F224, Aux_Totales!$A:$A,#REF!), 0))</f>
        <v/>
      </c>
      <c r="ICD224" s="19" t="str">
        <f>IF(ICD220 = "", "", IFERROR(ICD220 / SUMIFS(Aux_Totales!$N:$N, Aux_Totales!$F:$F, $F224, Aux_Totales!$A:$A,#REF!), 0))</f>
        <v/>
      </c>
      <c r="ICE224" s="19" t="str">
        <f>IF(ICE220 = "", "", IFERROR(ICE220 / SUMIFS(Aux_Totales!$N:$N, Aux_Totales!$F:$F, $F224, Aux_Totales!$A:$A,#REF!), 0))</f>
        <v/>
      </c>
      <c r="ICF224" s="19" t="str">
        <f>IF(ICF220 = "", "", IFERROR(ICF220 / SUMIFS(Aux_Totales!$N:$N, Aux_Totales!$F:$F, $F224, Aux_Totales!$A:$A,#REF!), 0))</f>
        <v/>
      </c>
      <c r="ICG224" s="19" t="str">
        <f>IF(ICG220 = "", "", IFERROR(ICG220 / SUMIFS(Aux_Totales!$N:$N, Aux_Totales!$F:$F, $F224, Aux_Totales!$A:$A,#REF!), 0))</f>
        <v/>
      </c>
      <c r="ICH224" s="19" t="str">
        <f>IF(ICH220 = "", "", IFERROR(ICH220 / SUMIFS(Aux_Totales!$N:$N, Aux_Totales!$F:$F, $F224, Aux_Totales!$A:$A,#REF!), 0))</f>
        <v/>
      </c>
      <c r="ICI224" s="19" t="str">
        <f>IF(ICI220 = "", "", IFERROR(ICI220 / SUMIFS(Aux_Totales!$N:$N, Aux_Totales!$F:$F, $F224, Aux_Totales!$A:$A,#REF!), 0))</f>
        <v/>
      </c>
      <c r="ICJ224" s="19" t="str">
        <f>IF(ICJ220 = "", "", IFERROR(ICJ220 / SUMIFS(Aux_Totales!$N:$N, Aux_Totales!$F:$F, $F224, Aux_Totales!$A:$A,#REF!), 0))</f>
        <v/>
      </c>
      <c r="ICK224" s="19" t="str">
        <f>IF(ICK220 = "", "", IFERROR(ICK220 / SUMIFS(Aux_Totales!$N:$N, Aux_Totales!$F:$F, $F224, Aux_Totales!$A:$A,#REF!), 0))</f>
        <v/>
      </c>
      <c r="ICL224" s="19" t="str">
        <f>IF(ICL220 = "", "", IFERROR(ICL220 / SUMIFS(Aux_Totales!$N:$N, Aux_Totales!$F:$F, $F224, Aux_Totales!$A:$A,#REF!), 0))</f>
        <v/>
      </c>
      <c r="ICM224" s="19" t="str">
        <f>IF(ICM220 = "", "", IFERROR(ICM220 / SUMIFS(Aux_Totales!$N:$N, Aux_Totales!$F:$F, $F224, Aux_Totales!$A:$A,#REF!), 0))</f>
        <v/>
      </c>
      <c r="ICN224" s="19" t="str">
        <f>IF(ICN220 = "", "", IFERROR(ICN220 / SUMIFS(Aux_Totales!$N:$N, Aux_Totales!$F:$F, $F224, Aux_Totales!$A:$A,#REF!), 0))</f>
        <v/>
      </c>
      <c r="ICO224" s="19" t="str">
        <f>IF(ICO220 = "", "", IFERROR(ICO220 / SUMIFS(Aux_Totales!$N:$N, Aux_Totales!$F:$F, $F224, Aux_Totales!$A:$A,#REF!), 0))</f>
        <v/>
      </c>
      <c r="ICP224" s="19" t="str">
        <f>IF(ICP220 = "", "", IFERROR(ICP220 / SUMIFS(Aux_Totales!$N:$N, Aux_Totales!$F:$F, $F224, Aux_Totales!$A:$A,#REF!), 0))</f>
        <v/>
      </c>
      <c r="ICQ224" s="19" t="str">
        <f>IF(ICQ220 = "", "", IFERROR(ICQ220 / SUMIFS(Aux_Totales!$N:$N, Aux_Totales!$F:$F, $F224, Aux_Totales!$A:$A,#REF!), 0))</f>
        <v/>
      </c>
      <c r="ICR224" s="19" t="str">
        <f>IF(ICR220 = "", "", IFERROR(ICR220 / SUMIFS(Aux_Totales!$N:$N, Aux_Totales!$F:$F, $F224, Aux_Totales!$A:$A,#REF!), 0))</f>
        <v/>
      </c>
      <c r="ICS224" s="19" t="str">
        <f>IF(ICS220 = "", "", IFERROR(ICS220 / SUMIFS(Aux_Totales!$N:$N, Aux_Totales!$F:$F, $F224, Aux_Totales!$A:$A,#REF!), 0))</f>
        <v/>
      </c>
      <c r="ICT224" s="19" t="str">
        <f>IF(ICT220 = "", "", IFERROR(ICT220 / SUMIFS(Aux_Totales!$N:$N, Aux_Totales!$F:$F, $F224, Aux_Totales!$A:$A,#REF!), 0))</f>
        <v/>
      </c>
      <c r="ICU224" s="19" t="str">
        <f>IF(ICU220 = "", "", IFERROR(ICU220 / SUMIFS(Aux_Totales!$N:$N, Aux_Totales!$F:$F, $F224, Aux_Totales!$A:$A,#REF!), 0))</f>
        <v/>
      </c>
      <c r="ICV224" s="19" t="str">
        <f>IF(ICV220 = "", "", IFERROR(ICV220 / SUMIFS(Aux_Totales!$N:$N, Aux_Totales!$F:$F, $F224, Aux_Totales!$A:$A,#REF!), 0))</f>
        <v/>
      </c>
      <c r="ICW224" s="19" t="str">
        <f>IF(ICW220 = "", "", IFERROR(ICW220 / SUMIFS(Aux_Totales!$N:$N, Aux_Totales!$F:$F, $F224, Aux_Totales!$A:$A,#REF!), 0))</f>
        <v/>
      </c>
      <c r="ICX224" s="19" t="str">
        <f>IF(ICX220 = "", "", IFERROR(ICX220 / SUMIFS(Aux_Totales!$N:$N, Aux_Totales!$F:$F, $F224, Aux_Totales!$A:$A,#REF!), 0))</f>
        <v/>
      </c>
      <c r="ICY224" s="19" t="str">
        <f>IF(ICY220 = "", "", IFERROR(ICY220 / SUMIFS(Aux_Totales!$N:$N, Aux_Totales!$F:$F, $F224, Aux_Totales!$A:$A,#REF!), 0))</f>
        <v/>
      </c>
      <c r="ICZ224" s="19" t="str">
        <f>IF(ICZ220 = "", "", IFERROR(ICZ220 / SUMIFS(Aux_Totales!$N:$N, Aux_Totales!$F:$F, $F224, Aux_Totales!$A:$A,#REF!), 0))</f>
        <v/>
      </c>
      <c r="IDA224" s="19" t="str">
        <f>IF(IDA220 = "", "", IFERROR(IDA220 / SUMIFS(Aux_Totales!$N:$N, Aux_Totales!$F:$F, $F224, Aux_Totales!$A:$A,#REF!), 0))</f>
        <v/>
      </c>
      <c r="IDB224" s="19" t="str">
        <f>IF(IDB220 = "", "", IFERROR(IDB220 / SUMIFS(Aux_Totales!$N:$N, Aux_Totales!$F:$F, $F224, Aux_Totales!$A:$A,#REF!), 0))</f>
        <v/>
      </c>
      <c r="IDC224" s="19" t="str">
        <f>IF(IDC220 = "", "", IFERROR(IDC220 / SUMIFS(Aux_Totales!$N:$N, Aux_Totales!$F:$F, $F224, Aux_Totales!$A:$A,#REF!), 0))</f>
        <v/>
      </c>
      <c r="IDD224" s="19" t="str">
        <f>IF(IDD220 = "", "", IFERROR(IDD220 / SUMIFS(Aux_Totales!$N:$N, Aux_Totales!$F:$F, $F224, Aux_Totales!$A:$A,#REF!), 0))</f>
        <v/>
      </c>
      <c r="IDE224" s="19" t="str">
        <f>IF(IDE220 = "", "", IFERROR(IDE220 / SUMIFS(Aux_Totales!$N:$N, Aux_Totales!$F:$F, $F224, Aux_Totales!$A:$A,#REF!), 0))</f>
        <v/>
      </c>
      <c r="IDF224" s="19" t="str">
        <f>IF(IDF220 = "", "", IFERROR(IDF220 / SUMIFS(Aux_Totales!$N:$N, Aux_Totales!$F:$F, $F224, Aux_Totales!$A:$A,#REF!), 0))</f>
        <v/>
      </c>
      <c r="IDG224" s="19" t="str">
        <f>IF(IDG220 = "", "", IFERROR(IDG220 / SUMIFS(Aux_Totales!$N:$N, Aux_Totales!$F:$F, $F224, Aux_Totales!$A:$A,#REF!), 0))</f>
        <v/>
      </c>
      <c r="IDH224" s="19" t="str">
        <f>IF(IDH220 = "", "", IFERROR(IDH220 / SUMIFS(Aux_Totales!$N:$N, Aux_Totales!$F:$F, $F224, Aux_Totales!$A:$A,#REF!), 0))</f>
        <v/>
      </c>
      <c r="IDI224" s="19" t="str">
        <f>IF(IDI220 = "", "", IFERROR(IDI220 / SUMIFS(Aux_Totales!$N:$N, Aux_Totales!$F:$F, $F224, Aux_Totales!$A:$A,#REF!), 0))</f>
        <v/>
      </c>
      <c r="IDJ224" s="19" t="str">
        <f>IF(IDJ220 = "", "", IFERROR(IDJ220 / SUMIFS(Aux_Totales!$N:$N, Aux_Totales!$F:$F, $F224, Aux_Totales!$A:$A,#REF!), 0))</f>
        <v/>
      </c>
      <c r="IDK224" s="19" t="str">
        <f>IF(IDK220 = "", "", IFERROR(IDK220 / SUMIFS(Aux_Totales!$N:$N, Aux_Totales!$F:$F, $F224, Aux_Totales!$A:$A,#REF!), 0))</f>
        <v/>
      </c>
      <c r="IDL224" s="19" t="str">
        <f>IF(IDL220 = "", "", IFERROR(IDL220 / SUMIFS(Aux_Totales!$N:$N, Aux_Totales!$F:$F, $F224, Aux_Totales!$A:$A,#REF!), 0))</f>
        <v/>
      </c>
      <c r="IDM224" s="19" t="str">
        <f>IF(IDM220 = "", "", IFERROR(IDM220 / SUMIFS(Aux_Totales!$N:$N, Aux_Totales!$F:$F, $F224, Aux_Totales!$A:$A,#REF!), 0))</f>
        <v/>
      </c>
      <c r="IDN224" s="19" t="str">
        <f>IF(IDN220 = "", "", IFERROR(IDN220 / SUMIFS(Aux_Totales!$N:$N, Aux_Totales!$F:$F, $F224, Aux_Totales!$A:$A,#REF!), 0))</f>
        <v/>
      </c>
      <c r="IDO224" s="19" t="str">
        <f>IF(IDO220 = "", "", IFERROR(IDO220 / SUMIFS(Aux_Totales!$N:$N, Aux_Totales!$F:$F, $F224, Aux_Totales!$A:$A,#REF!), 0))</f>
        <v/>
      </c>
      <c r="IDP224" s="19" t="str">
        <f>IF(IDP220 = "", "", IFERROR(IDP220 / SUMIFS(Aux_Totales!$N:$N, Aux_Totales!$F:$F, $F224, Aux_Totales!$A:$A,#REF!), 0))</f>
        <v/>
      </c>
      <c r="IDQ224" s="19" t="str">
        <f>IF(IDQ220 = "", "", IFERROR(IDQ220 / SUMIFS(Aux_Totales!$N:$N, Aux_Totales!$F:$F, $F224, Aux_Totales!$A:$A,#REF!), 0))</f>
        <v/>
      </c>
      <c r="IDR224" s="19" t="str">
        <f>IF(IDR220 = "", "", IFERROR(IDR220 / SUMIFS(Aux_Totales!$N:$N, Aux_Totales!$F:$F, $F224, Aux_Totales!$A:$A,#REF!), 0))</f>
        <v/>
      </c>
      <c r="IDS224" s="19" t="str">
        <f>IF(IDS220 = "", "", IFERROR(IDS220 / SUMIFS(Aux_Totales!$N:$N, Aux_Totales!$F:$F, $F224, Aux_Totales!$A:$A,#REF!), 0))</f>
        <v/>
      </c>
      <c r="IDT224" s="19" t="str">
        <f>IF(IDT220 = "", "", IFERROR(IDT220 / SUMIFS(Aux_Totales!$N:$N, Aux_Totales!$F:$F, $F224, Aux_Totales!$A:$A,#REF!), 0))</f>
        <v/>
      </c>
      <c r="IDU224" s="19" t="str">
        <f>IF(IDU220 = "", "", IFERROR(IDU220 / SUMIFS(Aux_Totales!$N:$N, Aux_Totales!$F:$F, $F224, Aux_Totales!$A:$A,#REF!), 0))</f>
        <v/>
      </c>
      <c r="IDV224" s="19" t="str">
        <f>IF(IDV220 = "", "", IFERROR(IDV220 / SUMIFS(Aux_Totales!$N:$N, Aux_Totales!$F:$F, $F224, Aux_Totales!$A:$A,#REF!), 0))</f>
        <v/>
      </c>
      <c r="IDW224" s="19" t="str">
        <f>IF(IDW220 = "", "", IFERROR(IDW220 / SUMIFS(Aux_Totales!$N:$N, Aux_Totales!$F:$F, $F224, Aux_Totales!$A:$A,#REF!), 0))</f>
        <v/>
      </c>
      <c r="IDX224" s="19" t="str">
        <f>IF(IDX220 = "", "", IFERROR(IDX220 / SUMIFS(Aux_Totales!$N:$N, Aux_Totales!$F:$F, $F224, Aux_Totales!$A:$A,#REF!), 0))</f>
        <v/>
      </c>
      <c r="IDY224" s="19" t="str">
        <f>IF(IDY220 = "", "", IFERROR(IDY220 / SUMIFS(Aux_Totales!$N:$N, Aux_Totales!$F:$F, $F224, Aux_Totales!$A:$A,#REF!), 0))</f>
        <v/>
      </c>
      <c r="IDZ224" s="19" t="str">
        <f>IF(IDZ220 = "", "", IFERROR(IDZ220 / SUMIFS(Aux_Totales!$N:$N, Aux_Totales!$F:$F, $F224, Aux_Totales!$A:$A,#REF!), 0))</f>
        <v/>
      </c>
      <c r="IEA224" s="19" t="str">
        <f>IF(IEA220 = "", "", IFERROR(IEA220 / SUMIFS(Aux_Totales!$N:$N, Aux_Totales!$F:$F, $F224, Aux_Totales!$A:$A,#REF!), 0))</f>
        <v/>
      </c>
      <c r="IEB224" s="19" t="str">
        <f>IF(IEB220 = "", "", IFERROR(IEB220 / SUMIFS(Aux_Totales!$N:$N, Aux_Totales!$F:$F, $F224, Aux_Totales!$A:$A,#REF!), 0))</f>
        <v/>
      </c>
      <c r="IEC224" s="19" t="str">
        <f>IF(IEC220 = "", "", IFERROR(IEC220 / SUMIFS(Aux_Totales!$N:$N, Aux_Totales!$F:$F, $F224, Aux_Totales!$A:$A,#REF!), 0))</f>
        <v/>
      </c>
      <c r="IED224" s="19" t="str">
        <f>IF(IED220 = "", "", IFERROR(IED220 / SUMIFS(Aux_Totales!$N:$N, Aux_Totales!$F:$F, $F224, Aux_Totales!$A:$A,#REF!), 0))</f>
        <v/>
      </c>
      <c r="IEE224" s="19" t="str">
        <f>IF(IEE220 = "", "", IFERROR(IEE220 / SUMIFS(Aux_Totales!$N:$N, Aux_Totales!$F:$F, $F224, Aux_Totales!$A:$A,#REF!), 0))</f>
        <v/>
      </c>
      <c r="IEF224" s="19" t="str">
        <f>IF(IEF220 = "", "", IFERROR(IEF220 / SUMIFS(Aux_Totales!$N:$N, Aux_Totales!$F:$F, $F224, Aux_Totales!$A:$A,#REF!), 0))</f>
        <v/>
      </c>
      <c r="IEG224" s="19" t="str">
        <f>IF(IEG220 = "", "", IFERROR(IEG220 / SUMIFS(Aux_Totales!$N:$N, Aux_Totales!$F:$F, $F224, Aux_Totales!$A:$A,#REF!), 0))</f>
        <v/>
      </c>
      <c r="IEH224" s="19" t="str">
        <f>IF(IEH220 = "", "", IFERROR(IEH220 / SUMIFS(Aux_Totales!$N:$N, Aux_Totales!$F:$F, $F224, Aux_Totales!$A:$A,#REF!), 0))</f>
        <v/>
      </c>
      <c r="IEI224" s="19" t="str">
        <f>IF(IEI220 = "", "", IFERROR(IEI220 / SUMIFS(Aux_Totales!$N:$N, Aux_Totales!$F:$F, $F224, Aux_Totales!$A:$A,#REF!), 0))</f>
        <v/>
      </c>
      <c r="IEJ224" s="19" t="str">
        <f>IF(IEJ220 = "", "", IFERROR(IEJ220 / SUMIFS(Aux_Totales!$N:$N, Aux_Totales!$F:$F, $F224, Aux_Totales!$A:$A,#REF!), 0))</f>
        <v/>
      </c>
      <c r="IEK224" s="19" t="str">
        <f>IF(IEK220 = "", "", IFERROR(IEK220 / SUMIFS(Aux_Totales!$N:$N, Aux_Totales!$F:$F, $F224, Aux_Totales!$A:$A,#REF!), 0))</f>
        <v/>
      </c>
      <c r="IEL224" s="19" t="str">
        <f>IF(IEL220 = "", "", IFERROR(IEL220 / SUMIFS(Aux_Totales!$N:$N, Aux_Totales!$F:$F, $F224, Aux_Totales!$A:$A,#REF!), 0))</f>
        <v/>
      </c>
      <c r="IEM224" s="19" t="str">
        <f>IF(IEM220 = "", "", IFERROR(IEM220 / SUMIFS(Aux_Totales!$N:$N, Aux_Totales!$F:$F, $F224, Aux_Totales!$A:$A,#REF!), 0))</f>
        <v/>
      </c>
      <c r="IEN224" s="19" t="str">
        <f>IF(IEN220 = "", "", IFERROR(IEN220 / SUMIFS(Aux_Totales!$N:$N, Aux_Totales!$F:$F, $F224, Aux_Totales!$A:$A,#REF!), 0))</f>
        <v/>
      </c>
      <c r="IEO224" s="19" t="str">
        <f>IF(IEO220 = "", "", IFERROR(IEO220 / SUMIFS(Aux_Totales!$N:$N, Aux_Totales!$F:$F, $F224, Aux_Totales!$A:$A,#REF!), 0))</f>
        <v/>
      </c>
      <c r="IEP224" s="19" t="str">
        <f>IF(IEP220 = "", "", IFERROR(IEP220 / SUMIFS(Aux_Totales!$N:$N, Aux_Totales!$F:$F, $F224, Aux_Totales!$A:$A,#REF!), 0))</f>
        <v/>
      </c>
      <c r="IEQ224" s="19" t="str">
        <f>IF(IEQ220 = "", "", IFERROR(IEQ220 / SUMIFS(Aux_Totales!$N:$N, Aux_Totales!$F:$F, $F224, Aux_Totales!$A:$A,#REF!), 0))</f>
        <v/>
      </c>
      <c r="IER224" s="19" t="str">
        <f>IF(IER220 = "", "", IFERROR(IER220 / SUMIFS(Aux_Totales!$N:$N, Aux_Totales!$F:$F, $F224, Aux_Totales!$A:$A,#REF!), 0))</f>
        <v/>
      </c>
      <c r="IES224" s="19" t="str">
        <f>IF(IES220 = "", "", IFERROR(IES220 / SUMIFS(Aux_Totales!$N:$N, Aux_Totales!$F:$F, $F224, Aux_Totales!$A:$A,#REF!), 0))</f>
        <v/>
      </c>
      <c r="IET224" s="19" t="str">
        <f>IF(IET220 = "", "", IFERROR(IET220 / SUMIFS(Aux_Totales!$N:$N, Aux_Totales!$F:$F, $F224, Aux_Totales!$A:$A,#REF!), 0))</f>
        <v/>
      </c>
      <c r="IEU224" s="19" t="str">
        <f>IF(IEU220 = "", "", IFERROR(IEU220 / SUMIFS(Aux_Totales!$N:$N, Aux_Totales!$F:$F, $F224, Aux_Totales!$A:$A,#REF!), 0))</f>
        <v/>
      </c>
      <c r="IEV224" s="19" t="str">
        <f>IF(IEV220 = "", "", IFERROR(IEV220 / SUMIFS(Aux_Totales!$N:$N, Aux_Totales!$F:$F, $F224, Aux_Totales!$A:$A,#REF!), 0))</f>
        <v/>
      </c>
      <c r="IEW224" s="19" t="str">
        <f>IF(IEW220 = "", "", IFERROR(IEW220 / SUMIFS(Aux_Totales!$N:$N, Aux_Totales!$F:$F, $F224, Aux_Totales!$A:$A,#REF!), 0))</f>
        <v/>
      </c>
      <c r="IEX224" s="19" t="str">
        <f>IF(IEX220 = "", "", IFERROR(IEX220 / SUMIFS(Aux_Totales!$N:$N, Aux_Totales!$F:$F, $F224, Aux_Totales!$A:$A,#REF!), 0))</f>
        <v/>
      </c>
      <c r="IEY224" s="19" t="str">
        <f>IF(IEY220 = "", "", IFERROR(IEY220 / SUMIFS(Aux_Totales!$N:$N, Aux_Totales!$F:$F, $F224, Aux_Totales!$A:$A,#REF!), 0))</f>
        <v/>
      </c>
      <c r="IEZ224" s="19" t="str">
        <f>IF(IEZ220 = "", "", IFERROR(IEZ220 / SUMIFS(Aux_Totales!$N:$N, Aux_Totales!$F:$F, $F224, Aux_Totales!$A:$A,#REF!), 0))</f>
        <v/>
      </c>
      <c r="IFA224" s="19" t="str">
        <f>IF(IFA220 = "", "", IFERROR(IFA220 / SUMIFS(Aux_Totales!$N:$N, Aux_Totales!$F:$F, $F224, Aux_Totales!$A:$A,#REF!), 0))</f>
        <v/>
      </c>
      <c r="IFB224" s="19" t="str">
        <f>IF(IFB220 = "", "", IFERROR(IFB220 / SUMIFS(Aux_Totales!$N:$N, Aux_Totales!$F:$F, $F224, Aux_Totales!$A:$A,#REF!), 0))</f>
        <v/>
      </c>
      <c r="IFC224" s="19" t="str">
        <f>IF(IFC220 = "", "", IFERROR(IFC220 / SUMIFS(Aux_Totales!$N:$N, Aux_Totales!$F:$F, $F224, Aux_Totales!$A:$A,#REF!), 0))</f>
        <v/>
      </c>
      <c r="IFD224" s="19" t="str">
        <f>IF(IFD220 = "", "", IFERROR(IFD220 / SUMIFS(Aux_Totales!$N:$N, Aux_Totales!$F:$F, $F224, Aux_Totales!$A:$A,#REF!), 0))</f>
        <v/>
      </c>
      <c r="IFE224" s="19" t="str">
        <f>IF(IFE220 = "", "", IFERROR(IFE220 / SUMIFS(Aux_Totales!$N:$N, Aux_Totales!$F:$F, $F224, Aux_Totales!$A:$A,#REF!), 0))</f>
        <v/>
      </c>
      <c r="IFF224" s="19" t="str">
        <f>IF(IFF220 = "", "", IFERROR(IFF220 / SUMIFS(Aux_Totales!$N:$N, Aux_Totales!$F:$F, $F224, Aux_Totales!$A:$A,#REF!), 0))</f>
        <v/>
      </c>
      <c r="IFG224" s="19" t="str">
        <f>IF(IFG220 = "", "", IFERROR(IFG220 / SUMIFS(Aux_Totales!$N:$N, Aux_Totales!$F:$F, $F224, Aux_Totales!$A:$A,#REF!), 0))</f>
        <v/>
      </c>
      <c r="IFH224" s="19" t="str">
        <f>IF(IFH220 = "", "", IFERROR(IFH220 / SUMIFS(Aux_Totales!$N:$N, Aux_Totales!$F:$F, $F224, Aux_Totales!$A:$A,#REF!), 0))</f>
        <v/>
      </c>
      <c r="IFI224" s="19" t="str">
        <f>IF(IFI220 = "", "", IFERROR(IFI220 / SUMIFS(Aux_Totales!$N:$N, Aux_Totales!$F:$F, $F224, Aux_Totales!$A:$A,#REF!), 0))</f>
        <v/>
      </c>
      <c r="IFJ224" s="19" t="str">
        <f>IF(IFJ220 = "", "", IFERROR(IFJ220 / SUMIFS(Aux_Totales!$N:$N, Aux_Totales!$F:$F, $F224, Aux_Totales!$A:$A,#REF!), 0))</f>
        <v/>
      </c>
      <c r="IFK224" s="19" t="str">
        <f>IF(IFK220 = "", "", IFERROR(IFK220 / SUMIFS(Aux_Totales!$N:$N, Aux_Totales!$F:$F, $F224, Aux_Totales!$A:$A,#REF!), 0))</f>
        <v/>
      </c>
      <c r="IFL224" s="19" t="str">
        <f>IF(IFL220 = "", "", IFERROR(IFL220 / SUMIFS(Aux_Totales!$N:$N, Aux_Totales!$F:$F, $F224, Aux_Totales!$A:$A,#REF!), 0))</f>
        <v/>
      </c>
      <c r="IFM224" s="19" t="str">
        <f>IF(IFM220 = "", "", IFERROR(IFM220 / SUMIFS(Aux_Totales!$N:$N, Aux_Totales!$F:$F, $F224, Aux_Totales!$A:$A,#REF!), 0))</f>
        <v/>
      </c>
      <c r="IFN224" s="19" t="str">
        <f>IF(IFN220 = "", "", IFERROR(IFN220 / SUMIFS(Aux_Totales!$N:$N, Aux_Totales!$F:$F, $F224, Aux_Totales!$A:$A,#REF!), 0))</f>
        <v/>
      </c>
      <c r="IFO224" s="19" t="str">
        <f>IF(IFO220 = "", "", IFERROR(IFO220 / SUMIFS(Aux_Totales!$N:$N, Aux_Totales!$F:$F, $F224, Aux_Totales!$A:$A,#REF!), 0))</f>
        <v/>
      </c>
      <c r="IFP224" s="19" t="str">
        <f>IF(IFP220 = "", "", IFERROR(IFP220 / SUMIFS(Aux_Totales!$N:$N, Aux_Totales!$F:$F, $F224, Aux_Totales!$A:$A,#REF!), 0))</f>
        <v/>
      </c>
      <c r="IFQ224" s="19" t="str">
        <f>IF(IFQ220 = "", "", IFERROR(IFQ220 / SUMIFS(Aux_Totales!$N:$N, Aux_Totales!$F:$F, $F224, Aux_Totales!$A:$A,#REF!), 0))</f>
        <v/>
      </c>
      <c r="IFR224" s="19" t="str">
        <f>IF(IFR220 = "", "", IFERROR(IFR220 / SUMIFS(Aux_Totales!$N:$N, Aux_Totales!$F:$F, $F224, Aux_Totales!$A:$A,#REF!), 0))</f>
        <v/>
      </c>
      <c r="IFS224" s="19" t="str">
        <f>IF(IFS220 = "", "", IFERROR(IFS220 / SUMIFS(Aux_Totales!$N:$N, Aux_Totales!$F:$F, $F224, Aux_Totales!$A:$A,#REF!), 0))</f>
        <v/>
      </c>
      <c r="IFT224" s="19" t="str">
        <f>IF(IFT220 = "", "", IFERROR(IFT220 / SUMIFS(Aux_Totales!$N:$N, Aux_Totales!$F:$F, $F224, Aux_Totales!$A:$A,#REF!), 0))</f>
        <v/>
      </c>
      <c r="IFU224" s="19" t="str">
        <f>IF(IFU220 = "", "", IFERROR(IFU220 / SUMIFS(Aux_Totales!$N:$N, Aux_Totales!$F:$F, $F224, Aux_Totales!$A:$A,#REF!), 0))</f>
        <v/>
      </c>
      <c r="IFV224" s="19" t="str">
        <f>IF(IFV220 = "", "", IFERROR(IFV220 / SUMIFS(Aux_Totales!$N:$N, Aux_Totales!$F:$F, $F224, Aux_Totales!$A:$A,#REF!), 0))</f>
        <v/>
      </c>
      <c r="IFW224" s="19" t="str">
        <f>IF(IFW220 = "", "", IFERROR(IFW220 / SUMIFS(Aux_Totales!$N:$N, Aux_Totales!$F:$F, $F224, Aux_Totales!$A:$A,#REF!), 0))</f>
        <v/>
      </c>
      <c r="IFX224" s="19" t="str">
        <f>IF(IFX220 = "", "", IFERROR(IFX220 / SUMIFS(Aux_Totales!$N:$N, Aux_Totales!$F:$F, $F224, Aux_Totales!$A:$A,#REF!), 0))</f>
        <v/>
      </c>
      <c r="IFY224" s="19" t="str">
        <f>IF(IFY220 = "", "", IFERROR(IFY220 / SUMIFS(Aux_Totales!$N:$N, Aux_Totales!$F:$F, $F224, Aux_Totales!$A:$A,#REF!), 0))</f>
        <v/>
      </c>
      <c r="IFZ224" s="19" t="str">
        <f>IF(IFZ220 = "", "", IFERROR(IFZ220 / SUMIFS(Aux_Totales!$N:$N, Aux_Totales!$F:$F, $F224, Aux_Totales!$A:$A,#REF!), 0))</f>
        <v/>
      </c>
      <c r="IGA224" s="19" t="str">
        <f>IF(IGA220 = "", "", IFERROR(IGA220 / SUMIFS(Aux_Totales!$N:$N, Aux_Totales!$F:$F, $F224, Aux_Totales!$A:$A,#REF!), 0))</f>
        <v/>
      </c>
      <c r="IGB224" s="19" t="str">
        <f>IF(IGB220 = "", "", IFERROR(IGB220 / SUMIFS(Aux_Totales!$N:$N, Aux_Totales!$F:$F, $F224, Aux_Totales!$A:$A,#REF!), 0))</f>
        <v/>
      </c>
      <c r="IGC224" s="19" t="str">
        <f>IF(IGC220 = "", "", IFERROR(IGC220 / SUMIFS(Aux_Totales!$N:$N, Aux_Totales!$F:$F, $F224, Aux_Totales!$A:$A,#REF!), 0))</f>
        <v/>
      </c>
      <c r="IGD224" s="19" t="str">
        <f>IF(IGD220 = "", "", IFERROR(IGD220 / SUMIFS(Aux_Totales!$N:$N, Aux_Totales!$F:$F, $F224, Aux_Totales!$A:$A,#REF!), 0))</f>
        <v/>
      </c>
      <c r="IGE224" s="19" t="str">
        <f>IF(IGE220 = "", "", IFERROR(IGE220 / SUMIFS(Aux_Totales!$N:$N, Aux_Totales!$F:$F, $F224, Aux_Totales!$A:$A,#REF!), 0))</f>
        <v/>
      </c>
      <c r="IGF224" s="19" t="str">
        <f>IF(IGF220 = "", "", IFERROR(IGF220 / SUMIFS(Aux_Totales!$N:$N, Aux_Totales!$F:$F, $F224, Aux_Totales!$A:$A,#REF!), 0))</f>
        <v/>
      </c>
      <c r="IGG224" s="19" t="str">
        <f>IF(IGG220 = "", "", IFERROR(IGG220 / SUMIFS(Aux_Totales!$N:$N, Aux_Totales!$F:$F, $F224, Aux_Totales!$A:$A,#REF!), 0))</f>
        <v/>
      </c>
      <c r="IGH224" s="19" t="str">
        <f>IF(IGH220 = "", "", IFERROR(IGH220 / SUMIFS(Aux_Totales!$N:$N, Aux_Totales!$F:$F, $F224, Aux_Totales!$A:$A,#REF!), 0))</f>
        <v/>
      </c>
      <c r="IGI224" s="19" t="str">
        <f>IF(IGI220 = "", "", IFERROR(IGI220 / SUMIFS(Aux_Totales!$N:$N, Aux_Totales!$F:$F, $F224, Aux_Totales!$A:$A,#REF!), 0))</f>
        <v/>
      </c>
      <c r="IGJ224" s="19" t="str">
        <f>IF(IGJ220 = "", "", IFERROR(IGJ220 / SUMIFS(Aux_Totales!$N:$N, Aux_Totales!$F:$F, $F224, Aux_Totales!$A:$A,#REF!), 0))</f>
        <v/>
      </c>
      <c r="IGK224" s="19" t="str">
        <f>IF(IGK220 = "", "", IFERROR(IGK220 / SUMIFS(Aux_Totales!$N:$N, Aux_Totales!$F:$F, $F224, Aux_Totales!$A:$A,#REF!), 0))</f>
        <v/>
      </c>
      <c r="IGL224" s="19" t="str">
        <f>IF(IGL220 = "", "", IFERROR(IGL220 / SUMIFS(Aux_Totales!$N:$N, Aux_Totales!$F:$F, $F224, Aux_Totales!$A:$A,#REF!), 0))</f>
        <v/>
      </c>
      <c r="IGM224" s="19" t="str">
        <f>IF(IGM220 = "", "", IFERROR(IGM220 / SUMIFS(Aux_Totales!$N:$N, Aux_Totales!$F:$F, $F224, Aux_Totales!$A:$A,#REF!), 0))</f>
        <v/>
      </c>
      <c r="IGN224" s="19" t="str">
        <f>IF(IGN220 = "", "", IFERROR(IGN220 / SUMIFS(Aux_Totales!$N:$N, Aux_Totales!$F:$F, $F224, Aux_Totales!$A:$A,#REF!), 0))</f>
        <v/>
      </c>
      <c r="IGO224" s="19" t="str">
        <f>IF(IGO220 = "", "", IFERROR(IGO220 / SUMIFS(Aux_Totales!$N:$N, Aux_Totales!$F:$F, $F224, Aux_Totales!$A:$A,#REF!), 0))</f>
        <v/>
      </c>
      <c r="IGP224" s="19" t="str">
        <f>IF(IGP220 = "", "", IFERROR(IGP220 / SUMIFS(Aux_Totales!$N:$N, Aux_Totales!$F:$F, $F224, Aux_Totales!$A:$A,#REF!), 0))</f>
        <v/>
      </c>
      <c r="IGQ224" s="19" t="str">
        <f>IF(IGQ220 = "", "", IFERROR(IGQ220 / SUMIFS(Aux_Totales!$N:$N, Aux_Totales!$F:$F, $F224, Aux_Totales!$A:$A,#REF!), 0))</f>
        <v/>
      </c>
      <c r="IGR224" s="19" t="str">
        <f>IF(IGR220 = "", "", IFERROR(IGR220 / SUMIFS(Aux_Totales!$N:$N, Aux_Totales!$F:$F, $F224, Aux_Totales!$A:$A,#REF!), 0))</f>
        <v/>
      </c>
      <c r="IGS224" s="19" t="str">
        <f>IF(IGS220 = "", "", IFERROR(IGS220 / SUMIFS(Aux_Totales!$N:$N, Aux_Totales!$F:$F, $F224, Aux_Totales!$A:$A,#REF!), 0))</f>
        <v/>
      </c>
      <c r="IGT224" s="19" t="str">
        <f>IF(IGT220 = "", "", IFERROR(IGT220 / SUMIFS(Aux_Totales!$N:$N, Aux_Totales!$F:$F, $F224, Aux_Totales!$A:$A,#REF!), 0))</f>
        <v/>
      </c>
      <c r="IGU224" s="19" t="str">
        <f>IF(IGU220 = "", "", IFERROR(IGU220 / SUMIFS(Aux_Totales!$N:$N, Aux_Totales!$F:$F, $F224, Aux_Totales!$A:$A,#REF!), 0))</f>
        <v/>
      </c>
      <c r="IGV224" s="19" t="str">
        <f>IF(IGV220 = "", "", IFERROR(IGV220 / SUMIFS(Aux_Totales!$N:$N, Aux_Totales!$F:$F, $F224, Aux_Totales!$A:$A,#REF!), 0))</f>
        <v/>
      </c>
      <c r="IGW224" s="19" t="str">
        <f>IF(IGW220 = "", "", IFERROR(IGW220 / SUMIFS(Aux_Totales!$N:$N, Aux_Totales!$F:$F, $F224, Aux_Totales!$A:$A,#REF!), 0))</f>
        <v/>
      </c>
      <c r="IGX224" s="19" t="str">
        <f>IF(IGX220 = "", "", IFERROR(IGX220 / SUMIFS(Aux_Totales!$N:$N, Aux_Totales!$F:$F, $F224, Aux_Totales!$A:$A,#REF!), 0))</f>
        <v/>
      </c>
      <c r="IGY224" s="19" t="str">
        <f>IF(IGY220 = "", "", IFERROR(IGY220 / SUMIFS(Aux_Totales!$N:$N, Aux_Totales!$F:$F, $F224, Aux_Totales!$A:$A,#REF!), 0))</f>
        <v/>
      </c>
      <c r="IGZ224" s="19" t="str">
        <f>IF(IGZ220 = "", "", IFERROR(IGZ220 / SUMIFS(Aux_Totales!$N:$N, Aux_Totales!$F:$F, $F224, Aux_Totales!$A:$A,#REF!), 0))</f>
        <v/>
      </c>
      <c r="IHA224" s="19" t="str">
        <f>IF(IHA220 = "", "", IFERROR(IHA220 / SUMIFS(Aux_Totales!$N:$N, Aux_Totales!$F:$F, $F224, Aux_Totales!$A:$A,#REF!), 0))</f>
        <v/>
      </c>
      <c r="IHB224" s="19" t="str">
        <f>IF(IHB220 = "", "", IFERROR(IHB220 / SUMIFS(Aux_Totales!$N:$N, Aux_Totales!$F:$F, $F224, Aux_Totales!$A:$A,#REF!), 0))</f>
        <v/>
      </c>
      <c r="IHC224" s="19" t="str">
        <f>IF(IHC220 = "", "", IFERROR(IHC220 / SUMIFS(Aux_Totales!$N:$N, Aux_Totales!$F:$F, $F224, Aux_Totales!$A:$A,#REF!), 0))</f>
        <v/>
      </c>
      <c r="IHD224" s="19" t="str">
        <f>IF(IHD220 = "", "", IFERROR(IHD220 / SUMIFS(Aux_Totales!$N:$N, Aux_Totales!$F:$F, $F224, Aux_Totales!$A:$A,#REF!), 0))</f>
        <v/>
      </c>
      <c r="IHE224" s="19" t="str">
        <f>IF(IHE220 = "", "", IFERROR(IHE220 / SUMIFS(Aux_Totales!$N:$N, Aux_Totales!$F:$F, $F224, Aux_Totales!$A:$A,#REF!), 0))</f>
        <v/>
      </c>
      <c r="IHF224" s="19" t="str">
        <f>IF(IHF220 = "", "", IFERROR(IHF220 / SUMIFS(Aux_Totales!$N:$N, Aux_Totales!$F:$F, $F224, Aux_Totales!$A:$A,#REF!), 0))</f>
        <v/>
      </c>
      <c r="IHG224" s="19" t="str">
        <f>IF(IHG220 = "", "", IFERROR(IHG220 / SUMIFS(Aux_Totales!$N:$N, Aux_Totales!$F:$F, $F224, Aux_Totales!$A:$A,#REF!), 0))</f>
        <v/>
      </c>
      <c r="IHH224" s="19" t="str">
        <f>IF(IHH220 = "", "", IFERROR(IHH220 / SUMIFS(Aux_Totales!$N:$N, Aux_Totales!$F:$F, $F224, Aux_Totales!$A:$A,#REF!), 0))</f>
        <v/>
      </c>
      <c r="IHI224" s="19" t="str">
        <f>IF(IHI220 = "", "", IFERROR(IHI220 / SUMIFS(Aux_Totales!$N:$N, Aux_Totales!$F:$F, $F224, Aux_Totales!$A:$A,#REF!), 0))</f>
        <v/>
      </c>
      <c r="IHJ224" s="19" t="str">
        <f>IF(IHJ220 = "", "", IFERROR(IHJ220 / SUMIFS(Aux_Totales!$N:$N, Aux_Totales!$F:$F, $F224, Aux_Totales!$A:$A,#REF!), 0))</f>
        <v/>
      </c>
      <c r="IHK224" s="19" t="str">
        <f>IF(IHK220 = "", "", IFERROR(IHK220 / SUMIFS(Aux_Totales!$N:$N, Aux_Totales!$F:$F, $F224, Aux_Totales!$A:$A,#REF!), 0))</f>
        <v/>
      </c>
      <c r="IHL224" s="19" t="str">
        <f>IF(IHL220 = "", "", IFERROR(IHL220 / SUMIFS(Aux_Totales!$N:$N, Aux_Totales!$F:$F, $F224, Aux_Totales!$A:$A,#REF!), 0))</f>
        <v/>
      </c>
      <c r="IHM224" s="19" t="str">
        <f>IF(IHM220 = "", "", IFERROR(IHM220 / SUMIFS(Aux_Totales!$N:$N, Aux_Totales!$F:$F, $F224, Aux_Totales!$A:$A,#REF!), 0))</f>
        <v/>
      </c>
      <c r="IHN224" s="19" t="str">
        <f>IF(IHN220 = "", "", IFERROR(IHN220 / SUMIFS(Aux_Totales!$N:$N, Aux_Totales!$F:$F, $F224, Aux_Totales!$A:$A,#REF!), 0))</f>
        <v/>
      </c>
      <c r="IHO224" s="19" t="str">
        <f>IF(IHO220 = "", "", IFERROR(IHO220 / SUMIFS(Aux_Totales!$N:$N, Aux_Totales!$F:$F, $F224, Aux_Totales!$A:$A,#REF!), 0))</f>
        <v/>
      </c>
      <c r="IHP224" s="19" t="str">
        <f>IF(IHP220 = "", "", IFERROR(IHP220 / SUMIFS(Aux_Totales!$N:$N, Aux_Totales!$F:$F, $F224, Aux_Totales!$A:$A,#REF!), 0))</f>
        <v/>
      </c>
      <c r="IHQ224" s="19" t="str">
        <f>IF(IHQ220 = "", "", IFERROR(IHQ220 / SUMIFS(Aux_Totales!$N:$N, Aux_Totales!$F:$F, $F224, Aux_Totales!$A:$A,#REF!), 0))</f>
        <v/>
      </c>
      <c r="IHR224" s="19" t="str">
        <f>IF(IHR220 = "", "", IFERROR(IHR220 / SUMIFS(Aux_Totales!$N:$N, Aux_Totales!$F:$F, $F224, Aux_Totales!$A:$A,#REF!), 0))</f>
        <v/>
      </c>
      <c r="IHS224" s="19" t="str">
        <f>IF(IHS220 = "", "", IFERROR(IHS220 / SUMIFS(Aux_Totales!$N:$N, Aux_Totales!$F:$F, $F224, Aux_Totales!$A:$A,#REF!), 0))</f>
        <v/>
      </c>
      <c r="IHT224" s="19" t="str">
        <f>IF(IHT220 = "", "", IFERROR(IHT220 / SUMIFS(Aux_Totales!$N:$N, Aux_Totales!$F:$F, $F224, Aux_Totales!$A:$A,#REF!), 0))</f>
        <v/>
      </c>
      <c r="IHU224" s="19" t="str">
        <f>IF(IHU220 = "", "", IFERROR(IHU220 / SUMIFS(Aux_Totales!$N:$N, Aux_Totales!$F:$F, $F224, Aux_Totales!$A:$A,#REF!), 0))</f>
        <v/>
      </c>
      <c r="IHV224" s="19" t="str">
        <f>IF(IHV220 = "", "", IFERROR(IHV220 / SUMIFS(Aux_Totales!$N:$N, Aux_Totales!$F:$F, $F224, Aux_Totales!$A:$A,#REF!), 0))</f>
        <v/>
      </c>
      <c r="IHW224" s="19" t="str">
        <f>IF(IHW220 = "", "", IFERROR(IHW220 / SUMIFS(Aux_Totales!$N:$N, Aux_Totales!$F:$F, $F224, Aux_Totales!$A:$A,#REF!), 0))</f>
        <v/>
      </c>
      <c r="IHX224" s="19" t="str">
        <f>IF(IHX220 = "", "", IFERROR(IHX220 / SUMIFS(Aux_Totales!$N:$N, Aux_Totales!$F:$F, $F224, Aux_Totales!$A:$A,#REF!), 0))</f>
        <v/>
      </c>
      <c r="IHY224" s="19" t="str">
        <f>IF(IHY220 = "", "", IFERROR(IHY220 / SUMIFS(Aux_Totales!$N:$N, Aux_Totales!$F:$F, $F224, Aux_Totales!$A:$A,#REF!), 0))</f>
        <v/>
      </c>
      <c r="IHZ224" s="19" t="str">
        <f>IF(IHZ220 = "", "", IFERROR(IHZ220 / SUMIFS(Aux_Totales!$N:$N, Aux_Totales!$F:$F, $F224, Aux_Totales!$A:$A,#REF!), 0))</f>
        <v/>
      </c>
      <c r="IIA224" s="19" t="str">
        <f>IF(IIA220 = "", "", IFERROR(IIA220 / SUMIFS(Aux_Totales!$N:$N, Aux_Totales!$F:$F, $F224, Aux_Totales!$A:$A,#REF!), 0))</f>
        <v/>
      </c>
      <c r="IIB224" s="19" t="str">
        <f>IF(IIB220 = "", "", IFERROR(IIB220 / SUMIFS(Aux_Totales!$N:$N, Aux_Totales!$F:$F, $F224, Aux_Totales!$A:$A,#REF!), 0))</f>
        <v/>
      </c>
      <c r="IIC224" s="19" t="str">
        <f>IF(IIC220 = "", "", IFERROR(IIC220 / SUMIFS(Aux_Totales!$N:$N, Aux_Totales!$F:$F, $F224, Aux_Totales!$A:$A,#REF!), 0))</f>
        <v/>
      </c>
      <c r="IID224" s="19" t="str">
        <f>IF(IID220 = "", "", IFERROR(IID220 / SUMIFS(Aux_Totales!$N:$N, Aux_Totales!$F:$F, $F224, Aux_Totales!$A:$A,#REF!), 0))</f>
        <v/>
      </c>
      <c r="IIE224" s="19" t="str">
        <f>IF(IIE220 = "", "", IFERROR(IIE220 / SUMIFS(Aux_Totales!$N:$N, Aux_Totales!$F:$F, $F224, Aux_Totales!$A:$A,#REF!), 0))</f>
        <v/>
      </c>
      <c r="IIF224" s="19" t="str">
        <f>IF(IIF220 = "", "", IFERROR(IIF220 / SUMIFS(Aux_Totales!$N:$N, Aux_Totales!$F:$F, $F224, Aux_Totales!$A:$A,#REF!), 0))</f>
        <v/>
      </c>
      <c r="IIG224" s="19" t="str">
        <f>IF(IIG220 = "", "", IFERROR(IIG220 / SUMIFS(Aux_Totales!$N:$N, Aux_Totales!$F:$F, $F224, Aux_Totales!$A:$A,#REF!), 0))</f>
        <v/>
      </c>
      <c r="IIH224" s="19" t="str">
        <f>IF(IIH220 = "", "", IFERROR(IIH220 / SUMIFS(Aux_Totales!$N:$N, Aux_Totales!$F:$F, $F224, Aux_Totales!$A:$A,#REF!), 0))</f>
        <v/>
      </c>
      <c r="III224" s="19" t="str">
        <f>IF(III220 = "", "", IFERROR(III220 / SUMIFS(Aux_Totales!$N:$N, Aux_Totales!$F:$F, $F224, Aux_Totales!$A:$A,#REF!), 0))</f>
        <v/>
      </c>
      <c r="IIJ224" s="19" t="str">
        <f>IF(IIJ220 = "", "", IFERROR(IIJ220 / SUMIFS(Aux_Totales!$N:$N, Aux_Totales!$F:$F, $F224, Aux_Totales!$A:$A,#REF!), 0))</f>
        <v/>
      </c>
      <c r="IIK224" s="19" t="str">
        <f>IF(IIK220 = "", "", IFERROR(IIK220 / SUMIFS(Aux_Totales!$N:$N, Aux_Totales!$F:$F, $F224, Aux_Totales!$A:$A,#REF!), 0))</f>
        <v/>
      </c>
      <c r="IIL224" s="19" t="str">
        <f>IF(IIL220 = "", "", IFERROR(IIL220 / SUMIFS(Aux_Totales!$N:$N, Aux_Totales!$F:$F, $F224, Aux_Totales!$A:$A,#REF!), 0))</f>
        <v/>
      </c>
      <c r="IIM224" s="19" t="str">
        <f>IF(IIM220 = "", "", IFERROR(IIM220 / SUMIFS(Aux_Totales!$N:$N, Aux_Totales!$F:$F, $F224, Aux_Totales!$A:$A,#REF!), 0))</f>
        <v/>
      </c>
      <c r="IIN224" s="19" t="str">
        <f>IF(IIN220 = "", "", IFERROR(IIN220 / SUMIFS(Aux_Totales!$N:$N, Aux_Totales!$F:$F, $F224, Aux_Totales!$A:$A,#REF!), 0))</f>
        <v/>
      </c>
      <c r="IIO224" s="19" t="str">
        <f>IF(IIO220 = "", "", IFERROR(IIO220 / SUMIFS(Aux_Totales!$N:$N, Aux_Totales!$F:$F, $F224, Aux_Totales!$A:$A,#REF!), 0))</f>
        <v/>
      </c>
      <c r="IIP224" s="19" t="str">
        <f>IF(IIP220 = "", "", IFERROR(IIP220 / SUMIFS(Aux_Totales!$N:$N, Aux_Totales!$F:$F, $F224, Aux_Totales!$A:$A,#REF!), 0))</f>
        <v/>
      </c>
      <c r="IIQ224" s="19" t="str">
        <f>IF(IIQ220 = "", "", IFERROR(IIQ220 / SUMIFS(Aux_Totales!$N:$N, Aux_Totales!$F:$F, $F224, Aux_Totales!$A:$A,#REF!), 0))</f>
        <v/>
      </c>
      <c r="IIR224" s="19" t="str">
        <f>IF(IIR220 = "", "", IFERROR(IIR220 / SUMIFS(Aux_Totales!$N:$N, Aux_Totales!$F:$F, $F224, Aux_Totales!$A:$A,#REF!), 0))</f>
        <v/>
      </c>
      <c r="IIS224" s="19" t="str">
        <f>IF(IIS220 = "", "", IFERROR(IIS220 / SUMIFS(Aux_Totales!$N:$N, Aux_Totales!$F:$F, $F224, Aux_Totales!$A:$A,#REF!), 0))</f>
        <v/>
      </c>
      <c r="IIT224" s="19" t="str">
        <f>IF(IIT220 = "", "", IFERROR(IIT220 / SUMIFS(Aux_Totales!$N:$N, Aux_Totales!$F:$F, $F224, Aux_Totales!$A:$A,#REF!), 0))</f>
        <v/>
      </c>
      <c r="IIU224" s="19" t="str">
        <f>IF(IIU220 = "", "", IFERROR(IIU220 / SUMIFS(Aux_Totales!$N:$N, Aux_Totales!$F:$F, $F224, Aux_Totales!$A:$A,#REF!), 0))</f>
        <v/>
      </c>
      <c r="IIV224" s="19" t="str">
        <f>IF(IIV220 = "", "", IFERROR(IIV220 / SUMIFS(Aux_Totales!$N:$N, Aux_Totales!$F:$F, $F224, Aux_Totales!$A:$A,#REF!), 0))</f>
        <v/>
      </c>
      <c r="IIW224" s="19" t="str">
        <f>IF(IIW220 = "", "", IFERROR(IIW220 / SUMIFS(Aux_Totales!$N:$N, Aux_Totales!$F:$F, $F224, Aux_Totales!$A:$A,#REF!), 0))</f>
        <v/>
      </c>
      <c r="IIX224" s="19" t="str">
        <f>IF(IIX220 = "", "", IFERROR(IIX220 / SUMIFS(Aux_Totales!$N:$N, Aux_Totales!$F:$F, $F224, Aux_Totales!$A:$A,#REF!), 0))</f>
        <v/>
      </c>
      <c r="IIY224" s="19" t="str">
        <f>IF(IIY220 = "", "", IFERROR(IIY220 / SUMIFS(Aux_Totales!$N:$N, Aux_Totales!$F:$F, $F224, Aux_Totales!$A:$A,#REF!), 0))</f>
        <v/>
      </c>
      <c r="IIZ224" s="19" t="str">
        <f>IF(IIZ220 = "", "", IFERROR(IIZ220 / SUMIFS(Aux_Totales!$N:$N, Aux_Totales!$F:$F, $F224, Aux_Totales!$A:$A,#REF!), 0))</f>
        <v/>
      </c>
      <c r="IJA224" s="19" t="str">
        <f>IF(IJA220 = "", "", IFERROR(IJA220 / SUMIFS(Aux_Totales!$N:$N, Aux_Totales!$F:$F, $F224, Aux_Totales!$A:$A,#REF!), 0))</f>
        <v/>
      </c>
      <c r="IJB224" s="19" t="str">
        <f>IF(IJB220 = "", "", IFERROR(IJB220 / SUMIFS(Aux_Totales!$N:$N, Aux_Totales!$F:$F, $F224, Aux_Totales!$A:$A,#REF!), 0))</f>
        <v/>
      </c>
      <c r="IJC224" s="19" t="str">
        <f>IF(IJC220 = "", "", IFERROR(IJC220 / SUMIFS(Aux_Totales!$N:$N, Aux_Totales!$F:$F, $F224, Aux_Totales!$A:$A,#REF!), 0))</f>
        <v/>
      </c>
      <c r="IJD224" s="19" t="str">
        <f>IF(IJD220 = "", "", IFERROR(IJD220 / SUMIFS(Aux_Totales!$N:$N, Aux_Totales!$F:$F, $F224, Aux_Totales!$A:$A,#REF!), 0))</f>
        <v/>
      </c>
      <c r="IJE224" s="19" t="str">
        <f>IF(IJE220 = "", "", IFERROR(IJE220 / SUMIFS(Aux_Totales!$N:$N, Aux_Totales!$F:$F, $F224, Aux_Totales!$A:$A,#REF!), 0))</f>
        <v/>
      </c>
      <c r="IJF224" s="19" t="str">
        <f>IF(IJF220 = "", "", IFERROR(IJF220 / SUMIFS(Aux_Totales!$N:$N, Aux_Totales!$F:$F, $F224, Aux_Totales!$A:$A,#REF!), 0))</f>
        <v/>
      </c>
      <c r="IJG224" s="19" t="str">
        <f>IF(IJG220 = "", "", IFERROR(IJG220 / SUMIFS(Aux_Totales!$N:$N, Aux_Totales!$F:$F, $F224, Aux_Totales!$A:$A,#REF!), 0))</f>
        <v/>
      </c>
      <c r="IJH224" s="19" t="str">
        <f>IF(IJH220 = "", "", IFERROR(IJH220 / SUMIFS(Aux_Totales!$N:$N, Aux_Totales!$F:$F, $F224, Aux_Totales!$A:$A,#REF!), 0))</f>
        <v/>
      </c>
      <c r="IJI224" s="19" t="str">
        <f>IF(IJI220 = "", "", IFERROR(IJI220 / SUMIFS(Aux_Totales!$N:$N, Aux_Totales!$F:$F, $F224, Aux_Totales!$A:$A,#REF!), 0))</f>
        <v/>
      </c>
      <c r="IJJ224" s="19" t="str">
        <f>IF(IJJ220 = "", "", IFERROR(IJJ220 / SUMIFS(Aux_Totales!$N:$N, Aux_Totales!$F:$F, $F224, Aux_Totales!$A:$A,#REF!), 0))</f>
        <v/>
      </c>
      <c r="IJK224" s="19" t="str">
        <f>IF(IJK220 = "", "", IFERROR(IJK220 / SUMIFS(Aux_Totales!$N:$N, Aux_Totales!$F:$F, $F224, Aux_Totales!$A:$A,#REF!), 0))</f>
        <v/>
      </c>
      <c r="IJL224" s="19" t="str">
        <f>IF(IJL220 = "", "", IFERROR(IJL220 / SUMIFS(Aux_Totales!$N:$N, Aux_Totales!$F:$F, $F224, Aux_Totales!$A:$A,#REF!), 0))</f>
        <v/>
      </c>
      <c r="IJM224" s="19" t="str">
        <f>IF(IJM220 = "", "", IFERROR(IJM220 / SUMIFS(Aux_Totales!$N:$N, Aux_Totales!$F:$F, $F224, Aux_Totales!$A:$A,#REF!), 0))</f>
        <v/>
      </c>
      <c r="IJN224" s="19" t="str">
        <f>IF(IJN220 = "", "", IFERROR(IJN220 / SUMIFS(Aux_Totales!$N:$N, Aux_Totales!$F:$F, $F224, Aux_Totales!$A:$A,#REF!), 0))</f>
        <v/>
      </c>
      <c r="IJO224" s="19" t="str">
        <f>IF(IJO220 = "", "", IFERROR(IJO220 / SUMIFS(Aux_Totales!$N:$N, Aux_Totales!$F:$F, $F224, Aux_Totales!$A:$A,#REF!), 0))</f>
        <v/>
      </c>
      <c r="IJP224" s="19" t="str">
        <f>IF(IJP220 = "", "", IFERROR(IJP220 / SUMIFS(Aux_Totales!$N:$N, Aux_Totales!$F:$F, $F224, Aux_Totales!$A:$A,#REF!), 0))</f>
        <v/>
      </c>
      <c r="IJQ224" s="19" t="str">
        <f>IF(IJQ220 = "", "", IFERROR(IJQ220 / SUMIFS(Aux_Totales!$N:$N, Aux_Totales!$F:$F, $F224, Aux_Totales!$A:$A,#REF!), 0))</f>
        <v/>
      </c>
      <c r="IJR224" s="19" t="str">
        <f>IF(IJR220 = "", "", IFERROR(IJR220 / SUMIFS(Aux_Totales!$N:$N, Aux_Totales!$F:$F, $F224, Aux_Totales!$A:$A,#REF!), 0))</f>
        <v/>
      </c>
      <c r="IJS224" s="19" t="str">
        <f>IF(IJS220 = "", "", IFERROR(IJS220 / SUMIFS(Aux_Totales!$N:$N, Aux_Totales!$F:$F, $F224, Aux_Totales!$A:$A,#REF!), 0))</f>
        <v/>
      </c>
      <c r="IJT224" s="19" t="str">
        <f>IF(IJT220 = "", "", IFERROR(IJT220 / SUMIFS(Aux_Totales!$N:$N, Aux_Totales!$F:$F, $F224, Aux_Totales!$A:$A,#REF!), 0))</f>
        <v/>
      </c>
      <c r="IJU224" s="19" t="str">
        <f>IF(IJU220 = "", "", IFERROR(IJU220 / SUMIFS(Aux_Totales!$N:$N, Aux_Totales!$F:$F, $F224, Aux_Totales!$A:$A,#REF!), 0))</f>
        <v/>
      </c>
      <c r="IJV224" s="19" t="str">
        <f>IF(IJV220 = "", "", IFERROR(IJV220 / SUMIFS(Aux_Totales!$N:$N, Aux_Totales!$F:$F, $F224, Aux_Totales!$A:$A,#REF!), 0))</f>
        <v/>
      </c>
      <c r="IJW224" s="19" t="str">
        <f>IF(IJW220 = "", "", IFERROR(IJW220 / SUMIFS(Aux_Totales!$N:$N, Aux_Totales!$F:$F, $F224, Aux_Totales!$A:$A,#REF!), 0))</f>
        <v/>
      </c>
      <c r="IJX224" s="19" t="str">
        <f>IF(IJX220 = "", "", IFERROR(IJX220 / SUMIFS(Aux_Totales!$N:$N, Aux_Totales!$F:$F, $F224, Aux_Totales!$A:$A,#REF!), 0))</f>
        <v/>
      </c>
      <c r="IJY224" s="19" t="str">
        <f>IF(IJY220 = "", "", IFERROR(IJY220 / SUMIFS(Aux_Totales!$N:$N, Aux_Totales!$F:$F, $F224, Aux_Totales!$A:$A,#REF!), 0))</f>
        <v/>
      </c>
      <c r="IJZ224" s="19" t="str">
        <f>IF(IJZ220 = "", "", IFERROR(IJZ220 / SUMIFS(Aux_Totales!$N:$N, Aux_Totales!$F:$F, $F224, Aux_Totales!$A:$A,#REF!), 0))</f>
        <v/>
      </c>
      <c r="IKA224" s="19" t="str">
        <f>IF(IKA220 = "", "", IFERROR(IKA220 / SUMIFS(Aux_Totales!$N:$N, Aux_Totales!$F:$F, $F224, Aux_Totales!$A:$A,#REF!), 0))</f>
        <v/>
      </c>
      <c r="IKB224" s="19" t="str">
        <f>IF(IKB220 = "", "", IFERROR(IKB220 / SUMIFS(Aux_Totales!$N:$N, Aux_Totales!$F:$F, $F224, Aux_Totales!$A:$A,#REF!), 0))</f>
        <v/>
      </c>
      <c r="IKC224" s="19" t="str">
        <f>IF(IKC220 = "", "", IFERROR(IKC220 / SUMIFS(Aux_Totales!$N:$N, Aux_Totales!$F:$F, $F224, Aux_Totales!$A:$A,#REF!), 0))</f>
        <v/>
      </c>
      <c r="IKD224" s="19" t="str">
        <f>IF(IKD220 = "", "", IFERROR(IKD220 / SUMIFS(Aux_Totales!$N:$N, Aux_Totales!$F:$F, $F224, Aux_Totales!$A:$A,#REF!), 0))</f>
        <v/>
      </c>
      <c r="IKE224" s="19" t="str">
        <f>IF(IKE220 = "", "", IFERROR(IKE220 / SUMIFS(Aux_Totales!$N:$N, Aux_Totales!$F:$F, $F224, Aux_Totales!$A:$A,#REF!), 0))</f>
        <v/>
      </c>
      <c r="IKF224" s="19" t="str">
        <f>IF(IKF220 = "", "", IFERROR(IKF220 / SUMIFS(Aux_Totales!$N:$N, Aux_Totales!$F:$F, $F224, Aux_Totales!$A:$A,#REF!), 0))</f>
        <v/>
      </c>
      <c r="IKG224" s="19" t="str">
        <f>IF(IKG220 = "", "", IFERROR(IKG220 / SUMIFS(Aux_Totales!$N:$N, Aux_Totales!$F:$F, $F224, Aux_Totales!$A:$A,#REF!), 0))</f>
        <v/>
      </c>
      <c r="IKH224" s="19" t="str">
        <f>IF(IKH220 = "", "", IFERROR(IKH220 / SUMIFS(Aux_Totales!$N:$N, Aux_Totales!$F:$F, $F224, Aux_Totales!$A:$A,#REF!), 0))</f>
        <v/>
      </c>
      <c r="IKI224" s="19" t="str">
        <f>IF(IKI220 = "", "", IFERROR(IKI220 / SUMIFS(Aux_Totales!$N:$N, Aux_Totales!$F:$F, $F224, Aux_Totales!$A:$A,#REF!), 0))</f>
        <v/>
      </c>
      <c r="IKJ224" s="19" t="str">
        <f>IF(IKJ220 = "", "", IFERROR(IKJ220 / SUMIFS(Aux_Totales!$N:$N, Aux_Totales!$F:$F, $F224, Aux_Totales!$A:$A,#REF!), 0))</f>
        <v/>
      </c>
      <c r="IKK224" s="19" t="str">
        <f>IF(IKK220 = "", "", IFERROR(IKK220 / SUMIFS(Aux_Totales!$N:$N, Aux_Totales!$F:$F, $F224, Aux_Totales!$A:$A,#REF!), 0))</f>
        <v/>
      </c>
      <c r="IKL224" s="19" t="str">
        <f>IF(IKL220 = "", "", IFERROR(IKL220 / SUMIFS(Aux_Totales!$N:$N, Aux_Totales!$F:$F, $F224, Aux_Totales!$A:$A,#REF!), 0))</f>
        <v/>
      </c>
      <c r="IKM224" s="19" t="str">
        <f>IF(IKM220 = "", "", IFERROR(IKM220 / SUMIFS(Aux_Totales!$N:$N, Aux_Totales!$F:$F, $F224, Aux_Totales!$A:$A,#REF!), 0))</f>
        <v/>
      </c>
      <c r="IKN224" s="19" t="str">
        <f>IF(IKN220 = "", "", IFERROR(IKN220 / SUMIFS(Aux_Totales!$N:$N, Aux_Totales!$F:$F, $F224, Aux_Totales!$A:$A,#REF!), 0))</f>
        <v/>
      </c>
      <c r="IKO224" s="19" t="str">
        <f>IF(IKO220 = "", "", IFERROR(IKO220 / SUMIFS(Aux_Totales!$N:$N, Aux_Totales!$F:$F, $F224, Aux_Totales!$A:$A,#REF!), 0))</f>
        <v/>
      </c>
      <c r="IKP224" s="19" t="str">
        <f>IF(IKP220 = "", "", IFERROR(IKP220 / SUMIFS(Aux_Totales!$N:$N, Aux_Totales!$F:$F, $F224, Aux_Totales!$A:$A,#REF!), 0))</f>
        <v/>
      </c>
      <c r="IKQ224" s="19" t="str">
        <f>IF(IKQ220 = "", "", IFERROR(IKQ220 / SUMIFS(Aux_Totales!$N:$N, Aux_Totales!$F:$F, $F224, Aux_Totales!$A:$A,#REF!), 0))</f>
        <v/>
      </c>
      <c r="IKR224" s="19" t="str">
        <f>IF(IKR220 = "", "", IFERROR(IKR220 / SUMIFS(Aux_Totales!$N:$N, Aux_Totales!$F:$F, $F224, Aux_Totales!$A:$A,#REF!), 0))</f>
        <v/>
      </c>
      <c r="IKS224" s="19" t="str">
        <f>IF(IKS220 = "", "", IFERROR(IKS220 / SUMIFS(Aux_Totales!$N:$N, Aux_Totales!$F:$F, $F224, Aux_Totales!$A:$A,#REF!), 0))</f>
        <v/>
      </c>
      <c r="IKT224" s="19" t="str">
        <f>IF(IKT220 = "", "", IFERROR(IKT220 / SUMIFS(Aux_Totales!$N:$N, Aux_Totales!$F:$F, $F224, Aux_Totales!$A:$A,#REF!), 0))</f>
        <v/>
      </c>
      <c r="IKU224" s="19" t="str">
        <f>IF(IKU220 = "", "", IFERROR(IKU220 / SUMIFS(Aux_Totales!$N:$N, Aux_Totales!$F:$F, $F224, Aux_Totales!$A:$A,#REF!), 0))</f>
        <v/>
      </c>
      <c r="IKV224" s="19" t="str">
        <f>IF(IKV220 = "", "", IFERROR(IKV220 / SUMIFS(Aux_Totales!$N:$N, Aux_Totales!$F:$F, $F224, Aux_Totales!$A:$A,#REF!), 0))</f>
        <v/>
      </c>
      <c r="IKW224" s="19" t="str">
        <f>IF(IKW220 = "", "", IFERROR(IKW220 / SUMIFS(Aux_Totales!$N:$N, Aux_Totales!$F:$F, $F224, Aux_Totales!$A:$A,#REF!), 0))</f>
        <v/>
      </c>
      <c r="IKX224" s="19" t="str">
        <f>IF(IKX220 = "", "", IFERROR(IKX220 / SUMIFS(Aux_Totales!$N:$N, Aux_Totales!$F:$F, $F224, Aux_Totales!$A:$A,#REF!), 0))</f>
        <v/>
      </c>
      <c r="IKY224" s="19" t="str">
        <f>IF(IKY220 = "", "", IFERROR(IKY220 / SUMIFS(Aux_Totales!$N:$N, Aux_Totales!$F:$F, $F224, Aux_Totales!$A:$A,#REF!), 0))</f>
        <v/>
      </c>
      <c r="IKZ224" s="19" t="str">
        <f>IF(IKZ220 = "", "", IFERROR(IKZ220 / SUMIFS(Aux_Totales!$N:$N, Aux_Totales!$F:$F, $F224, Aux_Totales!$A:$A,#REF!), 0))</f>
        <v/>
      </c>
      <c r="ILA224" s="19" t="str">
        <f>IF(ILA220 = "", "", IFERROR(ILA220 / SUMIFS(Aux_Totales!$N:$N, Aux_Totales!$F:$F, $F224, Aux_Totales!$A:$A,#REF!), 0))</f>
        <v/>
      </c>
      <c r="ILB224" s="19" t="str">
        <f>IF(ILB220 = "", "", IFERROR(ILB220 / SUMIFS(Aux_Totales!$N:$N, Aux_Totales!$F:$F, $F224, Aux_Totales!$A:$A,#REF!), 0))</f>
        <v/>
      </c>
      <c r="ILC224" s="19" t="str">
        <f>IF(ILC220 = "", "", IFERROR(ILC220 / SUMIFS(Aux_Totales!$N:$N, Aux_Totales!$F:$F, $F224, Aux_Totales!$A:$A,#REF!), 0))</f>
        <v/>
      </c>
      <c r="ILD224" s="19" t="str">
        <f>IF(ILD220 = "", "", IFERROR(ILD220 / SUMIFS(Aux_Totales!$N:$N, Aux_Totales!$F:$F, $F224, Aux_Totales!$A:$A,#REF!), 0))</f>
        <v/>
      </c>
      <c r="ILE224" s="19" t="str">
        <f>IF(ILE220 = "", "", IFERROR(ILE220 / SUMIFS(Aux_Totales!$N:$N, Aux_Totales!$F:$F, $F224, Aux_Totales!$A:$A,#REF!), 0))</f>
        <v/>
      </c>
      <c r="ILF224" s="19" t="str">
        <f>IF(ILF220 = "", "", IFERROR(ILF220 / SUMIFS(Aux_Totales!$N:$N, Aux_Totales!$F:$F, $F224, Aux_Totales!$A:$A,#REF!), 0))</f>
        <v/>
      </c>
      <c r="ILG224" s="19" t="str">
        <f>IF(ILG220 = "", "", IFERROR(ILG220 / SUMIFS(Aux_Totales!$N:$N, Aux_Totales!$F:$F, $F224, Aux_Totales!$A:$A,#REF!), 0))</f>
        <v/>
      </c>
      <c r="ILH224" s="19" t="str">
        <f>IF(ILH220 = "", "", IFERROR(ILH220 / SUMIFS(Aux_Totales!$N:$N, Aux_Totales!$F:$F, $F224, Aux_Totales!$A:$A,#REF!), 0))</f>
        <v/>
      </c>
      <c r="ILI224" s="19" t="str">
        <f>IF(ILI220 = "", "", IFERROR(ILI220 / SUMIFS(Aux_Totales!$N:$N, Aux_Totales!$F:$F, $F224, Aux_Totales!$A:$A,#REF!), 0))</f>
        <v/>
      </c>
      <c r="ILJ224" s="19" t="str">
        <f>IF(ILJ220 = "", "", IFERROR(ILJ220 / SUMIFS(Aux_Totales!$N:$N, Aux_Totales!$F:$F, $F224, Aux_Totales!$A:$A,#REF!), 0))</f>
        <v/>
      </c>
      <c r="ILK224" s="19" t="str">
        <f>IF(ILK220 = "", "", IFERROR(ILK220 / SUMIFS(Aux_Totales!$N:$N, Aux_Totales!$F:$F, $F224, Aux_Totales!$A:$A,#REF!), 0))</f>
        <v/>
      </c>
      <c r="ILL224" s="19" t="str">
        <f>IF(ILL220 = "", "", IFERROR(ILL220 / SUMIFS(Aux_Totales!$N:$N, Aux_Totales!$F:$F, $F224, Aux_Totales!$A:$A,#REF!), 0))</f>
        <v/>
      </c>
      <c r="ILM224" s="19" t="str">
        <f>IF(ILM220 = "", "", IFERROR(ILM220 / SUMIFS(Aux_Totales!$N:$N, Aux_Totales!$F:$F, $F224, Aux_Totales!$A:$A,#REF!), 0))</f>
        <v/>
      </c>
      <c r="ILN224" s="19" t="str">
        <f>IF(ILN220 = "", "", IFERROR(ILN220 / SUMIFS(Aux_Totales!$N:$N, Aux_Totales!$F:$F, $F224, Aux_Totales!$A:$A,#REF!), 0))</f>
        <v/>
      </c>
      <c r="ILO224" s="19" t="str">
        <f>IF(ILO220 = "", "", IFERROR(ILO220 / SUMIFS(Aux_Totales!$N:$N, Aux_Totales!$F:$F, $F224, Aux_Totales!$A:$A,#REF!), 0))</f>
        <v/>
      </c>
      <c r="ILP224" s="19" t="str">
        <f>IF(ILP220 = "", "", IFERROR(ILP220 / SUMIFS(Aux_Totales!$N:$N, Aux_Totales!$F:$F, $F224, Aux_Totales!$A:$A,#REF!), 0))</f>
        <v/>
      </c>
      <c r="ILQ224" s="19" t="str">
        <f>IF(ILQ220 = "", "", IFERROR(ILQ220 / SUMIFS(Aux_Totales!$N:$N, Aux_Totales!$F:$F, $F224, Aux_Totales!$A:$A,#REF!), 0))</f>
        <v/>
      </c>
      <c r="ILR224" s="19" t="str">
        <f>IF(ILR220 = "", "", IFERROR(ILR220 / SUMIFS(Aux_Totales!$N:$N, Aux_Totales!$F:$F, $F224, Aux_Totales!$A:$A,#REF!), 0))</f>
        <v/>
      </c>
      <c r="ILS224" s="19" t="str">
        <f>IF(ILS220 = "", "", IFERROR(ILS220 / SUMIFS(Aux_Totales!$N:$N, Aux_Totales!$F:$F, $F224, Aux_Totales!$A:$A,#REF!), 0))</f>
        <v/>
      </c>
      <c r="ILT224" s="19" t="str">
        <f>IF(ILT220 = "", "", IFERROR(ILT220 / SUMIFS(Aux_Totales!$N:$N, Aux_Totales!$F:$F, $F224, Aux_Totales!$A:$A,#REF!), 0))</f>
        <v/>
      </c>
      <c r="ILU224" s="19" t="str">
        <f>IF(ILU220 = "", "", IFERROR(ILU220 / SUMIFS(Aux_Totales!$N:$N, Aux_Totales!$F:$F, $F224, Aux_Totales!$A:$A,#REF!), 0))</f>
        <v/>
      </c>
      <c r="ILV224" s="19" t="str">
        <f>IF(ILV220 = "", "", IFERROR(ILV220 / SUMIFS(Aux_Totales!$N:$N, Aux_Totales!$F:$F, $F224, Aux_Totales!$A:$A,#REF!), 0))</f>
        <v/>
      </c>
      <c r="ILW224" s="19" t="str">
        <f>IF(ILW220 = "", "", IFERROR(ILW220 / SUMIFS(Aux_Totales!$N:$N, Aux_Totales!$F:$F, $F224, Aux_Totales!$A:$A,#REF!), 0))</f>
        <v/>
      </c>
      <c r="ILX224" s="19" t="str">
        <f>IF(ILX220 = "", "", IFERROR(ILX220 / SUMIFS(Aux_Totales!$N:$N, Aux_Totales!$F:$F, $F224, Aux_Totales!$A:$A,#REF!), 0))</f>
        <v/>
      </c>
      <c r="ILY224" s="19" t="str">
        <f>IF(ILY220 = "", "", IFERROR(ILY220 / SUMIFS(Aux_Totales!$N:$N, Aux_Totales!$F:$F, $F224, Aux_Totales!$A:$A,#REF!), 0))</f>
        <v/>
      </c>
      <c r="ILZ224" s="19" t="str">
        <f>IF(ILZ220 = "", "", IFERROR(ILZ220 / SUMIFS(Aux_Totales!$N:$N, Aux_Totales!$F:$F, $F224, Aux_Totales!$A:$A,#REF!), 0))</f>
        <v/>
      </c>
      <c r="IMA224" s="19" t="str">
        <f>IF(IMA220 = "", "", IFERROR(IMA220 / SUMIFS(Aux_Totales!$N:$N, Aux_Totales!$F:$F, $F224, Aux_Totales!$A:$A,#REF!), 0))</f>
        <v/>
      </c>
      <c r="IMB224" s="19" t="str">
        <f>IF(IMB220 = "", "", IFERROR(IMB220 / SUMIFS(Aux_Totales!$N:$N, Aux_Totales!$F:$F, $F224, Aux_Totales!$A:$A,#REF!), 0))</f>
        <v/>
      </c>
      <c r="IMC224" s="19" t="str">
        <f>IF(IMC220 = "", "", IFERROR(IMC220 / SUMIFS(Aux_Totales!$N:$N, Aux_Totales!$F:$F, $F224, Aux_Totales!$A:$A,#REF!), 0))</f>
        <v/>
      </c>
      <c r="IMD224" s="19" t="str">
        <f>IF(IMD220 = "", "", IFERROR(IMD220 / SUMIFS(Aux_Totales!$N:$N, Aux_Totales!$F:$F, $F224, Aux_Totales!$A:$A,#REF!), 0))</f>
        <v/>
      </c>
      <c r="IME224" s="19" t="str">
        <f>IF(IME220 = "", "", IFERROR(IME220 / SUMIFS(Aux_Totales!$N:$N, Aux_Totales!$F:$F, $F224, Aux_Totales!$A:$A,#REF!), 0))</f>
        <v/>
      </c>
      <c r="IMF224" s="19" t="str">
        <f>IF(IMF220 = "", "", IFERROR(IMF220 / SUMIFS(Aux_Totales!$N:$N, Aux_Totales!$F:$F, $F224, Aux_Totales!$A:$A,#REF!), 0))</f>
        <v/>
      </c>
      <c r="IMG224" s="19" t="str">
        <f>IF(IMG220 = "", "", IFERROR(IMG220 / SUMIFS(Aux_Totales!$N:$N, Aux_Totales!$F:$F, $F224, Aux_Totales!$A:$A,#REF!), 0))</f>
        <v/>
      </c>
      <c r="IMH224" s="19" t="str">
        <f>IF(IMH220 = "", "", IFERROR(IMH220 / SUMIFS(Aux_Totales!$N:$N, Aux_Totales!$F:$F, $F224, Aux_Totales!$A:$A,#REF!), 0))</f>
        <v/>
      </c>
      <c r="IMI224" s="19" t="str">
        <f>IF(IMI220 = "", "", IFERROR(IMI220 / SUMIFS(Aux_Totales!$N:$N, Aux_Totales!$F:$F, $F224, Aux_Totales!$A:$A,#REF!), 0))</f>
        <v/>
      </c>
      <c r="IMJ224" s="19" t="str">
        <f>IF(IMJ220 = "", "", IFERROR(IMJ220 / SUMIFS(Aux_Totales!$N:$N, Aux_Totales!$F:$F, $F224, Aux_Totales!$A:$A,#REF!), 0))</f>
        <v/>
      </c>
      <c r="IMK224" s="19" t="str">
        <f>IF(IMK220 = "", "", IFERROR(IMK220 / SUMIFS(Aux_Totales!$N:$N, Aux_Totales!$F:$F, $F224, Aux_Totales!$A:$A,#REF!), 0))</f>
        <v/>
      </c>
      <c r="IML224" s="19" t="str">
        <f>IF(IML220 = "", "", IFERROR(IML220 / SUMIFS(Aux_Totales!$N:$N, Aux_Totales!$F:$F, $F224, Aux_Totales!$A:$A,#REF!), 0))</f>
        <v/>
      </c>
      <c r="IMM224" s="19" t="str">
        <f>IF(IMM220 = "", "", IFERROR(IMM220 / SUMIFS(Aux_Totales!$N:$N, Aux_Totales!$F:$F, $F224, Aux_Totales!$A:$A,#REF!), 0))</f>
        <v/>
      </c>
      <c r="IMN224" s="19" t="str">
        <f>IF(IMN220 = "", "", IFERROR(IMN220 / SUMIFS(Aux_Totales!$N:$N, Aux_Totales!$F:$F, $F224, Aux_Totales!$A:$A,#REF!), 0))</f>
        <v/>
      </c>
      <c r="IMO224" s="19" t="str">
        <f>IF(IMO220 = "", "", IFERROR(IMO220 / SUMIFS(Aux_Totales!$N:$N, Aux_Totales!$F:$F, $F224, Aux_Totales!$A:$A,#REF!), 0))</f>
        <v/>
      </c>
      <c r="IMP224" s="19" t="str">
        <f>IF(IMP220 = "", "", IFERROR(IMP220 / SUMIFS(Aux_Totales!$N:$N, Aux_Totales!$F:$F, $F224, Aux_Totales!$A:$A,#REF!), 0))</f>
        <v/>
      </c>
      <c r="IMQ224" s="19" t="str">
        <f>IF(IMQ220 = "", "", IFERROR(IMQ220 / SUMIFS(Aux_Totales!$N:$N, Aux_Totales!$F:$F, $F224, Aux_Totales!$A:$A,#REF!), 0))</f>
        <v/>
      </c>
      <c r="IMR224" s="19" t="str">
        <f>IF(IMR220 = "", "", IFERROR(IMR220 / SUMIFS(Aux_Totales!$N:$N, Aux_Totales!$F:$F, $F224, Aux_Totales!$A:$A,#REF!), 0))</f>
        <v/>
      </c>
      <c r="IMS224" s="19" t="str">
        <f>IF(IMS220 = "", "", IFERROR(IMS220 / SUMIFS(Aux_Totales!$N:$N, Aux_Totales!$F:$F, $F224, Aux_Totales!$A:$A,#REF!), 0))</f>
        <v/>
      </c>
      <c r="IMT224" s="19" t="str">
        <f>IF(IMT220 = "", "", IFERROR(IMT220 / SUMIFS(Aux_Totales!$N:$N, Aux_Totales!$F:$F, $F224, Aux_Totales!$A:$A,#REF!), 0))</f>
        <v/>
      </c>
      <c r="IMU224" s="19" t="str">
        <f>IF(IMU220 = "", "", IFERROR(IMU220 / SUMIFS(Aux_Totales!$N:$N, Aux_Totales!$F:$F, $F224, Aux_Totales!$A:$A,#REF!), 0))</f>
        <v/>
      </c>
      <c r="IMV224" s="19" t="str">
        <f>IF(IMV220 = "", "", IFERROR(IMV220 / SUMIFS(Aux_Totales!$N:$N, Aux_Totales!$F:$F, $F224, Aux_Totales!$A:$A,#REF!), 0))</f>
        <v/>
      </c>
      <c r="IMW224" s="19" t="str">
        <f>IF(IMW220 = "", "", IFERROR(IMW220 / SUMIFS(Aux_Totales!$N:$N, Aux_Totales!$F:$F, $F224, Aux_Totales!$A:$A,#REF!), 0))</f>
        <v/>
      </c>
      <c r="IMX224" s="19" t="str">
        <f>IF(IMX220 = "", "", IFERROR(IMX220 / SUMIFS(Aux_Totales!$N:$N, Aux_Totales!$F:$F, $F224, Aux_Totales!$A:$A,#REF!), 0))</f>
        <v/>
      </c>
      <c r="IMY224" s="19" t="str">
        <f>IF(IMY220 = "", "", IFERROR(IMY220 / SUMIFS(Aux_Totales!$N:$N, Aux_Totales!$F:$F, $F224, Aux_Totales!$A:$A,#REF!), 0))</f>
        <v/>
      </c>
      <c r="IMZ224" s="19" t="str">
        <f>IF(IMZ220 = "", "", IFERROR(IMZ220 / SUMIFS(Aux_Totales!$N:$N, Aux_Totales!$F:$F, $F224, Aux_Totales!$A:$A,#REF!), 0))</f>
        <v/>
      </c>
      <c r="INA224" s="19" t="str">
        <f>IF(INA220 = "", "", IFERROR(INA220 / SUMIFS(Aux_Totales!$N:$N, Aux_Totales!$F:$F, $F224, Aux_Totales!$A:$A,#REF!), 0))</f>
        <v/>
      </c>
      <c r="INB224" s="19" t="str">
        <f>IF(INB220 = "", "", IFERROR(INB220 / SUMIFS(Aux_Totales!$N:$N, Aux_Totales!$F:$F, $F224, Aux_Totales!$A:$A,#REF!), 0))</f>
        <v/>
      </c>
      <c r="INC224" s="19" t="str">
        <f>IF(INC220 = "", "", IFERROR(INC220 / SUMIFS(Aux_Totales!$N:$N, Aux_Totales!$F:$F, $F224, Aux_Totales!$A:$A,#REF!), 0))</f>
        <v/>
      </c>
      <c r="IND224" s="19" t="str">
        <f>IF(IND220 = "", "", IFERROR(IND220 / SUMIFS(Aux_Totales!$N:$N, Aux_Totales!$F:$F, $F224, Aux_Totales!$A:$A,#REF!), 0))</f>
        <v/>
      </c>
      <c r="INE224" s="19" t="str">
        <f>IF(INE220 = "", "", IFERROR(INE220 / SUMIFS(Aux_Totales!$N:$N, Aux_Totales!$F:$F, $F224, Aux_Totales!$A:$A,#REF!), 0))</f>
        <v/>
      </c>
      <c r="INF224" s="19" t="str">
        <f>IF(INF220 = "", "", IFERROR(INF220 / SUMIFS(Aux_Totales!$N:$N, Aux_Totales!$F:$F, $F224, Aux_Totales!$A:$A,#REF!), 0))</f>
        <v/>
      </c>
      <c r="ING224" s="19" t="str">
        <f>IF(ING220 = "", "", IFERROR(ING220 / SUMIFS(Aux_Totales!$N:$N, Aux_Totales!$F:$F, $F224, Aux_Totales!$A:$A,#REF!), 0))</f>
        <v/>
      </c>
      <c r="INH224" s="19" t="str">
        <f>IF(INH220 = "", "", IFERROR(INH220 / SUMIFS(Aux_Totales!$N:$N, Aux_Totales!$F:$F, $F224, Aux_Totales!$A:$A,#REF!), 0))</f>
        <v/>
      </c>
      <c r="INI224" s="19" t="str">
        <f>IF(INI220 = "", "", IFERROR(INI220 / SUMIFS(Aux_Totales!$N:$N, Aux_Totales!$F:$F, $F224, Aux_Totales!$A:$A,#REF!), 0))</f>
        <v/>
      </c>
      <c r="INJ224" s="19" t="str">
        <f>IF(INJ220 = "", "", IFERROR(INJ220 / SUMIFS(Aux_Totales!$N:$N, Aux_Totales!$F:$F, $F224, Aux_Totales!$A:$A,#REF!), 0))</f>
        <v/>
      </c>
      <c r="INK224" s="19" t="str">
        <f>IF(INK220 = "", "", IFERROR(INK220 / SUMIFS(Aux_Totales!$N:$N, Aux_Totales!$F:$F, $F224, Aux_Totales!$A:$A,#REF!), 0))</f>
        <v/>
      </c>
      <c r="INL224" s="19" t="str">
        <f>IF(INL220 = "", "", IFERROR(INL220 / SUMIFS(Aux_Totales!$N:$N, Aux_Totales!$F:$F, $F224, Aux_Totales!$A:$A,#REF!), 0))</f>
        <v/>
      </c>
      <c r="INM224" s="19" t="str">
        <f>IF(INM220 = "", "", IFERROR(INM220 / SUMIFS(Aux_Totales!$N:$N, Aux_Totales!$F:$F, $F224, Aux_Totales!$A:$A,#REF!), 0))</f>
        <v/>
      </c>
      <c r="INN224" s="19" t="str">
        <f>IF(INN220 = "", "", IFERROR(INN220 / SUMIFS(Aux_Totales!$N:$N, Aux_Totales!$F:$F, $F224, Aux_Totales!$A:$A,#REF!), 0))</f>
        <v/>
      </c>
      <c r="INO224" s="19" t="str">
        <f>IF(INO220 = "", "", IFERROR(INO220 / SUMIFS(Aux_Totales!$N:$N, Aux_Totales!$F:$F, $F224, Aux_Totales!$A:$A,#REF!), 0))</f>
        <v/>
      </c>
      <c r="INP224" s="19" t="str">
        <f>IF(INP220 = "", "", IFERROR(INP220 / SUMIFS(Aux_Totales!$N:$N, Aux_Totales!$F:$F, $F224, Aux_Totales!$A:$A,#REF!), 0))</f>
        <v/>
      </c>
      <c r="INQ224" s="19" t="str">
        <f>IF(INQ220 = "", "", IFERROR(INQ220 / SUMIFS(Aux_Totales!$N:$N, Aux_Totales!$F:$F, $F224, Aux_Totales!$A:$A,#REF!), 0))</f>
        <v/>
      </c>
      <c r="INR224" s="19" t="str">
        <f>IF(INR220 = "", "", IFERROR(INR220 / SUMIFS(Aux_Totales!$N:$N, Aux_Totales!$F:$F, $F224, Aux_Totales!$A:$A,#REF!), 0))</f>
        <v/>
      </c>
      <c r="INS224" s="19" t="str">
        <f>IF(INS220 = "", "", IFERROR(INS220 / SUMIFS(Aux_Totales!$N:$N, Aux_Totales!$F:$F, $F224, Aux_Totales!$A:$A,#REF!), 0))</f>
        <v/>
      </c>
      <c r="INT224" s="19" t="str">
        <f>IF(INT220 = "", "", IFERROR(INT220 / SUMIFS(Aux_Totales!$N:$N, Aux_Totales!$F:$F, $F224, Aux_Totales!$A:$A,#REF!), 0))</f>
        <v/>
      </c>
      <c r="INU224" s="19" t="str">
        <f>IF(INU220 = "", "", IFERROR(INU220 / SUMIFS(Aux_Totales!$N:$N, Aux_Totales!$F:$F, $F224, Aux_Totales!$A:$A,#REF!), 0))</f>
        <v/>
      </c>
      <c r="INV224" s="19" t="str">
        <f>IF(INV220 = "", "", IFERROR(INV220 / SUMIFS(Aux_Totales!$N:$N, Aux_Totales!$F:$F, $F224, Aux_Totales!$A:$A,#REF!), 0))</f>
        <v/>
      </c>
      <c r="INW224" s="19" t="str">
        <f>IF(INW220 = "", "", IFERROR(INW220 / SUMIFS(Aux_Totales!$N:$N, Aux_Totales!$F:$F, $F224, Aux_Totales!$A:$A,#REF!), 0))</f>
        <v/>
      </c>
      <c r="INX224" s="19" t="str">
        <f>IF(INX220 = "", "", IFERROR(INX220 / SUMIFS(Aux_Totales!$N:$N, Aux_Totales!$F:$F, $F224, Aux_Totales!$A:$A,#REF!), 0))</f>
        <v/>
      </c>
      <c r="INY224" s="19" t="str">
        <f>IF(INY220 = "", "", IFERROR(INY220 / SUMIFS(Aux_Totales!$N:$N, Aux_Totales!$F:$F, $F224, Aux_Totales!$A:$A,#REF!), 0))</f>
        <v/>
      </c>
      <c r="INZ224" s="19" t="str">
        <f>IF(INZ220 = "", "", IFERROR(INZ220 / SUMIFS(Aux_Totales!$N:$N, Aux_Totales!$F:$F, $F224, Aux_Totales!$A:$A,#REF!), 0))</f>
        <v/>
      </c>
      <c r="IOA224" s="19" t="str">
        <f>IF(IOA220 = "", "", IFERROR(IOA220 / SUMIFS(Aux_Totales!$N:$N, Aux_Totales!$F:$F, $F224, Aux_Totales!$A:$A,#REF!), 0))</f>
        <v/>
      </c>
      <c r="IOB224" s="19" t="str">
        <f>IF(IOB220 = "", "", IFERROR(IOB220 / SUMIFS(Aux_Totales!$N:$N, Aux_Totales!$F:$F, $F224, Aux_Totales!$A:$A,#REF!), 0))</f>
        <v/>
      </c>
      <c r="IOC224" s="19" t="str">
        <f>IF(IOC220 = "", "", IFERROR(IOC220 / SUMIFS(Aux_Totales!$N:$N, Aux_Totales!$F:$F, $F224, Aux_Totales!$A:$A,#REF!), 0))</f>
        <v/>
      </c>
      <c r="IOD224" s="19" t="str">
        <f>IF(IOD220 = "", "", IFERROR(IOD220 / SUMIFS(Aux_Totales!$N:$N, Aux_Totales!$F:$F, $F224, Aux_Totales!$A:$A,#REF!), 0))</f>
        <v/>
      </c>
      <c r="IOE224" s="19" t="str">
        <f>IF(IOE220 = "", "", IFERROR(IOE220 / SUMIFS(Aux_Totales!$N:$N, Aux_Totales!$F:$F, $F224, Aux_Totales!$A:$A,#REF!), 0))</f>
        <v/>
      </c>
      <c r="IOF224" s="19" t="str">
        <f>IF(IOF220 = "", "", IFERROR(IOF220 / SUMIFS(Aux_Totales!$N:$N, Aux_Totales!$F:$F, $F224, Aux_Totales!$A:$A,#REF!), 0))</f>
        <v/>
      </c>
      <c r="IOG224" s="19" t="str">
        <f>IF(IOG220 = "", "", IFERROR(IOG220 / SUMIFS(Aux_Totales!$N:$N, Aux_Totales!$F:$F, $F224, Aux_Totales!$A:$A,#REF!), 0))</f>
        <v/>
      </c>
      <c r="IOH224" s="19" t="str">
        <f>IF(IOH220 = "", "", IFERROR(IOH220 / SUMIFS(Aux_Totales!$N:$N, Aux_Totales!$F:$F, $F224, Aux_Totales!$A:$A,#REF!), 0))</f>
        <v/>
      </c>
      <c r="IOI224" s="19" t="str">
        <f>IF(IOI220 = "", "", IFERROR(IOI220 / SUMIFS(Aux_Totales!$N:$N, Aux_Totales!$F:$F, $F224, Aux_Totales!$A:$A,#REF!), 0))</f>
        <v/>
      </c>
      <c r="IOJ224" s="19" t="str">
        <f>IF(IOJ220 = "", "", IFERROR(IOJ220 / SUMIFS(Aux_Totales!$N:$N, Aux_Totales!$F:$F, $F224, Aux_Totales!$A:$A,#REF!), 0))</f>
        <v/>
      </c>
      <c r="IOK224" s="19" t="str">
        <f>IF(IOK220 = "", "", IFERROR(IOK220 / SUMIFS(Aux_Totales!$N:$N, Aux_Totales!$F:$F, $F224, Aux_Totales!$A:$A,#REF!), 0))</f>
        <v/>
      </c>
      <c r="IOL224" s="19" t="str">
        <f>IF(IOL220 = "", "", IFERROR(IOL220 / SUMIFS(Aux_Totales!$N:$N, Aux_Totales!$F:$F, $F224, Aux_Totales!$A:$A,#REF!), 0))</f>
        <v/>
      </c>
      <c r="IOM224" s="19" t="str">
        <f>IF(IOM220 = "", "", IFERROR(IOM220 / SUMIFS(Aux_Totales!$N:$N, Aux_Totales!$F:$F, $F224, Aux_Totales!$A:$A,#REF!), 0))</f>
        <v/>
      </c>
      <c r="ION224" s="19" t="str">
        <f>IF(ION220 = "", "", IFERROR(ION220 / SUMIFS(Aux_Totales!$N:$N, Aux_Totales!$F:$F, $F224, Aux_Totales!$A:$A,#REF!), 0))</f>
        <v/>
      </c>
      <c r="IOO224" s="19" t="str">
        <f>IF(IOO220 = "", "", IFERROR(IOO220 / SUMIFS(Aux_Totales!$N:$N, Aux_Totales!$F:$F, $F224, Aux_Totales!$A:$A,#REF!), 0))</f>
        <v/>
      </c>
      <c r="IOP224" s="19" t="str">
        <f>IF(IOP220 = "", "", IFERROR(IOP220 / SUMIFS(Aux_Totales!$N:$N, Aux_Totales!$F:$F, $F224, Aux_Totales!$A:$A,#REF!), 0))</f>
        <v/>
      </c>
      <c r="IOQ224" s="19" t="str">
        <f>IF(IOQ220 = "", "", IFERROR(IOQ220 / SUMIFS(Aux_Totales!$N:$N, Aux_Totales!$F:$F, $F224, Aux_Totales!$A:$A,#REF!), 0))</f>
        <v/>
      </c>
      <c r="IOR224" s="19" t="str">
        <f>IF(IOR220 = "", "", IFERROR(IOR220 / SUMIFS(Aux_Totales!$N:$N, Aux_Totales!$F:$F, $F224, Aux_Totales!$A:$A,#REF!), 0))</f>
        <v/>
      </c>
      <c r="IOS224" s="19" t="str">
        <f>IF(IOS220 = "", "", IFERROR(IOS220 / SUMIFS(Aux_Totales!$N:$N, Aux_Totales!$F:$F, $F224, Aux_Totales!$A:$A,#REF!), 0))</f>
        <v/>
      </c>
      <c r="IOT224" s="19" t="str">
        <f>IF(IOT220 = "", "", IFERROR(IOT220 / SUMIFS(Aux_Totales!$N:$N, Aux_Totales!$F:$F, $F224, Aux_Totales!$A:$A,#REF!), 0))</f>
        <v/>
      </c>
      <c r="IOU224" s="19" t="str">
        <f>IF(IOU220 = "", "", IFERROR(IOU220 / SUMIFS(Aux_Totales!$N:$N, Aux_Totales!$F:$F, $F224, Aux_Totales!$A:$A,#REF!), 0))</f>
        <v/>
      </c>
      <c r="IOV224" s="19" t="str">
        <f>IF(IOV220 = "", "", IFERROR(IOV220 / SUMIFS(Aux_Totales!$N:$N, Aux_Totales!$F:$F, $F224, Aux_Totales!$A:$A,#REF!), 0))</f>
        <v/>
      </c>
      <c r="IOW224" s="19" t="str">
        <f>IF(IOW220 = "", "", IFERROR(IOW220 / SUMIFS(Aux_Totales!$N:$N, Aux_Totales!$F:$F, $F224, Aux_Totales!$A:$A,#REF!), 0))</f>
        <v/>
      </c>
      <c r="IOX224" s="19" t="str">
        <f>IF(IOX220 = "", "", IFERROR(IOX220 / SUMIFS(Aux_Totales!$N:$N, Aux_Totales!$F:$F, $F224, Aux_Totales!$A:$A,#REF!), 0))</f>
        <v/>
      </c>
      <c r="IOY224" s="19" t="str">
        <f>IF(IOY220 = "", "", IFERROR(IOY220 / SUMIFS(Aux_Totales!$N:$N, Aux_Totales!$F:$F, $F224, Aux_Totales!$A:$A,#REF!), 0))</f>
        <v/>
      </c>
      <c r="IOZ224" s="19" t="str">
        <f>IF(IOZ220 = "", "", IFERROR(IOZ220 / SUMIFS(Aux_Totales!$N:$N, Aux_Totales!$F:$F, $F224, Aux_Totales!$A:$A,#REF!), 0))</f>
        <v/>
      </c>
      <c r="IPA224" s="19" t="str">
        <f>IF(IPA220 = "", "", IFERROR(IPA220 / SUMIFS(Aux_Totales!$N:$N, Aux_Totales!$F:$F, $F224, Aux_Totales!$A:$A,#REF!), 0))</f>
        <v/>
      </c>
      <c r="IPB224" s="19" t="str">
        <f>IF(IPB220 = "", "", IFERROR(IPB220 / SUMIFS(Aux_Totales!$N:$N, Aux_Totales!$F:$F, $F224, Aux_Totales!$A:$A,#REF!), 0))</f>
        <v/>
      </c>
      <c r="IPC224" s="19" t="str">
        <f>IF(IPC220 = "", "", IFERROR(IPC220 / SUMIFS(Aux_Totales!$N:$N, Aux_Totales!$F:$F, $F224, Aux_Totales!$A:$A,#REF!), 0))</f>
        <v/>
      </c>
      <c r="IPD224" s="19" t="str">
        <f>IF(IPD220 = "", "", IFERROR(IPD220 / SUMIFS(Aux_Totales!$N:$N, Aux_Totales!$F:$F, $F224, Aux_Totales!$A:$A,#REF!), 0))</f>
        <v/>
      </c>
      <c r="IPE224" s="19" t="str">
        <f>IF(IPE220 = "", "", IFERROR(IPE220 / SUMIFS(Aux_Totales!$N:$N, Aux_Totales!$F:$F, $F224, Aux_Totales!$A:$A,#REF!), 0))</f>
        <v/>
      </c>
      <c r="IPF224" s="19" t="str">
        <f>IF(IPF220 = "", "", IFERROR(IPF220 / SUMIFS(Aux_Totales!$N:$N, Aux_Totales!$F:$F, $F224, Aux_Totales!$A:$A,#REF!), 0))</f>
        <v/>
      </c>
      <c r="IPG224" s="19" t="str">
        <f>IF(IPG220 = "", "", IFERROR(IPG220 / SUMIFS(Aux_Totales!$N:$N, Aux_Totales!$F:$F, $F224, Aux_Totales!$A:$A,#REF!), 0))</f>
        <v/>
      </c>
      <c r="IPH224" s="19" t="str">
        <f>IF(IPH220 = "", "", IFERROR(IPH220 / SUMIFS(Aux_Totales!$N:$N, Aux_Totales!$F:$F, $F224, Aux_Totales!$A:$A,#REF!), 0))</f>
        <v/>
      </c>
      <c r="IPI224" s="19" t="str">
        <f>IF(IPI220 = "", "", IFERROR(IPI220 / SUMIFS(Aux_Totales!$N:$N, Aux_Totales!$F:$F, $F224, Aux_Totales!$A:$A,#REF!), 0))</f>
        <v/>
      </c>
      <c r="IPJ224" s="19" t="str">
        <f>IF(IPJ220 = "", "", IFERROR(IPJ220 / SUMIFS(Aux_Totales!$N:$N, Aux_Totales!$F:$F, $F224, Aux_Totales!$A:$A,#REF!), 0))</f>
        <v/>
      </c>
      <c r="IPK224" s="19" t="str">
        <f>IF(IPK220 = "", "", IFERROR(IPK220 / SUMIFS(Aux_Totales!$N:$N, Aux_Totales!$F:$F, $F224, Aux_Totales!$A:$A,#REF!), 0))</f>
        <v/>
      </c>
      <c r="IPL224" s="19" t="str">
        <f>IF(IPL220 = "", "", IFERROR(IPL220 / SUMIFS(Aux_Totales!$N:$N, Aux_Totales!$F:$F, $F224, Aux_Totales!$A:$A,#REF!), 0))</f>
        <v/>
      </c>
      <c r="IPM224" s="19" t="str">
        <f>IF(IPM220 = "", "", IFERROR(IPM220 / SUMIFS(Aux_Totales!$N:$N, Aux_Totales!$F:$F, $F224, Aux_Totales!$A:$A,#REF!), 0))</f>
        <v/>
      </c>
      <c r="IPN224" s="19" t="str">
        <f>IF(IPN220 = "", "", IFERROR(IPN220 / SUMIFS(Aux_Totales!$N:$N, Aux_Totales!$F:$F, $F224, Aux_Totales!$A:$A,#REF!), 0))</f>
        <v/>
      </c>
      <c r="IPO224" s="19" t="str">
        <f>IF(IPO220 = "", "", IFERROR(IPO220 / SUMIFS(Aux_Totales!$N:$N, Aux_Totales!$F:$F, $F224, Aux_Totales!$A:$A,#REF!), 0))</f>
        <v/>
      </c>
      <c r="IPP224" s="19" t="str">
        <f>IF(IPP220 = "", "", IFERROR(IPP220 / SUMIFS(Aux_Totales!$N:$N, Aux_Totales!$F:$F, $F224, Aux_Totales!$A:$A,#REF!), 0))</f>
        <v/>
      </c>
      <c r="IPQ224" s="19" t="str">
        <f>IF(IPQ220 = "", "", IFERROR(IPQ220 / SUMIFS(Aux_Totales!$N:$N, Aux_Totales!$F:$F, $F224, Aux_Totales!$A:$A,#REF!), 0))</f>
        <v/>
      </c>
      <c r="IPR224" s="19" t="str">
        <f>IF(IPR220 = "", "", IFERROR(IPR220 / SUMIFS(Aux_Totales!$N:$N, Aux_Totales!$F:$F, $F224, Aux_Totales!$A:$A,#REF!), 0))</f>
        <v/>
      </c>
      <c r="IPS224" s="19" t="str">
        <f>IF(IPS220 = "", "", IFERROR(IPS220 / SUMIFS(Aux_Totales!$N:$N, Aux_Totales!$F:$F, $F224, Aux_Totales!$A:$A,#REF!), 0))</f>
        <v/>
      </c>
      <c r="IPT224" s="19" t="str">
        <f>IF(IPT220 = "", "", IFERROR(IPT220 / SUMIFS(Aux_Totales!$N:$N, Aux_Totales!$F:$F, $F224, Aux_Totales!$A:$A,#REF!), 0))</f>
        <v/>
      </c>
      <c r="IPU224" s="19" t="str">
        <f>IF(IPU220 = "", "", IFERROR(IPU220 / SUMIFS(Aux_Totales!$N:$N, Aux_Totales!$F:$F, $F224, Aux_Totales!$A:$A,#REF!), 0))</f>
        <v/>
      </c>
      <c r="IPV224" s="19" t="str">
        <f>IF(IPV220 = "", "", IFERROR(IPV220 / SUMIFS(Aux_Totales!$N:$N, Aux_Totales!$F:$F, $F224, Aux_Totales!$A:$A,#REF!), 0))</f>
        <v/>
      </c>
      <c r="IPW224" s="19" t="str">
        <f>IF(IPW220 = "", "", IFERROR(IPW220 / SUMIFS(Aux_Totales!$N:$N, Aux_Totales!$F:$F, $F224, Aux_Totales!$A:$A,#REF!), 0))</f>
        <v/>
      </c>
      <c r="IPX224" s="19" t="str">
        <f>IF(IPX220 = "", "", IFERROR(IPX220 / SUMIFS(Aux_Totales!$N:$N, Aux_Totales!$F:$F, $F224, Aux_Totales!$A:$A,#REF!), 0))</f>
        <v/>
      </c>
      <c r="IPY224" s="19" t="str">
        <f>IF(IPY220 = "", "", IFERROR(IPY220 / SUMIFS(Aux_Totales!$N:$N, Aux_Totales!$F:$F, $F224, Aux_Totales!$A:$A,#REF!), 0))</f>
        <v/>
      </c>
      <c r="IPZ224" s="19" t="str">
        <f>IF(IPZ220 = "", "", IFERROR(IPZ220 / SUMIFS(Aux_Totales!$N:$N, Aux_Totales!$F:$F, $F224, Aux_Totales!$A:$A,#REF!), 0))</f>
        <v/>
      </c>
      <c r="IQA224" s="19" t="str">
        <f>IF(IQA220 = "", "", IFERROR(IQA220 / SUMIFS(Aux_Totales!$N:$N, Aux_Totales!$F:$F, $F224, Aux_Totales!$A:$A,#REF!), 0))</f>
        <v/>
      </c>
      <c r="IQB224" s="19" t="str">
        <f>IF(IQB220 = "", "", IFERROR(IQB220 / SUMIFS(Aux_Totales!$N:$N, Aux_Totales!$F:$F, $F224, Aux_Totales!$A:$A,#REF!), 0))</f>
        <v/>
      </c>
      <c r="IQC224" s="19" t="str">
        <f>IF(IQC220 = "", "", IFERROR(IQC220 / SUMIFS(Aux_Totales!$N:$N, Aux_Totales!$F:$F, $F224, Aux_Totales!$A:$A,#REF!), 0))</f>
        <v/>
      </c>
      <c r="IQD224" s="19" t="str">
        <f>IF(IQD220 = "", "", IFERROR(IQD220 / SUMIFS(Aux_Totales!$N:$N, Aux_Totales!$F:$F, $F224, Aux_Totales!$A:$A,#REF!), 0))</f>
        <v/>
      </c>
      <c r="IQE224" s="19" t="str">
        <f>IF(IQE220 = "", "", IFERROR(IQE220 / SUMIFS(Aux_Totales!$N:$N, Aux_Totales!$F:$F, $F224, Aux_Totales!$A:$A,#REF!), 0))</f>
        <v/>
      </c>
      <c r="IQF224" s="19" t="str">
        <f>IF(IQF220 = "", "", IFERROR(IQF220 / SUMIFS(Aux_Totales!$N:$N, Aux_Totales!$F:$F, $F224, Aux_Totales!$A:$A,#REF!), 0))</f>
        <v/>
      </c>
      <c r="IQG224" s="19" t="str">
        <f>IF(IQG220 = "", "", IFERROR(IQG220 / SUMIFS(Aux_Totales!$N:$N, Aux_Totales!$F:$F, $F224, Aux_Totales!$A:$A,#REF!), 0))</f>
        <v/>
      </c>
      <c r="IQH224" s="19" t="str">
        <f>IF(IQH220 = "", "", IFERROR(IQH220 / SUMIFS(Aux_Totales!$N:$N, Aux_Totales!$F:$F, $F224, Aux_Totales!$A:$A,#REF!), 0))</f>
        <v/>
      </c>
      <c r="IQI224" s="19" t="str">
        <f>IF(IQI220 = "", "", IFERROR(IQI220 / SUMIFS(Aux_Totales!$N:$N, Aux_Totales!$F:$F, $F224, Aux_Totales!$A:$A,#REF!), 0))</f>
        <v/>
      </c>
      <c r="IQJ224" s="19" t="str">
        <f>IF(IQJ220 = "", "", IFERROR(IQJ220 / SUMIFS(Aux_Totales!$N:$N, Aux_Totales!$F:$F, $F224, Aux_Totales!$A:$A,#REF!), 0))</f>
        <v/>
      </c>
      <c r="IQK224" s="19" t="str">
        <f>IF(IQK220 = "", "", IFERROR(IQK220 / SUMIFS(Aux_Totales!$N:$N, Aux_Totales!$F:$F, $F224, Aux_Totales!$A:$A,#REF!), 0))</f>
        <v/>
      </c>
      <c r="IQL224" s="19" t="str">
        <f>IF(IQL220 = "", "", IFERROR(IQL220 / SUMIFS(Aux_Totales!$N:$N, Aux_Totales!$F:$F, $F224, Aux_Totales!$A:$A,#REF!), 0))</f>
        <v/>
      </c>
      <c r="IQM224" s="19" t="str">
        <f>IF(IQM220 = "", "", IFERROR(IQM220 / SUMIFS(Aux_Totales!$N:$N, Aux_Totales!$F:$F, $F224, Aux_Totales!$A:$A,#REF!), 0))</f>
        <v/>
      </c>
      <c r="IQN224" s="19" t="str">
        <f>IF(IQN220 = "", "", IFERROR(IQN220 / SUMIFS(Aux_Totales!$N:$N, Aux_Totales!$F:$F, $F224, Aux_Totales!$A:$A,#REF!), 0))</f>
        <v/>
      </c>
      <c r="IQO224" s="19" t="str">
        <f>IF(IQO220 = "", "", IFERROR(IQO220 / SUMIFS(Aux_Totales!$N:$N, Aux_Totales!$F:$F, $F224, Aux_Totales!$A:$A,#REF!), 0))</f>
        <v/>
      </c>
      <c r="IQP224" s="19" t="str">
        <f>IF(IQP220 = "", "", IFERROR(IQP220 / SUMIFS(Aux_Totales!$N:$N, Aux_Totales!$F:$F, $F224, Aux_Totales!$A:$A,#REF!), 0))</f>
        <v/>
      </c>
      <c r="IQQ224" s="19" t="str">
        <f>IF(IQQ220 = "", "", IFERROR(IQQ220 / SUMIFS(Aux_Totales!$N:$N, Aux_Totales!$F:$F, $F224, Aux_Totales!$A:$A,#REF!), 0))</f>
        <v/>
      </c>
      <c r="IQR224" s="19" t="str">
        <f>IF(IQR220 = "", "", IFERROR(IQR220 / SUMIFS(Aux_Totales!$N:$N, Aux_Totales!$F:$F, $F224, Aux_Totales!$A:$A,#REF!), 0))</f>
        <v/>
      </c>
      <c r="IQS224" s="19" t="str">
        <f>IF(IQS220 = "", "", IFERROR(IQS220 / SUMIFS(Aux_Totales!$N:$N, Aux_Totales!$F:$F, $F224, Aux_Totales!$A:$A,#REF!), 0))</f>
        <v/>
      </c>
      <c r="IQT224" s="19" t="str">
        <f>IF(IQT220 = "", "", IFERROR(IQT220 / SUMIFS(Aux_Totales!$N:$N, Aux_Totales!$F:$F, $F224, Aux_Totales!$A:$A,#REF!), 0))</f>
        <v/>
      </c>
      <c r="IQU224" s="19" t="str">
        <f>IF(IQU220 = "", "", IFERROR(IQU220 / SUMIFS(Aux_Totales!$N:$N, Aux_Totales!$F:$F, $F224, Aux_Totales!$A:$A,#REF!), 0))</f>
        <v/>
      </c>
      <c r="IQV224" s="19" t="str">
        <f>IF(IQV220 = "", "", IFERROR(IQV220 / SUMIFS(Aux_Totales!$N:$N, Aux_Totales!$F:$F, $F224, Aux_Totales!$A:$A,#REF!), 0))</f>
        <v/>
      </c>
      <c r="IQW224" s="19" t="str">
        <f>IF(IQW220 = "", "", IFERROR(IQW220 / SUMIFS(Aux_Totales!$N:$N, Aux_Totales!$F:$F, $F224, Aux_Totales!$A:$A,#REF!), 0))</f>
        <v/>
      </c>
      <c r="IQX224" s="19" t="str">
        <f>IF(IQX220 = "", "", IFERROR(IQX220 / SUMIFS(Aux_Totales!$N:$N, Aux_Totales!$F:$F, $F224, Aux_Totales!$A:$A,#REF!), 0))</f>
        <v/>
      </c>
      <c r="IQY224" s="19" t="str">
        <f>IF(IQY220 = "", "", IFERROR(IQY220 / SUMIFS(Aux_Totales!$N:$N, Aux_Totales!$F:$F, $F224, Aux_Totales!$A:$A,#REF!), 0))</f>
        <v/>
      </c>
      <c r="IQZ224" s="19" t="str">
        <f>IF(IQZ220 = "", "", IFERROR(IQZ220 / SUMIFS(Aux_Totales!$N:$N, Aux_Totales!$F:$F, $F224, Aux_Totales!$A:$A,#REF!), 0))</f>
        <v/>
      </c>
      <c r="IRA224" s="19" t="str">
        <f>IF(IRA220 = "", "", IFERROR(IRA220 / SUMIFS(Aux_Totales!$N:$N, Aux_Totales!$F:$F, $F224, Aux_Totales!$A:$A,#REF!), 0))</f>
        <v/>
      </c>
      <c r="IRB224" s="19" t="str">
        <f>IF(IRB220 = "", "", IFERROR(IRB220 / SUMIFS(Aux_Totales!$N:$N, Aux_Totales!$F:$F, $F224, Aux_Totales!$A:$A,#REF!), 0))</f>
        <v/>
      </c>
      <c r="IRC224" s="19" t="str">
        <f>IF(IRC220 = "", "", IFERROR(IRC220 / SUMIFS(Aux_Totales!$N:$N, Aux_Totales!$F:$F, $F224, Aux_Totales!$A:$A,#REF!), 0))</f>
        <v/>
      </c>
      <c r="IRD224" s="19" t="str">
        <f>IF(IRD220 = "", "", IFERROR(IRD220 / SUMIFS(Aux_Totales!$N:$N, Aux_Totales!$F:$F, $F224, Aux_Totales!$A:$A,#REF!), 0))</f>
        <v/>
      </c>
      <c r="IRE224" s="19" t="str">
        <f>IF(IRE220 = "", "", IFERROR(IRE220 / SUMIFS(Aux_Totales!$N:$N, Aux_Totales!$F:$F, $F224, Aux_Totales!$A:$A,#REF!), 0))</f>
        <v/>
      </c>
      <c r="IRF224" s="19" t="str">
        <f>IF(IRF220 = "", "", IFERROR(IRF220 / SUMIFS(Aux_Totales!$N:$N, Aux_Totales!$F:$F, $F224, Aux_Totales!$A:$A,#REF!), 0))</f>
        <v/>
      </c>
      <c r="IRG224" s="19" t="str">
        <f>IF(IRG220 = "", "", IFERROR(IRG220 / SUMIFS(Aux_Totales!$N:$N, Aux_Totales!$F:$F, $F224, Aux_Totales!$A:$A,#REF!), 0))</f>
        <v/>
      </c>
      <c r="IRH224" s="19" t="str">
        <f>IF(IRH220 = "", "", IFERROR(IRH220 / SUMIFS(Aux_Totales!$N:$N, Aux_Totales!$F:$F, $F224, Aux_Totales!$A:$A,#REF!), 0))</f>
        <v/>
      </c>
      <c r="IRI224" s="19" t="str">
        <f>IF(IRI220 = "", "", IFERROR(IRI220 / SUMIFS(Aux_Totales!$N:$N, Aux_Totales!$F:$F, $F224, Aux_Totales!$A:$A,#REF!), 0))</f>
        <v/>
      </c>
      <c r="IRJ224" s="19" t="str">
        <f>IF(IRJ220 = "", "", IFERROR(IRJ220 / SUMIFS(Aux_Totales!$N:$N, Aux_Totales!$F:$F, $F224, Aux_Totales!$A:$A,#REF!), 0))</f>
        <v/>
      </c>
      <c r="IRK224" s="19" t="str">
        <f>IF(IRK220 = "", "", IFERROR(IRK220 / SUMIFS(Aux_Totales!$N:$N, Aux_Totales!$F:$F, $F224, Aux_Totales!$A:$A,#REF!), 0))</f>
        <v/>
      </c>
      <c r="IRL224" s="19" t="str">
        <f>IF(IRL220 = "", "", IFERROR(IRL220 / SUMIFS(Aux_Totales!$N:$N, Aux_Totales!$F:$F, $F224, Aux_Totales!$A:$A,#REF!), 0))</f>
        <v/>
      </c>
      <c r="IRM224" s="19" t="str">
        <f>IF(IRM220 = "", "", IFERROR(IRM220 / SUMIFS(Aux_Totales!$N:$N, Aux_Totales!$F:$F, $F224, Aux_Totales!$A:$A,#REF!), 0))</f>
        <v/>
      </c>
      <c r="IRN224" s="19" t="str">
        <f>IF(IRN220 = "", "", IFERROR(IRN220 / SUMIFS(Aux_Totales!$N:$N, Aux_Totales!$F:$F, $F224, Aux_Totales!$A:$A,#REF!), 0))</f>
        <v/>
      </c>
      <c r="IRO224" s="19" t="str">
        <f>IF(IRO220 = "", "", IFERROR(IRO220 / SUMIFS(Aux_Totales!$N:$N, Aux_Totales!$F:$F, $F224, Aux_Totales!$A:$A,#REF!), 0))</f>
        <v/>
      </c>
      <c r="IRP224" s="19" t="str">
        <f>IF(IRP220 = "", "", IFERROR(IRP220 / SUMIFS(Aux_Totales!$N:$N, Aux_Totales!$F:$F, $F224, Aux_Totales!$A:$A,#REF!), 0))</f>
        <v/>
      </c>
      <c r="IRQ224" s="19" t="str">
        <f>IF(IRQ220 = "", "", IFERROR(IRQ220 / SUMIFS(Aux_Totales!$N:$N, Aux_Totales!$F:$F, $F224, Aux_Totales!$A:$A,#REF!), 0))</f>
        <v/>
      </c>
      <c r="IRR224" s="19" t="str">
        <f>IF(IRR220 = "", "", IFERROR(IRR220 / SUMIFS(Aux_Totales!$N:$N, Aux_Totales!$F:$F, $F224, Aux_Totales!$A:$A,#REF!), 0))</f>
        <v/>
      </c>
      <c r="IRS224" s="19" t="str">
        <f>IF(IRS220 = "", "", IFERROR(IRS220 / SUMIFS(Aux_Totales!$N:$N, Aux_Totales!$F:$F, $F224, Aux_Totales!$A:$A,#REF!), 0))</f>
        <v/>
      </c>
      <c r="IRT224" s="19" t="str">
        <f>IF(IRT220 = "", "", IFERROR(IRT220 / SUMIFS(Aux_Totales!$N:$N, Aux_Totales!$F:$F, $F224, Aux_Totales!$A:$A,#REF!), 0))</f>
        <v/>
      </c>
      <c r="IRU224" s="19" t="str">
        <f>IF(IRU220 = "", "", IFERROR(IRU220 / SUMIFS(Aux_Totales!$N:$N, Aux_Totales!$F:$F, $F224, Aux_Totales!$A:$A,#REF!), 0))</f>
        <v/>
      </c>
      <c r="IRV224" s="19" t="str">
        <f>IF(IRV220 = "", "", IFERROR(IRV220 / SUMIFS(Aux_Totales!$N:$N, Aux_Totales!$F:$F, $F224, Aux_Totales!$A:$A,#REF!), 0))</f>
        <v/>
      </c>
      <c r="IRW224" s="19" t="str">
        <f>IF(IRW220 = "", "", IFERROR(IRW220 / SUMIFS(Aux_Totales!$N:$N, Aux_Totales!$F:$F, $F224, Aux_Totales!$A:$A,#REF!), 0))</f>
        <v/>
      </c>
      <c r="IRX224" s="19" t="str">
        <f>IF(IRX220 = "", "", IFERROR(IRX220 / SUMIFS(Aux_Totales!$N:$N, Aux_Totales!$F:$F, $F224, Aux_Totales!$A:$A,#REF!), 0))</f>
        <v/>
      </c>
      <c r="IRY224" s="19" t="str">
        <f>IF(IRY220 = "", "", IFERROR(IRY220 / SUMIFS(Aux_Totales!$N:$N, Aux_Totales!$F:$F, $F224, Aux_Totales!$A:$A,#REF!), 0))</f>
        <v/>
      </c>
      <c r="IRZ224" s="19" t="str">
        <f>IF(IRZ220 = "", "", IFERROR(IRZ220 / SUMIFS(Aux_Totales!$N:$N, Aux_Totales!$F:$F, $F224, Aux_Totales!$A:$A,#REF!), 0))</f>
        <v/>
      </c>
      <c r="ISA224" s="19" t="str">
        <f>IF(ISA220 = "", "", IFERROR(ISA220 / SUMIFS(Aux_Totales!$N:$N, Aux_Totales!$F:$F, $F224, Aux_Totales!$A:$A,#REF!), 0))</f>
        <v/>
      </c>
      <c r="ISB224" s="19" t="str">
        <f>IF(ISB220 = "", "", IFERROR(ISB220 / SUMIFS(Aux_Totales!$N:$N, Aux_Totales!$F:$F, $F224, Aux_Totales!$A:$A,#REF!), 0))</f>
        <v/>
      </c>
      <c r="ISC224" s="19" t="str">
        <f>IF(ISC220 = "", "", IFERROR(ISC220 / SUMIFS(Aux_Totales!$N:$N, Aux_Totales!$F:$F, $F224, Aux_Totales!$A:$A,#REF!), 0))</f>
        <v/>
      </c>
      <c r="ISD224" s="19" t="str">
        <f>IF(ISD220 = "", "", IFERROR(ISD220 / SUMIFS(Aux_Totales!$N:$N, Aux_Totales!$F:$F, $F224, Aux_Totales!$A:$A,#REF!), 0))</f>
        <v/>
      </c>
      <c r="ISE224" s="19" t="str">
        <f>IF(ISE220 = "", "", IFERROR(ISE220 / SUMIFS(Aux_Totales!$N:$N, Aux_Totales!$F:$F, $F224, Aux_Totales!$A:$A,#REF!), 0))</f>
        <v/>
      </c>
      <c r="ISF224" s="19" t="str">
        <f>IF(ISF220 = "", "", IFERROR(ISF220 / SUMIFS(Aux_Totales!$N:$N, Aux_Totales!$F:$F, $F224, Aux_Totales!$A:$A,#REF!), 0))</f>
        <v/>
      </c>
      <c r="ISG224" s="19" t="str">
        <f>IF(ISG220 = "", "", IFERROR(ISG220 / SUMIFS(Aux_Totales!$N:$N, Aux_Totales!$F:$F, $F224, Aux_Totales!$A:$A,#REF!), 0))</f>
        <v/>
      </c>
      <c r="ISH224" s="19" t="str">
        <f>IF(ISH220 = "", "", IFERROR(ISH220 / SUMIFS(Aux_Totales!$N:$N, Aux_Totales!$F:$F, $F224, Aux_Totales!$A:$A,#REF!), 0))</f>
        <v/>
      </c>
      <c r="ISI224" s="19" t="str">
        <f>IF(ISI220 = "", "", IFERROR(ISI220 / SUMIFS(Aux_Totales!$N:$N, Aux_Totales!$F:$F, $F224, Aux_Totales!$A:$A,#REF!), 0))</f>
        <v/>
      </c>
      <c r="ISJ224" s="19" t="str">
        <f>IF(ISJ220 = "", "", IFERROR(ISJ220 / SUMIFS(Aux_Totales!$N:$N, Aux_Totales!$F:$F, $F224, Aux_Totales!$A:$A,#REF!), 0))</f>
        <v/>
      </c>
      <c r="ISK224" s="19" t="str">
        <f>IF(ISK220 = "", "", IFERROR(ISK220 / SUMIFS(Aux_Totales!$N:$N, Aux_Totales!$F:$F, $F224, Aux_Totales!$A:$A,#REF!), 0))</f>
        <v/>
      </c>
      <c r="ISL224" s="19" t="str">
        <f>IF(ISL220 = "", "", IFERROR(ISL220 / SUMIFS(Aux_Totales!$N:$N, Aux_Totales!$F:$F, $F224, Aux_Totales!$A:$A,#REF!), 0))</f>
        <v/>
      </c>
      <c r="ISM224" s="19" t="str">
        <f>IF(ISM220 = "", "", IFERROR(ISM220 / SUMIFS(Aux_Totales!$N:$N, Aux_Totales!$F:$F, $F224, Aux_Totales!$A:$A,#REF!), 0))</f>
        <v/>
      </c>
      <c r="ISN224" s="19" t="str">
        <f>IF(ISN220 = "", "", IFERROR(ISN220 / SUMIFS(Aux_Totales!$N:$N, Aux_Totales!$F:$F, $F224, Aux_Totales!$A:$A,#REF!), 0))</f>
        <v/>
      </c>
      <c r="ISO224" s="19" t="str">
        <f>IF(ISO220 = "", "", IFERROR(ISO220 / SUMIFS(Aux_Totales!$N:$N, Aux_Totales!$F:$F, $F224, Aux_Totales!$A:$A,#REF!), 0))</f>
        <v/>
      </c>
      <c r="ISP224" s="19" t="str">
        <f>IF(ISP220 = "", "", IFERROR(ISP220 / SUMIFS(Aux_Totales!$N:$N, Aux_Totales!$F:$F, $F224, Aux_Totales!$A:$A,#REF!), 0))</f>
        <v/>
      </c>
      <c r="ISQ224" s="19" t="str">
        <f>IF(ISQ220 = "", "", IFERROR(ISQ220 / SUMIFS(Aux_Totales!$N:$N, Aux_Totales!$F:$F, $F224, Aux_Totales!$A:$A,#REF!), 0))</f>
        <v/>
      </c>
      <c r="ISR224" s="19" t="str">
        <f>IF(ISR220 = "", "", IFERROR(ISR220 / SUMIFS(Aux_Totales!$N:$N, Aux_Totales!$F:$F, $F224, Aux_Totales!$A:$A,#REF!), 0))</f>
        <v/>
      </c>
      <c r="ISS224" s="19" t="str">
        <f>IF(ISS220 = "", "", IFERROR(ISS220 / SUMIFS(Aux_Totales!$N:$N, Aux_Totales!$F:$F, $F224, Aux_Totales!$A:$A,#REF!), 0))</f>
        <v/>
      </c>
      <c r="IST224" s="19" t="str">
        <f>IF(IST220 = "", "", IFERROR(IST220 / SUMIFS(Aux_Totales!$N:$N, Aux_Totales!$F:$F, $F224, Aux_Totales!$A:$A,#REF!), 0))</f>
        <v/>
      </c>
      <c r="ISU224" s="19" t="str">
        <f>IF(ISU220 = "", "", IFERROR(ISU220 / SUMIFS(Aux_Totales!$N:$N, Aux_Totales!$F:$F, $F224, Aux_Totales!$A:$A,#REF!), 0))</f>
        <v/>
      </c>
      <c r="ISV224" s="19" t="str">
        <f>IF(ISV220 = "", "", IFERROR(ISV220 / SUMIFS(Aux_Totales!$N:$N, Aux_Totales!$F:$F, $F224, Aux_Totales!$A:$A,#REF!), 0))</f>
        <v/>
      </c>
      <c r="ISW224" s="19" t="str">
        <f>IF(ISW220 = "", "", IFERROR(ISW220 / SUMIFS(Aux_Totales!$N:$N, Aux_Totales!$F:$F, $F224, Aux_Totales!$A:$A,#REF!), 0))</f>
        <v/>
      </c>
      <c r="ISX224" s="19" t="str">
        <f>IF(ISX220 = "", "", IFERROR(ISX220 / SUMIFS(Aux_Totales!$N:$N, Aux_Totales!$F:$F, $F224, Aux_Totales!$A:$A,#REF!), 0))</f>
        <v/>
      </c>
      <c r="ISY224" s="19" t="str">
        <f>IF(ISY220 = "", "", IFERROR(ISY220 / SUMIFS(Aux_Totales!$N:$N, Aux_Totales!$F:$F, $F224, Aux_Totales!$A:$A,#REF!), 0))</f>
        <v/>
      </c>
      <c r="ISZ224" s="19" t="str">
        <f>IF(ISZ220 = "", "", IFERROR(ISZ220 / SUMIFS(Aux_Totales!$N:$N, Aux_Totales!$F:$F, $F224, Aux_Totales!$A:$A,#REF!), 0))</f>
        <v/>
      </c>
      <c r="ITA224" s="19" t="str">
        <f>IF(ITA220 = "", "", IFERROR(ITA220 / SUMIFS(Aux_Totales!$N:$N, Aux_Totales!$F:$F, $F224, Aux_Totales!$A:$A,#REF!), 0))</f>
        <v/>
      </c>
      <c r="ITB224" s="19" t="str">
        <f>IF(ITB220 = "", "", IFERROR(ITB220 / SUMIFS(Aux_Totales!$N:$N, Aux_Totales!$F:$F, $F224, Aux_Totales!$A:$A,#REF!), 0))</f>
        <v/>
      </c>
      <c r="ITC224" s="19" t="str">
        <f>IF(ITC220 = "", "", IFERROR(ITC220 / SUMIFS(Aux_Totales!$N:$N, Aux_Totales!$F:$F, $F224, Aux_Totales!$A:$A,#REF!), 0))</f>
        <v/>
      </c>
      <c r="ITD224" s="19" t="str">
        <f>IF(ITD220 = "", "", IFERROR(ITD220 / SUMIFS(Aux_Totales!$N:$N, Aux_Totales!$F:$F, $F224, Aux_Totales!$A:$A,#REF!), 0))</f>
        <v/>
      </c>
      <c r="ITE224" s="19" t="str">
        <f>IF(ITE220 = "", "", IFERROR(ITE220 / SUMIFS(Aux_Totales!$N:$N, Aux_Totales!$F:$F, $F224, Aux_Totales!$A:$A,#REF!), 0))</f>
        <v/>
      </c>
      <c r="ITF224" s="19" t="str">
        <f>IF(ITF220 = "", "", IFERROR(ITF220 / SUMIFS(Aux_Totales!$N:$N, Aux_Totales!$F:$F, $F224, Aux_Totales!$A:$A,#REF!), 0))</f>
        <v/>
      </c>
      <c r="ITG224" s="19" t="str">
        <f>IF(ITG220 = "", "", IFERROR(ITG220 / SUMIFS(Aux_Totales!$N:$N, Aux_Totales!$F:$F, $F224, Aux_Totales!$A:$A,#REF!), 0))</f>
        <v/>
      </c>
      <c r="ITH224" s="19" t="str">
        <f>IF(ITH220 = "", "", IFERROR(ITH220 / SUMIFS(Aux_Totales!$N:$N, Aux_Totales!$F:$F, $F224, Aux_Totales!$A:$A,#REF!), 0))</f>
        <v/>
      </c>
      <c r="ITI224" s="19" t="str">
        <f>IF(ITI220 = "", "", IFERROR(ITI220 / SUMIFS(Aux_Totales!$N:$N, Aux_Totales!$F:$F, $F224, Aux_Totales!$A:$A,#REF!), 0))</f>
        <v/>
      </c>
      <c r="ITJ224" s="19" t="str">
        <f>IF(ITJ220 = "", "", IFERROR(ITJ220 / SUMIFS(Aux_Totales!$N:$N, Aux_Totales!$F:$F, $F224, Aux_Totales!$A:$A,#REF!), 0))</f>
        <v/>
      </c>
      <c r="ITK224" s="19" t="str">
        <f>IF(ITK220 = "", "", IFERROR(ITK220 / SUMIFS(Aux_Totales!$N:$N, Aux_Totales!$F:$F, $F224, Aux_Totales!$A:$A,#REF!), 0))</f>
        <v/>
      </c>
      <c r="ITL224" s="19" t="str">
        <f>IF(ITL220 = "", "", IFERROR(ITL220 / SUMIFS(Aux_Totales!$N:$N, Aux_Totales!$F:$F, $F224, Aux_Totales!$A:$A,#REF!), 0))</f>
        <v/>
      </c>
      <c r="ITM224" s="19" t="str">
        <f>IF(ITM220 = "", "", IFERROR(ITM220 / SUMIFS(Aux_Totales!$N:$N, Aux_Totales!$F:$F, $F224, Aux_Totales!$A:$A,#REF!), 0))</f>
        <v/>
      </c>
      <c r="ITN224" s="19" t="str">
        <f>IF(ITN220 = "", "", IFERROR(ITN220 / SUMIFS(Aux_Totales!$N:$N, Aux_Totales!$F:$F, $F224, Aux_Totales!$A:$A,#REF!), 0))</f>
        <v/>
      </c>
      <c r="ITO224" s="19" t="str">
        <f>IF(ITO220 = "", "", IFERROR(ITO220 / SUMIFS(Aux_Totales!$N:$N, Aux_Totales!$F:$F, $F224, Aux_Totales!$A:$A,#REF!), 0))</f>
        <v/>
      </c>
      <c r="ITP224" s="19" t="str">
        <f>IF(ITP220 = "", "", IFERROR(ITP220 / SUMIFS(Aux_Totales!$N:$N, Aux_Totales!$F:$F, $F224, Aux_Totales!$A:$A,#REF!), 0))</f>
        <v/>
      </c>
      <c r="ITQ224" s="19" t="str">
        <f>IF(ITQ220 = "", "", IFERROR(ITQ220 / SUMIFS(Aux_Totales!$N:$N, Aux_Totales!$F:$F, $F224, Aux_Totales!$A:$A,#REF!), 0))</f>
        <v/>
      </c>
      <c r="ITR224" s="19" t="str">
        <f>IF(ITR220 = "", "", IFERROR(ITR220 / SUMIFS(Aux_Totales!$N:$N, Aux_Totales!$F:$F, $F224, Aux_Totales!$A:$A,#REF!), 0))</f>
        <v/>
      </c>
      <c r="ITS224" s="19" t="str">
        <f>IF(ITS220 = "", "", IFERROR(ITS220 / SUMIFS(Aux_Totales!$N:$N, Aux_Totales!$F:$F, $F224, Aux_Totales!$A:$A,#REF!), 0))</f>
        <v/>
      </c>
      <c r="ITT224" s="19" t="str">
        <f>IF(ITT220 = "", "", IFERROR(ITT220 / SUMIFS(Aux_Totales!$N:$N, Aux_Totales!$F:$F, $F224, Aux_Totales!$A:$A,#REF!), 0))</f>
        <v/>
      </c>
      <c r="ITU224" s="19" t="str">
        <f>IF(ITU220 = "", "", IFERROR(ITU220 / SUMIFS(Aux_Totales!$N:$N, Aux_Totales!$F:$F, $F224, Aux_Totales!$A:$A,#REF!), 0))</f>
        <v/>
      </c>
      <c r="ITV224" s="19" t="str">
        <f>IF(ITV220 = "", "", IFERROR(ITV220 / SUMIFS(Aux_Totales!$N:$N, Aux_Totales!$F:$F, $F224, Aux_Totales!$A:$A,#REF!), 0))</f>
        <v/>
      </c>
      <c r="ITW224" s="19" t="str">
        <f>IF(ITW220 = "", "", IFERROR(ITW220 / SUMIFS(Aux_Totales!$N:$N, Aux_Totales!$F:$F, $F224, Aux_Totales!$A:$A,#REF!), 0))</f>
        <v/>
      </c>
      <c r="ITX224" s="19" t="str">
        <f>IF(ITX220 = "", "", IFERROR(ITX220 / SUMIFS(Aux_Totales!$N:$N, Aux_Totales!$F:$F, $F224, Aux_Totales!$A:$A,#REF!), 0))</f>
        <v/>
      </c>
      <c r="ITY224" s="19" t="str">
        <f>IF(ITY220 = "", "", IFERROR(ITY220 / SUMIFS(Aux_Totales!$N:$N, Aux_Totales!$F:$F, $F224, Aux_Totales!$A:$A,#REF!), 0))</f>
        <v/>
      </c>
      <c r="ITZ224" s="19" t="str">
        <f>IF(ITZ220 = "", "", IFERROR(ITZ220 / SUMIFS(Aux_Totales!$N:$N, Aux_Totales!$F:$F, $F224, Aux_Totales!$A:$A,#REF!), 0))</f>
        <v/>
      </c>
      <c r="IUA224" s="19" t="str">
        <f>IF(IUA220 = "", "", IFERROR(IUA220 / SUMIFS(Aux_Totales!$N:$N, Aux_Totales!$F:$F, $F224, Aux_Totales!$A:$A,#REF!), 0))</f>
        <v/>
      </c>
      <c r="IUB224" s="19" t="str">
        <f>IF(IUB220 = "", "", IFERROR(IUB220 / SUMIFS(Aux_Totales!$N:$N, Aux_Totales!$F:$F, $F224, Aux_Totales!$A:$A,#REF!), 0))</f>
        <v/>
      </c>
      <c r="IUC224" s="19" t="str">
        <f>IF(IUC220 = "", "", IFERROR(IUC220 / SUMIFS(Aux_Totales!$N:$N, Aux_Totales!$F:$F, $F224, Aux_Totales!$A:$A,#REF!), 0))</f>
        <v/>
      </c>
      <c r="IUD224" s="19" t="str">
        <f>IF(IUD220 = "", "", IFERROR(IUD220 / SUMIFS(Aux_Totales!$N:$N, Aux_Totales!$F:$F, $F224, Aux_Totales!$A:$A,#REF!), 0))</f>
        <v/>
      </c>
      <c r="IUE224" s="19" t="str">
        <f>IF(IUE220 = "", "", IFERROR(IUE220 / SUMIFS(Aux_Totales!$N:$N, Aux_Totales!$F:$F, $F224, Aux_Totales!$A:$A,#REF!), 0))</f>
        <v/>
      </c>
      <c r="IUF224" s="19" t="str">
        <f>IF(IUF220 = "", "", IFERROR(IUF220 / SUMIFS(Aux_Totales!$N:$N, Aux_Totales!$F:$F, $F224, Aux_Totales!$A:$A,#REF!), 0))</f>
        <v/>
      </c>
      <c r="IUG224" s="19" t="str">
        <f>IF(IUG220 = "", "", IFERROR(IUG220 / SUMIFS(Aux_Totales!$N:$N, Aux_Totales!$F:$F, $F224, Aux_Totales!$A:$A,#REF!), 0))</f>
        <v/>
      </c>
      <c r="IUH224" s="19" t="str">
        <f>IF(IUH220 = "", "", IFERROR(IUH220 / SUMIFS(Aux_Totales!$N:$N, Aux_Totales!$F:$F, $F224, Aux_Totales!$A:$A,#REF!), 0))</f>
        <v/>
      </c>
      <c r="IUI224" s="19" t="str">
        <f>IF(IUI220 = "", "", IFERROR(IUI220 / SUMIFS(Aux_Totales!$N:$N, Aux_Totales!$F:$F, $F224, Aux_Totales!$A:$A,#REF!), 0))</f>
        <v/>
      </c>
      <c r="IUJ224" s="19" t="str">
        <f>IF(IUJ220 = "", "", IFERROR(IUJ220 / SUMIFS(Aux_Totales!$N:$N, Aux_Totales!$F:$F, $F224, Aux_Totales!$A:$A,#REF!), 0))</f>
        <v/>
      </c>
      <c r="IUK224" s="19" t="str">
        <f>IF(IUK220 = "", "", IFERROR(IUK220 / SUMIFS(Aux_Totales!$N:$N, Aux_Totales!$F:$F, $F224, Aux_Totales!$A:$A,#REF!), 0))</f>
        <v/>
      </c>
      <c r="IUL224" s="19" t="str">
        <f>IF(IUL220 = "", "", IFERROR(IUL220 / SUMIFS(Aux_Totales!$N:$N, Aux_Totales!$F:$F, $F224, Aux_Totales!$A:$A,#REF!), 0))</f>
        <v/>
      </c>
      <c r="IUM224" s="19" t="str">
        <f>IF(IUM220 = "", "", IFERROR(IUM220 / SUMIFS(Aux_Totales!$N:$N, Aux_Totales!$F:$F, $F224, Aux_Totales!$A:$A,#REF!), 0))</f>
        <v/>
      </c>
      <c r="IUN224" s="19" t="str">
        <f>IF(IUN220 = "", "", IFERROR(IUN220 / SUMIFS(Aux_Totales!$N:$N, Aux_Totales!$F:$F, $F224, Aux_Totales!$A:$A,#REF!), 0))</f>
        <v/>
      </c>
      <c r="IUO224" s="19" t="str">
        <f>IF(IUO220 = "", "", IFERROR(IUO220 / SUMIFS(Aux_Totales!$N:$N, Aux_Totales!$F:$F, $F224, Aux_Totales!$A:$A,#REF!), 0))</f>
        <v/>
      </c>
      <c r="IUP224" s="19" t="str">
        <f>IF(IUP220 = "", "", IFERROR(IUP220 / SUMIFS(Aux_Totales!$N:$N, Aux_Totales!$F:$F, $F224, Aux_Totales!$A:$A,#REF!), 0))</f>
        <v/>
      </c>
      <c r="IUQ224" s="19" t="str">
        <f>IF(IUQ220 = "", "", IFERROR(IUQ220 / SUMIFS(Aux_Totales!$N:$N, Aux_Totales!$F:$F, $F224, Aux_Totales!$A:$A,#REF!), 0))</f>
        <v/>
      </c>
      <c r="IUR224" s="19" t="str">
        <f>IF(IUR220 = "", "", IFERROR(IUR220 / SUMIFS(Aux_Totales!$N:$N, Aux_Totales!$F:$F, $F224, Aux_Totales!$A:$A,#REF!), 0))</f>
        <v/>
      </c>
      <c r="IUS224" s="19" t="str">
        <f>IF(IUS220 = "", "", IFERROR(IUS220 / SUMIFS(Aux_Totales!$N:$N, Aux_Totales!$F:$F, $F224, Aux_Totales!$A:$A,#REF!), 0))</f>
        <v/>
      </c>
      <c r="IUT224" s="19" t="str">
        <f>IF(IUT220 = "", "", IFERROR(IUT220 / SUMIFS(Aux_Totales!$N:$N, Aux_Totales!$F:$F, $F224, Aux_Totales!$A:$A,#REF!), 0))</f>
        <v/>
      </c>
      <c r="IUU224" s="19" t="str">
        <f>IF(IUU220 = "", "", IFERROR(IUU220 / SUMIFS(Aux_Totales!$N:$N, Aux_Totales!$F:$F, $F224, Aux_Totales!$A:$A,#REF!), 0))</f>
        <v/>
      </c>
      <c r="IUV224" s="19" t="str">
        <f>IF(IUV220 = "", "", IFERROR(IUV220 / SUMIFS(Aux_Totales!$N:$N, Aux_Totales!$F:$F, $F224, Aux_Totales!$A:$A,#REF!), 0))</f>
        <v/>
      </c>
      <c r="IUW224" s="19" t="str">
        <f>IF(IUW220 = "", "", IFERROR(IUW220 / SUMIFS(Aux_Totales!$N:$N, Aux_Totales!$F:$F, $F224, Aux_Totales!$A:$A,#REF!), 0))</f>
        <v/>
      </c>
      <c r="IUX224" s="19" t="str">
        <f>IF(IUX220 = "", "", IFERROR(IUX220 / SUMIFS(Aux_Totales!$N:$N, Aux_Totales!$F:$F, $F224, Aux_Totales!$A:$A,#REF!), 0))</f>
        <v/>
      </c>
      <c r="IUY224" s="19" t="str">
        <f>IF(IUY220 = "", "", IFERROR(IUY220 / SUMIFS(Aux_Totales!$N:$N, Aux_Totales!$F:$F, $F224, Aux_Totales!$A:$A,#REF!), 0))</f>
        <v/>
      </c>
      <c r="IUZ224" s="19" t="str">
        <f>IF(IUZ220 = "", "", IFERROR(IUZ220 / SUMIFS(Aux_Totales!$N:$N, Aux_Totales!$F:$F, $F224, Aux_Totales!$A:$A,#REF!), 0))</f>
        <v/>
      </c>
      <c r="IVA224" s="19" t="str">
        <f>IF(IVA220 = "", "", IFERROR(IVA220 / SUMIFS(Aux_Totales!$N:$N, Aux_Totales!$F:$F, $F224, Aux_Totales!$A:$A,#REF!), 0))</f>
        <v/>
      </c>
      <c r="IVB224" s="19" t="str">
        <f>IF(IVB220 = "", "", IFERROR(IVB220 / SUMIFS(Aux_Totales!$N:$N, Aux_Totales!$F:$F, $F224, Aux_Totales!$A:$A,#REF!), 0))</f>
        <v/>
      </c>
      <c r="IVC224" s="19" t="str">
        <f>IF(IVC220 = "", "", IFERROR(IVC220 / SUMIFS(Aux_Totales!$N:$N, Aux_Totales!$F:$F, $F224, Aux_Totales!$A:$A,#REF!), 0))</f>
        <v/>
      </c>
      <c r="IVD224" s="19" t="str">
        <f>IF(IVD220 = "", "", IFERROR(IVD220 / SUMIFS(Aux_Totales!$N:$N, Aux_Totales!$F:$F, $F224, Aux_Totales!$A:$A,#REF!), 0))</f>
        <v/>
      </c>
      <c r="IVE224" s="19" t="str">
        <f>IF(IVE220 = "", "", IFERROR(IVE220 / SUMIFS(Aux_Totales!$N:$N, Aux_Totales!$F:$F, $F224, Aux_Totales!$A:$A,#REF!), 0))</f>
        <v/>
      </c>
      <c r="IVF224" s="19" t="str">
        <f>IF(IVF220 = "", "", IFERROR(IVF220 / SUMIFS(Aux_Totales!$N:$N, Aux_Totales!$F:$F, $F224, Aux_Totales!$A:$A,#REF!), 0))</f>
        <v/>
      </c>
      <c r="IVG224" s="19" t="str">
        <f>IF(IVG220 = "", "", IFERROR(IVG220 / SUMIFS(Aux_Totales!$N:$N, Aux_Totales!$F:$F, $F224, Aux_Totales!$A:$A,#REF!), 0))</f>
        <v/>
      </c>
      <c r="IVH224" s="19" t="str">
        <f>IF(IVH220 = "", "", IFERROR(IVH220 / SUMIFS(Aux_Totales!$N:$N, Aux_Totales!$F:$F, $F224, Aux_Totales!$A:$A,#REF!), 0))</f>
        <v/>
      </c>
      <c r="IVI224" s="19" t="str">
        <f>IF(IVI220 = "", "", IFERROR(IVI220 / SUMIFS(Aux_Totales!$N:$N, Aux_Totales!$F:$F, $F224, Aux_Totales!$A:$A,#REF!), 0))</f>
        <v/>
      </c>
      <c r="IVJ224" s="19" t="str">
        <f>IF(IVJ220 = "", "", IFERROR(IVJ220 / SUMIFS(Aux_Totales!$N:$N, Aux_Totales!$F:$F, $F224, Aux_Totales!$A:$A,#REF!), 0))</f>
        <v/>
      </c>
      <c r="IVK224" s="19" t="str">
        <f>IF(IVK220 = "", "", IFERROR(IVK220 / SUMIFS(Aux_Totales!$N:$N, Aux_Totales!$F:$F, $F224, Aux_Totales!$A:$A,#REF!), 0))</f>
        <v/>
      </c>
      <c r="IVL224" s="19" t="str">
        <f>IF(IVL220 = "", "", IFERROR(IVL220 / SUMIFS(Aux_Totales!$N:$N, Aux_Totales!$F:$F, $F224, Aux_Totales!$A:$A,#REF!), 0))</f>
        <v/>
      </c>
      <c r="IVM224" s="19" t="str">
        <f>IF(IVM220 = "", "", IFERROR(IVM220 / SUMIFS(Aux_Totales!$N:$N, Aux_Totales!$F:$F, $F224, Aux_Totales!$A:$A,#REF!), 0))</f>
        <v/>
      </c>
      <c r="IVN224" s="19" t="str">
        <f>IF(IVN220 = "", "", IFERROR(IVN220 / SUMIFS(Aux_Totales!$N:$N, Aux_Totales!$F:$F, $F224, Aux_Totales!$A:$A,#REF!), 0))</f>
        <v/>
      </c>
      <c r="IVO224" s="19" t="str">
        <f>IF(IVO220 = "", "", IFERROR(IVO220 / SUMIFS(Aux_Totales!$N:$N, Aux_Totales!$F:$F, $F224, Aux_Totales!$A:$A,#REF!), 0))</f>
        <v/>
      </c>
      <c r="IVP224" s="19" t="str">
        <f>IF(IVP220 = "", "", IFERROR(IVP220 / SUMIFS(Aux_Totales!$N:$N, Aux_Totales!$F:$F, $F224, Aux_Totales!$A:$A,#REF!), 0))</f>
        <v/>
      </c>
      <c r="IVQ224" s="19" t="str">
        <f>IF(IVQ220 = "", "", IFERROR(IVQ220 / SUMIFS(Aux_Totales!$N:$N, Aux_Totales!$F:$F, $F224, Aux_Totales!$A:$A,#REF!), 0))</f>
        <v/>
      </c>
      <c r="IVR224" s="19" t="str">
        <f>IF(IVR220 = "", "", IFERROR(IVR220 / SUMIFS(Aux_Totales!$N:$N, Aux_Totales!$F:$F, $F224, Aux_Totales!$A:$A,#REF!), 0))</f>
        <v/>
      </c>
      <c r="IVS224" s="19" t="str">
        <f>IF(IVS220 = "", "", IFERROR(IVS220 / SUMIFS(Aux_Totales!$N:$N, Aux_Totales!$F:$F, $F224, Aux_Totales!$A:$A,#REF!), 0))</f>
        <v/>
      </c>
      <c r="IVT224" s="19" t="str">
        <f>IF(IVT220 = "", "", IFERROR(IVT220 / SUMIFS(Aux_Totales!$N:$N, Aux_Totales!$F:$F, $F224, Aux_Totales!$A:$A,#REF!), 0))</f>
        <v/>
      </c>
      <c r="IVU224" s="19" t="str">
        <f>IF(IVU220 = "", "", IFERROR(IVU220 / SUMIFS(Aux_Totales!$N:$N, Aux_Totales!$F:$F, $F224, Aux_Totales!$A:$A,#REF!), 0))</f>
        <v/>
      </c>
      <c r="IVV224" s="19" t="str">
        <f>IF(IVV220 = "", "", IFERROR(IVV220 / SUMIFS(Aux_Totales!$N:$N, Aux_Totales!$F:$F, $F224, Aux_Totales!$A:$A,#REF!), 0))</f>
        <v/>
      </c>
      <c r="IVW224" s="19" t="str">
        <f>IF(IVW220 = "", "", IFERROR(IVW220 / SUMIFS(Aux_Totales!$N:$N, Aux_Totales!$F:$F, $F224, Aux_Totales!$A:$A,#REF!), 0))</f>
        <v/>
      </c>
      <c r="IVX224" s="19" t="str">
        <f>IF(IVX220 = "", "", IFERROR(IVX220 / SUMIFS(Aux_Totales!$N:$N, Aux_Totales!$F:$F, $F224, Aux_Totales!$A:$A,#REF!), 0))</f>
        <v/>
      </c>
      <c r="IVY224" s="19" t="str">
        <f>IF(IVY220 = "", "", IFERROR(IVY220 / SUMIFS(Aux_Totales!$N:$N, Aux_Totales!$F:$F, $F224, Aux_Totales!$A:$A,#REF!), 0))</f>
        <v/>
      </c>
      <c r="IVZ224" s="19" t="str">
        <f>IF(IVZ220 = "", "", IFERROR(IVZ220 / SUMIFS(Aux_Totales!$N:$N, Aux_Totales!$F:$F, $F224, Aux_Totales!$A:$A,#REF!), 0))</f>
        <v/>
      </c>
      <c r="IWA224" s="19" t="str">
        <f>IF(IWA220 = "", "", IFERROR(IWA220 / SUMIFS(Aux_Totales!$N:$N, Aux_Totales!$F:$F, $F224, Aux_Totales!$A:$A,#REF!), 0))</f>
        <v/>
      </c>
      <c r="IWB224" s="19" t="str">
        <f>IF(IWB220 = "", "", IFERROR(IWB220 / SUMIFS(Aux_Totales!$N:$N, Aux_Totales!$F:$F, $F224, Aux_Totales!$A:$A,#REF!), 0))</f>
        <v/>
      </c>
      <c r="IWC224" s="19" t="str">
        <f>IF(IWC220 = "", "", IFERROR(IWC220 / SUMIFS(Aux_Totales!$N:$N, Aux_Totales!$F:$F, $F224, Aux_Totales!$A:$A,#REF!), 0))</f>
        <v/>
      </c>
      <c r="IWD224" s="19" t="str">
        <f>IF(IWD220 = "", "", IFERROR(IWD220 / SUMIFS(Aux_Totales!$N:$N, Aux_Totales!$F:$F, $F224, Aux_Totales!$A:$A,#REF!), 0))</f>
        <v/>
      </c>
      <c r="IWE224" s="19" t="str">
        <f>IF(IWE220 = "", "", IFERROR(IWE220 / SUMIFS(Aux_Totales!$N:$N, Aux_Totales!$F:$F, $F224, Aux_Totales!$A:$A,#REF!), 0))</f>
        <v/>
      </c>
      <c r="IWF224" s="19" t="str">
        <f>IF(IWF220 = "", "", IFERROR(IWF220 / SUMIFS(Aux_Totales!$N:$N, Aux_Totales!$F:$F, $F224, Aux_Totales!$A:$A,#REF!), 0))</f>
        <v/>
      </c>
      <c r="IWG224" s="19" t="str">
        <f>IF(IWG220 = "", "", IFERROR(IWG220 / SUMIFS(Aux_Totales!$N:$N, Aux_Totales!$F:$F, $F224, Aux_Totales!$A:$A,#REF!), 0))</f>
        <v/>
      </c>
      <c r="IWH224" s="19" t="str">
        <f>IF(IWH220 = "", "", IFERROR(IWH220 / SUMIFS(Aux_Totales!$N:$N, Aux_Totales!$F:$F, $F224, Aux_Totales!$A:$A,#REF!), 0))</f>
        <v/>
      </c>
      <c r="IWI224" s="19" t="str">
        <f>IF(IWI220 = "", "", IFERROR(IWI220 / SUMIFS(Aux_Totales!$N:$N, Aux_Totales!$F:$F, $F224, Aux_Totales!$A:$A,#REF!), 0))</f>
        <v/>
      </c>
      <c r="IWJ224" s="19" t="str">
        <f>IF(IWJ220 = "", "", IFERROR(IWJ220 / SUMIFS(Aux_Totales!$N:$N, Aux_Totales!$F:$F, $F224, Aux_Totales!$A:$A,#REF!), 0))</f>
        <v/>
      </c>
      <c r="IWK224" s="19" t="str">
        <f>IF(IWK220 = "", "", IFERROR(IWK220 / SUMIFS(Aux_Totales!$N:$N, Aux_Totales!$F:$F, $F224, Aux_Totales!$A:$A,#REF!), 0))</f>
        <v/>
      </c>
      <c r="IWL224" s="19" t="str">
        <f>IF(IWL220 = "", "", IFERROR(IWL220 / SUMIFS(Aux_Totales!$N:$N, Aux_Totales!$F:$F, $F224, Aux_Totales!$A:$A,#REF!), 0))</f>
        <v/>
      </c>
      <c r="IWM224" s="19" t="str">
        <f>IF(IWM220 = "", "", IFERROR(IWM220 / SUMIFS(Aux_Totales!$N:$N, Aux_Totales!$F:$F, $F224, Aux_Totales!$A:$A,#REF!), 0))</f>
        <v/>
      </c>
      <c r="IWN224" s="19" t="str">
        <f>IF(IWN220 = "", "", IFERROR(IWN220 / SUMIFS(Aux_Totales!$N:$N, Aux_Totales!$F:$F, $F224, Aux_Totales!$A:$A,#REF!), 0))</f>
        <v/>
      </c>
      <c r="IWO224" s="19" t="str">
        <f>IF(IWO220 = "", "", IFERROR(IWO220 / SUMIFS(Aux_Totales!$N:$N, Aux_Totales!$F:$F, $F224, Aux_Totales!$A:$A,#REF!), 0))</f>
        <v/>
      </c>
      <c r="IWP224" s="19" t="str">
        <f>IF(IWP220 = "", "", IFERROR(IWP220 / SUMIFS(Aux_Totales!$N:$N, Aux_Totales!$F:$F, $F224, Aux_Totales!$A:$A,#REF!), 0))</f>
        <v/>
      </c>
      <c r="IWQ224" s="19" t="str">
        <f>IF(IWQ220 = "", "", IFERROR(IWQ220 / SUMIFS(Aux_Totales!$N:$N, Aux_Totales!$F:$F, $F224, Aux_Totales!$A:$A,#REF!), 0))</f>
        <v/>
      </c>
      <c r="IWR224" s="19" t="str">
        <f>IF(IWR220 = "", "", IFERROR(IWR220 / SUMIFS(Aux_Totales!$N:$N, Aux_Totales!$F:$F, $F224, Aux_Totales!$A:$A,#REF!), 0))</f>
        <v/>
      </c>
      <c r="IWS224" s="19" t="str">
        <f>IF(IWS220 = "", "", IFERROR(IWS220 / SUMIFS(Aux_Totales!$N:$N, Aux_Totales!$F:$F, $F224, Aux_Totales!$A:$A,#REF!), 0))</f>
        <v/>
      </c>
      <c r="IWT224" s="19" t="str">
        <f>IF(IWT220 = "", "", IFERROR(IWT220 / SUMIFS(Aux_Totales!$N:$N, Aux_Totales!$F:$F, $F224, Aux_Totales!$A:$A,#REF!), 0))</f>
        <v/>
      </c>
      <c r="IWU224" s="19" t="str">
        <f>IF(IWU220 = "", "", IFERROR(IWU220 / SUMIFS(Aux_Totales!$N:$N, Aux_Totales!$F:$F, $F224, Aux_Totales!$A:$A,#REF!), 0))</f>
        <v/>
      </c>
      <c r="IWV224" s="19" t="str">
        <f>IF(IWV220 = "", "", IFERROR(IWV220 / SUMIFS(Aux_Totales!$N:$N, Aux_Totales!$F:$F, $F224, Aux_Totales!$A:$A,#REF!), 0))</f>
        <v/>
      </c>
      <c r="IWW224" s="19" t="str">
        <f>IF(IWW220 = "", "", IFERROR(IWW220 / SUMIFS(Aux_Totales!$N:$N, Aux_Totales!$F:$F, $F224, Aux_Totales!$A:$A,#REF!), 0))</f>
        <v/>
      </c>
      <c r="IWX224" s="19" t="str">
        <f>IF(IWX220 = "", "", IFERROR(IWX220 / SUMIFS(Aux_Totales!$N:$N, Aux_Totales!$F:$F, $F224, Aux_Totales!$A:$A,#REF!), 0))</f>
        <v/>
      </c>
      <c r="IWY224" s="19" t="str">
        <f>IF(IWY220 = "", "", IFERROR(IWY220 / SUMIFS(Aux_Totales!$N:$N, Aux_Totales!$F:$F, $F224, Aux_Totales!$A:$A,#REF!), 0))</f>
        <v/>
      </c>
      <c r="IWZ224" s="19" t="str">
        <f>IF(IWZ220 = "", "", IFERROR(IWZ220 / SUMIFS(Aux_Totales!$N:$N, Aux_Totales!$F:$F, $F224, Aux_Totales!$A:$A,#REF!), 0))</f>
        <v/>
      </c>
      <c r="IXA224" s="19" t="str">
        <f>IF(IXA220 = "", "", IFERROR(IXA220 / SUMIFS(Aux_Totales!$N:$N, Aux_Totales!$F:$F, $F224, Aux_Totales!$A:$A,#REF!), 0))</f>
        <v/>
      </c>
      <c r="IXB224" s="19" t="str">
        <f>IF(IXB220 = "", "", IFERROR(IXB220 / SUMIFS(Aux_Totales!$N:$N, Aux_Totales!$F:$F, $F224, Aux_Totales!$A:$A,#REF!), 0))</f>
        <v/>
      </c>
      <c r="IXC224" s="19" t="str">
        <f>IF(IXC220 = "", "", IFERROR(IXC220 / SUMIFS(Aux_Totales!$N:$N, Aux_Totales!$F:$F, $F224, Aux_Totales!$A:$A,#REF!), 0))</f>
        <v/>
      </c>
      <c r="IXD224" s="19" t="str">
        <f>IF(IXD220 = "", "", IFERROR(IXD220 / SUMIFS(Aux_Totales!$N:$N, Aux_Totales!$F:$F, $F224, Aux_Totales!$A:$A,#REF!), 0))</f>
        <v/>
      </c>
      <c r="IXE224" s="19" t="str">
        <f>IF(IXE220 = "", "", IFERROR(IXE220 / SUMIFS(Aux_Totales!$N:$N, Aux_Totales!$F:$F, $F224, Aux_Totales!$A:$A,#REF!), 0))</f>
        <v/>
      </c>
      <c r="IXF224" s="19" t="str">
        <f>IF(IXF220 = "", "", IFERROR(IXF220 / SUMIFS(Aux_Totales!$N:$N, Aux_Totales!$F:$F, $F224, Aux_Totales!$A:$A,#REF!), 0))</f>
        <v/>
      </c>
      <c r="IXG224" s="19" t="str">
        <f>IF(IXG220 = "", "", IFERROR(IXG220 / SUMIFS(Aux_Totales!$N:$N, Aux_Totales!$F:$F, $F224, Aux_Totales!$A:$A,#REF!), 0))</f>
        <v/>
      </c>
      <c r="IXH224" s="19" t="str">
        <f>IF(IXH220 = "", "", IFERROR(IXH220 / SUMIFS(Aux_Totales!$N:$N, Aux_Totales!$F:$F, $F224, Aux_Totales!$A:$A,#REF!), 0))</f>
        <v/>
      </c>
      <c r="IXI224" s="19" t="str">
        <f>IF(IXI220 = "", "", IFERROR(IXI220 / SUMIFS(Aux_Totales!$N:$N, Aux_Totales!$F:$F, $F224, Aux_Totales!$A:$A,#REF!), 0))</f>
        <v/>
      </c>
      <c r="IXJ224" s="19" t="str">
        <f>IF(IXJ220 = "", "", IFERROR(IXJ220 / SUMIFS(Aux_Totales!$N:$N, Aux_Totales!$F:$F, $F224, Aux_Totales!$A:$A,#REF!), 0))</f>
        <v/>
      </c>
      <c r="IXK224" s="19" t="str">
        <f>IF(IXK220 = "", "", IFERROR(IXK220 / SUMIFS(Aux_Totales!$N:$N, Aux_Totales!$F:$F, $F224, Aux_Totales!$A:$A,#REF!), 0))</f>
        <v/>
      </c>
      <c r="IXL224" s="19" t="str">
        <f>IF(IXL220 = "", "", IFERROR(IXL220 / SUMIFS(Aux_Totales!$N:$N, Aux_Totales!$F:$F, $F224, Aux_Totales!$A:$A,#REF!), 0))</f>
        <v/>
      </c>
      <c r="IXM224" s="19" t="str">
        <f>IF(IXM220 = "", "", IFERROR(IXM220 / SUMIFS(Aux_Totales!$N:$N, Aux_Totales!$F:$F, $F224, Aux_Totales!$A:$A,#REF!), 0))</f>
        <v/>
      </c>
      <c r="IXN224" s="19" t="str">
        <f>IF(IXN220 = "", "", IFERROR(IXN220 / SUMIFS(Aux_Totales!$N:$N, Aux_Totales!$F:$F, $F224, Aux_Totales!$A:$A,#REF!), 0))</f>
        <v/>
      </c>
      <c r="IXO224" s="19" t="str">
        <f>IF(IXO220 = "", "", IFERROR(IXO220 / SUMIFS(Aux_Totales!$N:$N, Aux_Totales!$F:$F, $F224, Aux_Totales!$A:$A,#REF!), 0))</f>
        <v/>
      </c>
      <c r="IXP224" s="19" t="str">
        <f>IF(IXP220 = "", "", IFERROR(IXP220 / SUMIFS(Aux_Totales!$N:$N, Aux_Totales!$F:$F, $F224, Aux_Totales!$A:$A,#REF!), 0))</f>
        <v/>
      </c>
      <c r="IXQ224" s="19" t="str">
        <f>IF(IXQ220 = "", "", IFERROR(IXQ220 / SUMIFS(Aux_Totales!$N:$N, Aux_Totales!$F:$F, $F224, Aux_Totales!$A:$A,#REF!), 0))</f>
        <v/>
      </c>
      <c r="IXR224" s="19" t="str">
        <f>IF(IXR220 = "", "", IFERROR(IXR220 / SUMIFS(Aux_Totales!$N:$N, Aux_Totales!$F:$F, $F224, Aux_Totales!$A:$A,#REF!), 0))</f>
        <v/>
      </c>
      <c r="IXS224" s="19" t="str">
        <f>IF(IXS220 = "", "", IFERROR(IXS220 / SUMIFS(Aux_Totales!$N:$N, Aux_Totales!$F:$F, $F224, Aux_Totales!$A:$A,#REF!), 0))</f>
        <v/>
      </c>
      <c r="IXT224" s="19" t="str">
        <f>IF(IXT220 = "", "", IFERROR(IXT220 / SUMIFS(Aux_Totales!$N:$N, Aux_Totales!$F:$F, $F224, Aux_Totales!$A:$A,#REF!), 0))</f>
        <v/>
      </c>
      <c r="IXU224" s="19" t="str">
        <f>IF(IXU220 = "", "", IFERROR(IXU220 / SUMIFS(Aux_Totales!$N:$N, Aux_Totales!$F:$F, $F224, Aux_Totales!$A:$A,#REF!), 0))</f>
        <v/>
      </c>
      <c r="IXV224" s="19" t="str">
        <f>IF(IXV220 = "", "", IFERROR(IXV220 / SUMIFS(Aux_Totales!$N:$N, Aux_Totales!$F:$F, $F224, Aux_Totales!$A:$A,#REF!), 0))</f>
        <v/>
      </c>
      <c r="IXW224" s="19" t="str">
        <f>IF(IXW220 = "", "", IFERROR(IXW220 / SUMIFS(Aux_Totales!$N:$N, Aux_Totales!$F:$F, $F224, Aux_Totales!$A:$A,#REF!), 0))</f>
        <v/>
      </c>
      <c r="IXX224" s="19" t="str">
        <f>IF(IXX220 = "", "", IFERROR(IXX220 / SUMIFS(Aux_Totales!$N:$N, Aux_Totales!$F:$F, $F224, Aux_Totales!$A:$A,#REF!), 0))</f>
        <v/>
      </c>
      <c r="IXY224" s="19" t="str">
        <f>IF(IXY220 = "", "", IFERROR(IXY220 / SUMIFS(Aux_Totales!$N:$N, Aux_Totales!$F:$F, $F224, Aux_Totales!$A:$A,#REF!), 0))</f>
        <v/>
      </c>
      <c r="IXZ224" s="19" t="str">
        <f>IF(IXZ220 = "", "", IFERROR(IXZ220 / SUMIFS(Aux_Totales!$N:$N, Aux_Totales!$F:$F, $F224, Aux_Totales!$A:$A,#REF!), 0))</f>
        <v/>
      </c>
      <c r="IYA224" s="19" t="str">
        <f>IF(IYA220 = "", "", IFERROR(IYA220 / SUMIFS(Aux_Totales!$N:$N, Aux_Totales!$F:$F, $F224, Aux_Totales!$A:$A,#REF!), 0))</f>
        <v/>
      </c>
      <c r="IYB224" s="19" t="str">
        <f>IF(IYB220 = "", "", IFERROR(IYB220 / SUMIFS(Aux_Totales!$N:$N, Aux_Totales!$F:$F, $F224, Aux_Totales!$A:$A,#REF!), 0))</f>
        <v/>
      </c>
      <c r="IYC224" s="19" t="str">
        <f>IF(IYC220 = "", "", IFERROR(IYC220 / SUMIFS(Aux_Totales!$N:$N, Aux_Totales!$F:$F, $F224, Aux_Totales!$A:$A,#REF!), 0))</f>
        <v/>
      </c>
      <c r="IYD224" s="19" t="str">
        <f>IF(IYD220 = "", "", IFERROR(IYD220 / SUMIFS(Aux_Totales!$N:$N, Aux_Totales!$F:$F, $F224, Aux_Totales!$A:$A,#REF!), 0))</f>
        <v/>
      </c>
      <c r="IYE224" s="19" t="str">
        <f>IF(IYE220 = "", "", IFERROR(IYE220 / SUMIFS(Aux_Totales!$N:$N, Aux_Totales!$F:$F, $F224, Aux_Totales!$A:$A,#REF!), 0))</f>
        <v/>
      </c>
      <c r="IYF224" s="19" t="str">
        <f>IF(IYF220 = "", "", IFERROR(IYF220 / SUMIFS(Aux_Totales!$N:$N, Aux_Totales!$F:$F, $F224, Aux_Totales!$A:$A,#REF!), 0))</f>
        <v/>
      </c>
      <c r="IYG224" s="19" t="str">
        <f>IF(IYG220 = "", "", IFERROR(IYG220 / SUMIFS(Aux_Totales!$N:$N, Aux_Totales!$F:$F, $F224, Aux_Totales!$A:$A,#REF!), 0))</f>
        <v/>
      </c>
      <c r="IYH224" s="19" t="str">
        <f>IF(IYH220 = "", "", IFERROR(IYH220 / SUMIFS(Aux_Totales!$N:$N, Aux_Totales!$F:$F, $F224, Aux_Totales!$A:$A,#REF!), 0))</f>
        <v/>
      </c>
      <c r="IYI224" s="19" t="str">
        <f>IF(IYI220 = "", "", IFERROR(IYI220 / SUMIFS(Aux_Totales!$N:$N, Aux_Totales!$F:$F, $F224, Aux_Totales!$A:$A,#REF!), 0))</f>
        <v/>
      </c>
      <c r="IYJ224" s="19" t="str">
        <f>IF(IYJ220 = "", "", IFERROR(IYJ220 / SUMIFS(Aux_Totales!$N:$N, Aux_Totales!$F:$F, $F224, Aux_Totales!$A:$A,#REF!), 0))</f>
        <v/>
      </c>
      <c r="IYK224" s="19" t="str">
        <f>IF(IYK220 = "", "", IFERROR(IYK220 / SUMIFS(Aux_Totales!$N:$N, Aux_Totales!$F:$F, $F224, Aux_Totales!$A:$A,#REF!), 0))</f>
        <v/>
      </c>
      <c r="IYL224" s="19" t="str">
        <f>IF(IYL220 = "", "", IFERROR(IYL220 / SUMIFS(Aux_Totales!$N:$N, Aux_Totales!$F:$F, $F224, Aux_Totales!$A:$A,#REF!), 0))</f>
        <v/>
      </c>
      <c r="IYM224" s="19" t="str">
        <f>IF(IYM220 = "", "", IFERROR(IYM220 / SUMIFS(Aux_Totales!$N:$N, Aux_Totales!$F:$F, $F224, Aux_Totales!$A:$A,#REF!), 0))</f>
        <v/>
      </c>
      <c r="IYN224" s="19" t="str">
        <f>IF(IYN220 = "", "", IFERROR(IYN220 / SUMIFS(Aux_Totales!$N:$N, Aux_Totales!$F:$F, $F224, Aux_Totales!$A:$A,#REF!), 0))</f>
        <v/>
      </c>
      <c r="IYO224" s="19" t="str">
        <f>IF(IYO220 = "", "", IFERROR(IYO220 / SUMIFS(Aux_Totales!$N:$N, Aux_Totales!$F:$F, $F224, Aux_Totales!$A:$A,#REF!), 0))</f>
        <v/>
      </c>
      <c r="IYP224" s="19" t="str">
        <f>IF(IYP220 = "", "", IFERROR(IYP220 / SUMIFS(Aux_Totales!$N:$N, Aux_Totales!$F:$F, $F224, Aux_Totales!$A:$A,#REF!), 0))</f>
        <v/>
      </c>
      <c r="IYQ224" s="19" t="str">
        <f>IF(IYQ220 = "", "", IFERROR(IYQ220 / SUMIFS(Aux_Totales!$N:$N, Aux_Totales!$F:$F, $F224, Aux_Totales!$A:$A,#REF!), 0))</f>
        <v/>
      </c>
      <c r="IYR224" s="19" t="str">
        <f>IF(IYR220 = "", "", IFERROR(IYR220 / SUMIFS(Aux_Totales!$N:$N, Aux_Totales!$F:$F, $F224, Aux_Totales!$A:$A,#REF!), 0))</f>
        <v/>
      </c>
      <c r="IYS224" s="19" t="str">
        <f>IF(IYS220 = "", "", IFERROR(IYS220 / SUMIFS(Aux_Totales!$N:$N, Aux_Totales!$F:$F, $F224, Aux_Totales!$A:$A,#REF!), 0))</f>
        <v/>
      </c>
      <c r="IYT224" s="19" t="str">
        <f>IF(IYT220 = "", "", IFERROR(IYT220 / SUMIFS(Aux_Totales!$N:$N, Aux_Totales!$F:$F, $F224, Aux_Totales!$A:$A,#REF!), 0))</f>
        <v/>
      </c>
      <c r="IYU224" s="19" t="str">
        <f>IF(IYU220 = "", "", IFERROR(IYU220 / SUMIFS(Aux_Totales!$N:$N, Aux_Totales!$F:$F, $F224, Aux_Totales!$A:$A,#REF!), 0))</f>
        <v/>
      </c>
      <c r="IYV224" s="19" t="str">
        <f>IF(IYV220 = "", "", IFERROR(IYV220 / SUMIFS(Aux_Totales!$N:$N, Aux_Totales!$F:$F, $F224, Aux_Totales!$A:$A,#REF!), 0))</f>
        <v/>
      </c>
      <c r="IYW224" s="19" t="str">
        <f>IF(IYW220 = "", "", IFERROR(IYW220 / SUMIFS(Aux_Totales!$N:$N, Aux_Totales!$F:$F, $F224, Aux_Totales!$A:$A,#REF!), 0))</f>
        <v/>
      </c>
      <c r="IYX224" s="19" t="str">
        <f>IF(IYX220 = "", "", IFERROR(IYX220 / SUMIFS(Aux_Totales!$N:$N, Aux_Totales!$F:$F, $F224, Aux_Totales!$A:$A,#REF!), 0))</f>
        <v/>
      </c>
      <c r="IYY224" s="19" t="str">
        <f>IF(IYY220 = "", "", IFERROR(IYY220 / SUMIFS(Aux_Totales!$N:$N, Aux_Totales!$F:$F, $F224, Aux_Totales!$A:$A,#REF!), 0))</f>
        <v/>
      </c>
      <c r="IYZ224" s="19" t="str">
        <f>IF(IYZ220 = "", "", IFERROR(IYZ220 / SUMIFS(Aux_Totales!$N:$N, Aux_Totales!$F:$F, $F224, Aux_Totales!$A:$A,#REF!), 0))</f>
        <v/>
      </c>
      <c r="IZA224" s="19" t="str">
        <f>IF(IZA220 = "", "", IFERROR(IZA220 / SUMIFS(Aux_Totales!$N:$N, Aux_Totales!$F:$F, $F224, Aux_Totales!$A:$A,#REF!), 0))</f>
        <v/>
      </c>
      <c r="IZB224" s="19" t="str">
        <f>IF(IZB220 = "", "", IFERROR(IZB220 / SUMIFS(Aux_Totales!$N:$N, Aux_Totales!$F:$F, $F224, Aux_Totales!$A:$A,#REF!), 0))</f>
        <v/>
      </c>
      <c r="IZC224" s="19" t="str">
        <f>IF(IZC220 = "", "", IFERROR(IZC220 / SUMIFS(Aux_Totales!$N:$N, Aux_Totales!$F:$F, $F224, Aux_Totales!$A:$A,#REF!), 0))</f>
        <v/>
      </c>
      <c r="IZD224" s="19" t="str">
        <f>IF(IZD220 = "", "", IFERROR(IZD220 / SUMIFS(Aux_Totales!$N:$N, Aux_Totales!$F:$F, $F224, Aux_Totales!$A:$A,#REF!), 0))</f>
        <v/>
      </c>
      <c r="IZE224" s="19" t="str">
        <f>IF(IZE220 = "", "", IFERROR(IZE220 / SUMIFS(Aux_Totales!$N:$N, Aux_Totales!$F:$F, $F224, Aux_Totales!$A:$A,#REF!), 0))</f>
        <v/>
      </c>
      <c r="IZF224" s="19" t="str">
        <f>IF(IZF220 = "", "", IFERROR(IZF220 / SUMIFS(Aux_Totales!$N:$N, Aux_Totales!$F:$F, $F224, Aux_Totales!$A:$A,#REF!), 0))</f>
        <v/>
      </c>
      <c r="IZG224" s="19" t="str">
        <f>IF(IZG220 = "", "", IFERROR(IZG220 / SUMIFS(Aux_Totales!$N:$N, Aux_Totales!$F:$F, $F224, Aux_Totales!$A:$A,#REF!), 0))</f>
        <v/>
      </c>
      <c r="IZH224" s="19" t="str">
        <f>IF(IZH220 = "", "", IFERROR(IZH220 / SUMIFS(Aux_Totales!$N:$N, Aux_Totales!$F:$F, $F224, Aux_Totales!$A:$A,#REF!), 0))</f>
        <v/>
      </c>
      <c r="IZI224" s="19" t="str">
        <f>IF(IZI220 = "", "", IFERROR(IZI220 / SUMIFS(Aux_Totales!$N:$N, Aux_Totales!$F:$F, $F224, Aux_Totales!$A:$A,#REF!), 0))</f>
        <v/>
      </c>
      <c r="IZJ224" s="19" t="str">
        <f>IF(IZJ220 = "", "", IFERROR(IZJ220 / SUMIFS(Aux_Totales!$N:$N, Aux_Totales!$F:$F, $F224, Aux_Totales!$A:$A,#REF!), 0))</f>
        <v/>
      </c>
      <c r="IZK224" s="19" t="str">
        <f>IF(IZK220 = "", "", IFERROR(IZK220 / SUMIFS(Aux_Totales!$N:$N, Aux_Totales!$F:$F, $F224, Aux_Totales!$A:$A,#REF!), 0))</f>
        <v/>
      </c>
      <c r="IZL224" s="19" t="str">
        <f>IF(IZL220 = "", "", IFERROR(IZL220 / SUMIFS(Aux_Totales!$N:$N, Aux_Totales!$F:$F, $F224, Aux_Totales!$A:$A,#REF!), 0))</f>
        <v/>
      </c>
      <c r="IZM224" s="19" t="str">
        <f>IF(IZM220 = "", "", IFERROR(IZM220 / SUMIFS(Aux_Totales!$N:$N, Aux_Totales!$F:$F, $F224, Aux_Totales!$A:$A,#REF!), 0))</f>
        <v/>
      </c>
      <c r="IZN224" s="19" t="str">
        <f>IF(IZN220 = "", "", IFERROR(IZN220 / SUMIFS(Aux_Totales!$N:$N, Aux_Totales!$F:$F, $F224, Aux_Totales!$A:$A,#REF!), 0))</f>
        <v/>
      </c>
      <c r="IZO224" s="19" t="str">
        <f>IF(IZO220 = "", "", IFERROR(IZO220 / SUMIFS(Aux_Totales!$N:$N, Aux_Totales!$F:$F, $F224, Aux_Totales!$A:$A,#REF!), 0))</f>
        <v/>
      </c>
      <c r="IZP224" s="19" t="str">
        <f>IF(IZP220 = "", "", IFERROR(IZP220 / SUMIFS(Aux_Totales!$N:$N, Aux_Totales!$F:$F, $F224, Aux_Totales!$A:$A,#REF!), 0))</f>
        <v/>
      </c>
      <c r="IZQ224" s="19" t="str">
        <f>IF(IZQ220 = "", "", IFERROR(IZQ220 / SUMIFS(Aux_Totales!$N:$N, Aux_Totales!$F:$F, $F224, Aux_Totales!$A:$A,#REF!), 0))</f>
        <v/>
      </c>
      <c r="IZR224" s="19" t="str">
        <f>IF(IZR220 = "", "", IFERROR(IZR220 / SUMIFS(Aux_Totales!$N:$N, Aux_Totales!$F:$F, $F224, Aux_Totales!$A:$A,#REF!), 0))</f>
        <v/>
      </c>
      <c r="IZS224" s="19" t="str">
        <f>IF(IZS220 = "", "", IFERROR(IZS220 / SUMIFS(Aux_Totales!$N:$N, Aux_Totales!$F:$F, $F224, Aux_Totales!$A:$A,#REF!), 0))</f>
        <v/>
      </c>
      <c r="IZT224" s="19" t="str">
        <f>IF(IZT220 = "", "", IFERROR(IZT220 / SUMIFS(Aux_Totales!$N:$N, Aux_Totales!$F:$F, $F224, Aux_Totales!$A:$A,#REF!), 0))</f>
        <v/>
      </c>
      <c r="IZU224" s="19" t="str">
        <f>IF(IZU220 = "", "", IFERROR(IZU220 / SUMIFS(Aux_Totales!$N:$N, Aux_Totales!$F:$F, $F224, Aux_Totales!$A:$A,#REF!), 0))</f>
        <v/>
      </c>
      <c r="IZV224" s="19" t="str">
        <f>IF(IZV220 = "", "", IFERROR(IZV220 / SUMIFS(Aux_Totales!$N:$N, Aux_Totales!$F:$F, $F224, Aux_Totales!$A:$A,#REF!), 0))</f>
        <v/>
      </c>
      <c r="IZW224" s="19" t="str">
        <f>IF(IZW220 = "", "", IFERROR(IZW220 / SUMIFS(Aux_Totales!$N:$N, Aux_Totales!$F:$F, $F224, Aux_Totales!$A:$A,#REF!), 0))</f>
        <v/>
      </c>
      <c r="IZX224" s="19" t="str">
        <f>IF(IZX220 = "", "", IFERROR(IZX220 / SUMIFS(Aux_Totales!$N:$N, Aux_Totales!$F:$F, $F224, Aux_Totales!$A:$A,#REF!), 0))</f>
        <v/>
      </c>
      <c r="IZY224" s="19" t="str">
        <f>IF(IZY220 = "", "", IFERROR(IZY220 / SUMIFS(Aux_Totales!$N:$N, Aux_Totales!$F:$F, $F224, Aux_Totales!$A:$A,#REF!), 0))</f>
        <v/>
      </c>
      <c r="IZZ224" s="19" t="str">
        <f>IF(IZZ220 = "", "", IFERROR(IZZ220 / SUMIFS(Aux_Totales!$N:$N, Aux_Totales!$F:$F, $F224, Aux_Totales!$A:$A,#REF!), 0))</f>
        <v/>
      </c>
      <c r="JAA224" s="19" t="str">
        <f>IF(JAA220 = "", "", IFERROR(JAA220 / SUMIFS(Aux_Totales!$N:$N, Aux_Totales!$F:$F, $F224, Aux_Totales!$A:$A,#REF!), 0))</f>
        <v/>
      </c>
      <c r="JAB224" s="19" t="str">
        <f>IF(JAB220 = "", "", IFERROR(JAB220 / SUMIFS(Aux_Totales!$N:$N, Aux_Totales!$F:$F, $F224, Aux_Totales!$A:$A,#REF!), 0))</f>
        <v/>
      </c>
      <c r="JAC224" s="19" t="str">
        <f>IF(JAC220 = "", "", IFERROR(JAC220 / SUMIFS(Aux_Totales!$N:$N, Aux_Totales!$F:$F, $F224, Aux_Totales!$A:$A,#REF!), 0))</f>
        <v/>
      </c>
      <c r="JAD224" s="19" t="str">
        <f>IF(JAD220 = "", "", IFERROR(JAD220 / SUMIFS(Aux_Totales!$N:$N, Aux_Totales!$F:$F, $F224, Aux_Totales!$A:$A,#REF!), 0))</f>
        <v/>
      </c>
      <c r="JAE224" s="19" t="str">
        <f>IF(JAE220 = "", "", IFERROR(JAE220 / SUMIFS(Aux_Totales!$N:$N, Aux_Totales!$F:$F, $F224, Aux_Totales!$A:$A,#REF!), 0))</f>
        <v/>
      </c>
      <c r="JAF224" s="19" t="str">
        <f>IF(JAF220 = "", "", IFERROR(JAF220 / SUMIFS(Aux_Totales!$N:$N, Aux_Totales!$F:$F, $F224, Aux_Totales!$A:$A,#REF!), 0))</f>
        <v/>
      </c>
      <c r="JAG224" s="19" t="str">
        <f>IF(JAG220 = "", "", IFERROR(JAG220 / SUMIFS(Aux_Totales!$N:$N, Aux_Totales!$F:$F, $F224, Aux_Totales!$A:$A,#REF!), 0))</f>
        <v/>
      </c>
      <c r="JAH224" s="19" t="str">
        <f>IF(JAH220 = "", "", IFERROR(JAH220 / SUMIFS(Aux_Totales!$N:$N, Aux_Totales!$F:$F, $F224, Aux_Totales!$A:$A,#REF!), 0))</f>
        <v/>
      </c>
      <c r="JAI224" s="19" t="str">
        <f>IF(JAI220 = "", "", IFERROR(JAI220 / SUMIFS(Aux_Totales!$N:$N, Aux_Totales!$F:$F, $F224, Aux_Totales!$A:$A,#REF!), 0))</f>
        <v/>
      </c>
      <c r="JAJ224" s="19" t="str">
        <f>IF(JAJ220 = "", "", IFERROR(JAJ220 / SUMIFS(Aux_Totales!$N:$N, Aux_Totales!$F:$F, $F224, Aux_Totales!$A:$A,#REF!), 0))</f>
        <v/>
      </c>
      <c r="JAK224" s="19" t="str">
        <f>IF(JAK220 = "", "", IFERROR(JAK220 / SUMIFS(Aux_Totales!$N:$N, Aux_Totales!$F:$F, $F224, Aux_Totales!$A:$A,#REF!), 0))</f>
        <v/>
      </c>
      <c r="JAL224" s="19" t="str">
        <f>IF(JAL220 = "", "", IFERROR(JAL220 / SUMIFS(Aux_Totales!$N:$N, Aux_Totales!$F:$F, $F224, Aux_Totales!$A:$A,#REF!), 0))</f>
        <v/>
      </c>
      <c r="JAM224" s="19" t="str">
        <f>IF(JAM220 = "", "", IFERROR(JAM220 / SUMIFS(Aux_Totales!$N:$N, Aux_Totales!$F:$F, $F224, Aux_Totales!$A:$A,#REF!), 0))</f>
        <v/>
      </c>
      <c r="JAN224" s="19" t="str">
        <f>IF(JAN220 = "", "", IFERROR(JAN220 / SUMIFS(Aux_Totales!$N:$N, Aux_Totales!$F:$F, $F224, Aux_Totales!$A:$A,#REF!), 0))</f>
        <v/>
      </c>
      <c r="JAO224" s="19" t="str">
        <f>IF(JAO220 = "", "", IFERROR(JAO220 / SUMIFS(Aux_Totales!$N:$N, Aux_Totales!$F:$F, $F224, Aux_Totales!$A:$A,#REF!), 0))</f>
        <v/>
      </c>
      <c r="JAP224" s="19" t="str">
        <f>IF(JAP220 = "", "", IFERROR(JAP220 / SUMIFS(Aux_Totales!$N:$N, Aux_Totales!$F:$F, $F224, Aux_Totales!$A:$A,#REF!), 0))</f>
        <v/>
      </c>
      <c r="JAQ224" s="19" t="str">
        <f>IF(JAQ220 = "", "", IFERROR(JAQ220 / SUMIFS(Aux_Totales!$N:$N, Aux_Totales!$F:$F, $F224, Aux_Totales!$A:$A,#REF!), 0))</f>
        <v/>
      </c>
      <c r="JAR224" s="19" t="str">
        <f>IF(JAR220 = "", "", IFERROR(JAR220 / SUMIFS(Aux_Totales!$N:$N, Aux_Totales!$F:$F, $F224, Aux_Totales!$A:$A,#REF!), 0))</f>
        <v/>
      </c>
      <c r="JAS224" s="19" t="str">
        <f>IF(JAS220 = "", "", IFERROR(JAS220 / SUMIFS(Aux_Totales!$N:$N, Aux_Totales!$F:$F, $F224, Aux_Totales!$A:$A,#REF!), 0))</f>
        <v/>
      </c>
      <c r="JAT224" s="19" t="str">
        <f>IF(JAT220 = "", "", IFERROR(JAT220 / SUMIFS(Aux_Totales!$N:$N, Aux_Totales!$F:$F, $F224, Aux_Totales!$A:$A,#REF!), 0))</f>
        <v/>
      </c>
      <c r="JAU224" s="19" t="str">
        <f>IF(JAU220 = "", "", IFERROR(JAU220 / SUMIFS(Aux_Totales!$N:$N, Aux_Totales!$F:$F, $F224, Aux_Totales!$A:$A,#REF!), 0))</f>
        <v/>
      </c>
      <c r="JAV224" s="19" t="str">
        <f>IF(JAV220 = "", "", IFERROR(JAV220 / SUMIFS(Aux_Totales!$N:$N, Aux_Totales!$F:$F, $F224, Aux_Totales!$A:$A,#REF!), 0))</f>
        <v/>
      </c>
      <c r="JAW224" s="19" t="str">
        <f>IF(JAW220 = "", "", IFERROR(JAW220 / SUMIFS(Aux_Totales!$N:$N, Aux_Totales!$F:$F, $F224, Aux_Totales!$A:$A,#REF!), 0))</f>
        <v/>
      </c>
      <c r="JAX224" s="19" t="str">
        <f>IF(JAX220 = "", "", IFERROR(JAX220 / SUMIFS(Aux_Totales!$N:$N, Aux_Totales!$F:$F, $F224, Aux_Totales!$A:$A,#REF!), 0))</f>
        <v/>
      </c>
      <c r="JAY224" s="19" t="str">
        <f>IF(JAY220 = "", "", IFERROR(JAY220 / SUMIFS(Aux_Totales!$N:$N, Aux_Totales!$F:$F, $F224, Aux_Totales!$A:$A,#REF!), 0))</f>
        <v/>
      </c>
      <c r="JAZ224" s="19" t="str">
        <f>IF(JAZ220 = "", "", IFERROR(JAZ220 / SUMIFS(Aux_Totales!$N:$N, Aux_Totales!$F:$F, $F224, Aux_Totales!$A:$A,#REF!), 0))</f>
        <v/>
      </c>
      <c r="JBA224" s="19" t="str">
        <f>IF(JBA220 = "", "", IFERROR(JBA220 / SUMIFS(Aux_Totales!$N:$N, Aux_Totales!$F:$F, $F224, Aux_Totales!$A:$A,#REF!), 0))</f>
        <v/>
      </c>
      <c r="JBB224" s="19" t="str">
        <f>IF(JBB220 = "", "", IFERROR(JBB220 / SUMIFS(Aux_Totales!$N:$N, Aux_Totales!$F:$F, $F224, Aux_Totales!$A:$A,#REF!), 0))</f>
        <v/>
      </c>
      <c r="JBC224" s="19" t="str">
        <f>IF(JBC220 = "", "", IFERROR(JBC220 / SUMIFS(Aux_Totales!$N:$N, Aux_Totales!$F:$F, $F224, Aux_Totales!$A:$A,#REF!), 0))</f>
        <v/>
      </c>
      <c r="JBD224" s="19" t="str">
        <f>IF(JBD220 = "", "", IFERROR(JBD220 / SUMIFS(Aux_Totales!$N:$N, Aux_Totales!$F:$F, $F224, Aux_Totales!$A:$A,#REF!), 0))</f>
        <v/>
      </c>
      <c r="JBE224" s="19" t="str">
        <f>IF(JBE220 = "", "", IFERROR(JBE220 / SUMIFS(Aux_Totales!$N:$N, Aux_Totales!$F:$F, $F224, Aux_Totales!$A:$A,#REF!), 0))</f>
        <v/>
      </c>
      <c r="JBF224" s="19" t="str">
        <f>IF(JBF220 = "", "", IFERROR(JBF220 / SUMIFS(Aux_Totales!$N:$N, Aux_Totales!$F:$F, $F224, Aux_Totales!$A:$A,#REF!), 0))</f>
        <v/>
      </c>
      <c r="JBG224" s="19" t="str">
        <f>IF(JBG220 = "", "", IFERROR(JBG220 / SUMIFS(Aux_Totales!$N:$N, Aux_Totales!$F:$F, $F224, Aux_Totales!$A:$A,#REF!), 0))</f>
        <v/>
      </c>
      <c r="JBH224" s="19" t="str">
        <f>IF(JBH220 = "", "", IFERROR(JBH220 / SUMIFS(Aux_Totales!$N:$N, Aux_Totales!$F:$F, $F224, Aux_Totales!$A:$A,#REF!), 0))</f>
        <v/>
      </c>
      <c r="JBI224" s="19" t="str">
        <f>IF(JBI220 = "", "", IFERROR(JBI220 / SUMIFS(Aux_Totales!$N:$N, Aux_Totales!$F:$F, $F224, Aux_Totales!$A:$A,#REF!), 0))</f>
        <v/>
      </c>
      <c r="JBJ224" s="19" t="str">
        <f>IF(JBJ220 = "", "", IFERROR(JBJ220 / SUMIFS(Aux_Totales!$N:$N, Aux_Totales!$F:$F, $F224, Aux_Totales!$A:$A,#REF!), 0))</f>
        <v/>
      </c>
      <c r="JBK224" s="19" t="str">
        <f>IF(JBK220 = "", "", IFERROR(JBK220 / SUMIFS(Aux_Totales!$N:$N, Aux_Totales!$F:$F, $F224, Aux_Totales!$A:$A,#REF!), 0))</f>
        <v/>
      </c>
      <c r="JBL224" s="19" t="str">
        <f>IF(JBL220 = "", "", IFERROR(JBL220 / SUMIFS(Aux_Totales!$N:$N, Aux_Totales!$F:$F, $F224, Aux_Totales!$A:$A,#REF!), 0))</f>
        <v/>
      </c>
      <c r="JBM224" s="19" t="str">
        <f>IF(JBM220 = "", "", IFERROR(JBM220 / SUMIFS(Aux_Totales!$N:$N, Aux_Totales!$F:$F, $F224, Aux_Totales!$A:$A,#REF!), 0))</f>
        <v/>
      </c>
      <c r="JBN224" s="19" t="str">
        <f>IF(JBN220 = "", "", IFERROR(JBN220 / SUMIFS(Aux_Totales!$N:$N, Aux_Totales!$F:$F, $F224, Aux_Totales!$A:$A,#REF!), 0))</f>
        <v/>
      </c>
      <c r="JBO224" s="19" t="str">
        <f>IF(JBO220 = "", "", IFERROR(JBO220 / SUMIFS(Aux_Totales!$N:$N, Aux_Totales!$F:$F, $F224, Aux_Totales!$A:$A,#REF!), 0))</f>
        <v/>
      </c>
      <c r="JBP224" s="19" t="str">
        <f>IF(JBP220 = "", "", IFERROR(JBP220 / SUMIFS(Aux_Totales!$N:$N, Aux_Totales!$F:$F, $F224, Aux_Totales!$A:$A,#REF!), 0))</f>
        <v/>
      </c>
      <c r="JBQ224" s="19" t="str">
        <f>IF(JBQ220 = "", "", IFERROR(JBQ220 / SUMIFS(Aux_Totales!$N:$N, Aux_Totales!$F:$F, $F224, Aux_Totales!$A:$A,#REF!), 0))</f>
        <v/>
      </c>
      <c r="JBR224" s="19" t="str">
        <f>IF(JBR220 = "", "", IFERROR(JBR220 / SUMIFS(Aux_Totales!$N:$N, Aux_Totales!$F:$F, $F224, Aux_Totales!$A:$A,#REF!), 0))</f>
        <v/>
      </c>
      <c r="JBS224" s="19" t="str">
        <f>IF(JBS220 = "", "", IFERROR(JBS220 / SUMIFS(Aux_Totales!$N:$N, Aux_Totales!$F:$F, $F224, Aux_Totales!$A:$A,#REF!), 0))</f>
        <v/>
      </c>
      <c r="JBT224" s="19" t="str">
        <f>IF(JBT220 = "", "", IFERROR(JBT220 / SUMIFS(Aux_Totales!$N:$N, Aux_Totales!$F:$F, $F224, Aux_Totales!$A:$A,#REF!), 0))</f>
        <v/>
      </c>
      <c r="JBU224" s="19" t="str">
        <f>IF(JBU220 = "", "", IFERROR(JBU220 / SUMIFS(Aux_Totales!$N:$N, Aux_Totales!$F:$F, $F224, Aux_Totales!$A:$A,#REF!), 0))</f>
        <v/>
      </c>
      <c r="JBV224" s="19" t="str">
        <f>IF(JBV220 = "", "", IFERROR(JBV220 / SUMIFS(Aux_Totales!$N:$N, Aux_Totales!$F:$F, $F224, Aux_Totales!$A:$A,#REF!), 0))</f>
        <v/>
      </c>
      <c r="JBW224" s="19" t="str">
        <f>IF(JBW220 = "", "", IFERROR(JBW220 / SUMIFS(Aux_Totales!$N:$N, Aux_Totales!$F:$F, $F224, Aux_Totales!$A:$A,#REF!), 0))</f>
        <v/>
      </c>
      <c r="JBX224" s="19" t="str">
        <f>IF(JBX220 = "", "", IFERROR(JBX220 / SUMIFS(Aux_Totales!$N:$N, Aux_Totales!$F:$F, $F224, Aux_Totales!$A:$A,#REF!), 0))</f>
        <v/>
      </c>
      <c r="JBY224" s="19" t="str">
        <f>IF(JBY220 = "", "", IFERROR(JBY220 / SUMIFS(Aux_Totales!$N:$N, Aux_Totales!$F:$F, $F224, Aux_Totales!$A:$A,#REF!), 0))</f>
        <v/>
      </c>
      <c r="JBZ224" s="19" t="str">
        <f>IF(JBZ220 = "", "", IFERROR(JBZ220 / SUMIFS(Aux_Totales!$N:$N, Aux_Totales!$F:$F, $F224, Aux_Totales!$A:$A,#REF!), 0))</f>
        <v/>
      </c>
      <c r="JCA224" s="19" t="str">
        <f>IF(JCA220 = "", "", IFERROR(JCA220 / SUMIFS(Aux_Totales!$N:$N, Aux_Totales!$F:$F, $F224, Aux_Totales!$A:$A,#REF!), 0))</f>
        <v/>
      </c>
      <c r="JCB224" s="19" t="str">
        <f>IF(JCB220 = "", "", IFERROR(JCB220 / SUMIFS(Aux_Totales!$N:$N, Aux_Totales!$F:$F, $F224, Aux_Totales!$A:$A,#REF!), 0))</f>
        <v/>
      </c>
      <c r="JCC224" s="19" t="str">
        <f>IF(JCC220 = "", "", IFERROR(JCC220 / SUMIFS(Aux_Totales!$N:$N, Aux_Totales!$F:$F, $F224, Aux_Totales!$A:$A,#REF!), 0))</f>
        <v/>
      </c>
      <c r="JCD224" s="19" t="str">
        <f>IF(JCD220 = "", "", IFERROR(JCD220 / SUMIFS(Aux_Totales!$N:$N, Aux_Totales!$F:$F, $F224, Aux_Totales!$A:$A,#REF!), 0))</f>
        <v/>
      </c>
      <c r="JCE224" s="19" t="str">
        <f>IF(JCE220 = "", "", IFERROR(JCE220 / SUMIFS(Aux_Totales!$N:$N, Aux_Totales!$F:$F, $F224, Aux_Totales!$A:$A,#REF!), 0))</f>
        <v/>
      </c>
      <c r="JCF224" s="19" t="str">
        <f>IF(JCF220 = "", "", IFERROR(JCF220 / SUMIFS(Aux_Totales!$N:$N, Aux_Totales!$F:$F, $F224, Aux_Totales!$A:$A,#REF!), 0))</f>
        <v/>
      </c>
      <c r="JCG224" s="19" t="str">
        <f>IF(JCG220 = "", "", IFERROR(JCG220 / SUMIFS(Aux_Totales!$N:$N, Aux_Totales!$F:$F, $F224, Aux_Totales!$A:$A,#REF!), 0))</f>
        <v/>
      </c>
      <c r="JCH224" s="19" t="str">
        <f>IF(JCH220 = "", "", IFERROR(JCH220 / SUMIFS(Aux_Totales!$N:$N, Aux_Totales!$F:$F, $F224, Aux_Totales!$A:$A,#REF!), 0))</f>
        <v/>
      </c>
      <c r="JCI224" s="19" t="str">
        <f>IF(JCI220 = "", "", IFERROR(JCI220 / SUMIFS(Aux_Totales!$N:$N, Aux_Totales!$F:$F, $F224, Aux_Totales!$A:$A,#REF!), 0))</f>
        <v/>
      </c>
      <c r="JCJ224" s="19" t="str">
        <f>IF(JCJ220 = "", "", IFERROR(JCJ220 / SUMIFS(Aux_Totales!$N:$N, Aux_Totales!$F:$F, $F224, Aux_Totales!$A:$A,#REF!), 0))</f>
        <v/>
      </c>
      <c r="JCK224" s="19" t="str">
        <f>IF(JCK220 = "", "", IFERROR(JCK220 / SUMIFS(Aux_Totales!$N:$N, Aux_Totales!$F:$F, $F224, Aux_Totales!$A:$A,#REF!), 0))</f>
        <v/>
      </c>
      <c r="JCL224" s="19" t="str">
        <f>IF(JCL220 = "", "", IFERROR(JCL220 / SUMIFS(Aux_Totales!$N:$N, Aux_Totales!$F:$F, $F224, Aux_Totales!$A:$A,#REF!), 0))</f>
        <v/>
      </c>
      <c r="JCM224" s="19" t="str">
        <f>IF(JCM220 = "", "", IFERROR(JCM220 / SUMIFS(Aux_Totales!$N:$N, Aux_Totales!$F:$F, $F224, Aux_Totales!$A:$A,#REF!), 0))</f>
        <v/>
      </c>
      <c r="JCN224" s="19" t="str">
        <f>IF(JCN220 = "", "", IFERROR(JCN220 / SUMIFS(Aux_Totales!$N:$N, Aux_Totales!$F:$F, $F224, Aux_Totales!$A:$A,#REF!), 0))</f>
        <v/>
      </c>
      <c r="JCO224" s="19" t="str">
        <f>IF(JCO220 = "", "", IFERROR(JCO220 / SUMIFS(Aux_Totales!$N:$N, Aux_Totales!$F:$F, $F224, Aux_Totales!$A:$A,#REF!), 0))</f>
        <v/>
      </c>
      <c r="JCP224" s="19" t="str">
        <f>IF(JCP220 = "", "", IFERROR(JCP220 / SUMIFS(Aux_Totales!$N:$N, Aux_Totales!$F:$F, $F224, Aux_Totales!$A:$A,#REF!), 0))</f>
        <v/>
      </c>
      <c r="JCQ224" s="19" t="str">
        <f>IF(JCQ220 = "", "", IFERROR(JCQ220 / SUMIFS(Aux_Totales!$N:$N, Aux_Totales!$F:$F, $F224, Aux_Totales!$A:$A,#REF!), 0))</f>
        <v/>
      </c>
      <c r="JCR224" s="19" t="str">
        <f>IF(JCR220 = "", "", IFERROR(JCR220 / SUMIFS(Aux_Totales!$N:$N, Aux_Totales!$F:$F, $F224, Aux_Totales!$A:$A,#REF!), 0))</f>
        <v/>
      </c>
      <c r="JCS224" s="19" t="str">
        <f>IF(JCS220 = "", "", IFERROR(JCS220 / SUMIFS(Aux_Totales!$N:$N, Aux_Totales!$F:$F, $F224, Aux_Totales!$A:$A,#REF!), 0))</f>
        <v/>
      </c>
      <c r="JCT224" s="19" t="str">
        <f>IF(JCT220 = "", "", IFERROR(JCT220 / SUMIFS(Aux_Totales!$N:$N, Aux_Totales!$F:$F, $F224, Aux_Totales!$A:$A,#REF!), 0))</f>
        <v/>
      </c>
      <c r="JCU224" s="19" t="str">
        <f>IF(JCU220 = "", "", IFERROR(JCU220 / SUMIFS(Aux_Totales!$N:$N, Aux_Totales!$F:$F, $F224, Aux_Totales!$A:$A,#REF!), 0))</f>
        <v/>
      </c>
      <c r="JCV224" s="19" t="str">
        <f>IF(JCV220 = "", "", IFERROR(JCV220 / SUMIFS(Aux_Totales!$N:$N, Aux_Totales!$F:$F, $F224, Aux_Totales!$A:$A,#REF!), 0))</f>
        <v/>
      </c>
      <c r="JCW224" s="19" t="str">
        <f>IF(JCW220 = "", "", IFERROR(JCW220 / SUMIFS(Aux_Totales!$N:$N, Aux_Totales!$F:$F, $F224, Aux_Totales!$A:$A,#REF!), 0))</f>
        <v/>
      </c>
      <c r="JCX224" s="19" t="str">
        <f>IF(JCX220 = "", "", IFERROR(JCX220 / SUMIFS(Aux_Totales!$N:$N, Aux_Totales!$F:$F, $F224, Aux_Totales!$A:$A,#REF!), 0))</f>
        <v/>
      </c>
      <c r="JCY224" s="19" t="str">
        <f>IF(JCY220 = "", "", IFERROR(JCY220 / SUMIFS(Aux_Totales!$N:$N, Aux_Totales!$F:$F, $F224, Aux_Totales!$A:$A,#REF!), 0))</f>
        <v/>
      </c>
      <c r="JCZ224" s="19" t="str">
        <f>IF(JCZ220 = "", "", IFERROR(JCZ220 / SUMIFS(Aux_Totales!$N:$N, Aux_Totales!$F:$F, $F224, Aux_Totales!$A:$A,#REF!), 0))</f>
        <v/>
      </c>
      <c r="JDA224" s="19" t="str">
        <f>IF(JDA220 = "", "", IFERROR(JDA220 / SUMIFS(Aux_Totales!$N:$N, Aux_Totales!$F:$F, $F224, Aux_Totales!$A:$A,#REF!), 0))</f>
        <v/>
      </c>
      <c r="JDB224" s="19" t="str">
        <f>IF(JDB220 = "", "", IFERROR(JDB220 / SUMIFS(Aux_Totales!$N:$N, Aux_Totales!$F:$F, $F224, Aux_Totales!$A:$A,#REF!), 0))</f>
        <v/>
      </c>
      <c r="JDC224" s="19" t="str">
        <f>IF(JDC220 = "", "", IFERROR(JDC220 / SUMIFS(Aux_Totales!$N:$N, Aux_Totales!$F:$F, $F224, Aux_Totales!$A:$A,#REF!), 0))</f>
        <v/>
      </c>
      <c r="JDD224" s="19" t="str">
        <f>IF(JDD220 = "", "", IFERROR(JDD220 / SUMIFS(Aux_Totales!$N:$N, Aux_Totales!$F:$F, $F224, Aux_Totales!$A:$A,#REF!), 0))</f>
        <v/>
      </c>
      <c r="JDE224" s="19" t="str">
        <f>IF(JDE220 = "", "", IFERROR(JDE220 / SUMIFS(Aux_Totales!$N:$N, Aux_Totales!$F:$F, $F224, Aux_Totales!$A:$A,#REF!), 0))</f>
        <v/>
      </c>
      <c r="JDF224" s="19" t="str">
        <f>IF(JDF220 = "", "", IFERROR(JDF220 / SUMIFS(Aux_Totales!$N:$N, Aux_Totales!$F:$F, $F224, Aux_Totales!$A:$A,#REF!), 0))</f>
        <v/>
      </c>
      <c r="JDG224" s="19" t="str">
        <f>IF(JDG220 = "", "", IFERROR(JDG220 / SUMIFS(Aux_Totales!$N:$N, Aux_Totales!$F:$F, $F224, Aux_Totales!$A:$A,#REF!), 0))</f>
        <v/>
      </c>
      <c r="JDH224" s="19" t="str">
        <f>IF(JDH220 = "", "", IFERROR(JDH220 / SUMIFS(Aux_Totales!$N:$N, Aux_Totales!$F:$F, $F224, Aux_Totales!$A:$A,#REF!), 0))</f>
        <v/>
      </c>
      <c r="JDI224" s="19" t="str">
        <f>IF(JDI220 = "", "", IFERROR(JDI220 / SUMIFS(Aux_Totales!$N:$N, Aux_Totales!$F:$F, $F224, Aux_Totales!$A:$A,#REF!), 0))</f>
        <v/>
      </c>
      <c r="JDJ224" s="19" t="str">
        <f>IF(JDJ220 = "", "", IFERROR(JDJ220 / SUMIFS(Aux_Totales!$N:$N, Aux_Totales!$F:$F, $F224, Aux_Totales!$A:$A,#REF!), 0))</f>
        <v/>
      </c>
      <c r="JDK224" s="19" t="str">
        <f>IF(JDK220 = "", "", IFERROR(JDK220 / SUMIFS(Aux_Totales!$N:$N, Aux_Totales!$F:$F, $F224, Aux_Totales!$A:$A,#REF!), 0))</f>
        <v/>
      </c>
      <c r="JDL224" s="19" t="str">
        <f>IF(JDL220 = "", "", IFERROR(JDL220 / SUMIFS(Aux_Totales!$N:$N, Aux_Totales!$F:$F, $F224, Aux_Totales!$A:$A,#REF!), 0))</f>
        <v/>
      </c>
      <c r="JDM224" s="19" t="str">
        <f>IF(JDM220 = "", "", IFERROR(JDM220 / SUMIFS(Aux_Totales!$N:$N, Aux_Totales!$F:$F, $F224, Aux_Totales!$A:$A,#REF!), 0))</f>
        <v/>
      </c>
      <c r="JDN224" s="19" t="str">
        <f>IF(JDN220 = "", "", IFERROR(JDN220 / SUMIFS(Aux_Totales!$N:$N, Aux_Totales!$F:$F, $F224, Aux_Totales!$A:$A,#REF!), 0))</f>
        <v/>
      </c>
      <c r="JDO224" s="19" t="str">
        <f>IF(JDO220 = "", "", IFERROR(JDO220 / SUMIFS(Aux_Totales!$N:$N, Aux_Totales!$F:$F, $F224, Aux_Totales!$A:$A,#REF!), 0))</f>
        <v/>
      </c>
      <c r="JDP224" s="19" t="str">
        <f>IF(JDP220 = "", "", IFERROR(JDP220 / SUMIFS(Aux_Totales!$N:$N, Aux_Totales!$F:$F, $F224, Aux_Totales!$A:$A,#REF!), 0))</f>
        <v/>
      </c>
      <c r="JDQ224" s="19" t="str">
        <f>IF(JDQ220 = "", "", IFERROR(JDQ220 / SUMIFS(Aux_Totales!$N:$N, Aux_Totales!$F:$F, $F224, Aux_Totales!$A:$A,#REF!), 0))</f>
        <v/>
      </c>
      <c r="JDR224" s="19" t="str">
        <f>IF(JDR220 = "", "", IFERROR(JDR220 / SUMIFS(Aux_Totales!$N:$N, Aux_Totales!$F:$F, $F224, Aux_Totales!$A:$A,#REF!), 0))</f>
        <v/>
      </c>
      <c r="JDS224" s="19" t="str">
        <f>IF(JDS220 = "", "", IFERROR(JDS220 / SUMIFS(Aux_Totales!$N:$N, Aux_Totales!$F:$F, $F224, Aux_Totales!$A:$A,#REF!), 0))</f>
        <v/>
      </c>
      <c r="JDT224" s="19" t="str">
        <f>IF(JDT220 = "", "", IFERROR(JDT220 / SUMIFS(Aux_Totales!$N:$N, Aux_Totales!$F:$F, $F224, Aux_Totales!$A:$A,#REF!), 0))</f>
        <v/>
      </c>
      <c r="JDU224" s="19" t="str">
        <f>IF(JDU220 = "", "", IFERROR(JDU220 / SUMIFS(Aux_Totales!$N:$N, Aux_Totales!$F:$F, $F224, Aux_Totales!$A:$A,#REF!), 0))</f>
        <v/>
      </c>
      <c r="JDV224" s="19" t="str">
        <f>IF(JDV220 = "", "", IFERROR(JDV220 / SUMIFS(Aux_Totales!$N:$N, Aux_Totales!$F:$F, $F224, Aux_Totales!$A:$A,#REF!), 0))</f>
        <v/>
      </c>
      <c r="JDW224" s="19" t="str">
        <f>IF(JDW220 = "", "", IFERROR(JDW220 / SUMIFS(Aux_Totales!$N:$N, Aux_Totales!$F:$F, $F224, Aux_Totales!$A:$A,#REF!), 0))</f>
        <v/>
      </c>
      <c r="JDX224" s="19" t="str">
        <f>IF(JDX220 = "", "", IFERROR(JDX220 / SUMIFS(Aux_Totales!$N:$N, Aux_Totales!$F:$F, $F224, Aux_Totales!$A:$A,#REF!), 0))</f>
        <v/>
      </c>
      <c r="JDY224" s="19" t="str">
        <f>IF(JDY220 = "", "", IFERROR(JDY220 / SUMIFS(Aux_Totales!$N:$N, Aux_Totales!$F:$F, $F224, Aux_Totales!$A:$A,#REF!), 0))</f>
        <v/>
      </c>
      <c r="JDZ224" s="19" t="str">
        <f>IF(JDZ220 = "", "", IFERROR(JDZ220 / SUMIFS(Aux_Totales!$N:$N, Aux_Totales!$F:$F, $F224, Aux_Totales!$A:$A,#REF!), 0))</f>
        <v/>
      </c>
      <c r="JEA224" s="19" t="str">
        <f>IF(JEA220 = "", "", IFERROR(JEA220 / SUMIFS(Aux_Totales!$N:$N, Aux_Totales!$F:$F, $F224, Aux_Totales!$A:$A,#REF!), 0))</f>
        <v/>
      </c>
      <c r="JEB224" s="19" t="str">
        <f>IF(JEB220 = "", "", IFERROR(JEB220 / SUMIFS(Aux_Totales!$N:$N, Aux_Totales!$F:$F, $F224, Aux_Totales!$A:$A,#REF!), 0))</f>
        <v/>
      </c>
      <c r="JEC224" s="19" t="str">
        <f>IF(JEC220 = "", "", IFERROR(JEC220 / SUMIFS(Aux_Totales!$N:$N, Aux_Totales!$F:$F, $F224, Aux_Totales!$A:$A,#REF!), 0))</f>
        <v/>
      </c>
      <c r="JED224" s="19" t="str">
        <f>IF(JED220 = "", "", IFERROR(JED220 / SUMIFS(Aux_Totales!$N:$N, Aux_Totales!$F:$F, $F224, Aux_Totales!$A:$A,#REF!), 0))</f>
        <v/>
      </c>
      <c r="JEE224" s="19" t="str">
        <f>IF(JEE220 = "", "", IFERROR(JEE220 / SUMIFS(Aux_Totales!$N:$N, Aux_Totales!$F:$F, $F224, Aux_Totales!$A:$A,#REF!), 0))</f>
        <v/>
      </c>
      <c r="JEF224" s="19" t="str">
        <f>IF(JEF220 = "", "", IFERROR(JEF220 / SUMIFS(Aux_Totales!$N:$N, Aux_Totales!$F:$F, $F224, Aux_Totales!$A:$A,#REF!), 0))</f>
        <v/>
      </c>
      <c r="JEG224" s="19" t="str">
        <f>IF(JEG220 = "", "", IFERROR(JEG220 / SUMIFS(Aux_Totales!$N:$N, Aux_Totales!$F:$F, $F224, Aux_Totales!$A:$A,#REF!), 0))</f>
        <v/>
      </c>
      <c r="JEH224" s="19" t="str">
        <f>IF(JEH220 = "", "", IFERROR(JEH220 / SUMIFS(Aux_Totales!$N:$N, Aux_Totales!$F:$F, $F224, Aux_Totales!$A:$A,#REF!), 0))</f>
        <v/>
      </c>
      <c r="JEI224" s="19" t="str">
        <f>IF(JEI220 = "", "", IFERROR(JEI220 / SUMIFS(Aux_Totales!$N:$N, Aux_Totales!$F:$F, $F224, Aux_Totales!$A:$A,#REF!), 0))</f>
        <v/>
      </c>
      <c r="JEJ224" s="19" t="str">
        <f>IF(JEJ220 = "", "", IFERROR(JEJ220 / SUMIFS(Aux_Totales!$N:$N, Aux_Totales!$F:$F, $F224, Aux_Totales!$A:$A,#REF!), 0))</f>
        <v/>
      </c>
      <c r="JEK224" s="19" t="str">
        <f>IF(JEK220 = "", "", IFERROR(JEK220 / SUMIFS(Aux_Totales!$N:$N, Aux_Totales!$F:$F, $F224, Aux_Totales!$A:$A,#REF!), 0))</f>
        <v/>
      </c>
      <c r="JEL224" s="19" t="str">
        <f>IF(JEL220 = "", "", IFERROR(JEL220 / SUMIFS(Aux_Totales!$N:$N, Aux_Totales!$F:$F, $F224, Aux_Totales!$A:$A,#REF!), 0))</f>
        <v/>
      </c>
      <c r="JEM224" s="19" t="str">
        <f>IF(JEM220 = "", "", IFERROR(JEM220 / SUMIFS(Aux_Totales!$N:$N, Aux_Totales!$F:$F, $F224, Aux_Totales!$A:$A,#REF!), 0))</f>
        <v/>
      </c>
      <c r="JEN224" s="19" t="str">
        <f>IF(JEN220 = "", "", IFERROR(JEN220 / SUMIFS(Aux_Totales!$N:$N, Aux_Totales!$F:$F, $F224, Aux_Totales!$A:$A,#REF!), 0))</f>
        <v/>
      </c>
      <c r="JEO224" s="19" t="str">
        <f>IF(JEO220 = "", "", IFERROR(JEO220 / SUMIFS(Aux_Totales!$N:$N, Aux_Totales!$F:$F, $F224, Aux_Totales!$A:$A,#REF!), 0))</f>
        <v/>
      </c>
      <c r="JEP224" s="19" t="str">
        <f>IF(JEP220 = "", "", IFERROR(JEP220 / SUMIFS(Aux_Totales!$N:$N, Aux_Totales!$F:$F, $F224, Aux_Totales!$A:$A,#REF!), 0))</f>
        <v/>
      </c>
      <c r="JEQ224" s="19" t="str">
        <f>IF(JEQ220 = "", "", IFERROR(JEQ220 / SUMIFS(Aux_Totales!$N:$N, Aux_Totales!$F:$F, $F224, Aux_Totales!$A:$A,#REF!), 0))</f>
        <v/>
      </c>
      <c r="JER224" s="19" t="str">
        <f>IF(JER220 = "", "", IFERROR(JER220 / SUMIFS(Aux_Totales!$N:$N, Aux_Totales!$F:$F, $F224, Aux_Totales!$A:$A,#REF!), 0))</f>
        <v/>
      </c>
      <c r="JES224" s="19" t="str">
        <f>IF(JES220 = "", "", IFERROR(JES220 / SUMIFS(Aux_Totales!$N:$N, Aux_Totales!$F:$F, $F224, Aux_Totales!$A:$A,#REF!), 0))</f>
        <v/>
      </c>
      <c r="JET224" s="19" t="str">
        <f>IF(JET220 = "", "", IFERROR(JET220 / SUMIFS(Aux_Totales!$N:$N, Aux_Totales!$F:$F, $F224, Aux_Totales!$A:$A,#REF!), 0))</f>
        <v/>
      </c>
      <c r="JEU224" s="19" t="str">
        <f>IF(JEU220 = "", "", IFERROR(JEU220 / SUMIFS(Aux_Totales!$N:$N, Aux_Totales!$F:$F, $F224, Aux_Totales!$A:$A,#REF!), 0))</f>
        <v/>
      </c>
      <c r="JEV224" s="19" t="str">
        <f>IF(JEV220 = "", "", IFERROR(JEV220 / SUMIFS(Aux_Totales!$N:$N, Aux_Totales!$F:$F, $F224, Aux_Totales!$A:$A,#REF!), 0))</f>
        <v/>
      </c>
      <c r="JEW224" s="19" t="str">
        <f>IF(JEW220 = "", "", IFERROR(JEW220 / SUMIFS(Aux_Totales!$N:$N, Aux_Totales!$F:$F, $F224, Aux_Totales!$A:$A,#REF!), 0))</f>
        <v/>
      </c>
      <c r="JEX224" s="19" t="str">
        <f>IF(JEX220 = "", "", IFERROR(JEX220 / SUMIFS(Aux_Totales!$N:$N, Aux_Totales!$F:$F, $F224, Aux_Totales!$A:$A,#REF!), 0))</f>
        <v/>
      </c>
      <c r="JEY224" s="19" t="str">
        <f>IF(JEY220 = "", "", IFERROR(JEY220 / SUMIFS(Aux_Totales!$N:$N, Aux_Totales!$F:$F, $F224, Aux_Totales!$A:$A,#REF!), 0))</f>
        <v/>
      </c>
      <c r="JEZ224" s="19" t="str">
        <f>IF(JEZ220 = "", "", IFERROR(JEZ220 / SUMIFS(Aux_Totales!$N:$N, Aux_Totales!$F:$F, $F224, Aux_Totales!$A:$A,#REF!), 0))</f>
        <v/>
      </c>
      <c r="JFA224" s="19" t="str">
        <f>IF(JFA220 = "", "", IFERROR(JFA220 / SUMIFS(Aux_Totales!$N:$N, Aux_Totales!$F:$F, $F224, Aux_Totales!$A:$A,#REF!), 0))</f>
        <v/>
      </c>
      <c r="JFB224" s="19" t="str">
        <f>IF(JFB220 = "", "", IFERROR(JFB220 / SUMIFS(Aux_Totales!$N:$N, Aux_Totales!$F:$F, $F224, Aux_Totales!$A:$A,#REF!), 0))</f>
        <v/>
      </c>
      <c r="JFC224" s="19" t="str">
        <f>IF(JFC220 = "", "", IFERROR(JFC220 / SUMIFS(Aux_Totales!$N:$N, Aux_Totales!$F:$F, $F224, Aux_Totales!$A:$A,#REF!), 0))</f>
        <v/>
      </c>
      <c r="JFD224" s="19" t="str">
        <f>IF(JFD220 = "", "", IFERROR(JFD220 / SUMIFS(Aux_Totales!$N:$N, Aux_Totales!$F:$F, $F224, Aux_Totales!$A:$A,#REF!), 0))</f>
        <v/>
      </c>
      <c r="JFE224" s="19" t="str">
        <f>IF(JFE220 = "", "", IFERROR(JFE220 / SUMIFS(Aux_Totales!$N:$N, Aux_Totales!$F:$F, $F224, Aux_Totales!$A:$A,#REF!), 0))</f>
        <v/>
      </c>
      <c r="JFF224" s="19" t="str">
        <f>IF(JFF220 = "", "", IFERROR(JFF220 / SUMIFS(Aux_Totales!$N:$N, Aux_Totales!$F:$F, $F224, Aux_Totales!$A:$A,#REF!), 0))</f>
        <v/>
      </c>
      <c r="JFG224" s="19" t="str">
        <f>IF(JFG220 = "", "", IFERROR(JFG220 / SUMIFS(Aux_Totales!$N:$N, Aux_Totales!$F:$F, $F224, Aux_Totales!$A:$A,#REF!), 0))</f>
        <v/>
      </c>
      <c r="JFH224" s="19" t="str">
        <f>IF(JFH220 = "", "", IFERROR(JFH220 / SUMIFS(Aux_Totales!$N:$N, Aux_Totales!$F:$F, $F224, Aux_Totales!$A:$A,#REF!), 0))</f>
        <v/>
      </c>
      <c r="JFI224" s="19" t="str">
        <f>IF(JFI220 = "", "", IFERROR(JFI220 / SUMIFS(Aux_Totales!$N:$N, Aux_Totales!$F:$F, $F224, Aux_Totales!$A:$A,#REF!), 0))</f>
        <v/>
      </c>
      <c r="JFJ224" s="19" t="str">
        <f>IF(JFJ220 = "", "", IFERROR(JFJ220 / SUMIFS(Aux_Totales!$N:$N, Aux_Totales!$F:$F, $F224, Aux_Totales!$A:$A,#REF!), 0))</f>
        <v/>
      </c>
      <c r="JFK224" s="19" t="str">
        <f>IF(JFK220 = "", "", IFERROR(JFK220 / SUMIFS(Aux_Totales!$N:$N, Aux_Totales!$F:$F, $F224, Aux_Totales!$A:$A,#REF!), 0))</f>
        <v/>
      </c>
      <c r="JFL224" s="19" t="str">
        <f>IF(JFL220 = "", "", IFERROR(JFL220 / SUMIFS(Aux_Totales!$N:$N, Aux_Totales!$F:$F, $F224, Aux_Totales!$A:$A,#REF!), 0))</f>
        <v/>
      </c>
      <c r="JFM224" s="19" t="str">
        <f>IF(JFM220 = "", "", IFERROR(JFM220 / SUMIFS(Aux_Totales!$N:$N, Aux_Totales!$F:$F, $F224, Aux_Totales!$A:$A,#REF!), 0))</f>
        <v/>
      </c>
      <c r="JFN224" s="19" t="str">
        <f>IF(JFN220 = "", "", IFERROR(JFN220 / SUMIFS(Aux_Totales!$N:$N, Aux_Totales!$F:$F, $F224, Aux_Totales!$A:$A,#REF!), 0))</f>
        <v/>
      </c>
      <c r="JFO224" s="19" t="str">
        <f>IF(JFO220 = "", "", IFERROR(JFO220 / SUMIFS(Aux_Totales!$N:$N, Aux_Totales!$F:$F, $F224, Aux_Totales!$A:$A,#REF!), 0))</f>
        <v/>
      </c>
      <c r="JFP224" s="19" t="str">
        <f>IF(JFP220 = "", "", IFERROR(JFP220 / SUMIFS(Aux_Totales!$N:$N, Aux_Totales!$F:$F, $F224, Aux_Totales!$A:$A,#REF!), 0))</f>
        <v/>
      </c>
      <c r="JFQ224" s="19" t="str">
        <f>IF(JFQ220 = "", "", IFERROR(JFQ220 / SUMIFS(Aux_Totales!$N:$N, Aux_Totales!$F:$F, $F224, Aux_Totales!$A:$A,#REF!), 0))</f>
        <v/>
      </c>
      <c r="JFR224" s="19" t="str">
        <f>IF(JFR220 = "", "", IFERROR(JFR220 / SUMIFS(Aux_Totales!$N:$N, Aux_Totales!$F:$F, $F224, Aux_Totales!$A:$A,#REF!), 0))</f>
        <v/>
      </c>
      <c r="JFS224" s="19" t="str">
        <f>IF(JFS220 = "", "", IFERROR(JFS220 / SUMIFS(Aux_Totales!$N:$N, Aux_Totales!$F:$F, $F224, Aux_Totales!$A:$A,#REF!), 0))</f>
        <v/>
      </c>
      <c r="JFT224" s="19" t="str">
        <f>IF(JFT220 = "", "", IFERROR(JFT220 / SUMIFS(Aux_Totales!$N:$N, Aux_Totales!$F:$F, $F224, Aux_Totales!$A:$A,#REF!), 0))</f>
        <v/>
      </c>
      <c r="JFU224" s="19" t="str">
        <f>IF(JFU220 = "", "", IFERROR(JFU220 / SUMIFS(Aux_Totales!$N:$N, Aux_Totales!$F:$F, $F224, Aux_Totales!$A:$A,#REF!), 0))</f>
        <v/>
      </c>
      <c r="JFV224" s="19" t="str">
        <f>IF(JFV220 = "", "", IFERROR(JFV220 / SUMIFS(Aux_Totales!$N:$N, Aux_Totales!$F:$F, $F224, Aux_Totales!$A:$A,#REF!), 0))</f>
        <v/>
      </c>
      <c r="JFW224" s="19" t="str">
        <f>IF(JFW220 = "", "", IFERROR(JFW220 / SUMIFS(Aux_Totales!$N:$N, Aux_Totales!$F:$F, $F224, Aux_Totales!$A:$A,#REF!), 0))</f>
        <v/>
      </c>
      <c r="JFX224" s="19" t="str">
        <f>IF(JFX220 = "", "", IFERROR(JFX220 / SUMIFS(Aux_Totales!$N:$N, Aux_Totales!$F:$F, $F224, Aux_Totales!$A:$A,#REF!), 0))</f>
        <v/>
      </c>
      <c r="JFY224" s="19" t="str">
        <f>IF(JFY220 = "", "", IFERROR(JFY220 / SUMIFS(Aux_Totales!$N:$N, Aux_Totales!$F:$F, $F224, Aux_Totales!$A:$A,#REF!), 0))</f>
        <v/>
      </c>
      <c r="JFZ224" s="19" t="str">
        <f>IF(JFZ220 = "", "", IFERROR(JFZ220 / SUMIFS(Aux_Totales!$N:$N, Aux_Totales!$F:$F, $F224, Aux_Totales!$A:$A,#REF!), 0))</f>
        <v/>
      </c>
      <c r="JGA224" s="19" t="str">
        <f>IF(JGA220 = "", "", IFERROR(JGA220 / SUMIFS(Aux_Totales!$N:$N, Aux_Totales!$F:$F, $F224, Aux_Totales!$A:$A,#REF!), 0))</f>
        <v/>
      </c>
      <c r="JGB224" s="19" t="str">
        <f>IF(JGB220 = "", "", IFERROR(JGB220 / SUMIFS(Aux_Totales!$N:$N, Aux_Totales!$F:$F, $F224, Aux_Totales!$A:$A,#REF!), 0))</f>
        <v/>
      </c>
      <c r="JGC224" s="19" t="str">
        <f>IF(JGC220 = "", "", IFERROR(JGC220 / SUMIFS(Aux_Totales!$N:$N, Aux_Totales!$F:$F, $F224, Aux_Totales!$A:$A,#REF!), 0))</f>
        <v/>
      </c>
      <c r="JGD224" s="19" t="str">
        <f>IF(JGD220 = "", "", IFERROR(JGD220 / SUMIFS(Aux_Totales!$N:$N, Aux_Totales!$F:$F, $F224, Aux_Totales!$A:$A,#REF!), 0))</f>
        <v/>
      </c>
      <c r="JGE224" s="19" t="str">
        <f>IF(JGE220 = "", "", IFERROR(JGE220 / SUMIFS(Aux_Totales!$N:$N, Aux_Totales!$F:$F, $F224, Aux_Totales!$A:$A,#REF!), 0))</f>
        <v/>
      </c>
      <c r="JGF224" s="19" t="str">
        <f>IF(JGF220 = "", "", IFERROR(JGF220 / SUMIFS(Aux_Totales!$N:$N, Aux_Totales!$F:$F, $F224, Aux_Totales!$A:$A,#REF!), 0))</f>
        <v/>
      </c>
      <c r="JGG224" s="19" t="str">
        <f>IF(JGG220 = "", "", IFERROR(JGG220 / SUMIFS(Aux_Totales!$N:$N, Aux_Totales!$F:$F, $F224, Aux_Totales!$A:$A,#REF!), 0))</f>
        <v/>
      </c>
      <c r="JGH224" s="19" t="str">
        <f>IF(JGH220 = "", "", IFERROR(JGH220 / SUMIFS(Aux_Totales!$N:$N, Aux_Totales!$F:$F, $F224, Aux_Totales!$A:$A,#REF!), 0))</f>
        <v/>
      </c>
      <c r="JGI224" s="19" t="str">
        <f>IF(JGI220 = "", "", IFERROR(JGI220 / SUMIFS(Aux_Totales!$N:$N, Aux_Totales!$F:$F, $F224, Aux_Totales!$A:$A,#REF!), 0))</f>
        <v/>
      </c>
      <c r="JGJ224" s="19" t="str">
        <f>IF(JGJ220 = "", "", IFERROR(JGJ220 / SUMIFS(Aux_Totales!$N:$N, Aux_Totales!$F:$F, $F224, Aux_Totales!$A:$A,#REF!), 0))</f>
        <v/>
      </c>
      <c r="JGK224" s="19" t="str">
        <f>IF(JGK220 = "", "", IFERROR(JGK220 / SUMIFS(Aux_Totales!$N:$N, Aux_Totales!$F:$F, $F224, Aux_Totales!$A:$A,#REF!), 0))</f>
        <v/>
      </c>
      <c r="JGL224" s="19" t="str">
        <f>IF(JGL220 = "", "", IFERROR(JGL220 / SUMIFS(Aux_Totales!$N:$N, Aux_Totales!$F:$F, $F224, Aux_Totales!$A:$A,#REF!), 0))</f>
        <v/>
      </c>
      <c r="JGM224" s="19" t="str">
        <f>IF(JGM220 = "", "", IFERROR(JGM220 / SUMIFS(Aux_Totales!$N:$N, Aux_Totales!$F:$F, $F224, Aux_Totales!$A:$A,#REF!), 0))</f>
        <v/>
      </c>
      <c r="JGN224" s="19" t="str">
        <f>IF(JGN220 = "", "", IFERROR(JGN220 / SUMIFS(Aux_Totales!$N:$N, Aux_Totales!$F:$F, $F224, Aux_Totales!$A:$A,#REF!), 0))</f>
        <v/>
      </c>
      <c r="JGO224" s="19" t="str">
        <f>IF(JGO220 = "", "", IFERROR(JGO220 / SUMIFS(Aux_Totales!$N:$N, Aux_Totales!$F:$F, $F224, Aux_Totales!$A:$A,#REF!), 0))</f>
        <v/>
      </c>
      <c r="JGP224" s="19" t="str">
        <f>IF(JGP220 = "", "", IFERROR(JGP220 / SUMIFS(Aux_Totales!$N:$N, Aux_Totales!$F:$F, $F224, Aux_Totales!$A:$A,#REF!), 0))</f>
        <v/>
      </c>
      <c r="JGQ224" s="19" t="str">
        <f>IF(JGQ220 = "", "", IFERROR(JGQ220 / SUMIFS(Aux_Totales!$N:$N, Aux_Totales!$F:$F, $F224, Aux_Totales!$A:$A,#REF!), 0))</f>
        <v/>
      </c>
      <c r="JGR224" s="19" t="str">
        <f>IF(JGR220 = "", "", IFERROR(JGR220 / SUMIFS(Aux_Totales!$N:$N, Aux_Totales!$F:$F, $F224, Aux_Totales!$A:$A,#REF!), 0))</f>
        <v/>
      </c>
      <c r="JGS224" s="19" t="str">
        <f>IF(JGS220 = "", "", IFERROR(JGS220 / SUMIFS(Aux_Totales!$N:$N, Aux_Totales!$F:$F, $F224, Aux_Totales!$A:$A,#REF!), 0))</f>
        <v/>
      </c>
      <c r="JGT224" s="19" t="str">
        <f>IF(JGT220 = "", "", IFERROR(JGT220 / SUMIFS(Aux_Totales!$N:$N, Aux_Totales!$F:$F, $F224, Aux_Totales!$A:$A,#REF!), 0))</f>
        <v/>
      </c>
      <c r="JGU224" s="19" t="str">
        <f>IF(JGU220 = "", "", IFERROR(JGU220 / SUMIFS(Aux_Totales!$N:$N, Aux_Totales!$F:$F, $F224, Aux_Totales!$A:$A,#REF!), 0))</f>
        <v/>
      </c>
      <c r="JGV224" s="19" t="str">
        <f>IF(JGV220 = "", "", IFERROR(JGV220 / SUMIFS(Aux_Totales!$N:$N, Aux_Totales!$F:$F, $F224, Aux_Totales!$A:$A,#REF!), 0))</f>
        <v/>
      </c>
      <c r="JGW224" s="19" t="str">
        <f>IF(JGW220 = "", "", IFERROR(JGW220 / SUMIFS(Aux_Totales!$N:$N, Aux_Totales!$F:$F, $F224, Aux_Totales!$A:$A,#REF!), 0))</f>
        <v/>
      </c>
      <c r="JGX224" s="19" t="str">
        <f>IF(JGX220 = "", "", IFERROR(JGX220 / SUMIFS(Aux_Totales!$N:$N, Aux_Totales!$F:$F, $F224, Aux_Totales!$A:$A,#REF!), 0))</f>
        <v/>
      </c>
      <c r="JGY224" s="19" t="str">
        <f>IF(JGY220 = "", "", IFERROR(JGY220 / SUMIFS(Aux_Totales!$N:$N, Aux_Totales!$F:$F, $F224, Aux_Totales!$A:$A,#REF!), 0))</f>
        <v/>
      </c>
      <c r="JGZ224" s="19" t="str">
        <f>IF(JGZ220 = "", "", IFERROR(JGZ220 / SUMIFS(Aux_Totales!$N:$N, Aux_Totales!$F:$F, $F224, Aux_Totales!$A:$A,#REF!), 0))</f>
        <v/>
      </c>
      <c r="JHA224" s="19" t="str">
        <f>IF(JHA220 = "", "", IFERROR(JHA220 / SUMIFS(Aux_Totales!$N:$N, Aux_Totales!$F:$F, $F224, Aux_Totales!$A:$A,#REF!), 0))</f>
        <v/>
      </c>
      <c r="JHB224" s="19" t="str">
        <f>IF(JHB220 = "", "", IFERROR(JHB220 / SUMIFS(Aux_Totales!$N:$N, Aux_Totales!$F:$F, $F224, Aux_Totales!$A:$A,#REF!), 0))</f>
        <v/>
      </c>
      <c r="JHC224" s="19" t="str">
        <f>IF(JHC220 = "", "", IFERROR(JHC220 / SUMIFS(Aux_Totales!$N:$N, Aux_Totales!$F:$F, $F224, Aux_Totales!$A:$A,#REF!), 0))</f>
        <v/>
      </c>
      <c r="JHD224" s="19" t="str">
        <f>IF(JHD220 = "", "", IFERROR(JHD220 / SUMIFS(Aux_Totales!$N:$N, Aux_Totales!$F:$F, $F224, Aux_Totales!$A:$A,#REF!), 0))</f>
        <v/>
      </c>
      <c r="JHE224" s="19" t="str">
        <f>IF(JHE220 = "", "", IFERROR(JHE220 / SUMIFS(Aux_Totales!$N:$N, Aux_Totales!$F:$F, $F224, Aux_Totales!$A:$A,#REF!), 0))</f>
        <v/>
      </c>
      <c r="JHF224" s="19" t="str">
        <f>IF(JHF220 = "", "", IFERROR(JHF220 / SUMIFS(Aux_Totales!$N:$N, Aux_Totales!$F:$F, $F224, Aux_Totales!$A:$A,#REF!), 0))</f>
        <v/>
      </c>
      <c r="JHG224" s="19" t="str">
        <f>IF(JHG220 = "", "", IFERROR(JHG220 / SUMIFS(Aux_Totales!$N:$N, Aux_Totales!$F:$F, $F224, Aux_Totales!$A:$A,#REF!), 0))</f>
        <v/>
      </c>
      <c r="JHH224" s="19" t="str">
        <f>IF(JHH220 = "", "", IFERROR(JHH220 / SUMIFS(Aux_Totales!$N:$N, Aux_Totales!$F:$F, $F224, Aux_Totales!$A:$A,#REF!), 0))</f>
        <v/>
      </c>
      <c r="JHI224" s="19" t="str">
        <f>IF(JHI220 = "", "", IFERROR(JHI220 / SUMIFS(Aux_Totales!$N:$N, Aux_Totales!$F:$F, $F224, Aux_Totales!$A:$A,#REF!), 0))</f>
        <v/>
      </c>
      <c r="JHJ224" s="19" t="str">
        <f>IF(JHJ220 = "", "", IFERROR(JHJ220 / SUMIFS(Aux_Totales!$N:$N, Aux_Totales!$F:$F, $F224, Aux_Totales!$A:$A,#REF!), 0))</f>
        <v/>
      </c>
      <c r="JHK224" s="19" t="str">
        <f>IF(JHK220 = "", "", IFERROR(JHK220 / SUMIFS(Aux_Totales!$N:$N, Aux_Totales!$F:$F, $F224, Aux_Totales!$A:$A,#REF!), 0))</f>
        <v/>
      </c>
      <c r="JHL224" s="19" t="str">
        <f>IF(JHL220 = "", "", IFERROR(JHL220 / SUMIFS(Aux_Totales!$N:$N, Aux_Totales!$F:$F, $F224, Aux_Totales!$A:$A,#REF!), 0))</f>
        <v/>
      </c>
      <c r="JHM224" s="19" t="str">
        <f>IF(JHM220 = "", "", IFERROR(JHM220 / SUMIFS(Aux_Totales!$N:$N, Aux_Totales!$F:$F, $F224, Aux_Totales!$A:$A,#REF!), 0))</f>
        <v/>
      </c>
      <c r="JHN224" s="19" t="str">
        <f>IF(JHN220 = "", "", IFERROR(JHN220 / SUMIFS(Aux_Totales!$N:$N, Aux_Totales!$F:$F, $F224, Aux_Totales!$A:$A,#REF!), 0))</f>
        <v/>
      </c>
      <c r="JHO224" s="19" t="str">
        <f>IF(JHO220 = "", "", IFERROR(JHO220 / SUMIFS(Aux_Totales!$N:$N, Aux_Totales!$F:$F, $F224, Aux_Totales!$A:$A,#REF!), 0))</f>
        <v/>
      </c>
      <c r="JHP224" s="19" t="str">
        <f>IF(JHP220 = "", "", IFERROR(JHP220 / SUMIFS(Aux_Totales!$N:$N, Aux_Totales!$F:$F, $F224, Aux_Totales!$A:$A,#REF!), 0))</f>
        <v/>
      </c>
      <c r="JHQ224" s="19" t="str">
        <f>IF(JHQ220 = "", "", IFERROR(JHQ220 / SUMIFS(Aux_Totales!$N:$N, Aux_Totales!$F:$F, $F224, Aux_Totales!$A:$A,#REF!), 0))</f>
        <v/>
      </c>
      <c r="JHR224" s="19" t="str">
        <f>IF(JHR220 = "", "", IFERROR(JHR220 / SUMIFS(Aux_Totales!$N:$N, Aux_Totales!$F:$F, $F224, Aux_Totales!$A:$A,#REF!), 0))</f>
        <v/>
      </c>
      <c r="JHS224" s="19" t="str">
        <f>IF(JHS220 = "", "", IFERROR(JHS220 / SUMIFS(Aux_Totales!$N:$N, Aux_Totales!$F:$F, $F224, Aux_Totales!$A:$A,#REF!), 0))</f>
        <v/>
      </c>
      <c r="JHT224" s="19" t="str">
        <f>IF(JHT220 = "", "", IFERROR(JHT220 / SUMIFS(Aux_Totales!$N:$N, Aux_Totales!$F:$F, $F224, Aux_Totales!$A:$A,#REF!), 0))</f>
        <v/>
      </c>
      <c r="JHU224" s="19" t="str">
        <f>IF(JHU220 = "", "", IFERROR(JHU220 / SUMIFS(Aux_Totales!$N:$N, Aux_Totales!$F:$F, $F224, Aux_Totales!$A:$A,#REF!), 0))</f>
        <v/>
      </c>
      <c r="JHV224" s="19" t="str">
        <f>IF(JHV220 = "", "", IFERROR(JHV220 / SUMIFS(Aux_Totales!$N:$N, Aux_Totales!$F:$F, $F224, Aux_Totales!$A:$A,#REF!), 0))</f>
        <v/>
      </c>
      <c r="JHW224" s="19" t="str">
        <f>IF(JHW220 = "", "", IFERROR(JHW220 / SUMIFS(Aux_Totales!$N:$N, Aux_Totales!$F:$F, $F224, Aux_Totales!$A:$A,#REF!), 0))</f>
        <v/>
      </c>
      <c r="JHX224" s="19" t="str">
        <f>IF(JHX220 = "", "", IFERROR(JHX220 / SUMIFS(Aux_Totales!$N:$N, Aux_Totales!$F:$F, $F224, Aux_Totales!$A:$A,#REF!), 0))</f>
        <v/>
      </c>
      <c r="JHY224" s="19" t="str">
        <f>IF(JHY220 = "", "", IFERROR(JHY220 / SUMIFS(Aux_Totales!$N:$N, Aux_Totales!$F:$F, $F224, Aux_Totales!$A:$A,#REF!), 0))</f>
        <v/>
      </c>
      <c r="JHZ224" s="19" t="str">
        <f>IF(JHZ220 = "", "", IFERROR(JHZ220 / SUMIFS(Aux_Totales!$N:$N, Aux_Totales!$F:$F, $F224, Aux_Totales!$A:$A,#REF!), 0))</f>
        <v/>
      </c>
      <c r="JIA224" s="19" t="str">
        <f>IF(JIA220 = "", "", IFERROR(JIA220 / SUMIFS(Aux_Totales!$N:$N, Aux_Totales!$F:$F, $F224, Aux_Totales!$A:$A,#REF!), 0))</f>
        <v/>
      </c>
      <c r="JIB224" s="19" t="str">
        <f>IF(JIB220 = "", "", IFERROR(JIB220 / SUMIFS(Aux_Totales!$N:$N, Aux_Totales!$F:$F, $F224, Aux_Totales!$A:$A,#REF!), 0))</f>
        <v/>
      </c>
      <c r="JIC224" s="19" t="str">
        <f>IF(JIC220 = "", "", IFERROR(JIC220 / SUMIFS(Aux_Totales!$N:$N, Aux_Totales!$F:$F, $F224, Aux_Totales!$A:$A,#REF!), 0))</f>
        <v/>
      </c>
      <c r="JID224" s="19" t="str">
        <f>IF(JID220 = "", "", IFERROR(JID220 / SUMIFS(Aux_Totales!$N:$N, Aux_Totales!$F:$F, $F224, Aux_Totales!$A:$A,#REF!), 0))</f>
        <v/>
      </c>
      <c r="JIE224" s="19" t="str">
        <f>IF(JIE220 = "", "", IFERROR(JIE220 / SUMIFS(Aux_Totales!$N:$N, Aux_Totales!$F:$F, $F224, Aux_Totales!$A:$A,#REF!), 0))</f>
        <v/>
      </c>
      <c r="JIF224" s="19" t="str">
        <f>IF(JIF220 = "", "", IFERROR(JIF220 / SUMIFS(Aux_Totales!$N:$N, Aux_Totales!$F:$F, $F224, Aux_Totales!$A:$A,#REF!), 0))</f>
        <v/>
      </c>
      <c r="JIG224" s="19" t="str">
        <f>IF(JIG220 = "", "", IFERROR(JIG220 / SUMIFS(Aux_Totales!$N:$N, Aux_Totales!$F:$F, $F224, Aux_Totales!$A:$A,#REF!), 0))</f>
        <v/>
      </c>
      <c r="JIH224" s="19" t="str">
        <f>IF(JIH220 = "", "", IFERROR(JIH220 / SUMIFS(Aux_Totales!$N:$N, Aux_Totales!$F:$F, $F224, Aux_Totales!$A:$A,#REF!), 0))</f>
        <v/>
      </c>
      <c r="JII224" s="19" t="str">
        <f>IF(JII220 = "", "", IFERROR(JII220 / SUMIFS(Aux_Totales!$N:$N, Aux_Totales!$F:$F, $F224, Aux_Totales!$A:$A,#REF!), 0))</f>
        <v/>
      </c>
      <c r="JIJ224" s="19" t="str">
        <f>IF(JIJ220 = "", "", IFERROR(JIJ220 / SUMIFS(Aux_Totales!$N:$N, Aux_Totales!$F:$F, $F224, Aux_Totales!$A:$A,#REF!), 0))</f>
        <v/>
      </c>
      <c r="JIK224" s="19" t="str">
        <f>IF(JIK220 = "", "", IFERROR(JIK220 / SUMIFS(Aux_Totales!$N:$N, Aux_Totales!$F:$F, $F224, Aux_Totales!$A:$A,#REF!), 0))</f>
        <v/>
      </c>
      <c r="JIL224" s="19" t="str">
        <f>IF(JIL220 = "", "", IFERROR(JIL220 / SUMIFS(Aux_Totales!$N:$N, Aux_Totales!$F:$F, $F224, Aux_Totales!$A:$A,#REF!), 0))</f>
        <v/>
      </c>
      <c r="JIM224" s="19" t="str">
        <f>IF(JIM220 = "", "", IFERROR(JIM220 / SUMIFS(Aux_Totales!$N:$N, Aux_Totales!$F:$F, $F224, Aux_Totales!$A:$A,#REF!), 0))</f>
        <v/>
      </c>
      <c r="JIN224" s="19" t="str">
        <f>IF(JIN220 = "", "", IFERROR(JIN220 / SUMIFS(Aux_Totales!$N:$N, Aux_Totales!$F:$F, $F224, Aux_Totales!$A:$A,#REF!), 0))</f>
        <v/>
      </c>
      <c r="JIO224" s="19" t="str">
        <f>IF(JIO220 = "", "", IFERROR(JIO220 / SUMIFS(Aux_Totales!$N:$N, Aux_Totales!$F:$F, $F224, Aux_Totales!$A:$A,#REF!), 0))</f>
        <v/>
      </c>
      <c r="JIP224" s="19" t="str">
        <f>IF(JIP220 = "", "", IFERROR(JIP220 / SUMIFS(Aux_Totales!$N:$N, Aux_Totales!$F:$F, $F224, Aux_Totales!$A:$A,#REF!), 0))</f>
        <v/>
      </c>
      <c r="JIQ224" s="19" t="str">
        <f>IF(JIQ220 = "", "", IFERROR(JIQ220 / SUMIFS(Aux_Totales!$N:$N, Aux_Totales!$F:$F, $F224, Aux_Totales!$A:$A,#REF!), 0))</f>
        <v/>
      </c>
      <c r="JIR224" s="19" t="str">
        <f>IF(JIR220 = "", "", IFERROR(JIR220 / SUMIFS(Aux_Totales!$N:$N, Aux_Totales!$F:$F, $F224, Aux_Totales!$A:$A,#REF!), 0))</f>
        <v/>
      </c>
      <c r="JIS224" s="19" t="str">
        <f>IF(JIS220 = "", "", IFERROR(JIS220 / SUMIFS(Aux_Totales!$N:$N, Aux_Totales!$F:$F, $F224, Aux_Totales!$A:$A,#REF!), 0))</f>
        <v/>
      </c>
      <c r="JIT224" s="19" t="str">
        <f>IF(JIT220 = "", "", IFERROR(JIT220 / SUMIFS(Aux_Totales!$N:$N, Aux_Totales!$F:$F, $F224, Aux_Totales!$A:$A,#REF!), 0))</f>
        <v/>
      </c>
      <c r="JIU224" s="19" t="str">
        <f>IF(JIU220 = "", "", IFERROR(JIU220 / SUMIFS(Aux_Totales!$N:$N, Aux_Totales!$F:$F, $F224, Aux_Totales!$A:$A,#REF!), 0))</f>
        <v/>
      </c>
      <c r="JIV224" s="19" t="str">
        <f>IF(JIV220 = "", "", IFERROR(JIV220 / SUMIFS(Aux_Totales!$N:$N, Aux_Totales!$F:$F, $F224, Aux_Totales!$A:$A,#REF!), 0))</f>
        <v/>
      </c>
      <c r="JIW224" s="19" t="str">
        <f>IF(JIW220 = "", "", IFERROR(JIW220 / SUMIFS(Aux_Totales!$N:$N, Aux_Totales!$F:$F, $F224, Aux_Totales!$A:$A,#REF!), 0))</f>
        <v/>
      </c>
      <c r="JIX224" s="19" t="str">
        <f>IF(JIX220 = "", "", IFERROR(JIX220 / SUMIFS(Aux_Totales!$N:$N, Aux_Totales!$F:$F, $F224, Aux_Totales!$A:$A,#REF!), 0))</f>
        <v/>
      </c>
      <c r="JIY224" s="19" t="str">
        <f>IF(JIY220 = "", "", IFERROR(JIY220 / SUMIFS(Aux_Totales!$N:$N, Aux_Totales!$F:$F, $F224, Aux_Totales!$A:$A,#REF!), 0))</f>
        <v/>
      </c>
      <c r="JIZ224" s="19" t="str">
        <f>IF(JIZ220 = "", "", IFERROR(JIZ220 / SUMIFS(Aux_Totales!$N:$N, Aux_Totales!$F:$F, $F224, Aux_Totales!$A:$A,#REF!), 0))</f>
        <v/>
      </c>
      <c r="JJA224" s="19" t="str">
        <f>IF(JJA220 = "", "", IFERROR(JJA220 / SUMIFS(Aux_Totales!$N:$N, Aux_Totales!$F:$F, $F224, Aux_Totales!$A:$A,#REF!), 0))</f>
        <v/>
      </c>
      <c r="JJB224" s="19" t="str">
        <f>IF(JJB220 = "", "", IFERROR(JJB220 / SUMIFS(Aux_Totales!$N:$N, Aux_Totales!$F:$F, $F224, Aux_Totales!$A:$A,#REF!), 0))</f>
        <v/>
      </c>
      <c r="JJC224" s="19" t="str">
        <f>IF(JJC220 = "", "", IFERROR(JJC220 / SUMIFS(Aux_Totales!$N:$N, Aux_Totales!$F:$F, $F224, Aux_Totales!$A:$A,#REF!), 0))</f>
        <v/>
      </c>
      <c r="JJD224" s="19" t="str">
        <f>IF(JJD220 = "", "", IFERROR(JJD220 / SUMIFS(Aux_Totales!$N:$N, Aux_Totales!$F:$F, $F224, Aux_Totales!$A:$A,#REF!), 0))</f>
        <v/>
      </c>
      <c r="JJE224" s="19" t="str">
        <f>IF(JJE220 = "", "", IFERROR(JJE220 / SUMIFS(Aux_Totales!$N:$N, Aux_Totales!$F:$F, $F224, Aux_Totales!$A:$A,#REF!), 0))</f>
        <v/>
      </c>
      <c r="JJF224" s="19" t="str">
        <f>IF(JJF220 = "", "", IFERROR(JJF220 / SUMIFS(Aux_Totales!$N:$N, Aux_Totales!$F:$F, $F224, Aux_Totales!$A:$A,#REF!), 0))</f>
        <v/>
      </c>
      <c r="JJG224" s="19" t="str">
        <f>IF(JJG220 = "", "", IFERROR(JJG220 / SUMIFS(Aux_Totales!$N:$N, Aux_Totales!$F:$F, $F224, Aux_Totales!$A:$A,#REF!), 0))</f>
        <v/>
      </c>
      <c r="JJH224" s="19" t="str">
        <f>IF(JJH220 = "", "", IFERROR(JJH220 / SUMIFS(Aux_Totales!$N:$N, Aux_Totales!$F:$F, $F224, Aux_Totales!$A:$A,#REF!), 0))</f>
        <v/>
      </c>
      <c r="JJI224" s="19" t="str">
        <f>IF(JJI220 = "", "", IFERROR(JJI220 / SUMIFS(Aux_Totales!$N:$N, Aux_Totales!$F:$F, $F224, Aux_Totales!$A:$A,#REF!), 0))</f>
        <v/>
      </c>
      <c r="JJJ224" s="19" t="str">
        <f>IF(JJJ220 = "", "", IFERROR(JJJ220 / SUMIFS(Aux_Totales!$N:$N, Aux_Totales!$F:$F, $F224, Aux_Totales!$A:$A,#REF!), 0))</f>
        <v/>
      </c>
      <c r="JJK224" s="19" t="str">
        <f>IF(JJK220 = "", "", IFERROR(JJK220 / SUMIFS(Aux_Totales!$N:$N, Aux_Totales!$F:$F, $F224, Aux_Totales!$A:$A,#REF!), 0))</f>
        <v/>
      </c>
      <c r="JJL224" s="19" t="str">
        <f>IF(JJL220 = "", "", IFERROR(JJL220 / SUMIFS(Aux_Totales!$N:$N, Aux_Totales!$F:$F, $F224, Aux_Totales!$A:$A,#REF!), 0))</f>
        <v/>
      </c>
      <c r="JJM224" s="19" t="str">
        <f>IF(JJM220 = "", "", IFERROR(JJM220 / SUMIFS(Aux_Totales!$N:$N, Aux_Totales!$F:$F, $F224, Aux_Totales!$A:$A,#REF!), 0))</f>
        <v/>
      </c>
      <c r="JJN224" s="19" t="str">
        <f>IF(JJN220 = "", "", IFERROR(JJN220 / SUMIFS(Aux_Totales!$N:$N, Aux_Totales!$F:$F, $F224, Aux_Totales!$A:$A,#REF!), 0))</f>
        <v/>
      </c>
      <c r="JJO224" s="19" t="str">
        <f>IF(JJO220 = "", "", IFERROR(JJO220 / SUMIFS(Aux_Totales!$N:$N, Aux_Totales!$F:$F, $F224, Aux_Totales!$A:$A,#REF!), 0))</f>
        <v/>
      </c>
      <c r="JJP224" s="19" t="str">
        <f>IF(JJP220 = "", "", IFERROR(JJP220 / SUMIFS(Aux_Totales!$N:$N, Aux_Totales!$F:$F, $F224, Aux_Totales!$A:$A,#REF!), 0))</f>
        <v/>
      </c>
      <c r="JJQ224" s="19" t="str">
        <f>IF(JJQ220 = "", "", IFERROR(JJQ220 / SUMIFS(Aux_Totales!$N:$N, Aux_Totales!$F:$F, $F224, Aux_Totales!$A:$A,#REF!), 0))</f>
        <v/>
      </c>
      <c r="JJR224" s="19" t="str">
        <f>IF(JJR220 = "", "", IFERROR(JJR220 / SUMIFS(Aux_Totales!$N:$N, Aux_Totales!$F:$F, $F224, Aux_Totales!$A:$A,#REF!), 0))</f>
        <v/>
      </c>
      <c r="JJS224" s="19" t="str">
        <f>IF(JJS220 = "", "", IFERROR(JJS220 / SUMIFS(Aux_Totales!$N:$N, Aux_Totales!$F:$F, $F224, Aux_Totales!$A:$A,#REF!), 0))</f>
        <v/>
      </c>
      <c r="JJT224" s="19" t="str">
        <f>IF(JJT220 = "", "", IFERROR(JJT220 / SUMIFS(Aux_Totales!$N:$N, Aux_Totales!$F:$F, $F224, Aux_Totales!$A:$A,#REF!), 0))</f>
        <v/>
      </c>
      <c r="JJU224" s="19" t="str">
        <f>IF(JJU220 = "", "", IFERROR(JJU220 / SUMIFS(Aux_Totales!$N:$N, Aux_Totales!$F:$F, $F224, Aux_Totales!$A:$A,#REF!), 0))</f>
        <v/>
      </c>
      <c r="JJV224" s="19" t="str">
        <f>IF(JJV220 = "", "", IFERROR(JJV220 / SUMIFS(Aux_Totales!$N:$N, Aux_Totales!$F:$F, $F224, Aux_Totales!$A:$A,#REF!), 0))</f>
        <v/>
      </c>
      <c r="JJW224" s="19" t="str">
        <f>IF(JJW220 = "", "", IFERROR(JJW220 / SUMIFS(Aux_Totales!$N:$N, Aux_Totales!$F:$F, $F224, Aux_Totales!$A:$A,#REF!), 0))</f>
        <v/>
      </c>
      <c r="JJX224" s="19" t="str">
        <f>IF(JJX220 = "", "", IFERROR(JJX220 / SUMIFS(Aux_Totales!$N:$N, Aux_Totales!$F:$F, $F224, Aux_Totales!$A:$A,#REF!), 0))</f>
        <v/>
      </c>
      <c r="JJY224" s="19" t="str">
        <f>IF(JJY220 = "", "", IFERROR(JJY220 / SUMIFS(Aux_Totales!$N:$N, Aux_Totales!$F:$F, $F224, Aux_Totales!$A:$A,#REF!), 0))</f>
        <v/>
      </c>
      <c r="JJZ224" s="19" t="str">
        <f>IF(JJZ220 = "", "", IFERROR(JJZ220 / SUMIFS(Aux_Totales!$N:$N, Aux_Totales!$F:$F, $F224, Aux_Totales!$A:$A,#REF!), 0))</f>
        <v/>
      </c>
      <c r="JKA224" s="19" t="str">
        <f>IF(JKA220 = "", "", IFERROR(JKA220 / SUMIFS(Aux_Totales!$N:$N, Aux_Totales!$F:$F, $F224, Aux_Totales!$A:$A,#REF!), 0))</f>
        <v/>
      </c>
      <c r="JKB224" s="19" t="str">
        <f>IF(JKB220 = "", "", IFERROR(JKB220 / SUMIFS(Aux_Totales!$N:$N, Aux_Totales!$F:$F, $F224, Aux_Totales!$A:$A,#REF!), 0))</f>
        <v/>
      </c>
      <c r="JKC224" s="19" t="str">
        <f>IF(JKC220 = "", "", IFERROR(JKC220 / SUMIFS(Aux_Totales!$N:$N, Aux_Totales!$F:$F, $F224, Aux_Totales!$A:$A,#REF!), 0))</f>
        <v/>
      </c>
      <c r="JKD224" s="19" t="str">
        <f>IF(JKD220 = "", "", IFERROR(JKD220 / SUMIFS(Aux_Totales!$N:$N, Aux_Totales!$F:$F, $F224, Aux_Totales!$A:$A,#REF!), 0))</f>
        <v/>
      </c>
      <c r="JKE224" s="19" t="str">
        <f>IF(JKE220 = "", "", IFERROR(JKE220 / SUMIFS(Aux_Totales!$N:$N, Aux_Totales!$F:$F, $F224, Aux_Totales!$A:$A,#REF!), 0))</f>
        <v/>
      </c>
      <c r="JKF224" s="19" t="str">
        <f>IF(JKF220 = "", "", IFERROR(JKF220 / SUMIFS(Aux_Totales!$N:$N, Aux_Totales!$F:$F, $F224, Aux_Totales!$A:$A,#REF!), 0))</f>
        <v/>
      </c>
      <c r="JKG224" s="19" t="str">
        <f>IF(JKG220 = "", "", IFERROR(JKG220 / SUMIFS(Aux_Totales!$N:$N, Aux_Totales!$F:$F, $F224, Aux_Totales!$A:$A,#REF!), 0))</f>
        <v/>
      </c>
      <c r="JKH224" s="19" t="str">
        <f>IF(JKH220 = "", "", IFERROR(JKH220 / SUMIFS(Aux_Totales!$N:$N, Aux_Totales!$F:$F, $F224, Aux_Totales!$A:$A,#REF!), 0))</f>
        <v/>
      </c>
      <c r="JKI224" s="19" t="str">
        <f>IF(JKI220 = "", "", IFERROR(JKI220 / SUMIFS(Aux_Totales!$N:$N, Aux_Totales!$F:$F, $F224, Aux_Totales!$A:$A,#REF!), 0))</f>
        <v/>
      </c>
      <c r="JKJ224" s="19" t="str">
        <f>IF(JKJ220 = "", "", IFERROR(JKJ220 / SUMIFS(Aux_Totales!$N:$N, Aux_Totales!$F:$F, $F224, Aux_Totales!$A:$A,#REF!), 0))</f>
        <v/>
      </c>
      <c r="JKK224" s="19" t="str">
        <f>IF(JKK220 = "", "", IFERROR(JKK220 / SUMIFS(Aux_Totales!$N:$N, Aux_Totales!$F:$F, $F224, Aux_Totales!$A:$A,#REF!), 0))</f>
        <v/>
      </c>
      <c r="JKL224" s="19" t="str">
        <f>IF(JKL220 = "", "", IFERROR(JKL220 / SUMIFS(Aux_Totales!$N:$N, Aux_Totales!$F:$F, $F224, Aux_Totales!$A:$A,#REF!), 0))</f>
        <v/>
      </c>
      <c r="JKM224" s="19" t="str">
        <f>IF(JKM220 = "", "", IFERROR(JKM220 / SUMIFS(Aux_Totales!$N:$N, Aux_Totales!$F:$F, $F224, Aux_Totales!$A:$A,#REF!), 0))</f>
        <v/>
      </c>
      <c r="JKN224" s="19" t="str">
        <f>IF(JKN220 = "", "", IFERROR(JKN220 / SUMIFS(Aux_Totales!$N:$N, Aux_Totales!$F:$F, $F224, Aux_Totales!$A:$A,#REF!), 0))</f>
        <v/>
      </c>
      <c r="JKO224" s="19" t="str">
        <f>IF(JKO220 = "", "", IFERROR(JKO220 / SUMIFS(Aux_Totales!$N:$N, Aux_Totales!$F:$F, $F224, Aux_Totales!$A:$A,#REF!), 0))</f>
        <v/>
      </c>
      <c r="JKP224" s="19" t="str">
        <f>IF(JKP220 = "", "", IFERROR(JKP220 / SUMIFS(Aux_Totales!$N:$N, Aux_Totales!$F:$F, $F224, Aux_Totales!$A:$A,#REF!), 0))</f>
        <v/>
      </c>
      <c r="JKQ224" s="19" t="str">
        <f>IF(JKQ220 = "", "", IFERROR(JKQ220 / SUMIFS(Aux_Totales!$N:$N, Aux_Totales!$F:$F, $F224, Aux_Totales!$A:$A,#REF!), 0))</f>
        <v/>
      </c>
      <c r="JKR224" s="19" t="str">
        <f>IF(JKR220 = "", "", IFERROR(JKR220 / SUMIFS(Aux_Totales!$N:$N, Aux_Totales!$F:$F, $F224, Aux_Totales!$A:$A,#REF!), 0))</f>
        <v/>
      </c>
      <c r="JKS224" s="19" t="str">
        <f>IF(JKS220 = "", "", IFERROR(JKS220 / SUMIFS(Aux_Totales!$N:$N, Aux_Totales!$F:$F, $F224, Aux_Totales!$A:$A,#REF!), 0))</f>
        <v/>
      </c>
      <c r="JKT224" s="19" t="str">
        <f>IF(JKT220 = "", "", IFERROR(JKT220 / SUMIFS(Aux_Totales!$N:$N, Aux_Totales!$F:$F, $F224, Aux_Totales!$A:$A,#REF!), 0))</f>
        <v/>
      </c>
      <c r="JKU224" s="19" t="str">
        <f>IF(JKU220 = "", "", IFERROR(JKU220 / SUMIFS(Aux_Totales!$N:$N, Aux_Totales!$F:$F, $F224, Aux_Totales!$A:$A,#REF!), 0))</f>
        <v/>
      </c>
      <c r="JKV224" s="19" t="str">
        <f>IF(JKV220 = "", "", IFERROR(JKV220 / SUMIFS(Aux_Totales!$N:$N, Aux_Totales!$F:$F, $F224, Aux_Totales!$A:$A,#REF!), 0))</f>
        <v/>
      </c>
      <c r="JKW224" s="19" t="str">
        <f>IF(JKW220 = "", "", IFERROR(JKW220 / SUMIFS(Aux_Totales!$N:$N, Aux_Totales!$F:$F, $F224, Aux_Totales!$A:$A,#REF!), 0))</f>
        <v/>
      </c>
      <c r="JKX224" s="19" t="str">
        <f>IF(JKX220 = "", "", IFERROR(JKX220 / SUMIFS(Aux_Totales!$N:$N, Aux_Totales!$F:$F, $F224, Aux_Totales!$A:$A,#REF!), 0))</f>
        <v/>
      </c>
      <c r="JKY224" s="19" t="str">
        <f>IF(JKY220 = "", "", IFERROR(JKY220 / SUMIFS(Aux_Totales!$N:$N, Aux_Totales!$F:$F, $F224, Aux_Totales!$A:$A,#REF!), 0))</f>
        <v/>
      </c>
      <c r="JKZ224" s="19" t="str">
        <f>IF(JKZ220 = "", "", IFERROR(JKZ220 / SUMIFS(Aux_Totales!$N:$N, Aux_Totales!$F:$F, $F224, Aux_Totales!$A:$A,#REF!), 0))</f>
        <v/>
      </c>
      <c r="JLA224" s="19" t="str">
        <f>IF(JLA220 = "", "", IFERROR(JLA220 / SUMIFS(Aux_Totales!$N:$N, Aux_Totales!$F:$F, $F224, Aux_Totales!$A:$A,#REF!), 0))</f>
        <v/>
      </c>
      <c r="JLB224" s="19" t="str">
        <f>IF(JLB220 = "", "", IFERROR(JLB220 / SUMIFS(Aux_Totales!$N:$N, Aux_Totales!$F:$F, $F224, Aux_Totales!$A:$A,#REF!), 0))</f>
        <v/>
      </c>
      <c r="JLC224" s="19" t="str">
        <f>IF(JLC220 = "", "", IFERROR(JLC220 / SUMIFS(Aux_Totales!$N:$N, Aux_Totales!$F:$F, $F224, Aux_Totales!$A:$A,#REF!), 0))</f>
        <v/>
      </c>
      <c r="JLD224" s="19" t="str">
        <f>IF(JLD220 = "", "", IFERROR(JLD220 / SUMIFS(Aux_Totales!$N:$N, Aux_Totales!$F:$F, $F224, Aux_Totales!$A:$A,#REF!), 0))</f>
        <v/>
      </c>
      <c r="JLE224" s="19" t="str">
        <f>IF(JLE220 = "", "", IFERROR(JLE220 / SUMIFS(Aux_Totales!$N:$N, Aux_Totales!$F:$F, $F224, Aux_Totales!$A:$A,#REF!), 0))</f>
        <v/>
      </c>
      <c r="JLF224" s="19" t="str">
        <f>IF(JLF220 = "", "", IFERROR(JLF220 / SUMIFS(Aux_Totales!$N:$N, Aux_Totales!$F:$F, $F224, Aux_Totales!$A:$A,#REF!), 0))</f>
        <v/>
      </c>
      <c r="JLG224" s="19" t="str">
        <f>IF(JLG220 = "", "", IFERROR(JLG220 / SUMIFS(Aux_Totales!$N:$N, Aux_Totales!$F:$F, $F224, Aux_Totales!$A:$A,#REF!), 0))</f>
        <v/>
      </c>
      <c r="JLH224" s="19" t="str">
        <f>IF(JLH220 = "", "", IFERROR(JLH220 / SUMIFS(Aux_Totales!$N:$N, Aux_Totales!$F:$F, $F224, Aux_Totales!$A:$A,#REF!), 0))</f>
        <v/>
      </c>
      <c r="JLI224" s="19" t="str">
        <f>IF(JLI220 = "", "", IFERROR(JLI220 / SUMIFS(Aux_Totales!$N:$N, Aux_Totales!$F:$F, $F224, Aux_Totales!$A:$A,#REF!), 0))</f>
        <v/>
      </c>
      <c r="JLJ224" s="19" t="str">
        <f>IF(JLJ220 = "", "", IFERROR(JLJ220 / SUMIFS(Aux_Totales!$N:$N, Aux_Totales!$F:$F, $F224, Aux_Totales!$A:$A,#REF!), 0))</f>
        <v/>
      </c>
      <c r="JLK224" s="19" t="str">
        <f>IF(JLK220 = "", "", IFERROR(JLK220 / SUMIFS(Aux_Totales!$N:$N, Aux_Totales!$F:$F, $F224, Aux_Totales!$A:$A,#REF!), 0))</f>
        <v/>
      </c>
      <c r="JLL224" s="19" t="str">
        <f>IF(JLL220 = "", "", IFERROR(JLL220 / SUMIFS(Aux_Totales!$N:$N, Aux_Totales!$F:$F, $F224, Aux_Totales!$A:$A,#REF!), 0))</f>
        <v/>
      </c>
      <c r="JLM224" s="19" t="str">
        <f>IF(JLM220 = "", "", IFERROR(JLM220 / SUMIFS(Aux_Totales!$N:$N, Aux_Totales!$F:$F, $F224, Aux_Totales!$A:$A,#REF!), 0))</f>
        <v/>
      </c>
      <c r="JLN224" s="19" t="str">
        <f>IF(JLN220 = "", "", IFERROR(JLN220 / SUMIFS(Aux_Totales!$N:$N, Aux_Totales!$F:$F, $F224, Aux_Totales!$A:$A,#REF!), 0))</f>
        <v/>
      </c>
      <c r="JLO224" s="19" t="str">
        <f>IF(JLO220 = "", "", IFERROR(JLO220 / SUMIFS(Aux_Totales!$N:$N, Aux_Totales!$F:$F, $F224, Aux_Totales!$A:$A,#REF!), 0))</f>
        <v/>
      </c>
      <c r="JLP224" s="19" t="str">
        <f>IF(JLP220 = "", "", IFERROR(JLP220 / SUMIFS(Aux_Totales!$N:$N, Aux_Totales!$F:$F, $F224, Aux_Totales!$A:$A,#REF!), 0))</f>
        <v/>
      </c>
      <c r="JLQ224" s="19" t="str">
        <f>IF(JLQ220 = "", "", IFERROR(JLQ220 / SUMIFS(Aux_Totales!$N:$N, Aux_Totales!$F:$F, $F224, Aux_Totales!$A:$A,#REF!), 0))</f>
        <v/>
      </c>
      <c r="JLR224" s="19" t="str">
        <f>IF(JLR220 = "", "", IFERROR(JLR220 / SUMIFS(Aux_Totales!$N:$N, Aux_Totales!$F:$F, $F224, Aux_Totales!$A:$A,#REF!), 0))</f>
        <v/>
      </c>
      <c r="JLS224" s="19" t="str">
        <f>IF(JLS220 = "", "", IFERROR(JLS220 / SUMIFS(Aux_Totales!$N:$N, Aux_Totales!$F:$F, $F224, Aux_Totales!$A:$A,#REF!), 0))</f>
        <v/>
      </c>
      <c r="JLT224" s="19" t="str">
        <f>IF(JLT220 = "", "", IFERROR(JLT220 / SUMIFS(Aux_Totales!$N:$N, Aux_Totales!$F:$F, $F224, Aux_Totales!$A:$A,#REF!), 0))</f>
        <v/>
      </c>
      <c r="JLU224" s="19" t="str">
        <f>IF(JLU220 = "", "", IFERROR(JLU220 / SUMIFS(Aux_Totales!$N:$N, Aux_Totales!$F:$F, $F224, Aux_Totales!$A:$A,#REF!), 0))</f>
        <v/>
      </c>
      <c r="JLV224" s="19" t="str">
        <f>IF(JLV220 = "", "", IFERROR(JLV220 / SUMIFS(Aux_Totales!$N:$N, Aux_Totales!$F:$F, $F224, Aux_Totales!$A:$A,#REF!), 0))</f>
        <v/>
      </c>
      <c r="JLW224" s="19" t="str">
        <f>IF(JLW220 = "", "", IFERROR(JLW220 / SUMIFS(Aux_Totales!$N:$N, Aux_Totales!$F:$F, $F224, Aux_Totales!$A:$A,#REF!), 0))</f>
        <v/>
      </c>
      <c r="JLX224" s="19" t="str">
        <f>IF(JLX220 = "", "", IFERROR(JLX220 / SUMIFS(Aux_Totales!$N:$N, Aux_Totales!$F:$F, $F224, Aux_Totales!$A:$A,#REF!), 0))</f>
        <v/>
      </c>
      <c r="JLY224" s="19" t="str">
        <f>IF(JLY220 = "", "", IFERROR(JLY220 / SUMIFS(Aux_Totales!$N:$N, Aux_Totales!$F:$F, $F224, Aux_Totales!$A:$A,#REF!), 0))</f>
        <v/>
      </c>
      <c r="JLZ224" s="19" t="str">
        <f>IF(JLZ220 = "", "", IFERROR(JLZ220 / SUMIFS(Aux_Totales!$N:$N, Aux_Totales!$F:$F, $F224, Aux_Totales!$A:$A,#REF!), 0))</f>
        <v/>
      </c>
      <c r="JMA224" s="19" t="str">
        <f>IF(JMA220 = "", "", IFERROR(JMA220 / SUMIFS(Aux_Totales!$N:$N, Aux_Totales!$F:$F, $F224, Aux_Totales!$A:$A,#REF!), 0))</f>
        <v/>
      </c>
      <c r="JMB224" s="19" t="str">
        <f>IF(JMB220 = "", "", IFERROR(JMB220 / SUMIFS(Aux_Totales!$N:$N, Aux_Totales!$F:$F, $F224, Aux_Totales!$A:$A,#REF!), 0))</f>
        <v/>
      </c>
      <c r="JMC224" s="19" t="str">
        <f>IF(JMC220 = "", "", IFERROR(JMC220 / SUMIFS(Aux_Totales!$N:$N, Aux_Totales!$F:$F, $F224, Aux_Totales!$A:$A,#REF!), 0))</f>
        <v/>
      </c>
      <c r="JMD224" s="19" t="str">
        <f>IF(JMD220 = "", "", IFERROR(JMD220 / SUMIFS(Aux_Totales!$N:$N, Aux_Totales!$F:$F, $F224, Aux_Totales!$A:$A,#REF!), 0))</f>
        <v/>
      </c>
      <c r="JME224" s="19" t="str">
        <f>IF(JME220 = "", "", IFERROR(JME220 / SUMIFS(Aux_Totales!$N:$N, Aux_Totales!$F:$F, $F224, Aux_Totales!$A:$A,#REF!), 0))</f>
        <v/>
      </c>
      <c r="JMF224" s="19" t="str">
        <f>IF(JMF220 = "", "", IFERROR(JMF220 / SUMIFS(Aux_Totales!$N:$N, Aux_Totales!$F:$F, $F224, Aux_Totales!$A:$A,#REF!), 0))</f>
        <v/>
      </c>
      <c r="JMG224" s="19" t="str">
        <f>IF(JMG220 = "", "", IFERROR(JMG220 / SUMIFS(Aux_Totales!$N:$N, Aux_Totales!$F:$F, $F224, Aux_Totales!$A:$A,#REF!), 0))</f>
        <v/>
      </c>
      <c r="JMH224" s="19" t="str">
        <f>IF(JMH220 = "", "", IFERROR(JMH220 / SUMIFS(Aux_Totales!$N:$N, Aux_Totales!$F:$F, $F224, Aux_Totales!$A:$A,#REF!), 0))</f>
        <v/>
      </c>
      <c r="JMI224" s="19" t="str">
        <f>IF(JMI220 = "", "", IFERROR(JMI220 / SUMIFS(Aux_Totales!$N:$N, Aux_Totales!$F:$F, $F224, Aux_Totales!$A:$A,#REF!), 0))</f>
        <v/>
      </c>
      <c r="JMJ224" s="19" t="str">
        <f>IF(JMJ220 = "", "", IFERROR(JMJ220 / SUMIFS(Aux_Totales!$N:$N, Aux_Totales!$F:$F, $F224, Aux_Totales!$A:$A,#REF!), 0))</f>
        <v/>
      </c>
      <c r="JMK224" s="19" t="str">
        <f>IF(JMK220 = "", "", IFERROR(JMK220 / SUMIFS(Aux_Totales!$N:$N, Aux_Totales!$F:$F, $F224, Aux_Totales!$A:$A,#REF!), 0))</f>
        <v/>
      </c>
      <c r="JML224" s="19" t="str">
        <f>IF(JML220 = "", "", IFERROR(JML220 / SUMIFS(Aux_Totales!$N:$N, Aux_Totales!$F:$F, $F224, Aux_Totales!$A:$A,#REF!), 0))</f>
        <v/>
      </c>
      <c r="JMM224" s="19" t="str">
        <f>IF(JMM220 = "", "", IFERROR(JMM220 / SUMIFS(Aux_Totales!$N:$N, Aux_Totales!$F:$F, $F224, Aux_Totales!$A:$A,#REF!), 0))</f>
        <v/>
      </c>
      <c r="JMN224" s="19" t="str">
        <f>IF(JMN220 = "", "", IFERROR(JMN220 / SUMIFS(Aux_Totales!$N:$N, Aux_Totales!$F:$F, $F224, Aux_Totales!$A:$A,#REF!), 0))</f>
        <v/>
      </c>
      <c r="JMO224" s="19" t="str">
        <f>IF(JMO220 = "", "", IFERROR(JMO220 / SUMIFS(Aux_Totales!$N:$N, Aux_Totales!$F:$F, $F224, Aux_Totales!$A:$A,#REF!), 0))</f>
        <v/>
      </c>
      <c r="JMP224" s="19" t="str">
        <f>IF(JMP220 = "", "", IFERROR(JMP220 / SUMIFS(Aux_Totales!$N:$N, Aux_Totales!$F:$F, $F224, Aux_Totales!$A:$A,#REF!), 0))</f>
        <v/>
      </c>
      <c r="JMQ224" s="19" t="str">
        <f>IF(JMQ220 = "", "", IFERROR(JMQ220 / SUMIFS(Aux_Totales!$N:$N, Aux_Totales!$F:$F, $F224, Aux_Totales!$A:$A,#REF!), 0))</f>
        <v/>
      </c>
      <c r="JMR224" s="19" t="str">
        <f>IF(JMR220 = "", "", IFERROR(JMR220 / SUMIFS(Aux_Totales!$N:$N, Aux_Totales!$F:$F, $F224, Aux_Totales!$A:$A,#REF!), 0))</f>
        <v/>
      </c>
      <c r="JMS224" s="19" t="str">
        <f>IF(JMS220 = "", "", IFERROR(JMS220 / SUMIFS(Aux_Totales!$N:$N, Aux_Totales!$F:$F, $F224, Aux_Totales!$A:$A,#REF!), 0))</f>
        <v/>
      </c>
      <c r="JMT224" s="19" t="str">
        <f>IF(JMT220 = "", "", IFERROR(JMT220 / SUMIFS(Aux_Totales!$N:$N, Aux_Totales!$F:$F, $F224, Aux_Totales!$A:$A,#REF!), 0))</f>
        <v/>
      </c>
      <c r="JMU224" s="19" t="str">
        <f>IF(JMU220 = "", "", IFERROR(JMU220 / SUMIFS(Aux_Totales!$N:$N, Aux_Totales!$F:$F, $F224, Aux_Totales!$A:$A,#REF!), 0))</f>
        <v/>
      </c>
      <c r="JMV224" s="19" t="str">
        <f>IF(JMV220 = "", "", IFERROR(JMV220 / SUMIFS(Aux_Totales!$N:$N, Aux_Totales!$F:$F, $F224, Aux_Totales!$A:$A,#REF!), 0))</f>
        <v/>
      </c>
      <c r="JMW224" s="19" t="str">
        <f>IF(JMW220 = "", "", IFERROR(JMW220 / SUMIFS(Aux_Totales!$N:$N, Aux_Totales!$F:$F, $F224, Aux_Totales!$A:$A,#REF!), 0))</f>
        <v/>
      </c>
      <c r="JMX224" s="19" t="str">
        <f>IF(JMX220 = "", "", IFERROR(JMX220 / SUMIFS(Aux_Totales!$N:$N, Aux_Totales!$F:$F, $F224, Aux_Totales!$A:$A,#REF!), 0))</f>
        <v/>
      </c>
      <c r="JMY224" s="19" t="str">
        <f>IF(JMY220 = "", "", IFERROR(JMY220 / SUMIFS(Aux_Totales!$N:$N, Aux_Totales!$F:$F, $F224, Aux_Totales!$A:$A,#REF!), 0))</f>
        <v/>
      </c>
      <c r="JMZ224" s="19" t="str">
        <f>IF(JMZ220 = "", "", IFERROR(JMZ220 / SUMIFS(Aux_Totales!$N:$N, Aux_Totales!$F:$F, $F224, Aux_Totales!$A:$A,#REF!), 0))</f>
        <v/>
      </c>
      <c r="JNA224" s="19" t="str">
        <f>IF(JNA220 = "", "", IFERROR(JNA220 / SUMIFS(Aux_Totales!$N:$N, Aux_Totales!$F:$F, $F224, Aux_Totales!$A:$A,#REF!), 0))</f>
        <v/>
      </c>
      <c r="JNB224" s="19" t="str">
        <f>IF(JNB220 = "", "", IFERROR(JNB220 / SUMIFS(Aux_Totales!$N:$N, Aux_Totales!$F:$F, $F224, Aux_Totales!$A:$A,#REF!), 0))</f>
        <v/>
      </c>
      <c r="JNC224" s="19" t="str">
        <f>IF(JNC220 = "", "", IFERROR(JNC220 / SUMIFS(Aux_Totales!$N:$N, Aux_Totales!$F:$F, $F224, Aux_Totales!$A:$A,#REF!), 0))</f>
        <v/>
      </c>
      <c r="JND224" s="19" t="str">
        <f>IF(JND220 = "", "", IFERROR(JND220 / SUMIFS(Aux_Totales!$N:$N, Aux_Totales!$F:$F, $F224, Aux_Totales!$A:$A,#REF!), 0))</f>
        <v/>
      </c>
      <c r="JNE224" s="19" t="str">
        <f>IF(JNE220 = "", "", IFERROR(JNE220 / SUMIFS(Aux_Totales!$N:$N, Aux_Totales!$F:$F, $F224, Aux_Totales!$A:$A,#REF!), 0))</f>
        <v/>
      </c>
      <c r="JNF224" s="19" t="str">
        <f>IF(JNF220 = "", "", IFERROR(JNF220 / SUMIFS(Aux_Totales!$N:$N, Aux_Totales!$F:$F, $F224, Aux_Totales!$A:$A,#REF!), 0))</f>
        <v/>
      </c>
      <c r="JNG224" s="19" t="str">
        <f>IF(JNG220 = "", "", IFERROR(JNG220 / SUMIFS(Aux_Totales!$N:$N, Aux_Totales!$F:$F, $F224, Aux_Totales!$A:$A,#REF!), 0))</f>
        <v/>
      </c>
      <c r="JNH224" s="19" t="str">
        <f>IF(JNH220 = "", "", IFERROR(JNH220 / SUMIFS(Aux_Totales!$N:$N, Aux_Totales!$F:$F, $F224, Aux_Totales!$A:$A,#REF!), 0))</f>
        <v/>
      </c>
      <c r="JNI224" s="19" t="str">
        <f>IF(JNI220 = "", "", IFERROR(JNI220 / SUMIFS(Aux_Totales!$N:$N, Aux_Totales!$F:$F, $F224, Aux_Totales!$A:$A,#REF!), 0))</f>
        <v/>
      </c>
      <c r="JNJ224" s="19" t="str">
        <f>IF(JNJ220 = "", "", IFERROR(JNJ220 / SUMIFS(Aux_Totales!$N:$N, Aux_Totales!$F:$F, $F224, Aux_Totales!$A:$A,#REF!), 0))</f>
        <v/>
      </c>
      <c r="JNK224" s="19" t="str">
        <f>IF(JNK220 = "", "", IFERROR(JNK220 / SUMIFS(Aux_Totales!$N:$N, Aux_Totales!$F:$F, $F224, Aux_Totales!$A:$A,#REF!), 0))</f>
        <v/>
      </c>
      <c r="JNL224" s="19" t="str">
        <f>IF(JNL220 = "", "", IFERROR(JNL220 / SUMIFS(Aux_Totales!$N:$N, Aux_Totales!$F:$F, $F224, Aux_Totales!$A:$A,#REF!), 0))</f>
        <v/>
      </c>
      <c r="JNM224" s="19" t="str">
        <f>IF(JNM220 = "", "", IFERROR(JNM220 / SUMIFS(Aux_Totales!$N:$N, Aux_Totales!$F:$F, $F224, Aux_Totales!$A:$A,#REF!), 0))</f>
        <v/>
      </c>
      <c r="JNN224" s="19" t="str">
        <f>IF(JNN220 = "", "", IFERROR(JNN220 / SUMIFS(Aux_Totales!$N:$N, Aux_Totales!$F:$F, $F224, Aux_Totales!$A:$A,#REF!), 0))</f>
        <v/>
      </c>
      <c r="JNO224" s="19" t="str">
        <f>IF(JNO220 = "", "", IFERROR(JNO220 / SUMIFS(Aux_Totales!$N:$N, Aux_Totales!$F:$F, $F224, Aux_Totales!$A:$A,#REF!), 0))</f>
        <v/>
      </c>
      <c r="JNP224" s="19" t="str">
        <f>IF(JNP220 = "", "", IFERROR(JNP220 / SUMIFS(Aux_Totales!$N:$N, Aux_Totales!$F:$F, $F224, Aux_Totales!$A:$A,#REF!), 0))</f>
        <v/>
      </c>
      <c r="JNQ224" s="19" t="str">
        <f>IF(JNQ220 = "", "", IFERROR(JNQ220 / SUMIFS(Aux_Totales!$N:$N, Aux_Totales!$F:$F, $F224, Aux_Totales!$A:$A,#REF!), 0))</f>
        <v/>
      </c>
      <c r="JNR224" s="19" t="str">
        <f>IF(JNR220 = "", "", IFERROR(JNR220 / SUMIFS(Aux_Totales!$N:$N, Aux_Totales!$F:$F, $F224, Aux_Totales!$A:$A,#REF!), 0))</f>
        <v/>
      </c>
      <c r="JNS224" s="19" t="str">
        <f>IF(JNS220 = "", "", IFERROR(JNS220 / SUMIFS(Aux_Totales!$N:$N, Aux_Totales!$F:$F, $F224, Aux_Totales!$A:$A,#REF!), 0))</f>
        <v/>
      </c>
      <c r="JNT224" s="19" t="str">
        <f>IF(JNT220 = "", "", IFERROR(JNT220 / SUMIFS(Aux_Totales!$N:$N, Aux_Totales!$F:$F, $F224, Aux_Totales!$A:$A,#REF!), 0))</f>
        <v/>
      </c>
      <c r="JNU224" s="19" t="str">
        <f>IF(JNU220 = "", "", IFERROR(JNU220 / SUMIFS(Aux_Totales!$N:$N, Aux_Totales!$F:$F, $F224, Aux_Totales!$A:$A,#REF!), 0))</f>
        <v/>
      </c>
      <c r="JNV224" s="19" t="str">
        <f>IF(JNV220 = "", "", IFERROR(JNV220 / SUMIFS(Aux_Totales!$N:$N, Aux_Totales!$F:$F, $F224, Aux_Totales!$A:$A,#REF!), 0))</f>
        <v/>
      </c>
      <c r="JNW224" s="19" t="str">
        <f>IF(JNW220 = "", "", IFERROR(JNW220 / SUMIFS(Aux_Totales!$N:$N, Aux_Totales!$F:$F, $F224, Aux_Totales!$A:$A,#REF!), 0))</f>
        <v/>
      </c>
      <c r="JNX224" s="19" t="str">
        <f>IF(JNX220 = "", "", IFERROR(JNX220 / SUMIFS(Aux_Totales!$N:$N, Aux_Totales!$F:$F, $F224, Aux_Totales!$A:$A,#REF!), 0))</f>
        <v/>
      </c>
      <c r="JNY224" s="19" t="str">
        <f>IF(JNY220 = "", "", IFERROR(JNY220 / SUMIFS(Aux_Totales!$N:$N, Aux_Totales!$F:$F, $F224, Aux_Totales!$A:$A,#REF!), 0))</f>
        <v/>
      </c>
      <c r="JNZ224" s="19" t="str">
        <f>IF(JNZ220 = "", "", IFERROR(JNZ220 / SUMIFS(Aux_Totales!$N:$N, Aux_Totales!$F:$F, $F224, Aux_Totales!$A:$A,#REF!), 0))</f>
        <v/>
      </c>
      <c r="JOA224" s="19" t="str">
        <f>IF(JOA220 = "", "", IFERROR(JOA220 / SUMIFS(Aux_Totales!$N:$N, Aux_Totales!$F:$F, $F224, Aux_Totales!$A:$A,#REF!), 0))</f>
        <v/>
      </c>
      <c r="JOB224" s="19" t="str">
        <f>IF(JOB220 = "", "", IFERROR(JOB220 / SUMIFS(Aux_Totales!$N:$N, Aux_Totales!$F:$F, $F224, Aux_Totales!$A:$A,#REF!), 0))</f>
        <v/>
      </c>
      <c r="JOC224" s="19" t="str">
        <f>IF(JOC220 = "", "", IFERROR(JOC220 / SUMIFS(Aux_Totales!$N:$N, Aux_Totales!$F:$F, $F224, Aux_Totales!$A:$A,#REF!), 0))</f>
        <v/>
      </c>
      <c r="JOD224" s="19" t="str">
        <f>IF(JOD220 = "", "", IFERROR(JOD220 / SUMIFS(Aux_Totales!$N:$N, Aux_Totales!$F:$F, $F224, Aux_Totales!$A:$A,#REF!), 0))</f>
        <v/>
      </c>
      <c r="JOE224" s="19" t="str">
        <f>IF(JOE220 = "", "", IFERROR(JOE220 / SUMIFS(Aux_Totales!$N:$N, Aux_Totales!$F:$F, $F224, Aux_Totales!$A:$A,#REF!), 0))</f>
        <v/>
      </c>
      <c r="JOF224" s="19" t="str">
        <f>IF(JOF220 = "", "", IFERROR(JOF220 / SUMIFS(Aux_Totales!$N:$N, Aux_Totales!$F:$F, $F224, Aux_Totales!$A:$A,#REF!), 0))</f>
        <v/>
      </c>
      <c r="JOG224" s="19" t="str">
        <f>IF(JOG220 = "", "", IFERROR(JOG220 / SUMIFS(Aux_Totales!$N:$N, Aux_Totales!$F:$F, $F224, Aux_Totales!$A:$A,#REF!), 0))</f>
        <v/>
      </c>
      <c r="JOH224" s="19" t="str">
        <f>IF(JOH220 = "", "", IFERROR(JOH220 / SUMIFS(Aux_Totales!$N:$N, Aux_Totales!$F:$F, $F224, Aux_Totales!$A:$A,#REF!), 0))</f>
        <v/>
      </c>
      <c r="JOI224" s="19" t="str">
        <f>IF(JOI220 = "", "", IFERROR(JOI220 / SUMIFS(Aux_Totales!$N:$N, Aux_Totales!$F:$F, $F224, Aux_Totales!$A:$A,#REF!), 0))</f>
        <v/>
      </c>
      <c r="JOJ224" s="19" t="str">
        <f>IF(JOJ220 = "", "", IFERROR(JOJ220 / SUMIFS(Aux_Totales!$N:$N, Aux_Totales!$F:$F, $F224, Aux_Totales!$A:$A,#REF!), 0))</f>
        <v/>
      </c>
      <c r="JOK224" s="19" t="str">
        <f>IF(JOK220 = "", "", IFERROR(JOK220 / SUMIFS(Aux_Totales!$N:$N, Aux_Totales!$F:$F, $F224, Aux_Totales!$A:$A,#REF!), 0))</f>
        <v/>
      </c>
      <c r="JOL224" s="19" t="str">
        <f>IF(JOL220 = "", "", IFERROR(JOL220 / SUMIFS(Aux_Totales!$N:$N, Aux_Totales!$F:$F, $F224, Aux_Totales!$A:$A,#REF!), 0))</f>
        <v/>
      </c>
      <c r="JOM224" s="19" t="str">
        <f>IF(JOM220 = "", "", IFERROR(JOM220 / SUMIFS(Aux_Totales!$N:$N, Aux_Totales!$F:$F, $F224, Aux_Totales!$A:$A,#REF!), 0))</f>
        <v/>
      </c>
      <c r="JON224" s="19" t="str">
        <f>IF(JON220 = "", "", IFERROR(JON220 / SUMIFS(Aux_Totales!$N:$N, Aux_Totales!$F:$F, $F224, Aux_Totales!$A:$A,#REF!), 0))</f>
        <v/>
      </c>
      <c r="JOO224" s="19" t="str">
        <f>IF(JOO220 = "", "", IFERROR(JOO220 / SUMIFS(Aux_Totales!$N:$N, Aux_Totales!$F:$F, $F224, Aux_Totales!$A:$A,#REF!), 0))</f>
        <v/>
      </c>
      <c r="JOP224" s="19" t="str">
        <f>IF(JOP220 = "", "", IFERROR(JOP220 / SUMIFS(Aux_Totales!$N:$N, Aux_Totales!$F:$F, $F224, Aux_Totales!$A:$A,#REF!), 0))</f>
        <v/>
      </c>
      <c r="JOQ224" s="19" t="str">
        <f>IF(JOQ220 = "", "", IFERROR(JOQ220 / SUMIFS(Aux_Totales!$N:$N, Aux_Totales!$F:$F, $F224, Aux_Totales!$A:$A,#REF!), 0))</f>
        <v/>
      </c>
      <c r="JOR224" s="19" t="str">
        <f>IF(JOR220 = "", "", IFERROR(JOR220 / SUMIFS(Aux_Totales!$N:$N, Aux_Totales!$F:$F, $F224, Aux_Totales!$A:$A,#REF!), 0))</f>
        <v/>
      </c>
      <c r="JOS224" s="19" t="str">
        <f>IF(JOS220 = "", "", IFERROR(JOS220 / SUMIFS(Aux_Totales!$N:$N, Aux_Totales!$F:$F, $F224, Aux_Totales!$A:$A,#REF!), 0))</f>
        <v/>
      </c>
      <c r="JOT224" s="19" t="str">
        <f>IF(JOT220 = "", "", IFERROR(JOT220 / SUMIFS(Aux_Totales!$N:$N, Aux_Totales!$F:$F, $F224, Aux_Totales!$A:$A,#REF!), 0))</f>
        <v/>
      </c>
      <c r="JOU224" s="19" t="str">
        <f>IF(JOU220 = "", "", IFERROR(JOU220 / SUMIFS(Aux_Totales!$N:$N, Aux_Totales!$F:$F, $F224, Aux_Totales!$A:$A,#REF!), 0))</f>
        <v/>
      </c>
      <c r="JOV224" s="19" t="str">
        <f>IF(JOV220 = "", "", IFERROR(JOV220 / SUMIFS(Aux_Totales!$N:$N, Aux_Totales!$F:$F, $F224, Aux_Totales!$A:$A,#REF!), 0))</f>
        <v/>
      </c>
      <c r="JOW224" s="19" t="str">
        <f>IF(JOW220 = "", "", IFERROR(JOW220 / SUMIFS(Aux_Totales!$N:$N, Aux_Totales!$F:$F, $F224, Aux_Totales!$A:$A,#REF!), 0))</f>
        <v/>
      </c>
      <c r="JOX224" s="19" t="str">
        <f>IF(JOX220 = "", "", IFERROR(JOX220 / SUMIFS(Aux_Totales!$N:$N, Aux_Totales!$F:$F, $F224, Aux_Totales!$A:$A,#REF!), 0))</f>
        <v/>
      </c>
      <c r="JOY224" s="19" t="str">
        <f>IF(JOY220 = "", "", IFERROR(JOY220 / SUMIFS(Aux_Totales!$N:$N, Aux_Totales!$F:$F, $F224, Aux_Totales!$A:$A,#REF!), 0))</f>
        <v/>
      </c>
      <c r="JOZ224" s="19" t="str">
        <f>IF(JOZ220 = "", "", IFERROR(JOZ220 / SUMIFS(Aux_Totales!$N:$N, Aux_Totales!$F:$F, $F224, Aux_Totales!$A:$A,#REF!), 0))</f>
        <v/>
      </c>
      <c r="JPA224" s="19" t="str">
        <f>IF(JPA220 = "", "", IFERROR(JPA220 / SUMIFS(Aux_Totales!$N:$N, Aux_Totales!$F:$F, $F224, Aux_Totales!$A:$A,#REF!), 0))</f>
        <v/>
      </c>
      <c r="JPB224" s="19" t="str">
        <f>IF(JPB220 = "", "", IFERROR(JPB220 / SUMIFS(Aux_Totales!$N:$N, Aux_Totales!$F:$F, $F224, Aux_Totales!$A:$A,#REF!), 0))</f>
        <v/>
      </c>
      <c r="JPC224" s="19" t="str">
        <f>IF(JPC220 = "", "", IFERROR(JPC220 / SUMIFS(Aux_Totales!$N:$N, Aux_Totales!$F:$F, $F224, Aux_Totales!$A:$A,#REF!), 0))</f>
        <v/>
      </c>
      <c r="JPD224" s="19" t="str">
        <f>IF(JPD220 = "", "", IFERROR(JPD220 / SUMIFS(Aux_Totales!$N:$N, Aux_Totales!$F:$F, $F224, Aux_Totales!$A:$A,#REF!), 0))</f>
        <v/>
      </c>
      <c r="JPE224" s="19" t="str">
        <f>IF(JPE220 = "", "", IFERROR(JPE220 / SUMIFS(Aux_Totales!$N:$N, Aux_Totales!$F:$F, $F224, Aux_Totales!$A:$A,#REF!), 0))</f>
        <v/>
      </c>
      <c r="JPF224" s="19" t="str">
        <f>IF(JPF220 = "", "", IFERROR(JPF220 / SUMIFS(Aux_Totales!$N:$N, Aux_Totales!$F:$F, $F224, Aux_Totales!$A:$A,#REF!), 0))</f>
        <v/>
      </c>
      <c r="JPG224" s="19" t="str">
        <f>IF(JPG220 = "", "", IFERROR(JPG220 / SUMIFS(Aux_Totales!$N:$N, Aux_Totales!$F:$F, $F224, Aux_Totales!$A:$A,#REF!), 0))</f>
        <v/>
      </c>
      <c r="JPH224" s="19" t="str">
        <f>IF(JPH220 = "", "", IFERROR(JPH220 / SUMIFS(Aux_Totales!$N:$N, Aux_Totales!$F:$F, $F224, Aux_Totales!$A:$A,#REF!), 0))</f>
        <v/>
      </c>
      <c r="JPI224" s="19" t="str">
        <f>IF(JPI220 = "", "", IFERROR(JPI220 / SUMIFS(Aux_Totales!$N:$N, Aux_Totales!$F:$F, $F224, Aux_Totales!$A:$A,#REF!), 0))</f>
        <v/>
      </c>
      <c r="JPJ224" s="19" t="str">
        <f>IF(JPJ220 = "", "", IFERROR(JPJ220 / SUMIFS(Aux_Totales!$N:$N, Aux_Totales!$F:$F, $F224, Aux_Totales!$A:$A,#REF!), 0))</f>
        <v/>
      </c>
      <c r="JPK224" s="19" t="str">
        <f>IF(JPK220 = "", "", IFERROR(JPK220 / SUMIFS(Aux_Totales!$N:$N, Aux_Totales!$F:$F, $F224, Aux_Totales!$A:$A,#REF!), 0))</f>
        <v/>
      </c>
      <c r="JPL224" s="19" t="str">
        <f>IF(JPL220 = "", "", IFERROR(JPL220 / SUMIFS(Aux_Totales!$N:$N, Aux_Totales!$F:$F, $F224, Aux_Totales!$A:$A,#REF!), 0))</f>
        <v/>
      </c>
      <c r="JPM224" s="19" t="str">
        <f>IF(JPM220 = "", "", IFERROR(JPM220 / SUMIFS(Aux_Totales!$N:$N, Aux_Totales!$F:$F, $F224, Aux_Totales!$A:$A,#REF!), 0))</f>
        <v/>
      </c>
      <c r="JPN224" s="19" t="str">
        <f>IF(JPN220 = "", "", IFERROR(JPN220 / SUMIFS(Aux_Totales!$N:$N, Aux_Totales!$F:$F, $F224, Aux_Totales!$A:$A,#REF!), 0))</f>
        <v/>
      </c>
      <c r="JPO224" s="19" t="str">
        <f>IF(JPO220 = "", "", IFERROR(JPO220 / SUMIFS(Aux_Totales!$N:$N, Aux_Totales!$F:$F, $F224, Aux_Totales!$A:$A,#REF!), 0))</f>
        <v/>
      </c>
      <c r="JPP224" s="19" t="str">
        <f>IF(JPP220 = "", "", IFERROR(JPP220 / SUMIFS(Aux_Totales!$N:$N, Aux_Totales!$F:$F, $F224, Aux_Totales!$A:$A,#REF!), 0))</f>
        <v/>
      </c>
      <c r="JPQ224" s="19" t="str">
        <f>IF(JPQ220 = "", "", IFERROR(JPQ220 / SUMIFS(Aux_Totales!$N:$N, Aux_Totales!$F:$F, $F224, Aux_Totales!$A:$A,#REF!), 0))</f>
        <v/>
      </c>
      <c r="JPR224" s="19" t="str">
        <f>IF(JPR220 = "", "", IFERROR(JPR220 / SUMIFS(Aux_Totales!$N:$N, Aux_Totales!$F:$F, $F224, Aux_Totales!$A:$A,#REF!), 0))</f>
        <v/>
      </c>
      <c r="JPS224" s="19" t="str">
        <f>IF(JPS220 = "", "", IFERROR(JPS220 / SUMIFS(Aux_Totales!$N:$N, Aux_Totales!$F:$F, $F224, Aux_Totales!$A:$A,#REF!), 0))</f>
        <v/>
      </c>
      <c r="JPT224" s="19" t="str">
        <f>IF(JPT220 = "", "", IFERROR(JPT220 / SUMIFS(Aux_Totales!$N:$N, Aux_Totales!$F:$F, $F224, Aux_Totales!$A:$A,#REF!), 0))</f>
        <v/>
      </c>
      <c r="JPU224" s="19" t="str">
        <f>IF(JPU220 = "", "", IFERROR(JPU220 / SUMIFS(Aux_Totales!$N:$N, Aux_Totales!$F:$F, $F224, Aux_Totales!$A:$A,#REF!), 0))</f>
        <v/>
      </c>
      <c r="JPV224" s="19" t="str">
        <f>IF(JPV220 = "", "", IFERROR(JPV220 / SUMIFS(Aux_Totales!$N:$N, Aux_Totales!$F:$F, $F224, Aux_Totales!$A:$A,#REF!), 0))</f>
        <v/>
      </c>
      <c r="JPW224" s="19" t="str">
        <f>IF(JPW220 = "", "", IFERROR(JPW220 / SUMIFS(Aux_Totales!$N:$N, Aux_Totales!$F:$F, $F224, Aux_Totales!$A:$A,#REF!), 0))</f>
        <v/>
      </c>
      <c r="JPX224" s="19" t="str">
        <f>IF(JPX220 = "", "", IFERROR(JPX220 / SUMIFS(Aux_Totales!$N:$N, Aux_Totales!$F:$F, $F224, Aux_Totales!$A:$A,#REF!), 0))</f>
        <v/>
      </c>
      <c r="JPY224" s="19" t="str">
        <f>IF(JPY220 = "", "", IFERROR(JPY220 / SUMIFS(Aux_Totales!$N:$N, Aux_Totales!$F:$F, $F224, Aux_Totales!$A:$A,#REF!), 0))</f>
        <v/>
      </c>
      <c r="JPZ224" s="19" t="str">
        <f>IF(JPZ220 = "", "", IFERROR(JPZ220 / SUMIFS(Aux_Totales!$N:$N, Aux_Totales!$F:$F, $F224, Aux_Totales!$A:$A,#REF!), 0))</f>
        <v/>
      </c>
      <c r="JQA224" s="19" t="str">
        <f>IF(JQA220 = "", "", IFERROR(JQA220 / SUMIFS(Aux_Totales!$N:$N, Aux_Totales!$F:$F, $F224, Aux_Totales!$A:$A,#REF!), 0))</f>
        <v/>
      </c>
      <c r="JQB224" s="19" t="str">
        <f>IF(JQB220 = "", "", IFERROR(JQB220 / SUMIFS(Aux_Totales!$N:$N, Aux_Totales!$F:$F, $F224, Aux_Totales!$A:$A,#REF!), 0))</f>
        <v/>
      </c>
      <c r="JQC224" s="19" t="str">
        <f>IF(JQC220 = "", "", IFERROR(JQC220 / SUMIFS(Aux_Totales!$N:$N, Aux_Totales!$F:$F, $F224, Aux_Totales!$A:$A,#REF!), 0))</f>
        <v/>
      </c>
      <c r="JQD224" s="19" t="str">
        <f>IF(JQD220 = "", "", IFERROR(JQD220 / SUMIFS(Aux_Totales!$N:$N, Aux_Totales!$F:$F, $F224, Aux_Totales!$A:$A,#REF!), 0))</f>
        <v/>
      </c>
      <c r="JQE224" s="19" t="str">
        <f>IF(JQE220 = "", "", IFERROR(JQE220 / SUMIFS(Aux_Totales!$N:$N, Aux_Totales!$F:$F, $F224, Aux_Totales!$A:$A,#REF!), 0))</f>
        <v/>
      </c>
      <c r="JQF224" s="19" t="str">
        <f>IF(JQF220 = "", "", IFERROR(JQF220 / SUMIFS(Aux_Totales!$N:$N, Aux_Totales!$F:$F, $F224, Aux_Totales!$A:$A,#REF!), 0))</f>
        <v/>
      </c>
      <c r="JQG224" s="19" t="str">
        <f>IF(JQG220 = "", "", IFERROR(JQG220 / SUMIFS(Aux_Totales!$N:$N, Aux_Totales!$F:$F, $F224, Aux_Totales!$A:$A,#REF!), 0))</f>
        <v/>
      </c>
      <c r="JQH224" s="19" t="str">
        <f>IF(JQH220 = "", "", IFERROR(JQH220 / SUMIFS(Aux_Totales!$N:$N, Aux_Totales!$F:$F, $F224, Aux_Totales!$A:$A,#REF!), 0))</f>
        <v/>
      </c>
      <c r="JQI224" s="19" t="str">
        <f>IF(JQI220 = "", "", IFERROR(JQI220 / SUMIFS(Aux_Totales!$N:$N, Aux_Totales!$F:$F, $F224, Aux_Totales!$A:$A,#REF!), 0))</f>
        <v/>
      </c>
      <c r="JQJ224" s="19" t="str">
        <f>IF(JQJ220 = "", "", IFERROR(JQJ220 / SUMIFS(Aux_Totales!$N:$N, Aux_Totales!$F:$F, $F224, Aux_Totales!$A:$A,#REF!), 0))</f>
        <v/>
      </c>
      <c r="JQK224" s="19" t="str">
        <f>IF(JQK220 = "", "", IFERROR(JQK220 / SUMIFS(Aux_Totales!$N:$N, Aux_Totales!$F:$F, $F224, Aux_Totales!$A:$A,#REF!), 0))</f>
        <v/>
      </c>
      <c r="JQL224" s="19" t="str">
        <f>IF(JQL220 = "", "", IFERROR(JQL220 / SUMIFS(Aux_Totales!$N:$N, Aux_Totales!$F:$F, $F224, Aux_Totales!$A:$A,#REF!), 0))</f>
        <v/>
      </c>
      <c r="JQM224" s="19" t="str">
        <f>IF(JQM220 = "", "", IFERROR(JQM220 / SUMIFS(Aux_Totales!$N:$N, Aux_Totales!$F:$F, $F224, Aux_Totales!$A:$A,#REF!), 0))</f>
        <v/>
      </c>
      <c r="JQN224" s="19" t="str">
        <f>IF(JQN220 = "", "", IFERROR(JQN220 / SUMIFS(Aux_Totales!$N:$N, Aux_Totales!$F:$F, $F224, Aux_Totales!$A:$A,#REF!), 0))</f>
        <v/>
      </c>
      <c r="JQO224" s="19" t="str">
        <f>IF(JQO220 = "", "", IFERROR(JQO220 / SUMIFS(Aux_Totales!$N:$N, Aux_Totales!$F:$F, $F224, Aux_Totales!$A:$A,#REF!), 0))</f>
        <v/>
      </c>
      <c r="JQP224" s="19" t="str">
        <f>IF(JQP220 = "", "", IFERROR(JQP220 / SUMIFS(Aux_Totales!$N:$N, Aux_Totales!$F:$F, $F224, Aux_Totales!$A:$A,#REF!), 0))</f>
        <v/>
      </c>
      <c r="JQQ224" s="19" t="str">
        <f>IF(JQQ220 = "", "", IFERROR(JQQ220 / SUMIFS(Aux_Totales!$N:$N, Aux_Totales!$F:$F, $F224, Aux_Totales!$A:$A,#REF!), 0))</f>
        <v/>
      </c>
      <c r="JQR224" s="19" t="str">
        <f>IF(JQR220 = "", "", IFERROR(JQR220 / SUMIFS(Aux_Totales!$N:$N, Aux_Totales!$F:$F, $F224, Aux_Totales!$A:$A,#REF!), 0))</f>
        <v/>
      </c>
      <c r="JQS224" s="19" t="str">
        <f>IF(JQS220 = "", "", IFERROR(JQS220 / SUMIFS(Aux_Totales!$N:$N, Aux_Totales!$F:$F, $F224, Aux_Totales!$A:$A,#REF!), 0))</f>
        <v/>
      </c>
      <c r="JQT224" s="19" t="str">
        <f>IF(JQT220 = "", "", IFERROR(JQT220 / SUMIFS(Aux_Totales!$N:$N, Aux_Totales!$F:$F, $F224, Aux_Totales!$A:$A,#REF!), 0))</f>
        <v/>
      </c>
      <c r="JQU224" s="19" t="str">
        <f>IF(JQU220 = "", "", IFERROR(JQU220 / SUMIFS(Aux_Totales!$N:$N, Aux_Totales!$F:$F, $F224, Aux_Totales!$A:$A,#REF!), 0))</f>
        <v/>
      </c>
      <c r="JQV224" s="19" t="str">
        <f>IF(JQV220 = "", "", IFERROR(JQV220 / SUMIFS(Aux_Totales!$N:$N, Aux_Totales!$F:$F, $F224, Aux_Totales!$A:$A,#REF!), 0))</f>
        <v/>
      </c>
      <c r="JQW224" s="19" t="str">
        <f>IF(JQW220 = "", "", IFERROR(JQW220 / SUMIFS(Aux_Totales!$N:$N, Aux_Totales!$F:$F, $F224, Aux_Totales!$A:$A,#REF!), 0))</f>
        <v/>
      </c>
      <c r="JQX224" s="19" t="str">
        <f>IF(JQX220 = "", "", IFERROR(JQX220 / SUMIFS(Aux_Totales!$N:$N, Aux_Totales!$F:$F, $F224, Aux_Totales!$A:$A,#REF!), 0))</f>
        <v/>
      </c>
      <c r="JQY224" s="19" t="str">
        <f>IF(JQY220 = "", "", IFERROR(JQY220 / SUMIFS(Aux_Totales!$N:$N, Aux_Totales!$F:$F, $F224, Aux_Totales!$A:$A,#REF!), 0))</f>
        <v/>
      </c>
      <c r="JQZ224" s="19" t="str">
        <f>IF(JQZ220 = "", "", IFERROR(JQZ220 / SUMIFS(Aux_Totales!$N:$N, Aux_Totales!$F:$F, $F224, Aux_Totales!$A:$A,#REF!), 0))</f>
        <v/>
      </c>
      <c r="JRA224" s="19" t="str">
        <f>IF(JRA220 = "", "", IFERROR(JRA220 / SUMIFS(Aux_Totales!$N:$N, Aux_Totales!$F:$F, $F224, Aux_Totales!$A:$A,#REF!), 0))</f>
        <v/>
      </c>
      <c r="JRB224" s="19" t="str">
        <f>IF(JRB220 = "", "", IFERROR(JRB220 / SUMIFS(Aux_Totales!$N:$N, Aux_Totales!$F:$F, $F224, Aux_Totales!$A:$A,#REF!), 0))</f>
        <v/>
      </c>
      <c r="JRC224" s="19" t="str">
        <f>IF(JRC220 = "", "", IFERROR(JRC220 / SUMIFS(Aux_Totales!$N:$N, Aux_Totales!$F:$F, $F224, Aux_Totales!$A:$A,#REF!), 0))</f>
        <v/>
      </c>
      <c r="JRD224" s="19" t="str">
        <f>IF(JRD220 = "", "", IFERROR(JRD220 / SUMIFS(Aux_Totales!$N:$N, Aux_Totales!$F:$F, $F224, Aux_Totales!$A:$A,#REF!), 0))</f>
        <v/>
      </c>
      <c r="JRE224" s="19" t="str">
        <f>IF(JRE220 = "", "", IFERROR(JRE220 / SUMIFS(Aux_Totales!$N:$N, Aux_Totales!$F:$F, $F224, Aux_Totales!$A:$A,#REF!), 0))</f>
        <v/>
      </c>
      <c r="JRF224" s="19" t="str">
        <f>IF(JRF220 = "", "", IFERROR(JRF220 / SUMIFS(Aux_Totales!$N:$N, Aux_Totales!$F:$F, $F224, Aux_Totales!$A:$A,#REF!), 0))</f>
        <v/>
      </c>
      <c r="JRG224" s="19" t="str">
        <f>IF(JRG220 = "", "", IFERROR(JRG220 / SUMIFS(Aux_Totales!$N:$N, Aux_Totales!$F:$F, $F224, Aux_Totales!$A:$A,#REF!), 0))</f>
        <v/>
      </c>
      <c r="JRH224" s="19" t="str">
        <f>IF(JRH220 = "", "", IFERROR(JRH220 / SUMIFS(Aux_Totales!$N:$N, Aux_Totales!$F:$F, $F224, Aux_Totales!$A:$A,#REF!), 0))</f>
        <v/>
      </c>
      <c r="JRI224" s="19" t="str">
        <f>IF(JRI220 = "", "", IFERROR(JRI220 / SUMIFS(Aux_Totales!$N:$N, Aux_Totales!$F:$F, $F224, Aux_Totales!$A:$A,#REF!), 0))</f>
        <v/>
      </c>
      <c r="JRJ224" s="19" t="str">
        <f>IF(JRJ220 = "", "", IFERROR(JRJ220 / SUMIFS(Aux_Totales!$N:$N, Aux_Totales!$F:$F, $F224, Aux_Totales!$A:$A,#REF!), 0))</f>
        <v/>
      </c>
      <c r="JRK224" s="19" t="str">
        <f>IF(JRK220 = "", "", IFERROR(JRK220 / SUMIFS(Aux_Totales!$N:$N, Aux_Totales!$F:$F, $F224, Aux_Totales!$A:$A,#REF!), 0))</f>
        <v/>
      </c>
      <c r="JRL224" s="19" t="str">
        <f>IF(JRL220 = "", "", IFERROR(JRL220 / SUMIFS(Aux_Totales!$N:$N, Aux_Totales!$F:$F, $F224, Aux_Totales!$A:$A,#REF!), 0))</f>
        <v/>
      </c>
      <c r="JRM224" s="19" t="str">
        <f>IF(JRM220 = "", "", IFERROR(JRM220 / SUMIFS(Aux_Totales!$N:$N, Aux_Totales!$F:$F, $F224, Aux_Totales!$A:$A,#REF!), 0))</f>
        <v/>
      </c>
      <c r="JRN224" s="19" t="str">
        <f>IF(JRN220 = "", "", IFERROR(JRN220 / SUMIFS(Aux_Totales!$N:$N, Aux_Totales!$F:$F, $F224, Aux_Totales!$A:$A,#REF!), 0))</f>
        <v/>
      </c>
      <c r="JRO224" s="19" t="str">
        <f>IF(JRO220 = "", "", IFERROR(JRO220 / SUMIFS(Aux_Totales!$N:$N, Aux_Totales!$F:$F, $F224, Aux_Totales!$A:$A,#REF!), 0))</f>
        <v/>
      </c>
      <c r="JRP224" s="19" t="str">
        <f>IF(JRP220 = "", "", IFERROR(JRP220 / SUMIFS(Aux_Totales!$N:$N, Aux_Totales!$F:$F, $F224, Aux_Totales!$A:$A,#REF!), 0))</f>
        <v/>
      </c>
      <c r="JRQ224" s="19" t="str">
        <f>IF(JRQ220 = "", "", IFERROR(JRQ220 / SUMIFS(Aux_Totales!$N:$N, Aux_Totales!$F:$F, $F224, Aux_Totales!$A:$A,#REF!), 0))</f>
        <v/>
      </c>
      <c r="JRR224" s="19" t="str">
        <f>IF(JRR220 = "", "", IFERROR(JRR220 / SUMIFS(Aux_Totales!$N:$N, Aux_Totales!$F:$F, $F224, Aux_Totales!$A:$A,#REF!), 0))</f>
        <v/>
      </c>
      <c r="JRS224" s="19" t="str">
        <f>IF(JRS220 = "", "", IFERROR(JRS220 / SUMIFS(Aux_Totales!$N:$N, Aux_Totales!$F:$F, $F224, Aux_Totales!$A:$A,#REF!), 0))</f>
        <v/>
      </c>
      <c r="JRT224" s="19" t="str">
        <f>IF(JRT220 = "", "", IFERROR(JRT220 / SUMIFS(Aux_Totales!$N:$N, Aux_Totales!$F:$F, $F224, Aux_Totales!$A:$A,#REF!), 0))</f>
        <v/>
      </c>
      <c r="JRU224" s="19" t="str">
        <f>IF(JRU220 = "", "", IFERROR(JRU220 / SUMIFS(Aux_Totales!$N:$N, Aux_Totales!$F:$F, $F224, Aux_Totales!$A:$A,#REF!), 0))</f>
        <v/>
      </c>
      <c r="JRV224" s="19" t="str">
        <f>IF(JRV220 = "", "", IFERROR(JRV220 / SUMIFS(Aux_Totales!$N:$N, Aux_Totales!$F:$F, $F224, Aux_Totales!$A:$A,#REF!), 0))</f>
        <v/>
      </c>
      <c r="JRW224" s="19" t="str">
        <f>IF(JRW220 = "", "", IFERROR(JRW220 / SUMIFS(Aux_Totales!$N:$N, Aux_Totales!$F:$F, $F224, Aux_Totales!$A:$A,#REF!), 0))</f>
        <v/>
      </c>
      <c r="JRX224" s="19" t="str">
        <f>IF(JRX220 = "", "", IFERROR(JRX220 / SUMIFS(Aux_Totales!$N:$N, Aux_Totales!$F:$F, $F224, Aux_Totales!$A:$A,#REF!), 0))</f>
        <v/>
      </c>
      <c r="JRY224" s="19" t="str">
        <f>IF(JRY220 = "", "", IFERROR(JRY220 / SUMIFS(Aux_Totales!$N:$N, Aux_Totales!$F:$F, $F224, Aux_Totales!$A:$A,#REF!), 0))</f>
        <v/>
      </c>
      <c r="JRZ224" s="19" t="str">
        <f>IF(JRZ220 = "", "", IFERROR(JRZ220 / SUMIFS(Aux_Totales!$N:$N, Aux_Totales!$F:$F, $F224, Aux_Totales!$A:$A,#REF!), 0))</f>
        <v/>
      </c>
      <c r="JSA224" s="19" t="str">
        <f>IF(JSA220 = "", "", IFERROR(JSA220 / SUMIFS(Aux_Totales!$N:$N, Aux_Totales!$F:$F, $F224, Aux_Totales!$A:$A,#REF!), 0))</f>
        <v/>
      </c>
      <c r="JSB224" s="19" t="str">
        <f>IF(JSB220 = "", "", IFERROR(JSB220 / SUMIFS(Aux_Totales!$N:$N, Aux_Totales!$F:$F, $F224, Aux_Totales!$A:$A,#REF!), 0))</f>
        <v/>
      </c>
      <c r="JSC224" s="19" t="str">
        <f>IF(JSC220 = "", "", IFERROR(JSC220 / SUMIFS(Aux_Totales!$N:$N, Aux_Totales!$F:$F, $F224, Aux_Totales!$A:$A,#REF!), 0))</f>
        <v/>
      </c>
      <c r="JSD224" s="19" t="str">
        <f>IF(JSD220 = "", "", IFERROR(JSD220 / SUMIFS(Aux_Totales!$N:$N, Aux_Totales!$F:$F, $F224, Aux_Totales!$A:$A,#REF!), 0))</f>
        <v/>
      </c>
      <c r="JSE224" s="19" t="str">
        <f>IF(JSE220 = "", "", IFERROR(JSE220 / SUMIFS(Aux_Totales!$N:$N, Aux_Totales!$F:$F, $F224, Aux_Totales!$A:$A,#REF!), 0))</f>
        <v/>
      </c>
      <c r="JSF224" s="19" t="str">
        <f>IF(JSF220 = "", "", IFERROR(JSF220 / SUMIFS(Aux_Totales!$N:$N, Aux_Totales!$F:$F, $F224, Aux_Totales!$A:$A,#REF!), 0))</f>
        <v/>
      </c>
      <c r="JSG224" s="19" t="str">
        <f>IF(JSG220 = "", "", IFERROR(JSG220 / SUMIFS(Aux_Totales!$N:$N, Aux_Totales!$F:$F, $F224, Aux_Totales!$A:$A,#REF!), 0))</f>
        <v/>
      </c>
      <c r="JSH224" s="19" t="str">
        <f>IF(JSH220 = "", "", IFERROR(JSH220 / SUMIFS(Aux_Totales!$N:$N, Aux_Totales!$F:$F, $F224, Aux_Totales!$A:$A,#REF!), 0))</f>
        <v/>
      </c>
      <c r="JSI224" s="19" t="str">
        <f>IF(JSI220 = "", "", IFERROR(JSI220 / SUMIFS(Aux_Totales!$N:$N, Aux_Totales!$F:$F, $F224, Aux_Totales!$A:$A,#REF!), 0))</f>
        <v/>
      </c>
      <c r="JSJ224" s="19" t="str">
        <f>IF(JSJ220 = "", "", IFERROR(JSJ220 / SUMIFS(Aux_Totales!$N:$N, Aux_Totales!$F:$F, $F224, Aux_Totales!$A:$A,#REF!), 0))</f>
        <v/>
      </c>
      <c r="JSK224" s="19" t="str">
        <f>IF(JSK220 = "", "", IFERROR(JSK220 / SUMIFS(Aux_Totales!$N:$N, Aux_Totales!$F:$F, $F224, Aux_Totales!$A:$A,#REF!), 0))</f>
        <v/>
      </c>
      <c r="JSL224" s="19" t="str">
        <f>IF(JSL220 = "", "", IFERROR(JSL220 / SUMIFS(Aux_Totales!$N:$N, Aux_Totales!$F:$F, $F224, Aux_Totales!$A:$A,#REF!), 0))</f>
        <v/>
      </c>
      <c r="JSM224" s="19" t="str">
        <f>IF(JSM220 = "", "", IFERROR(JSM220 / SUMIFS(Aux_Totales!$N:$N, Aux_Totales!$F:$F, $F224, Aux_Totales!$A:$A,#REF!), 0))</f>
        <v/>
      </c>
      <c r="JSN224" s="19" t="str">
        <f>IF(JSN220 = "", "", IFERROR(JSN220 / SUMIFS(Aux_Totales!$N:$N, Aux_Totales!$F:$F, $F224, Aux_Totales!$A:$A,#REF!), 0))</f>
        <v/>
      </c>
      <c r="JSO224" s="19" t="str">
        <f>IF(JSO220 = "", "", IFERROR(JSO220 / SUMIFS(Aux_Totales!$N:$N, Aux_Totales!$F:$F, $F224, Aux_Totales!$A:$A,#REF!), 0))</f>
        <v/>
      </c>
      <c r="JSP224" s="19" t="str">
        <f>IF(JSP220 = "", "", IFERROR(JSP220 / SUMIFS(Aux_Totales!$N:$N, Aux_Totales!$F:$F, $F224, Aux_Totales!$A:$A,#REF!), 0))</f>
        <v/>
      </c>
      <c r="JSQ224" s="19" t="str">
        <f>IF(JSQ220 = "", "", IFERROR(JSQ220 / SUMIFS(Aux_Totales!$N:$N, Aux_Totales!$F:$F, $F224, Aux_Totales!$A:$A,#REF!), 0))</f>
        <v/>
      </c>
      <c r="JSR224" s="19" t="str">
        <f>IF(JSR220 = "", "", IFERROR(JSR220 / SUMIFS(Aux_Totales!$N:$N, Aux_Totales!$F:$F, $F224, Aux_Totales!$A:$A,#REF!), 0))</f>
        <v/>
      </c>
      <c r="JSS224" s="19" t="str">
        <f>IF(JSS220 = "", "", IFERROR(JSS220 / SUMIFS(Aux_Totales!$N:$N, Aux_Totales!$F:$F, $F224, Aux_Totales!$A:$A,#REF!), 0))</f>
        <v/>
      </c>
      <c r="JST224" s="19" t="str">
        <f>IF(JST220 = "", "", IFERROR(JST220 / SUMIFS(Aux_Totales!$N:$N, Aux_Totales!$F:$F, $F224, Aux_Totales!$A:$A,#REF!), 0))</f>
        <v/>
      </c>
      <c r="JSU224" s="19" t="str">
        <f>IF(JSU220 = "", "", IFERROR(JSU220 / SUMIFS(Aux_Totales!$N:$N, Aux_Totales!$F:$F, $F224, Aux_Totales!$A:$A,#REF!), 0))</f>
        <v/>
      </c>
      <c r="JSV224" s="19" t="str">
        <f>IF(JSV220 = "", "", IFERROR(JSV220 / SUMIFS(Aux_Totales!$N:$N, Aux_Totales!$F:$F, $F224, Aux_Totales!$A:$A,#REF!), 0))</f>
        <v/>
      </c>
      <c r="JSW224" s="19" t="str">
        <f>IF(JSW220 = "", "", IFERROR(JSW220 / SUMIFS(Aux_Totales!$N:$N, Aux_Totales!$F:$F, $F224, Aux_Totales!$A:$A,#REF!), 0))</f>
        <v/>
      </c>
      <c r="JSX224" s="19" t="str">
        <f>IF(JSX220 = "", "", IFERROR(JSX220 / SUMIFS(Aux_Totales!$N:$N, Aux_Totales!$F:$F, $F224, Aux_Totales!$A:$A,#REF!), 0))</f>
        <v/>
      </c>
      <c r="JSY224" s="19" t="str">
        <f>IF(JSY220 = "", "", IFERROR(JSY220 / SUMIFS(Aux_Totales!$N:$N, Aux_Totales!$F:$F, $F224, Aux_Totales!$A:$A,#REF!), 0))</f>
        <v/>
      </c>
      <c r="JSZ224" s="19" t="str">
        <f>IF(JSZ220 = "", "", IFERROR(JSZ220 / SUMIFS(Aux_Totales!$N:$N, Aux_Totales!$F:$F, $F224, Aux_Totales!$A:$A,#REF!), 0))</f>
        <v/>
      </c>
      <c r="JTA224" s="19" t="str">
        <f>IF(JTA220 = "", "", IFERROR(JTA220 / SUMIFS(Aux_Totales!$N:$N, Aux_Totales!$F:$F, $F224, Aux_Totales!$A:$A,#REF!), 0))</f>
        <v/>
      </c>
      <c r="JTB224" s="19" t="str">
        <f>IF(JTB220 = "", "", IFERROR(JTB220 / SUMIFS(Aux_Totales!$N:$N, Aux_Totales!$F:$F, $F224, Aux_Totales!$A:$A,#REF!), 0))</f>
        <v/>
      </c>
      <c r="JTC224" s="19" t="str">
        <f>IF(JTC220 = "", "", IFERROR(JTC220 / SUMIFS(Aux_Totales!$N:$N, Aux_Totales!$F:$F, $F224, Aux_Totales!$A:$A,#REF!), 0))</f>
        <v/>
      </c>
      <c r="JTD224" s="19" t="str">
        <f>IF(JTD220 = "", "", IFERROR(JTD220 / SUMIFS(Aux_Totales!$N:$N, Aux_Totales!$F:$F, $F224, Aux_Totales!$A:$A,#REF!), 0))</f>
        <v/>
      </c>
      <c r="JTE224" s="19" t="str">
        <f>IF(JTE220 = "", "", IFERROR(JTE220 / SUMIFS(Aux_Totales!$N:$N, Aux_Totales!$F:$F, $F224, Aux_Totales!$A:$A,#REF!), 0))</f>
        <v/>
      </c>
      <c r="JTF224" s="19" t="str">
        <f>IF(JTF220 = "", "", IFERROR(JTF220 / SUMIFS(Aux_Totales!$N:$N, Aux_Totales!$F:$F, $F224, Aux_Totales!$A:$A,#REF!), 0))</f>
        <v/>
      </c>
      <c r="JTG224" s="19" t="str">
        <f>IF(JTG220 = "", "", IFERROR(JTG220 / SUMIFS(Aux_Totales!$N:$N, Aux_Totales!$F:$F, $F224, Aux_Totales!$A:$A,#REF!), 0))</f>
        <v/>
      </c>
      <c r="JTH224" s="19" t="str">
        <f>IF(JTH220 = "", "", IFERROR(JTH220 / SUMIFS(Aux_Totales!$N:$N, Aux_Totales!$F:$F, $F224, Aux_Totales!$A:$A,#REF!), 0))</f>
        <v/>
      </c>
      <c r="JTI224" s="19" t="str">
        <f>IF(JTI220 = "", "", IFERROR(JTI220 / SUMIFS(Aux_Totales!$N:$N, Aux_Totales!$F:$F, $F224, Aux_Totales!$A:$A,#REF!), 0))</f>
        <v/>
      </c>
      <c r="JTJ224" s="19" t="str">
        <f>IF(JTJ220 = "", "", IFERROR(JTJ220 / SUMIFS(Aux_Totales!$N:$N, Aux_Totales!$F:$F, $F224, Aux_Totales!$A:$A,#REF!), 0))</f>
        <v/>
      </c>
      <c r="JTK224" s="19" t="str">
        <f>IF(JTK220 = "", "", IFERROR(JTK220 / SUMIFS(Aux_Totales!$N:$N, Aux_Totales!$F:$F, $F224, Aux_Totales!$A:$A,#REF!), 0))</f>
        <v/>
      </c>
      <c r="JTL224" s="19" t="str">
        <f>IF(JTL220 = "", "", IFERROR(JTL220 / SUMIFS(Aux_Totales!$N:$N, Aux_Totales!$F:$F, $F224, Aux_Totales!$A:$A,#REF!), 0))</f>
        <v/>
      </c>
      <c r="JTM224" s="19" t="str">
        <f>IF(JTM220 = "", "", IFERROR(JTM220 / SUMIFS(Aux_Totales!$N:$N, Aux_Totales!$F:$F, $F224, Aux_Totales!$A:$A,#REF!), 0))</f>
        <v/>
      </c>
      <c r="JTN224" s="19" t="str">
        <f>IF(JTN220 = "", "", IFERROR(JTN220 / SUMIFS(Aux_Totales!$N:$N, Aux_Totales!$F:$F, $F224, Aux_Totales!$A:$A,#REF!), 0))</f>
        <v/>
      </c>
      <c r="JTO224" s="19" t="str">
        <f>IF(JTO220 = "", "", IFERROR(JTO220 / SUMIFS(Aux_Totales!$N:$N, Aux_Totales!$F:$F, $F224, Aux_Totales!$A:$A,#REF!), 0))</f>
        <v/>
      </c>
      <c r="JTP224" s="19" t="str">
        <f>IF(JTP220 = "", "", IFERROR(JTP220 / SUMIFS(Aux_Totales!$N:$N, Aux_Totales!$F:$F, $F224, Aux_Totales!$A:$A,#REF!), 0))</f>
        <v/>
      </c>
      <c r="JTQ224" s="19" t="str">
        <f>IF(JTQ220 = "", "", IFERROR(JTQ220 / SUMIFS(Aux_Totales!$N:$N, Aux_Totales!$F:$F, $F224, Aux_Totales!$A:$A,#REF!), 0))</f>
        <v/>
      </c>
      <c r="JTR224" s="19" t="str">
        <f>IF(JTR220 = "", "", IFERROR(JTR220 / SUMIFS(Aux_Totales!$N:$N, Aux_Totales!$F:$F, $F224, Aux_Totales!$A:$A,#REF!), 0))</f>
        <v/>
      </c>
      <c r="JTS224" s="19" t="str">
        <f>IF(JTS220 = "", "", IFERROR(JTS220 / SUMIFS(Aux_Totales!$N:$N, Aux_Totales!$F:$F, $F224, Aux_Totales!$A:$A,#REF!), 0))</f>
        <v/>
      </c>
      <c r="JTT224" s="19" t="str">
        <f>IF(JTT220 = "", "", IFERROR(JTT220 / SUMIFS(Aux_Totales!$N:$N, Aux_Totales!$F:$F, $F224, Aux_Totales!$A:$A,#REF!), 0))</f>
        <v/>
      </c>
      <c r="JTU224" s="19" t="str">
        <f>IF(JTU220 = "", "", IFERROR(JTU220 / SUMIFS(Aux_Totales!$N:$N, Aux_Totales!$F:$F, $F224, Aux_Totales!$A:$A,#REF!), 0))</f>
        <v/>
      </c>
      <c r="JTV224" s="19" t="str">
        <f>IF(JTV220 = "", "", IFERROR(JTV220 / SUMIFS(Aux_Totales!$N:$N, Aux_Totales!$F:$F, $F224, Aux_Totales!$A:$A,#REF!), 0))</f>
        <v/>
      </c>
      <c r="JTW224" s="19" t="str">
        <f>IF(JTW220 = "", "", IFERROR(JTW220 / SUMIFS(Aux_Totales!$N:$N, Aux_Totales!$F:$F, $F224, Aux_Totales!$A:$A,#REF!), 0))</f>
        <v/>
      </c>
      <c r="JTX224" s="19" t="str">
        <f>IF(JTX220 = "", "", IFERROR(JTX220 / SUMIFS(Aux_Totales!$N:$N, Aux_Totales!$F:$F, $F224, Aux_Totales!$A:$A,#REF!), 0))</f>
        <v/>
      </c>
      <c r="JTY224" s="19" t="str">
        <f>IF(JTY220 = "", "", IFERROR(JTY220 / SUMIFS(Aux_Totales!$N:$N, Aux_Totales!$F:$F, $F224, Aux_Totales!$A:$A,#REF!), 0))</f>
        <v/>
      </c>
      <c r="JTZ224" s="19" t="str">
        <f>IF(JTZ220 = "", "", IFERROR(JTZ220 / SUMIFS(Aux_Totales!$N:$N, Aux_Totales!$F:$F, $F224, Aux_Totales!$A:$A,#REF!), 0))</f>
        <v/>
      </c>
      <c r="JUA224" s="19" t="str">
        <f>IF(JUA220 = "", "", IFERROR(JUA220 / SUMIFS(Aux_Totales!$N:$N, Aux_Totales!$F:$F, $F224, Aux_Totales!$A:$A,#REF!), 0))</f>
        <v/>
      </c>
      <c r="JUB224" s="19" t="str">
        <f>IF(JUB220 = "", "", IFERROR(JUB220 / SUMIFS(Aux_Totales!$N:$N, Aux_Totales!$F:$F, $F224, Aux_Totales!$A:$A,#REF!), 0))</f>
        <v/>
      </c>
      <c r="JUC224" s="19" t="str">
        <f>IF(JUC220 = "", "", IFERROR(JUC220 / SUMIFS(Aux_Totales!$N:$N, Aux_Totales!$F:$F, $F224, Aux_Totales!$A:$A,#REF!), 0))</f>
        <v/>
      </c>
      <c r="JUD224" s="19" t="str">
        <f>IF(JUD220 = "", "", IFERROR(JUD220 / SUMIFS(Aux_Totales!$N:$N, Aux_Totales!$F:$F, $F224, Aux_Totales!$A:$A,#REF!), 0))</f>
        <v/>
      </c>
      <c r="JUE224" s="19" t="str">
        <f>IF(JUE220 = "", "", IFERROR(JUE220 / SUMIFS(Aux_Totales!$N:$N, Aux_Totales!$F:$F, $F224, Aux_Totales!$A:$A,#REF!), 0))</f>
        <v/>
      </c>
      <c r="JUF224" s="19" t="str">
        <f>IF(JUF220 = "", "", IFERROR(JUF220 / SUMIFS(Aux_Totales!$N:$N, Aux_Totales!$F:$F, $F224, Aux_Totales!$A:$A,#REF!), 0))</f>
        <v/>
      </c>
      <c r="JUG224" s="19" t="str">
        <f>IF(JUG220 = "", "", IFERROR(JUG220 / SUMIFS(Aux_Totales!$N:$N, Aux_Totales!$F:$F, $F224, Aux_Totales!$A:$A,#REF!), 0))</f>
        <v/>
      </c>
      <c r="JUH224" s="19" t="str">
        <f>IF(JUH220 = "", "", IFERROR(JUH220 / SUMIFS(Aux_Totales!$N:$N, Aux_Totales!$F:$F, $F224, Aux_Totales!$A:$A,#REF!), 0))</f>
        <v/>
      </c>
      <c r="JUI224" s="19" t="str">
        <f>IF(JUI220 = "", "", IFERROR(JUI220 / SUMIFS(Aux_Totales!$N:$N, Aux_Totales!$F:$F, $F224, Aux_Totales!$A:$A,#REF!), 0))</f>
        <v/>
      </c>
      <c r="JUJ224" s="19" t="str">
        <f>IF(JUJ220 = "", "", IFERROR(JUJ220 / SUMIFS(Aux_Totales!$N:$N, Aux_Totales!$F:$F, $F224, Aux_Totales!$A:$A,#REF!), 0))</f>
        <v/>
      </c>
      <c r="JUK224" s="19" t="str">
        <f>IF(JUK220 = "", "", IFERROR(JUK220 / SUMIFS(Aux_Totales!$N:$N, Aux_Totales!$F:$F, $F224, Aux_Totales!$A:$A,#REF!), 0))</f>
        <v/>
      </c>
      <c r="JUL224" s="19" t="str">
        <f>IF(JUL220 = "", "", IFERROR(JUL220 / SUMIFS(Aux_Totales!$N:$N, Aux_Totales!$F:$F, $F224, Aux_Totales!$A:$A,#REF!), 0))</f>
        <v/>
      </c>
      <c r="JUM224" s="19" t="str">
        <f>IF(JUM220 = "", "", IFERROR(JUM220 / SUMIFS(Aux_Totales!$N:$N, Aux_Totales!$F:$F, $F224, Aux_Totales!$A:$A,#REF!), 0))</f>
        <v/>
      </c>
      <c r="JUN224" s="19" t="str">
        <f>IF(JUN220 = "", "", IFERROR(JUN220 / SUMIFS(Aux_Totales!$N:$N, Aux_Totales!$F:$F, $F224, Aux_Totales!$A:$A,#REF!), 0))</f>
        <v/>
      </c>
      <c r="JUO224" s="19" t="str">
        <f>IF(JUO220 = "", "", IFERROR(JUO220 / SUMIFS(Aux_Totales!$N:$N, Aux_Totales!$F:$F, $F224, Aux_Totales!$A:$A,#REF!), 0))</f>
        <v/>
      </c>
      <c r="JUP224" s="19" t="str">
        <f>IF(JUP220 = "", "", IFERROR(JUP220 / SUMIFS(Aux_Totales!$N:$N, Aux_Totales!$F:$F, $F224, Aux_Totales!$A:$A,#REF!), 0))</f>
        <v/>
      </c>
      <c r="JUQ224" s="19" t="str">
        <f>IF(JUQ220 = "", "", IFERROR(JUQ220 / SUMIFS(Aux_Totales!$N:$N, Aux_Totales!$F:$F, $F224, Aux_Totales!$A:$A,#REF!), 0))</f>
        <v/>
      </c>
      <c r="JUR224" s="19" t="str">
        <f>IF(JUR220 = "", "", IFERROR(JUR220 / SUMIFS(Aux_Totales!$N:$N, Aux_Totales!$F:$F, $F224, Aux_Totales!$A:$A,#REF!), 0))</f>
        <v/>
      </c>
      <c r="JUS224" s="19" t="str">
        <f>IF(JUS220 = "", "", IFERROR(JUS220 / SUMIFS(Aux_Totales!$N:$N, Aux_Totales!$F:$F, $F224, Aux_Totales!$A:$A,#REF!), 0))</f>
        <v/>
      </c>
      <c r="JUT224" s="19" t="str">
        <f>IF(JUT220 = "", "", IFERROR(JUT220 / SUMIFS(Aux_Totales!$N:$N, Aux_Totales!$F:$F, $F224, Aux_Totales!$A:$A,#REF!), 0))</f>
        <v/>
      </c>
      <c r="JUU224" s="19" t="str">
        <f>IF(JUU220 = "", "", IFERROR(JUU220 / SUMIFS(Aux_Totales!$N:$N, Aux_Totales!$F:$F, $F224, Aux_Totales!$A:$A,#REF!), 0))</f>
        <v/>
      </c>
      <c r="JUV224" s="19" t="str">
        <f>IF(JUV220 = "", "", IFERROR(JUV220 / SUMIFS(Aux_Totales!$N:$N, Aux_Totales!$F:$F, $F224, Aux_Totales!$A:$A,#REF!), 0))</f>
        <v/>
      </c>
      <c r="JUW224" s="19" t="str">
        <f>IF(JUW220 = "", "", IFERROR(JUW220 / SUMIFS(Aux_Totales!$N:$N, Aux_Totales!$F:$F, $F224, Aux_Totales!$A:$A,#REF!), 0))</f>
        <v/>
      </c>
      <c r="JUX224" s="19" t="str">
        <f>IF(JUX220 = "", "", IFERROR(JUX220 / SUMIFS(Aux_Totales!$N:$N, Aux_Totales!$F:$F, $F224, Aux_Totales!$A:$A,#REF!), 0))</f>
        <v/>
      </c>
      <c r="JUY224" s="19" t="str">
        <f>IF(JUY220 = "", "", IFERROR(JUY220 / SUMIFS(Aux_Totales!$N:$N, Aux_Totales!$F:$F, $F224, Aux_Totales!$A:$A,#REF!), 0))</f>
        <v/>
      </c>
      <c r="JUZ224" s="19" t="str">
        <f>IF(JUZ220 = "", "", IFERROR(JUZ220 / SUMIFS(Aux_Totales!$N:$N, Aux_Totales!$F:$F, $F224, Aux_Totales!$A:$A,#REF!), 0))</f>
        <v/>
      </c>
      <c r="JVA224" s="19" t="str">
        <f>IF(JVA220 = "", "", IFERROR(JVA220 / SUMIFS(Aux_Totales!$N:$N, Aux_Totales!$F:$F, $F224, Aux_Totales!$A:$A,#REF!), 0))</f>
        <v/>
      </c>
      <c r="JVB224" s="19" t="str">
        <f>IF(JVB220 = "", "", IFERROR(JVB220 / SUMIFS(Aux_Totales!$N:$N, Aux_Totales!$F:$F, $F224, Aux_Totales!$A:$A,#REF!), 0))</f>
        <v/>
      </c>
      <c r="JVC224" s="19" t="str">
        <f>IF(JVC220 = "", "", IFERROR(JVC220 / SUMIFS(Aux_Totales!$N:$N, Aux_Totales!$F:$F, $F224, Aux_Totales!$A:$A,#REF!), 0))</f>
        <v/>
      </c>
      <c r="JVD224" s="19" t="str">
        <f>IF(JVD220 = "", "", IFERROR(JVD220 / SUMIFS(Aux_Totales!$N:$N, Aux_Totales!$F:$F, $F224, Aux_Totales!$A:$A,#REF!), 0))</f>
        <v/>
      </c>
      <c r="JVE224" s="19" t="str">
        <f>IF(JVE220 = "", "", IFERROR(JVE220 / SUMIFS(Aux_Totales!$N:$N, Aux_Totales!$F:$F, $F224, Aux_Totales!$A:$A,#REF!), 0))</f>
        <v/>
      </c>
      <c r="JVF224" s="19" t="str">
        <f>IF(JVF220 = "", "", IFERROR(JVF220 / SUMIFS(Aux_Totales!$N:$N, Aux_Totales!$F:$F, $F224, Aux_Totales!$A:$A,#REF!), 0))</f>
        <v/>
      </c>
      <c r="JVG224" s="19" t="str">
        <f>IF(JVG220 = "", "", IFERROR(JVG220 / SUMIFS(Aux_Totales!$N:$N, Aux_Totales!$F:$F, $F224, Aux_Totales!$A:$A,#REF!), 0))</f>
        <v/>
      </c>
      <c r="JVH224" s="19" t="str">
        <f>IF(JVH220 = "", "", IFERROR(JVH220 / SUMIFS(Aux_Totales!$N:$N, Aux_Totales!$F:$F, $F224, Aux_Totales!$A:$A,#REF!), 0))</f>
        <v/>
      </c>
      <c r="JVI224" s="19" t="str">
        <f>IF(JVI220 = "", "", IFERROR(JVI220 / SUMIFS(Aux_Totales!$N:$N, Aux_Totales!$F:$F, $F224, Aux_Totales!$A:$A,#REF!), 0))</f>
        <v/>
      </c>
      <c r="JVJ224" s="19" t="str">
        <f>IF(JVJ220 = "", "", IFERROR(JVJ220 / SUMIFS(Aux_Totales!$N:$N, Aux_Totales!$F:$F, $F224, Aux_Totales!$A:$A,#REF!), 0))</f>
        <v/>
      </c>
      <c r="JVK224" s="19" t="str">
        <f>IF(JVK220 = "", "", IFERROR(JVK220 / SUMIFS(Aux_Totales!$N:$N, Aux_Totales!$F:$F, $F224, Aux_Totales!$A:$A,#REF!), 0))</f>
        <v/>
      </c>
      <c r="JVL224" s="19" t="str">
        <f>IF(JVL220 = "", "", IFERROR(JVL220 / SUMIFS(Aux_Totales!$N:$N, Aux_Totales!$F:$F, $F224, Aux_Totales!$A:$A,#REF!), 0))</f>
        <v/>
      </c>
      <c r="JVM224" s="19" t="str">
        <f>IF(JVM220 = "", "", IFERROR(JVM220 / SUMIFS(Aux_Totales!$N:$N, Aux_Totales!$F:$F, $F224, Aux_Totales!$A:$A,#REF!), 0))</f>
        <v/>
      </c>
      <c r="JVN224" s="19" t="str">
        <f>IF(JVN220 = "", "", IFERROR(JVN220 / SUMIFS(Aux_Totales!$N:$N, Aux_Totales!$F:$F, $F224, Aux_Totales!$A:$A,#REF!), 0))</f>
        <v/>
      </c>
      <c r="JVO224" s="19" t="str">
        <f>IF(JVO220 = "", "", IFERROR(JVO220 / SUMIFS(Aux_Totales!$N:$N, Aux_Totales!$F:$F, $F224, Aux_Totales!$A:$A,#REF!), 0))</f>
        <v/>
      </c>
      <c r="JVP224" s="19" t="str">
        <f>IF(JVP220 = "", "", IFERROR(JVP220 / SUMIFS(Aux_Totales!$N:$N, Aux_Totales!$F:$F, $F224, Aux_Totales!$A:$A,#REF!), 0))</f>
        <v/>
      </c>
      <c r="JVQ224" s="19" t="str">
        <f>IF(JVQ220 = "", "", IFERROR(JVQ220 / SUMIFS(Aux_Totales!$N:$N, Aux_Totales!$F:$F, $F224, Aux_Totales!$A:$A,#REF!), 0))</f>
        <v/>
      </c>
      <c r="JVR224" s="19" t="str">
        <f>IF(JVR220 = "", "", IFERROR(JVR220 / SUMIFS(Aux_Totales!$N:$N, Aux_Totales!$F:$F, $F224, Aux_Totales!$A:$A,#REF!), 0))</f>
        <v/>
      </c>
      <c r="JVS224" s="19" t="str">
        <f>IF(JVS220 = "", "", IFERROR(JVS220 / SUMIFS(Aux_Totales!$N:$N, Aux_Totales!$F:$F, $F224, Aux_Totales!$A:$A,#REF!), 0))</f>
        <v/>
      </c>
      <c r="JVT224" s="19" t="str">
        <f>IF(JVT220 = "", "", IFERROR(JVT220 / SUMIFS(Aux_Totales!$N:$N, Aux_Totales!$F:$F, $F224, Aux_Totales!$A:$A,#REF!), 0))</f>
        <v/>
      </c>
      <c r="JVU224" s="19" t="str">
        <f>IF(JVU220 = "", "", IFERROR(JVU220 / SUMIFS(Aux_Totales!$N:$N, Aux_Totales!$F:$F, $F224, Aux_Totales!$A:$A,#REF!), 0))</f>
        <v/>
      </c>
      <c r="JVV224" s="19" t="str">
        <f>IF(JVV220 = "", "", IFERROR(JVV220 / SUMIFS(Aux_Totales!$N:$N, Aux_Totales!$F:$F, $F224, Aux_Totales!$A:$A,#REF!), 0))</f>
        <v/>
      </c>
      <c r="JVW224" s="19" t="str">
        <f>IF(JVW220 = "", "", IFERROR(JVW220 / SUMIFS(Aux_Totales!$N:$N, Aux_Totales!$F:$F, $F224, Aux_Totales!$A:$A,#REF!), 0))</f>
        <v/>
      </c>
      <c r="JVX224" s="19" t="str">
        <f>IF(JVX220 = "", "", IFERROR(JVX220 / SUMIFS(Aux_Totales!$N:$N, Aux_Totales!$F:$F, $F224, Aux_Totales!$A:$A,#REF!), 0))</f>
        <v/>
      </c>
      <c r="JVY224" s="19" t="str">
        <f>IF(JVY220 = "", "", IFERROR(JVY220 / SUMIFS(Aux_Totales!$N:$N, Aux_Totales!$F:$F, $F224, Aux_Totales!$A:$A,#REF!), 0))</f>
        <v/>
      </c>
      <c r="JVZ224" s="19" t="str">
        <f>IF(JVZ220 = "", "", IFERROR(JVZ220 / SUMIFS(Aux_Totales!$N:$N, Aux_Totales!$F:$F, $F224, Aux_Totales!$A:$A,#REF!), 0))</f>
        <v/>
      </c>
      <c r="JWA224" s="19" t="str">
        <f>IF(JWA220 = "", "", IFERROR(JWA220 / SUMIFS(Aux_Totales!$N:$N, Aux_Totales!$F:$F, $F224, Aux_Totales!$A:$A,#REF!), 0))</f>
        <v/>
      </c>
      <c r="JWB224" s="19" t="str">
        <f>IF(JWB220 = "", "", IFERROR(JWB220 / SUMIFS(Aux_Totales!$N:$N, Aux_Totales!$F:$F, $F224, Aux_Totales!$A:$A,#REF!), 0))</f>
        <v/>
      </c>
      <c r="JWC224" s="19" t="str">
        <f>IF(JWC220 = "", "", IFERROR(JWC220 / SUMIFS(Aux_Totales!$N:$N, Aux_Totales!$F:$F, $F224, Aux_Totales!$A:$A,#REF!), 0))</f>
        <v/>
      </c>
      <c r="JWD224" s="19" t="str">
        <f>IF(JWD220 = "", "", IFERROR(JWD220 / SUMIFS(Aux_Totales!$N:$N, Aux_Totales!$F:$F, $F224, Aux_Totales!$A:$A,#REF!), 0))</f>
        <v/>
      </c>
      <c r="JWE224" s="19" t="str">
        <f>IF(JWE220 = "", "", IFERROR(JWE220 / SUMIFS(Aux_Totales!$N:$N, Aux_Totales!$F:$F, $F224, Aux_Totales!$A:$A,#REF!), 0))</f>
        <v/>
      </c>
      <c r="JWF224" s="19" t="str">
        <f>IF(JWF220 = "", "", IFERROR(JWF220 / SUMIFS(Aux_Totales!$N:$N, Aux_Totales!$F:$F, $F224, Aux_Totales!$A:$A,#REF!), 0))</f>
        <v/>
      </c>
      <c r="JWG224" s="19" t="str">
        <f>IF(JWG220 = "", "", IFERROR(JWG220 / SUMIFS(Aux_Totales!$N:$N, Aux_Totales!$F:$F, $F224, Aux_Totales!$A:$A,#REF!), 0))</f>
        <v/>
      </c>
      <c r="JWH224" s="19" t="str">
        <f>IF(JWH220 = "", "", IFERROR(JWH220 / SUMIFS(Aux_Totales!$N:$N, Aux_Totales!$F:$F, $F224, Aux_Totales!$A:$A,#REF!), 0))</f>
        <v/>
      </c>
      <c r="JWI224" s="19" t="str">
        <f>IF(JWI220 = "", "", IFERROR(JWI220 / SUMIFS(Aux_Totales!$N:$N, Aux_Totales!$F:$F, $F224, Aux_Totales!$A:$A,#REF!), 0))</f>
        <v/>
      </c>
      <c r="JWJ224" s="19" t="str">
        <f>IF(JWJ220 = "", "", IFERROR(JWJ220 / SUMIFS(Aux_Totales!$N:$N, Aux_Totales!$F:$F, $F224, Aux_Totales!$A:$A,#REF!), 0))</f>
        <v/>
      </c>
      <c r="JWK224" s="19" t="str">
        <f>IF(JWK220 = "", "", IFERROR(JWK220 / SUMIFS(Aux_Totales!$N:$N, Aux_Totales!$F:$F, $F224, Aux_Totales!$A:$A,#REF!), 0))</f>
        <v/>
      </c>
      <c r="JWL224" s="19" t="str">
        <f>IF(JWL220 = "", "", IFERROR(JWL220 / SUMIFS(Aux_Totales!$N:$N, Aux_Totales!$F:$F, $F224, Aux_Totales!$A:$A,#REF!), 0))</f>
        <v/>
      </c>
      <c r="JWM224" s="19" t="str">
        <f>IF(JWM220 = "", "", IFERROR(JWM220 / SUMIFS(Aux_Totales!$N:$N, Aux_Totales!$F:$F, $F224, Aux_Totales!$A:$A,#REF!), 0))</f>
        <v/>
      </c>
      <c r="JWN224" s="19" t="str">
        <f>IF(JWN220 = "", "", IFERROR(JWN220 / SUMIFS(Aux_Totales!$N:$N, Aux_Totales!$F:$F, $F224, Aux_Totales!$A:$A,#REF!), 0))</f>
        <v/>
      </c>
      <c r="JWO224" s="19" t="str">
        <f>IF(JWO220 = "", "", IFERROR(JWO220 / SUMIFS(Aux_Totales!$N:$N, Aux_Totales!$F:$F, $F224, Aux_Totales!$A:$A,#REF!), 0))</f>
        <v/>
      </c>
      <c r="JWP224" s="19" t="str">
        <f>IF(JWP220 = "", "", IFERROR(JWP220 / SUMIFS(Aux_Totales!$N:$N, Aux_Totales!$F:$F, $F224, Aux_Totales!$A:$A,#REF!), 0))</f>
        <v/>
      </c>
      <c r="JWQ224" s="19" t="str">
        <f>IF(JWQ220 = "", "", IFERROR(JWQ220 / SUMIFS(Aux_Totales!$N:$N, Aux_Totales!$F:$F, $F224, Aux_Totales!$A:$A,#REF!), 0))</f>
        <v/>
      </c>
      <c r="JWR224" s="19" t="str">
        <f>IF(JWR220 = "", "", IFERROR(JWR220 / SUMIFS(Aux_Totales!$N:$N, Aux_Totales!$F:$F, $F224, Aux_Totales!$A:$A,#REF!), 0))</f>
        <v/>
      </c>
      <c r="JWS224" s="19" t="str">
        <f>IF(JWS220 = "", "", IFERROR(JWS220 / SUMIFS(Aux_Totales!$N:$N, Aux_Totales!$F:$F, $F224, Aux_Totales!$A:$A,#REF!), 0))</f>
        <v/>
      </c>
      <c r="JWT224" s="19" t="str">
        <f>IF(JWT220 = "", "", IFERROR(JWT220 / SUMIFS(Aux_Totales!$N:$N, Aux_Totales!$F:$F, $F224, Aux_Totales!$A:$A,#REF!), 0))</f>
        <v/>
      </c>
      <c r="JWU224" s="19" t="str">
        <f>IF(JWU220 = "", "", IFERROR(JWU220 / SUMIFS(Aux_Totales!$N:$N, Aux_Totales!$F:$F, $F224, Aux_Totales!$A:$A,#REF!), 0))</f>
        <v/>
      </c>
      <c r="JWV224" s="19" t="str">
        <f>IF(JWV220 = "", "", IFERROR(JWV220 / SUMIFS(Aux_Totales!$N:$N, Aux_Totales!$F:$F, $F224, Aux_Totales!$A:$A,#REF!), 0))</f>
        <v/>
      </c>
      <c r="JWW224" s="19" t="str">
        <f>IF(JWW220 = "", "", IFERROR(JWW220 / SUMIFS(Aux_Totales!$N:$N, Aux_Totales!$F:$F, $F224, Aux_Totales!$A:$A,#REF!), 0))</f>
        <v/>
      </c>
      <c r="JWX224" s="19" t="str">
        <f>IF(JWX220 = "", "", IFERROR(JWX220 / SUMIFS(Aux_Totales!$N:$N, Aux_Totales!$F:$F, $F224, Aux_Totales!$A:$A,#REF!), 0))</f>
        <v/>
      </c>
      <c r="JWY224" s="19" t="str">
        <f>IF(JWY220 = "", "", IFERROR(JWY220 / SUMIFS(Aux_Totales!$N:$N, Aux_Totales!$F:$F, $F224, Aux_Totales!$A:$A,#REF!), 0))</f>
        <v/>
      </c>
      <c r="JWZ224" s="19" t="str">
        <f>IF(JWZ220 = "", "", IFERROR(JWZ220 / SUMIFS(Aux_Totales!$N:$N, Aux_Totales!$F:$F, $F224, Aux_Totales!$A:$A,#REF!), 0))</f>
        <v/>
      </c>
      <c r="JXA224" s="19" t="str">
        <f>IF(JXA220 = "", "", IFERROR(JXA220 / SUMIFS(Aux_Totales!$N:$N, Aux_Totales!$F:$F, $F224, Aux_Totales!$A:$A,#REF!), 0))</f>
        <v/>
      </c>
      <c r="JXB224" s="19" t="str">
        <f>IF(JXB220 = "", "", IFERROR(JXB220 / SUMIFS(Aux_Totales!$N:$N, Aux_Totales!$F:$F, $F224, Aux_Totales!$A:$A,#REF!), 0))</f>
        <v/>
      </c>
      <c r="JXC224" s="19" t="str">
        <f>IF(JXC220 = "", "", IFERROR(JXC220 / SUMIFS(Aux_Totales!$N:$N, Aux_Totales!$F:$F, $F224, Aux_Totales!$A:$A,#REF!), 0))</f>
        <v/>
      </c>
      <c r="JXD224" s="19" t="str">
        <f>IF(JXD220 = "", "", IFERROR(JXD220 / SUMIFS(Aux_Totales!$N:$N, Aux_Totales!$F:$F, $F224, Aux_Totales!$A:$A,#REF!), 0))</f>
        <v/>
      </c>
      <c r="JXE224" s="19" t="str">
        <f>IF(JXE220 = "", "", IFERROR(JXE220 / SUMIFS(Aux_Totales!$N:$N, Aux_Totales!$F:$F, $F224, Aux_Totales!$A:$A,#REF!), 0))</f>
        <v/>
      </c>
      <c r="JXF224" s="19" t="str">
        <f>IF(JXF220 = "", "", IFERROR(JXF220 / SUMIFS(Aux_Totales!$N:$N, Aux_Totales!$F:$F, $F224, Aux_Totales!$A:$A,#REF!), 0))</f>
        <v/>
      </c>
      <c r="JXG224" s="19" t="str">
        <f>IF(JXG220 = "", "", IFERROR(JXG220 / SUMIFS(Aux_Totales!$N:$N, Aux_Totales!$F:$F, $F224, Aux_Totales!$A:$A,#REF!), 0))</f>
        <v/>
      </c>
      <c r="JXH224" s="19" t="str">
        <f>IF(JXH220 = "", "", IFERROR(JXH220 / SUMIFS(Aux_Totales!$N:$N, Aux_Totales!$F:$F, $F224, Aux_Totales!$A:$A,#REF!), 0))</f>
        <v/>
      </c>
      <c r="JXI224" s="19" t="str">
        <f>IF(JXI220 = "", "", IFERROR(JXI220 / SUMIFS(Aux_Totales!$N:$N, Aux_Totales!$F:$F, $F224, Aux_Totales!$A:$A,#REF!), 0))</f>
        <v/>
      </c>
      <c r="JXJ224" s="19" t="str">
        <f>IF(JXJ220 = "", "", IFERROR(JXJ220 / SUMIFS(Aux_Totales!$N:$N, Aux_Totales!$F:$F, $F224, Aux_Totales!$A:$A,#REF!), 0))</f>
        <v/>
      </c>
      <c r="JXK224" s="19" t="str">
        <f>IF(JXK220 = "", "", IFERROR(JXK220 / SUMIFS(Aux_Totales!$N:$N, Aux_Totales!$F:$F, $F224, Aux_Totales!$A:$A,#REF!), 0))</f>
        <v/>
      </c>
      <c r="JXL224" s="19" t="str">
        <f>IF(JXL220 = "", "", IFERROR(JXL220 / SUMIFS(Aux_Totales!$N:$N, Aux_Totales!$F:$F, $F224, Aux_Totales!$A:$A,#REF!), 0))</f>
        <v/>
      </c>
      <c r="JXM224" s="19" t="str">
        <f>IF(JXM220 = "", "", IFERROR(JXM220 / SUMIFS(Aux_Totales!$N:$N, Aux_Totales!$F:$F, $F224, Aux_Totales!$A:$A,#REF!), 0))</f>
        <v/>
      </c>
      <c r="JXN224" s="19" t="str">
        <f>IF(JXN220 = "", "", IFERROR(JXN220 / SUMIFS(Aux_Totales!$N:$N, Aux_Totales!$F:$F, $F224, Aux_Totales!$A:$A,#REF!), 0))</f>
        <v/>
      </c>
      <c r="JXO224" s="19" t="str">
        <f>IF(JXO220 = "", "", IFERROR(JXO220 / SUMIFS(Aux_Totales!$N:$N, Aux_Totales!$F:$F, $F224, Aux_Totales!$A:$A,#REF!), 0))</f>
        <v/>
      </c>
      <c r="JXP224" s="19" t="str">
        <f>IF(JXP220 = "", "", IFERROR(JXP220 / SUMIFS(Aux_Totales!$N:$N, Aux_Totales!$F:$F, $F224, Aux_Totales!$A:$A,#REF!), 0))</f>
        <v/>
      </c>
      <c r="JXQ224" s="19" t="str">
        <f>IF(JXQ220 = "", "", IFERROR(JXQ220 / SUMIFS(Aux_Totales!$N:$N, Aux_Totales!$F:$F, $F224, Aux_Totales!$A:$A,#REF!), 0))</f>
        <v/>
      </c>
      <c r="JXR224" s="19" t="str">
        <f>IF(JXR220 = "", "", IFERROR(JXR220 / SUMIFS(Aux_Totales!$N:$N, Aux_Totales!$F:$F, $F224, Aux_Totales!$A:$A,#REF!), 0))</f>
        <v/>
      </c>
      <c r="JXS224" s="19" t="str">
        <f>IF(JXS220 = "", "", IFERROR(JXS220 / SUMIFS(Aux_Totales!$N:$N, Aux_Totales!$F:$F, $F224, Aux_Totales!$A:$A,#REF!), 0))</f>
        <v/>
      </c>
      <c r="JXT224" s="19" t="str">
        <f>IF(JXT220 = "", "", IFERROR(JXT220 / SUMIFS(Aux_Totales!$N:$N, Aux_Totales!$F:$F, $F224, Aux_Totales!$A:$A,#REF!), 0))</f>
        <v/>
      </c>
      <c r="JXU224" s="19" t="str">
        <f>IF(JXU220 = "", "", IFERROR(JXU220 / SUMIFS(Aux_Totales!$N:$N, Aux_Totales!$F:$F, $F224, Aux_Totales!$A:$A,#REF!), 0))</f>
        <v/>
      </c>
      <c r="JXV224" s="19" t="str">
        <f>IF(JXV220 = "", "", IFERROR(JXV220 / SUMIFS(Aux_Totales!$N:$N, Aux_Totales!$F:$F, $F224, Aux_Totales!$A:$A,#REF!), 0))</f>
        <v/>
      </c>
      <c r="JXW224" s="19" t="str">
        <f>IF(JXW220 = "", "", IFERROR(JXW220 / SUMIFS(Aux_Totales!$N:$N, Aux_Totales!$F:$F, $F224, Aux_Totales!$A:$A,#REF!), 0))</f>
        <v/>
      </c>
      <c r="JXX224" s="19" t="str">
        <f>IF(JXX220 = "", "", IFERROR(JXX220 / SUMIFS(Aux_Totales!$N:$N, Aux_Totales!$F:$F, $F224, Aux_Totales!$A:$A,#REF!), 0))</f>
        <v/>
      </c>
      <c r="JXY224" s="19" t="str">
        <f>IF(JXY220 = "", "", IFERROR(JXY220 / SUMIFS(Aux_Totales!$N:$N, Aux_Totales!$F:$F, $F224, Aux_Totales!$A:$A,#REF!), 0))</f>
        <v/>
      </c>
      <c r="JXZ224" s="19" t="str">
        <f>IF(JXZ220 = "", "", IFERROR(JXZ220 / SUMIFS(Aux_Totales!$N:$N, Aux_Totales!$F:$F, $F224, Aux_Totales!$A:$A,#REF!), 0))</f>
        <v/>
      </c>
      <c r="JYA224" s="19" t="str">
        <f>IF(JYA220 = "", "", IFERROR(JYA220 / SUMIFS(Aux_Totales!$N:$N, Aux_Totales!$F:$F, $F224, Aux_Totales!$A:$A,#REF!), 0))</f>
        <v/>
      </c>
      <c r="JYB224" s="19" t="str">
        <f>IF(JYB220 = "", "", IFERROR(JYB220 / SUMIFS(Aux_Totales!$N:$N, Aux_Totales!$F:$F, $F224, Aux_Totales!$A:$A,#REF!), 0))</f>
        <v/>
      </c>
      <c r="JYC224" s="19" t="str">
        <f>IF(JYC220 = "", "", IFERROR(JYC220 / SUMIFS(Aux_Totales!$N:$N, Aux_Totales!$F:$F, $F224, Aux_Totales!$A:$A,#REF!), 0))</f>
        <v/>
      </c>
      <c r="JYD224" s="19" t="str">
        <f>IF(JYD220 = "", "", IFERROR(JYD220 / SUMIFS(Aux_Totales!$N:$N, Aux_Totales!$F:$F, $F224, Aux_Totales!$A:$A,#REF!), 0))</f>
        <v/>
      </c>
      <c r="JYE224" s="19" t="str">
        <f>IF(JYE220 = "", "", IFERROR(JYE220 / SUMIFS(Aux_Totales!$N:$N, Aux_Totales!$F:$F, $F224, Aux_Totales!$A:$A,#REF!), 0))</f>
        <v/>
      </c>
      <c r="JYF224" s="19" t="str">
        <f>IF(JYF220 = "", "", IFERROR(JYF220 / SUMIFS(Aux_Totales!$N:$N, Aux_Totales!$F:$F, $F224, Aux_Totales!$A:$A,#REF!), 0))</f>
        <v/>
      </c>
      <c r="JYG224" s="19" t="str">
        <f>IF(JYG220 = "", "", IFERROR(JYG220 / SUMIFS(Aux_Totales!$N:$N, Aux_Totales!$F:$F, $F224, Aux_Totales!$A:$A,#REF!), 0))</f>
        <v/>
      </c>
      <c r="JYH224" s="19" t="str">
        <f>IF(JYH220 = "", "", IFERROR(JYH220 / SUMIFS(Aux_Totales!$N:$N, Aux_Totales!$F:$F, $F224, Aux_Totales!$A:$A,#REF!), 0))</f>
        <v/>
      </c>
      <c r="JYI224" s="19" t="str">
        <f>IF(JYI220 = "", "", IFERROR(JYI220 / SUMIFS(Aux_Totales!$N:$N, Aux_Totales!$F:$F, $F224, Aux_Totales!$A:$A,#REF!), 0))</f>
        <v/>
      </c>
      <c r="JYJ224" s="19" t="str">
        <f>IF(JYJ220 = "", "", IFERROR(JYJ220 / SUMIFS(Aux_Totales!$N:$N, Aux_Totales!$F:$F, $F224, Aux_Totales!$A:$A,#REF!), 0))</f>
        <v/>
      </c>
      <c r="JYK224" s="19" t="str">
        <f>IF(JYK220 = "", "", IFERROR(JYK220 / SUMIFS(Aux_Totales!$N:$N, Aux_Totales!$F:$F, $F224, Aux_Totales!$A:$A,#REF!), 0))</f>
        <v/>
      </c>
      <c r="JYL224" s="19" t="str">
        <f>IF(JYL220 = "", "", IFERROR(JYL220 / SUMIFS(Aux_Totales!$N:$N, Aux_Totales!$F:$F, $F224, Aux_Totales!$A:$A,#REF!), 0))</f>
        <v/>
      </c>
      <c r="JYM224" s="19" t="str">
        <f>IF(JYM220 = "", "", IFERROR(JYM220 / SUMIFS(Aux_Totales!$N:$N, Aux_Totales!$F:$F, $F224, Aux_Totales!$A:$A,#REF!), 0))</f>
        <v/>
      </c>
      <c r="JYN224" s="19" t="str">
        <f>IF(JYN220 = "", "", IFERROR(JYN220 / SUMIFS(Aux_Totales!$N:$N, Aux_Totales!$F:$F, $F224, Aux_Totales!$A:$A,#REF!), 0))</f>
        <v/>
      </c>
      <c r="JYO224" s="19" t="str">
        <f>IF(JYO220 = "", "", IFERROR(JYO220 / SUMIFS(Aux_Totales!$N:$N, Aux_Totales!$F:$F, $F224, Aux_Totales!$A:$A,#REF!), 0))</f>
        <v/>
      </c>
      <c r="JYP224" s="19" t="str">
        <f>IF(JYP220 = "", "", IFERROR(JYP220 / SUMIFS(Aux_Totales!$N:$N, Aux_Totales!$F:$F, $F224, Aux_Totales!$A:$A,#REF!), 0))</f>
        <v/>
      </c>
      <c r="JYQ224" s="19" t="str">
        <f>IF(JYQ220 = "", "", IFERROR(JYQ220 / SUMIFS(Aux_Totales!$N:$N, Aux_Totales!$F:$F, $F224, Aux_Totales!$A:$A,#REF!), 0))</f>
        <v/>
      </c>
      <c r="JYR224" s="19" t="str">
        <f>IF(JYR220 = "", "", IFERROR(JYR220 / SUMIFS(Aux_Totales!$N:$N, Aux_Totales!$F:$F, $F224, Aux_Totales!$A:$A,#REF!), 0))</f>
        <v/>
      </c>
      <c r="JYS224" s="19" t="str">
        <f>IF(JYS220 = "", "", IFERROR(JYS220 / SUMIFS(Aux_Totales!$N:$N, Aux_Totales!$F:$F, $F224, Aux_Totales!$A:$A,#REF!), 0))</f>
        <v/>
      </c>
      <c r="JYT224" s="19" t="str">
        <f>IF(JYT220 = "", "", IFERROR(JYT220 / SUMIFS(Aux_Totales!$N:$N, Aux_Totales!$F:$F, $F224, Aux_Totales!$A:$A,#REF!), 0))</f>
        <v/>
      </c>
      <c r="JYU224" s="19" t="str">
        <f>IF(JYU220 = "", "", IFERROR(JYU220 / SUMIFS(Aux_Totales!$N:$N, Aux_Totales!$F:$F, $F224, Aux_Totales!$A:$A,#REF!), 0))</f>
        <v/>
      </c>
      <c r="JYV224" s="19" t="str">
        <f>IF(JYV220 = "", "", IFERROR(JYV220 / SUMIFS(Aux_Totales!$N:$N, Aux_Totales!$F:$F, $F224, Aux_Totales!$A:$A,#REF!), 0))</f>
        <v/>
      </c>
      <c r="JYW224" s="19" t="str">
        <f>IF(JYW220 = "", "", IFERROR(JYW220 / SUMIFS(Aux_Totales!$N:$N, Aux_Totales!$F:$F, $F224, Aux_Totales!$A:$A,#REF!), 0))</f>
        <v/>
      </c>
      <c r="JYX224" s="19" t="str">
        <f>IF(JYX220 = "", "", IFERROR(JYX220 / SUMIFS(Aux_Totales!$N:$N, Aux_Totales!$F:$F, $F224, Aux_Totales!$A:$A,#REF!), 0))</f>
        <v/>
      </c>
      <c r="JYY224" s="19" t="str">
        <f>IF(JYY220 = "", "", IFERROR(JYY220 / SUMIFS(Aux_Totales!$N:$N, Aux_Totales!$F:$F, $F224, Aux_Totales!$A:$A,#REF!), 0))</f>
        <v/>
      </c>
      <c r="JYZ224" s="19" t="str">
        <f>IF(JYZ220 = "", "", IFERROR(JYZ220 / SUMIFS(Aux_Totales!$N:$N, Aux_Totales!$F:$F, $F224, Aux_Totales!$A:$A,#REF!), 0))</f>
        <v/>
      </c>
      <c r="JZA224" s="19" t="str">
        <f>IF(JZA220 = "", "", IFERROR(JZA220 / SUMIFS(Aux_Totales!$N:$N, Aux_Totales!$F:$F, $F224, Aux_Totales!$A:$A,#REF!), 0))</f>
        <v/>
      </c>
      <c r="JZB224" s="19" t="str">
        <f>IF(JZB220 = "", "", IFERROR(JZB220 / SUMIFS(Aux_Totales!$N:$N, Aux_Totales!$F:$F, $F224, Aux_Totales!$A:$A,#REF!), 0))</f>
        <v/>
      </c>
      <c r="JZC224" s="19" t="str">
        <f>IF(JZC220 = "", "", IFERROR(JZC220 / SUMIFS(Aux_Totales!$N:$N, Aux_Totales!$F:$F, $F224, Aux_Totales!$A:$A,#REF!), 0))</f>
        <v/>
      </c>
      <c r="JZD224" s="19" t="str">
        <f>IF(JZD220 = "", "", IFERROR(JZD220 / SUMIFS(Aux_Totales!$N:$N, Aux_Totales!$F:$F, $F224, Aux_Totales!$A:$A,#REF!), 0))</f>
        <v/>
      </c>
      <c r="JZE224" s="19" t="str">
        <f>IF(JZE220 = "", "", IFERROR(JZE220 / SUMIFS(Aux_Totales!$N:$N, Aux_Totales!$F:$F, $F224, Aux_Totales!$A:$A,#REF!), 0))</f>
        <v/>
      </c>
      <c r="JZF224" s="19" t="str">
        <f>IF(JZF220 = "", "", IFERROR(JZF220 / SUMIFS(Aux_Totales!$N:$N, Aux_Totales!$F:$F, $F224, Aux_Totales!$A:$A,#REF!), 0))</f>
        <v/>
      </c>
      <c r="JZG224" s="19" t="str">
        <f>IF(JZG220 = "", "", IFERROR(JZG220 / SUMIFS(Aux_Totales!$N:$N, Aux_Totales!$F:$F, $F224, Aux_Totales!$A:$A,#REF!), 0))</f>
        <v/>
      </c>
      <c r="JZH224" s="19" t="str">
        <f>IF(JZH220 = "", "", IFERROR(JZH220 / SUMIFS(Aux_Totales!$N:$N, Aux_Totales!$F:$F, $F224, Aux_Totales!$A:$A,#REF!), 0))</f>
        <v/>
      </c>
      <c r="JZI224" s="19" t="str">
        <f>IF(JZI220 = "", "", IFERROR(JZI220 / SUMIFS(Aux_Totales!$N:$N, Aux_Totales!$F:$F, $F224, Aux_Totales!$A:$A,#REF!), 0))</f>
        <v/>
      </c>
      <c r="JZJ224" s="19" t="str">
        <f>IF(JZJ220 = "", "", IFERROR(JZJ220 / SUMIFS(Aux_Totales!$N:$N, Aux_Totales!$F:$F, $F224, Aux_Totales!$A:$A,#REF!), 0))</f>
        <v/>
      </c>
      <c r="JZK224" s="19" t="str">
        <f>IF(JZK220 = "", "", IFERROR(JZK220 / SUMIFS(Aux_Totales!$N:$N, Aux_Totales!$F:$F, $F224, Aux_Totales!$A:$A,#REF!), 0))</f>
        <v/>
      </c>
      <c r="JZL224" s="19" t="str">
        <f>IF(JZL220 = "", "", IFERROR(JZL220 / SUMIFS(Aux_Totales!$N:$N, Aux_Totales!$F:$F, $F224, Aux_Totales!$A:$A,#REF!), 0))</f>
        <v/>
      </c>
      <c r="JZM224" s="19" t="str">
        <f>IF(JZM220 = "", "", IFERROR(JZM220 / SUMIFS(Aux_Totales!$N:$N, Aux_Totales!$F:$F, $F224, Aux_Totales!$A:$A,#REF!), 0))</f>
        <v/>
      </c>
      <c r="JZN224" s="19" t="str">
        <f>IF(JZN220 = "", "", IFERROR(JZN220 / SUMIFS(Aux_Totales!$N:$N, Aux_Totales!$F:$F, $F224, Aux_Totales!$A:$A,#REF!), 0))</f>
        <v/>
      </c>
      <c r="JZO224" s="19" t="str">
        <f>IF(JZO220 = "", "", IFERROR(JZO220 / SUMIFS(Aux_Totales!$N:$N, Aux_Totales!$F:$F, $F224, Aux_Totales!$A:$A,#REF!), 0))</f>
        <v/>
      </c>
      <c r="JZP224" s="19" t="str">
        <f>IF(JZP220 = "", "", IFERROR(JZP220 / SUMIFS(Aux_Totales!$N:$N, Aux_Totales!$F:$F, $F224, Aux_Totales!$A:$A,#REF!), 0))</f>
        <v/>
      </c>
      <c r="JZQ224" s="19" t="str">
        <f>IF(JZQ220 = "", "", IFERROR(JZQ220 / SUMIFS(Aux_Totales!$N:$N, Aux_Totales!$F:$F, $F224, Aux_Totales!$A:$A,#REF!), 0))</f>
        <v/>
      </c>
      <c r="JZR224" s="19" t="str">
        <f>IF(JZR220 = "", "", IFERROR(JZR220 / SUMIFS(Aux_Totales!$N:$N, Aux_Totales!$F:$F, $F224, Aux_Totales!$A:$A,#REF!), 0))</f>
        <v/>
      </c>
      <c r="JZS224" s="19" t="str">
        <f>IF(JZS220 = "", "", IFERROR(JZS220 / SUMIFS(Aux_Totales!$N:$N, Aux_Totales!$F:$F, $F224, Aux_Totales!$A:$A,#REF!), 0))</f>
        <v/>
      </c>
      <c r="JZT224" s="19" t="str">
        <f>IF(JZT220 = "", "", IFERROR(JZT220 / SUMIFS(Aux_Totales!$N:$N, Aux_Totales!$F:$F, $F224, Aux_Totales!$A:$A,#REF!), 0))</f>
        <v/>
      </c>
      <c r="JZU224" s="19" t="str">
        <f>IF(JZU220 = "", "", IFERROR(JZU220 / SUMIFS(Aux_Totales!$N:$N, Aux_Totales!$F:$F, $F224, Aux_Totales!$A:$A,#REF!), 0))</f>
        <v/>
      </c>
      <c r="JZV224" s="19" t="str">
        <f>IF(JZV220 = "", "", IFERROR(JZV220 / SUMIFS(Aux_Totales!$N:$N, Aux_Totales!$F:$F, $F224, Aux_Totales!$A:$A,#REF!), 0))</f>
        <v/>
      </c>
      <c r="JZW224" s="19" t="str">
        <f>IF(JZW220 = "", "", IFERROR(JZW220 / SUMIFS(Aux_Totales!$N:$N, Aux_Totales!$F:$F, $F224, Aux_Totales!$A:$A,#REF!), 0))</f>
        <v/>
      </c>
      <c r="JZX224" s="19" t="str">
        <f>IF(JZX220 = "", "", IFERROR(JZX220 / SUMIFS(Aux_Totales!$N:$N, Aux_Totales!$F:$F, $F224, Aux_Totales!$A:$A,#REF!), 0))</f>
        <v/>
      </c>
      <c r="JZY224" s="19" t="str">
        <f>IF(JZY220 = "", "", IFERROR(JZY220 / SUMIFS(Aux_Totales!$N:$N, Aux_Totales!$F:$F, $F224, Aux_Totales!$A:$A,#REF!), 0))</f>
        <v/>
      </c>
      <c r="JZZ224" s="19" t="str">
        <f>IF(JZZ220 = "", "", IFERROR(JZZ220 / SUMIFS(Aux_Totales!$N:$N, Aux_Totales!$F:$F, $F224, Aux_Totales!$A:$A,#REF!), 0))</f>
        <v/>
      </c>
      <c r="KAA224" s="19" t="str">
        <f>IF(KAA220 = "", "", IFERROR(KAA220 / SUMIFS(Aux_Totales!$N:$N, Aux_Totales!$F:$F, $F224, Aux_Totales!$A:$A,#REF!), 0))</f>
        <v/>
      </c>
      <c r="KAB224" s="19" t="str">
        <f>IF(KAB220 = "", "", IFERROR(KAB220 / SUMIFS(Aux_Totales!$N:$N, Aux_Totales!$F:$F, $F224, Aux_Totales!$A:$A,#REF!), 0))</f>
        <v/>
      </c>
      <c r="KAC224" s="19" t="str">
        <f>IF(KAC220 = "", "", IFERROR(KAC220 / SUMIFS(Aux_Totales!$N:$N, Aux_Totales!$F:$F, $F224, Aux_Totales!$A:$A,#REF!), 0))</f>
        <v/>
      </c>
      <c r="KAD224" s="19" t="str">
        <f>IF(KAD220 = "", "", IFERROR(KAD220 / SUMIFS(Aux_Totales!$N:$N, Aux_Totales!$F:$F, $F224, Aux_Totales!$A:$A,#REF!), 0))</f>
        <v/>
      </c>
      <c r="KAE224" s="19" t="str">
        <f>IF(KAE220 = "", "", IFERROR(KAE220 / SUMIFS(Aux_Totales!$N:$N, Aux_Totales!$F:$F, $F224, Aux_Totales!$A:$A,#REF!), 0))</f>
        <v/>
      </c>
      <c r="KAF224" s="19" t="str">
        <f>IF(KAF220 = "", "", IFERROR(KAF220 / SUMIFS(Aux_Totales!$N:$N, Aux_Totales!$F:$F, $F224, Aux_Totales!$A:$A,#REF!), 0))</f>
        <v/>
      </c>
      <c r="KAG224" s="19" t="str">
        <f>IF(KAG220 = "", "", IFERROR(KAG220 / SUMIFS(Aux_Totales!$N:$N, Aux_Totales!$F:$F, $F224, Aux_Totales!$A:$A,#REF!), 0))</f>
        <v/>
      </c>
      <c r="KAH224" s="19" t="str">
        <f>IF(KAH220 = "", "", IFERROR(KAH220 / SUMIFS(Aux_Totales!$N:$N, Aux_Totales!$F:$F, $F224, Aux_Totales!$A:$A,#REF!), 0))</f>
        <v/>
      </c>
      <c r="KAI224" s="19" t="str">
        <f>IF(KAI220 = "", "", IFERROR(KAI220 / SUMIFS(Aux_Totales!$N:$N, Aux_Totales!$F:$F, $F224, Aux_Totales!$A:$A,#REF!), 0))</f>
        <v/>
      </c>
      <c r="KAJ224" s="19" t="str">
        <f>IF(KAJ220 = "", "", IFERROR(KAJ220 / SUMIFS(Aux_Totales!$N:$N, Aux_Totales!$F:$F, $F224, Aux_Totales!$A:$A,#REF!), 0))</f>
        <v/>
      </c>
      <c r="KAK224" s="19" t="str">
        <f>IF(KAK220 = "", "", IFERROR(KAK220 / SUMIFS(Aux_Totales!$N:$N, Aux_Totales!$F:$F, $F224, Aux_Totales!$A:$A,#REF!), 0))</f>
        <v/>
      </c>
      <c r="KAL224" s="19" t="str">
        <f>IF(KAL220 = "", "", IFERROR(KAL220 / SUMIFS(Aux_Totales!$N:$N, Aux_Totales!$F:$F, $F224, Aux_Totales!$A:$A,#REF!), 0))</f>
        <v/>
      </c>
      <c r="KAM224" s="19" t="str">
        <f>IF(KAM220 = "", "", IFERROR(KAM220 / SUMIFS(Aux_Totales!$N:$N, Aux_Totales!$F:$F, $F224, Aux_Totales!$A:$A,#REF!), 0))</f>
        <v/>
      </c>
      <c r="KAN224" s="19" t="str">
        <f>IF(KAN220 = "", "", IFERROR(KAN220 / SUMIFS(Aux_Totales!$N:$N, Aux_Totales!$F:$F, $F224, Aux_Totales!$A:$A,#REF!), 0))</f>
        <v/>
      </c>
      <c r="KAO224" s="19" t="str">
        <f>IF(KAO220 = "", "", IFERROR(KAO220 / SUMIFS(Aux_Totales!$N:$N, Aux_Totales!$F:$F, $F224, Aux_Totales!$A:$A,#REF!), 0))</f>
        <v/>
      </c>
      <c r="KAP224" s="19" t="str">
        <f>IF(KAP220 = "", "", IFERROR(KAP220 / SUMIFS(Aux_Totales!$N:$N, Aux_Totales!$F:$F, $F224, Aux_Totales!$A:$A,#REF!), 0))</f>
        <v/>
      </c>
      <c r="KAQ224" s="19" t="str">
        <f>IF(KAQ220 = "", "", IFERROR(KAQ220 / SUMIFS(Aux_Totales!$N:$N, Aux_Totales!$F:$F, $F224, Aux_Totales!$A:$A,#REF!), 0))</f>
        <v/>
      </c>
      <c r="KAR224" s="19" t="str">
        <f>IF(KAR220 = "", "", IFERROR(KAR220 / SUMIFS(Aux_Totales!$N:$N, Aux_Totales!$F:$F, $F224, Aux_Totales!$A:$A,#REF!), 0))</f>
        <v/>
      </c>
      <c r="KAS224" s="19" t="str">
        <f>IF(KAS220 = "", "", IFERROR(KAS220 / SUMIFS(Aux_Totales!$N:$N, Aux_Totales!$F:$F, $F224, Aux_Totales!$A:$A,#REF!), 0))</f>
        <v/>
      </c>
      <c r="KAT224" s="19" t="str">
        <f>IF(KAT220 = "", "", IFERROR(KAT220 / SUMIFS(Aux_Totales!$N:$N, Aux_Totales!$F:$F, $F224, Aux_Totales!$A:$A,#REF!), 0))</f>
        <v/>
      </c>
      <c r="KAU224" s="19" t="str">
        <f>IF(KAU220 = "", "", IFERROR(KAU220 / SUMIFS(Aux_Totales!$N:$N, Aux_Totales!$F:$F, $F224, Aux_Totales!$A:$A,#REF!), 0))</f>
        <v/>
      </c>
      <c r="KAV224" s="19" t="str">
        <f>IF(KAV220 = "", "", IFERROR(KAV220 / SUMIFS(Aux_Totales!$N:$N, Aux_Totales!$F:$F, $F224, Aux_Totales!$A:$A,#REF!), 0))</f>
        <v/>
      </c>
      <c r="KAW224" s="19" t="str">
        <f>IF(KAW220 = "", "", IFERROR(KAW220 / SUMIFS(Aux_Totales!$N:$N, Aux_Totales!$F:$F, $F224, Aux_Totales!$A:$A,#REF!), 0))</f>
        <v/>
      </c>
      <c r="KAX224" s="19" t="str">
        <f>IF(KAX220 = "", "", IFERROR(KAX220 / SUMIFS(Aux_Totales!$N:$N, Aux_Totales!$F:$F, $F224, Aux_Totales!$A:$A,#REF!), 0))</f>
        <v/>
      </c>
      <c r="KAY224" s="19" t="str">
        <f>IF(KAY220 = "", "", IFERROR(KAY220 / SUMIFS(Aux_Totales!$N:$N, Aux_Totales!$F:$F, $F224, Aux_Totales!$A:$A,#REF!), 0))</f>
        <v/>
      </c>
      <c r="KAZ224" s="19" t="str">
        <f>IF(KAZ220 = "", "", IFERROR(KAZ220 / SUMIFS(Aux_Totales!$N:$N, Aux_Totales!$F:$F, $F224, Aux_Totales!$A:$A,#REF!), 0))</f>
        <v/>
      </c>
      <c r="KBA224" s="19" t="str">
        <f>IF(KBA220 = "", "", IFERROR(KBA220 / SUMIFS(Aux_Totales!$N:$N, Aux_Totales!$F:$F, $F224, Aux_Totales!$A:$A,#REF!), 0))</f>
        <v/>
      </c>
      <c r="KBB224" s="19" t="str">
        <f>IF(KBB220 = "", "", IFERROR(KBB220 / SUMIFS(Aux_Totales!$N:$N, Aux_Totales!$F:$F, $F224, Aux_Totales!$A:$A,#REF!), 0))</f>
        <v/>
      </c>
      <c r="KBC224" s="19" t="str">
        <f>IF(KBC220 = "", "", IFERROR(KBC220 / SUMIFS(Aux_Totales!$N:$N, Aux_Totales!$F:$F, $F224, Aux_Totales!$A:$A,#REF!), 0))</f>
        <v/>
      </c>
      <c r="KBD224" s="19" t="str">
        <f>IF(KBD220 = "", "", IFERROR(KBD220 / SUMIFS(Aux_Totales!$N:$N, Aux_Totales!$F:$F, $F224, Aux_Totales!$A:$A,#REF!), 0))</f>
        <v/>
      </c>
      <c r="KBE224" s="19" t="str">
        <f>IF(KBE220 = "", "", IFERROR(KBE220 / SUMIFS(Aux_Totales!$N:$N, Aux_Totales!$F:$F, $F224, Aux_Totales!$A:$A,#REF!), 0))</f>
        <v/>
      </c>
      <c r="KBF224" s="19" t="str">
        <f>IF(KBF220 = "", "", IFERROR(KBF220 / SUMIFS(Aux_Totales!$N:$N, Aux_Totales!$F:$F, $F224, Aux_Totales!$A:$A,#REF!), 0))</f>
        <v/>
      </c>
      <c r="KBG224" s="19" t="str">
        <f>IF(KBG220 = "", "", IFERROR(KBG220 / SUMIFS(Aux_Totales!$N:$N, Aux_Totales!$F:$F, $F224, Aux_Totales!$A:$A,#REF!), 0))</f>
        <v/>
      </c>
      <c r="KBH224" s="19" t="str">
        <f>IF(KBH220 = "", "", IFERROR(KBH220 / SUMIFS(Aux_Totales!$N:$N, Aux_Totales!$F:$F, $F224, Aux_Totales!$A:$A,#REF!), 0))</f>
        <v/>
      </c>
      <c r="KBI224" s="19" t="str">
        <f>IF(KBI220 = "", "", IFERROR(KBI220 / SUMIFS(Aux_Totales!$N:$N, Aux_Totales!$F:$F, $F224, Aux_Totales!$A:$A,#REF!), 0))</f>
        <v/>
      </c>
      <c r="KBJ224" s="19" t="str">
        <f>IF(KBJ220 = "", "", IFERROR(KBJ220 / SUMIFS(Aux_Totales!$N:$N, Aux_Totales!$F:$F, $F224, Aux_Totales!$A:$A,#REF!), 0))</f>
        <v/>
      </c>
      <c r="KBK224" s="19" t="str">
        <f>IF(KBK220 = "", "", IFERROR(KBK220 / SUMIFS(Aux_Totales!$N:$N, Aux_Totales!$F:$F, $F224, Aux_Totales!$A:$A,#REF!), 0))</f>
        <v/>
      </c>
      <c r="KBL224" s="19" t="str">
        <f>IF(KBL220 = "", "", IFERROR(KBL220 / SUMIFS(Aux_Totales!$N:$N, Aux_Totales!$F:$F, $F224, Aux_Totales!$A:$A,#REF!), 0))</f>
        <v/>
      </c>
      <c r="KBM224" s="19" t="str">
        <f>IF(KBM220 = "", "", IFERROR(KBM220 / SUMIFS(Aux_Totales!$N:$N, Aux_Totales!$F:$F, $F224, Aux_Totales!$A:$A,#REF!), 0))</f>
        <v/>
      </c>
      <c r="KBN224" s="19" t="str">
        <f>IF(KBN220 = "", "", IFERROR(KBN220 / SUMIFS(Aux_Totales!$N:$N, Aux_Totales!$F:$F, $F224, Aux_Totales!$A:$A,#REF!), 0))</f>
        <v/>
      </c>
      <c r="KBO224" s="19" t="str">
        <f>IF(KBO220 = "", "", IFERROR(KBO220 / SUMIFS(Aux_Totales!$N:$N, Aux_Totales!$F:$F, $F224, Aux_Totales!$A:$A,#REF!), 0))</f>
        <v/>
      </c>
      <c r="KBP224" s="19" t="str">
        <f>IF(KBP220 = "", "", IFERROR(KBP220 / SUMIFS(Aux_Totales!$N:$N, Aux_Totales!$F:$F, $F224, Aux_Totales!$A:$A,#REF!), 0))</f>
        <v/>
      </c>
      <c r="KBQ224" s="19" t="str">
        <f>IF(KBQ220 = "", "", IFERROR(KBQ220 / SUMIFS(Aux_Totales!$N:$N, Aux_Totales!$F:$F, $F224, Aux_Totales!$A:$A,#REF!), 0))</f>
        <v/>
      </c>
      <c r="KBR224" s="19" t="str">
        <f>IF(KBR220 = "", "", IFERROR(KBR220 / SUMIFS(Aux_Totales!$N:$N, Aux_Totales!$F:$F, $F224, Aux_Totales!$A:$A,#REF!), 0))</f>
        <v/>
      </c>
      <c r="KBS224" s="19" t="str">
        <f>IF(KBS220 = "", "", IFERROR(KBS220 / SUMIFS(Aux_Totales!$N:$N, Aux_Totales!$F:$F, $F224, Aux_Totales!$A:$A,#REF!), 0))</f>
        <v/>
      </c>
      <c r="KBT224" s="19" t="str">
        <f>IF(KBT220 = "", "", IFERROR(KBT220 / SUMIFS(Aux_Totales!$N:$N, Aux_Totales!$F:$F, $F224, Aux_Totales!$A:$A,#REF!), 0))</f>
        <v/>
      </c>
      <c r="KBU224" s="19" t="str">
        <f>IF(KBU220 = "", "", IFERROR(KBU220 / SUMIFS(Aux_Totales!$N:$N, Aux_Totales!$F:$F, $F224, Aux_Totales!$A:$A,#REF!), 0))</f>
        <v/>
      </c>
      <c r="KBV224" s="19" t="str">
        <f>IF(KBV220 = "", "", IFERROR(KBV220 / SUMIFS(Aux_Totales!$N:$N, Aux_Totales!$F:$F, $F224, Aux_Totales!$A:$A,#REF!), 0))</f>
        <v/>
      </c>
      <c r="KBW224" s="19" t="str">
        <f>IF(KBW220 = "", "", IFERROR(KBW220 / SUMIFS(Aux_Totales!$N:$N, Aux_Totales!$F:$F, $F224, Aux_Totales!$A:$A,#REF!), 0))</f>
        <v/>
      </c>
      <c r="KBX224" s="19" t="str">
        <f>IF(KBX220 = "", "", IFERROR(KBX220 / SUMIFS(Aux_Totales!$N:$N, Aux_Totales!$F:$F, $F224, Aux_Totales!$A:$A,#REF!), 0))</f>
        <v/>
      </c>
      <c r="KBY224" s="19" t="str">
        <f>IF(KBY220 = "", "", IFERROR(KBY220 / SUMIFS(Aux_Totales!$N:$N, Aux_Totales!$F:$F, $F224, Aux_Totales!$A:$A,#REF!), 0))</f>
        <v/>
      </c>
      <c r="KBZ224" s="19" t="str">
        <f>IF(KBZ220 = "", "", IFERROR(KBZ220 / SUMIFS(Aux_Totales!$N:$N, Aux_Totales!$F:$F, $F224, Aux_Totales!$A:$A,#REF!), 0))</f>
        <v/>
      </c>
      <c r="KCA224" s="19" t="str">
        <f>IF(KCA220 = "", "", IFERROR(KCA220 / SUMIFS(Aux_Totales!$N:$N, Aux_Totales!$F:$F, $F224, Aux_Totales!$A:$A,#REF!), 0))</f>
        <v/>
      </c>
      <c r="KCB224" s="19" t="str">
        <f>IF(KCB220 = "", "", IFERROR(KCB220 / SUMIFS(Aux_Totales!$N:$N, Aux_Totales!$F:$F, $F224, Aux_Totales!$A:$A,#REF!), 0))</f>
        <v/>
      </c>
      <c r="KCC224" s="19" t="str">
        <f>IF(KCC220 = "", "", IFERROR(KCC220 / SUMIFS(Aux_Totales!$N:$N, Aux_Totales!$F:$F, $F224, Aux_Totales!$A:$A,#REF!), 0))</f>
        <v/>
      </c>
      <c r="KCD224" s="19" t="str">
        <f>IF(KCD220 = "", "", IFERROR(KCD220 / SUMIFS(Aux_Totales!$N:$N, Aux_Totales!$F:$F, $F224, Aux_Totales!$A:$A,#REF!), 0))</f>
        <v/>
      </c>
      <c r="KCE224" s="19" t="str">
        <f>IF(KCE220 = "", "", IFERROR(KCE220 / SUMIFS(Aux_Totales!$N:$N, Aux_Totales!$F:$F, $F224, Aux_Totales!$A:$A,#REF!), 0))</f>
        <v/>
      </c>
      <c r="KCF224" s="19" t="str">
        <f>IF(KCF220 = "", "", IFERROR(KCF220 / SUMIFS(Aux_Totales!$N:$N, Aux_Totales!$F:$F, $F224, Aux_Totales!$A:$A,#REF!), 0))</f>
        <v/>
      </c>
      <c r="KCG224" s="19" t="str">
        <f>IF(KCG220 = "", "", IFERROR(KCG220 / SUMIFS(Aux_Totales!$N:$N, Aux_Totales!$F:$F, $F224, Aux_Totales!$A:$A,#REF!), 0))</f>
        <v/>
      </c>
      <c r="KCH224" s="19" t="str">
        <f>IF(KCH220 = "", "", IFERROR(KCH220 / SUMIFS(Aux_Totales!$N:$N, Aux_Totales!$F:$F, $F224, Aux_Totales!$A:$A,#REF!), 0))</f>
        <v/>
      </c>
      <c r="KCI224" s="19" t="str">
        <f>IF(KCI220 = "", "", IFERROR(KCI220 / SUMIFS(Aux_Totales!$N:$N, Aux_Totales!$F:$F, $F224, Aux_Totales!$A:$A,#REF!), 0))</f>
        <v/>
      </c>
      <c r="KCJ224" s="19" t="str">
        <f>IF(KCJ220 = "", "", IFERROR(KCJ220 / SUMIFS(Aux_Totales!$N:$N, Aux_Totales!$F:$F, $F224, Aux_Totales!$A:$A,#REF!), 0))</f>
        <v/>
      </c>
      <c r="KCK224" s="19" t="str">
        <f>IF(KCK220 = "", "", IFERROR(KCK220 / SUMIFS(Aux_Totales!$N:$N, Aux_Totales!$F:$F, $F224, Aux_Totales!$A:$A,#REF!), 0))</f>
        <v/>
      </c>
      <c r="KCL224" s="19" t="str">
        <f>IF(KCL220 = "", "", IFERROR(KCL220 / SUMIFS(Aux_Totales!$N:$N, Aux_Totales!$F:$F, $F224, Aux_Totales!$A:$A,#REF!), 0))</f>
        <v/>
      </c>
      <c r="KCM224" s="19" t="str">
        <f>IF(KCM220 = "", "", IFERROR(KCM220 / SUMIFS(Aux_Totales!$N:$N, Aux_Totales!$F:$F, $F224, Aux_Totales!$A:$A,#REF!), 0))</f>
        <v/>
      </c>
      <c r="KCN224" s="19" t="str">
        <f>IF(KCN220 = "", "", IFERROR(KCN220 / SUMIFS(Aux_Totales!$N:$N, Aux_Totales!$F:$F, $F224, Aux_Totales!$A:$A,#REF!), 0))</f>
        <v/>
      </c>
      <c r="KCO224" s="19" t="str">
        <f>IF(KCO220 = "", "", IFERROR(KCO220 / SUMIFS(Aux_Totales!$N:$N, Aux_Totales!$F:$F, $F224, Aux_Totales!$A:$A,#REF!), 0))</f>
        <v/>
      </c>
      <c r="KCP224" s="19" t="str">
        <f>IF(KCP220 = "", "", IFERROR(KCP220 / SUMIFS(Aux_Totales!$N:$N, Aux_Totales!$F:$F, $F224, Aux_Totales!$A:$A,#REF!), 0))</f>
        <v/>
      </c>
      <c r="KCQ224" s="19" t="str">
        <f>IF(KCQ220 = "", "", IFERROR(KCQ220 / SUMIFS(Aux_Totales!$N:$N, Aux_Totales!$F:$F, $F224, Aux_Totales!$A:$A,#REF!), 0))</f>
        <v/>
      </c>
      <c r="KCR224" s="19" t="str">
        <f>IF(KCR220 = "", "", IFERROR(KCR220 / SUMIFS(Aux_Totales!$N:$N, Aux_Totales!$F:$F, $F224, Aux_Totales!$A:$A,#REF!), 0))</f>
        <v/>
      </c>
      <c r="KCS224" s="19" t="str">
        <f>IF(KCS220 = "", "", IFERROR(KCS220 / SUMIFS(Aux_Totales!$N:$N, Aux_Totales!$F:$F, $F224, Aux_Totales!$A:$A,#REF!), 0))</f>
        <v/>
      </c>
      <c r="KCT224" s="19" t="str">
        <f>IF(KCT220 = "", "", IFERROR(KCT220 / SUMIFS(Aux_Totales!$N:$N, Aux_Totales!$F:$F, $F224, Aux_Totales!$A:$A,#REF!), 0))</f>
        <v/>
      </c>
      <c r="KCU224" s="19" t="str">
        <f>IF(KCU220 = "", "", IFERROR(KCU220 / SUMIFS(Aux_Totales!$N:$N, Aux_Totales!$F:$F, $F224, Aux_Totales!$A:$A,#REF!), 0))</f>
        <v/>
      </c>
      <c r="KCV224" s="19" t="str">
        <f>IF(KCV220 = "", "", IFERROR(KCV220 / SUMIFS(Aux_Totales!$N:$N, Aux_Totales!$F:$F, $F224, Aux_Totales!$A:$A,#REF!), 0))</f>
        <v/>
      </c>
      <c r="KCW224" s="19" t="str">
        <f>IF(KCW220 = "", "", IFERROR(KCW220 / SUMIFS(Aux_Totales!$N:$N, Aux_Totales!$F:$F, $F224, Aux_Totales!$A:$A,#REF!), 0))</f>
        <v/>
      </c>
      <c r="KCX224" s="19" t="str">
        <f>IF(KCX220 = "", "", IFERROR(KCX220 / SUMIFS(Aux_Totales!$N:$N, Aux_Totales!$F:$F, $F224, Aux_Totales!$A:$A,#REF!), 0))</f>
        <v/>
      </c>
      <c r="KCY224" s="19" t="str">
        <f>IF(KCY220 = "", "", IFERROR(KCY220 / SUMIFS(Aux_Totales!$N:$N, Aux_Totales!$F:$F, $F224, Aux_Totales!$A:$A,#REF!), 0))</f>
        <v/>
      </c>
      <c r="KCZ224" s="19" t="str">
        <f>IF(KCZ220 = "", "", IFERROR(KCZ220 / SUMIFS(Aux_Totales!$N:$N, Aux_Totales!$F:$F, $F224, Aux_Totales!$A:$A,#REF!), 0))</f>
        <v/>
      </c>
      <c r="KDA224" s="19" t="str">
        <f>IF(KDA220 = "", "", IFERROR(KDA220 / SUMIFS(Aux_Totales!$N:$N, Aux_Totales!$F:$F, $F224, Aux_Totales!$A:$A,#REF!), 0))</f>
        <v/>
      </c>
      <c r="KDB224" s="19" t="str">
        <f>IF(KDB220 = "", "", IFERROR(KDB220 / SUMIFS(Aux_Totales!$N:$N, Aux_Totales!$F:$F, $F224, Aux_Totales!$A:$A,#REF!), 0))</f>
        <v/>
      </c>
      <c r="KDC224" s="19" t="str">
        <f>IF(KDC220 = "", "", IFERROR(KDC220 / SUMIFS(Aux_Totales!$N:$N, Aux_Totales!$F:$F, $F224, Aux_Totales!$A:$A,#REF!), 0))</f>
        <v/>
      </c>
      <c r="KDD224" s="19" t="str">
        <f>IF(KDD220 = "", "", IFERROR(KDD220 / SUMIFS(Aux_Totales!$N:$N, Aux_Totales!$F:$F, $F224, Aux_Totales!$A:$A,#REF!), 0))</f>
        <v/>
      </c>
      <c r="KDE224" s="19" t="str">
        <f>IF(KDE220 = "", "", IFERROR(KDE220 / SUMIFS(Aux_Totales!$N:$N, Aux_Totales!$F:$F, $F224, Aux_Totales!$A:$A,#REF!), 0))</f>
        <v/>
      </c>
      <c r="KDF224" s="19" t="str">
        <f>IF(KDF220 = "", "", IFERROR(KDF220 / SUMIFS(Aux_Totales!$N:$N, Aux_Totales!$F:$F, $F224, Aux_Totales!$A:$A,#REF!), 0))</f>
        <v/>
      </c>
      <c r="KDG224" s="19" t="str">
        <f>IF(KDG220 = "", "", IFERROR(KDG220 / SUMIFS(Aux_Totales!$N:$N, Aux_Totales!$F:$F, $F224, Aux_Totales!$A:$A,#REF!), 0))</f>
        <v/>
      </c>
      <c r="KDH224" s="19" t="str">
        <f>IF(KDH220 = "", "", IFERROR(KDH220 / SUMIFS(Aux_Totales!$N:$N, Aux_Totales!$F:$F, $F224, Aux_Totales!$A:$A,#REF!), 0))</f>
        <v/>
      </c>
      <c r="KDI224" s="19" t="str">
        <f>IF(KDI220 = "", "", IFERROR(KDI220 / SUMIFS(Aux_Totales!$N:$N, Aux_Totales!$F:$F, $F224, Aux_Totales!$A:$A,#REF!), 0))</f>
        <v/>
      </c>
      <c r="KDJ224" s="19" t="str">
        <f>IF(KDJ220 = "", "", IFERROR(KDJ220 / SUMIFS(Aux_Totales!$N:$N, Aux_Totales!$F:$F, $F224, Aux_Totales!$A:$A,#REF!), 0))</f>
        <v/>
      </c>
      <c r="KDK224" s="19" t="str">
        <f>IF(KDK220 = "", "", IFERROR(KDK220 / SUMIFS(Aux_Totales!$N:$N, Aux_Totales!$F:$F, $F224, Aux_Totales!$A:$A,#REF!), 0))</f>
        <v/>
      </c>
      <c r="KDL224" s="19" t="str">
        <f>IF(KDL220 = "", "", IFERROR(KDL220 / SUMIFS(Aux_Totales!$N:$N, Aux_Totales!$F:$F, $F224, Aux_Totales!$A:$A,#REF!), 0))</f>
        <v/>
      </c>
      <c r="KDM224" s="19" t="str">
        <f>IF(KDM220 = "", "", IFERROR(KDM220 / SUMIFS(Aux_Totales!$N:$N, Aux_Totales!$F:$F, $F224, Aux_Totales!$A:$A,#REF!), 0))</f>
        <v/>
      </c>
      <c r="KDN224" s="19" t="str">
        <f>IF(KDN220 = "", "", IFERROR(KDN220 / SUMIFS(Aux_Totales!$N:$N, Aux_Totales!$F:$F, $F224, Aux_Totales!$A:$A,#REF!), 0))</f>
        <v/>
      </c>
      <c r="KDO224" s="19" t="str">
        <f>IF(KDO220 = "", "", IFERROR(KDO220 / SUMIFS(Aux_Totales!$N:$N, Aux_Totales!$F:$F, $F224, Aux_Totales!$A:$A,#REF!), 0))</f>
        <v/>
      </c>
      <c r="KDP224" s="19" t="str">
        <f>IF(KDP220 = "", "", IFERROR(KDP220 / SUMIFS(Aux_Totales!$N:$N, Aux_Totales!$F:$F, $F224, Aux_Totales!$A:$A,#REF!), 0))</f>
        <v/>
      </c>
      <c r="KDQ224" s="19" t="str">
        <f>IF(KDQ220 = "", "", IFERROR(KDQ220 / SUMIFS(Aux_Totales!$N:$N, Aux_Totales!$F:$F, $F224, Aux_Totales!$A:$A,#REF!), 0))</f>
        <v/>
      </c>
      <c r="KDR224" s="19" t="str">
        <f>IF(KDR220 = "", "", IFERROR(KDR220 / SUMIFS(Aux_Totales!$N:$N, Aux_Totales!$F:$F, $F224, Aux_Totales!$A:$A,#REF!), 0))</f>
        <v/>
      </c>
      <c r="KDS224" s="19" t="str">
        <f>IF(KDS220 = "", "", IFERROR(KDS220 / SUMIFS(Aux_Totales!$N:$N, Aux_Totales!$F:$F, $F224, Aux_Totales!$A:$A,#REF!), 0))</f>
        <v/>
      </c>
      <c r="KDT224" s="19" t="str">
        <f>IF(KDT220 = "", "", IFERROR(KDT220 / SUMIFS(Aux_Totales!$N:$N, Aux_Totales!$F:$F, $F224, Aux_Totales!$A:$A,#REF!), 0))</f>
        <v/>
      </c>
      <c r="KDU224" s="19" t="str">
        <f>IF(KDU220 = "", "", IFERROR(KDU220 / SUMIFS(Aux_Totales!$N:$N, Aux_Totales!$F:$F, $F224, Aux_Totales!$A:$A,#REF!), 0))</f>
        <v/>
      </c>
      <c r="KDV224" s="19" t="str">
        <f>IF(KDV220 = "", "", IFERROR(KDV220 / SUMIFS(Aux_Totales!$N:$N, Aux_Totales!$F:$F, $F224, Aux_Totales!$A:$A,#REF!), 0))</f>
        <v/>
      </c>
      <c r="KDW224" s="19" t="str">
        <f>IF(KDW220 = "", "", IFERROR(KDW220 / SUMIFS(Aux_Totales!$N:$N, Aux_Totales!$F:$F, $F224, Aux_Totales!$A:$A,#REF!), 0))</f>
        <v/>
      </c>
      <c r="KDX224" s="19" t="str">
        <f>IF(KDX220 = "", "", IFERROR(KDX220 / SUMIFS(Aux_Totales!$N:$N, Aux_Totales!$F:$F, $F224, Aux_Totales!$A:$A,#REF!), 0))</f>
        <v/>
      </c>
      <c r="KDY224" s="19" t="str">
        <f>IF(KDY220 = "", "", IFERROR(KDY220 / SUMIFS(Aux_Totales!$N:$N, Aux_Totales!$F:$F, $F224, Aux_Totales!$A:$A,#REF!), 0))</f>
        <v/>
      </c>
      <c r="KDZ224" s="19" t="str">
        <f>IF(KDZ220 = "", "", IFERROR(KDZ220 / SUMIFS(Aux_Totales!$N:$N, Aux_Totales!$F:$F, $F224, Aux_Totales!$A:$A,#REF!), 0))</f>
        <v/>
      </c>
      <c r="KEA224" s="19" t="str">
        <f>IF(KEA220 = "", "", IFERROR(KEA220 / SUMIFS(Aux_Totales!$N:$N, Aux_Totales!$F:$F, $F224, Aux_Totales!$A:$A,#REF!), 0))</f>
        <v/>
      </c>
      <c r="KEB224" s="19" t="str">
        <f>IF(KEB220 = "", "", IFERROR(KEB220 / SUMIFS(Aux_Totales!$N:$N, Aux_Totales!$F:$F, $F224, Aux_Totales!$A:$A,#REF!), 0))</f>
        <v/>
      </c>
      <c r="KEC224" s="19" t="str">
        <f>IF(KEC220 = "", "", IFERROR(KEC220 / SUMIFS(Aux_Totales!$N:$N, Aux_Totales!$F:$F, $F224, Aux_Totales!$A:$A,#REF!), 0))</f>
        <v/>
      </c>
      <c r="KED224" s="19" t="str">
        <f>IF(KED220 = "", "", IFERROR(KED220 / SUMIFS(Aux_Totales!$N:$N, Aux_Totales!$F:$F, $F224, Aux_Totales!$A:$A,#REF!), 0))</f>
        <v/>
      </c>
      <c r="KEE224" s="19" t="str">
        <f>IF(KEE220 = "", "", IFERROR(KEE220 / SUMIFS(Aux_Totales!$N:$N, Aux_Totales!$F:$F, $F224, Aux_Totales!$A:$A,#REF!), 0))</f>
        <v/>
      </c>
      <c r="KEF224" s="19" t="str">
        <f>IF(KEF220 = "", "", IFERROR(KEF220 / SUMIFS(Aux_Totales!$N:$N, Aux_Totales!$F:$F, $F224, Aux_Totales!$A:$A,#REF!), 0))</f>
        <v/>
      </c>
      <c r="KEG224" s="19" t="str">
        <f>IF(KEG220 = "", "", IFERROR(KEG220 / SUMIFS(Aux_Totales!$N:$N, Aux_Totales!$F:$F, $F224, Aux_Totales!$A:$A,#REF!), 0))</f>
        <v/>
      </c>
      <c r="KEH224" s="19" t="str">
        <f>IF(KEH220 = "", "", IFERROR(KEH220 / SUMIFS(Aux_Totales!$N:$N, Aux_Totales!$F:$F, $F224, Aux_Totales!$A:$A,#REF!), 0))</f>
        <v/>
      </c>
      <c r="KEI224" s="19" t="str">
        <f>IF(KEI220 = "", "", IFERROR(KEI220 / SUMIFS(Aux_Totales!$N:$N, Aux_Totales!$F:$F, $F224, Aux_Totales!$A:$A,#REF!), 0))</f>
        <v/>
      </c>
      <c r="KEJ224" s="19" t="str">
        <f>IF(KEJ220 = "", "", IFERROR(KEJ220 / SUMIFS(Aux_Totales!$N:$N, Aux_Totales!$F:$F, $F224, Aux_Totales!$A:$A,#REF!), 0))</f>
        <v/>
      </c>
      <c r="KEK224" s="19" t="str">
        <f>IF(KEK220 = "", "", IFERROR(KEK220 / SUMIFS(Aux_Totales!$N:$N, Aux_Totales!$F:$F, $F224, Aux_Totales!$A:$A,#REF!), 0))</f>
        <v/>
      </c>
      <c r="KEL224" s="19" t="str">
        <f>IF(KEL220 = "", "", IFERROR(KEL220 / SUMIFS(Aux_Totales!$N:$N, Aux_Totales!$F:$F, $F224, Aux_Totales!$A:$A,#REF!), 0))</f>
        <v/>
      </c>
      <c r="KEM224" s="19" t="str">
        <f>IF(KEM220 = "", "", IFERROR(KEM220 / SUMIFS(Aux_Totales!$N:$N, Aux_Totales!$F:$F, $F224, Aux_Totales!$A:$A,#REF!), 0))</f>
        <v/>
      </c>
      <c r="KEN224" s="19" t="str">
        <f>IF(KEN220 = "", "", IFERROR(KEN220 / SUMIFS(Aux_Totales!$N:$N, Aux_Totales!$F:$F, $F224, Aux_Totales!$A:$A,#REF!), 0))</f>
        <v/>
      </c>
      <c r="KEO224" s="19" t="str">
        <f>IF(KEO220 = "", "", IFERROR(KEO220 / SUMIFS(Aux_Totales!$N:$N, Aux_Totales!$F:$F, $F224, Aux_Totales!$A:$A,#REF!), 0))</f>
        <v/>
      </c>
      <c r="KEP224" s="19" t="str">
        <f>IF(KEP220 = "", "", IFERROR(KEP220 / SUMIFS(Aux_Totales!$N:$N, Aux_Totales!$F:$F, $F224, Aux_Totales!$A:$A,#REF!), 0))</f>
        <v/>
      </c>
      <c r="KEQ224" s="19" t="str">
        <f>IF(KEQ220 = "", "", IFERROR(KEQ220 / SUMIFS(Aux_Totales!$N:$N, Aux_Totales!$F:$F, $F224, Aux_Totales!$A:$A,#REF!), 0))</f>
        <v/>
      </c>
      <c r="KER224" s="19" t="str">
        <f>IF(KER220 = "", "", IFERROR(KER220 / SUMIFS(Aux_Totales!$N:$N, Aux_Totales!$F:$F, $F224, Aux_Totales!$A:$A,#REF!), 0))</f>
        <v/>
      </c>
      <c r="KES224" s="19" t="str">
        <f>IF(KES220 = "", "", IFERROR(KES220 / SUMIFS(Aux_Totales!$N:$N, Aux_Totales!$F:$F, $F224, Aux_Totales!$A:$A,#REF!), 0))</f>
        <v/>
      </c>
      <c r="KET224" s="19" t="str">
        <f>IF(KET220 = "", "", IFERROR(KET220 / SUMIFS(Aux_Totales!$N:$N, Aux_Totales!$F:$F, $F224, Aux_Totales!$A:$A,#REF!), 0))</f>
        <v/>
      </c>
      <c r="KEU224" s="19" t="str">
        <f>IF(KEU220 = "", "", IFERROR(KEU220 / SUMIFS(Aux_Totales!$N:$N, Aux_Totales!$F:$F, $F224, Aux_Totales!$A:$A,#REF!), 0))</f>
        <v/>
      </c>
      <c r="KEV224" s="19" t="str">
        <f>IF(KEV220 = "", "", IFERROR(KEV220 / SUMIFS(Aux_Totales!$N:$N, Aux_Totales!$F:$F, $F224, Aux_Totales!$A:$A,#REF!), 0))</f>
        <v/>
      </c>
      <c r="KEW224" s="19" t="str">
        <f>IF(KEW220 = "", "", IFERROR(KEW220 / SUMIFS(Aux_Totales!$N:$N, Aux_Totales!$F:$F, $F224, Aux_Totales!$A:$A,#REF!), 0))</f>
        <v/>
      </c>
      <c r="KEX224" s="19" t="str">
        <f>IF(KEX220 = "", "", IFERROR(KEX220 / SUMIFS(Aux_Totales!$N:$N, Aux_Totales!$F:$F, $F224, Aux_Totales!$A:$A,#REF!), 0))</f>
        <v/>
      </c>
      <c r="KEY224" s="19" t="str">
        <f>IF(KEY220 = "", "", IFERROR(KEY220 / SUMIFS(Aux_Totales!$N:$N, Aux_Totales!$F:$F, $F224, Aux_Totales!$A:$A,#REF!), 0))</f>
        <v/>
      </c>
      <c r="KEZ224" s="19" t="str">
        <f>IF(KEZ220 = "", "", IFERROR(KEZ220 / SUMIFS(Aux_Totales!$N:$N, Aux_Totales!$F:$F, $F224, Aux_Totales!$A:$A,#REF!), 0))</f>
        <v/>
      </c>
      <c r="KFA224" s="19" t="str">
        <f>IF(KFA220 = "", "", IFERROR(KFA220 / SUMIFS(Aux_Totales!$N:$N, Aux_Totales!$F:$F, $F224, Aux_Totales!$A:$A,#REF!), 0))</f>
        <v/>
      </c>
      <c r="KFB224" s="19" t="str">
        <f>IF(KFB220 = "", "", IFERROR(KFB220 / SUMIFS(Aux_Totales!$N:$N, Aux_Totales!$F:$F, $F224, Aux_Totales!$A:$A,#REF!), 0))</f>
        <v/>
      </c>
      <c r="KFC224" s="19" t="str">
        <f>IF(KFC220 = "", "", IFERROR(KFC220 / SUMIFS(Aux_Totales!$N:$N, Aux_Totales!$F:$F, $F224, Aux_Totales!$A:$A,#REF!), 0))</f>
        <v/>
      </c>
      <c r="KFD224" s="19" t="str">
        <f>IF(KFD220 = "", "", IFERROR(KFD220 / SUMIFS(Aux_Totales!$N:$N, Aux_Totales!$F:$F, $F224, Aux_Totales!$A:$A,#REF!), 0))</f>
        <v/>
      </c>
      <c r="KFE224" s="19" t="str">
        <f>IF(KFE220 = "", "", IFERROR(KFE220 / SUMIFS(Aux_Totales!$N:$N, Aux_Totales!$F:$F, $F224, Aux_Totales!$A:$A,#REF!), 0))</f>
        <v/>
      </c>
      <c r="KFF224" s="19" t="str">
        <f>IF(KFF220 = "", "", IFERROR(KFF220 / SUMIFS(Aux_Totales!$N:$N, Aux_Totales!$F:$F, $F224, Aux_Totales!$A:$A,#REF!), 0))</f>
        <v/>
      </c>
      <c r="KFG224" s="19" t="str">
        <f>IF(KFG220 = "", "", IFERROR(KFG220 / SUMIFS(Aux_Totales!$N:$N, Aux_Totales!$F:$F, $F224, Aux_Totales!$A:$A,#REF!), 0))</f>
        <v/>
      </c>
      <c r="KFH224" s="19" t="str">
        <f>IF(KFH220 = "", "", IFERROR(KFH220 / SUMIFS(Aux_Totales!$N:$N, Aux_Totales!$F:$F, $F224, Aux_Totales!$A:$A,#REF!), 0))</f>
        <v/>
      </c>
      <c r="KFI224" s="19" t="str">
        <f>IF(KFI220 = "", "", IFERROR(KFI220 / SUMIFS(Aux_Totales!$N:$N, Aux_Totales!$F:$F, $F224, Aux_Totales!$A:$A,#REF!), 0))</f>
        <v/>
      </c>
      <c r="KFJ224" s="19" t="str">
        <f>IF(KFJ220 = "", "", IFERROR(KFJ220 / SUMIFS(Aux_Totales!$N:$N, Aux_Totales!$F:$F, $F224, Aux_Totales!$A:$A,#REF!), 0))</f>
        <v/>
      </c>
      <c r="KFK224" s="19" t="str">
        <f>IF(KFK220 = "", "", IFERROR(KFK220 / SUMIFS(Aux_Totales!$N:$N, Aux_Totales!$F:$F, $F224, Aux_Totales!$A:$A,#REF!), 0))</f>
        <v/>
      </c>
      <c r="KFL224" s="19" t="str">
        <f>IF(KFL220 = "", "", IFERROR(KFL220 / SUMIFS(Aux_Totales!$N:$N, Aux_Totales!$F:$F, $F224, Aux_Totales!$A:$A,#REF!), 0))</f>
        <v/>
      </c>
      <c r="KFM224" s="19" t="str">
        <f>IF(KFM220 = "", "", IFERROR(KFM220 / SUMIFS(Aux_Totales!$N:$N, Aux_Totales!$F:$F, $F224, Aux_Totales!$A:$A,#REF!), 0))</f>
        <v/>
      </c>
      <c r="KFN224" s="19" t="str">
        <f>IF(KFN220 = "", "", IFERROR(KFN220 / SUMIFS(Aux_Totales!$N:$N, Aux_Totales!$F:$F, $F224, Aux_Totales!$A:$A,#REF!), 0))</f>
        <v/>
      </c>
      <c r="KFO224" s="19" t="str">
        <f>IF(KFO220 = "", "", IFERROR(KFO220 / SUMIFS(Aux_Totales!$N:$N, Aux_Totales!$F:$F, $F224, Aux_Totales!$A:$A,#REF!), 0))</f>
        <v/>
      </c>
      <c r="KFP224" s="19" t="str">
        <f>IF(KFP220 = "", "", IFERROR(KFP220 / SUMIFS(Aux_Totales!$N:$N, Aux_Totales!$F:$F, $F224, Aux_Totales!$A:$A,#REF!), 0))</f>
        <v/>
      </c>
      <c r="KFQ224" s="19" t="str">
        <f>IF(KFQ220 = "", "", IFERROR(KFQ220 / SUMIFS(Aux_Totales!$N:$N, Aux_Totales!$F:$F, $F224, Aux_Totales!$A:$A,#REF!), 0))</f>
        <v/>
      </c>
      <c r="KFR224" s="19" t="str">
        <f>IF(KFR220 = "", "", IFERROR(KFR220 / SUMIFS(Aux_Totales!$N:$N, Aux_Totales!$F:$F, $F224, Aux_Totales!$A:$A,#REF!), 0))</f>
        <v/>
      </c>
      <c r="KFS224" s="19" t="str">
        <f>IF(KFS220 = "", "", IFERROR(KFS220 / SUMIFS(Aux_Totales!$N:$N, Aux_Totales!$F:$F, $F224, Aux_Totales!$A:$A,#REF!), 0))</f>
        <v/>
      </c>
      <c r="KFT224" s="19" t="str">
        <f>IF(KFT220 = "", "", IFERROR(KFT220 / SUMIFS(Aux_Totales!$N:$N, Aux_Totales!$F:$F, $F224, Aux_Totales!$A:$A,#REF!), 0))</f>
        <v/>
      </c>
      <c r="KFU224" s="19" t="str">
        <f>IF(KFU220 = "", "", IFERROR(KFU220 / SUMIFS(Aux_Totales!$N:$N, Aux_Totales!$F:$F, $F224, Aux_Totales!$A:$A,#REF!), 0))</f>
        <v/>
      </c>
      <c r="KFV224" s="19" t="str">
        <f>IF(KFV220 = "", "", IFERROR(KFV220 / SUMIFS(Aux_Totales!$N:$N, Aux_Totales!$F:$F, $F224, Aux_Totales!$A:$A,#REF!), 0))</f>
        <v/>
      </c>
      <c r="KFW224" s="19" t="str">
        <f>IF(KFW220 = "", "", IFERROR(KFW220 / SUMIFS(Aux_Totales!$N:$N, Aux_Totales!$F:$F, $F224, Aux_Totales!$A:$A,#REF!), 0))</f>
        <v/>
      </c>
      <c r="KFX224" s="19" t="str">
        <f>IF(KFX220 = "", "", IFERROR(KFX220 / SUMIFS(Aux_Totales!$N:$N, Aux_Totales!$F:$F, $F224, Aux_Totales!$A:$A,#REF!), 0))</f>
        <v/>
      </c>
      <c r="KFY224" s="19" t="str">
        <f>IF(KFY220 = "", "", IFERROR(KFY220 / SUMIFS(Aux_Totales!$N:$N, Aux_Totales!$F:$F, $F224, Aux_Totales!$A:$A,#REF!), 0))</f>
        <v/>
      </c>
      <c r="KFZ224" s="19" t="str">
        <f>IF(KFZ220 = "", "", IFERROR(KFZ220 / SUMIFS(Aux_Totales!$N:$N, Aux_Totales!$F:$F, $F224, Aux_Totales!$A:$A,#REF!), 0))</f>
        <v/>
      </c>
      <c r="KGA224" s="19" t="str">
        <f>IF(KGA220 = "", "", IFERROR(KGA220 / SUMIFS(Aux_Totales!$N:$N, Aux_Totales!$F:$F, $F224, Aux_Totales!$A:$A,#REF!), 0))</f>
        <v/>
      </c>
      <c r="KGB224" s="19" t="str">
        <f>IF(KGB220 = "", "", IFERROR(KGB220 / SUMIFS(Aux_Totales!$N:$N, Aux_Totales!$F:$F, $F224, Aux_Totales!$A:$A,#REF!), 0))</f>
        <v/>
      </c>
      <c r="KGC224" s="19" t="str">
        <f>IF(KGC220 = "", "", IFERROR(KGC220 / SUMIFS(Aux_Totales!$N:$N, Aux_Totales!$F:$F, $F224, Aux_Totales!$A:$A,#REF!), 0))</f>
        <v/>
      </c>
      <c r="KGD224" s="19" t="str">
        <f>IF(KGD220 = "", "", IFERROR(KGD220 / SUMIFS(Aux_Totales!$N:$N, Aux_Totales!$F:$F, $F224, Aux_Totales!$A:$A,#REF!), 0))</f>
        <v/>
      </c>
      <c r="KGE224" s="19" t="str">
        <f>IF(KGE220 = "", "", IFERROR(KGE220 / SUMIFS(Aux_Totales!$N:$N, Aux_Totales!$F:$F, $F224, Aux_Totales!$A:$A,#REF!), 0))</f>
        <v/>
      </c>
      <c r="KGF224" s="19" t="str">
        <f>IF(KGF220 = "", "", IFERROR(KGF220 / SUMIFS(Aux_Totales!$N:$N, Aux_Totales!$F:$F, $F224, Aux_Totales!$A:$A,#REF!), 0))</f>
        <v/>
      </c>
      <c r="KGG224" s="19" t="str">
        <f>IF(KGG220 = "", "", IFERROR(KGG220 / SUMIFS(Aux_Totales!$N:$N, Aux_Totales!$F:$F, $F224, Aux_Totales!$A:$A,#REF!), 0))</f>
        <v/>
      </c>
      <c r="KGH224" s="19" t="str">
        <f>IF(KGH220 = "", "", IFERROR(KGH220 / SUMIFS(Aux_Totales!$N:$N, Aux_Totales!$F:$F, $F224, Aux_Totales!$A:$A,#REF!), 0))</f>
        <v/>
      </c>
      <c r="KGI224" s="19" t="str">
        <f>IF(KGI220 = "", "", IFERROR(KGI220 / SUMIFS(Aux_Totales!$N:$N, Aux_Totales!$F:$F, $F224, Aux_Totales!$A:$A,#REF!), 0))</f>
        <v/>
      </c>
      <c r="KGJ224" s="19" t="str">
        <f>IF(KGJ220 = "", "", IFERROR(KGJ220 / SUMIFS(Aux_Totales!$N:$N, Aux_Totales!$F:$F, $F224, Aux_Totales!$A:$A,#REF!), 0))</f>
        <v/>
      </c>
      <c r="KGK224" s="19" t="str">
        <f>IF(KGK220 = "", "", IFERROR(KGK220 / SUMIFS(Aux_Totales!$N:$N, Aux_Totales!$F:$F, $F224, Aux_Totales!$A:$A,#REF!), 0))</f>
        <v/>
      </c>
      <c r="KGL224" s="19" t="str">
        <f>IF(KGL220 = "", "", IFERROR(KGL220 / SUMIFS(Aux_Totales!$N:$N, Aux_Totales!$F:$F, $F224, Aux_Totales!$A:$A,#REF!), 0))</f>
        <v/>
      </c>
      <c r="KGM224" s="19" t="str">
        <f>IF(KGM220 = "", "", IFERROR(KGM220 / SUMIFS(Aux_Totales!$N:$N, Aux_Totales!$F:$F, $F224, Aux_Totales!$A:$A,#REF!), 0))</f>
        <v/>
      </c>
      <c r="KGN224" s="19" t="str">
        <f>IF(KGN220 = "", "", IFERROR(KGN220 / SUMIFS(Aux_Totales!$N:$N, Aux_Totales!$F:$F, $F224, Aux_Totales!$A:$A,#REF!), 0))</f>
        <v/>
      </c>
      <c r="KGO224" s="19" t="str">
        <f>IF(KGO220 = "", "", IFERROR(KGO220 / SUMIFS(Aux_Totales!$N:$N, Aux_Totales!$F:$F, $F224, Aux_Totales!$A:$A,#REF!), 0))</f>
        <v/>
      </c>
      <c r="KGP224" s="19" t="str">
        <f>IF(KGP220 = "", "", IFERROR(KGP220 / SUMIFS(Aux_Totales!$N:$N, Aux_Totales!$F:$F, $F224, Aux_Totales!$A:$A,#REF!), 0))</f>
        <v/>
      </c>
      <c r="KGQ224" s="19" t="str">
        <f>IF(KGQ220 = "", "", IFERROR(KGQ220 / SUMIFS(Aux_Totales!$N:$N, Aux_Totales!$F:$F, $F224, Aux_Totales!$A:$A,#REF!), 0))</f>
        <v/>
      </c>
      <c r="KGR224" s="19" t="str">
        <f>IF(KGR220 = "", "", IFERROR(KGR220 / SUMIFS(Aux_Totales!$N:$N, Aux_Totales!$F:$F, $F224, Aux_Totales!$A:$A,#REF!), 0))</f>
        <v/>
      </c>
      <c r="KGS224" s="19" t="str">
        <f>IF(KGS220 = "", "", IFERROR(KGS220 / SUMIFS(Aux_Totales!$N:$N, Aux_Totales!$F:$F, $F224, Aux_Totales!$A:$A,#REF!), 0))</f>
        <v/>
      </c>
      <c r="KGT224" s="19" t="str">
        <f>IF(KGT220 = "", "", IFERROR(KGT220 / SUMIFS(Aux_Totales!$N:$N, Aux_Totales!$F:$F, $F224, Aux_Totales!$A:$A,#REF!), 0))</f>
        <v/>
      </c>
      <c r="KGU224" s="19" t="str">
        <f>IF(KGU220 = "", "", IFERROR(KGU220 / SUMIFS(Aux_Totales!$N:$N, Aux_Totales!$F:$F, $F224, Aux_Totales!$A:$A,#REF!), 0))</f>
        <v/>
      </c>
      <c r="KGV224" s="19" t="str">
        <f>IF(KGV220 = "", "", IFERROR(KGV220 / SUMIFS(Aux_Totales!$N:$N, Aux_Totales!$F:$F, $F224, Aux_Totales!$A:$A,#REF!), 0))</f>
        <v/>
      </c>
      <c r="KGW224" s="19" t="str">
        <f>IF(KGW220 = "", "", IFERROR(KGW220 / SUMIFS(Aux_Totales!$N:$N, Aux_Totales!$F:$F, $F224, Aux_Totales!$A:$A,#REF!), 0))</f>
        <v/>
      </c>
      <c r="KGX224" s="19" t="str">
        <f>IF(KGX220 = "", "", IFERROR(KGX220 / SUMIFS(Aux_Totales!$N:$N, Aux_Totales!$F:$F, $F224, Aux_Totales!$A:$A,#REF!), 0))</f>
        <v/>
      </c>
      <c r="KGY224" s="19" t="str">
        <f>IF(KGY220 = "", "", IFERROR(KGY220 / SUMIFS(Aux_Totales!$N:$N, Aux_Totales!$F:$F, $F224, Aux_Totales!$A:$A,#REF!), 0))</f>
        <v/>
      </c>
      <c r="KGZ224" s="19" t="str">
        <f>IF(KGZ220 = "", "", IFERROR(KGZ220 / SUMIFS(Aux_Totales!$N:$N, Aux_Totales!$F:$F, $F224, Aux_Totales!$A:$A,#REF!), 0))</f>
        <v/>
      </c>
      <c r="KHA224" s="19" t="str">
        <f>IF(KHA220 = "", "", IFERROR(KHA220 / SUMIFS(Aux_Totales!$N:$N, Aux_Totales!$F:$F, $F224, Aux_Totales!$A:$A,#REF!), 0))</f>
        <v/>
      </c>
      <c r="KHB224" s="19" t="str">
        <f>IF(KHB220 = "", "", IFERROR(KHB220 / SUMIFS(Aux_Totales!$N:$N, Aux_Totales!$F:$F, $F224, Aux_Totales!$A:$A,#REF!), 0))</f>
        <v/>
      </c>
      <c r="KHC224" s="19" t="str">
        <f>IF(KHC220 = "", "", IFERROR(KHC220 / SUMIFS(Aux_Totales!$N:$N, Aux_Totales!$F:$F, $F224, Aux_Totales!$A:$A,#REF!), 0))</f>
        <v/>
      </c>
      <c r="KHD224" s="19" t="str">
        <f>IF(KHD220 = "", "", IFERROR(KHD220 / SUMIFS(Aux_Totales!$N:$N, Aux_Totales!$F:$F, $F224, Aux_Totales!$A:$A,#REF!), 0))</f>
        <v/>
      </c>
      <c r="KHE224" s="19" t="str">
        <f>IF(KHE220 = "", "", IFERROR(KHE220 / SUMIFS(Aux_Totales!$N:$N, Aux_Totales!$F:$F, $F224, Aux_Totales!$A:$A,#REF!), 0))</f>
        <v/>
      </c>
      <c r="KHF224" s="19" t="str">
        <f>IF(KHF220 = "", "", IFERROR(KHF220 / SUMIFS(Aux_Totales!$N:$N, Aux_Totales!$F:$F, $F224, Aux_Totales!$A:$A,#REF!), 0))</f>
        <v/>
      </c>
      <c r="KHG224" s="19" t="str">
        <f>IF(KHG220 = "", "", IFERROR(KHG220 / SUMIFS(Aux_Totales!$N:$N, Aux_Totales!$F:$F, $F224, Aux_Totales!$A:$A,#REF!), 0))</f>
        <v/>
      </c>
      <c r="KHH224" s="19" t="str">
        <f>IF(KHH220 = "", "", IFERROR(KHH220 / SUMIFS(Aux_Totales!$N:$N, Aux_Totales!$F:$F, $F224, Aux_Totales!$A:$A,#REF!), 0))</f>
        <v/>
      </c>
      <c r="KHI224" s="19" t="str">
        <f>IF(KHI220 = "", "", IFERROR(KHI220 / SUMIFS(Aux_Totales!$N:$N, Aux_Totales!$F:$F, $F224, Aux_Totales!$A:$A,#REF!), 0))</f>
        <v/>
      </c>
      <c r="KHJ224" s="19" t="str">
        <f>IF(KHJ220 = "", "", IFERROR(KHJ220 / SUMIFS(Aux_Totales!$N:$N, Aux_Totales!$F:$F, $F224, Aux_Totales!$A:$A,#REF!), 0))</f>
        <v/>
      </c>
      <c r="KHK224" s="19" t="str">
        <f>IF(KHK220 = "", "", IFERROR(KHK220 / SUMIFS(Aux_Totales!$N:$N, Aux_Totales!$F:$F, $F224, Aux_Totales!$A:$A,#REF!), 0))</f>
        <v/>
      </c>
      <c r="KHL224" s="19" t="str">
        <f>IF(KHL220 = "", "", IFERROR(KHL220 / SUMIFS(Aux_Totales!$N:$N, Aux_Totales!$F:$F, $F224, Aux_Totales!$A:$A,#REF!), 0))</f>
        <v/>
      </c>
      <c r="KHM224" s="19" t="str">
        <f>IF(KHM220 = "", "", IFERROR(KHM220 / SUMIFS(Aux_Totales!$N:$N, Aux_Totales!$F:$F, $F224, Aux_Totales!$A:$A,#REF!), 0))</f>
        <v/>
      </c>
      <c r="KHN224" s="19" t="str">
        <f>IF(KHN220 = "", "", IFERROR(KHN220 / SUMIFS(Aux_Totales!$N:$N, Aux_Totales!$F:$F, $F224, Aux_Totales!$A:$A,#REF!), 0))</f>
        <v/>
      </c>
      <c r="KHO224" s="19" t="str">
        <f>IF(KHO220 = "", "", IFERROR(KHO220 / SUMIFS(Aux_Totales!$N:$N, Aux_Totales!$F:$F, $F224, Aux_Totales!$A:$A,#REF!), 0))</f>
        <v/>
      </c>
      <c r="KHP224" s="19" t="str">
        <f>IF(KHP220 = "", "", IFERROR(KHP220 / SUMIFS(Aux_Totales!$N:$N, Aux_Totales!$F:$F, $F224, Aux_Totales!$A:$A,#REF!), 0))</f>
        <v/>
      </c>
      <c r="KHQ224" s="19" t="str">
        <f>IF(KHQ220 = "", "", IFERROR(KHQ220 / SUMIFS(Aux_Totales!$N:$N, Aux_Totales!$F:$F, $F224, Aux_Totales!$A:$A,#REF!), 0))</f>
        <v/>
      </c>
      <c r="KHR224" s="19" t="str">
        <f>IF(KHR220 = "", "", IFERROR(KHR220 / SUMIFS(Aux_Totales!$N:$N, Aux_Totales!$F:$F, $F224, Aux_Totales!$A:$A,#REF!), 0))</f>
        <v/>
      </c>
      <c r="KHS224" s="19" t="str">
        <f>IF(KHS220 = "", "", IFERROR(KHS220 / SUMIFS(Aux_Totales!$N:$N, Aux_Totales!$F:$F, $F224, Aux_Totales!$A:$A,#REF!), 0))</f>
        <v/>
      </c>
      <c r="KHT224" s="19" t="str">
        <f>IF(KHT220 = "", "", IFERROR(KHT220 / SUMIFS(Aux_Totales!$N:$N, Aux_Totales!$F:$F, $F224, Aux_Totales!$A:$A,#REF!), 0))</f>
        <v/>
      </c>
      <c r="KHU224" s="19" t="str">
        <f>IF(KHU220 = "", "", IFERROR(KHU220 / SUMIFS(Aux_Totales!$N:$N, Aux_Totales!$F:$F, $F224, Aux_Totales!$A:$A,#REF!), 0))</f>
        <v/>
      </c>
      <c r="KHV224" s="19" t="str">
        <f>IF(KHV220 = "", "", IFERROR(KHV220 / SUMIFS(Aux_Totales!$N:$N, Aux_Totales!$F:$F, $F224, Aux_Totales!$A:$A,#REF!), 0))</f>
        <v/>
      </c>
      <c r="KHW224" s="19" t="str">
        <f>IF(KHW220 = "", "", IFERROR(KHW220 / SUMIFS(Aux_Totales!$N:$N, Aux_Totales!$F:$F, $F224, Aux_Totales!$A:$A,#REF!), 0))</f>
        <v/>
      </c>
      <c r="KHX224" s="19" t="str">
        <f>IF(KHX220 = "", "", IFERROR(KHX220 / SUMIFS(Aux_Totales!$N:$N, Aux_Totales!$F:$F, $F224, Aux_Totales!$A:$A,#REF!), 0))</f>
        <v/>
      </c>
      <c r="KHY224" s="19" t="str">
        <f>IF(KHY220 = "", "", IFERROR(KHY220 / SUMIFS(Aux_Totales!$N:$N, Aux_Totales!$F:$F, $F224, Aux_Totales!$A:$A,#REF!), 0))</f>
        <v/>
      </c>
      <c r="KHZ224" s="19" t="str">
        <f>IF(KHZ220 = "", "", IFERROR(KHZ220 / SUMIFS(Aux_Totales!$N:$N, Aux_Totales!$F:$F, $F224, Aux_Totales!$A:$A,#REF!), 0))</f>
        <v/>
      </c>
      <c r="KIA224" s="19" t="str">
        <f>IF(KIA220 = "", "", IFERROR(KIA220 / SUMIFS(Aux_Totales!$N:$N, Aux_Totales!$F:$F, $F224, Aux_Totales!$A:$A,#REF!), 0))</f>
        <v/>
      </c>
      <c r="KIB224" s="19" t="str">
        <f>IF(KIB220 = "", "", IFERROR(KIB220 / SUMIFS(Aux_Totales!$N:$N, Aux_Totales!$F:$F, $F224, Aux_Totales!$A:$A,#REF!), 0))</f>
        <v/>
      </c>
      <c r="KIC224" s="19" t="str">
        <f>IF(KIC220 = "", "", IFERROR(KIC220 / SUMIFS(Aux_Totales!$N:$N, Aux_Totales!$F:$F, $F224, Aux_Totales!$A:$A,#REF!), 0))</f>
        <v/>
      </c>
      <c r="KID224" s="19" t="str">
        <f>IF(KID220 = "", "", IFERROR(KID220 / SUMIFS(Aux_Totales!$N:$N, Aux_Totales!$F:$F, $F224, Aux_Totales!$A:$A,#REF!), 0))</f>
        <v/>
      </c>
      <c r="KIE224" s="19" t="str">
        <f>IF(KIE220 = "", "", IFERROR(KIE220 / SUMIFS(Aux_Totales!$N:$N, Aux_Totales!$F:$F, $F224, Aux_Totales!$A:$A,#REF!), 0))</f>
        <v/>
      </c>
      <c r="KIF224" s="19" t="str">
        <f>IF(KIF220 = "", "", IFERROR(KIF220 / SUMIFS(Aux_Totales!$N:$N, Aux_Totales!$F:$F, $F224, Aux_Totales!$A:$A,#REF!), 0))</f>
        <v/>
      </c>
      <c r="KIG224" s="19" t="str">
        <f>IF(KIG220 = "", "", IFERROR(KIG220 / SUMIFS(Aux_Totales!$N:$N, Aux_Totales!$F:$F, $F224, Aux_Totales!$A:$A,#REF!), 0))</f>
        <v/>
      </c>
      <c r="KIH224" s="19" t="str">
        <f>IF(KIH220 = "", "", IFERROR(KIH220 / SUMIFS(Aux_Totales!$N:$N, Aux_Totales!$F:$F, $F224, Aux_Totales!$A:$A,#REF!), 0))</f>
        <v/>
      </c>
      <c r="KII224" s="19" t="str">
        <f>IF(KII220 = "", "", IFERROR(KII220 / SUMIFS(Aux_Totales!$N:$N, Aux_Totales!$F:$F, $F224, Aux_Totales!$A:$A,#REF!), 0))</f>
        <v/>
      </c>
      <c r="KIJ224" s="19" t="str">
        <f>IF(KIJ220 = "", "", IFERROR(KIJ220 / SUMIFS(Aux_Totales!$N:$N, Aux_Totales!$F:$F, $F224, Aux_Totales!$A:$A,#REF!), 0))</f>
        <v/>
      </c>
      <c r="KIK224" s="19" t="str">
        <f>IF(KIK220 = "", "", IFERROR(KIK220 / SUMIFS(Aux_Totales!$N:$N, Aux_Totales!$F:$F, $F224, Aux_Totales!$A:$A,#REF!), 0))</f>
        <v/>
      </c>
      <c r="KIL224" s="19" t="str">
        <f>IF(KIL220 = "", "", IFERROR(KIL220 / SUMIFS(Aux_Totales!$N:$N, Aux_Totales!$F:$F, $F224, Aux_Totales!$A:$A,#REF!), 0))</f>
        <v/>
      </c>
      <c r="KIM224" s="19" t="str">
        <f>IF(KIM220 = "", "", IFERROR(KIM220 / SUMIFS(Aux_Totales!$N:$N, Aux_Totales!$F:$F, $F224, Aux_Totales!$A:$A,#REF!), 0))</f>
        <v/>
      </c>
      <c r="KIN224" s="19" t="str">
        <f>IF(KIN220 = "", "", IFERROR(KIN220 / SUMIFS(Aux_Totales!$N:$N, Aux_Totales!$F:$F, $F224, Aux_Totales!$A:$A,#REF!), 0))</f>
        <v/>
      </c>
      <c r="KIO224" s="19" t="str">
        <f>IF(KIO220 = "", "", IFERROR(KIO220 / SUMIFS(Aux_Totales!$N:$N, Aux_Totales!$F:$F, $F224, Aux_Totales!$A:$A,#REF!), 0))</f>
        <v/>
      </c>
      <c r="KIP224" s="19" t="str">
        <f>IF(KIP220 = "", "", IFERROR(KIP220 / SUMIFS(Aux_Totales!$N:$N, Aux_Totales!$F:$F, $F224, Aux_Totales!$A:$A,#REF!), 0))</f>
        <v/>
      </c>
      <c r="KIQ224" s="19" t="str">
        <f>IF(KIQ220 = "", "", IFERROR(KIQ220 / SUMIFS(Aux_Totales!$N:$N, Aux_Totales!$F:$F, $F224, Aux_Totales!$A:$A,#REF!), 0))</f>
        <v/>
      </c>
      <c r="KIR224" s="19" t="str">
        <f>IF(KIR220 = "", "", IFERROR(KIR220 / SUMIFS(Aux_Totales!$N:$N, Aux_Totales!$F:$F, $F224, Aux_Totales!$A:$A,#REF!), 0))</f>
        <v/>
      </c>
      <c r="KIS224" s="19" t="str">
        <f>IF(KIS220 = "", "", IFERROR(KIS220 / SUMIFS(Aux_Totales!$N:$N, Aux_Totales!$F:$F, $F224, Aux_Totales!$A:$A,#REF!), 0))</f>
        <v/>
      </c>
      <c r="KIT224" s="19" t="str">
        <f>IF(KIT220 = "", "", IFERROR(KIT220 / SUMIFS(Aux_Totales!$N:$N, Aux_Totales!$F:$F, $F224, Aux_Totales!$A:$A,#REF!), 0))</f>
        <v/>
      </c>
      <c r="KIU224" s="19" t="str">
        <f>IF(KIU220 = "", "", IFERROR(KIU220 / SUMIFS(Aux_Totales!$N:$N, Aux_Totales!$F:$F, $F224, Aux_Totales!$A:$A,#REF!), 0))</f>
        <v/>
      </c>
      <c r="KIV224" s="19" t="str">
        <f>IF(KIV220 = "", "", IFERROR(KIV220 / SUMIFS(Aux_Totales!$N:$N, Aux_Totales!$F:$F, $F224, Aux_Totales!$A:$A,#REF!), 0))</f>
        <v/>
      </c>
      <c r="KIW224" s="19" t="str">
        <f>IF(KIW220 = "", "", IFERROR(KIW220 / SUMIFS(Aux_Totales!$N:$N, Aux_Totales!$F:$F, $F224, Aux_Totales!$A:$A,#REF!), 0))</f>
        <v/>
      </c>
      <c r="KIX224" s="19" t="str">
        <f>IF(KIX220 = "", "", IFERROR(KIX220 / SUMIFS(Aux_Totales!$N:$N, Aux_Totales!$F:$F, $F224, Aux_Totales!$A:$A,#REF!), 0))</f>
        <v/>
      </c>
      <c r="KIY224" s="19" t="str">
        <f>IF(KIY220 = "", "", IFERROR(KIY220 / SUMIFS(Aux_Totales!$N:$N, Aux_Totales!$F:$F, $F224, Aux_Totales!$A:$A,#REF!), 0))</f>
        <v/>
      </c>
      <c r="KIZ224" s="19" t="str">
        <f>IF(KIZ220 = "", "", IFERROR(KIZ220 / SUMIFS(Aux_Totales!$N:$N, Aux_Totales!$F:$F, $F224, Aux_Totales!$A:$A,#REF!), 0))</f>
        <v/>
      </c>
      <c r="KJA224" s="19" t="str">
        <f>IF(KJA220 = "", "", IFERROR(KJA220 / SUMIFS(Aux_Totales!$N:$N, Aux_Totales!$F:$F, $F224, Aux_Totales!$A:$A,#REF!), 0))</f>
        <v/>
      </c>
      <c r="KJB224" s="19" t="str">
        <f>IF(KJB220 = "", "", IFERROR(KJB220 / SUMIFS(Aux_Totales!$N:$N, Aux_Totales!$F:$F, $F224, Aux_Totales!$A:$A,#REF!), 0))</f>
        <v/>
      </c>
      <c r="KJC224" s="19" t="str">
        <f>IF(KJC220 = "", "", IFERROR(KJC220 / SUMIFS(Aux_Totales!$N:$N, Aux_Totales!$F:$F, $F224, Aux_Totales!$A:$A,#REF!), 0))</f>
        <v/>
      </c>
      <c r="KJD224" s="19" t="str">
        <f>IF(KJD220 = "", "", IFERROR(KJD220 / SUMIFS(Aux_Totales!$N:$N, Aux_Totales!$F:$F, $F224, Aux_Totales!$A:$A,#REF!), 0))</f>
        <v/>
      </c>
      <c r="KJE224" s="19" t="str">
        <f>IF(KJE220 = "", "", IFERROR(KJE220 / SUMIFS(Aux_Totales!$N:$N, Aux_Totales!$F:$F, $F224, Aux_Totales!$A:$A,#REF!), 0))</f>
        <v/>
      </c>
      <c r="KJF224" s="19" t="str">
        <f>IF(KJF220 = "", "", IFERROR(KJF220 / SUMIFS(Aux_Totales!$N:$N, Aux_Totales!$F:$F, $F224, Aux_Totales!$A:$A,#REF!), 0))</f>
        <v/>
      </c>
      <c r="KJG224" s="19" t="str">
        <f>IF(KJG220 = "", "", IFERROR(KJG220 / SUMIFS(Aux_Totales!$N:$N, Aux_Totales!$F:$F, $F224, Aux_Totales!$A:$A,#REF!), 0))</f>
        <v/>
      </c>
      <c r="KJH224" s="19" t="str">
        <f>IF(KJH220 = "", "", IFERROR(KJH220 / SUMIFS(Aux_Totales!$N:$N, Aux_Totales!$F:$F, $F224, Aux_Totales!$A:$A,#REF!), 0))</f>
        <v/>
      </c>
      <c r="KJI224" s="19" t="str">
        <f>IF(KJI220 = "", "", IFERROR(KJI220 / SUMIFS(Aux_Totales!$N:$N, Aux_Totales!$F:$F, $F224, Aux_Totales!$A:$A,#REF!), 0))</f>
        <v/>
      </c>
      <c r="KJJ224" s="19" t="str">
        <f>IF(KJJ220 = "", "", IFERROR(KJJ220 / SUMIFS(Aux_Totales!$N:$N, Aux_Totales!$F:$F, $F224, Aux_Totales!$A:$A,#REF!), 0))</f>
        <v/>
      </c>
      <c r="KJK224" s="19" t="str">
        <f>IF(KJK220 = "", "", IFERROR(KJK220 / SUMIFS(Aux_Totales!$N:$N, Aux_Totales!$F:$F, $F224, Aux_Totales!$A:$A,#REF!), 0))</f>
        <v/>
      </c>
      <c r="KJL224" s="19" t="str">
        <f>IF(KJL220 = "", "", IFERROR(KJL220 / SUMIFS(Aux_Totales!$N:$N, Aux_Totales!$F:$F, $F224, Aux_Totales!$A:$A,#REF!), 0))</f>
        <v/>
      </c>
      <c r="KJM224" s="19" t="str">
        <f>IF(KJM220 = "", "", IFERROR(KJM220 / SUMIFS(Aux_Totales!$N:$N, Aux_Totales!$F:$F, $F224, Aux_Totales!$A:$A,#REF!), 0))</f>
        <v/>
      </c>
      <c r="KJN224" s="19" t="str">
        <f>IF(KJN220 = "", "", IFERROR(KJN220 / SUMIFS(Aux_Totales!$N:$N, Aux_Totales!$F:$F, $F224, Aux_Totales!$A:$A,#REF!), 0))</f>
        <v/>
      </c>
      <c r="KJO224" s="19" t="str">
        <f>IF(KJO220 = "", "", IFERROR(KJO220 / SUMIFS(Aux_Totales!$N:$N, Aux_Totales!$F:$F, $F224, Aux_Totales!$A:$A,#REF!), 0))</f>
        <v/>
      </c>
      <c r="KJP224" s="19" t="str">
        <f>IF(KJP220 = "", "", IFERROR(KJP220 / SUMIFS(Aux_Totales!$N:$N, Aux_Totales!$F:$F, $F224, Aux_Totales!$A:$A,#REF!), 0))</f>
        <v/>
      </c>
      <c r="KJQ224" s="19" t="str">
        <f>IF(KJQ220 = "", "", IFERROR(KJQ220 / SUMIFS(Aux_Totales!$N:$N, Aux_Totales!$F:$F, $F224, Aux_Totales!$A:$A,#REF!), 0))</f>
        <v/>
      </c>
      <c r="KJR224" s="19" t="str">
        <f>IF(KJR220 = "", "", IFERROR(KJR220 / SUMIFS(Aux_Totales!$N:$N, Aux_Totales!$F:$F, $F224, Aux_Totales!$A:$A,#REF!), 0))</f>
        <v/>
      </c>
      <c r="KJS224" s="19" t="str">
        <f>IF(KJS220 = "", "", IFERROR(KJS220 / SUMIFS(Aux_Totales!$N:$N, Aux_Totales!$F:$F, $F224, Aux_Totales!$A:$A,#REF!), 0))</f>
        <v/>
      </c>
      <c r="KJT224" s="19" t="str">
        <f>IF(KJT220 = "", "", IFERROR(KJT220 / SUMIFS(Aux_Totales!$N:$N, Aux_Totales!$F:$F, $F224, Aux_Totales!$A:$A,#REF!), 0))</f>
        <v/>
      </c>
      <c r="KJU224" s="19" t="str">
        <f>IF(KJU220 = "", "", IFERROR(KJU220 / SUMIFS(Aux_Totales!$N:$N, Aux_Totales!$F:$F, $F224, Aux_Totales!$A:$A,#REF!), 0))</f>
        <v/>
      </c>
      <c r="KJV224" s="19" t="str">
        <f>IF(KJV220 = "", "", IFERROR(KJV220 / SUMIFS(Aux_Totales!$N:$N, Aux_Totales!$F:$F, $F224, Aux_Totales!$A:$A,#REF!), 0))</f>
        <v/>
      </c>
      <c r="KJW224" s="19" t="str">
        <f>IF(KJW220 = "", "", IFERROR(KJW220 / SUMIFS(Aux_Totales!$N:$N, Aux_Totales!$F:$F, $F224, Aux_Totales!$A:$A,#REF!), 0))</f>
        <v/>
      </c>
      <c r="KJX224" s="19" t="str">
        <f>IF(KJX220 = "", "", IFERROR(KJX220 / SUMIFS(Aux_Totales!$N:$N, Aux_Totales!$F:$F, $F224, Aux_Totales!$A:$A,#REF!), 0))</f>
        <v/>
      </c>
      <c r="KJY224" s="19" t="str">
        <f>IF(KJY220 = "", "", IFERROR(KJY220 / SUMIFS(Aux_Totales!$N:$N, Aux_Totales!$F:$F, $F224, Aux_Totales!$A:$A,#REF!), 0))</f>
        <v/>
      </c>
      <c r="KJZ224" s="19" t="str">
        <f>IF(KJZ220 = "", "", IFERROR(KJZ220 / SUMIFS(Aux_Totales!$N:$N, Aux_Totales!$F:$F, $F224, Aux_Totales!$A:$A,#REF!), 0))</f>
        <v/>
      </c>
      <c r="KKA224" s="19" t="str">
        <f>IF(KKA220 = "", "", IFERROR(KKA220 / SUMIFS(Aux_Totales!$N:$N, Aux_Totales!$F:$F, $F224, Aux_Totales!$A:$A,#REF!), 0))</f>
        <v/>
      </c>
      <c r="KKB224" s="19" t="str">
        <f>IF(KKB220 = "", "", IFERROR(KKB220 / SUMIFS(Aux_Totales!$N:$N, Aux_Totales!$F:$F, $F224, Aux_Totales!$A:$A,#REF!), 0))</f>
        <v/>
      </c>
      <c r="KKC224" s="19" t="str">
        <f>IF(KKC220 = "", "", IFERROR(KKC220 / SUMIFS(Aux_Totales!$N:$N, Aux_Totales!$F:$F, $F224, Aux_Totales!$A:$A,#REF!), 0))</f>
        <v/>
      </c>
      <c r="KKD224" s="19" t="str">
        <f>IF(KKD220 = "", "", IFERROR(KKD220 / SUMIFS(Aux_Totales!$N:$N, Aux_Totales!$F:$F, $F224, Aux_Totales!$A:$A,#REF!), 0))</f>
        <v/>
      </c>
      <c r="KKE224" s="19" t="str">
        <f>IF(KKE220 = "", "", IFERROR(KKE220 / SUMIFS(Aux_Totales!$N:$N, Aux_Totales!$F:$F, $F224, Aux_Totales!$A:$A,#REF!), 0))</f>
        <v/>
      </c>
      <c r="KKF224" s="19" t="str">
        <f>IF(KKF220 = "", "", IFERROR(KKF220 / SUMIFS(Aux_Totales!$N:$N, Aux_Totales!$F:$F, $F224, Aux_Totales!$A:$A,#REF!), 0))</f>
        <v/>
      </c>
      <c r="KKG224" s="19" t="str">
        <f>IF(KKG220 = "", "", IFERROR(KKG220 / SUMIFS(Aux_Totales!$N:$N, Aux_Totales!$F:$F, $F224, Aux_Totales!$A:$A,#REF!), 0))</f>
        <v/>
      </c>
      <c r="KKH224" s="19" t="str">
        <f>IF(KKH220 = "", "", IFERROR(KKH220 / SUMIFS(Aux_Totales!$N:$N, Aux_Totales!$F:$F, $F224, Aux_Totales!$A:$A,#REF!), 0))</f>
        <v/>
      </c>
      <c r="KKI224" s="19" t="str">
        <f>IF(KKI220 = "", "", IFERROR(KKI220 / SUMIFS(Aux_Totales!$N:$N, Aux_Totales!$F:$F, $F224, Aux_Totales!$A:$A,#REF!), 0))</f>
        <v/>
      </c>
      <c r="KKJ224" s="19" t="str">
        <f>IF(KKJ220 = "", "", IFERROR(KKJ220 / SUMIFS(Aux_Totales!$N:$N, Aux_Totales!$F:$F, $F224, Aux_Totales!$A:$A,#REF!), 0))</f>
        <v/>
      </c>
      <c r="KKK224" s="19" t="str">
        <f>IF(KKK220 = "", "", IFERROR(KKK220 / SUMIFS(Aux_Totales!$N:$N, Aux_Totales!$F:$F, $F224, Aux_Totales!$A:$A,#REF!), 0))</f>
        <v/>
      </c>
      <c r="KKL224" s="19" t="str">
        <f>IF(KKL220 = "", "", IFERROR(KKL220 / SUMIFS(Aux_Totales!$N:$N, Aux_Totales!$F:$F, $F224, Aux_Totales!$A:$A,#REF!), 0))</f>
        <v/>
      </c>
      <c r="KKM224" s="19" t="str">
        <f>IF(KKM220 = "", "", IFERROR(KKM220 / SUMIFS(Aux_Totales!$N:$N, Aux_Totales!$F:$F, $F224, Aux_Totales!$A:$A,#REF!), 0))</f>
        <v/>
      </c>
      <c r="KKN224" s="19" t="str">
        <f>IF(KKN220 = "", "", IFERROR(KKN220 / SUMIFS(Aux_Totales!$N:$N, Aux_Totales!$F:$F, $F224, Aux_Totales!$A:$A,#REF!), 0))</f>
        <v/>
      </c>
      <c r="KKO224" s="19" t="str">
        <f>IF(KKO220 = "", "", IFERROR(KKO220 / SUMIFS(Aux_Totales!$N:$N, Aux_Totales!$F:$F, $F224, Aux_Totales!$A:$A,#REF!), 0))</f>
        <v/>
      </c>
      <c r="KKP224" s="19" t="str">
        <f>IF(KKP220 = "", "", IFERROR(KKP220 / SUMIFS(Aux_Totales!$N:$N, Aux_Totales!$F:$F, $F224, Aux_Totales!$A:$A,#REF!), 0))</f>
        <v/>
      </c>
      <c r="KKQ224" s="19" t="str">
        <f>IF(KKQ220 = "", "", IFERROR(KKQ220 / SUMIFS(Aux_Totales!$N:$N, Aux_Totales!$F:$F, $F224, Aux_Totales!$A:$A,#REF!), 0))</f>
        <v/>
      </c>
      <c r="KKR224" s="19" t="str">
        <f>IF(KKR220 = "", "", IFERROR(KKR220 / SUMIFS(Aux_Totales!$N:$N, Aux_Totales!$F:$F, $F224, Aux_Totales!$A:$A,#REF!), 0))</f>
        <v/>
      </c>
      <c r="KKS224" s="19" t="str">
        <f>IF(KKS220 = "", "", IFERROR(KKS220 / SUMIFS(Aux_Totales!$N:$N, Aux_Totales!$F:$F, $F224, Aux_Totales!$A:$A,#REF!), 0))</f>
        <v/>
      </c>
      <c r="KKT224" s="19" t="str">
        <f>IF(KKT220 = "", "", IFERROR(KKT220 / SUMIFS(Aux_Totales!$N:$N, Aux_Totales!$F:$F, $F224, Aux_Totales!$A:$A,#REF!), 0))</f>
        <v/>
      </c>
      <c r="KKU224" s="19" t="str">
        <f>IF(KKU220 = "", "", IFERROR(KKU220 / SUMIFS(Aux_Totales!$N:$N, Aux_Totales!$F:$F, $F224, Aux_Totales!$A:$A,#REF!), 0))</f>
        <v/>
      </c>
      <c r="KKV224" s="19" t="str">
        <f>IF(KKV220 = "", "", IFERROR(KKV220 / SUMIFS(Aux_Totales!$N:$N, Aux_Totales!$F:$F, $F224, Aux_Totales!$A:$A,#REF!), 0))</f>
        <v/>
      </c>
      <c r="KKW224" s="19" t="str">
        <f>IF(KKW220 = "", "", IFERROR(KKW220 / SUMIFS(Aux_Totales!$N:$N, Aux_Totales!$F:$F, $F224, Aux_Totales!$A:$A,#REF!), 0))</f>
        <v/>
      </c>
      <c r="KKX224" s="19" t="str">
        <f>IF(KKX220 = "", "", IFERROR(KKX220 / SUMIFS(Aux_Totales!$N:$N, Aux_Totales!$F:$F, $F224, Aux_Totales!$A:$A,#REF!), 0))</f>
        <v/>
      </c>
      <c r="KKY224" s="19" t="str">
        <f>IF(KKY220 = "", "", IFERROR(KKY220 / SUMIFS(Aux_Totales!$N:$N, Aux_Totales!$F:$F, $F224, Aux_Totales!$A:$A,#REF!), 0))</f>
        <v/>
      </c>
      <c r="KKZ224" s="19" t="str">
        <f>IF(KKZ220 = "", "", IFERROR(KKZ220 / SUMIFS(Aux_Totales!$N:$N, Aux_Totales!$F:$F, $F224, Aux_Totales!$A:$A,#REF!), 0))</f>
        <v/>
      </c>
      <c r="KLA224" s="19" t="str">
        <f>IF(KLA220 = "", "", IFERROR(KLA220 / SUMIFS(Aux_Totales!$N:$N, Aux_Totales!$F:$F, $F224, Aux_Totales!$A:$A,#REF!), 0))</f>
        <v/>
      </c>
      <c r="KLB224" s="19" t="str">
        <f>IF(KLB220 = "", "", IFERROR(KLB220 / SUMIFS(Aux_Totales!$N:$N, Aux_Totales!$F:$F, $F224, Aux_Totales!$A:$A,#REF!), 0))</f>
        <v/>
      </c>
      <c r="KLC224" s="19" t="str">
        <f>IF(KLC220 = "", "", IFERROR(KLC220 / SUMIFS(Aux_Totales!$N:$N, Aux_Totales!$F:$F, $F224, Aux_Totales!$A:$A,#REF!), 0))</f>
        <v/>
      </c>
      <c r="KLD224" s="19" t="str">
        <f>IF(KLD220 = "", "", IFERROR(KLD220 / SUMIFS(Aux_Totales!$N:$N, Aux_Totales!$F:$F, $F224, Aux_Totales!$A:$A,#REF!), 0))</f>
        <v/>
      </c>
      <c r="KLE224" s="19" t="str">
        <f>IF(KLE220 = "", "", IFERROR(KLE220 / SUMIFS(Aux_Totales!$N:$N, Aux_Totales!$F:$F, $F224, Aux_Totales!$A:$A,#REF!), 0))</f>
        <v/>
      </c>
      <c r="KLF224" s="19" t="str">
        <f>IF(KLF220 = "", "", IFERROR(KLF220 / SUMIFS(Aux_Totales!$N:$N, Aux_Totales!$F:$F, $F224, Aux_Totales!$A:$A,#REF!), 0))</f>
        <v/>
      </c>
      <c r="KLG224" s="19" t="str">
        <f>IF(KLG220 = "", "", IFERROR(KLG220 / SUMIFS(Aux_Totales!$N:$N, Aux_Totales!$F:$F, $F224, Aux_Totales!$A:$A,#REF!), 0))</f>
        <v/>
      </c>
      <c r="KLH224" s="19" t="str">
        <f>IF(KLH220 = "", "", IFERROR(KLH220 / SUMIFS(Aux_Totales!$N:$N, Aux_Totales!$F:$F, $F224, Aux_Totales!$A:$A,#REF!), 0))</f>
        <v/>
      </c>
      <c r="KLI224" s="19" t="str">
        <f>IF(KLI220 = "", "", IFERROR(KLI220 / SUMIFS(Aux_Totales!$N:$N, Aux_Totales!$F:$F, $F224, Aux_Totales!$A:$A,#REF!), 0))</f>
        <v/>
      </c>
      <c r="KLJ224" s="19" t="str">
        <f>IF(KLJ220 = "", "", IFERROR(KLJ220 / SUMIFS(Aux_Totales!$N:$N, Aux_Totales!$F:$F, $F224, Aux_Totales!$A:$A,#REF!), 0))</f>
        <v/>
      </c>
      <c r="KLK224" s="19" t="str">
        <f>IF(KLK220 = "", "", IFERROR(KLK220 / SUMIFS(Aux_Totales!$N:$N, Aux_Totales!$F:$F, $F224, Aux_Totales!$A:$A,#REF!), 0))</f>
        <v/>
      </c>
      <c r="KLL224" s="19" t="str">
        <f>IF(KLL220 = "", "", IFERROR(KLL220 / SUMIFS(Aux_Totales!$N:$N, Aux_Totales!$F:$F, $F224, Aux_Totales!$A:$A,#REF!), 0))</f>
        <v/>
      </c>
      <c r="KLM224" s="19" t="str">
        <f>IF(KLM220 = "", "", IFERROR(KLM220 / SUMIFS(Aux_Totales!$N:$N, Aux_Totales!$F:$F, $F224, Aux_Totales!$A:$A,#REF!), 0))</f>
        <v/>
      </c>
      <c r="KLN224" s="19" t="str">
        <f>IF(KLN220 = "", "", IFERROR(KLN220 / SUMIFS(Aux_Totales!$N:$N, Aux_Totales!$F:$F, $F224, Aux_Totales!$A:$A,#REF!), 0))</f>
        <v/>
      </c>
      <c r="KLO224" s="19" t="str">
        <f>IF(KLO220 = "", "", IFERROR(KLO220 / SUMIFS(Aux_Totales!$N:$N, Aux_Totales!$F:$F, $F224, Aux_Totales!$A:$A,#REF!), 0))</f>
        <v/>
      </c>
      <c r="KLP224" s="19" t="str">
        <f>IF(KLP220 = "", "", IFERROR(KLP220 / SUMIFS(Aux_Totales!$N:$N, Aux_Totales!$F:$F, $F224, Aux_Totales!$A:$A,#REF!), 0))</f>
        <v/>
      </c>
      <c r="KLQ224" s="19" t="str">
        <f>IF(KLQ220 = "", "", IFERROR(KLQ220 / SUMIFS(Aux_Totales!$N:$N, Aux_Totales!$F:$F, $F224, Aux_Totales!$A:$A,#REF!), 0))</f>
        <v/>
      </c>
      <c r="KLR224" s="19" t="str">
        <f>IF(KLR220 = "", "", IFERROR(KLR220 / SUMIFS(Aux_Totales!$N:$N, Aux_Totales!$F:$F, $F224, Aux_Totales!$A:$A,#REF!), 0))</f>
        <v/>
      </c>
      <c r="KLS224" s="19" t="str">
        <f>IF(KLS220 = "", "", IFERROR(KLS220 / SUMIFS(Aux_Totales!$N:$N, Aux_Totales!$F:$F, $F224, Aux_Totales!$A:$A,#REF!), 0))</f>
        <v/>
      </c>
      <c r="KLT224" s="19" t="str">
        <f>IF(KLT220 = "", "", IFERROR(KLT220 / SUMIFS(Aux_Totales!$N:$N, Aux_Totales!$F:$F, $F224, Aux_Totales!$A:$A,#REF!), 0))</f>
        <v/>
      </c>
      <c r="KLU224" s="19" t="str">
        <f>IF(KLU220 = "", "", IFERROR(KLU220 / SUMIFS(Aux_Totales!$N:$N, Aux_Totales!$F:$F, $F224, Aux_Totales!$A:$A,#REF!), 0))</f>
        <v/>
      </c>
      <c r="KLV224" s="19" t="str">
        <f>IF(KLV220 = "", "", IFERROR(KLV220 / SUMIFS(Aux_Totales!$N:$N, Aux_Totales!$F:$F, $F224, Aux_Totales!$A:$A,#REF!), 0))</f>
        <v/>
      </c>
      <c r="KLW224" s="19" t="str">
        <f>IF(KLW220 = "", "", IFERROR(KLW220 / SUMIFS(Aux_Totales!$N:$N, Aux_Totales!$F:$F, $F224, Aux_Totales!$A:$A,#REF!), 0))</f>
        <v/>
      </c>
      <c r="KLX224" s="19" t="str">
        <f>IF(KLX220 = "", "", IFERROR(KLX220 / SUMIFS(Aux_Totales!$N:$N, Aux_Totales!$F:$F, $F224, Aux_Totales!$A:$A,#REF!), 0))</f>
        <v/>
      </c>
      <c r="KLY224" s="19" t="str">
        <f>IF(KLY220 = "", "", IFERROR(KLY220 / SUMIFS(Aux_Totales!$N:$N, Aux_Totales!$F:$F, $F224, Aux_Totales!$A:$A,#REF!), 0))</f>
        <v/>
      </c>
      <c r="KLZ224" s="19" t="str">
        <f>IF(KLZ220 = "", "", IFERROR(KLZ220 / SUMIFS(Aux_Totales!$N:$N, Aux_Totales!$F:$F, $F224, Aux_Totales!$A:$A,#REF!), 0))</f>
        <v/>
      </c>
      <c r="KMA224" s="19" t="str">
        <f>IF(KMA220 = "", "", IFERROR(KMA220 / SUMIFS(Aux_Totales!$N:$N, Aux_Totales!$F:$F, $F224, Aux_Totales!$A:$A,#REF!), 0))</f>
        <v/>
      </c>
      <c r="KMB224" s="19" t="str">
        <f>IF(KMB220 = "", "", IFERROR(KMB220 / SUMIFS(Aux_Totales!$N:$N, Aux_Totales!$F:$F, $F224, Aux_Totales!$A:$A,#REF!), 0))</f>
        <v/>
      </c>
      <c r="KMC224" s="19" t="str">
        <f>IF(KMC220 = "", "", IFERROR(KMC220 / SUMIFS(Aux_Totales!$N:$N, Aux_Totales!$F:$F, $F224, Aux_Totales!$A:$A,#REF!), 0))</f>
        <v/>
      </c>
      <c r="KMD224" s="19" t="str">
        <f>IF(KMD220 = "", "", IFERROR(KMD220 / SUMIFS(Aux_Totales!$N:$N, Aux_Totales!$F:$F, $F224, Aux_Totales!$A:$A,#REF!), 0))</f>
        <v/>
      </c>
      <c r="KME224" s="19" t="str">
        <f>IF(KME220 = "", "", IFERROR(KME220 / SUMIFS(Aux_Totales!$N:$N, Aux_Totales!$F:$F, $F224, Aux_Totales!$A:$A,#REF!), 0))</f>
        <v/>
      </c>
      <c r="KMF224" s="19" t="str">
        <f>IF(KMF220 = "", "", IFERROR(KMF220 / SUMIFS(Aux_Totales!$N:$N, Aux_Totales!$F:$F, $F224, Aux_Totales!$A:$A,#REF!), 0))</f>
        <v/>
      </c>
      <c r="KMG224" s="19" t="str">
        <f>IF(KMG220 = "", "", IFERROR(KMG220 / SUMIFS(Aux_Totales!$N:$N, Aux_Totales!$F:$F, $F224, Aux_Totales!$A:$A,#REF!), 0))</f>
        <v/>
      </c>
      <c r="KMH224" s="19" t="str">
        <f>IF(KMH220 = "", "", IFERROR(KMH220 / SUMIFS(Aux_Totales!$N:$N, Aux_Totales!$F:$F, $F224, Aux_Totales!$A:$A,#REF!), 0))</f>
        <v/>
      </c>
      <c r="KMI224" s="19" t="str">
        <f>IF(KMI220 = "", "", IFERROR(KMI220 / SUMIFS(Aux_Totales!$N:$N, Aux_Totales!$F:$F, $F224, Aux_Totales!$A:$A,#REF!), 0))</f>
        <v/>
      </c>
      <c r="KMJ224" s="19" t="str">
        <f>IF(KMJ220 = "", "", IFERROR(KMJ220 / SUMIFS(Aux_Totales!$N:$N, Aux_Totales!$F:$F, $F224, Aux_Totales!$A:$A,#REF!), 0))</f>
        <v/>
      </c>
      <c r="KMK224" s="19" t="str">
        <f>IF(KMK220 = "", "", IFERROR(KMK220 / SUMIFS(Aux_Totales!$N:$N, Aux_Totales!$F:$F, $F224, Aux_Totales!$A:$A,#REF!), 0))</f>
        <v/>
      </c>
      <c r="KML224" s="19" t="str">
        <f>IF(KML220 = "", "", IFERROR(KML220 / SUMIFS(Aux_Totales!$N:$N, Aux_Totales!$F:$F, $F224, Aux_Totales!$A:$A,#REF!), 0))</f>
        <v/>
      </c>
      <c r="KMM224" s="19" t="str">
        <f>IF(KMM220 = "", "", IFERROR(KMM220 / SUMIFS(Aux_Totales!$N:$N, Aux_Totales!$F:$F, $F224, Aux_Totales!$A:$A,#REF!), 0))</f>
        <v/>
      </c>
      <c r="KMN224" s="19" t="str">
        <f>IF(KMN220 = "", "", IFERROR(KMN220 / SUMIFS(Aux_Totales!$N:$N, Aux_Totales!$F:$F, $F224, Aux_Totales!$A:$A,#REF!), 0))</f>
        <v/>
      </c>
      <c r="KMO224" s="19" t="str">
        <f>IF(KMO220 = "", "", IFERROR(KMO220 / SUMIFS(Aux_Totales!$N:$N, Aux_Totales!$F:$F, $F224, Aux_Totales!$A:$A,#REF!), 0))</f>
        <v/>
      </c>
      <c r="KMP224" s="19" t="str">
        <f>IF(KMP220 = "", "", IFERROR(KMP220 / SUMIFS(Aux_Totales!$N:$N, Aux_Totales!$F:$F, $F224, Aux_Totales!$A:$A,#REF!), 0))</f>
        <v/>
      </c>
      <c r="KMQ224" s="19" t="str">
        <f>IF(KMQ220 = "", "", IFERROR(KMQ220 / SUMIFS(Aux_Totales!$N:$N, Aux_Totales!$F:$F, $F224, Aux_Totales!$A:$A,#REF!), 0))</f>
        <v/>
      </c>
      <c r="KMR224" s="19" t="str">
        <f>IF(KMR220 = "", "", IFERROR(KMR220 / SUMIFS(Aux_Totales!$N:$N, Aux_Totales!$F:$F, $F224, Aux_Totales!$A:$A,#REF!), 0))</f>
        <v/>
      </c>
      <c r="KMS224" s="19" t="str">
        <f>IF(KMS220 = "", "", IFERROR(KMS220 / SUMIFS(Aux_Totales!$N:$N, Aux_Totales!$F:$F, $F224, Aux_Totales!$A:$A,#REF!), 0))</f>
        <v/>
      </c>
      <c r="KMT224" s="19" t="str">
        <f>IF(KMT220 = "", "", IFERROR(KMT220 / SUMIFS(Aux_Totales!$N:$N, Aux_Totales!$F:$F, $F224, Aux_Totales!$A:$A,#REF!), 0))</f>
        <v/>
      </c>
      <c r="KMU224" s="19" t="str">
        <f>IF(KMU220 = "", "", IFERROR(KMU220 / SUMIFS(Aux_Totales!$N:$N, Aux_Totales!$F:$F, $F224, Aux_Totales!$A:$A,#REF!), 0))</f>
        <v/>
      </c>
      <c r="KMV224" s="19" t="str">
        <f>IF(KMV220 = "", "", IFERROR(KMV220 / SUMIFS(Aux_Totales!$N:$N, Aux_Totales!$F:$F, $F224, Aux_Totales!$A:$A,#REF!), 0))</f>
        <v/>
      </c>
      <c r="KMW224" s="19" t="str">
        <f>IF(KMW220 = "", "", IFERROR(KMW220 / SUMIFS(Aux_Totales!$N:$N, Aux_Totales!$F:$F, $F224, Aux_Totales!$A:$A,#REF!), 0))</f>
        <v/>
      </c>
      <c r="KMX224" s="19" t="str">
        <f>IF(KMX220 = "", "", IFERROR(KMX220 / SUMIFS(Aux_Totales!$N:$N, Aux_Totales!$F:$F, $F224, Aux_Totales!$A:$A,#REF!), 0))</f>
        <v/>
      </c>
      <c r="KMY224" s="19" t="str">
        <f>IF(KMY220 = "", "", IFERROR(KMY220 / SUMIFS(Aux_Totales!$N:$N, Aux_Totales!$F:$F, $F224, Aux_Totales!$A:$A,#REF!), 0))</f>
        <v/>
      </c>
      <c r="KMZ224" s="19" t="str">
        <f>IF(KMZ220 = "", "", IFERROR(KMZ220 / SUMIFS(Aux_Totales!$N:$N, Aux_Totales!$F:$F, $F224, Aux_Totales!$A:$A,#REF!), 0))</f>
        <v/>
      </c>
      <c r="KNA224" s="19" t="str">
        <f>IF(KNA220 = "", "", IFERROR(KNA220 / SUMIFS(Aux_Totales!$N:$N, Aux_Totales!$F:$F, $F224, Aux_Totales!$A:$A,#REF!), 0))</f>
        <v/>
      </c>
      <c r="KNB224" s="19" t="str">
        <f>IF(KNB220 = "", "", IFERROR(KNB220 / SUMIFS(Aux_Totales!$N:$N, Aux_Totales!$F:$F, $F224, Aux_Totales!$A:$A,#REF!), 0))</f>
        <v/>
      </c>
      <c r="KNC224" s="19" t="str">
        <f>IF(KNC220 = "", "", IFERROR(KNC220 / SUMIFS(Aux_Totales!$N:$N, Aux_Totales!$F:$F, $F224, Aux_Totales!$A:$A,#REF!), 0))</f>
        <v/>
      </c>
      <c r="KND224" s="19" t="str">
        <f>IF(KND220 = "", "", IFERROR(KND220 / SUMIFS(Aux_Totales!$N:$N, Aux_Totales!$F:$F, $F224, Aux_Totales!$A:$A,#REF!), 0))</f>
        <v/>
      </c>
      <c r="KNE224" s="19" t="str">
        <f>IF(KNE220 = "", "", IFERROR(KNE220 / SUMIFS(Aux_Totales!$N:$N, Aux_Totales!$F:$F, $F224, Aux_Totales!$A:$A,#REF!), 0))</f>
        <v/>
      </c>
      <c r="KNF224" s="19" t="str">
        <f>IF(KNF220 = "", "", IFERROR(KNF220 / SUMIFS(Aux_Totales!$N:$N, Aux_Totales!$F:$F, $F224, Aux_Totales!$A:$A,#REF!), 0))</f>
        <v/>
      </c>
      <c r="KNG224" s="19" t="str">
        <f>IF(KNG220 = "", "", IFERROR(KNG220 / SUMIFS(Aux_Totales!$N:$N, Aux_Totales!$F:$F, $F224, Aux_Totales!$A:$A,#REF!), 0))</f>
        <v/>
      </c>
      <c r="KNH224" s="19" t="str">
        <f>IF(KNH220 = "", "", IFERROR(KNH220 / SUMIFS(Aux_Totales!$N:$N, Aux_Totales!$F:$F, $F224, Aux_Totales!$A:$A,#REF!), 0))</f>
        <v/>
      </c>
      <c r="KNI224" s="19" t="str">
        <f>IF(KNI220 = "", "", IFERROR(KNI220 / SUMIFS(Aux_Totales!$N:$N, Aux_Totales!$F:$F, $F224, Aux_Totales!$A:$A,#REF!), 0))</f>
        <v/>
      </c>
      <c r="KNJ224" s="19" t="str">
        <f>IF(KNJ220 = "", "", IFERROR(KNJ220 / SUMIFS(Aux_Totales!$N:$N, Aux_Totales!$F:$F, $F224, Aux_Totales!$A:$A,#REF!), 0))</f>
        <v/>
      </c>
      <c r="KNK224" s="19" t="str">
        <f>IF(KNK220 = "", "", IFERROR(KNK220 / SUMIFS(Aux_Totales!$N:$N, Aux_Totales!$F:$F, $F224, Aux_Totales!$A:$A,#REF!), 0))</f>
        <v/>
      </c>
      <c r="KNL224" s="19" t="str">
        <f>IF(KNL220 = "", "", IFERROR(KNL220 / SUMIFS(Aux_Totales!$N:$N, Aux_Totales!$F:$F, $F224, Aux_Totales!$A:$A,#REF!), 0))</f>
        <v/>
      </c>
      <c r="KNM224" s="19" t="str">
        <f>IF(KNM220 = "", "", IFERROR(KNM220 / SUMIFS(Aux_Totales!$N:$N, Aux_Totales!$F:$F, $F224, Aux_Totales!$A:$A,#REF!), 0))</f>
        <v/>
      </c>
      <c r="KNN224" s="19" t="str">
        <f>IF(KNN220 = "", "", IFERROR(KNN220 / SUMIFS(Aux_Totales!$N:$N, Aux_Totales!$F:$F, $F224, Aux_Totales!$A:$A,#REF!), 0))</f>
        <v/>
      </c>
      <c r="KNO224" s="19" t="str">
        <f>IF(KNO220 = "", "", IFERROR(KNO220 / SUMIFS(Aux_Totales!$N:$N, Aux_Totales!$F:$F, $F224, Aux_Totales!$A:$A,#REF!), 0))</f>
        <v/>
      </c>
      <c r="KNP224" s="19" t="str">
        <f>IF(KNP220 = "", "", IFERROR(KNP220 / SUMIFS(Aux_Totales!$N:$N, Aux_Totales!$F:$F, $F224, Aux_Totales!$A:$A,#REF!), 0))</f>
        <v/>
      </c>
      <c r="KNQ224" s="19" t="str">
        <f>IF(KNQ220 = "", "", IFERROR(KNQ220 / SUMIFS(Aux_Totales!$N:$N, Aux_Totales!$F:$F, $F224, Aux_Totales!$A:$A,#REF!), 0))</f>
        <v/>
      </c>
      <c r="KNR224" s="19" t="str">
        <f>IF(KNR220 = "", "", IFERROR(KNR220 / SUMIFS(Aux_Totales!$N:$N, Aux_Totales!$F:$F, $F224, Aux_Totales!$A:$A,#REF!), 0))</f>
        <v/>
      </c>
      <c r="KNS224" s="19" t="str">
        <f>IF(KNS220 = "", "", IFERROR(KNS220 / SUMIFS(Aux_Totales!$N:$N, Aux_Totales!$F:$F, $F224, Aux_Totales!$A:$A,#REF!), 0))</f>
        <v/>
      </c>
      <c r="KNT224" s="19" t="str">
        <f>IF(KNT220 = "", "", IFERROR(KNT220 / SUMIFS(Aux_Totales!$N:$N, Aux_Totales!$F:$F, $F224, Aux_Totales!$A:$A,#REF!), 0))</f>
        <v/>
      </c>
      <c r="KNU224" s="19" t="str">
        <f>IF(KNU220 = "", "", IFERROR(KNU220 / SUMIFS(Aux_Totales!$N:$N, Aux_Totales!$F:$F, $F224, Aux_Totales!$A:$A,#REF!), 0))</f>
        <v/>
      </c>
      <c r="KNV224" s="19" t="str">
        <f>IF(KNV220 = "", "", IFERROR(KNV220 / SUMIFS(Aux_Totales!$N:$N, Aux_Totales!$F:$F, $F224, Aux_Totales!$A:$A,#REF!), 0))</f>
        <v/>
      </c>
      <c r="KNW224" s="19" t="str">
        <f>IF(KNW220 = "", "", IFERROR(KNW220 / SUMIFS(Aux_Totales!$N:$N, Aux_Totales!$F:$F, $F224, Aux_Totales!$A:$A,#REF!), 0))</f>
        <v/>
      </c>
      <c r="KNX224" s="19" t="str">
        <f>IF(KNX220 = "", "", IFERROR(KNX220 / SUMIFS(Aux_Totales!$N:$N, Aux_Totales!$F:$F, $F224, Aux_Totales!$A:$A,#REF!), 0))</f>
        <v/>
      </c>
      <c r="KNY224" s="19" t="str">
        <f>IF(KNY220 = "", "", IFERROR(KNY220 / SUMIFS(Aux_Totales!$N:$N, Aux_Totales!$F:$F, $F224, Aux_Totales!$A:$A,#REF!), 0))</f>
        <v/>
      </c>
      <c r="KNZ224" s="19" t="str">
        <f>IF(KNZ220 = "", "", IFERROR(KNZ220 / SUMIFS(Aux_Totales!$N:$N, Aux_Totales!$F:$F, $F224, Aux_Totales!$A:$A,#REF!), 0))</f>
        <v/>
      </c>
      <c r="KOA224" s="19" t="str">
        <f>IF(KOA220 = "", "", IFERROR(KOA220 / SUMIFS(Aux_Totales!$N:$N, Aux_Totales!$F:$F, $F224, Aux_Totales!$A:$A,#REF!), 0))</f>
        <v/>
      </c>
      <c r="KOB224" s="19" t="str">
        <f>IF(KOB220 = "", "", IFERROR(KOB220 / SUMIFS(Aux_Totales!$N:$N, Aux_Totales!$F:$F, $F224, Aux_Totales!$A:$A,#REF!), 0))</f>
        <v/>
      </c>
      <c r="KOC224" s="19" t="str">
        <f>IF(KOC220 = "", "", IFERROR(KOC220 / SUMIFS(Aux_Totales!$N:$N, Aux_Totales!$F:$F, $F224, Aux_Totales!$A:$A,#REF!), 0))</f>
        <v/>
      </c>
      <c r="KOD224" s="19" t="str">
        <f>IF(KOD220 = "", "", IFERROR(KOD220 / SUMIFS(Aux_Totales!$N:$N, Aux_Totales!$F:$F, $F224, Aux_Totales!$A:$A,#REF!), 0))</f>
        <v/>
      </c>
      <c r="KOE224" s="19" t="str">
        <f>IF(KOE220 = "", "", IFERROR(KOE220 / SUMIFS(Aux_Totales!$N:$N, Aux_Totales!$F:$F, $F224, Aux_Totales!$A:$A,#REF!), 0))</f>
        <v/>
      </c>
      <c r="KOF224" s="19" t="str">
        <f>IF(KOF220 = "", "", IFERROR(KOF220 / SUMIFS(Aux_Totales!$N:$N, Aux_Totales!$F:$F, $F224, Aux_Totales!$A:$A,#REF!), 0))</f>
        <v/>
      </c>
      <c r="KOG224" s="19" t="str">
        <f>IF(KOG220 = "", "", IFERROR(KOG220 / SUMIFS(Aux_Totales!$N:$N, Aux_Totales!$F:$F, $F224, Aux_Totales!$A:$A,#REF!), 0))</f>
        <v/>
      </c>
      <c r="KOH224" s="19" t="str">
        <f>IF(KOH220 = "", "", IFERROR(KOH220 / SUMIFS(Aux_Totales!$N:$N, Aux_Totales!$F:$F, $F224, Aux_Totales!$A:$A,#REF!), 0))</f>
        <v/>
      </c>
      <c r="KOI224" s="19" t="str">
        <f>IF(KOI220 = "", "", IFERROR(KOI220 / SUMIFS(Aux_Totales!$N:$N, Aux_Totales!$F:$F, $F224, Aux_Totales!$A:$A,#REF!), 0))</f>
        <v/>
      </c>
      <c r="KOJ224" s="19" t="str">
        <f>IF(KOJ220 = "", "", IFERROR(KOJ220 / SUMIFS(Aux_Totales!$N:$N, Aux_Totales!$F:$F, $F224, Aux_Totales!$A:$A,#REF!), 0))</f>
        <v/>
      </c>
      <c r="KOK224" s="19" t="str">
        <f>IF(KOK220 = "", "", IFERROR(KOK220 / SUMIFS(Aux_Totales!$N:$N, Aux_Totales!$F:$F, $F224, Aux_Totales!$A:$A,#REF!), 0))</f>
        <v/>
      </c>
      <c r="KOL224" s="19" t="str">
        <f>IF(KOL220 = "", "", IFERROR(KOL220 / SUMIFS(Aux_Totales!$N:$N, Aux_Totales!$F:$F, $F224, Aux_Totales!$A:$A,#REF!), 0))</f>
        <v/>
      </c>
      <c r="KOM224" s="19" t="str">
        <f>IF(KOM220 = "", "", IFERROR(KOM220 / SUMIFS(Aux_Totales!$N:$N, Aux_Totales!$F:$F, $F224, Aux_Totales!$A:$A,#REF!), 0))</f>
        <v/>
      </c>
      <c r="KON224" s="19" t="str">
        <f>IF(KON220 = "", "", IFERROR(KON220 / SUMIFS(Aux_Totales!$N:$N, Aux_Totales!$F:$F, $F224, Aux_Totales!$A:$A,#REF!), 0))</f>
        <v/>
      </c>
      <c r="KOO224" s="19" t="str">
        <f>IF(KOO220 = "", "", IFERROR(KOO220 / SUMIFS(Aux_Totales!$N:$N, Aux_Totales!$F:$F, $F224, Aux_Totales!$A:$A,#REF!), 0))</f>
        <v/>
      </c>
      <c r="KOP224" s="19" t="str">
        <f>IF(KOP220 = "", "", IFERROR(KOP220 / SUMIFS(Aux_Totales!$N:$N, Aux_Totales!$F:$F, $F224, Aux_Totales!$A:$A,#REF!), 0))</f>
        <v/>
      </c>
      <c r="KOQ224" s="19" t="str">
        <f>IF(KOQ220 = "", "", IFERROR(KOQ220 / SUMIFS(Aux_Totales!$N:$N, Aux_Totales!$F:$F, $F224, Aux_Totales!$A:$A,#REF!), 0))</f>
        <v/>
      </c>
      <c r="KOR224" s="19" t="str">
        <f>IF(KOR220 = "", "", IFERROR(KOR220 / SUMIFS(Aux_Totales!$N:$N, Aux_Totales!$F:$F, $F224, Aux_Totales!$A:$A,#REF!), 0))</f>
        <v/>
      </c>
      <c r="KOS224" s="19" t="str">
        <f>IF(KOS220 = "", "", IFERROR(KOS220 / SUMIFS(Aux_Totales!$N:$N, Aux_Totales!$F:$F, $F224, Aux_Totales!$A:$A,#REF!), 0))</f>
        <v/>
      </c>
      <c r="KOT224" s="19" t="str">
        <f>IF(KOT220 = "", "", IFERROR(KOT220 / SUMIFS(Aux_Totales!$N:$N, Aux_Totales!$F:$F, $F224, Aux_Totales!$A:$A,#REF!), 0))</f>
        <v/>
      </c>
      <c r="KOU224" s="19" t="str">
        <f>IF(KOU220 = "", "", IFERROR(KOU220 / SUMIFS(Aux_Totales!$N:$N, Aux_Totales!$F:$F, $F224, Aux_Totales!$A:$A,#REF!), 0))</f>
        <v/>
      </c>
      <c r="KOV224" s="19" t="str">
        <f>IF(KOV220 = "", "", IFERROR(KOV220 / SUMIFS(Aux_Totales!$N:$N, Aux_Totales!$F:$F, $F224, Aux_Totales!$A:$A,#REF!), 0))</f>
        <v/>
      </c>
      <c r="KOW224" s="19" t="str">
        <f>IF(KOW220 = "", "", IFERROR(KOW220 / SUMIFS(Aux_Totales!$N:$N, Aux_Totales!$F:$F, $F224, Aux_Totales!$A:$A,#REF!), 0))</f>
        <v/>
      </c>
      <c r="KOX224" s="19" t="str">
        <f>IF(KOX220 = "", "", IFERROR(KOX220 / SUMIFS(Aux_Totales!$N:$N, Aux_Totales!$F:$F, $F224, Aux_Totales!$A:$A,#REF!), 0))</f>
        <v/>
      </c>
      <c r="KOY224" s="19" t="str">
        <f>IF(KOY220 = "", "", IFERROR(KOY220 / SUMIFS(Aux_Totales!$N:$N, Aux_Totales!$F:$F, $F224, Aux_Totales!$A:$A,#REF!), 0))</f>
        <v/>
      </c>
      <c r="KOZ224" s="19" t="str">
        <f>IF(KOZ220 = "", "", IFERROR(KOZ220 / SUMIFS(Aux_Totales!$N:$N, Aux_Totales!$F:$F, $F224, Aux_Totales!$A:$A,#REF!), 0))</f>
        <v/>
      </c>
      <c r="KPA224" s="19" t="str">
        <f>IF(KPA220 = "", "", IFERROR(KPA220 / SUMIFS(Aux_Totales!$N:$N, Aux_Totales!$F:$F, $F224, Aux_Totales!$A:$A,#REF!), 0))</f>
        <v/>
      </c>
      <c r="KPB224" s="19" t="str">
        <f>IF(KPB220 = "", "", IFERROR(KPB220 / SUMIFS(Aux_Totales!$N:$N, Aux_Totales!$F:$F, $F224, Aux_Totales!$A:$A,#REF!), 0))</f>
        <v/>
      </c>
      <c r="KPC224" s="19" t="str">
        <f>IF(KPC220 = "", "", IFERROR(KPC220 / SUMIFS(Aux_Totales!$N:$N, Aux_Totales!$F:$F, $F224, Aux_Totales!$A:$A,#REF!), 0))</f>
        <v/>
      </c>
      <c r="KPD224" s="19" t="str">
        <f>IF(KPD220 = "", "", IFERROR(KPD220 / SUMIFS(Aux_Totales!$N:$N, Aux_Totales!$F:$F, $F224, Aux_Totales!$A:$A,#REF!), 0))</f>
        <v/>
      </c>
      <c r="KPE224" s="19" t="str">
        <f>IF(KPE220 = "", "", IFERROR(KPE220 / SUMIFS(Aux_Totales!$N:$N, Aux_Totales!$F:$F, $F224, Aux_Totales!$A:$A,#REF!), 0))</f>
        <v/>
      </c>
      <c r="KPF224" s="19" t="str">
        <f>IF(KPF220 = "", "", IFERROR(KPF220 / SUMIFS(Aux_Totales!$N:$N, Aux_Totales!$F:$F, $F224, Aux_Totales!$A:$A,#REF!), 0))</f>
        <v/>
      </c>
      <c r="KPG224" s="19" t="str">
        <f>IF(KPG220 = "", "", IFERROR(KPG220 / SUMIFS(Aux_Totales!$N:$N, Aux_Totales!$F:$F, $F224, Aux_Totales!$A:$A,#REF!), 0))</f>
        <v/>
      </c>
      <c r="KPH224" s="19" t="str">
        <f>IF(KPH220 = "", "", IFERROR(KPH220 / SUMIFS(Aux_Totales!$N:$N, Aux_Totales!$F:$F, $F224, Aux_Totales!$A:$A,#REF!), 0))</f>
        <v/>
      </c>
      <c r="KPI224" s="19" t="str">
        <f>IF(KPI220 = "", "", IFERROR(KPI220 / SUMIFS(Aux_Totales!$N:$N, Aux_Totales!$F:$F, $F224, Aux_Totales!$A:$A,#REF!), 0))</f>
        <v/>
      </c>
      <c r="KPJ224" s="19" t="str">
        <f>IF(KPJ220 = "", "", IFERROR(KPJ220 / SUMIFS(Aux_Totales!$N:$N, Aux_Totales!$F:$F, $F224, Aux_Totales!$A:$A,#REF!), 0))</f>
        <v/>
      </c>
      <c r="KPK224" s="19" t="str">
        <f>IF(KPK220 = "", "", IFERROR(KPK220 / SUMIFS(Aux_Totales!$N:$N, Aux_Totales!$F:$F, $F224, Aux_Totales!$A:$A,#REF!), 0))</f>
        <v/>
      </c>
      <c r="KPL224" s="19" t="str">
        <f>IF(KPL220 = "", "", IFERROR(KPL220 / SUMIFS(Aux_Totales!$N:$N, Aux_Totales!$F:$F, $F224, Aux_Totales!$A:$A,#REF!), 0))</f>
        <v/>
      </c>
      <c r="KPM224" s="19" t="str">
        <f>IF(KPM220 = "", "", IFERROR(KPM220 / SUMIFS(Aux_Totales!$N:$N, Aux_Totales!$F:$F, $F224, Aux_Totales!$A:$A,#REF!), 0))</f>
        <v/>
      </c>
      <c r="KPN224" s="19" t="str">
        <f>IF(KPN220 = "", "", IFERROR(KPN220 / SUMIFS(Aux_Totales!$N:$N, Aux_Totales!$F:$F, $F224, Aux_Totales!$A:$A,#REF!), 0))</f>
        <v/>
      </c>
      <c r="KPO224" s="19" t="str">
        <f>IF(KPO220 = "", "", IFERROR(KPO220 / SUMIFS(Aux_Totales!$N:$N, Aux_Totales!$F:$F, $F224, Aux_Totales!$A:$A,#REF!), 0))</f>
        <v/>
      </c>
      <c r="KPP224" s="19" t="str">
        <f>IF(KPP220 = "", "", IFERROR(KPP220 / SUMIFS(Aux_Totales!$N:$N, Aux_Totales!$F:$F, $F224, Aux_Totales!$A:$A,#REF!), 0))</f>
        <v/>
      </c>
      <c r="KPQ224" s="19" t="str">
        <f>IF(KPQ220 = "", "", IFERROR(KPQ220 / SUMIFS(Aux_Totales!$N:$N, Aux_Totales!$F:$F, $F224, Aux_Totales!$A:$A,#REF!), 0))</f>
        <v/>
      </c>
      <c r="KPR224" s="19" t="str">
        <f>IF(KPR220 = "", "", IFERROR(KPR220 / SUMIFS(Aux_Totales!$N:$N, Aux_Totales!$F:$F, $F224, Aux_Totales!$A:$A,#REF!), 0))</f>
        <v/>
      </c>
      <c r="KPS224" s="19" t="str">
        <f>IF(KPS220 = "", "", IFERROR(KPS220 / SUMIFS(Aux_Totales!$N:$N, Aux_Totales!$F:$F, $F224, Aux_Totales!$A:$A,#REF!), 0))</f>
        <v/>
      </c>
      <c r="KPT224" s="19" t="str">
        <f>IF(KPT220 = "", "", IFERROR(KPT220 / SUMIFS(Aux_Totales!$N:$N, Aux_Totales!$F:$F, $F224, Aux_Totales!$A:$A,#REF!), 0))</f>
        <v/>
      </c>
      <c r="KPU224" s="19" t="str">
        <f>IF(KPU220 = "", "", IFERROR(KPU220 / SUMIFS(Aux_Totales!$N:$N, Aux_Totales!$F:$F, $F224, Aux_Totales!$A:$A,#REF!), 0))</f>
        <v/>
      </c>
      <c r="KPV224" s="19" t="str">
        <f>IF(KPV220 = "", "", IFERROR(KPV220 / SUMIFS(Aux_Totales!$N:$N, Aux_Totales!$F:$F, $F224, Aux_Totales!$A:$A,#REF!), 0))</f>
        <v/>
      </c>
      <c r="KPW224" s="19" t="str">
        <f>IF(KPW220 = "", "", IFERROR(KPW220 / SUMIFS(Aux_Totales!$N:$N, Aux_Totales!$F:$F, $F224, Aux_Totales!$A:$A,#REF!), 0))</f>
        <v/>
      </c>
      <c r="KPX224" s="19" t="str">
        <f>IF(KPX220 = "", "", IFERROR(KPX220 / SUMIFS(Aux_Totales!$N:$N, Aux_Totales!$F:$F, $F224, Aux_Totales!$A:$A,#REF!), 0))</f>
        <v/>
      </c>
      <c r="KPY224" s="19" t="str">
        <f>IF(KPY220 = "", "", IFERROR(KPY220 / SUMIFS(Aux_Totales!$N:$N, Aux_Totales!$F:$F, $F224, Aux_Totales!$A:$A,#REF!), 0))</f>
        <v/>
      </c>
      <c r="KPZ224" s="19" t="str">
        <f>IF(KPZ220 = "", "", IFERROR(KPZ220 / SUMIFS(Aux_Totales!$N:$N, Aux_Totales!$F:$F, $F224, Aux_Totales!$A:$A,#REF!), 0))</f>
        <v/>
      </c>
      <c r="KQA224" s="19" t="str">
        <f>IF(KQA220 = "", "", IFERROR(KQA220 / SUMIFS(Aux_Totales!$N:$N, Aux_Totales!$F:$F, $F224, Aux_Totales!$A:$A,#REF!), 0))</f>
        <v/>
      </c>
      <c r="KQB224" s="19" t="str">
        <f>IF(KQB220 = "", "", IFERROR(KQB220 / SUMIFS(Aux_Totales!$N:$N, Aux_Totales!$F:$F, $F224, Aux_Totales!$A:$A,#REF!), 0))</f>
        <v/>
      </c>
      <c r="KQC224" s="19" t="str">
        <f>IF(KQC220 = "", "", IFERROR(KQC220 / SUMIFS(Aux_Totales!$N:$N, Aux_Totales!$F:$F, $F224, Aux_Totales!$A:$A,#REF!), 0))</f>
        <v/>
      </c>
      <c r="KQD224" s="19" t="str">
        <f>IF(KQD220 = "", "", IFERROR(KQD220 / SUMIFS(Aux_Totales!$N:$N, Aux_Totales!$F:$F, $F224, Aux_Totales!$A:$A,#REF!), 0))</f>
        <v/>
      </c>
      <c r="KQE224" s="19" t="str">
        <f>IF(KQE220 = "", "", IFERROR(KQE220 / SUMIFS(Aux_Totales!$N:$N, Aux_Totales!$F:$F, $F224, Aux_Totales!$A:$A,#REF!), 0))</f>
        <v/>
      </c>
      <c r="KQF224" s="19" t="str">
        <f>IF(KQF220 = "", "", IFERROR(KQF220 / SUMIFS(Aux_Totales!$N:$N, Aux_Totales!$F:$F, $F224, Aux_Totales!$A:$A,#REF!), 0))</f>
        <v/>
      </c>
      <c r="KQG224" s="19" t="str">
        <f>IF(KQG220 = "", "", IFERROR(KQG220 / SUMIFS(Aux_Totales!$N:$N, Aux_Totales!$F:$F, $F224, Aux_Totales!$A:$A,#REF!), 0))</f>
        <v/>
      </c>
      <c r="KQH224" s="19" t="str">
        <f>IF(KQH220 = "", "", IFERROR(KQH220 / SUMIFS(Aux_Totales!$N:$N, Aux_Totales!$F:$F, $F224, Aux_Totales!$A:$A,#REF!), 0))</f>
        <v/>
      </c>
      <c r="KQI224" s="19" t="str">
        <f>IF(KQI220 = "", "", IFERROR(KQI220 / SUMIFS(Aux_Totales!$N:$N, Aux_Totales!$F:$F, $F224, Aux_Totales!$A:$A,#REF!), 0))</f>
        <v/>
      </c>
      <c r="KQJ224" s="19" t="str">
        <f>IF(KQJ220 = "", "", IFERROR(KQJ220 / SUMIFS(Aux_Totales!$N:$N, Aux_Totales!$F:$F, $F224, Aux_Totales!$A:$A,#REF!), 0))</f>
        <v/>
      </c>
      <c r="KQK224" s="19" t="str">
        <f>IF(KQK220 = "", "", IFERROR(KQK220 / SUMIFS(Aux_Totales!$N:$N, Aux_Totales!$F:$F, $F224, Aux_Totales!$A:$A,#REF!), 0))</f>
        <v/>
      </c>
      <c r="KQL224" s="19" t="str">
        <f>IF(KQL220 = "", "", IFERROR(KQL220 / SUMIFS(Aux_Totales!$N:$N, Aux_Totales!$F:$F, $F224, Aux_Totales!$A:$A,#REF!), 0))</f>
        <v/>
      </c>
      <c r="KQM224" s="19" t="str">
        <f>IF(KQM220 = "", "", IFERROR(KQM220 / SUMIFS(Aux_Totales!$N:$N, Aux_Totales!$F:$F, $F224, Aux_Totales!$A:$A,#REF!), 0))</f>
        <v/>
      </c>
      <c r="KQN224" s="19" t="str">
        <f>IF(KQN220 = "", "", IFERROR(KQN220 / SUMIFS(Aux_Totales!$N:$N, Aux_Totales!$F:$F, $F224, Aux_Totales!$A:$A,#REF!), 0))</f>
        <v/>
      </c>
      <c r="KQO224" s="19" t="str">
        <f>IF(KQO220 = "", "", IFERROR(KQO220 / SUMIFS(Aux_Totales!$N:$N, Aux_Totales!$F:$F, $F224, Aux_Totales!$A:$A,#REF!), 0))</f>
        <v/>
      </c>
      <c r="KQP224" s="19" t="str">
        <f>IF(KQP220 = "", "", IFERROR(KQP220 / SUMIFS(Aux_Totales!$N:$N, Aux_Totales!$F:$F, $F224, Aux_Totales!$A:$A,#REF!), 0))</f>
        <v/>
      </c>
      <c r="KQQ224" s="19" t="str">
        <f>IF(KQQ220 = "", "", IFERROR(KQQ220 / SUMIFS(Aux_Totales!$N:$N, Aux_Totales!$F:$F, $F224, Aux_Totales!$A:$A,#REF!), 0))</f>
        <v/>
      </c>
      <c r="KQR224" s="19" t="str">
        <f>IF(KQR220 = "", "", IFERROR(KQR220 / SUMIFS(Aux_Totales!$N:$N, Aux_Totales!$F:$F, $F224, Aux_Totales!$A:$A,#REF!), 0))</f>
        <v/>
      </c>
      <c r="KQS224" s="19" t="str">
        <f>IF(KQS220 = "", "", IFERROR(KQS220 / SUMIFS(Aux_Totales!$N:$N, Aux_Totales!$F:$F, $F224, Aux_Totales!$A:$A,#REF!), 0))</f>
        <v/>
      </c>
      <c r="KQT224" s="19" t="str">
        <f>IF(KQT220 = "", "", IFERROR(KQT220 / SUMIFS(Aux_Totales!$N:$N, Aux_Totales!$F:$F, $F224, Aux_Totales!$A:$A,#REF!), 0))</f>
        <v/>
      </c>
      <c r="KQU224" s="19" t="str">
        <f>IF(KQU220 = "", "", IFERROR(KQU220 / SUMIFS(Aux_Totales!$N:$N, Aux_Totales!$F:$F, $F224, Aux_Totales!$A:$A,#REF!), 0))</f>
        <v/>
      </c>
      <c r="KQV224" s="19" t="str">
        <f>IF(KQV220 = "", "", IFERROR(KQV220 / SUMIFS(Aux_Totales!$N:$N, Aux_Totales!$F:$F, $F224, Aux_Totales!$A:$A,#REF!), 0))</f>
        <v/>
      </c>
      <c r="KQW224" s="19" t="str">
        <f>IF(KQW220 = "", "", IFERROR(KQW220 / SUMIFS(Aux_Totales!$N:$N, Aux_Totales!$F:$F, $F224, Aux_Totales!$A:$A,#REF!), 0))</f>
        <v/>
      </c>
      <c r="KQX224" s="19" t="str">
        <f>IF(KQX220 = "", "", IFERROR(KQX220 / SUMIFS(Aux_Totales!$N:$N, Aux_Totales!$F:$F, $F224, Aux_Totales!$A:$A,#REF!), 0))</f>
        <v/>
      </c>
      <c r="KQY224" s="19" t="str">
        <f>IF(KQY220 = "", "", IFERROR(KQY220 / SUMIFS(Aux_Totales!$N:$N, Aux_Totales!$F:$F, $F224, Aux_Totales!$A:$A,#REF!), 0))</f>
        <v/>
      </c>
      <c r="KQZ224" s="19" t="str">
        <f>IF(KQZ220 = "", "", IFERROR(KQZ220 / SUMIFS(Aux_Totales!$N:$N, Aux_Totales!$F:$F, $F224, Aux_Totales!$A:$A,#REF!), 0))</f>
        <v/>
      </c>
      <c r="KRA224" s="19" t="str">
        <f>IF(KRA220 = "", "", IFERROR(KRA220 / SUMIFS(Aux_Totales!$N:$N, Aux_Totales!$F:$F, $F224, Aux_Totales!$A:$A,#REF!), 0))</f>
        <v/>
      </c>
      <c r="KRB224" s="19" t="str">
        <f>IF(KRB220 = "", "", IFERROR(KRB220 / SUMIFS(Aux_Totales!$N:$N, Aux_Totales!$F:$F, $F224, Aux_Totales!$A:$A,#REF!), 0))</f>
        <v/>
      </c>
      <c r="KRC224" s="19" t="str">
        <f>IF(KRC220 = "", "", IFERROR(KRC220 / SUMIFS(Aux_Totales!$N:$N, Aux_Totales!$F:$F, $F224, Aux_Totales!$A:$A,#REF!), 0))</f>
        <v/>
      </c>
      <c r="KRD224" s="19" t="str">
        <f>IF(KRD220 = "", "", IFERROR(KRD220 / SUMIFS(Aux_Totales!$N:$N, Aux_Totales!$F:$F, $F224, Aux_Totales!$A:$A,#REF!), 0))</f>
        <v/>
      </c>
      <c r="KRE224" s="19" t="str">
        <f>IF(KRE220 = "", "", IFERROR(KRE220 / SUMIFS(Aux_Totales!$N:$N, Aux_Totales!$F:$F, $F224, Aux_Totales!$A:$A,#REF!), 0))</f>
        <v/>
      </c>
      <c r="KRF224" s="19" t="str">
        <f>IF(KRF220 = "", "", IFERROR(KRF220 / SUMIFS(Aux_Totales!$N:$N, Aux_Totales!$F:$F, $F224, Aux_Totales!$A:$A,#REF!), 0))</f>
        <v/>
      </c>
      <c r="KRG224" s="19" t="str">
        <f>IF(KRG220 = "", "", IFERROR(KRG220 / SUMIFS(Aux_Totales!$N:$N, Aux_Totales!$F:$F, $F224, Aux_Totales!$A:$A,#REF!), 0))</f>
        <v/>
      </c>
      <c r="KRH224" s="19" t="str">
        <f>IF(KRH220 = "", "", IFERROR(KRH220 / SUMIFS(Aux_Totales!$N:$N, Aux_Totales!$F:$F, $F224, Aux_Totales!$A:$A,#REF!), 0))</f>
        <v/>
      </c>
      <c r="KRI224" s="19" t="str">
        <f>IF(KRI220 = "", "", IFERROR(KRI220 / SUMIFS(Aux_Totales!$N:$N, Aux_Totales!$F:$F, $F224, Aux_Totales!$A:$A,#REF!), 0))</f>
        <v/>
      </c>
      <c r="KRJ224" s="19" t="str">
        <f>IF(KRJ220 = "", "", IFERROR(KRJ220 / SUMIFS(Aux_Totales!$N:$N, Aux_Totales!$F:$F, $F224, Aux_Totales!$A:$A,#REF!), 0))</f>
        <v/>
      </c>
      <c r="KRK224" s="19" t="str">
        <f>IF(KRK220 = "", "", IFERROR(KRK220 / SUMIFS(Aux_Totales!$N:$N, Aux_Totales!$F:$F, $F224, Aux_Totales!$A:$A,#REF!), 0))</f>
        <v/>
      </c>
      <c r="KRL224" s="19" t="str">
        <f>IF(KRL220 = "", "", IFERROR(KRL220 / SUMIFS(Aux_Totales!$N:$N, Aux_Totales!$F:$F, $F224, Aux_Totales!$A:$A,#REF!), 0))</f>
        <v/>
      </c>
      <c r="KRM224" s="19" t="str">
        <f>IF(KRM220 = "", "", IFERROR(KRM220 / SUMIFS(Aux_Totales!$N:$N, Aux_Totales!$F:$F, $F224, Aux_Totales!$A:$A,#REF!), 0))</f>
        <v/>
      </c>
      <c r="KRN224" s="19" t="str">
        <f>IF(KRN220 = "", "", IFERROR(KRN220 / SUMIFS(Aux_Totales!$N:$N, Aux_Totales!$F:$F, $F224, Aux_Totales!$A:$A,#REF!), 0))</f>
        <v/>
      </c>
      <c r="KRO224" s="19" t="str">
        <f>IF(KRO220 = "", "", IFERROR(KRO220 / SUMIFS(Aux_Totales!$N:$N, Aux_Totales!$F:$F, $F224, Aux_Totales!$A:$A,#REF!), 0))</f>
        <v/>
      </c>
      <c r="KRP224" s="19" t="str">
        <f>IF(KRP220 = "", "", IFERROR(KRP220 / SUMIFS(Aux_Totales!$N:$N, Aux_Totales!$F:$F, $F224, Aux_Totales!$A:$A,#REF!), 0))</f>
        <v/>
      </c>
      <c r="KRQ224" s="19" t="str">
        <f>IF(KRQ220 = "", "", IFERROR(KRQ220 / SUMIFS(Aux_Totales!$N:$N, Aux_Totales!$F:$F, $F224, Aux_Totales!$A:$A,#REF!), 0))</f>
        <v/>
      </c>
      <c r="KRR224" s="19" t="str">
        <f>IF(KRR220 = "", "", IFERROR(KRR220 / SUMIFS(Aux_Totales!$N:$N, Aux_Totales!$F:$F, $F224, Aux_Totales!$A:$A,#REF!), 0))</f>
        <v/>
      </c>
      <c r="KRS224" s="19" t="str">
        <f>IF(KRS220 = "", "", IFERROR(KRS220 / SUMIFS(Aux_Totales!$N:$N, Aux_Totales!$F:$F, $F224, Aux_Totales!$A:$A,#REF!), 0))</f>
        <v/>
      </c>
      <c r="KRT224" s="19" t="str">
        <f>IF(KRT220 = "", "", IFERROR(KRT220 / SUMIFS(Aux_Totales!$N:$N, Aux_Totales!$F:$F, $F224, Aux_Totales!$A:$A,#REF!), 0))</f>
        <v/>
      </c>
      <c r="KRU224" s="19" t="str">
        <f>IF(KRU220 = "", "", IFERROR(KRU220 / SUMIFS(Aux_Totales!$N:$N, Aux_Totales!$F:$F, $F224, Aux_Totales!$A:$A,#REF!), 0))</f>
        <v/>
      </c>
      <c r="KRV224" s="19" t="str">
        <f>IF(KRV220 = "", "", IFERROR(KRV220 / SUMIFS(Aux_Totales!$N:$N, Aux_Totales!$F:$F, $F224, Aux_Totales!$A:$A,#REF!), 0))</f>
        <v/>
      </c>
      <c r="KRW224" s="19" t="str">
        <f>IF(KRW220 = "", "", IFERROR(KRW220 / SUMIFS(Aux_Totales!$N:$N, Aux_Totales!$F:$F, $F224, Aux_Totales!$A:$A,#REF!), 0))</f>
        <v/>
      </c>
      <c r="KRX224" s="19" t="str">
        <f>IF(KRX220 = "", "", IFERROR(KRX220 / SUMIFS(Aux_Totales!$N:$N, Aux_Totales!$F:$F, $F224, Aux_Totales!$A:$A,#REF!), 0))</f>
        <v/>
      </c>
      <c r="KRY224" s="19" t="str">
        <f>IF(KRY220 = "", "", IFERROR(KRY220 / SUMIFS(Aux_Totales!$N:$N, Aux_Totales!$F:$F, $F224, Aux_Totales!$A:$A,#REF!), 0))</f>
        <v/>
      </c>
      <c r="KRZ224" s="19" t="str">
        <f>IF(KRZ220 = "", "", IFERROR(KRZ220 / SUMIFS(Aux_Totales!$N:$N, Aux_Totales!$F:$F, $F224, Aux_Totales!$A:$A,#REF!), 0))</f>
        <v/>
      </c>
      <c r="KSA224" s="19" t="str">
        <f>IF(KSA220 = "", "", IFERROR(KSA220 / SUMIFS(Aux_Totales!$N:$N, Aux_Totales!$F:$F, $F224, Aux_Totales!$A:$A,#REF!), 0))</f>
        <v/>
      </c>
      <c r="KSB224" s="19" t="str">
        <f>IF(KSB220 = "", "", IFERROR(KSB220 / SUMIFS(Aux_Totales!$N:$N, Aux_Totales!$F:$F, $F224, Aux_Totales!$A:$A,#REF!), 0))</f>
        <v/>
      </c>
      <c r="KSC224" s="19" t="str">
        <f>IF(KSC220 = "", "", IFERROR(KSC220 / SUMIFS(Aux_Totales!$N:$N, Aux_Totales!$F:$F, $F224, Aux_Totales!$A:$A,#REF!), 0))</f>
        <v/>
      </c>
      <c r="KSD224" s="19" t="str">
        <f>IF(KSD220 = "", "", IFERROR(KSD220 / SUMIFS(Aux_Totales!$N:$N, Aux_Totales!$F:$F, $F224, Aux_Totales!$A:$A,#REF!), 0))</f>
        <v/>
      </c>
      <c r="KSE224" s="19" t="str">
        <f>IF(KSE220 = "", "", IFERROR(KSE220 / SUMIFS(Aux_Totales!$N:$N, Aux_Totales!$F:$F, $F224, Aux_Totales!$A:$A,#REF!), 0))</f>
        <v/>
      </c>
      <c r="KSF224" s="19" t="str">
        <f>IF(KSF220 = "", "", IFERROR(KSF220 / SUMIFS(Aux_Totales!$N:$N, Aux_Totales!$F:$F, $F224, Aux_Totales!$A:$A,#REF!), 0))</f>
        <v/>
      </c>
      <c r="KSG224" s="19" t="str">
        <f>IF(KSG220 = "", "", IFERROR(KSG220 / SUMIFS(Aux_Totales!$N:$N, Aux_Totales!$F:$F, $F224, Aux_Totales!$A:$A,#REF!), 0))</f>
        <v/>
      </c>
      <c r="KSH224" s="19" t="str">
        <f>IF(KSH220 = "", "", IFERROR(KSH220 / SUMIFS(Aux_Totales!$N:$N, Aux_Totales!$F:$F, $F224, Aux_Totales!$A:$A,#REF!), 0))</f>
        <v/>
      </c>
      <c r="KSI224" s="19" t="str">
        <f>IF(KSI220 = "", "", IFERROR(KSI220 / SUMIFS(Aux_Totales!$N:$N, Aux_Totales!$F:$F, $F224, Aux_Totales!$A:$A,#REF!), 0))</f>
        <v/>
      </c>
      <c r="KSJ224" s="19" t="str">
        <f>IF(KSJ220 = "", "", IFERROR(KSJ220 / SUMIFS(Aux_Totales!$N:$N, Aux_Totales!$F:$F, $F224, Aux_Totales!$A:$A,#REF!), 0))</f>
        <v/>
      </c>
      <c r="KSK224" s="19" t="str">
        <f>IF(KSK220 = "", "", IFERROR(KSK220 / SUMIFS(Aux_Totales!$N:$N, Aux_Totales!$F:$F, $F224, Aux_Totales!$A:$A,#REF!), 0))</f>
        <v/>
      </c>
      <c r="KSL224" s="19" t="str">
        <f>IF(KSL220 = "", "", IFERROR(KSL220 / SUMIFS(Aux_Totales!$N:$N, Aux_Totales!$F:$F, $F224, Aux_Totales!$A:$A,#REF!), 0))</f>
        <v/>
      </c>
      <c r="KSM224" s="19" t="str">
        <f>IF(KSM220 = "", "", IFERROR(KSM220 / SUMIFS(Aux_Totales!$N:$N, Aux_Totales!$F:$F, $F224, Aux_Totales!$A:$A,#REF!), 0))</f>
        <v/>
      </c>
      <c r="KSN224" s="19" t="str">
        <f>IF(KSN220 = "", "", IFERROR(KSN220 / SUMIFS(Aux_Totales!$N:$N, Aux_Totales!$F:$F, $F224, Aux_Totales!$A:$A,#REF!), 0))</f>
        <v/>
      </c>
      <c r="KSO224" s="19" t="str">
        <f>IF(KSO220 = "", "", IFERROR(KSO220 / SUMIFS(Aux_Totales!$N:$N, Aux_Totales!$F:$F, $F224, Aux_Totales!$A:$A,#REF!), 0))</f>
        <v/>
      </c>
      <c r="KSP224" s="19" t="str">
        <f>IF(KSP220 = "", "", IFERROR(KSP220 / SUMIFS(Aux_Totales!$N:$N, Aux_Totales!$F:$F, $F224, Aux_Totales!$A:$A,#REF!), 0))</f>
        <v/>
      </c>
      <c r="KSQ224" s="19" t="str">
        <f>IF(KSQ220 = "", "", IFERROR(KSQ220 / SUMIFS(Aux_Totales!$N:$N, Aux_Totales!$F:$F, $F224, Aux_Totales!$A:$A,#REF!), 0))</f>
        <v/>
      </c>
      <c r="KSR224" s="19" t="str">
        <f>IF(KSR220 = "", "", IFERROR(KSR220 / SUMIFS(Aux_Totales!$N:$N, Aux_Totales!$F:$F, $F224, Aux_Totales!$A:$A,#REF!), 0))</f>
        <v/>
      </c>
      <c r="KSS224" s="19" t="str">
        <f>IF(KSS220 = "", "", IFERROR(KSS220 / SUMIFS(Aux_Totales!$N:$N, Aux_Totales!$F:$F, $F224, Aux_Totales!$A:$A,#REF!), 0))</f>
        <v/>
      </c>
      <c r="KST224" s="19" t="str">
        <f>IF(KST220 = "", "", IFERROR(KST220 / SUMIFS(Aux_Totales!$N:$N, Aux_Totales!$F:$F, $F224, Aux_Totales!$A:$A,#REF!), 0))</f>
        <v/>
      </c>
      <c r="KSU224" s="19" t="str">
        <f>IF(KSU220 = "", "", IFERROR(KSU220 / SUMIFS(Aux_Totales!$N:$N, Aux_Totales!$F:$F, $F224, Aux_Totales!$A:$A,#REF!), 0))</f>
        <v/>
      </c>
      <c r="KSV224" s="19" t="str">
        <f>IF(KSV220 = "", "", IFERROR(KSV220 / SUMIFS(Aux_Totales!$N:$N, Aux_Totales!$F:$F, $F224, Aux_Totales!$A:$A,#REF!), 0))</f>
        <v/>
      </c>
      <c r="KSW224" s="19" t="str">
        <f>IF(KSW220 = "", "", IFERROR(KSW220 / SUMIFS(Aux_Totales!$N:$N, Aux_Totales!$F:$F, $F224, Aux_Totales!$A:$A,#REF!), 0))</f>
        <v/>
      </c>
      <c r="KSX224" s="19" t="str">
        <f>IF(KSX220 = "", "", IFERROR(KSX220 / SUMIFS(Aux_Totales!$N:$N, Aux_Totales!$F:$F, $F224, Aux_Totales!$A:$A,#REF!), 0))</f>
        <v/>
      </c>
      <c r="KSY224" s="19" t="str">
        <f>IF(KSY220 = "", "", IFERROR(KSY220 / SUMIFS(Aux_Totales!$N:$N, Aux_Totales!$F:$F, $F224, Aux_Totales!$A:$A,#REF!), 0))</f>
        <v/>
      </c>
      <c r="KSZ224" s="19" t="str">
        <f>IF(KSZ220 = "", "", IFERROR(KSZ220 / SUMIFS(Aux_Totales!$N:$N, Aux_Totales!$F:$F, $F224, Aux_Totales!$A:$A,#REF!), 0))</f>
        <v/>
      </c>
      <c r="KTA224" s="19" t="str">
        <f>IF(KTA220 = "", "", IFERROR(KTA220 / SUMIFS(Aux_Totales!$N:$N, Aux_Totales!$F:$F, $F224, Aux_Totales!$A:$A,#REF!), 0))</f>
        <v/>
      </c>
      <c r="KTB224" s="19" t="str">
        <f>IF(KTB220 = "", "", IFERROR(KTB220 / SUMIFS(Aux_Totales!$N:$N, Aux_Totales!$F:$F, $F224, Aux_Totales!$A:$A,#REF!), 0))</f>
        <v/>
      </c>
      <c r="KTC224" s="19" t="str">
        <f>IF(KTC220 = "", "", IFERROR(KTC220 / SUMIFS(Aux_Totales!$N:$N, Aux_Totales!$F:$F, $F224, Aux_Totales!$A:$A,#REF!), 0))</f>
        <v/>
      </c>
      <c r="KTD224" s="19" t="str">
        <f>IF(KTD220 = "", "", IFERROR(KTD220 / SUMIFS(Aux_Totales!$N:$N, Aux_Totales!$F:$F, $F224, Aux_Totales!$A:$A,#REF!), 0))</f>
        <v/>
      </c>
      <c r="KTE224" s="19" t="str">
        <f>IF(KTE220 = "", "", IFERROR(KTE220 / SUMIFS(Aux_Totales!$N:$N, Aux_Totales!$F:$F, $F224, Aux_Totales!$A:$A,#REF!), 0))</f>
        <v/>
      </c>
      <c r="KTF224" s="19" t="str">
        <f>IF(KTF220 = "", "", IFERROR(KTF220 / SUMIFS(Aux_Totales!$N:$N, Aux_Totales!$F:$F, $F224, Aux_Totales!$A:$A,#REF!), 0))</f>
        <v/>
      </c>
      <c r="KTG224" s="19" t="str">
        <f>IF(KTG220 = "", "", IFERROR(KTG220 / SUMIFS(Aux_Totales!$N:$N, Aux_Totales!$F:$F, $F224, Aux_Totales!$A:$A,#REF!), 0))</f>
        <v/>
      </c>
      <c r="KTH224" s="19" t="str">
        <f>IF(KTH220 = "", "", IFERROR(KTH220 / SUMIFS(Aux_Totales!$N:$N, Aux_Totales!$F:$F, $F224, Aux_Totales!$A:$A,#REF!), 0))</f>
        <v/>
      </c>
      <c r="KTI224" s="19" t="str">
        <f>IF(KTI220 = "", "", IFERROR(KTI220 / SUMIFS(Aux_Totales!$N:$N, Aux_Totales!$F:$F, $F224, Aux_Totales!$A:$A,#REF!), 0))</f>
        <v/>
      </c>
      <c r="KTJ224" s="19" t="str">
        <f>IF(KTJ220 = "", "", IFERROR(KTJ220 / SUMIFS(Aux_Totales!$N:$N, Aux_Totales!$F:$F, $F224, Aux_Totales!$A:$A,#REF!), 0))</f>
        <v/>
      </c>
      <c r="KTK224" s="19" t="str">
        <f>IF(KTK220 = "", "", IFERROR(KTK220 / SUMIFS(Aux_Totales!$N:$N, Aux_Totales!$F:$F, $F224, Aux_Totales!$A:$A,#REF!), 0))</f>
        <v/>
      </c>
      <c r="KTL224" s="19" t="str">
        <f>IF(KTL220 = "", "", IFERROR(KTL220 / SUMIFS(Aux_Totales!$N:$N, Aux_Totales!$F:$F, $F224, Aux_Totales!$A:$A,#REF!), 0))</f>
        <v/>
      </c>
      <c r="KTM224" s="19" t="str">
        <f>IF(KTM220 = "", "", IFERROR(KTM220 / SUMIFS(Aux_Totales!$N:$N, Aux_Totales!$F:$F, $F224, Aux_Totales!$A:$A,#REF!), 0))</f>
        <v/>
      </c>
      <c r="KTN224" s="19" t="str">
        <f>IF(KTN220 = "", "", IFERROR(KTN220 / SUMIFS(Aux_Totales!$N:$N, Aux_Totales!$F:$F, $F224, Aux_Totales!$A:$A,#REF!), 0))</f>
        <v/>
      </c>
      <c r="KTO224" s="19" t="str">
        <f>IF(KTO220 = "", "", IFERROR(KTO220 / SUMIFS(Aux_Totales!$N:$N, Aux_Totales!$F:$F, $F224, Aux_Totales!$A:$A,#REF!), 0))</f>
        <v/>
      </c>
      <c r="KTP224" s="19" t="str">
        <f>IF(KTP220 = "", "", IFERROR(KTP220 / SUMIFS(Aux_Totales!$N:$N, Aux_Totales!$F:$F, $F224, Aux_Totales!$A:$A,#REF!), 0))</f>
        <v/>
      </c>
      <c r="KTQ224" s="19" t="str">
        <f>IF(KTQ220 = "", "", IFERROR(KTQ220 / SUMIFS(Aux_Totales!$N:$N, Aux_Totales!$F:$F, $F224, Aux_Totales!$A:$A,#REF!), 0))</f>
        <v/>
      </c>
      <c r="KTR224" s="19" t="str">
        <f>IF(KTR220 = "", "", IFERROR(KTR220 / SUMIFS(Aux_Totales!$N:$N, Aux_Totales!$F:$F, $F224, Aux_Totales!$A:$A,#REF!), 0))</f>
        <v/>
      </c>
      <c r="KTS224" s="19" t="str">
        <f>IF(KTS220 = "", "", IFERROR(KTS220 / SUMIFS(Aux_Totales!$N:$N, Aux_Totales!$F:$F, $F224, Aux_Totales!$A:$A,#REF!), 0))</f>
        <v/>
      </c>
      <c r="KTT224" s="19" t="str">
        <f>IF(KTT220 = "", "", IFERROR(KTT220 / SUMIFS(Aux_Totales!$N:$N, Aux_Totales!$F:$F, $F224, Aux_Totales!$A:$A,#REF!), 0))</f>
        <v/>
      </c>
      <c r="KTU224" s="19" t="str">
        <f>IF(KTU220 = "", "", IFERROR(KTU220 / SUMIFS(Aux_Totales!$N:$N, Aux_Totales!$F:$F, $F224, Aux_Totales!$A:$A,#REF!), 0))</f>
        <v/>
      </c>
      <c r="KTV224" s="19" t="str">
        <f>IF(KTV220 = "", "", IFERROR(KTV220 / SUMIFS(Aux_Totales!$N:$N, Aux_Totales!$F:$F, $F224, Aux_Totales!$A:$A,#REF!), 0))</f>
        <v/>
      </c>
      <c r="KTW224" s="19" t="str">
        <f>IF(KTW220 = "", "", IFERROR(KTW220 / SUMIFS(Aux_Totales!$N:$N, Aux_Totales!$F:$F, $F224, Aux_Totales!$A:$A,#REF!), 0))</f>
        <v/>
      </c>
      <c r="KTX224" s="19" t="str">
        <f>IF(KTX220 = "", "", IFERROR(KTX220 / SUMIFS(Aux_Totales!$N:$N, Aux_Totales!$F:$F, $F224, Aux_Totales!$A:$A,#REF!), 0))</f>
        <v/>
      </c>
      <c r="KTY224" s="19" t="str">
        <f>IF(KTY220 = "", "", IFERROR(KTY220 / SUMIFS(Aux_Totales!$N:$N, Aux_Totales!$F:$F, $F224, Aux_Totales!$A:$A,#REF!), 0))</f>
        <v/>
      </c>
      <c r="KTZ224" s="19" t="str">
        <f>IF(KTZ220 = "", "", IFERROR(KTZ220 / SUMIFS(Aux_Totales!$N:$N, Aux_Totales!$F:$F, $F224, Aux_Totales!$A:$A,#REF!), 0))</f>
        <v/>
      </c>
      <c r="KUA224" s="19" t="str">
        <f>IF(KUA220 = "", "", IFERROR(KUA220 / SUMIFS(Aux_Totales!$N:$N, Aux_Totales!$F:$F, $F224, Aux_Totales!$A:$A,#REF!), 0))</f>
        <v/>
      </c>
      <c r="KUB224" s="19" t="str">
        <f>IF(KUB220 = "", "", IFERROR(KUB220 / SUMIFS(Aux_Totales!$N:$N, Aux_Totales!$F:$F, $F224, Aux_Totales!$A:$A,#REF!), 0))</f>
        <v/>
      </c>
      <c r="KUC224" s="19" t="str">
        <f>IF(KUC220 = "", "", IFERROR(KUC220 / SUMIFS(Aux_Totales!$N:$N, Aux_Totales!$F:$F, $F224, Aux_Totales!$A:$A,#REF!), 0))</f>
        <v/>
      </c>
      <c r="KUD224" s="19" t="str">
        <f>IF(KUD220 = "", "", IFERROR(KUD220 / SUMIFS(Aux_Totales!$N:$N, Aux_Totales!$F:$F, $F224, Aux_Totales!$A:$A,#REF!), 0))</f>
        <v/>
      </c>
      <c r="KUE224" s="19" t="str">
        <f>IF(KUE220 = "", "", IFERROR(KUE220 / SUMIFS(Aux_Totales!$N:$N, Aux_Totales!$F:$F, $F224, Aux_Totales!$A:$A,#REF!), 0))</f>
        <v/>
      </c>
      <c r="KUF224" s="19" t="str">
        <f>IF(KUF220 = "", "", IFERROR(KUF220 / SUMIFS(Aux_Totales!$N:$N, Aux_Totales!$F:$F, $F224, Aux_Totales!$A:$A,#REF!), 0))</f>
        <v/>
      </c>
      <c r="KUG224" s="19" t="str">
        <f>IF(KUG220 = "", "", IFERROR(KUG220 / SUMIFS(Aux_Totales!$N:$N, Aux_Totales!$F:$F, $F224, Aux_Totales!$A:$A,#REF!), 0))</f>
        <v/>
      </c>
      <c r="KUH224" s="19" t="str">
        <f>IF(KUH220 = "", "", IFERROR(KUH220 / SUMIFS(Aux_Totales!$N:$N, Aux_Totales!$F:$F, $F224, Aux_Totales!$A:$A,#REF!), 0))</f>
        <v/>
      </c>
      <c r="KUI224" s="19" t="str">
        <f>IF(KUI220 = "", "", IFERROR(KUI220 / SUMIFS(Aux_Totales!$N:$N, Aux_Totales!$F:$F, $F224, Aux_Totales!$A:$A,#REF!), 0))</f>
        <v/>
      </c>
      <c r="KUJ224" s="19" t="str">
        <f>IF(KUJ220 = "", "", IFERROR(KUJ220 / SUMIFS(Aux_Totales!$N:$N, Aux_Totales!$F:$F, $F224, Aux_Totales!$A:$A,#REF!), 0))</f>
        <v/>
      </c>
      <c r="KUK224" s="19" t="str">
        <f>IF(KUK220 = "", "", IFERROR(KUK220 / SUMIFS(Aux_Totales!$N:$N, Aux_Totales!$F:$F, $F224, Aux_Totales!$A:$A,#REF!), 0))</f>
        <v/>
      </c>
      <c r="KUL224" s="19" t="str">
        <f>IF(KUL220 = "", "", IFERROR(KUL220 / SUMIFS(Aux_Totales!$N:$N, Aux_Totales!$F:$F, $F224, Aux_Totales!$A:$A,#REF!), 0))</f>
        <v/>
      </c>
      <c r="KUM224" s="19" t="str">
        <f>IF(KUM220 = "", "", IFERROR(KUM220 / SUMIFS(Aux_Totales!$N:$N, Aux_Totales!$F:$F, $F224, Aux_Totales!$A:$A,#REF!), 0))</f>
        <v/>
      </c>
      <c r="KUN224" s="19" t="str">
        <f>IF(KUN220 = "", "", IFERROR(KUN220 / SUMIFS(Aux_Totales!$N:$N, Aux_Totales!$F:$F, $F224, Aux_Totales!$A:$A,#REF!), 0))</f>
        <v/>
      </c>
      <c r="KUO224" s="19" t="str">
        <f>IF(KUO220 = "", "", IFERROR(KUO220 / SUMIFS(Aux_Totales!$N:$N, Aux_Totales!$F:$F, $F224, Aux_Totales!$A:$A,#REF!), 0))</f>
        <v/>
      </c>
      <c r="KUP224" s="19" t="str">
        <f>IF(KUP220 = "", "", IFERROR(KUP220 / SUMIFS(Aux_Totales!$N:$N, Aux_Totales!$F:$F, $F224, Aux_Totales!$A:$A,#REF!), 0))</f>
        <v/>
      </c>
      <c r="KUQ224" s="19" t="str">
        <f>IF(KUQ220 = "", "", IFERROR(KUQ220 / SUMIFS(Aux_Totales!$N:$N, Aux_Totales!$F:$F, $F224, Aux_Totales!$A:$A,#REF!), 0))</f>
        <v/>
      </c>
      <c r="KUR224" s="19" t="str">
        <f>IF(KUR220 = "", "", IFERROR(KUR220 / SUMIFS(Aux_Totales!$N:$N, Aux_Totales!$F:$F, $F224, Aux_Totales!$A:$A,#REF!), 0))</f>
        <v/>
      </c>
      <c r="KUS224" s="19" t="str">
        <f>IF(KUS220 = "", "", IFERROR(KUS220 / SUMIFS(Aux_Totales!$N:$N, Aux_Totales!$F:$F, $F224, Aux_Totales!$A:$A,#REF!), 0))</f>
        <v/>
      </c>
      <c r="KUT224" s="19" t="str">
        <f>IF(KUT220 = "", "", IFERROR(KUT220 / SUMIFS(Aux_Totales!$N:$N, Aux_Totales!$F:$F, $F224, Aux_Totales!$A:$A,#REF!), 0))</f>
        <v/>
      </c>
      <c r="KUU224" s="19" t="str">
        <f>IF(KUU220 = "", "", IFERROR(KUU220 / SUMIFS(Aux_Totales!$N:$N, Aux_Totales!$F:$F, $F224, Aux_Totales!$A:$A,#REF!), 0))</f>
        <v/>
      </c>
      <c r="KUV224" s="19" t="str">
        <f>IF(KUV220 = "", "", IFERROR(KUV220 / SUMIFS(Aux_Totales!$N:$N, Aux_Totales!$F:$F, $F224, Aux_Totales!$A:$A,#REF!), 0))</f>
        <v/>
      </c>
      <c r="KUW224" s="19" t="str">
        <f>IF(KUW220 = "", "", IFERROR(KUW220 / SUMIFS(Aux_Totales!$N:$N, Aux_Totales!$F:$F, $F224, Aux_Totales!$A:$A,#REF!), 0))</f>
        <v/>
      </c>
      <c r="KUX224" s="19" t="str">
        <f>IF(KUX220 = "", "", IFERROR(KUX220 / SUMIFS(Aux_Totales!$N:$N, Aux_Totales!$F:$F, $F224, Aux_Totales!$A:$A,#REF!), 0))</f>
        <v/>
      </c>
      <c r="KUY224" s="19" t="str">
        <f>IF(KUY220 = "", "", IFERROR(KUY220 / SUMIFS(Aux_Totales!$N:$N, Aux_Totales!$F:$F, $F224, Aux_Totales!$A:$A,#REF!), 0))</f>
        <v/>
      </c>
      <c r="KUZ224" s="19" t="str">
        <f>IF(KUZ220 = "", "", IFERROR(KUZ220 / SUMIFS(Aux_Totales!$N:$N, Aux_Totales!$F:$F, $F224, Aux_Totales!$A:$A,#REF!), 0))</f>
        <v/>
      </c>
      <c r="KVA224" s="19" t="str">
        <f>IF(KVA220 = "", "", IFERROR(KVA220 / SUMIFS(Aux_Totales!$N:$N, Aux_Totales!$F:$F, $F224, Aux_Totales!$A:$A,#REF!), 0))</f>
        <v/>
      </c>
      <c r="KVB224" s="19" t="str">
        <f>IF(KVB220 = "", "", IFERROR(KVB220 / SUMIFS(Aux_Totales!$N:$N, Aux_Totales!$F:$F, $F224, Aux_Totales!$A:$A,#REF!), 0))</f>
        <v/>
      </c>
      <c r="KVC224" s="19" t="str">
        <f>IF(KVC220 = "", "", IFERROR(KVC220 / SUMIFS(Aux_Totales!$N:$N, Aux_Totales!$F:$F, $F224, Aux_Totales!$A:$A,#REF!), 0))</f>
        <v/>
      </c>
      <c r="KVD224" s="19" t="str">
        <f>IF(KVD220 = "", "", IFERROR(KVD220 / SUMIFS(Aux_Totales!$N:$N, Aux_Totales!$F:$F, $F224, Aux_Totales!$A:$A,#REF!), 0))</f>
        <v/>
      </c>
      <c r="KVE224" s="19" t="str">
        <f>IF(KVE220 = "", "", IFERROR(KVE220 / SUMIFS(Aux_Totales!$N:$N, Aux_Totales!$F:$F, $F224, Aux_Totales!$A:$A,#REF!), 0))</f>
        <v/>
      </c>
      <c r="KVF224" s="19" t="str">
        <f>IF(KVF220 = "", "", IFERROR(KVF220 / SUMIFS(Aux_Totales!$N:$N, Aux_Totales!$F:$F, $F224, Aux_Totales!$A:$A,#REF!), 0))</f>
        <v/>
      </c>
      <c r="KVG224" s="19" t="str">
        <f>IF(KVG220 = "", "", IFERROR(KVG220 / SUMIFS(Aux_Totales!$N:$N, Aux_Totales!$F:$F, $F224, Aux_Totales!$A:$A,#REF!), 0))</f>
        <v/>
      </c>
      <c r="KVH224" s="19" t="str">
        <f>IF(KVH220 = "", "", IFERROR(KVH220 / SUMIFS(Aux_Totales!$N:$N, Aux_Totales!$F:$F, $F224, Aux_Totales!$A:$A,#REF!), 0))</f>
        <v/>
      </c>
      <c r="KVI224" s="19" t="str">
        <f>IF(KVI220 = "", "", IFERROR(KVI220 / SUMIFS(Aux_Totales!$N:$N, Aux_Totales!$F:$F, $F224, Aux_Totales!$A:$A,#REF!), 0))</f>
        <v/>
      </c>
      <c r="KVJ224" s="19" t="str">
        <f>IF(KVJ220 = "", "", IFERROR(KVJ220 / SUMIFS(Aux_Totales!$N:$N, Aux_Totales!$F:$F, $F224, Aux_Totales!$A:$A,#REF!), 0))</f>
        <v/>
      </c>
      <c r="KVK224" s="19" t="str">
        <f>IF(KVK220 = "", "", IFERROR(KVK220 / SUMIFS(Aux_Totales!$N:$N, Aux_Totales!$F:$F, $F224, Aux_Totales!$A:$A,#REF!), 0))</f>
        <v/>
      </c>
      <c r="KVL224" s="19" t="str">
        <f>IF(KVL220 = "", "", IFERROR(KVL220 / SUMIFS(Aux_Totales!$N:$N, Aux_Totales!$F:$F, $F224, Aux_Totales!$A:$A,#REF!), 0))</f>
        <v/>
      </c>
      <c r="KVM224" s="19" t="str">
        <f>IF(KVM220 = "", "", IFERROR(KVM220 / SUMIFS(Aux_Totales!$N:$N, Aux_Totales!$F:$F, $F224, Aux_Totales!$A:$A,#REF!), 0))</f>
        <v/>
      </c>
      <c r="KVN224" s="19" t="str">
        <f>IF(KVN220 = "", "", IFERROR(KVN220 / SUMIFS(Aux_Totales!$N:$N, Aux_Totales!$F:$F, $F224, Aux_Totales!$A:$A,#REF!), 0))</f>
        <v/>
      </c>
      <c r="KVO224" s="19" t="str">
        <f>IF(KVO220 = "", "", IFERROR(KVO220 / SUMIFS(Aux_Totales!$N:$N, Aux_Totales!$F:$F, $F224, Aux_Totales!$A:$A,#REF!), 0))</f>
        <v/>
      </c>
      <c r="KVP224" s="19" t="str">
        <f>IF(KVP220 = "", "", IFERROR(KVP220 / SUMIFS(Aux_Totales!$N:$N, Aux_Totales!$F:$F, $F224, Aux_Totales!$A:$A,#REF!), 0))</f>
        <v/>
      </c>
      <c r="KVQ224" s="19" t="str">
        <f>IF(KVQ220 = "", "", IFERROR(KVQ220 / SUMIFS(Aux_Totales!$N:$N, Aux_Totales!$F:$F, $F224, Aux_Totales!$A:$A,#REF!), 0))</f>
        <v/>
      </c>
      <c r="KVR224" s="19" t="str">
        <f>IF(KVR220 = "", "", IFERROR(KVR220 / SUMIFS(Aux_Totales!$N:$N, Aux_Totales!$F:$F, $F224, Aux_Totales!$A:$A,#REF!), 0))</f>
        <v/>
      </c>
      <c r="KVS224" s="19" t="str">
        <f>IF(KVS220 = "", "", IFERROR(KVS220 / SUMIFS(Aux_Totales!$N:$N, Aux_Totales!$F:$F, $F224, Aux_Totales!$A:$A,#REF!), 0))</f>
        <v/>
      </c>
      <c r="KVT224" s="19" t="str">
        <f>IF(KVT220 = "", "", IFERROR(KVT220 / SUMIFS(Aux_Totales!$N:$N, Aux_Totales!$F:$F, $F224, Aux_Totales!$A:$A,#REF!), 0))</f>
        <v/>
      </c>
      <c r="KVU224" s="19" t="str">
        <f>IF(KVU220 = "", "", IFERROR(KVU220 / SUMIFS(Aux_Totales!$N:$N, Aux_Totales!$F:$F, $F224, Aux_Totales!$A:$A,#REF!), 0))</f>
        <v/>
      </c>
      <c r="KVV224" s="19" t="str">
        <f>IF(KVV220 = "", "", IFERROR(KVV220 / SUMIFS(Aux_Totales!$N:$N, Aux_Totales!$F:$F, $F224, Aux_Totales!$A:$A,#REF!), 0))</f>
        <v/>
      </c>
      <c r="KVW224" s="19" t="str">
        <f>IF(KVW220 = "", "", IFERROR(KVW220 / SUMIFS(Aux_Totales!$N:$N, Aux_Totales!$F:$F, $F224, Aux_Totales!$A:$A,#REF!), 0))</f>
        <v/>
      </c>
      <c r="KVX224" s="19" t="str">
        <f>IF(KVX220 = "", "", IFERROR(KVX220 / SUMIFS(Aux_Totales!$N:$N, Aux_Totales!$F:$F, $F224, Aux_Totales!$A:$A,#REF!), 0))</f>
        <v/>
      </c>
      <c r="KVY224" s="19" t="str">
        <f>IF(KVY220 = "", "", IFERROR(KVY220 / SUMIFS(Aux_Totales!$N:$N, Aux_Totales!$F:$F, $F224, Aux_Totales!$A:$A,#REF!), 0))</f>
        <v/>
      </c>
      <c r="KVZ224" s="19" t="str">
        <f>IF(KVZ220 = "", "", IFERROR(KVZ220 / SUMIFS(Aux_Totales!$N:$N, Aux_Totales!$F:$F, $F224, Aux_Totales!$A:$A,#REF!), 0))</f>
        <v/>
      </c>
      <c r="KWA224" s="19" t="str">
        <f>IF(KWA220 = "", "", IFERROR(KWA220 / SUMIFS(Aux_Totales!$N:$N, Aux_Totales!$F:$F, $F224, Aux_Totales!$A:$A,#REF!), 0))</f>
        <v/>
      </c>
      <c r="KWB224" s="19" t="str">
        <f>IF(KWB220 = "", "", IFERROR(KWB220 / SUMIFS(Aux_Totales!$N:$N, Aux_Totales!$F:$F, $F224, Aux_Totales!$A:$A,#REF!), 0))</f>
        <v/>
      </c>
      <c r="KWC224" s="19" t="str">
        <f>IF(KWC220 = "", "", IFERROR(KWC220 / SUMIFS(Aux_Totales!$N:$N, Aux_Totales!$F:$F, $F224, Aux_Totales!$A:$A,#REF!), 0))</f>
        <v/>
      </c>
      <c r="KWD224" s="19" t="str">
        <f>IF(KWD220 = "", "", IFERROR(KWD220 / SUMIFS(Aux_Totales!$N:$N, Aux_Totales!$F:$F, $F224, Aux_Totales!$A:$A,#REF!), 0))</f>
        <v/>
      </c>
      <c r="KWE224" s="19" t="str">
        <f>IF(KWE220 = "", "", IFERROR(KWE220 / SUMIFS(Aux_Totales!$N:$N, Aux_Totales!$F:$F, $F224, Aux_Totales!$A:$A,#REF!), 0))</f>
        <v/>
      </c>
      <c r="KWF224" s="19" t="str">
        <f>IF(KWF220 = "", "", IFERROR(KWF220 / SUMIFS(Aux_Totales!$N:$N, Aux_Totales!$F:$F, $F224, Aux_Totales!$A:$A,#REF!), 0))</f>
        <v/>
      </c>
      <c r="KWG224" s="19" t="str">
        <f>IF(KWG220 = "", "", IFERROR(KWG220 / SUMIFS(Aux_Totales!$N:$N, Aux_Totales!$F:$F, $F224, Aux_Totales!$A:$A,#REF!), 0))</f>
        <v/>
      </c>
      <c r="KWH224" s="19" t="str">
        <f>IF(KWH220 = "", "", IFERROR(KWH220 / SUMIFS(Aux_Totales!$N:$N, Aux_Totales!$F:$F, $F224, Aux_Totales!$A:$A,#REF!), 0))</f>
        <v/>
      </c>
      <c r="KWI224" s="19" t="str">
        <f>IF(KWI220 = "", "", IFERROR(KWI220 / SUMIFS(Aux_Totales!$N:$N, Aux_Totales!$F:$F, $F224, Aux_Totales!$A:$A,#REF!), 0))</f>
        <v/>
      </c>
      <c r="KWJ224" s="19" t="str">
        <f>IF(KWJ220 = "", "", IFERROR(KWJ220 / SUMIFS(Aux_Totales!$N:$N, Aux_Totales!$F:$F, $F224, Aux_Totales!$A:$A,#REF!), 0))</f>
        <v/>
      </c>
      <c r="KWK224" s="19" t="str">
        <f>IF(KWK220 = "", "", IFERROR(KWK220 / SUMIFS(Aux_Totales!$N:$N, Aux_Totales!$F:$F, $F224, Aux_Totales!$A:$A,#REF!), 0))</f>
        <v/>
      </c>
      <c r="KWL224" s="19" t="str">
        <f>IF(KWL220 = "", "", IFERROR(KWL220 / SUMIFS(Aux_Totales!$N:$N, Aux_Totales!$F:$F, $F224, Aux_Totales!$A:$A,#REF!), 0))</f>
        <v/>
      </c>
      <c r="KWM224" s="19" t="str">
        <f>IF(KWM220 = "", "", IFERROR(KWM220 / SUMIFS(Aux_Totales!$N:$N, Aux_Totales!$F:$F, $F224, Aux_Totales!$A:$A,#REF!), 0))</f>
        <v/>
      </c>
      <c r="KWN224" s="19" t="str">
        <f>IF(KWN220 = "", "", IFERROR(KWN220 / SUMIFS(Aux_Totales!$N:$N, Aux_Totales!$F:$F, $F224, Aux_Totales!$A:$A,#REF!), 0))</f>
        <v/>
      </c>
      <c r="KWO224" s="19" t="str">
        <f>IF(KWO220 = "", "", IFERROR(KWO220 / SUMIFS(Aux_Totales!$N:$N, Aux_Totales!$F:$F, $F224, Aux_Totales!$A:$A,#REF!), 0))</f>
        <v/>
      </c>
      <c r="KWP224" s="19" t="str">
        <f>IF(KWP220 = "", "", IFERROR(KWP220 / SUMIFS(Aux_Totales!$N:$N, Aux_Totales!$F:$F, $F224, Aux_Totales!$A:$A,#REF!), 0))</f>
        <v/>
      </c>
      <c r="KWQ224" s="19" t="str">
        <f>IF(KWQ220 = "", "", IFERROR(KWQ220 / SUMIFS(Aux_Totales!$N:$N, Aux_Totales!$F:$F, $F224, Aux_Totales!$A:$A,#REF!), 0))</f>
        <v/>
      </c>
      <c r="KWR224" s="19" t="str">
        <f>IF(KWR220 = "", "", IFERROR(KWR220 / SUMIFS(Aux_Totales!$N:$N, Aux_Totales!$F:$F, $F224, Aux_Totales!$A:$A,#REF!), 0))</f>
        <v/>
      </c>
      <c r="KWS224" s="19" t="str">
        <f>IF(KWS220 = "", "", IFERROR(KWS220 / SUMIFS(Aux_Totales!$N:$N, Aux_Totales!$F:$F, $F224, Aux_Totales!$A:$A,#REF!), 0))</f>
        <v/>
      </c>
      <c r="KWT224" s="19" t="str">
        <f>IF(KWT220 = "", "", IFERROR(KWT220 / SUMIFS(Aux_Totales!$N:$N, Aux_Totales!$F:$F, $F224, Aux_Totales!$A:$A,#REF!), 0))</f>
        <v/>
      </c>
      <c r="KWU224" s="19" t="str">
        <f>IF(KWU220 = "", "", IFERROR(KWU220 / SUMIFS(Aux_Totales!$N:$N, Aux_Totales!$F:$F, $F224, Aux_Totales!$A:$A,#REF!), 0))</f>
        <v/>
      </c>
      <c r="KWV224" s="19" t="str">
        <f>IF(KWV220 = "", "", IFERROR(KWV220 / SUMIFS(Aux_Totales!$N:$N, Aux_Totales!$F:$F, $F224, Aux_Totales!$A:$A,#REF!), 0))</f>
        <v/>
      </c>
      <c r="KWW224" s="19" t="str">
        <f>IF(KWW220 = "", "", IFERROR(KWW220 / SUMIFS(Aux_Totales!$N:$N, Aux_Totales!$F:$F, $F224, Aux_Totales!$A:$A,#REF!), 0))</f>
        <v/>
      </c>
      <c r="KWX224" s="19" t="str">
        <f>IF(KWX220 = "", "", IFERROR(KWX220 / SUMIFS(Aux_Totales!$N:$N, Aux_Totales!$F:$F, $F224, Aux_Totales!$A:$A,#REF!), 0))</f>
        <v/>
      </c>
      <c r="KWY224" s="19" t="str">
        <f>IF(KWY220 = "", "", IFERROR(KWY220 / SUMIFS(Aux_Totales!$N:$N, Aux_Totales!$F:$F, $F224, Aux_Totales!$A:$A,#REF!), 0))</f>
        <v/>
      </c>
      <c r="KWZ224" s="19" t="str">
        <f>IF(KWZ220 = "", "", IFERROR(KWZ220 / SUMIFS(Aux_Totales!$N:$N, Aux_Totales!$F:$F, $F224, Aux_Totales!$A:$A,#REF!), 0))</f>
        <v/>
      </c>
      <c r="KXA224" s="19" t="str">
        <f>IF(KXA220 = "", "", IFERROR(KXA220 / SUMIFS(Aux_Totales!$N:$N, Aux_Totales!$F:$F, $F224, Aux_Totales!$A:$A,#REF!), 0))</f>
        <v/>
      </c>
      <c r="KXB224" s="19" t="str">
        <f>IF(KXB220 = "", "", IFERROR(KXB220 / SUMIFS(Aux_Totales!$N:$N, Aux_Totales!$F:$F, $F224, Aux_Totales!$A:$A,#REF!), 0))</f>
        <v/>
      </c>
      <c r="KXC224" s="19" t="str">
        <f>IF(KXC220 = "", "", IFERROR(KXC220 / SUMIFS(Aux_Totales!$N:$N, Aux_Totales!$F:$F, $F224, Aux_Totales!$A:$A,#REF!), 0))</f>
        <v/>
      </c>
      <c r="KXD224" s="19" t="str">
        <f>IF(KXD220 = "", "", IFERROR(KXD220 / SUMIFS(Aux_Totales!$N:$N, Aux_Totales!$F:$F, $F224, Aux_Totales!$A:$A,#REF!), 0))</f>
        <v/>
      </c>
      <c r="KXE224" s="19" t="str">
        <f>IF(KXE220 = "", "", IFERROR(KXE220 / SUMIFS(Aux_Totales!$N:$N, Aux_Totales!$F:$F, $F224, Aux_Totales!$A:$A,#REF!), 0))</f>
        <v/>
      </c>
      <c r="KXF224" s="19" t="str">
        <f>IF(KXF220 = "", "", IFERROR(KXF220 / SUMIFS(Aux_Totales!$N:$N, Aux_Totales!$F:$F, $F224, Aux_Totales!$A:$A,#REF!), 0))</f>
        <v/>
      </c>
      <c r="KXG224" s="19" t="str">
        <f>IF(KXG220 = "", "", IFERROR(KXG220 / SUMIFS(Aux_Totales!$N:$N, Aux_Totales!$F:$F, $F224, Aux_Totales!$A:$A,#REF!), 0))</f>
        <v/>
      </c>
      <c r="KXH224" s="19" t="str">
        <f>IF(KXH220 = "", "", IFERROR(KXH220 / SUMIFS(Aux_Totales!$N:$N, Aux_Totales!$F:$F, $F224, Aux_Totales!$A:$A,#REF!), 0))</f>
        <v/>
      </c>
      <c r="KXI224" s="19" t="str">
        <f>IF(KXI220 = "", "", IFERROR(KXI220 / SUMIFS(Aux_Totales!$N:$N, Aux_Totales!$F:$F, $F224, Aux_Totales!$A:$A,#REF!), 0))</f>
        <v/>
      </c>
      <c r="KXJ224" s="19" t="str">
        <f>IF(KXJ220 = "", "", IFERROR(KXJ220 / SUMIFS(Aux_Totales!$N:$N, Aux_Totales!$F:$F, $F224, Aux_Totales!$A:$A,#REF!), 0))</f>
        <v/>
      </c>
      <c r="KXK224" s="19" t="str">
        <f>IF(KXK220 = "", "", IFERROR(KXK220 / SUMIFS(Aux_Totales!$N:$N, Aux_Totales!$F:$F, $F224, Aux_Totales!$A:$A,#REF!), 0))</f>
        <v/>
      </c>
      <c r="KXL224" s="19" t="str">
        <f>IF(KXL220 = "", "", IFERROR(KXL220 / SUMIFS(Aux_Totales!$N:$N, Aux_Totales!$F:$F, $F224, Aux_Totales!$A:$A,#REF!), 0))</f>
        <v/>
      </c>
      <c r="KXM224" s="19" t="str">
        <f>IF(KXM220 = "", "", IFERROR(KXM220 / SUMIFS(Aux_Totales!$N:$N, Aux_Totales!$F:$F, $F224, Aux_Totales!$A:$A,#REF!), 0))</f>
        <v/>
      </c>
      <c r="KXN224" s="19" t="str">
        <f>IF(KXN220 = "", "", IFERROR(KXN220 / SUMIFS(Aux_Totales!$N:$N, Aux_Totales!$F:$F, $F224, Aux_Totales!$A:$A,#REF!), 0))</f>
        <v/>
      </c>
      <c r="KXO224" s="19" t="str">
        <f>IF(KXO220 = "", "", IFERROR(KXO220 / SUMIFS(Aux_Totales!$N:$N, Aux_Totales!$F:$F, $F224, Aux_Totales!$A:$A,#REF!), 0))</f>
        <v/>
      </c>
      <c r="KXP224" s="19" t="str">
        <f>IF(KXP220 = "", "", IFERROR(KXP220 / SUMIFS(Aux_Totales!$N:$N, Aux_Totales!$F:$F, $F224, Aux_Totales!$A:$A,#REF!), 0))</f>
        <v/>
      </c>
      <c r="KXQ224" s="19" t="str">
        <f>IF(KXQ220 = "", "", IFERROR(KXQ220 / SUMIFS(Aux_Totales!$N:$N, Aux_Totales!$F:$F, $F224, Aux_Totales!$A:$A,#REF!), 0))</f>
        <v/>
      </c>
      <c r="KXR224" s="19" t="str">
        <f>IF(KXR220 = "", "", IFERROR(KXR220 / SUMIFS(Aux_Totales!$N:$N, Aux_Totales!$F:$F, $F224, Aux_Totales!$A:$A,#REF!), 0))</f>
        <v/>
      </c>
      <c r="KXS224" s="19" t="str">
        <f>IF(KXS220 = "", "", IFERROR(KXS220 / SUMIFS(Aux_Totales!$N:$N, Aux_Totales!$F:$F, $F224, Aux_Totales!$A:$A,#REF!), 0))</f>
        <v/>
      </c>
      <c r="KXT224" s="19" t="str">
        <f>IF(KXT220 = "", "", IFERROR(KXT220 / SUMIFS(Aux_Totales!$N:$N, Aux_Totales!$F:$F, $F224, Aux_Totales!$A:$A,#REF!), 0))</f>
        <v/>
      </c>
      <c r="KXU224" s="19" t="str">
        <f>IF(KXU220 = "", "", IFERROR(KXU220 / SUMIFS(Aux_Totales!$N:$N, Aux_Totales!$F:$F, $F224, Aux_Totales!$A:$A,#REF!), 0))</f>
        <v/>
      </c>
      <c r="KXV224" s="19" t="str">
        <f>IF(KXV220 = "", "", IFERROR(KXV220 / SUMIFS(Aux_Totales!$N:$N, Aux_Totales!$F:$F, $F224, Aux_Totales!$A:$A,#REF!), 0))</f>
        <v/>
      </c>
      <c r="KXW224" s="19" t="str">
        <f>IF(KXW220 = "", "", IFERROR(KXW220 / SUMIFS(Aux_Totales!$N:$N, Aux_Totales!$F:$F, $F224, Aux_Totales!$A:$A,#REF!), 0))</f>
        <v/>
      </c>
      <c r="KXX224" s="19" t="str">
        <f>IF(KXX220 = "", "", IFERROR(KXX220 / SUMIFS(Aux_Totales!$N:$N, Aux_Totales!$F:$F, $F224, Aux_Totales!$A:$A,#REF!), 0))</f>
        <v/>
      </c>
      <c r="KXY224" s="19" t="str">
        <f>IF(KXY220 = "", "", IFERROR(KXY220 / SUMIFS(Aux_Totales!$N:$N, Aux_Totales!$F:$F, $F224, Aux_Totales!$A:$A,#REF!), 0))</f>
        <v/>
      </c>
      <c r="KXZ224" s="19" t="str">
        <f>IF(KXZ220 = "", "", IFERROR(KXZ220 / SUMIFS(Aux_Totales!$N:$N, Aux_Totales!$F:$F, $F224, Aux_Totales!$A:$A,#REF!), 0))</f>
        <v/>
      </c>
      <c r="KYA224" s="19" t="str">
        <f>IF(KYA220 = "", "", IFERROR(KYA220 / SUMIFS(Aux_Totales!$N:$N, Aux_Totales!$F:$F, $F224, Aux_Totales!$A:$A,#REF!), 0))</f>
        <v/>
      </c>
      <c r="KYB224" s="19" t="str">
        <f>IF(KYB220 = "", "", IFERROR(KYB220 / SUMIFS(Aux_Totales!$N:$N, Aux_Totales!$F:$F, $F224, Aux_Totales!$A:$A,#REF!), 0))</f>
        <v/>
      </c>
      <c r="KYC224" s="19" t="str">
        <f>IF(KYC220 = "", "", IFERROR(KYC220 / SUMIFS(Aux_Totales!$N:$N, Aux_Totales!$F:$F, $F224, Aux_Totales!$A:$A,#REF!), 0))</f>
        <v/>
      </c>
      <c r="KYD224" s="19" t="str">
        <f>IF(KYD220 = "", "", IFERROR(KYD220 / SUMIFS(Aux_Totales!$N:$N, Aux_Totales!$F:$F, $F224, Aux_Totales!$A:$A,#REF!), 0))</f>
        <v/>
      </c>
      <c r="KYE224" s="19" t="str">
        <f>IF(KYE220 = "", "", IFERROR(KYE220 / SUMIFS(Aux_Totales!$N:$N, Aux_Totales!$F:$F, $F224, Aux_Totales!$A:$A,#REF!), 0))</f>
        <v/>
      </c>
      <c r="KYF224" s="19" t="str">
        <f>IF(KYF220 = "", "", IFERROR(KYF220 / SUMIFS(Aux_Totales!$N:$N, Aux_Totales!$F:$F, $F224, Aux_Totales!$A:$A,#REF!), 0))</f>
        <v/>
      </c>
      <c r="KYG224" s="19" t="str">
        <f>IF(KYG220 = "", "", IFERROR(KYG220 / SUMIFS(Aux_Totales!$N:$N, Aux_Totales!$F:$F, $F224, Aux_Totales!$A:$A,#REF!), 0))</f>
        <v/>
      </c>
      <c r="KYH224" s="19" t="str">
        <f>IF(KYH220 = "", "", IFERROR(KYH220 / SUMIFS(Aux_Totales!$N:$N, Aux_Totales!$F:$F, $F224, Aux_Totales!$A:$A,#REF!), 0))</f>
        <v/>
      </c>
      <c r="KYI224" s="19" t="str">
        <f>IF(KYI220 = "", "", IFERROR(KYI220 / SUMIFS(Aux_Totales!$N:$N, Aux_Totales!$F:$F, $F224, Aux_Totales!$A:$A,#REF!), 0))</f>
        <v/>
      </c>
      <c r="KYJ224" s="19" t="str">
        <f>IF(KYJ220 = "", "", IFERROR(KYJ220 / SUMIFS(Aux_Totales!$N:$N, Aux_Totales!$F:$F, $F224, Aux_Totales!$A:$A,#REF!), 0))</f>
        <v/>
      </c>
      <c r="KYK224" s="19" t="str">
        <f>IF(KYK220 = "", "", IFERROR(KYK220 / SUMIFS(Aux_Totales!$N:$N, Aux_Totales!$F:$F, $F224, Aux_Totales!$A:$A,#REF!), 0))</f>
        <v/>
      </c>
      <c r="KYL224" s="19" t="str">
        <f>IF(KYL220 = "", "", IFERROR(KYL220 / SUMIFS(Aux_Totales!$N:$N, Aux_Totales!$F:$F, $F224, Aux_Totales!$A:$A,#REF!), 0))</f>
        <v/>
      </c>
      <c r="KYM224" s="19" t="str">
        <f>IF(KYM220 = "", "", IFERROR(KYM220 / SUMIFS(Aux_Totales!$N:$N, Aux_Totales!$F:$F, $F224, Aux_Totales!$A:$A,#REF!), 0))</f>
        <v/>
      </c>
      <c r="KYN224" s="19" t="str">
        <f>IF(KYN220 = "", "", IFERROR(KYN220 / SUMIFS(Aux_Totales!$N:$N, Aux_Totales!$F:$F, $F224, Aux_Totales!$A:$A,#REF!), 0))</f>
        <v/>
      </c>
      <c r="KYO224" s="19" t="str">
        <f>IF(KYO220 = "", "", IFERROR(KYO220 / SUMIFS(Aux_Totales!$N:$N, Aux_Totales!$F:$F, $F224, Aux_Totales!$A:$A,#REF!), 0))</f>
        <v/>
      </c>
      <c r="KYP224" s="19" t="str">
        <f>IF(KYP220 = "", "", IFERROR(KYP220 / SUMIFS(Aux_Totales!$N:$N, Aux_Totales!$F:$F, $F224, Aux_Totales!$A:$A,#REF!), 0))</f>
        <v/>
      </c>
      <c r="KYQ224" s="19" t="str">
        <f>IF(KYQ220 = "", "", IFERROR(KYQ220 / SUMIFS(Aux_Totales!$N:$N, Aux_Totales!$F:$F, $F224, Aux_Totales!$A:$A,#REF!), 0))</f>
        <v/>
      </c>
      <c r="KYR224" s="19" t="str">
        <f>IF(KYR220 = "", "", IFERROR(KYR220 / SUMIFS(Aux_Totales!$N:$N, Aux_Totales!$F:$F, $F224, Aux_Totales!$A:$A,#REF!), 0))</f>
        <v/>
      </c>
      <c r="KYS224" s="19" t="str">
        <f>IF(KYS220 = "", "", IFERROR(KYS220 / SUMIFS(Aux_Totales!$N:$N, Aux_Totales!$F:$F, $F224, Aux_Totales!$A:$A,#REF!), 0))</f>
        <v/>
      </c>
      <c r="KYT224" s="19" t="str">
        <f>IF(KYT220 = "", "", IFERROR(KYT220 / SUMIFS(Aux_Totales!$N:$N, Aux_Totales!$F:$F, $F224, Aux_Totales!$A:$A,#REF!), 0))</f>
        <v/>
      </c>
      <c r="KYU224" s="19" t="str">
        <f>IF(KYU220 = "", "", IFERROR(KYU220 / SUMIFS(Aux_Totales!$N:$N, Aux_Totales!$F:$F, $F224, Aux_Totales!$A:$A,#REF!), 0))</f>
        <v/>
      </c>
      <c r="KYV224" s="19" t="str">
        <f>IF(KYV220 = "", "", IFERROR(KYV220 / SUMIFS(Aux_Totales!$N:$N, Aux_Totales!$F:$F, $F224, Aux_Totales!$A:$A,#REF!), 0))</f>
        <v/>
      </c>
      <c r="KYW224" s="19" t="str">
        <f>IF(KYW220 = "", "", IFERROR(KYW220 / SUMIFS(Aux_Totales!$N:$N, Aux_Totales!$F:$F, $F224, Aux_Totales!$A:$A,#REF!), 0))</f>
        <v/>
      </c>
      <c r="KYX224" s="19" t="str">
        <f>IF(KYX220 = "", "", IFERROR(KYX220 / SUMIFS(Aux_Totales!$N:$N, Aux_Totales!$F:$F, $F224, Aux_Totales!$A:$A,#REF!), 0))</f>
        <v/>
      </c>
      <c r="KYY224" s="19" t="str">
        <f>IF(KYY220 = "", "", IFERROR(KYY220 / SUMIFS(Aux_Totales!$N:$N, Aux_Totales!$F:$F, $F224, Aux_Totales!$A:$A,#REF!), 0))</f>
        <v/>
      </c>
      <c r="KYZ224" s="19" t="str">
        <f>IF(KYZ220 = "", "", IFERROR(KYZ220 / SUMIFS(Aux_Totales!$N:$N, Aux_Totales!$F:$F, $F224, Aux_Totales!$A:$A,#REF!), 0))</f>
        <v/>
      </c>
      <c r="KZA224" s="19" t="str">
        <f>IF(KZA220 = "", "", IFERROR(KZA220 / SUMIFS(Aux_Totales!$N:$N, Aux_Totales!$F:$F, $F224, Aux_Totales!$A:$A,#REF!), 0))</f>
        <v/>
      </c>
      <c r="KZB224" s="19" t="str">
        <f>IF(KZB220 = "", "", IFERROR(KZB220 / SUMIFS(Aux_Totales!$N:$N, Aux_Totales!$F:$F, $F224, Aux_Totales!$A:$A,#REF!), 0))</f>
        <v/>
      </c>
      <c r="KZC224" s="19" t="str">
        <f>IF(KZC220 = "", "", IFERROR(KZC220 / SUMIFS(Aux_Totales!$N:$N, Aux_Totales!$F:$F, $F224, Aux_Totales!$A:$A,#REF!), 0))</f>
        <v/>
      </c>
      <c r="KZD224" s="19" t="str">
        <f>IF(KZD220 = "", "", IFERROR(KZD220 / SUMIFS(Aux_Totales!$N:$N, Aux_Totales!$F:$F, $F224, Aux_Totales!$A:$A,#REF!), 0))</f>
        <v/>
      </c>
      <c r="KZE224" s="19" t="str">
        <f>IF(KZE220 = "", "", IFERROR(KZE220 / SUMIFS(Aux_Totales!$N:$N, Aux_Totales!$F:$F, $F224, Aux_Totales!$A:$A,#REF!), 0))</f>
        <v/>
      </c>
      <c r="KZF224" s="19" t="str">
        <f>IF(KZF220 = "", "", IFERROR(KZF220 / SUMIFS(Aux_Totales!$N:$N, Aux_Totales!$F:$F, $F224, Aux_Totales!$A:$A,#REF!), 0))</f>
        <v/>
      </c>
      <c r="KZG224" s="19" t="str">
        <f>IF(KZG220 = "", "", IFERROR(KZG220 / SUMIFS(Aux_Totales!$N:$N, Aux_Totales!$F:$F, $F224, Aux_Totales!$A:$A,#REF!), 0))</f>
        <v/>
      </c>
      <c r="KZH224" s="19" t="str">
        <f>IF(KZH220 = "", "", IFERROR(KZH220 / SUMIFS(Aux_Totales!$N:$N, Aux_Totales!$F:$F, $F224, Aux_Totales!$A:$A,#REF!), 0))</f>
        <v/>
      </c>
      <c r="KZI224" s="19" t="str">
        <f>IF(KZI220 = "", "", IFERROR(KZI220 / SUMIFS(Aux_Totales!$N:$N, Aux_Totales!$F:$F, $F224, Aux_Totales!$A:$A,#REF!), 0))</f>
        <v/>
      </c>
      <c r="KZJ224" s="19" t="str">
        <f>IF(KZJ220 = "", "", IFERROR(KZJ220 / SUMIFS(Aux_Totales!$N:$N, Aux_Totales!$F:$F, $F224, Aux_Totales!$A:$A,#REF!), 0))</f>
        <v/>
      </c>
      <c r="KZK224" s="19" t="str">
        <f>IF(KZK220 = "", "", IFERROR(KZK220 / SUMIFS(Aux_Totales!$N:$N, Aux_Totales!$F:$F, $F224, Aux_Totales!$A:$A,#REF!), 0))</f>
        <v/>
      </c>
      <c r="KZL224" s="19" t="str">
        <f>IF(KZL220 = "", "", IFERROR(KZL220 / SUMIFS(Aux_Totales!$N:$N, Aux_Totales!$F:$F, $F224, Aux_Totales!$A:$A,#REF!), 0))</f>
        <v/>
      </c>
      <c r="KZM224" s="19" t="str">
        <f>IF(KZM220 = "", "", IFERROR(KZM220 / SUMIFS(Aux_Totales!$N:$N, Aux_Totales!$F:$F, $F224, Aux_Totales!$A:$A,#REF!), 0))</f>
        <v/>
      </c>
      <c r="KZN224" s="19" t="str">
        <f>IF(KZN220 = "", "", IFERROR(KZN220 / SUMIFS(Aux_Totales!$N:$N, Aux_Totales!$F:$F, $F224, Aux_Totales!$A:$A,#REF!), 0))</f>
        <v/>
      </c>
      <c r="KZO224" s="19" t="str">
        <f>IF(KZO220 = "", "", IFERROR(KZO220 / SUMIFS(Aux_Totales!$N:$N, Aux_Totales!$F:$F, $F224, Aux_Totales!$A:$A,#REF!), 0))</f>
        <v/>
      </c>
      <c r="KZP224" s="19" t="str">
        <f>IF(KZP220 = "", "", IFERROR(KZP220 / SUMIFS(Aux_Totales!$N:$N, Aux_Totales!$F:$F, $F224, Aux_Totales!$A:$A,#REF!), 0))</f>
        <v/>
      </c>
      <c r="KZQ224" s="19" t="str">
        <f>IF(KZQ220 = "", "", IFERROR(KZQ220 / SUMIFS(Aux_Totales!$N:$N, Aux_Totales!$F:$F, $F224, Aux_Totales!$A:$A,#REF!), 0))</f>
        <v/>
      </c>
      <c r="KZR224" s="19" t="str">
        <f>IF(KZR220 = "", "", IFERROR(KZR220 / SUMIFS(Aux_Totales!$N:$N, Aux_Totales!$F:$F, $F224, Aux_Totales!$A:$A,#REF!), 0))</f>
        <v/>
      </c>
      <c r="KZS224" s="19" t="str">
        <f>IF(KZS220 = "", "", IFERROR(KZS220 / SUMIFS(Aux_Totales!$N:$N, Aux_Totales!$F:$F, $F224, Aux_Totales!$A:$A,#REF!), 0))</f>
        <v/>
      </c>
      <c r="KZT224" s="19" t="str">
        <f>IF(KZT220 = "", "", IFERROR(KZT220 / SUMIFS(Aux_Totales!$N:$N, Aux_Totales!$F:$F, $F224, Aux_Totales!$A:$A,#REF!), 0))</f>
        <v/>
      </c>
      <c r="KZU224" s="19" t="str">
        <f>IF(KZU220 = "", "", IFERROR(KZU220 / SUMIFS(Aux_Totales!$N:$N, Aux_Totales!$F:$F, $F224, Aux_Totales!$A:$A,#REF!), 0))</f>
        <v/>
      </c>
      <c r="KZV224" s="19" t="str">
        <f>IF(KZV220 = "", "", IFERROR(KZV220 / SUMIFS(Aux_Totales!$N:$N, Aux_Totales!$F:$F, $F224, Aux_Totales!$A:$A,#REF!), 0))</f>
        <v/>
      </c>
      <c r="KZW224" s="19" t="str">
        <f>IF(KZW220 = "", "", IFERROR(KZW220 / SUMIFS(Aux_Totales!$N:$N, Aux_Totales!$F:$F, $F224, Aux_Totales!$A:$A,#REF!), 0))</f>
        <v/>
      </c>
      <c r="KZX224" s="19" t="str">
        <f>IF(KZX220 = "", "", IFERROR(KZX220 / SUMIFS(Aux_Totales!$N:$N, Aux_Totales!$F:$F, $F224, Aux_Totales!$A:$A,#REF!), 0))</f>
        <v/>
      </c>
      <c r="KZY224" s="19" t="str">
        <f>IF(KZY220 = "", "", IFERROR(KZY220 / SUMIFS(Aux_Totales!$N:$N, Aux_Totales!$F:$F, $F224, Aux_Totales!$A:$A,#REF!), 0))</f>
        <v/>
      </c>
      <c r="KZZ224" s="19" t="str">
        <f>IF(KZZ220 = "", "", IFERROR(KZZ220 / SUMIFS(Aux_Totales!$N:$N, Aux_Totales!$F:$F, $F224, Aux_Totales!$A:$A,#REF!), 0))</f>
        <v/>
      </c>
      <c r="LAA224" s="19" t="str">
        <f>IF(LAA220 = "", "", IFERROR(LAA220 / SUMIFS(Aux_Totales!$N:$N, Aux_Totales!$F:$F, $F224, Aux_Totales!$A:$A,#REF!), 0))</f>
        <v/>
      </c>
      <c r="LAB224" s="19" t="str">
        <f>IF(LAB220 = "", "", IFERROR(LAB220 / SUMIFS(Aux_Totales!$N:$N, Aux_Totales!$F:$F, $F224, Aux_Totales!$A:$A,#REF!), 0))</f>
        <v/>
      </c>
      <c r="LAC224" s="19" t="str">
        <f>IF(LAC220 = "", "", IFERROR(LAC220 / SUMIFS(Aux_Totales!$N:$N, Aux_Totales!$F:$F, $F224, Aux_Totales!$A:$A,#REF!), 0))</f>
        <v/>
      </c>
      <c r="LAD224" s="19" t="str">
        <f>IF(LAD220 = "", "", IFERROR(LAD220 / SUMIFS(Aux_Totales!$N:$N, Aux_Totales!$F:$F, $F224, Aux_Totales!$A:$A,#REF!), 0))</f>
        <v/>
      </c>
      <c r="LAE224" s="19" t="str">
        <f>IF(LAE220 = "", "", IFERROR(LAE220 / SUMIFS(Aux_Totales!$N:$N, Aux_Totales!$F:$F, $F224, Aux_Totales!$A:$A,#REF!), 0))</f>
        <v/>
      </c>
      <c r="LAF224" s="19" t="str">
        <f>IF(LAF220 = "", "", IFERROR(LAF220 / SUMIFS(Aux_Totales!$N:$N, Aux_Totales!$F:$F, $F224, Aux_Totales!$A:$A,#REF!), 0))</f>
        <v/>
      </c>
      <c r="LAG224" s="19" t="str">
        <f>IF(LAG220 = "", "", IFERROR(LAG220 / SUMIFS(Aux_Totales!$N:$N, Aux_Totales!$F:$F, $F224, Aux_Totales!$A:$A,#REF!), 0))</f>
        <v/>
      </c>
      <c r="LAH224" s="19" t="str">
        <f>IF(LAH220 = "", "", IFERROR(LAH220 / SUMIFS(Aux_Totales!$N:$N, Aux_Totales!$F:$F, $F224, Aux_Totales!$A:$A,#REF!), 0))</f>
        <v/>
      </c>
      <c r="LAI224" s="19" t="str">
        <f>IF(LAI220 = "", "", IFERROR(LAI220 / SUMIFS(Aux_Totales!$N:$N, Aux_Totales!$F:$F, $F224, Aux_Totales!$A:$A,#REF!), 0))</f>
        <v/>
      </c>
      <c r="LAJ224" s="19" t="str">
        <f>IF(LAJ220 = "", "", IFERROR(LAJ220 / SUMIFS(Aux_Totales!$N:$N, Aux_Totales!$F:$F, $F224, Aux_Totales!$A:$A,#REF!), 0))</f>
        <v/>
      </c>
      <c r="LAK224" s="19" t="str">
        <f>IF(LAK220 = "", "", IFERROR(LAK220 / SUMIFS(Aux_Totales!$N:$N, Aux_Totales!$F:$F, $F224, Aux_Totales!$A:$A,#REF!), 0))</f>
        <v/>
      </c>
      <c r="LAL224" s="19" t="str">
        <f>IF(LAL220 = "", "", IFERROR(LAL220 / SUMIFS(Aux_Totales!$N:$N, Aux_Totales!$F:$F, $F224, Aux_Totales!$A:$A,#REF!), 0))</f>
        <v/>
      </c>
      <c r="LAM224" s="19" t="str">
        <f>IF(LAM220 = "", "", IFERROR(LAM220 / SUMIFS(Aux_Totales!$N:$N, Aux_Totales!$F:$F, $F224, Aux_Totales!$A:$A,#REF!), 0))</f>
        <v/>
      </c>
      <c r="LAN224" s="19" t="str">
        <f>IF(LAN220 = "", "", IFERROR(LAN220 / SUMIFS(Aux_Totales!$N:$N, Aux_Totales!$F:$F, $F224, Aux_Totales!$A:$A,#REF!), 0))</f>
        <v/>
      </c>
      <c r="LAO224" s="19" t="str">
        <f>IF(LAO220 = "", "", IFERROR(LAO220 / SUMIFS(Aux_Totales!$N:$N, Aux_Totales!$F:$F, $F224, Aux_Totales!$A:$A,#REF!), 0))</f>
        <v/>
      </c>
      <c r="LAP224" s="19" t="str">
        <f>IF(LAP220 = "", "", IFERROR(LAP220 / SUMIFS(Aux_Totales!$N:$N, Aux_Totales!$F:$F, $F224, Aux_Totales!$A:$A,#REF!), 0))</f>
        <v/>
      </c>
      <c r="LAQ224" s="19" t="str">
        <f>IF(LAQ220 = "", "", IFERROR(LAQ220 / SUMIFS(Aux_Totales!$N:$N, Aux_Totales!$F:$F, $F224, Aux_Totales!$A:$A,#REF!), 0))</f>
        <v/>
      </c>
      <c r="LAR224" s="19" t="str">
        <f>IF(LAR220 = "", "", IFERROR(LAR220 / SUMIFS(Aux_Totales!$N:$N, Aux_Totales!$F:$F, $F224, Aux_Totales!$A:$A,#REF!), 0))</f>
        <v/>
      </c>
      <c r="LAS224" s="19" t="str">
        <f>IF(LAS220 = "", "", IFERROR(LAS220 / SUMIFS(Aux_Totales!$N:$N, Aux_Totales!$F:$F, $F224, Aux_Totales!$A:$A,#REF!), 0))</f>
        <v/>
      </c>
      <c r="LAT224" s="19" t="str">
        <f>IF(LAT220 = "", "", IFERROR(LAT220 / SUMIFS(Aux_Totales!$N:$N, Aux_Totales!$F:$F, $F224, Aux_Totales!$A:$A,#REF!), 0))</f>
        <v/>
      </c>
      <c r="LAU224" s="19" t="str">
        <f>IF(LAU220 = "", "", IFERROR(LAU220 / SUMIFS(Aux_Totales!$N:$N, Aux_Totales!$F:$F, $F224, Aux_Totales!$A:$A,#REF!), 0))</f>
        <v/>
      </c>
      <c r="LAV224" s="19" t="str">
        <f>IF(LAV220 = "", "", IFERROR(LAV220 / SUMIFS(Aux_Totales!$N:$N, Aux_Totales!$F:$F, $F224, Aux_Totales!$A:$A,#REF!), 0))</f>
        <v/>
      </c>
      <c r="LAW224" s="19" t="str">
        <f>IF(LAW220 = "", "", IFERROR(LAW220 / SUMIFS(Aux_Totales!$N:$N, Aux_Totales!$F:$F, $F224, Aux_Totales!$A:$A,#REF!), 0))</f>
        <v/>
      </c>
      <c r="LAX224" s="19" t="str">
        <f>IF(LAX220 = "", "", IFERROR(LAX220 / SUMIFS(Aux_Totales!$N:$N, Aux_Totales!$F:$F, $F224, Aux_Totales!$A:$A,#REF!), 0))</f>
        <v/>
      </c>
      <c r="LAY224" s="19" t="str">
        <f>IF(LAY220 = "", "", IFERROR(LAY220 / SUMIFS(Aux_Totales!$N:$N, Aux_Totales!$F:$F, $F224, Aux_Totales!$A:$A,#REF!), 0))</f>
        <v/>
      </c>
      <c r="LAZ224" s="19" t="str">
        <f>IF(LAZ220 = "", "", IFERROR(LAZ220 / SUMIFS(Aux_Totales!$N:$N, Aux_Totales!$F:$F, $F224, Aux_Totales!$A:$A,#REF!), 0))</f>
        <v/>
      </c>
      <c r="LBA224" s="19" t="str">
        <f>IF(LBA220 = "", "", IFERROR(LBA220 / SUMIFS(Aux_Totales!$N:$N, Aux_Totales!$F:$F, $F224, Aux_Totales!$A:$A,#REF!), 0))</f>
        <v/>
      </c>
      <c r="LBB224" s="19" t="str">
        <f>IF(LBB220 = "", "", IFERROR(LBB220 / SUMIFS(Aux_Totales!$N:$N, Aux_Totales!$F:$F, $F224, Aux_Totales!$A:$A,#REF!), 0))</f>
        <v/>
      </c>
      <c r="LBC224" s="19" t="str">
        <f>IF(LBC220 = "", "", IFERROR(LBC220 / SUMIFS(Aux_Totales!$N:$N, Aux_Totales!$F:$F, $F224, Aux_Totales!$A:$A,#REF!), 0))</f>
        <v/>
      </c>
      <c r="LBD224" s="19" t="str">
        <f>IF(LBD220 = "", "", IFERROR(LBD220 / SUMIFS(Aux_Totales!$N:$N, Aux_Totales!$F:$F, $F224, Aux_Totales!$A:$A,#REF!), 0))</f>
        <v/>
      </c>
      <c r="LBE224" s="19" t="str">
        <f>IF(LBE220 = "", "", IFERROR(LBE220 / SUMIFS(Aux_Totales!$N:$N, Aux_Totales!$F:$F, $F224, Aux_Totales!$A:$A,#REF!), 0))</f>
        <v/>
      </c>
      <c r="LBF224" s="19" t="str">
        <f>IF(LBF220 = "", "", IFERROR(LBF220 / SUMIFS(Aux_Totales!$N:$N, Aux_Totales!$F:$F, $F224, Aux_Totales!$A:$A,#REF!), 0))</f>
        <v/>
      </c>
      <c r="LBG224" s="19" t="str">
        <f>IF(LBG220 = "", "", IFERROR(LBG220 / SUMIFS(Aux_Totales!$N:$N, Aux_Totales!$F:$F, $F224, Aux_Totales!$A:$A,#REF!), 0))</f>
        <v/>
      </c>
      <c r="LBH224" s="19" t="str">
        <f>IF(LBH220 = "", "", IFERROR(LBH220 / SUMIFS(Aux_Totales!$N:$N, Aux_Totales!$F:$F, $F224, Aux_Totales!$A:$A,#REF!), 0))</f>
        <v/>
      </c>
      <c r="LBI224" s="19" t="str">
        <f>IF(LBI220 = "", "", IFERROR(LBI220 / SUMIFS(Aux_Totales!$N:$N, Aux_Totales!$F:$F, $F224, Aux_Totales!$A:$A,#REF!), 0))</f>
        <v/>
      </c>
      <c r="LBJ224" s="19" t="str">
        <f>IF(LBJ220 = "", "", IFERROR(LBJ220 / SUMIFS(Aux_Totales!$N:$N, Aux_Totales!$F:$F, $F224, Aux_Totales!$A:$A,#REF!), 0))</f>
        <v/>
      </c>
      <c r="LBK224" s="19" t="str">
        <f>IF(LBK220 = "", "", IFERROR(LBK220 / SUMIFS(Aux_Totales!$N:$N, Aux_Totales!$F:$F, $F224, Aux_Totales!$A:$A,#REF!), 0))</f>
        <v/>
      </c>
      <c r="LBL224" s="19" t="str">
        <f>IF(LBL220 = "", "", IFERROR(LBL220 / SUMIFS(Aux_Totales!$N:$N, Aux_Totales!$F:$F, $F224, Aux_Totales!$A:$A,#REF!), 0))</f>
        <v/>
      </c>
      <c r="LBM224" s="19" t="str">
        <f>IF(LBM220 = "", "", IFERROR(LBM220 / SUMIFS(Aux_Totales!$N:$N, Aux_Totales!$F:$F, $F224, Aux_Totales!$A:$A,#REF!), 0))</f>
        <v/>
      </c>
      <c r="LBN224" s="19" t="str">
        <f>IF(LBN220 = "", "", IFERROR(LBN220 / SUMIFS(Aux_Totales!$N:$N, Aux_Totales!$F:$F, $F224, Aux_Totales!$A:$A,#REF!), 0))</f>
        <v/>
      </c>
      <c r="LBO224" s="19" t="str">
        <f>IF(LBO220 = "", "", IFERROR(LBO220 / SUMIFS(Aux_Totales!$N:$N, Aux_Totales!$F:$F, $F224, Aux_Totales!$A:$A,#REF!), 0))</f>
        <v/>
      </c>
      <c r="LBP224" s="19" t="str">
        <f>IF(LBP220 = "", "", IFERROR(LBP220 / SUMIFS(Aux_Totales!$N:$N, Aux_Totales!$F:$F, $F224, Aux_Totales!$A:$A,#REF!), 0))</f>
        <v/>
      </c>
      <c r="LBQ224" s="19" t="str">
        <f>IF(LBQ220 = "", "", IFERROR(LBQ220 / SUMIFS(Aux_Totales!$N:$N, Aux_Totales!$F:$F, $F224, Aux_Totales!$A:$A,#REF!), 0))</f>
        <v/>
      </c>
      <c r="LBR224" s="19" t="str">
        <f>IF(LBR220 = "", "", IFERROR(LBR220 / SUMIFS(Aux_Totales!$N:$N, Aux_Totales!$F:$F, $F224, Aux_Totales!$A:$A,#REF!), 0))</f>
        <v/>
      </c>
      <c r="LBS224" s="19" t="str">
        <f>IF(LBS220 = "", "", IFERROR(LBS220 / SUMIFS(Aux_Totales!$N:$N, Aux_Totales!$F:$F, $F224, Aux_Totales!$A:$A,#REF!), 0))</f>
        <v/>
      </c>
      <c r="LBT224" s="19" t="str">
        <f>IF(LBT220 = "", "", IFERROR(LBT220 / SUMIFS(Aux_Totales!$N:$N, Aux_Totales!$F:$F, $F224, Aux_Totales!$A:$A,#REF!), 0))</f>
        <v/>
      </c>
      <c r="LBU224" s="19" t="str">
        <f>IF(LBU220 = "", "", IFERROR(LBU220 / SUMIFS(Aux_Totales!$N:$N, Aux_Totales!$F:$F, $F224, Aux_Totales!$A:$A,#REF!), 0))</f>
        <v/>
      </c>
      <c r="LBV224" s="19" t="str">
        <f>IF(LBV220 = "", "", IFERROR(LBV220 / SUMIFS(Aux_Totales!$N:$N, Aux_Totales!$F:$F, $F224, Aux_Totales!$A:$A,#REF!), 0))</f>
        <v/>
      </c>
      <c r="LBW224" s="19" t="str">
        <f>IF(LBW220 = "", "", IFERROR(LBW220 / SUMIFS(Aux_Totales!$N:$N, Aux_Totales!$F:$F, $F224, Aux_Totales!$A:$A,#REF!), 0))</f>
        <v/>
      </c>
      <c r="LBX224" s="19" t="str">
        <f>IF(LBX220 = "", "", IFERROR(LBX220 / SUMIFS(Aux_Totales!$N:$N, Aux_Totales!$F:$F, $F224, Aux_Totales!$A:$A,#REF!), 0))</f>
        <v/>
      </c>
      <c r="LBY224" s="19" t="str">
        <f>IF(LBY220 = "", "", IFERROR(LBY220 / SUMIFS(Aux_Totales!$N:$N, Aux_Totales!$F:$F, $F224, Aux_Totales!$A:$A,#REF!), 0))</f>
        <v/>
      </c>
      <c r="LBZ224" s="19" t="str">
        <f>IF(LBZ220 = "", "", IFERROR(LBZ220 / SUMIFS(Aux_Totales!$N:$N, Aux_Totales!$F:$F, $F224, Aux_Totales!$A:$A,#REF!), 0))</f>
        <v/>
      </c>
      <c r="LCA224" s="19" t="str">
        <f>IF(LCA220 = "", "", IFERROR(LCA220 / SUMIFS(Aux_Totales!$N:$N, Aux_Totales!$F:$F, $F224, Aux_Totales!$A:$A,#REF!), 0))</f>
        <v/>
      </c>
      <c r="LCB224" s="19" t="str">
        <f>IF(LCB220 = "", "", IFERROR(LCB220 / SUMIFS(Aux_Totales!$N:$N, Aux_Totales!$F:$F, $F224, Aux_Totales!$A:$A,#REF!), 0))</f>
        <v/>
      </c>
      <c r="LCC224" s="19" t="str">
        <f>IF(LCC220 = "", "", IFERROR(LCC220 / SUMIFS(Aux_Totales!$N:$N, Aux_Totales!$F:$F, $F224, Aux_Totales!$A:$A,#REF!), 0))</f>
        <v/>
      </c>
      <c r="LCD224" s="19" t="str">
        <f>IF(LCD220 = "", "", IFERROR(LCD220 / SUMIFS(Aux_Totales!$N:$N, Aux_Totales!$F:$F, $F224, Aux_Totales!$A:$A,#REF!), 0))</f>
        <v/>
      </c>
      <c r="LCE224" s="19" t="str">
        <f>IF(LCE220 = "", "", IFERROR(LCE220 / SUMIFS(Aux_Totales!$N:$N, Aux_Totales!$F:$F, $F224, Aux_Totales!$A:$A,#REF!), 0))</f>
        <v/>
      </c>
      <c r="LCF224" s="19" t="str">
        <f>IF(LCF220 = "", "", IFERROR(LCF220 / SUMIFS(Aux_Totales!$N:$N, Aux_Totales!$F:$F, $F224, Aux_Totales!$A:$A,#REF!), 0))</f>
        <v/>
      </c>
      <c r="LCG224" s="19" t="str">
        <f>IF(LCG220 = "", "", IFERROR(LCG220 / SUMIFS(Aux_Totales!$N:$N, Aux_Totales!$F:$F, $F224, Aux_Totales!$A:$A,#REF!), 0))</f>
        <v/>
      </c>
      <c r="LCH224" s="19" t="str">
        <f>IF(LCH220 = "", "", IFERROR(LCH220 / SUMIFS(Aux_Totales!$N:$N, Aux_Totales!$F:$F, $F224, Aux_Totales!$A:$A,#REF!), 0))</f>
        <v/>
      </c>
      <c r="LCI224" s="19" t="str">
        <f>IF(LCI220 = "", "", IFERROR(LCI220 / SUMIFS(Aux_Totales!$N:$N, Aux_Totales!$F:$F, $F224, Aux_Totales!$A:$A,#REF!), 0))</f>
        <v/>
      </c>
      <c r="LCJ224" s="19" t="str">
        <f>IF(LCJ220 = "", "", IFERROR(LCJ220 / SUMIFS(Aux_Totales!$N:$N, Aux_Totales!$F:$F, $F224, Aux_Totales!$A:$A,#REF!), 0))</f>
        <v/>
      </c>
      <c r="LCK224" s="19" t="str">
        <f>IF(LCK220 = "", "", IFERROR(LCK220 / SUMIFS(Aux_Totales!$N:$N, Aux_Totales!$F:$F, $F224, Aux_Totales!$A:$A,#REF!), 0))</f>
        <v/>
      </c>
      <c r="LCL224" s="19" t="str">
        <f>IF(LCL220 = "", "", IFERROR(LCL220 / SUMIFS(Aux_Totales!$N:$N, Aux_Totales!$F:$F, $F224, Aux_Totales!$A:$A,#REF!), 0))</f>
        <v/>
      </c>
      <c r="LCM224" s="19" t="str">
        <f>IF(LCM220 = "", "", IFERROR(LCM220 / SUMIFS(Aux_Totales!$N:$N, Aux_Totales!$F:$F, $F224, Aux_Totales!$A:$A,#REF!), 0))</f>
        <v/>
      </c>
      <c r="LCN224" s="19" t="str">
        <f>IF(LCN220 = "", "", IFERROR(LCN220 / SUMIFS(Aux_Totales!$N:$N, Aux_Totales!$F:$F, $F224, Aux_Totales!$A:$A,#REF!), 0))</f>
        <v/>
      </c>
      <c r="LCO224" s="19" t="str">
        <f>IF(LCO220 = "", "", IFERROR(LCO220 / SUMIFS(Aux_Totales!$N:$N, Aux_Totales!$F:$F, $F224, Aux_Totales!$A:$A,#REF!), 0))</f>
        <v/>
      </c>
      <c r="LCP224" s="19" t="str">
        <f>IF(LCP220 = "", "", IFERROR(LCP220 / SUMIFS(Aux_Totales!$N:$N, Aux_Totales!$F:$F, $F224, Aux_Totales!$A:$A,#REF!), 0))</f>
        <v/>
      </c>
      <c r="LCQ224" s="19" t="str">
        <f>IF(LCQ220 = "", "", IFERROR(LCQ220 / SUMIFS(Aux_Totales!$N:$N, Aux_Totales!$F:$F, $F224, Aux_Totales!$A:$A,#REF!), 0))</f>
        <v/>
      </c>
      <c r="LCR224" s="19" t="str">
        <f>IF(LCR220 = "", "", IFERROR(LCR220 / SUMIFS(Aux_Totales!$N:$N, Aux_Totales!$F:$F, $F224, Aux_Totales!$A:$A,#REF!), 0))</f>
        <v/>
      </c>
      <c r="LCS224" s="19" t="str">
        <f>IF(LCS220 = "", "", IFERROR(LCS220 / SUMIFS(Aux_Totales!$N:$N, Aux_Totales!$F:$F, $F224, Aux_Totales!$A:$A,#REF!), 0))</f>
        <v/>
      </c>
      <c r="LCT224" s="19" t="str">
        <f>IF(LCT220 = "", "", IFERROR(LCT220 / SUMIFS(Aux_Totales!$N:$N, Aux_Totales!$F:$F, $F224, Aux_Totales!$A:$A,#REF!), 0))</f>
        <v/>
      </c>
      <c r="LCU224" s="19" t="str">
        <f>IF(LCU220 = "", "", IFERROR(LCU220 / SUMIFS(Aux_Totales!$N:$N, Aux_Totales!$F:$F, $F224, Aux_Totales!$A:$A,#REF!), 0))</f>
        <v/>
      </c>
      <c r="LCV224" s="19" t="str">
        <f>IF(LCV220 = "", "", IFERROR(LCV220 / SUMIFS(Aux_Totales!$N:$N, Aux_Totales!$F:$F, $F224, Aux_Totales!$A:$A,#REF!), 0))</f>
        <v/>
      </c>
      <c r="LCW224" s="19" t="str">
        <f>IF(LCW220 = "", "", IFERROR(LCW220 / SUMIFS(Aux_Totales!$N:$N, Aux_Totales!$F:$F, $F224, Aux_Totales!$A:$A,#REF!), 0))</f>
        <v/>
      </c>
      <c r="LCX224" s="19" t="str">
        <f>IF(LCX220 = "", "", IFERROR(LCX220 / SUMIFS(Aux_Totales!$N:$N, Aux_Totales!$F:$F, $F224, Aux_Totales!$A:$A,#REF!), 0))</f>
        <v/>
      </c>
      <c r="LCY224" s="19" t="str">
        <f>IF(LCY220 = "", "", IFERROR(LCY220 / SUMIFS(Aux_Totales!$N:$N, Aux_Totales!$F:$F, $F224, Aux_Totales!$A:$A,#REF!), 0))</f>
        <v/>
      </c>
      <c r="LCZ224" s="19" t="str">
        <f>IF(LCZ220 = "", "", IFERROR(LCZ220 / SUMIFS(Aux_Totales!$N:$N, Aux_Totales!$F:$F, $F224, Aux_Totales!$A:$A,#REF!), 0))</f>
        <v/>
      </c>
      <c r="LDA224" s="19" t="str">
        <f>IF(LDA220 = "", "", IFERROR(LDA220 / SUMIFS(Aux_Totales!$N:$N, Aux_Totales!$F:$F, $F224, Aux_Totales!$A:$A,#REF!), 0))</f>
        <v/>
      </c>
      <c r="LDB224" s="19" t="str">
        <f>IF(LDB220 = "", "", IFERROR(LDB220 / SUMIFS(Aux_Totales!$N:$N, Aux_Totales!$F:$F, $F224, Aux_Totales!$A:$A,#REF!), 0))</f>
        <v/>
      </c>
      <c r="LDC224" s="19" t="str">
        <f>IF(LDC220 = "", "", IFERROR(LDC220 / SUMIFS(Aux_Totales!$N:$N, Aux_Totales!$F:$F, $F224, Aux_Totales!$A:$A,#REF!), 0))</f>
        <v/>
      </c>
      <c r="LDD224" s="19" t="str">
        <f>IF(LDD220 = "", "", IFERROR(LDD220 / SUMIFS(Aux_Totales!$N:$N, Aux_Totales!$F:$F, $F224, Aux_Totales!$A:$A,#REF!), 0))</f>
        <v/>
      </c>
      <c r="LDE224" s="19" t="str">
        <f>IF(LDE220 = "", "", IFERROR(LDE220 / SUMIFS(Aux_Totales!$N:$N, Aux_Totales!$F:$F, $F224, Aux_Totales!$A:$A,#REF!), 0))</f>
        <v/>
      </c>
      <c r="LDF224" s="19" t="str">
        <f>IF(LDF220 = "", "", IFERROR(LDF220 / SUMIFS(Aux_Totales!$N:$N, Aux_Totales!$F:$F, $F224, Aux_Totales!$A:$A,#REF!), 0))</f>
        <v/>
      </c>
      <c r="LDG224" s="19" t="str">
        <f>IF(LDG220 = "", "", IFERROR(LDG220 / SUMIFS(Aux_Totales!$N:$N, Aux_Totales!$F:$F, $F224, Aux_Totales!$A:$A,#REF!), 0))</f>
        <v/>
      </c>
      <c r="LDH224" s="19" t="str">
        <f>IF(LDH220 = "", "", IFERROR(LDH220 / SUMIFS(Aux_Totales!$N:$N, Aux_Totales!$F:$F, $F224, Aux_Totales!$A:$A,#REF!), 0))</f>
        <v/>
      </c>
      <c r="LDI224" s="19" t="str">
        <f>IF(LDI220 = "", "", IFERROR(LDI220 / SUMIFS(Aux_Totales!$N:$N, Aux_Totales!$F:$F, $F224, Aux_Totales!$A:$A,#REF!), 0))</f>
        <v/>
      </c>
      <c r="LDJ224" s="19" t="str">
        <f>IF(LDJ220 = "", "", IFERROR(LDJ220 / SUMIFS(Aux_Totales!$N:$N, Aux_Totales!$F:$F, $F224, Aux_Totales!$A:$A,#REF!), 0))</f>
        <v/>
      </c>
      <c r="LDK224" s="19" t="str">
        <f>IF(LDK220 = "", "", IFERROR(LDK220 / SUMIFS(Aux_Totales!$N:$N, Aux_Totales!$F:$F, $F224, Aux_Totales!$A:$A,#REF!), 0))</f>
        <v/>
      </c>
      <c r="LDL224" s="19" t="str">
        <f>IF(LDL220 = "", "", IFERROR(LDL220 / SUMIFS(Aux_Totales!$N:$N, Aux_Totales!$F:$F, $F224, Aux_Totales!$A:$A,#REF!), 0))</f>
        <v/>
      </c>
      <c r="LDM224" s="19" t="str">
        <f>IF(LDM220 = "", "", IFERROR(LDM220 / SUMIFS(Aux_Totales!$N:$N, Aux_Totales!$F:$F, $F224, Aux_Totales!$A:$A,#REF!), 0))</f>
        <v/>
      </c>
      <c r="LDN224" s="19" t="str">
        <f>IF(LDN220 = "", "", IFERROR(LDN220 / SUMIFS(Aux_Totales!$N:$N, Aux_Totales!$F:$F, $F224, Aux_Totales!$A:$A,#REF!), 0))</f>
        <v/>
      </c>
      <c r="LDO224" s="19" t="str">
        <f>IF(LDO220 = "", "", IFERROR(LDO220 / SUMIFS(Aux_Totales!$N:$N, Aux_Totales!$F:$F, $F224, Aux_Totales!$A:$A,#REF!), 0))</f>
        <v/>
      </c>
      <c r="LDP224" s="19" t="str">
        <f>IF(LDP220 = "", "", IFERROR(LDP220 / SUMIFS(Aux_Totales!$N:$N, Aux_Totales!$F:$F, $F224, Aux_Totales!$A:$A,#REF!), 0))</f>
        <v/>
      </c>
      <c r="LDQ224" s="19" t="str">
        <f>IF(LDQ220 = "", "", IFERROR(LDQ220 / SUMIFS(Aux_Totales!$N:$N, Aux_Totales!$F:$F, $F224, Aux_Totales!$A:$A,#REF!), 0))</f>
        <v/>
      </c>
      <c r="LDR224" s="19" t="str">
        <f>IF(LDR220 = "", "", IFERROR(LDR220 / SUMIFS(Aux_Totales!$N:$N, Aux_Totales!$F:$F, $F224, Aux_Totales!$A:$A,#REF!), 0))</f>
        <v/>
      </c>
      <c r="LDS224" s="19" t="str">
        <f>IF(LDS220 = "", "", IFERROR(LDS220 / SUMIFS(Aux_Totales!$N:$N, Aux_Totales!$F:$F, $F224, Aux_Totales!$A:$A,#REF!), 0))</f>
        <v/>
      </c>
      <c r="LDT224" s="19" t="str">
        <f>IF(LDT220 = "", "", IFERROR(LDT220 / SUMIFS(Aux_Totales!$N:$N, Aux_Totales!$F:$F, $F224, Aux_Totales!$A:$A,#REF!), 0))</f>
        <v/>
      </c>
      <c r="LDU224" s="19" t="str">
        <f>IF(LDU220 = "", "", IFERROR(LDU220 / SUMIFS(Aux_Totales!$N:$N, Aux_Totales!$F:$F, $F224, Aux_Totales!$A:$A,#REF!), 0))</f>
        <v/>
      </c>
      <c r="LDV224" s="19" t="str">
        <f>IF(LDV220 = "", "", IFERROR(LDV220 / SUMIFS(Aux_Totales!$N:$N, Aux_Totales!$F:$F, $F224, Aux_Totales!$A:$A,#REF!), 0))</f>
        <v/>
      </c>
      <c r="LDW224" s="19" t="str">
        <f>IF(LDW220 = "", "", IFERROR(LDW220 / SUMIFS(Aux_Totales!$N:$N, Aux_Totales!$F:$F, $F224, Aux_Totales!$A:$A,#REF!), 0))</f>
        <v/>
      </c>
      <c r="LDX224" s="19" t="str">
        <f>IF(LDX220 = "", "", IFERROR(LDX220 / SUMIFS(Aux_Totales!$N:$N, Aux_Totales!$F:$F, $F224, Aux_Totales!$A:$A,#REF!), 0))</f>
        <v/>
      </c>
      <c r="LDY224" s="19" t="str">
        <f>IF(LDY220 = "", "", IFERROR(LDY220 / SUMIFS(Aux_Totales!$N:$N, Aux_Totales!$F:$F, $F224, Aux_Totales!$A:$A,#REF!), 0))</f>
        <v/>
      </c>
      <c r="LDZ224" s="19" t="str">
        <f>IF(LDZ220 = "", "", IFERROR(LDZ220 / SUMIFS(Aux_Totales!$N:$N, Aux_Totales!$F:$F, $F224, Aux_Totales!$A:$A,#REF!), 0))</f>
        <v/>
      </c>
      <c r="LEA224" s="19" t="str">
        <f>IF(LEA220 = "", "", IFERROR(LEA220 / SUMIFS(Aux_Totales!$N:$N, Aux_Totales!$F:$F, $F224, Aux_Totales!$A:$A,#REF!), 0))</f>
        <v/>
      </c>
      <c r="LEB224" s="19" t="str">
        <f>IF(LEB220 = "", "", IFERROR(LEB220 / SUMIFS(Aux_Totales!$N:$N, Aux_Totales!$F:$F, $F224, Aux_Totales!$A:$A,#REF!), 0))</f>
        <v/>
      </c>
      <c r="LEC224" s="19" t="str">
        <f>IF(LEC220 = "", "", IFERROR(LEC220 / SUMIFS(Aux_Totales!$N:$N, Aux_Totales!$F:$F, $F224, Aux_Totales!$A:$A,#REF!), 0))</f>
        <v/>
      </c>
      <c r="LED224" s="19" t="str">
        <f>IF(LED220 = "", "", IFERROR(LED220 / SUMIFS(Aux_Totales!$N:$N, Aux_Totales!$F:$F, $F224, Aux_Totales!$A:$A,#REF!), 0))</f>
        <v/>
      </c>
      <c r="LEE224" s="19" t="str">
        <f>IF(LEE220 = "", "", IFERROR(LEE220 / SUMIFS(Aux_Totales!$N:$N, Aux_Totales!$F:$F, $F224, Aux_Totales!$A:$A,#REF!), 0))</f>
        <v/>
      </c>
      <c r="LEF224" s="19" t="str">
        <f>IF(LEF220 = "", "", IFERROR(LEF220 / SUMIFS(Aux_Totales!$N:$N, Aux_Totales!$F:$F, $F224, Aux_Totales!$A:$A,#REF!), 0))</f>
        <v/>
      </c>
      <c r="LEG224" s="19" t="str">
        <f>IF(LEG220 = "", "", IFERROR(LEG220 / SUMIFS(Aux_Totales!$N:$N, Aux_Totales!$F:$F, $F224, Aux_Totales!$A:$A,#REF!), 0))</f>
        <v/>
      </c>
      <c r="LEH224" s="19" t="str">
        <f>IF(LEH220 = "", "", IFERROR(LEH220 / SUMIFS(Aux_Totales!$N:$N, Aux_Totales!$F:$F, $F224, Aux_Totales!$A:$A,#REF!), 0))</f>
        <v/>
      </c>
      <c r="LEI224" s="19" t="str">
        <f>IF(LEI220 = "", "", IFERROR(LEI220 / SUMIFS(Aux_Totales!$N:$N, Aux_Totales!$F:$F, $F224, Aux_Totales!$A:$A,#REF!), 0))</f>
        <v/>
      </c>
      <c r="LEJ224" s="19" t="str">
        <f>IF(LEJ220 = "", "", IFERROR(LEJ220 / SUMIFS(Aux_Totales!$N:$N, Aux_Totales!$F:$F, $F224, Aux_Totales!$A:$A,#REF!), 0))</f>
        <v/>
      </c>
      <c r="LEK224" s="19" t="str">
        <f>IF(LEK220 = "", "", IFERROR(LEK220 / SUMIFS(Aux_Totales!$N:$N, Aux_Totales!$F:$F, $F224, Aux_Totales!$A:$A,#REF!), 0))</f>
        <v/>
      </c>
      <c r="LEL224" s="19" t="str">
        <f>IF(LEL220 = "", "", IFERROR(LEL220 / SUMIFS(Aux_Totales!$N:$N, Aux_Totales!$F:$F, $F224, Aux_Totales!$A:$A,#REF!), 0))</f>
        <v/>
      </c>
      <c r="LEM224" s="19" t="str">
        <f>IF(LEM220 = "", "", IFERROR(LEM220 / SUMIFS(Aux_Totales!$N:$N, Aux_Totales!$F:$F, $F224, Aux_Totales!$A:$A,#REF!), 0))</f>
        <v/>
      </c>
      <c r="LEN224" s="19" t="str">
        <f>IF(LEN220 = "", "", IFERROR(LEN220 / SUMIFS(Aux_Totales!$N:$N, Aux_Totales!$F:$F, $F224, Aux_Totales!$A:$A,#REF!), 0))</f>
        <v/>
      </c>
      <c r="LEO224" s="19" t="str">
        <f>IF(LEO220 = "", "", IFERROR(LEO220 / SUMIFS(Aux_Totales!$N:$N, Aux_Totales!$F:$F, $F224, Aux_Totales!$A:$A,#REF!), 0))</f>
        <v/>
      </c>
      <c r="LEP224" s="19" t="str">
        <f>IF(LEP220 = "", "", IFERROR(LEP220 / SUMIFS(Aux_Totales!$N:$N, Aux_Totales!$F:$F, $F224, Aux_Totales!$A:$A,#REF!), 0))</f>
        <v/>
      </c>
      <c r="LEQ224" s="19" t="str">
        <f>IF(LEQ220 = "", "", IFERROR(LEQ220 / SUMIFS(Aux_Totales!$N:$N, Aux_Totales!$F:$F, $F224, Aux_Totales!$A:$A,#REF!), 0))</f>
        <v/>
      </c>
      <c r="LER224" s="19" t="str">
        <f>IF(LER220 = "", "", IFERROR(LER220 / SUMIFS(Aux_Totales!$N:$N, Aux_Totales!$F:$F, $F224, Aux_Totales!$A:$A,#REF!), 0))</f>
        <v/>
      </c>
      <c r="LES224" s="19" t="str">
        <f>IF(LES220 = "", "", IFERROR(LES220 / SUMIFS(Aux_Totales!$N:$N, Aux_Totales!$F:$F, $F224, Aux_Totales!$A:$A,#REF!), 0))</f>
        <v/>
      </c>
      <c r="LET224" s="19" t="str">
        <f>IF(LET220 = "", "", IFERROR(LET220 / SUMIFS(Aux_Totales!$N:$N, Aux_Totales!$F:$F, $F224, Aux_Totales!$A:$A,#REF!), 0))</f>
        <v/>
      </c>
      <c r="LEU224" s="19" t="str">
        <f>IF(LEU220 = "", "", IFERROR(LEU220 / SUMIFS(Aux_Totales!$N:$N, Aux_Totales!$F:$F, $F224, Aux_Totales!$A:$A,#REF!), 0))</f>
        <v/>
      </c>
      <c r="LEV224" s="19" t="str">
        <f>IF(LEV220 = "", "", IFERROR(LEV220 / SUMIFS(Aux_Totales!$N:$N, Aux_Totales!$F:$F, $F224, Aux_Totales!$A:$A,#REF!), 0))</f>
        <v/>
      </c>
      <c r="LEW224" s="19" t="str">
        <f>IF(LEW220 = "", "", IFERROR(LEW220 / SUMIFS(Aux_Totales!$N:$N, Aux_Totales!$F:$F, $F224, Aux_Totales!$A:$A,#REF!), 0))</f>
        <v/>
      </c>
      <c r="LEX224" s="19" t="str">
        <f>IF(LEX220 = "", "", IFERROR(LEX220 / SUMIFS(Aux_Totales!$N:$N, Aux_Totales!$F:$F, $F224, Aux_Totales!$A:$A,#REF!), 0))</f>
        <v/>
      </c>
      <c r="LEY224" s="19" t="str">
        <f>IF(LEY220 = "", "", IFERROR(LEY220 / SUMIFS(Aux_Totales!$N:$N, Aux_Totales!$F:$F, $F224, Aux_Totales!$A:$A,#REF!), 0))</f>
        <v/>
      </c>
      <c r="LEZ224" s="19" t="str">
        <f>IF(LEZ220 = "", "", IFERROR(LEZ220 / SUMIFS(Aux_Totales!$N:$N, Aux_Totales!$F:$F, $F224, Aux_Totales!$A:$A,#REF!), 0))</f>
        <v/>
      </c>
      <c r="LFA224" s="19" t="str">
        <f>IF(LFA220 = "", "", IFERROR(LFA220 / SUMIFS(Aux_Totales!$N:$N, Aux_Totales!$F:$F, $F224, Aux_Totales!$A:$A,#REF!), 0))</f>
        <v/>
      </c>
      <c r="LFB224" s="19" t="str">
        <f>IF(LFB220 = "", "", IFERROR(LFB220 / SUMIFS(Aux_Totales!$N:$N, Aux_Totales!$F:$F, $F224, Aux_Totales!$A:$A,#REF!), 0))</f>
        <v/>
      </c>
      <c r="LFC224" s="19" t="str">
        <f>IF(LFC220 = "", "", IFERROR(LFC220 / SUMIFS(Aux_Totales!$N:$N, Aux_Totales!$F:$F, $F224, Aux_Totales!$A:$A,#REF!), 0))</f>
        <v/>
      </c>
      <c r="LFD224" s="19" t="str">
        <f>IF(LFD220 = "", "", IFERROR(LFD220 / SUMIFS(Aux_Totales!$N:$N, Aux_Totales!$F:$F, $F224, Aux_Totales!$A:$A,#REF!), 0))</f>
        <v/>
      </c>
      <c r="LFE224" s="19" t="str">
        <f>IF(LFE220 = "", "", IFERROR(LFE220 / SUMIFS(Aux_Totales!$N:$N, Aux_Totales!$F:$F, $F224, Aux_Totales!$A:$A,#REF!), 0))</f>
        <v/>
      </c>
      <c r="LFF224" s="19" t="str">
        <f>IF(LFF220 = "", "", IFERROR(LFF220 / SUMIFS(Aux_Totales!$N:$N, Aux_Totales!$F:$F, $F224, Aux_Totales!$A:$A,#REF!), 0))</f>
        <v/>
      </c>
      <c r="LFG224" s="19" t="str">
        <f>IF(LFG220 = "", "", IFERROR(LFG220 / SUMIFS(Aux_Totales!$N:$N, Aux_Totales!$F:$F, $F224, Aux_Totales!$A:$A,#REF!), 0))</f>
        <v/>
      </c>
      <c r="LFH224" s="19" t="str">
        <f>IF(LFH220 = "", "", IFERROR(LFH220 / SUMIFS(Aux_Totales!$N:$N, Aux_Totales!$F:$F, $F224, Aux_Totales!$A:$A,#REF!), 0))</f>
        <v/>
      </c>
      <c r="LFI224" s="19" t="str">
        <f>IF(LFI220 = "", "", IFERROR(LFI220 / SUMIFS(Aux_Totales!$N:$N, Aux_Totales!$F:$F, $F224, Aux_Totales!$A:$A,#REF!), 0))</f>
        <v/>
      </c>
      <c r="LFJ224" s="19" t="str">
        <f>IF(LFJ220 = "", "", IFERROR(LFJ220 / SUMIFS(Aux_Totales!$N:$N, Aux_Totales!$F:$F, $F224, Aux_Totales!$A:$A,#REF!), 0))</f>
        <v/>
      </c>
      <c r="LFK224" s="19" t="str">
        <f>IF(LFK220 = "", "", IFERROR(LFK220 / SUMIFS(Aux_Totales!$N:$N, Aux_Totales!$F:$F, $F224, Aux_Totales!$A:$A,#REF!), 0))</f>
        <v/>
      </c>
      <c r="LFL224" s="19" t="str">
        <f>IF(LFL220 = "", "", IFERROR(LFL220 / SUMIFS(Aux_Totales!$N:$N, Aux_Totales!$F:$F, $F224, Aux_Totales!$A:$A,#REF!), 0))</f>
        <v/>
      </c>
      <c r="LFM224" s="19" t="str">
        <f>IF(LFM220 = "", "", IFERROR(LFM220 / SUMIFS(Aux_Totales!$N:$N, Aux_Totales!$F:$F, $F224, Aux_Totales!$A:$A,#REF!), 0))</f>
        <v/>
      </c>
      <c r="LFN224" s="19" t="str">
        <f>IF(LFN220 = "", "", IFERROR(LFN220 / SUMIFS(Aux_Totales!$N:$N, Aux_Totales!$F:$F, $F224, Aux_Totales!$A:$A,#REF!), 0))</f>
        <v/>
      </c>
      <c r="LFO224" s="19" t="str">
        <f>IF(LFO220 = "", "", IFERROR(LFO220 / SUMIFS(Aux_Totales!$N:$N, Aux_Totales!$F:$F, $F224, Aux_Totales!$A:$A,#REF!), 0))</f>
        <v/>
      </c>
      <c r="LFP224" s="19" t="str">
        <f>IF(LFP220 = "", "", IFERROR(LFP220 / SUMIFS(Aux_Totales!$N:$N, Aux_Totales!$F:$F, $F224, Aux_Totales!$A:$A,#REF!), 0))</f>
        <v/>
      </c>
      <c r="LFQ224" s="19" t="str">
        <f>IF(LFQ220 = "", "", IFERROR(LFQ220 / SUMIFS(Aux_Totales!$N:$N, Aux_Totales!$F:$F, $F224, Aux_Totales!$A:$A,#REF!), 0))</f>
        <v/>
      </c>
      <c r="LFR224" s="19" t="str">
        <f>IF(LFR220 = "", "", IFERROR(LFR220 / SUMIFS(Aux_Totales!$N:$N, Aux_Totales!$F:$F, $F224, Aux_Totales!$A:$A,#REF!), 0))</f>
        <v/>
      </c>
      <c r="LFS224" s="19" t="str">
        <f>IF(LFS220 = "", "", IFERROR(LFS220 / SUMIFS(Aux_Totales!$N:$N, Aux_Totales!$F:$F, $F224, Aux_Totales!$A:$A,#REF!), 0))</f>
        <v/>
      </c>
      <c r="LFT224" s="19" t="str">
        <f>IF(LFT220 = "", "", IFERROR(LFT220 / SUMIFS(Aux_Totales!$N:$N, Aux_Totales!$F:$F, $F224, Aux_Totales!$A:$A,#REF!), 0))</f>
        <v/>
      </c>
      <c r="LFU224" s="19" t="str">
        <f>IF(LFU220 = "", "", IFERROR(LFU220 / SUMIFS(Aux_Totales!$N:$N, Aux_Totales!$F:$F, $F224, Aux_Totales!$A:$A,#REF!), 0))</f>
        <v/>
      </c>
      <c r="LFV224" s="19" t="str">
        <f>IF(LFV220 = "", "", IFERROR(LFV220 / SUMIFS(Aux_Totales!$N:$N, Aux_Totales!$F:$F, $F224, Aux_Totales!$A:$A,#REF!), 0))</f>
        <v/>
      </c>
      <c r="LFW224" s="19" t="str">
        <f>IF(LFW220 = "", "", IFERROR(LFW220 / SUMIFS(Aux_Totales!$N:$N, Aux_Totales!$F:$F, $F224, Aux_Totales!$A:$A,#REF!), 0))</f>
        <v/>
      </c>
      <c r="LFX224" s="19" t="str">
        <f>IF(LFX220 = "", "", IFERROR(LFX220 / SUMIFS(Aux_Totales!$N:$N, Aux_Totales!$F:$F, $F224, Aux_Totales!$A:$A,#REF!), 0))</f>
        <v/>
      </c>
      <c r="LFY224" s="19" t="str">
        <f>IF(LFY220 = "", "", IFERROR(LFY220 / SUMIFS(Aux_Totales!$N:$N, Aux_Totales!$F:$F, $F224, Aux_Totales!$A:$A,#REF!), 0))</f>
        <v/>
      </c>
      <c r="LFZ224" s="19" t="str">
        <f>IF(LFZ220 = "", "", IFERROR(LFZ220 / SUMIFS(Aux_Totales!$N:$N, Aux_Totales!$F:$F, $F224, Aux_Totales!$A:$A,#REF!), 0))</f>
        <v/>
      </c>
      <c r="LGA224" s="19" t="str">
        <f>IF(LGA220 = "", "", IFERROR(LGA220 / SUMIFS(Aux_Totales!$N:$N, Aux_Totales!$F:$F, $F224, Aux_Totales!$A:$A,#REF!), 0))</f>
        <v/>
      </c>
      <c r="LGB224" s="19" t="str">
        <f>IF(LGB220 = "", "", IFERROR(LGB220 / SUMIFS(Aux_Totales!$N:$N, Aux_Totales!$F:$F, $F224, Aux_Totales!$A:$A,#REF!), 0))</f>
        <v/>
      </c>
      <c r="LGC224" s="19" t="str">
        <f>IF(LGC220 = "", "", IFERROR(LGC220 / SUMIFS(Aux_Totales!$N:$N, Aux_Totales!$F:$F, $F224, Aux_Totales!$A:$A,#REF!), 0))</f>
        <v/>
      </c>
      <c r="LGD224" s="19" t="str">
        <f>IF(LGD220 = "", "", IFERROR(LGD220 / SUMIFS(Aux_Totales!$N:$N, Aux_Totales!$F:$F, $F224, Aux_Totales!$A:$A,#REF!), 0))</f>
        <v/>
      </c>
      <c r="LGE224" s="19" t="str">
        <f>IF(LGE220 = "", "", IFERROR(LGE220 / SUMIFS(Aux_Totales!$N:$N, Aux_Totales!$F:$F, $F224, Aux_Totales!$A:$A,#REF!), 0))</f>
        <v/>
      </c>
      <c r="LGF224" s="19" t="str">
        <f>IF(LGF220 = "", "", IFERROR(LGF220 / SUMIFS(Aux_Totales!$N:$N, Aux_Totales!$F:$F, $F224, Aux_Totales!$A:$A,#REF!), 0))</f>
        <v/>
      </c>
      <c r="LGG224" s="19" t="str">
        <f>IF(LGG220 = "", "", IFERROR(LGG220 / SUMIFS(Aux_Totales!$N:$N, Aux_Totales!$F:$F, $F224, Aux_Totales!$A:$A,#REF!), 0))</f>
        <v/>
      </c>
      <c r="LGH224" s="19" t="str">
        <f>IF(LGH220 = "", "", IFERROR(LGH220 / SUMIFS(Aux_Totales!$N:$N, Aux_Totales!$F:$F, $F224, Aux_Totales!$A:$A,#REF!), 0))</f>
        <v/>
      </c>
      <c r="LGI224" s="19" t="str">
        <f>IF(LGI220 = "", "", IFERROR(LGI220 / SUMIFS(Aux_Totales!$N:$N, Aux_Totales!$F:$F, $F224, Aux_Totales!$A:$A,#REF!), 0))</f>
        <v/>
      </c>
      <c r="LGJ224" s="19" t="str">
        <f>IF(LGJ220 = "", "", IFERROR(LGJ220 / SUMIFS(Aux_Totales!$N:$N, Aux_Totales!$F:$F, $F224, Aux_Totales!$A:$A,#REF!), 0))</f>
        <v/>
      </c>
      <c r="LGK224" s="19" t="str">
        <f>IF(LGK220 = "", "", IFERROR(LGK220 / SUMIFS(Aux_Totales!$N:$N, Aux_Totales!$F:$F, $F224, Aux_Totales!$A:$A,#REF!), 0))</f>
        <v/>
      </c>
      <c r="LGL224" s="19" t="str">
        <f>IF(LGL220 = "", "", IFERROR(LGL220 / SUMIFS(Aux_Totales!$N:$N, Aux_Totales!$F:$F, $F224, Aux_Totales!$A:$A,#REF!), 0))</f>
        <v/>
      </c>
      <c r="LGM224" s="19" t="str">
        <f>IF(LGM220 = "", "", IFERROR(LGM220 / SUMIFS(Aux_Totales!$N:$N, Aux_Totales!$F:$F, $F224, Aux_Totales!$A:$A,#REF!), 0))</f>
        <v/>
      </c>
      <c r="LGN224" s="19" t="str">
        <f>IF(LGN220 = "", "", IFERROR(LGN220 / SUMIFS(Aux_Totales!$N:$N, Aux_Totales!$F:$F, $F224, Aux_Totales!$A:$A,#REF!), 0))</f>
        <v/>
      </c>
      <c r="LGO224" s="19" t="str">
        <f>IF(LGO220 = "", "", IFERROR(LGO220 / SUMIFS(Aux_Totales!$N:$N, Aux_Totales!$F:$F, $F224, Aux_Totales!$A:$A,#REF!), 0))</f>
        <v/>
      </c>
      <c r="LGP224" s="19" t="str">
        <f>IF(LGP220 = "", "", IFERROR(LGP220 / SUMIFS(Aux_Totales!$N:$N, Aux_Totales!$F:$F, $F224, Aux_Totales!$A:$A,#REF!), 0))</f>
        <v/>
      </c>
      <c r="LGQ224" s="19" t="str">
        <f>IF(LGQ220 = "", "", IFERROR(LGQ220 / SUMIFS(Aux_Totales!$N:$N, Aux_Totales!$F:$F, $F224, Aux_Totales!$A:$A,#REF!), 0))</f>
        <v/>
      </c>
      <c r="LGR224" s="19" t="str">
        <f>IF(LGR220 = "", "", IFERROR(LGR220 / SUMIFS(Aux_Totales!$N:$N, Aux_Totales!$F:$F, $F224, Aux_Totales!$A:$A,#REF!), 0))</f>
        <v/>
      </c>
      <c r="LGS224" s="19" t="str">
        <f>IF(LGS220 = "", "", IFERROR(LGS220 / SUMIFS(Aux_Totales!$N:$N, Aux_Totales!$F:$F, $F224, Aux_Totales!$A:$A,#REF!), 0))</f>
        <v/>
      </c>
      <c r="LGT224" s="19" t="str">
        <f>IF(LGT220 = "", "", IFERROR(LGT220 / SUMIFS(Aux_Totales!$N:$N, Aux_Totales!$F:$F, $F224, Aux_Totales!$A:$A,#REF!), 0))</f>
        <v/>
      </c>
      <c r="LGU224" s="19" t="str">
        <f>IF(LGU220 = "", "", IFERROR(LGU220 / SUMIFS(Aux_Totales!$N:$N, Aux_Totales!$F:$F, $F224, Aux_Totales!$A:$A,#REF!), 0))</f>
        <v/>
      </c>
      <c r="LGV224" s="19" t="str">
        <f>IF(LGV220 = "", "", IFERROR(LGV220 / SUMIFS(Aux_Totales!$N:$N, Aux_Totales!$F:$F, $F224, Aux_Totales!$A:$A,#REF!), 0))</f>
        <v/>
      </c>
      <c r="LGW224" s="19" t="str">
        <f>IF(LGW220 = "", "", IFERROR(LGW220 / SUMIFS(Aux_Totales!$N:$N, Aux_Totales!$F:$F, $F224, Aux_Totales!$A:$A,#REF!), 0))</f>
        <v/>
      </c>
      <c r="LGX224" s="19" t="str">
        <f>IF(LGX220 = "", "", IFERROR(LGX220 / SUMIFS(Aux_Totales!$N:$N, Aux_Totales!$F:$F, $F224, Aux_Totales!$A:$A,#REF!), 0))</f>
        <v/>
      </c>
      <c r="LGY224" s="19" t="str">
        <f>IF(LGY220 = "", "", IFERROR(LGY220 / SUMIFS(Aux_Totales!$N:$N, Aux_Totales!$F:$F, $F224, Aux_Totales!$A:$A,#REF!), 0))</f>
        <v/>
      </c>
      <c r="LGZ224" s="19" t="str">
        <f>IF(LGZ220 = "", "", IFERROR(LGZ220 / SUMIFS(Aux_Totales!$N:$N, Aux_Totales!$F:$F, $F224, Aux_Totales!$A:$A,#REF!), 0))</f>
        <v/>
      </c>
      <c r="LHA224" s="19" t="str">
        <f>IF(LHA220 = "", "", IFERROR(LHA220 / SUMIFS(Aux_Totales!$N:$N, Aux_Totales!$F:$F, $F224, Aux_Totales!$A:$A,#REF!), 0))</f>
        <v/>
      </c>
      <c r="LHB224" s="19" t="str">
        <f>IF(LHB220 = "", "", IFERROR(LHB220 / SUMIFS(Aux_Totales!$N:$N, Aux_Totales!$F:$F, $F224, Aux_Totales!$A:$A,#REF!), 0))</f>
        <v/>
      </c>
      <c r="LHC224" s="19" t="str">
        <f>IF(LHC220 = "", "", IFERROR(LHC220 / SUMIFS(Aux_Totales!$N:$N, Aux_Totales!$F:$F, $F224, Aux_Totales!$A:$A,#REF!), 0))</f>
        <v/>
      </c>
      <c r="LHD224" s="19" t="str">
        <f>IF(LHD220 = "", "", IFERROR(LHD220 / SUMIFS(Aux_Totales!$N:$N, Aux_Totales!$F:$F, $F224, Aux_Totales!$A:$A,#REF!), 0))</f>
        <v/>
      </c>
      <c r="LHE224" s="19" t="str">
        <f>IF(LHE220 = "", "", IFERROR(LHE220 / SUMIFS(Aux_Totales!$N:$N, Aux_Totales!$F:$F, $F224, Aux_Totales!$A:$A,#REF!), 0))</f>
        <v/>
      </c>
      <c r="LHF224" s="19" t="str">
        <f>IF(LHF220 = "", "", IFERROR(LHF220 / SUMIFS(Aux_Totales!$N:$N, Aux_Totales!$F:$F, $F224, Aux_Totales!$A:$A,#REF!), 0))</f>
        <v/>
      </c>
      <c r="LHG224" s="19" t="str">
        <f>IF(LHG220 = "", "", IFERROR(LHG220 / SUMIFS(Aux_Totales!$N:$N, Aux_Totales!$F:$F, $F224, Aux_Totales!$A:$A,#REF!), 0))</f>
        <v/>
      </c>
      <c r="LHH224" s="19" t="str">
        <f>IF(LHH220 = "", "", IFERROR(LHH220 / SUMIFS(Aux_Totales!$N:$N, Aux_Totales!$F:$F, $F224, Aux_Totales!$A:$A,#REF!), 0))</f>
        <v/>
      </c>
      <c r="LHI224" s="19" t="str">
        <f>IF(LHI220 = "", "", IFERROR(LHI220 / SUMIFS(Aux_Totales!$N:$N, Aux_Totales!$F:$F, $F224, Aux_Totales!$A:$A,#REF!), 0))</f>
        <v/>
      </c>
      <c r="LHJ224" s="19" t="str">
        <f>IF(LHJ220 = "", "", IFERROR(LHJ220 / SUMIFS(Aux_Totales!$N:$N, Aux_Totales!$F:$F, $F224, Aux_Totales!$A:$A,#REF!), 0))</f>
        <v/>
      </c>
      <c r="LHK224" s="19" t="str">
        <f>IF(LHK220 = "", "", IFERROR(LHK220 / SUMIFS(Aux_Totales!$N:$N, Aux_Totales!$F:$F, $F224, Aux_Totales!$A:$A,#REF!), 0))</f>
        <v/>
      </c>
      <c r="LHL224" s="19" t="str">
        <f>IF(LHL220 = "", "", IFERROR(LHL220 / SUMIFS(Aux_Totales!$N:$N, Aux_Totales!$F:$F, $F224, Aux_Totales!$A:$A,#REF!), 0))</f>
        <v/>
      </c>
      <c r="LHM224" s="19" t="str">
        <f>IF(LHM220 = "", "", IFERROR(LHM220 / SUMIFS(Aux_Totales!$N:$N, Aux_Totales!$F:$F, $F224, Aux_Totales!$A:$A,#REF!), 0))</f>
        <v/>
      </c>
      <c r="LHN224" s="19" t="str">
        <f>IF(LHN220 = "", "", IFERROR(LHN220 / SUMIFS(Aux_Totales!$N:$N, Aux_Totales!$F:$F, $F224, Aux_Totales!$A:$A,#REF!), 0))</f>
        <v/>
      </c>
      <c r="LHO224" s="19" t="str">
        <f>IF(LHO220 = "", "", IFERROR(LHO220 / SUMIFS(Aux_Totales!$N:$N, Aux_Totales!$F:$F, $F224, Aux_Totales!$A:$A,#REF!), 0))</f>
        <v/>
      </c>
      <c r="LHP224" s="19" t="str">
        <f>IF(LHP220 = "", "", IFERROR(LHP220 / SUMIFS(Aux_Totales!$N:$N, Aux_Totales!$F:$F, $F224, Aux_Totales!$A:$A,#REF!), 0))</f>
        <v/>
      </c>
      <c r="LHQ224" s="19" t="str">
        <f>IF(LHQ220 = "", "", IFERROR(LHQ220 / SUMIFS(Aux_Totales!$N:$N, Aux_Totales!$F:$F, $F224, Aux_Totales!$A:$A,#REF!), 0))</f>
        <v/>
      </c>
      <c r="LHR224" s="19" t="str">
        <f>IF(LHR220 = "", "", IFERROR(LHR220 / SUMIFS(Aux_Totales!$N:$N, Aux_Totales!$F:$F, $F224, Aux_Totales!$A:$A,#REF!), 0))</f>
        <v/>
      </c>
      <c r="LHS224" s="19" t="str">
        <f>IF(LHS220 = "", "", IFERROR(LHS220 / SUMIFS(Aux_Totales!$N:$N, Aux_Totales!$F:$F, $F224, Aux_Totales!$A:$A,#REF!), 0))</f>
        <v/>
      </c>
      <c r="LHT224" s="19" t="str">
        <f>IF(LHT220 = "", "", IFERROR(LHT220 / SUMIFS(Aux_Totales!$N:$N, Aux_Totales!$F:$F, $F224, Aux_Totales!$A:$A,#REF!), 0))</f>
        <v/>
      </c>
      <c r="LHU224" s="19" t="str">
        <f>IF(LHU220 = "", "", IFERROR(LHU220 / SUMIFS(Aux_Totales!$N:$N, Aux_Totales!$F:$F, $F224, Aux_Totales!$A:$A,#REF!), 0))</f>
        <v/>
      </c>
      <c r="LHV224" s="19" t="str">
        <f>IF(LHV220 = "", "", IFERROR(LHV220 / SUMIFS(Aux_Totales!$N:$N, Aux_Totales!$F:$F, $F224, Aux_Totales!$A:$A,#REF!), 0))</f>
        <v/>
      </c>
      <c r="LHW224" s="19" t="str">
        <f>IF(LHW220 = "", "", IFERROR(LHW220 / SUMIFS(Aux_Totales!$N:$N, Aux_Totales!$F:$F, $F224, Aux_Totales!$A:$A,#REF!), 0))</f>
        <v/>
      </c>
      <c r="LHX224" s="19" t="str">
        <f>IF(LHX220 = "", "", IFERROR(LHX220 / SUMIFS(Aux_Totales!$N:$N, Aux_Totales!$F:$F, $F224, Aux_Totales!$A:$A,#REF!), 0))</f>
        <v/>
      </c>
      <c r="LHY224" s="19" t="str">
        <f>IF(LHY220 = "", "", IFERROR(LHY220 / SUMIFS(Aux_Totales!$N:$N, Aux_Totales!$F:$F, $F224, Aux_Totales!$A:$A,#REF!), 0))</f>
        <v/>
      </c>
      <c r="LHZ224" s="19" t="str">
        <f>IF(LHZ220 = "", "", IFERROR(LHZ220 / SUMIFS(Aux_Totales!$N:$N, Aux_Totales!$F:$F, $F224, Aux_Totales!$A:$A,#REF!), 0))</f>
        <v/>
      </c>
      <c r="LIA224" s="19" t="str">
        <f>IF(LIA220 = "", "", IFERROR(LIA220 / SUMIFS(Aux_Totales!$N:$N, Aux_Totales!$F:$F, $F224, Aux_Totales!$A:$A,#REF!), 0))</f>
        <v/>
      </c>
      <c r="LIB224" s="19" t="str">
        <f>IF(LIB220 = "", "", IFERROR(LIB220 / SUMIFS(Aux_Totales!$N:$N, Aux_Totales!$F:$F, $F224, Aux_Totales!$A:$A,#REF!), 0))</f>
        <v/>
      </c>
      <c r="LIC224" s="19" t="str">
        <f>IF(LIC220 = "", "", IFERROR(LIC220 / SUMIFS(Aux_Totales!$N:$N, Aux_Totales!$F:$F, $F224, Aux_Totales!$A:$A,#REF!), 0))</f>
        <v/>
      </c>
      <c r="LID224" s="19" t="str">
        <f>IF(LID220 = "", "", IFERROR(LID220 / SUMIFS(Aux_Totales!$N:$N, Aux_Totales!$F:$F, $F224, Aux_Totales!$A:$A,#REF!), 0))</f>
        <v/>
      </c>
      <c r="LIE224" s="19" t="str">
        <f>IF(LIE220 = "", "", IFERROR(LIE220 / SUMIFS(Aux_Totales!$N:$N, Aux_Totales!$F:$F, $F224, Aux_Totales!$A:$A,#REF!), 0))</f>
        <v/>
      </c>
      <c r="LIF224" s="19" t="str">
        <f>IF(LIF220 = "", "", IFERROR(LIF220 / SUMIFS(Aux_Totales!$N:$N, Aux_Totales!$F:$F, $F224, Aux_Totales!$A:$A,#REF!), 0))</f>
        <v/>
      </c>
      <c r="LIG224" s="19" t="str">
        <f>IF(LIG220 = "", "", IFERROR(LIG220 / SUMIFS(Aux_Totales!$N:$N, Aux_Totales!$F:$F, $F224, Aux_Totales!$A:$A,#REF!), 0))</f>
        <v/>
      </c>
      <c r="LIH224" s="19" t="str">
        <f>IF(LIH220 = "", "", IFERROR(LIH220 / SUMIFS(Aux_Totales!$N:$N, Aux_Totales!$F:$F, $F224, Aux_Totales!$A:$A,#REF!), 0))</f>
        <v/>
      </c>
      <c r="LII224" s="19" t="str">
        <f>IF(LII220 = "", "", IFERROR(LII220 / SUMIFS(Aux_Totales!$N:$N, Aux_Totales!$F:$F, $F224, Aux_Totales!$A:$A,#REF!), 0))</f>
        <v/>
      </c>
      <c r="LIJ224" s="19" t="str">
        <f>IF(LIJ220 = "", "", IFERROR(LIJ220 / SUMIFS(Aux_Totales!$N:$N, Aux_Totales!$F:$F, $F224, Aux_Totales!$A:$A,#REF!), 0))</f>
        <v/>
      </c>
      <c r="LIK224" s="19" t="str">
        <f>IF(LIK220 = "", "", IFERROR(LIK220 / SUMIFS(Aux_Totales!$N:$N, Aux_Totales!$F:$F, $F224, Aux_Totales!$A:$A,#REF!), 0))</f>
        <v/>
      </c>
      <c r="LIL224" s="19" t="str">
        <f>IF(LIL220 = "", "", IFERROR(LIL220 / SUMIFS(Aux_Totales!$N:$N, Aux_Totales!$F:$F, $F224, Aux_Totales!$A:$A,#REF!), 0))</f>
        <v/>
      </c>
      <c r="LIM224" s="19" t="str">
        <f>IF(LIM220 = "", "", IFERROR(LIM220 / SUMIFS(Aux_Totales!$N:$N, Aux_Totales!$F:$F, $F224, Aux_Totales!$A:$A,#REF!), 0))</f>
        <v/>
      </c>
      <c r="LIN224" s="19" t="str">
        <f>IF(LIN220 = "", "", IFERROR(LIN220 / SUMIFS(Aux_Totales!$N:$N, Aux_Totales!$F:$F, $F224, Aux_Totales!$A:$A,#REF!), 0))</f>
        <v/>
      </c>
      <c r="LIO224" s="19" t="str">
        <f>IF(LIO220 = "", "", IFERROR(LIO220 / SUMIFS(Aux_Totales!$N:$N, Aux_Totales!$F:$F, $F224, Aux_Totales!$A:$A,#REF!), 0))</f>
        <v/>
      </c>
      <c r="LIP224" s="19" t="str">
        <f>IF(LIP220 = "", "", IFERROR(LIP220 / SUMIFS(Aux_Totales!$N:$N, Aux_Totales!$F:$F, $F224, Aux_Totales!$A:$A,#REF!), 0))</f>
        <v/>
      </c>
      <c r="LIQ224" s="19" t="str">
        <f>IF(LIQ220 = "", "", IFERROR(LIQ220 / SUMIFS(Aux_Totales!$N:$N, Aux_Totales!$F:$F, $F224, Aux_Totales!$A:$A,#REF!), 0))</f>
        <v/>
      </c>
      <c r="LIR224" s="19" t="str">
        <f>IF(LIR220 = "", "", IFERROR(LIR220 / SUMIFS(Aux_Totales!$N:$N, Aux_Totales!$F:$F, $F224, Aux_Totales!$A:$A,#REF!), 0))</f>
        <v/>
      </c>
      <c r="LIS224" s="19" t="str">
        <f>IF(LIS220 = "", "", IFERROR(LIS220 / SUMIFS(Aux_Totales!$N:$N, Aux_Totales!$F:$F, $F224, Aux_Totales!$A:$A,#REF!), 0))</f>
        <v/>
      </c>
      <c r="LIT224" s="19" t="str">
        <f>IF(LIT220 = "", "", IFERROR(LIT220 / SUMIFS(Aux_Totales!$N:$N, Aux_Totales!$F:$F, $F224, Aux_Totales!$A:$A,#REF!), 0))</f>
        <v/>
      </c>
      <c r="LIU224" s="19" t="str">
        <f>IF(LIU220 = "", "", IFERROR(LIU220 / SUMIFS(Aux_Totales!$N:$N, Aux_Totales!$F:$F, $F224, Aux_Totales!$A:$A,#REF!), 0))</f>
        <v/>
      </c>
      <c r="LIV224" s="19" t="str">
        <f>IF(LIV220 = "", "", IFERROR(LIV220 / SUMIFS(Aux_Totales!$N:$N, Aux_Totales!$F:$F, $F224, Aux_Totales!$A:$A,#REF!), 0))</f>
        <v/>
      </c>
      <c r="LIW224" s="19" t="str">
        <f>IF(LIW220 = "", "", IFERROR(LIW220 / SUMIFS(Aux_Totales!$N:$N, Aux_Totales!$F:$F, $F224, Aux_Totales!$A:$A,#REF!), 0))</f>
        <v/>
      </c>
      <c r="LIX224" s="19" t="str">
        <f>IF(LIX220 = "", "", IFERROR(LIX220 / SUMIFS(Aux_Totales!$N:$N, Aux_Totales!$F:$F, $F224, Aux_Totales!$A:$A,#REF!), 0))</f>
        <v/>
      </c>
      <c r="LIY224" s="19" t="str">
        <f>IF(LIY220 = "", "", IFERROR(LIY220 / SUMIFS(Aux_Totales!$N:$N, Aux_Totales!$F:$F, $F224, Aux_Totales!$A:$A,#REF!), 0))</f>
        <v/>
      </c>
      <c r="LIZ224" s="19" t="str">
        <f>IF(LIZ220 = "", "", IFERROR(LIZ220 / SUMIFS(Aux_Totales!$N:$N, Aux_Totales!$F:$F, $F224, Aux_Totales!$A:$A,#REF!), 0))</f>
        <v/>
      </c>
      <c r="LJA224" s="19" t="str">
        <f>IF(LJA220 = "", "", IFERROR(LJA220 / SUMIFS(Aux_Totales!$N:$N, Aux_Totales!$F:$F, $F224, Aux_Totales!$A:$A,#REF!), 0))</f>
        <v/>
      </c>
      <c r="LJB224" s="19" t="str">
        <f>IF(LJB220 = "", "", IFERROR(LJB220 / SUMIFS(Aux_Totales!$N:$N, Aux_Totales!$F:$F, $F224, Aux_Totales!$A:$A,#REF!), 0))</f>
        <v/>
      </c>
      <c r="LJC224" s="19" t="str">
        <f>IF(LJC220 = "", "", IFERROR(LJC220 / SUMIFS(Aux_Totales!$N:$N, Aux_Totales!$F:$F, $F224, Aux_Totales!$A:$A,#REF!), 0))</f>
        <v/>
      </c>
      <c r="LJD224" s="19" t="str">
        <f>IF(LJD220 = "", "", IFERROR(LJD220 / SUMIFS(Aux_Totales!$N:$N, Aux_Totales!$F:$F, $F224, Aux_Totales!$A:$A,#REF!), 0))</f>
        <v/>
      </c>
      <c r="LJE224" s="19" t="str">
        <f>IF(LJE220 = "", "", IFERROR(LJE220 / SUMIFS(Aux_Totales!$N:$N, Aux_Totales!$F:$F, $F224, Aux_Totales!$A:$A,#REF!), 0))</f>
        <v/>
      </c>
      <c r="LJF224" s="19" t="str">
        <f>IF(LJF220 = "", "", IFERROR(LJF220 / SUMIFS(Aux_Totales!$N:$N, Aux_Totales!$F:$F, $F224, Aux_Totales!$A:$A,#REF!), 0))</f>
        <v/>
      </c>
      <c r="LJG224" s="19" t="str">
        <f>IF(LJG220 = "", "", IFERROR(LJG220 / SUMIFS(Aux_Totales!$N:$N, Aux_Totales!$F:$F, $F224, Aux_Totales!$A:$A,#REF!), 0))</f>
        <v/>
      </c>
      <c r="LJH224" s="19" t="str">
        <f>IF(LJH220 = "", "", IFERROR(LJH220 / SUMIFS(Aux_Totales!$N:$N, Aux_Totales!$F:$F, $F224, Aux_Totales!$A:$A,#REF!), 0))</f>
        <v/>
      </c>
      <c r="LJI224" s="19" t="str">
        <f>IF(LJI220 = "", "", IFERROR(LJI220 / SUMIFS(Aux_Totales!$N:$N, Aux_Totales!$F:$F, $F224, Aux_Totales!$A:$A,#REF!), 0))</f>
        <v/>
      </c>
      <c r="LJJ224" s="19" t="str">
        <f>IF(LJJ220 = "", "", IFERROR(LJJ220 / SUMIFS(Aux_Totales!$N:$N, Aux_Totales!$F:$F, $F224, Aux_Totales!$A:$A,#REF!), 0))</f>
        <v/>
      </c>
      <c r="LJK224" s="19" t="str">
        <f>IF(LJK220 = "", "", IFERROR(LJK220 / SUMIFS(Aux_Totales!$N:$N, Aux_Totales!$F:$F, $F224, Aux_Totales!$A:$A,#REF!), 0))</f>
        <v/>
      </c>
      <c r="LJL224" s="19" t="str">
        <f>IF(LJL220 = "", "", IFERROR(LJL220 / SUMIFS(Aux_Totales!$N:$N, Aux_Totales!$F:$F, $F224, Aux_Totales!$A:$A,#REF!), 0))</f>
        <v/>
      </c>
      <c r="LJM224" s="19" t="str">
        <f>IF(LJM220 = "", "", IFERROR(LJM220 / SUMIFS(Aux_Totales!$N:$N, Aux_Totales!$F:$F, $F224, Aux_Totales!$A:$A,#REF!), 0))</f>
        <v/>
      </c>
      <c r="LJN224" s="19" t="str">
        <f>IF(LJN220 = "", "", IFERROR(LJN220 / SUMIFS(Aux_Totales!$N:$N, Aux_Totales!$F:$F, $F224, Aux_Totales!$A:$A,#REF!), 0))</f>
        <v/>
      </c>
      <c r="LJO224" s="19" t="str">
        <f>IF(LJO220 = "", "", IFERROR(LJO220 / SUMIFS(Aux_Totales!$N:$N, Aux_Totales!$F:$F, $F224, Aux_Totales!$A:$A,#REF!), 0))</f>
        <v/>
      </c>
      <c r="LJP224" s="19" t="str">
        <f>IF(LJP220 = "", "", IFERROR(LJP220 / SUMIFS(Aux_Totales!$N:$N, Aux_Totales!$F:$F, $F224, Aux_Totales!$A:$A,#REF!), 0))</f>
        <v/>
      </c>
      <c r="LJQ224" s="19" t="str">
        <f>IF(LJQ220 = "", "", IFERROR(LJQ220 / SUMIFS(Aux_Totales!$N:$N, Aux_Totales!$F:$F, $F224, Aux_Totales!$A:$A,#REF!), 0))</f>
        <v/>
      </c>
      <c r="LJR224" s="19" t="str">
        <f>IF(LJR220 = "", "", IFERROR(LJR220 / SUMIFS(Aux_Totales!$N:$N, Aux_Totales!$F:$F, $F224, Aux_Totales!$A:$A,#REF!), 0))</f>
        <v/>
      </c>
      <c r="LJS224" s="19" t="str">
        <f>IF(LJS220 = "", "", IFERROR(LJS220 / SUMIFS(Aux_Totales!$N:$N, Aux_Totales!$F:$F, $F224, Aux_Totales!$A:$A,#REF!), 0))</f>
        <v/>
      </c>
      <c r="LJT224" s="19" t="str">
        <f>IF(LJT220 = "", "", IFERROR(LJT220 / SUMIFS(Aux_Totales!$N:$N, Aux_Totales!$F:$F, $F224, Aux_Totales!$A:$A,#REF!), 0))</f>
        <v/>
      </c>
      <c r="LJU224" s="19" t="str">
        <f>IF(LJU220 = "", "", IFERROR(LJU220 / SUMIFS(Aux_Totales!$N:$N, Aux_Totales!$F:$F, $F224, Aux_Totales!$A:$A,#REF!), 0))</f>
        <v/>
      </c>
      <c r="LJV224" s="19" t="str">
        <f>IF(LJV220 = "", "", IFERROR(LJV220 / SUMIFS(Aux_Totales!$N:$N, Aux_Totales!$F:$F, $F224, Aux_Totales!$A:$A,#REF!), 0))</f>
        <v/>
      </c>
      <c r="LJW224" s="19" t="str">
        <f>IF(LJW220 = "", "", IFERROR(LJW220 / SUMIFS(Aux_Totales!$N:$N, Aux_Totales!$F:$F, $F224, Aux_Totales!$A:$A,#REF!), 0))</f>
        <v/>
      </c>
      <c r="LJX224" s="19" t="str">
        <f>IF(LJX220 = "", "", IFERROR(LJX220 / SUMIFS(Aux_Totales!$N:$N, Aux_Totales!$F:$F, $F224, Aux_Totales!$A:$A,#REF!), 0))</f>
        <v/>
      </c>
      <c r="LJY224" s="19" t="str">
        <f>IF(LJY220 = "", "", IFERROR(LJY220 / SUMIFS(Aux_Totales!$N:$N, Aux_Totales!$F:$F, $F224, Aux_Totales!$A:$A,#REF!), 0))</f>
        <v/>
      </c>
      <c r="LJZ224" s="19" t="str">
        <f>IF(LJZ220 = "", "", IFERROR(LJZ220 / SUMIFS(Aux_Totales!$N:$N, Aux_Totales!$F:$F, $F224, Aux_Totales!$A:$A,#REF!), 0))</f>
        <v/>
      </c>
      <c r="LKA224" s="19" t="str">
        <f>IF(LKA220 = "", "", IFERROR(LKA220 / SUMIFS(Aux_Totales!$N:$N, Aux_Totales!$F:$F, $F224, Aux_Totales!$A:$A,#REF!), 0))</f>
        <v/>
      </c>
      <c r="LKB224" s="19" t="str">
        <f>IF(LKB220 = "", "", IFERROR(LKB220 / SUMIFS(Aux_Totales!$N:$N, Aux_Totales!$F:$F, $F224, Aux_Totales!$A:$A,#REF!), 0))</f>
        <v/>
      </c>
      <c r="LKC224" s="19" t="str">
        <f>IF(LKC220 = "", "", IFERROR(LKC220 / SUMIFS(Aux_Totales!$N:$N, Aux_Totales!$F:$F, $F224, Aux_Totales!$A:$A,#REF!), 0))</f>
        <v/>
      </c>
      <c r="LKD224" s="19" t="str">
        <f>IF(LKD220 = "", "", IFERROR(LKD220 / SUMIFS(Aux_Totales!$N:$N, Aux_Totales!$F:$F, $F224, Aux_Totales!$A:$A,#REF!), 0))</f>
        <v/>
      </c>
      <c r="LKE224" s="19" t="str">
        <f>IF(LKE220 = "", "", IFERROR(LKE220 / SUMIFS(Aux_Totales!$N:$N, Aux_Totales!$F:$F, $F224, Aux_Totales!$A:$A,#REF!), 0))</f>
        <v/>
      </c>
      <c r="LKF224" s="19" t="str">
        <f>IF(LKF220 = "", "", IFERROR(LKF220 / SUMIFS(Aux_Totales!$N:$N, Aux_Totales!$F:$F, $F224, Aux_Totales!$A:$A,#REF!), 0))</f>
        <v/>
      </c>
      <c r="LKG224" s="19" t="str">
        <f>IF(LKG220 = "", "", IFERROR(LKG220 / SUMIFS(Aux_Totales!$N:$N, Aux_Totales!$F:$F, $F224, Aux_Totales!$A:$A,#REF!), 0))</f>
        <v/>
      </c>
      <c r="LKH224" s="19" t="str">
        <f>IF(LKH220 = "", "", IFERROR(LKH220 / SUMIFS(Aux_Totales!$N:$N, Aux_Totales!$F:$F, $F224, Aux_Totales!$A:$A,#REF!), 0))</f>
        <v/>
      </c>
      <c r="LKI224" s="19" t="str">
        <f>IF(LKI220 = "", "", IFERROR(LKI220 / SUMIFS(Aux_Totales!$N:$N, Aux_Totales!$F:$F, $F224, Aux_Totales!$A:$A,#REF!), 0))</f>
        <v/>
      </c>
      <c r="LKJ224" s="19" t="str">
        <f>IF(LKJ220 = "", "", IFERROR(LKJ220 / SUMIFS(Aux_Totales!$N:$N, Aux_Totales!$F:$F, $F224, Aux_Totales!$A:$A,#REF!), 0))</f>
        <v/>
      </c>
      <c r="LKK224" s="19" t="str">
        <f>IF(LKK220 = "", "", IFERROR(LKK220 / SUMIFS(Aux_Totales!$N:$N, Aux_Totales!$F:$F, $F224, Aux_Totales!$A:$A,#REF!), 0))</f>
        <v/>
      </c>
      <c r="LKL224" s="19" t="str">
        <f>IF(LKL220 = "", "", IFERROR(LKL220 / SUMIFS(Aux_Totales!$N:$N, Aux_Totales!$F:$F, $F224, Aux_Totales!$A:$A,#REF!), 0))</f>
        <v/>
      </c>
      <c r="LKM224" s="19" t="str">
        <f>IF(LKM220 = "", "", IFERROR(LKM220 / SUMIFS(Aux_Totales!$N:$N, Aux_Totales!$F:$F, $F224, Aux_Totales!$A:$A,#REF!), 0))</f>
        <v/>
      </c>
      <c r="LKN224" s="19" t="str">
        <f>IF(LKN220 = "", "", IFERROR(LKN220 / SUMIFS(Aux_Totales!$N:$N, Aux_Totales!$F:$F, $F224, Aux_Totales!$A:$A,#REF!), 0))</f>
        <v/>
      </c>
      <c r="LKO224" s="19" t="str">
        <f>IF(LKO220 = "", "", IFERROR(LKO220 / SUMIFS(Aux_Totales!$N:$N, Aux_Totales!$F:$F, $F224, Aux_Totales!$A:$A,#REF!), 0))</f>
        <v/>
      </c>
      <c r="LKP224" s="19" t="str">
        <f>IF(LKP220 = "", "", IFERROR(LKP220 / SUMIFS(Aux_Totales!$N:$N, Aux_Totales!$F:$F, $F224, Aux_Totales!$A:$A,#REF!), 0))</f>
        <v/>
      </c>
      <c r="LKQ224" s="19" t="str">
        <f>IF(LKQ220 = "", "", IFERROR(LKQ220 / SUMIFS(Aux_Totales!$N:$N, Aux_Totales!$F:$F, $F224, Aux_Totales!$A:$A,#REF!), 0))</f>
        <v/>
      </c>
      <c r="LKR224" s="19" t="str">
        <f>IF(LKR220 = "", "", IFERROR(LKR220 / SUMIFS(Aux_Totales!$N:$N, Aux_Totales!$F:$F, $F224, Aux_Totales!$A:$A,#REF!), 0))</f>
        <v/>
      </c>
      <c r="LKS224" s="19" t="str">
        <f>IF(LKS220 = "", "", IFERROR(LKS220 / SUMIFS(Aux_Totales!$N:$N, Aux_Totales!$F:$F, $F224, Aux_Totales!$A:$A,#REF!), 0))</f>
        <v/>
      </c>
      <c r="LKT224" s="19" t="str">
        <f>IF(LKT220 = "", "", IFERROR(LKT220 / SUMIFS(Aux_Totales!$N:$N, Aux_Totales!$F:$F, $F224, Aux_Totales!$A:$A,#REF!), 0))</f>
        <v/>
      </c>
      <c r="LKU224" s="19" t="str">
        <f>IF(LKU220 = "", "", IFERROR(LKU220 / SUMIFS(Aux_Totales!$N:$N, Aux_Totales!$F:$F, $F224, Aux_Totales!$A:$A,#REF!), 0))</f>
        <v/>
      </c>
      <c r="LKV224" s="19" t="str">
        <f>IF(LKV220 = "", "", IFERROR(LKV220 / SUMIFS(Aux_Totales!$N:$N, Aux_Totales!$F:$F, $F224, Aux_Totales!$A:$A,#REF!), 0))</f>
        <v/>
      </c>
      <c r="LKW224" s="19" t="str">
        <f>IF(LKW220 = "", "", IFERROR(LKW220 / SUMIFS(Aux_Totales!$N:$N, Aux_Totales!$F:$F, $F224, Aux_Totales!$A:$A,#REF!), 0))</f>
        <v/>
      </c>
      <c r="LKX224" s="19" t="str">
        <f>IF(LKX220 = "", "", IFERROR(LKX220 / SUMIFS(Aux_Totales!$N:$N, Aux_Totales!$F:$F, $F224, Aux_Totales!$A:$A,#REF!), 0))</f>
        <v/>
      </c>
      <c r="LKY224" s="19" t="str">
        <f>IF(LKY220 = "", "", IFERROR(LKY220 / SUMIFS(Aux_Totales!$N:$N, Aux_Totales!$F:$F, $F224, Aux_Totales!$A:$A,#REF!), 0))</f>
        <v/>
      </c>
      <c r="LKZ224" s="19" t="str">
        <f>IF(LKZ220 = "", "", IFERROR(LKZ220 / SUMIFS(Aux_Totales!$N:$N, Aux_Totales!$F:$F, $F224, Aux_Totales!$A:$A,#REF!), 0))</f>
        <v/>
      </c>
      <c r="LLA224" s="19" t="str">
        <f>IF(LLA220 = "", "", IFERROR(LLA220 / SUMIFS(Aux_Totales!$N:$N, Aux_Totales!$F:$F, $F224, Aux_Totales!$A:$A,#REF!), 0))</f>
        <v/>
      </c>
      <c r="LLB224" s="19" t="str">
        <f>IF(LLB220 = "", "", IFERROR(LLB220 / SUMIFS(Aux_Totales!$N:$N, Aux_Totales!$F:$F, $F224, Aux_Totales!$A:$A,#REF!), 0))</f>
        <v/>
      </c>
      <c r="LLC224" s="19" t="str">
        <f>IF(LLC220 = "", "", IFERROR(LLC220 / SUMIFS(Aux_Totales!$N:$N, Aux_Totales!$F:$F, $F224, Aux_Totales!$A:$A,#REF!), 0))</f>
        <v/>
      </c>
      <c r="LLD224" s="19" t="str">
        <f>IF(LLD220 = "", "", IFERROR(LLD220 / SUMIFS(Aux_Totales!$N:$N, Aux_Totales!$F:$F, $F224, Aux_Totales!$A:$A,#REF!), 0))</f>
        <v/>
      </c>
      <c r="LLE224" s="19" t="str">
        <f>IF(LLE220 = "", "", IFERROR(LLE220 / SUMIFS(Aux_Totales!$N:$N, Aux_Totales!$F:$F, $F224, Aux_Totales!$A:$A,#REF!), 0))</f>
        <v/>
      </c>
      <c r="LLF224" s="19" t="str">
        <f>IF(LLF220 = "", "", IFERROR(LLF220 / SUMIFS(Aux_Totales!$N:$N, Aux_Totales!$F:$F, $F224, Aux_Totales!$A:$A,#REF!), 0))</f>
        <v/>
      </c>
      <c r="LLG224" s="19" t="str">
        <f>IF(LLG220 = "", "", IFERROR(LLG220 / SUMIFS(Aux_Totales!$N:$N, Aux_Totales!$F:$F, $F224, Aux_Totales!$A:$A,#REF!), 0))</f>
        <v/>
      </c>
      <c r="LLH224" s="19" t="str">
        <f>IF(LLH220 = "", "", IFERROR(LLH220 / SUMIFS(Aux_Totales!$N:$N, Aux_Totales!$F:$F, $F224, Aux_Totales!$A:$A,#REF!), 0))</f>
        <v/>
      </c>
      <c r="LLI224" s="19" t="str">
        <f>IF(LLI220 = "", "", IFERROR(LLI220 / SUMIFS(Aux_Totales!$N:$N, Aux_Totales!$F:$F, $F224, Aux_Totales!$A:$A,#REF!), 0))</f>
        <v/>
      </c>
      <c r="LLJ224" s="19" t="str">
        <f>IF(LLJ220 = "", "", IFERROR(LLJ220 / SUMIFS(Aux_Totales!$N:$N, Aux_Totales!$F:$F, $F224, Aux_Totales!$A:$A,#REF!), 0))</f>
        <v/>
      </c>
      <c r="LLK224" s="19" t="str">
        <f>IF(LLK220 = "", "", IFERROR(LLK220 / SUMIFS(Aux_Totales!$N:$N, Aux_Totales!$F:$F, $F224, Aux_Totales!$A:$A,#REF!), 0))</f>
        <v/>
      </c>
      <c r="LLL224" s="19" t="str">
        <f>IF(LLL220 = "", "", IFERROR(LLL220 / SUMIFS(Aux_Totales!$N:$N, Aux_Totales!$F:$F, $F224, Aux_Totales!$A:$A,#REF!), 0))</f>
        <v/>
      </c>
      <c r="LLM224" s="19" t="str">
        <f>IF(LLM220 = "", "", IFERROR(LLM220 / SUMIFS(Aux_Totales!$N:$N, Aux_Totales!$F:$F, $F224, Aux_Totales!$A:$A,#REF!), 0))</f>
        <v/>
      </c>
      <c r="LLN224" s="19" t="str">
        <f>IF(LLN220 = "", "", IFERROR(LLN220 / SUMIFS(Aux_Totales!$N:$N, Aux_Totales!$F:$F, $F224, Aux_Totales!$A:$A,#REF!), 0))</f>
        <v/>
      </c>
      <c r="LLO224" s="19" t="str">
        <f>IF(LLO220 = "", "", IFERROR(LLO220 / SUMIFS(Aux_Totales!$N:$N, Aux_Totales!$F:$F, $F224, Aux_Totales!$A:$A,#REF!), 0))</f>
        <v/>
      </c>
      <c r="LLP224" s="19" t="str">
        <f>IF(LLP220 = "", "", IFERROR(LLP220 / SUMIFS(Aux_Totales!$N:$N, Aux_Totales!$F:$F, $F224, Aux_Totales!$A:$A,#REF!), 0))</f>
        <v/>
      </c>
      <c r="LLQ224" s="19" t="str">
        <f>IF(LLQ220 = "", "", IFERROR(LLQ220 / SUMIFS(Aux_Totales!$N:$N, Aux_Totales!$F:$F, $F224, Aux_Totales!$A:$A,#REF!), 0))</f>
        <v/>
      </c>
      <c r="LLR224" s="19" t="str">
        <f>IF(LLR220 = "", "", IFERROR(LLR220 / SUMIFS(Aux_Totales!$N:$N, Aux_Totales!$F:$F, $F224, Aux_Totales!$A:$A,#REF!), 0))</f>
        <v/>
      </c>
      <c r="LLS224" s="19" t="str">
        <f>IF(LLS220 = "", "", IFERROR(LLS220 / SUMIFS(Aux_Totales!$N:$N, Aux_Totales!$F:$F, $F224, Aux_Totales!$A:$A,#REF!), 0))</f>
        <v/>
      </c>
      <c r="LLT224" s="19" t="str">
        <f>IF(LLT220 = "", "", IFERROR(LLT220 / SUMIFS(Aux_Totales!$N:$N, Aux_Totales!$F:$F, $F224, Aux_Totales!$A:$A,#REF!), 0))</f>
        <v/>
      </c>
      <c r="LLU224" s="19" t="str">
        <f>IF(LLU220 = "", "", IFERROR(LLU220 / SUMIFS(Aux_Totales!$N:$N, Aux_Totales!$F:$F, $F224, Aux_Totales!$A:$A,#REF!), 0))</f>
        <v/>
      </c>
      <c r="LLV224" s="19" t="str">
        <f>IF(LLV220 = "", "", IFERROR(LLV220 / SUMIFS(Aux_Totales!$N:$N, Aux_Totales!$F:$F, $F224, Aux_Totales!$A:$A,#REF!), 0))</f>
        <v/>
      </c>
      <c r="LLW224" s="19" t="str">
        <f>IF(LLW220 = "", "", IFERROR(LLW220 / SUMIFS(Aux_Totales!$N:$N, Aux_Totales!$F:$F, $F224, Aux_Totales!$A:$A,#REF!), 0))</f>
        <v/>
      </c>
      <c r="LLX224" s="19" t="str">
        <f>IF(LLX220 = "", "", IFERROR(LLX220 / SUMIFS(Aux_Totales!$N:$N, Aux_Totales!$F:$F, $F224, Aux_Totales!$A:$A,#REF!), 0))</f>
        <v/>
      </c>
      <c r="LLY224" s="19" t="str">
        <f>IF(LLY220 = "", "", IFERROR(LLY220 / SUMIFS(Aux_Totales!$N:$N, Aux_Totales!$F:$F, $F224, Aux_Totales!$A:$A,#REF!), 0))</f>
        <v/>
      </c>
      <c r="LLZ224" s="19" t="str">
        <f>IF(LLZ220 = "", "", IFERROR(LLZ220 / SUMIFS(Aux_Totales!$N:$N, Aux_Totales!$F:$F, $F224, Aux_Totales!$A:$A,#REF!), 0))</f>
        <v/>
      </c>
      <c r="LMA224" s="19" t="str">
        <f>IF(LMA220 = "", "", IFERROR(LMA220 / SUMIFS(Aux_Totales!$N:$N, Aux_Totales!$F:$F, $F224, Aux_Totales!$A:$A,#REF!), 0))</f>
        <v/>
      </c>
      <c r="LMB224" s="19" t="str">
        <f>IF(LMB220 = "", "", IFERROR(LMB220 / SUMIFS(Aux_Totales!$N:$N, Aux_Totales!$F:$F, $F224, Aux_Totales!$A:$A,#REF!), 0))</f>
        <v/>
      </c>
      <c r="LMC224" s="19" t="str">
        <f>IF(LMC220 = "", "", IFERROR(LMC220 / SUMIFS(Aux_Totales!$N:$N, Aux_Totales!$F:$F, $F224, Aux_Totales!$A:$A,#REF!), 0))</f>
        <v/>
      </c>
      <c r="LMD224" s="19" t="str">
        <f>IF(LMD220 = "", "", IFERROR(LMD220 / SUMIFS(Aux_Totales!$N:$N, Aux_Totales!$F:$F, $F224, Aux_Totales!$A:$A,#REF!), 0))</f>
        <v/>
      </c>
      <c r="LME224" s="19" t="str">
        <f>IF(LME220 = "", "", IFERROR(LME220 / SUMIFS(Aux_Totales!$N:$N, Aux_Totales!$F:$F, $F224, Aux_Totales!$A:$A,#REF!), 0))</f>
        <v/>
      </c>
      <c r="LMF224" s="19" t="str">
        <f>IF(LMF220 = "", "", IFERROR(LMF220 / SUMIFS(Aux_Totales!$N:$N, Aux_Totales!$F:$F, $F224, Aux_Totales!$A:$A,#REF!), 0))</f>
        <v/>
      </c>
      <c r="LMG224" s="19" t="str">
        <f>IF(LMG220 = "", "", IFERROR(LMG220 / SUMIFS(Aux_Totales!$N:$N, Aux_Totales!$F:$F, $F224, Aux_Totales!$A:$A,#REF!), 0))</f>
        <v/>
      </c>
      <c r="LMH224" s="19" t="str">
        <f>IF(LMH220 = "", "", IFERROR(LMH220 / SUMIFS(Aux_Totales!$N:$N, Aux_Totales!$F:$F, $F224, Aux_Totales!$A:$A,#REF!), 0))</f>
        <v/>
      </c>
      <c r="LMI224" s="19" t="str">
        <f>IF(LMI220 = "", "", IFERROR(LMI220 / SUMIFS(Aux_Totales!$N:$N, Aux_Totales!$F:$F, $F224, Aux_Totales!$A:$A,#REF!), 0))</f>
        <v/>
      </c>
      <c r="LMJ224" s="19" t="str">
        <f>IF(LMJ220 = "", "", IFERROR(LMJ220 / SUMIFS(Aux_Totales!$N:$N, Aux_Totales!$F:$F, $F224, Aux_Totales!$A:$A,#REF!), 0))</f>
        <v/>
      </c>
      <c r="LMK224" s="19" t="str">
        <f>IF(LMK220 = "", "", IFERROR(LMK220 / SUMIFS(Aux_Totales!$N:$N, Aux_Totales!$F:$F, $F224, Aux_Totales!$A:$A,#REF!), 0))</f>
        <v/>
      </c>
      <c r="LML224" s="19" t="str">
        <f>IF(LML220 = "", "", IFERROR(LML220 / SUMIFS(Aux_Totales!$N:$N, Aux_Totales!$F:$F, $F224, Aux_Totales!$A:$A,#REF!), 0))</f>
        <v/>
      </c>
      <c r="LMM224" s="19" t="str">
        <f>IF(LMM220 = "", "", IFERROR(LMM220 / SUMIFS(Aux_Totales!$N:$N, Aux_Totales!$F:$F, $F224, Aux_Totales!$A:$A,#REF!), 0))</f>
        <v/>
      </c>
      <c r="LMN224" s="19" t="str">
        <f>IF(LMN220 = "", "", IFERROR(LMN220 / SUMIFS(Aux_Totales!$N:$N, Aux_Totales!$F:$F, $F224, Aux_Totales!$A:$A,#REF!), 0))</f>
        <v/>
      </c>
      <c r="LMO224" s="19" t="str">
        <f>IF(LMO220 = "", "", IFERROR(LMO220 / SUMIFS(Aux_Totales!$N:$N, Aux_Totales!$F:$F, $F224, Aux_Totales!$A:$A,#REF!), 0))</f>
        <v/>
      </c>
      <c r="LMP224" s="19" t="str">
        <f>IF(LMP220 = "", "", IFERROR(LMP220 / SUMIFS(Aux_Totales!$N:$N, Aux_Totales!$F:$F, $F224, Aux_Totales!$A:$A,#REF!), 0))</f>
        <v/>
      </c>
      <c r="LMQ224" s="19" t="str">
        <f>IF(LMQ220 = "", "", IFERROR(LMQ220 / SUMIFS(Aux_Totales!$N:$N, Aux_Totales!$F:$F, $F224, Aux_Totales!$A:$A,#REF!), 0))</f>
        <v/>
      </c>
      <c r="LMR224" s="19" t="str">
        <f>IF(LMR220 = "", "", IFERROR(LMR220 / SUMIFS(Aux_Totales!$N:$N, Aux_Totales!$F:$F, $F224, Aux_Totales!$A:$A,#REF!), 0))</f>
        <v/>
      </c>
      <c r="LMS224" s="19" t="str">
        <f>IF(LMS220 = "", "", IFERROR(LMS220 / SUMIFS(Aux_Totales!$N:$N, Aux_Totales!$F:$F, $F224, Aux_Totales!$A:$A,#REF!), 0))</f>
        <v/>
      </c>
      <c r="LMT224" s="19" t="str">
        <f>IF(LMT220 = "", "", IFERROR(LMT220 / SUMIFS(Aux_Totales!$N:$N, Aux_Totales!$F:$F, $F224, Aux_Totales!$A:$A,#REF!), 0))</f>
        <v/>
      </c>
      <c r="LMU224" s="19" t="str">
        <f>IF(LMU220 = "", "", IFERROR(LMU220 / SUMIFS(Aux_Totales!$N:$N, Aux_Totales!$F:$F, $F224, Aux_Totales!$A:$A,#REF!), 0))</f>
        <v/>
      </c>
      <c r="LMV224" s="19" t="str">
        <f>IF(LMV220 = "", "", IFERROR(LMV220 / SUMIFS(Aux_Totales!$N:$N, Aux_Totales!$F:$F, $F224, Aux_Totales!$A:$A,#REF!), 0))</f>
        <v/>
      </c>
      <c r="LMW224" s="19" t="str">
        <f>IF(LMW220 = "", "", IFERROR(LMW220 / SUMIFS(Aux_Totales!$N:$N, Aux_Totales!$F:$F, $F224, Aux_Totales!$A:$A,#REF!), 0))</f>
        <v/>
      </c>
      <c r="LMX224" s="19" t="str">
        <f>IF(LMX220 = "", "", IFERROR(LMX220 / SUMIFS(Aux_Totales!$N:$N, Aux_Totales!$F:$F, $F224, Aux_Totales!$A:$A,#REF!), 0))</f>
        <v/>
      </c>
      <c r="LMY224" s="19" t="str">
        <f>IF(LMY220 = "", "", IFERROR(LMY220 / SUMIFS(Aux_Totales!$N:$N, Aux_Totales!$F:$F, $F224, Aux_Totales!$A:$A,#REF!), 0))</f>
        <v/>
      </c>
      <c r="LMZ224" s="19" t="str">
        <f>IF(LMZ220 = "", "", IFERROR(LMZ220 / SUMIFS(Aux_Totales!$N:$N, Aux_Totales!$F:$F, $F224, Aux_Totales!$A:$A,#REF!), 0))</f>
        <v/>
      </c>
      <c r="LNA224" s="19" t="str">
        <f>IF(LNA220 = "", "", IFERROR(LNA220 / SUMIFS(Aux_Totales!$N:$N, Aux_Totales!$F:$F, $F224, Aux_Totales!$A:$A,#REF!), 0))</f>
        <v/>
      </c>
      <c r="LNB224" s="19" t="str">
        <f>IF(LNB220 = "", "", IFERROR(LNB220 / SUMIFS(Aux_Totales!$N:$N, Aux_Totales!$F:$F, $F224, Aux_Totales!$A:$A,#REF!), 0))</f>
        <v/>
      </c>
      <c r="LNC224" s="19" t="str">
        <f>IF(LNC220 = "", "", IFERROR(LNC220 / SUMIFS(Aux_Totales!$N:$N, Aux_Totales!$F:$F, $F224, Aux_Totales!$A:$A,#REF!), 0))</f>
        <v/>
      </c>
      <c r="LND224" s="19" t="str">
        <f>IF(LND220 = "", "", IFERROR(LND220 / SUMIFS(Aux_Totales!$N:$N, Aux_Totales!$F:$F, $F224, Aux_Totales!$A:$A,#REF!), 0))</f>
        <v/>
      </c>
      <c r="LNE224" s="19" t="str">
        <f>IF(LNE220 = "", "", IFERROR(LNE220 / SUMIFS(Aux_Totales!$N:$N, Aux_Totales!$F:$F, $F224, Aux_Totales!$A:$A,#REF!), 0))</f>
        <v/>
      </c>
      <c r="LNF224" s="19" t="str">
        <f>IF(LNF220 = "", "", IFERROR(LNF220 / SUMIFS(Aux_Totales!$N:$N, Aux_Totales!$F:$F, $F224, Aux_Totales!$A:$A,#REF!), 0))</f>
        <v/>
      </c>
      <c r="LNG224" s="19" t="str">
        <f>IF(LNG220 = "", "", IFERROR(LNG220 / SUMIFS(Aux_Totales!$N:$N, Aux_Totales!$F:$F, $F224, Aux_Totales!$A:$A,#REF!), 0))</f>
        <v/>
      </c>
      <c r="LNH224" s="19" t="str">
        <f>IF(LNH220 = "", "", IFERROR(LNH220 / SUMIFS(Aux_Totales!$N:$N, Aux_Totales!$F:$F, $F224, Aux_Totales!$A:$A,#REF!), 0))</f>
        <v/>
      </c>
      <c r="LNI224" s="19" t="str">
        <f>IF(LNI220 = "", "", IFERROR(LNI220 / SUMIFS(Aux_Totales!$N:$N, Aux_Totales!$F:$F, $F224, Aux_Totales!$A:$A,#REF!), 0))</f>
        <v/>
      </c>
      <c r="LNJ224" s="19" t="str">
        <f>IF(LNJ220 = "", "", IFERROR(LNJ220 / SUMIFS(Aux_Totales!$N:$N, Aux_Totales!$F:$F, $F224, Aux_Totales!$A:$A,#REF!), 0))</f>
        <v/>
      </c>
      <c r="LNK224" s="19" t="str">
        <f>IF(LNK220 = "", "", IFERROR(LNK220 / SUMIFS(Aux_Totales!$N:$N, Aux_Totales!$F:$F, $F224, Aux_Totales!$A:$A,#REF!), 0))</f>
        <v/>
      </c>
      <c r="LNL224" s="19" t="str">
        <f>IF(LNL220 = "", "", IFERROR(LNL220 / SUMIFS(Aux_Totales!$N:$N, Aux_Totales!$F:$F, $F224, Aux_Totales!$A:$A,#REF!), 0))</f>
        <v/>
      </c>
      <c r="LNM224" s="19" t="str">
        <f>IF(LNM220 = "", "", IFERROR(LNM220 / SUMIFS(Aux_Totales!$N:$N, Aux_Totales!$F:$F, $F224, Aux_Totales!$A:$A,#REF!), 0))</f>
        <v/>
      </c>
      <c r="LNN224" s="19" t="str">
        <f>IF(LNN220 = "", "", IFERROR(LNN220 / SUMIFS(Aux_Totales!$N:$N, Aux_Totales!$F:$F, $F224, Aux_Totales!$A:$A,#REF!), 0))</f>
        <v/>
      </c>
      <c r="LNO224" s="19" t="str">
        <f>IF(LNO220 = "", "", IFERROR(LNO220 / SUMIFS(Aux_Totales!$N:$N, Aux_Totales!$F:$F, $F224, Aux_Totales!$A:$A,#REF!), 0))</f>
        <v/>
      </c>
      <c r="LNP224" s="19" t="str">
        <f>IF(LNP220 = "", "", IFERROR(LNP220 / SUMIFS(Aux_Totales!$N:$N, Aux_Totales!$F:$F, $F224, Aux_Totales!$A:$A,#REF!), 0))</f>
        <v/>
      </c>
      <c r="LNQ224" s="19" t="str">
        <f>IF(LNQ220 = "", "", IFERROR(LNQ220 / SUMIFS(Aux_Totales!$N:$N, Aux_Totales!$F:$F, $F224, Aux_Totales!$A:$A,#REF!), 0))</f>
        <v/>
      </c>
      <c r="LNR224" s="19" t="str">
        <f>IF(LNR220 = "", "", IFERROR(LNR220 / SUMIFS(Aux_Totales!$N:$N, Aux_Totales!$F:$F, $F224, Aux_Totales!$A:$A,#REF!), 0))</f>
        <v/>
      </c>
      <c r="LNS224" s="19" t="str">
        <f>IF(LNS220 = "", "", IFERROR(LNS220 / SUMIFS(Aux_Totales!$N:$N, Aux_Totales!$F:$F, $F224, Aux_Totales!$A:$A,#REF!), 0))</f>
        <v/>
      </c>
      <c r="LNT224" s="19" t="str">
        <f>IF(LNT220 = "", "", IFERROR(LNT220 / SUMIFS(Aux_Totales!$N:$N, Aux_Totales!$F:$F, $F224, Aux_Totales!$A:$A,#REF!), 0))</f>
        <v/>
      </c>
      <c r="LNU224" s="19" t="str">
        <f>IF(LNU220 = "", "", IFERROR(LNU220 / SUMIFS(Aux_Totales!$N:$N, Aux_Totales!$F:$F, $F224, Aux_Totales!$A:$A,#REF!), 0))</f>
        <v/>
      </c>
      <c r="LNV224" s="19" t="str">
        <f>IF(LNV220 = "", "", IFERROR(LNV220 / SUMIFS(Aux_Totales!$N:$N, Aux_Totales!$F:$F, $F224, Aux_Totales!$A:$A,#REF!), 0))</f>
        <v/>
      </c>
      <c r="LNW224" s="19" t="str">
        <f>IF(LNW220 = "", "", IFERROR(LNW220 / SUMIFS(Aux_Totales!$N:$N, Aux_Totales!$F:$F, $F224, Aux_Totales!$A:$A,#REF!), 0))</f>
        <v/>
      </c>
      <c r="LNX224" s="19" t="str">
        <f>IF(LNX220 = "", "", IFERROR(LNX220 / SUMIFS(Aux_Totales!$N:$N, Aux_Totales!$F:$F, $F224, Aux_Totales!$A:$A,#REF!), 0))</f>
        <v/>
      </c>
      <c r="LNY224" s="19" t="str">
        <f>IF(LNY220 = "", "", IFERROR(LNY220 / SUMIFS(Aux_Totales!$N:$N, Aux_Totales!$F:$F, $F224, Aux_Totales!$A:$A,#REF!), 0))</f>
        <v/>
      </c>
      <c r="LNZ224" s="19" t="str">
        <f>IF(LNZ220 = "", "", IFERROR(LNZ220 / SUMIFS(Aux_Totales!$N:$N, Aux_Totales!$F:$F, $F224, Aux_Totales!$A:$A,#REF!), 0))</f>
        <v/>
      </c>
      <c r="LOA224" s="19" t="str">
        <f>IF(LOA220 = "", "", IFERROR(LOA220 / SUMIFS(Aux_Totales!$N:$N, Aux_Totales!$F:$F, $F224, Aux_Totales!$A:$A,#REF!), 0))</f>
        <v/>
      </c>
      <c r="LOB224" s="19" t="str">
        <f>IF(LOB220 = "", "", IFERROR(LOB220 / SUMIFS(Aux_Totales!$N:$N, Aux_Totales!$F:$F, $F224, Aux_Totales!$A:$A,#REF!), 0))</f>
        <v/>
      </c>
      <c r="LOC224" s="19" t="str">
        <f>IF(LOC220 = "", "", IFERROR(LOC220 / SUMIFS(Aux_Totales!$N:$N, Aux_Totales!$F:$F, $F224, Aux_Totales!$A:$A,#REF!), 0))</f>
        <v/>
      </c>
      <c r="LOD224" s="19" t="str">
        <f>IF(LOD220 = "", "", IFERROR(LOD220 / SUMIFS(Aux_Totales!$N:$N, Aux_Totales!$F:$F, $F224, Aux_Totales!$A:$A,#REF!), 0))</f>
        <v/>
      </c>
      <c r="LOE224" s="19" t="str">
        <f>IF(LOE220 = "", "", IFERROR(LOE220 / SUMIFS(Aux_Totales!$N:$N, Aux_Totales!$F:$F, $F224, Aux_Totales!$A:$A,#REF!), 0))</f>
        <v/>
      </c>
      <c r="LOF224" s="19" t="str">
        <f>IF(LOF220 = "", "", IFERROR(LOF220 / SUMIFS(Aux_Totales!$N:$N, Aux_Totales!$F:$F, $F224, Aux_Totales!$A:$A,#REF!), 0))</f>
        <v/>
      </c>
      <c r="LOG224" s="19" t="str">
        <f>IF(LOG220 = "", "", IFERROR(LOG220 / SUMIFS(Aux_Totales!$N:$N, Aux_Totales!$F:$F, $F224, Aux_Totales!$A:$A,#REF!), 0))</f>
        <v/>
      </c>
      <c r="LOH224" s="19" t="str">
        <f>IF(LOH220 = "", "", IFERROR(LOH220 / SUMIFS(Aux_Totales!$N:$N, Aux_Totales!$F:$F, $F224, Aux_Totales!$A:$A,#REF!), 0))</f>
        <v/>
      </c>
      <c r="LOI224" s="19" t="str">
        <f>IF(LOI220 = "", "", IFERROR(LOI220 / SUMIFS(Aux_Totales!$N:$N, Aux_Totales!$F:$F, $F224, Aux_Totales!$A:$A,#REF!), 0))</f>
        <v/>
      </c>
      <c r="LOJ224" s="19" t="str">
        <f>IF(LOJ220 = "", "", IFERROR(LOJ220 / SUMIFS(Aux_Totales!$N:$N, Aux_Totales!$F:$F, $F224, Aux_Totales!$A:$A,#REF!), 0))</f>
        <v/>
      </c>
      <c r="LOK224" s="19" t="str">
        <f>IF(LOK220 = "", "", IFERROR(LOK220 / SUMIFS(Aux_Totales!$N:$N, Aux_Totales!$F:$F, $F224, Aux_Totales!$A:$A,#REF!), 0))</f>
        <v/>
      </c>
      <c r="LOL224" s="19" t="str">
        <f>IF(LOL220 = "", "", IFERROR(LOL220 / SUMIFS(Aux_Totales!$N:$N, Aux_Totales!$F:$F, $F224, Aux_Totales!$A:$A,#REF!), 0))</f>
        <v/>
      </c>
      <c r="LOM224" s="19" t="str">
        <f>IF(LOM220 = "", "", IFERROR(LOM220 / SUMIFS(Aux_Totales!$N:$N, Aux_Totales!$F:$F, $F224, Aux_Totales!$A:$A,#REF!), 0))</f>
        <v/>
      </c>
      <c r="LON224" s="19" t="str">
        <f>IF(LON220 = "", "", IFERROR(LON220 / SUMIFS(Aux_Totales!$N:$N, Aux_Totales!$F:$F, $F224, Aux_Totales!$A:$A,#REF!), 0))</f>
        <v/>
      </c>
      <c r="LOO224" s="19" t="str">
        <f>IF(LOO220 = "", "", IFERROR(LOO220 / SUMIFS(Aux_Totales!$N:$N, Aux_Totales!$F:$F, $F224, Aux_Totales!$A:$A,#REF!), 0))</f>
        <v/>
      </c>
      <c r="LOP224" s="19" t="str">
        <f>IF(LOP220 = "", "", IFERROR(LOP220 / SUMIFS(Aux_Totales!$N:$N, Aux_Totales!$F:$F, $F224, Aux_Totales!$A:$A,#REF!), 0))</f>
        <v/>
      </c>
      <c r="LOQ224" s="19" t="str">
        <f>IF(LOQ220 = "", "", IFERROR(LOQ220 / SUMIFS(Aux_Totales!$N:$N, Aux_Totales!$F:$F, $F224, Aux_Totales!$A:$A,#REF!), 0))</f>
        <v/>
      </c>
      <c r="LOR224" s="19" t="str">
        <f>IF(LOR220 = "", "", IFERROR(LOR220 / SUMIFS(Aux_Totales!$N:$N, Aux_Totales!$F:$F, $F224, Aux_Totales!$A:$A,#REF!), 0))</f>
        <v/>
      </c>
      <c r="LOS224" s="19" t="str">
        <f>IF(LOS220 = "", "", IFERROR(LOS220 / SUMIFS(Aux_Totales!$N:$N, Aux_Totales!$F:$F, $F224, Aux_Totales!$A:$A,#REF!), 0))</f>
        <v/>
      </c>
      <c r="LOT224" s="19" t="str">
        <f>IF(LOT220 = "", "", IFERROR(LOT220 / SUMIFS(Aux_Totales!$N:$N, Aux_Totales!$F:$F, $F224, Aux_Totales!$A:$A,#REF!), 0))</f>
        <v/>
      </c>
      <c r="LOU224" s="19" t="str">
        <f>IF(LOU220 = "", "", IFERROR(LOU220 / SUMIFS(Aux_Totales!$N:$N, Aux_Totales!$F:$F, $F224, Aux_Totales!$A:$A,#REF!), 0))</f>
        <v/>
      </c>
      <c r="LOV224" s="19" t="str">
        <f>IF(LOV220 = "", "", IFERROR(LOV220 / SUMIFS(Aux_Totales!$N:$N, Aux_Totales!$F:$F, $F224, Aux_Totales!$A:$A,#REF!), 0))</f>
        <v/>
      </c>
      <c r="LOW224" s="19" t="str">
        <f>IF(LOW220 = "", "", IFERROR(LOW220 / SUMIFS(Aux_Totales!$N:$N, Aux_Totales!$F:$F, $F224, Aux_Totales!$A:$A,#REF!), 0))</f>
        <v/>
      </c>
      <c r="LOX224" s="19" t="str">
        <f>IF(LOX220 = "", "", IFERROR(LOX220 / SUMIFS(Aux_Totales!$N:$N, Aux_Totales!$F:$F, $F224, Aux_Totales!$A:$A,#REF!), 0))</f>
        <v/>
      </c>
      <c r="LOY224" s="19" t="str">
        <f>IF(LOY220 = "", "", IFERROR(LOY220 / SUMIFS(Aux_Totales!$N:$N, Aux_Totales!$F:$F, $F224, Aux_Totales!$A:$A,#REF!), 0))</f>
        <v/>
      </c>
      <c r="LOZ224" s="19" t="str">
        <f>IF(LOZ220 = "", "", IFERROR(LOZ220 / SUMIFS(Aux_Totales!$N:$N, Aux_Totales!$F:$F, $F224, Aux_Totales!$A:$A,#REF!), 0))</f>
        <v/>
      </c>
      <c r="LPA224" s="19" t="str">
        <f>IF(LPA220 = "", "", IFERROR(LPA220 / SUMIFS(Aux_Totales!$N:$N, Aux_Totales!$F:$F, $F224, Aux_Totales!$A:$A,#REF!), 0))</f>
        <v/>
      </c>
      <c r="LPB224" s="19" t="str">
        <f>IF(LPB220 = "", "", IFERROR(LPB220 / SUMIFS(Aux_Totales!$N:$N, Aux_Totales!$F:$F, $F224, Aux_Totales!$A:$A,#REF!), 0))</f>
        <v/>
      </c>
      <c r="LPC224" s="19" t="str">
        <f>IF(LPC220 = "", "", IFERROR(LPC220 / SUMIFS(Aux_Totales!$N:$N, Aux_Totales!$F:$F, $F224, Aux_Totales!$A:$A,#REF!), 0))</f>
        <v/>
      </c>
      <c r="LPD224" s="19" t="str">
        <f>IF(LPD220 = "", "", IFERROR(LPD220 / SUMIFS(Aux_Totales!$N:$N, Aux_Totales!$F:$F, $F224, Aux_Totales!$A:$A,#REF!), 0))</f>
        <v/>
      </c>
      <c r="LPE224" s="19" t="str">
        <f>IF(LPE220 = "", "", IFERROR(LPE220 / SUMIFS(Aux_Totales!$N:$N, Aux_Totales!$F:$F, $F224, Aux_Totales!$A:$A,#REF!), 0))</f>
        <v/>
      </c>
      <c r="LPF224" s="19" t="str">
        <f>IF(LPF220 = "", "", IFERROR(LPF220 / SUMIFS(Aux_Totales!$N:$N, Aux_Totales!$F:$F, $F224, Aux_Totales!$A:$A,#REF!), 0))</f>
        <v/>
      </c>
      <c r="LPG224" s="19" t="str">
        <f>IF(LPG220 = "", "", IFERROR(LPG220 / SUMIFS(Aux_Totales!$N:$N, Aux_Totales!$F:$F, $F224, Aux_Totales!$A:$A,#REF!), 0))</f>
        <v/>
      </c>
      <c r="LPH224" s="19" t="str">
        <f>IF(LPH220 = "", "", IFERROR(LPH220 / SUMIFS(Aux_Totales!$N:$N, Aux_Totales!$F:$F, $F224, Aux_Totales!$A:$A,#REF!), 0))</f>
        <v/>
      </c>
      <c r="LPI224" s="19" t="str">
        <f>IF(LPI220 = "", "", IFERROR(LPI220 / SUMIFS(Aux_Totales!$N:$N, Aux_Totales!$F:$F, $F224, Aux_Totales!$A:$A,#REF!), 0))</f>
        <v/>
      </c>
      <c r="LPJ224" s="19" t="str">
        <f>IF(LPJ220 = "", "", IFERROR(LPJ220 / SUMIFS(Aux_Totales!$N:$N, Aux_Totales!$F:$F, $F224, Aux_Totales!$A:$A,#REF!), 0))</f>
        <v/>
      </c>
      <c r="LPK224" s="19" t="str">
        <f>IF(LPK220 = "", "", IFERROR(LPK220 / SUMIFS(Aux_Totales!$N:$N, Aux_Totales!$F:$F, $F224, Aux_Totales!$A:$A,#REF!), 0))</f>
        <v/>
      </c>
      <c r="LPL224" s="19" t="str">
        <f>IF(LPL220 = "", "", IFERROR(LPL220 / SUMIFS(Aux_Totales!$N:$N, Aux_Totales!$F:$F, $F224, Aux_Totales!$A:$A,#REF!), 0))</f>
        <v/>
      </c>
      <c r="LPM224" s="19" t="str">
        <f>IF(LPM220 = "", "", IFERROR(LPM220 / SUMIFS(Aux_Totales!$N:$N, Aux_Totales!$F:$F, $F224, Aux_Totales!$A:$A,#REF!), 0))</f>
        <v/>
      </c>
      <c r="LPN224" s="19" t="str">
        <f>IF(LPN220 = "", "", IFERROR(LPN220 / SUMIFS(Aux_Totales!$N:$N, Aux_Totales!$F:$F, $F224, Aux_Totales!$A:$A,#REF!), 0))</f>
        <v/>
      </c>
      <c r="LPO224" s="19" t="str">
        <f>IF(LPO220 = "", "", IFERROR(LPO220 / SUMIFS(Aux_Totales!$N:$N, Aux_Totales!$F:$F, $F224, Aux_Totales!$A:$A,#REF!), 0))</f>
        <v/>
      </c>
      <c r="LPP224" s="19" t="str">
        <f>IF(LPP220 = "", "", IFERROR(LPP220 / SUMIFS(Aux_Totales!$N:$N, Aux_Totales!$F:$F, $F224, Aux_Totales!$A:$A,#REF!), 0))</f>
        <v/>
      </c>
      <c r="LPQ224" s="19" t="str">
        <f>IF(LPQ220 = "", "", IFERROR(LPQ220 / SUMIFS(Aux_Totales!$N:$N, Aux_Totales!$F:$F, $F224, Aux_Totales!$A:$A,#REF!), 0))</f>
        <v/>
      </c>
      <c r="LPR224" s="19" t="str">
        <f>IF(LPR220 = "", "", IFERROR(LPR220 / SUMIFS(Aux_Totales!$N:$N, Aux_Totales!$F:$F, $F224, Aux_Totales!$A:$A,#REF!), 0))</f>
        <v/>
      </c>
      <c r="LPS224" s="19" t="str">
        <f>IF(LPS220 = "", "", IFERROR(LPS220 / SUMIFS(Aux_Totales!$N:$N, Aux_Totales!$F:$F, $F224, Aux_Totales!$A:$A,#REF!), 0))</f>
        <v/>
      </c>
      <c r="LPT224" s="19" t="str">
        <f>IF(LPT220 = "", "", IFERROR(LPT220 / SUMIFS(Aux_Totales!$N:$N, Aux_Totales!$F:$F, $F224, Aux_Totales!$A:$A,#REF!), 0))</f>
        <v/>
      </c>
      <c r="LPU224" s="19" t="str">
        <f>IF(LPU220 = "", "", IFERROR(LPU220 / SUMIFS(Aux_Totales!$N:$N, Aux_Totales!$F:$F, $F224, Aux_Totales!$A:$A,#REF!), 0))</f>
        <v/>
      </c>
      <c r="LPV224" s="19" t="str">
        <f>IF(LPV220 = "", "", IFERROR(LPV220 / SUMIFS(Aux_Totales!$N:$N, Aux_Totales!$F:$F, $F224, Aux_Totales!$A:$A,#REF!), 0))</f>
        <v/>
      </c>
      <c r="LPW224" s="19" t="str">
        <f>IF(LPW220 = "", "", IFERROR(LPW220 / SUMIFS(Aux_Totales!$N:$N, Aux_Totales!$F:$F, $F224, Aux_Totales!$A:$A,#REF!), 0))</f>
        <v/>
      </c>
      <c r="LPX224" s="19" t="str">
        <f>IF(LPX220 = "", "", IFERROR(LPX220 / SUMIFS(Aux_Totales!$N:$N, Aux_Totales!$F:$F, $F224, Aux_Totales!$A:$A,#REF!), 0))</f>
        <v/>
      </c>
      <c r="LPY224" s="19" t="str">
        <f>IF(LPY220 = "", "", IFERROR(LPY220 / SUMIFS(Aux_Totales!$N:$N, Aux_Totales!$F:$F, $F224, Aux_Totales!$A:$A,#REF!), 0))</f>
        <v/>
      </c>
      <c r="LPZ224" s="19" t="str">
        <f>IF(LPZ220 = "", "", IFERROR(LPZ220 / SUMIFS(Aux_Totales!$N:$N, Aux_Totales!$F:$F, $F224, Aux_Totales!$A:$A,#REF!), 0))</f>
        <v/>
      </c>
      <c r="LQA224" s="19" t="str">
        <f>IF(LQA220 = "", "", IFERROR(LQA220 / SUMIFS(Aux_Totales!$N:$N, Aux_Totales!$F:$F, $F224, Aux_Totales!$A:$A,#REF!), 0))</f>
        <v/>
      </c>
      <c r="LQB224" s="19" t="str">
        <f>IF(LQB220 = "", "", IFERROR(LQB220 / SUMIFS(Aux_Totales!$N:$N, Aux_Totales!$F:$F, $F224, Aux_Totales!$A:$A,#REF!), 0))</f>
        <v/>
      </c>
      <c r="LQC224" s="19" t="str">
        <f>IF(LQC220 = "", "", IFERROR(LQC220 / SUMIFS(Aux_Totales!$N:$N, Aux_Totales!$F:$F, $F224, Aux_Totales!$A:$A,#REF!), 0))</f>
        <v/>
      </c>
      <c r="LQD224" s="19" t="str">
        <f>IF(LQD220 = "", "", IFERROR(LQD220 / SUMIFS(Aux_Totales!$N:$N, Aux_Totales!$F:$F, $F224, Aux_Totales!$A:$A,#REF!), 0))</f>
        <v/>
      </c>
      <c r="LQE224" s="19" t="str">
        <f>IF(LQE220 = "", "", IFERROR(LQE220 / SUMIFS(Aux_Totales!$N:$N, Aux_Totales!$F:$F, $F224, Aux_Totales!$A:$A,#REF!), 0))</f>
        <v/>
      </c>
      <c r="LQF224" s="19" t="str">
        <f>IF(LQF220 = "", "", IFERROR(LQF220 / SUMIFS(Aux_Totales!$N:$N, Aux_Totales!$F:$F, $F224, Aux_Totales!$A:$A,#REF!), 0))</f>
        <v/>
      </c>
      <c r="LQG224" s="19" t="str">
        <f>IF(LQG220 = "", "", IFERROR(LQG220 / SUMIFS(Aux_Totales!$N:$N, Aux_Totales!$F:$F, $F224, Aux_Totales!$A:$A,#REF!), 0))</f>
        <v/>
      </c>
      <c r="LQH224" s="19" t="str">
        <f>IF(LQH220 = "", "", IFERROR(LQH220 / SUMIFS(Aux_Totales!$N:$N, Aux_Totales!$F:$F, $F224, Aux_Totales!$A:$A,#REF!), 0))</f>
        <v/>
      </c>
      <c r="LQI224" s="19" t="str">
        <f>IF(LQI220 = "", "", IFERROR(LQI220 / SUMIFS(Aux_Totales!$N:$N, Aux_Totales!$F:$F, $F224, Aux_Totales!$A:$A,#REF!), 0))</f>
        <v/>
      </c>
      <c r="LQJ224" s="19" t="str">
        <f>IF(LQJ220 = "", "", IFERROR(LQJ220 / SUMIFS(Aux_Totales!$N:$N, Aux_Totales!$F:$F, $F224, Aux_Totales!$A:$A,#REF!), 0))</f>
        <v/>
      </c>
      <c r="LQK224" s="19" t="str">
        <f>IF(LQK220 = "", "", IFERROR(LQK220 / SUMIFS(Aux_Totales!$N:$N, Aux_Totales!$F:$F, $F224, Aux_Totales!$A:$A,#REF!), 0))</f>
        <v/>
      </c>
      <c r="LQL224" s="19" t="str">
        <f>IF(LQL220 = "", "", IFERROR(LQL220 / SUMIFS(Aux_Totales!$N:$N, Aux_Totales!$F:$F, $F224, Aux_Totales!$A:$A,#REF!), 0))</f>
        <v/>
      </c>
      <c r="LQM224" s="19" t="str">
        <f>IF(LQM220 = "", "", IFERROR(LQM220 / SUMIFS(Aux_Totales!$N:$N, Aux_Totales!$F:$F, $F224, Aux_Totales!$A:$A,#REF!), 0))</f>
        <v/>
      </c>
      <c r="LQN224" s="19" t="str">
        <f>IF(LQN220 = "", "", IFERROR(LQN220 / SUMIFS(Aux_Totales!$N:$N, Aux_Totales!$F:$F, $F224, Aux_Totales!$A:$A,#REF!), 0))</f>
        <v/>
      </c>
      <c r="LQO224" s="19" t="str">
        <f>IF(LQO220 = "", "", IFERROR(LQO220 / SUMIFS(Aux_Totales!$N:$N, Aux_Totales!$F:$F, $F224, Aux_Totales!$A:$A,#REF!), 0))</f>
        <v/>
      </c>
      <c r="LQP224" s="19" t="str">
        <f>IF(LQP220 = "", "", IFERROR(LQP220 / SUMIFS(Aux_Totales!$N:$N, Aux_Totales!$F:$F, $F224, Aux_Totales!$A:$A,#REF!), 0))</f>
        <v/>
      </c>
      <c r="LQQ224" s="19" t="str">
        <f>IF(LQQ220 = "", "", IFERROR(LQQ220 / SUMIFS(Aux_Totales!$N:$N, Aux_Totales!$F:$F, $F224, Aux_Totales!$A:$A,#REF!), 0))</f>
        <v/>
      </c>
      <c r="LQR224" s="19" t="str">
        <f>IF(LQR220 = "", "", IFERROR(LQR220 / SUMIFS(Aux_Totales!$N:$N, Aux_Totales!$F:$F, $F224, Aux_Totales!$A:$A,#REF!), 0))</f>
        <v/>
      </c>
      <c r="LQS224" s="19" t="str">
        <f>IF(LQS220 = "", "", IFERROR(LQS220 / SUMIFS(Aux_Totales!$N:$N, Aux_Totales!$F:$F, $F224, Aux_Totales!$A:$A,#REF!), 0))</f>
        <v/>
      </c>
      <c r="LQT224" s="19" t="str">
        <f>IF(LQT220 = "", "", IFERROR(LQT220 / SUMIFS(Aux_Totales!$N:$N, Aux_Totales!$F:$F, $F224, Aux_Totales!$A:$A,#REF!), 0))</f>
        <v/>
      </c>
      <c r="LQU224" s="19" t="str">
        <f>IF(LQU220 = "", "", IFERROR(LQU220 / SUMIFS(Aux_Totales!$N:$N, Aux_Totales!$F:$F, $F224, Aux_Totales!$A:$A,#REF!), 0))</f>
        <v/>
      </c>
      <c r="LQV224" s="19" t="str">
        <f>IF(LQV220 = "", "", IFERROR(LQV220 / SUMIFS(Aux_Totales!$N:$N, Aux_Totales!$F:$F, $F224, Aux_Totales!$A:$A,#REF!), 0))</f>
        <v/>
      </c>
      <c r="LQW224" s="19" t="str">
        <f>IF(LQW220 = "", "", IFERROR(LQW220 / SUMIFS(Aux_Totales!$N:$N, Aux_Totales!$F:$F, $F224, Aux_Totales!$A:$A,#REF!), 0))</f>
        <v/>
      </c>
      <c r="LQX224" s="19" t="str">
        <f>IF(LQX220 = "", "", IFERROR(LQX220 / SUMIFS(Aux_Totales!$N:$N, Aux_Totales!$F:$F, $F224, Aux_Totales!$A:$A,#REF!), 0))</f>
        <v/>
      </c>
      <c r="LQY224" s="19" t="str">
        <f>IF(LQY220 = "", "", IFERROR(LQY220 / SUMIFS(Aux_Totales!$N:$N, Aux_Totales!$F:$F, $F224, Aux_Totales!$A:$A,#REF!), 0))</f>
        <v/>
      </c>
      <c r="LQZ224" s="19" t="str">
        <f>IF(LQZ220 = "", "", IFERROR(LQZ220 / SUMIFS(Aux_Totales!$N:$N, Aux_Totales!$F:$F, $F224, Aux_Totales!$A:$A,#REF!), 0))</f>
        <v/>
      </c>
      <c r="LRA224" s="19" t="str">
        <f>IF(LRA220 = "", "", IFERROR(LRA220 / SUMIFS(Aux_Totales!$N:$N, Aux_Totales!$F:$F, $F224, Aux_Totales!$A:$A,#REF!), 0))</f>
        <v/>
      </c>
      <c r="LRB224" s="19" t="str">
        <f>IF(LRB220 = "", "", IFERROR(LRB220 / SUMIFS(Aux_Totales!$N:$N, Aux_Totales!$F:$F, $F224, Aux_Totales!$A:$A,#REF!), 0))</f>
        <v/>
      </c>
      <c r="LRC224" s="19" t="str">
        <f>IF(LRC220 = "", "", IFERROR(LRC220 / SUMIFS(Aux_Totales!$N:$N, Aux_Totales!$F:$F, $F224, Aux_Totales!$A:$A,#REF!), 0))</f>
        <v/>
      </c>
      <c r="LRD224" s="19" t="str">
        <f>IF(LRD220 = "", "", IFERROR(LRD220 / SUMIFS(Aux_Totales!$N:$N, Aux_Totales!$F:$F, $F224, Aux_Totales!$A:$A,#REF!), 0))</f>
        <v/>
      </c>
      <c r="LRE224" s="19" t="str">
        <f>IF(LRE220 = "", "", IFERROR(LRE220 / SUMIFS(Aux_Totales!$N:$N, Aux_Totales!$F:$F, $F224, Aux_Totales!$A:$A,#REF!), 0))</f>
        <v/>
      </c>
      <c r="LRF224" s="19" t="str">
        <f>IF(LRF220 = "", "", IFERROR(LRF220 / SUMIFS(Aux_Totales!$N:$N, Aux_Totales!$F:$F, $F224, Aux_Totales!$A:$A,#REF!), 0))</f>
        <v/>
      </c>
      <c r="LRG224" s="19" t="str">
        <f>IF(LRG220 = "", "", IFERROR(LRG220 / SUMIFS(Aux_Totales!$N:$N, Aux_Totales!$F:$F, $F224, Aux_Totales!$A:$A,#REF!), 0))</f>
        <v/>
      </c>
      <c r="LRH224" s="19" t="str">
        <f>IF(LRH220 = "", "", IFERROR(LRH220 / SUMIFS(Aux_Totales!$N:$N, Aux_Totales!$F:$F, $F224, Aux_Totales!$A:$A,#REF!), 0))</f>
        <v/>
      </c>
      <c r="LRI224" s="19" t="str">
        <f>IF(LRI220 = "", "", IFERROR(LRI220 / SUMIFS(Aux_Totales!$N:$N, Aux_Totales!$F:$F, $F224, Aux_Totales!$A:$A,#REF!), 0))</f>
        <v/>
      </c>
      <c r="LRJ224" s="19" t="str">
        <f>IF(LRJ220 = "", "", IFERROR(LRJ220 / SUMIFS(Aux_Totales!$N:$N, Aux_Totales!$F:$F, $F224, Aux_Totales!$A:$A,#REF!), 0))</f>
        <v/>
      </c>
      <c r="LRK224" s="19" t="str">
        <f>IF(LRK220 = "", "", IFERROR(LRK220 / SUMIFS(Aux_Totales!$N:$N, Aux_Totales!$F:$F, $F224, Aux_Totales!$A:$A,#REF!), 0))</f>
        <v/>
      </c>
      <c r="LRL224" s="19" t="str">
        <f>IF(LRL220 = "", "", IFERROR(LRL220 / SUMIFS(Aux_Totales!$N:$N, Aux_Totales!$F:$F, $F224, Aux_Totales!$A:$A,#REF!), 0))</f>
        <v/>
      </c>
      <c r="LRM224" s="19" t="str">
        <f>IF(LRM220 = "", "", IFERROR(LRM220 / SUMIFS(Aux_Totales!$N:$N, Aux_Totales!$F:$F, $F224, Aux_Totales!$A:$A,#REF!), 0))</f>
        <v/>
      </c>
      <c r="LRN224" s="19" t="str">
        <f>IF(LRN220 = "", "", IFERROR(LRN220 / SUMIFS(Aux_Totales!$N:$N, Aux_Totales!$F:$F, $F224, Aux_Totales!$A:$A,#REF!), 0))</f>
        <v/>
      </c>
      <c r="LRO224" s="19" t="str">
        <f>IF(LRO220 = "", "", IFERROR(LRO220 / SUMIFS(Aux_Totales!$N:$N, Aux_Totales!$F:$F, $F224, Aux_Totales!$A:$A,#REF!), 0))</f>
        <v/>
      </c>
      <c r="LRP224" s="19" t="str">
        <f>IF(LRP220 = "", "", IFERROR(LRP220 / SUMIFS(Aux_Totales!$N:$N, Aux_Totales!$F:$F, $F224, Aux_Totales!$A:$A,#REF!), 0))</f>
        <v/>
      </c>
      <c r="LRQ224" s="19" t="str">
        <f>IF(LRQ220 = "", "", IFERROR(LRQ220 / SUMIFS(Aux_Totales!$N:$N, Aux_Totales!$F:$F, $F224, Aux_Totales!$A:$A,#REF!), 0))</f>
        <v/>
      </c>
      <c r="LRR224" s="19" t="str">
        <f>IF(LRR220 = "", "", IFERROR(LRR220 / SUMIFS(Aux_Totales!$N:$N, Aux_Totales!$F:$F, $F224, Aux_Totales!$A:$A,#REF!), 0))</f>
        <v/>
      </c>
      <c r="LRS224" s="19" t="str">
        <f>IF(LRS220 = "", "", IFERROR(LRS220 / SUMIFS(Aux_Totales!$N:$N, Aux_Totales!$F:$F, $F224, Aux_Totales!$A:$A,#REF!), 0))</f>
        <v/>
      </c>
      <c r="LRT224" s="19" t="str">
        <f>IF(LRT220 = "", "", IFERROR(LRT220 / SUMIFS(Aux_Totales!$N:$N, Aux_Totales!$F:$F, $F224, Aux_Totales!$A:$A,#REF!), 0))</f>
        <v/>
      </c>
      <c r="LRU224" s="19" t="str">
        <f>IF(LRU220 = "", "", IFERROR(LRU220 / SUMIFS(Aux_Totales!$N:$N, Aux_Totales!$F:$F, $F224, Aux_Totales!$A:$A,#REF!), 0))</f>
        <v/>
      </c>
      <c r="LRV224" s="19" t="str">
        <f>IF(LRV220 = "", "", IFERROR(LRV220 / SUMIFS(Aux_Totales!$N:$N, Aux_Totales!$F:$F, $F224, Aux_Totales!$A:$A,#REF!), 0))</f>
        <v/>
      </c>
      <c r="LRW224" s="19" t="str">
        <f>IF(LRW220 = "", "", IFERROR(LRW220 / SUMIFS(Aux_Totales!$N:$N, Aux_Totales!$F:$F, $F224, Aux_Totales!$A:$A,#REF!), 0))</f>
        <v/>
      </c>
      <c r="LRX224" s="19" t="str">
        <f>IF(LRX220 = "", "", IFERROR(LRX220 / SUMIFS(Aux_Totales!$N:$N, Aux_Totales!$F:$F, $F224, Aux_Totales!$A:$A,#REF!), 0))</f>
        <v/>
      </c>
      <c r="LRY224" s="19" t="str">
        <f>IF(LRY220 = "", "", IFERROR(LRY220 / SUMIFS(Aux_Totales!$N:$N, Aux_Totales!$F:$F, $F224, Aux_Totales!$A:$A,#REF!), 0))</f>
        <v/>
      </c>
      <c r="LRZ224" s="19" t="str">
        <f>IF(LRZ220 = "", "", IFERROR(LRZ220 / SUMIFS(Aux_Totales!$N:$N, Aux_Totales!$F:$F, $F224, Aux_Totales!$A:$A,#REF!), 0))</f>
        <v/>
      </c>
      <c r="LSA224" s="19" t="str">
        <f>IF(LSA220 = "", "", IFERROR(LSA220 / SUMIFS(Aux_Totales!$N:$N, Aux_Totales!$F:$F, $F224, Aux_Totales!$A:$A,#REF!), 0))</f>
        <v/>
      </c>
      <c r="LSB224" s="19" t="str">
        <f>IF(LSB220 = "", "", IFERROR(LSB220 / SUMIFS(Aux_Totales!$N:$N, Aux_Totales!$F:$F, $F224, Aux_Totales!$A:$A,#REF!), 0))</f>
        <v/>
      </c>
      <c r="LSC224" s="19" t="str">
        <f>IF(LSC220 = "", "", IFERROR(LSC220 / SUMIFS(Aux_Totales!$N:$N, Aux_Totales!$F:$F, $F224, Aux_Totales!$A:$A,#REF!), 0))</f>
        <v/>
      </c>
      <c r="LSD224" s="19" t="str">
        <f>IF(LSD220 = "", "", IFERROR(LSD220 / SUMIFS(Aux_Totales!$N:$N, Aux_Totales!$F:$F, $F224, Aux_Totales!$A:$A,#REF!), 0))</f>
        <v/>
      </c>
      <c r="LSE224" s="19" t="str">
        <f>IF(LSE220 = "", "", IFERROR(LSE220 / SUMIFS(Aux_Totales!$N:$N, Aux_Totales!$F:$F, $F224, Aux_Totales!$A:$A,#REF!), 0))</f>
        <v/>
      </c>
      <c r="LSF224" s="19" t="str">
        <f>IF(LSF220 = "", "", IFERROR(LSF220 / SUMIFS(Aux_Totales!$N:$N, Aux_Totales!$F:$F, $F224, Aux_Totales!$A:$A,#REF!), 0))</f>
        <v/>
      </c>
      <c r="LSG224" s="19" t="str">
        <f>IF(LSG220 = "", "", IFERROR(LSG220 / SUMIFS(Aux_Totales!$N:$N, Aux_Totales!$F:$F, $F224, Aux_Totales!$A:$A,#REF!), 0))</f>
        <v/>
      </c>
      <c r="LSH224" s="19" t="str">
        <f>IF(LSH220 = "", "", IFERROR(LSH220 / SUMIFS(Aux_Totales!$N:$N, Aux_Totales!$F:$F, $F224, Aux_Totales!$A:$A,#REF!), 0))</f>
        <v/>
      </c>
      <c r="LSI224" s="19" t="str">
        <f>IF(LSI220 = "", "", IFERROR(LSI220 / SUMIFS(Aux_Totales!$N:$N, Aux_Totales!$F:$F, $F224, Aux_Totales!$A:$A,#REF!), 0))</f>
        <v/>
      </c>
      <c r="LSJ224" s="19" t="str">
        <f>IF(LSJ220 = "", "", IFERROR(LSJ220 / SUMIFS(Aux_Totales!$N:$N, Aux_Totales!$F:$F, $F224, Aux_Totales!$A:$A,#REF!), 0))</f>
        <v/>
      </c>
      <c r="LSK224" s="19" t="str">
        <f>IF(LSK220 = "", "", IFERROR(LSK220 / SUMIFS(Aux_Totales!$N:$N, Aux_Totales!$F:$F, $F224, Aux_Totales!$A:$A,#REF!), 0))</f>
        <v/>
      </c>
      <c r="LSL224" s="19" t="str">
        <f>IF(LSL220 = "", "", IFERROR(LSL220 / SUMIFS(Aux_Totales!$N:$N, Aux_Totales!$F:$F, $F224, Aux_Totales!$A:$A,#REF!), 0))</f>
        <v/>
      </c>
      <c r="LSM224" s="19" t="str">
        <f>IF(LSM220 = "", "", IFERROR(LSM220 / SUMIFS(Aux_Totales!$N:$N, Aux_Totales!$F:$F, $F224, Aux_Totales!$A:$A,#REF!), 0))</f>
        <v/>
      </c>
      <c r="LSN224" s="19" t="str">
        <f>IF(LSN220 = "", "", IFERROR(LSN220 / SUMIFS(Aux_Totales!$N:$N, Aux_Totales!$F:$F, $F224, Aux_Totales!$A:$A,#REF!), 0))</f>
        <v/>
      </c>
      <c r="LSO224" s="19" t="str">
        <f>IF(LSO220 = "", "", IFERROR(LSO220 / SUMIFS(Aux_Totales!$N:$N, Aux_Totales!$F:$F, $F224, Aux_Totales!$A:$A,#REF!), 0))</f>
        <v/>
      </c>
      <c r="LSP224" s="19" t="str">
        <f>IF(LSP220 = "", "", IFERROR(LSP220 / SUMIFS(Aux_Totales!$N:$N, Aux_Totales!$F:$F, $F224, Aux_Totales!$A:$A,#REF!), 0))</f>
        <v/>
      </c>
      <c r="LSQ224" s="19" t="str">
        <f>IF(LSQ220 = "", "", IFERROR(LSQ220 / SUMIFS(Aux_Totales!$N:$N, Aux_Totales!$F:$F, $F224, Aux_Totales!$A:$A,#REF!), 0))</f>
        <v/>
      </c>
      <c r="LSR224" s="19" t="str">
        <f>IF(LSR220 = "", "", IFERROR(LSR220 / SUMIFS(Aux_Totales!$N:$N, Aux_Totales!$F:$F, $F224, Aux_Totales!$A:$A,#REF!), 0))</f>
        <v/>
      </c>
      <c r="LSS224" s="19" t="str">
        <f>IF(LSS220 = "", "", IFERROR(LSS220 / SUMIFS(Aux_Totales!$N:$N, Aux_Totales!$F:$F, $F224, Aux_Totales!$A:$A,#REF!), 0))</f>
        <v/>
      </c>
      <c r="LST224" s="19" t="str">
        <f>IF(LST220 = "", "", IFERROR(LST220 / SUMIFS(Aux_Totales!$N:$N, Aux_Totales!$F:$F, $F224, Aux_Totales!$A:$A,#REF!), 0))</f>
        <v/>
      </c>
      <c r="LSU224" s="19" t="str">
        <f>IF(LSU220 = "", "", IFERROR(LSU220 / SUMIFS(Aux_Totales!$N:$N, Aux_Totales!$F:$F, $F224, Aux_Totales!$A:$A,#REF!), 0))</f>
        <v/>
      </c>
      <c r="LSV224" s="19" t="str">
        <f>IF(LSV220 = "", "", IFERROR(LSV220 / SUMIFS(Aux_Totales!$N:$N, Aux_Totales!$F:$F, $F224, Aux_Totales!$A:$A,#REF!), 0))</f>
        <v/>
      </c>
      <c r="LSW224" s="19" t="str">
        <f>IF(LSW220 = "", "", IFERROR(LSW220 / SUMIFS(Aux_Totales!$N:$N, Aux_Totales!$F:$F, $F224, Aux_Totales!$A:$A,#REF!), 0))</f>
        <v/>
      </c>
      <c r="LSX224" s="19" t="str">
        <f>IF(LSX220 = "", "", IFERROR(LSX220 / SUMIFS(Aux_Totales!$N:$N, Aux_Totales!$F:$F, $F224, Aux_Totales!$A:$A,#REF!), 0))</f>
        <v/>
      </c>
      <c r="LSY224" s="19" t="str">
        <f>IF(LSY220 = "", "", IFERROR(LSY220 / SUMIFS(Aux_Totales!$N:$N, Aux_Totales!$F:$F, $F224, Aux_Totales!$A:$A,#REF!), 0))</f>
        <v/>
      </c>
      <c r="LSZ224" s="19" t="str">
        <f>IF(LSZ220 = "", "", IFERROR(LSZ220 / SUMIFS(Aux_Totales!$N:$N, Aux_Totales!$F:$F, $F224, Aux_Totales!$A:$A,#REF!), 0))</f>
        <v/>
      </c>
      <c r="LTA224" s="19" t="str">
        <f>IF(LTA220 = "", "", IFERROR(LTA220 / SUMIFS(Aux_Totales!$N:$N, Aux_Totales!$F:$F, $F224, Aux_Totales!$A:$A,#REF!), 0))</f>
        <v/>
      </c>
      <c r="LTB224" s="19" t="str">
        <f>IF(LTB220 = "", "", IFERROR(LTB220 / SUMIFS(Aux_Totales!$N:$N, Aux_Totales!$F:$F, $F224, Aux_Totales!$A:$A,#REF!), 0))</f>
        <v/>
      </c>
      <c r="LTC224" s="19" t="str">
        <f>IF(LTC220 = "", "", IFERROR(LTC220 / SUMIFS(Aux_Totales!$N:$N, Aux_Totales!$F:$F, $F224, Aux_Totales!$A:$A,#REF!), 0))</f>
        <v/>
      </c>
      <c r="LTD224" s="19" t="str">
        <f>IF(LTD220 = "", "", IFERROR(LTD220 / SUMIFS(Aux_Totales!$N:$N, Aux_Totales!$F:$F, $F224, Aux_Totales!$A:$A,#REF!), 0))</f>
        <v/>
      </c>
      <c r="LTE224" s="19" t="str">
        <f>IF(LTE220 = "", "", IFERROR(LTE220 / SUMIFS(Aux_Totales!$N:$N, Aux_Totales!$F:$F, $F224, Aux_Totales!$A:$A,#REF!), 0))</f>
        <v/>
      </c>
      <c r="LTF224" s="19" t="str">
        <f>IF(LTF220 = "", "", IFERROR(LTF220 / SUMIFS(Aux_Totales!$N:$N, Aux_Totales!$F:$F, $F224, Aux_Totales!$A:$A,#REF!), 0))</f>
        <v/>
      </c>
      <c r="LTG224" s="19" t="str">
        <f>IF(LTG220 = "", "", IFERROR(LTG220 / SUMIFS(Aux_Totales!$N:$N, Aux_Totales!$F:$F, $F224, Aux_Totales!$A:$A,#REF!), 0))</f>
        <v/>
      </c>
      <c r="LTH224" s="19" t="str">
        <f>IF(LTH220 = "", "", IFERROR(LTH220 / SUMIFS(Aux_Totales!$N:$N, Aux_Totales!$F:$F, $F224, Aux_Totales!$A:$A,#REF!), 0))</f>
        <v/>
      </c>
      <c r="LTI224" s="19" t="str">
        <f>IF(LTI220 = "", "", IFERROR(LTI220 / SUMIFS(Aux_Totales!$N:$N, Aux_Totales!$F:$F, $F224, Aux_Totales!$A:$A,#REF!), 0))</f>
        <v/>
      </c>
      <c r="LTJ224" s="19" t="str">
        <f>IF(LTJ220 = "", "", IFERROR(LTJ220 / SUMIFS(Aux_Totales!$N:$N, Aux_Totales!$F:$F, $F224, Aux_Totales!$A:$A,#REF!), 0))</f>
        <v/>
      </c>
      <c r="LTK224" s="19" t="str">
        <f>IF(LTK220 = "", "", IFERROR(LTK220 / SUMIFS(Aux_Totales!$N:$N, Aux_Totales!$F:$F, $F224, Aux_Totales!$A:$A,#REF!), 0))</f>
        <v/>
      </c>
      <c r="LTL224" s="19" t="str">
        <f>IF(LTL220 = "", "", IFERROR(LTL220 / SUMIFS(Aux_Totales!$N:$N, Aux_Totales!$F:$F, $F224, Aux_Totales!$A:$A,#REF!), 0))</f>
        <v/>
      </c>
      <c r="LTM224" s="19" t="str">
        <f>IF(LTM220 = "", "", IFERROR(LTM220 / SUMIFS(Aux_Totales!$N:$N, Aux_Totales!$F:$F, $F224, Aux_Totales!$A:$A,#REF!), 0))</f>
        <v/>
      </c>
      <c r="LTN224" s="19" t="str">
        <f>IF(LTN220 = "", "", IFERROR(LTN220 / SUMIFS(Aux_Totales!$N:$N, Aux_Totales!$F:$F, $F224, Aux_Totales!$A:$A,#REF!), 0))</f>
        <v/>
      </c>
      <c r="LTO224" s="19" t="str">
        <f>IF(LTO220 = "", "", IFERROR(LTO220 / SUMIFS(Aux_Totales!$N:$N, Aux_Totales!$F:$F, $F224, Aux_Totales!$A:$A,#REF!), 0))</f>
        <v/>
      </c>
      <c r="LTP224" s="19" t="str">
        <f>IF(LTP220 = "", "", IFERROR(LTP220 / SUMIFS(Aux_Totales!$N:$N, Aux_Totales!$F:$F, $F224, Aux_Totales!$A:$A,#REF!), 0))</f>
        <v/>
      </c>
      <c r="LTQ224" s="19" t="str">
        <f>IF(LTQ220 = "", "", IFERROR(LTQ220 / SUMIFS(Aux_Totales!$N:$N, Aux_Totales!$F:$F, $F224, Aux_Totales!$A:$A,#REF!), 0))</f>
        <v/>
      </c>
      <c r="LTR224" s="19" t="str">
        <f>IF(LTR220 = "", "", IFERROR(LTR220 / SUMIFS(Aux_Totales!$N:$N, Aux_Totales!$F:$F, $F224, Aux_Totales!$A:$A,#REF!), 0))</f>
        <v/>
      </c>
      <c r="LTS224" s="19" t="str">
        <f>IF(LTS220 = "", "", IFERROR(LTS220 / SUMIFS(Aux_Totales!$N:$N, Aux_Totales!$F:$F, $F224, Aux_Totales!$A:$A,#REF!), 0))</f>
        <v/>
      </c>
      <c r="LTT224" s="19" t="str">
        <f>IF(LTT220 = "", "", IFERROR(LTT220 / SUMIFS(Aux_Totales!$N:$N, Aux_Totales!$F:$F, $F224, Aux_Totales!$A:$A,#REF!), 0))</f>
        <v/>
      </c>
      <c r="LTU224" s="19" t="str">
        <f>IF(LTU220 = "", "", IFERROR(LTU220 / SUMIFS(Aux_Totales!$N:$N, Aux_Totales!$F:$F, $F224, Aux_Totales!$A:$A,#REF!), 0))</f>
        <v/>
      </c>
      <c r="LTV224" s="19" t="str">
        <f>IF(LTV220 = "", "", IFERROR(LTV220 / SUMIFS(Aux_Totales!$N:$N, Aux_Totales!$F:$F, $F224, Aux_Totales!$A:$A,#REF!), 0))</f>
        <v/>
      </c>
      <c r="LTW224" s="19" t="str">
        <f>IF(LTW220 = "", "", IFERROR(LTW220 / SUMIFS(Aux_Totales!$N:$N, Aux_Totales!$F:$F, $F224, Aux_Totales!$A:$A,#REF!), 0))</f>
        <v/>
      </c>
      <c r="LTX224" s="19" t="str">
        <f>IF(LTX220 = "", "", IFERROR(LTX220 / SUMIFS(Aux_Totales!$N:$N, Aux_Totales!$F:$F, $F224, Aux_Totales!$A:$A,#REF!), 0))</f>
        <v/>
      </c>
      <c r="LTY224" s="19" t="str">
        <f>IF(LTY220 = "", "", IFERROR(LTY220 / SUMIFS(Aux_Totales!$N:$N, Aux_Totales!$F:$F, $F224, Aux_Totales!$A:$A,#REF!), 0))</f>
        <v/>
      </c>
      <c r="LTZ224" s="19" t="str">
        <f>IF(LTZ220 = "", "", IFERROR(LTZ220 / SUMIFS(Aux_Totales!$N:$N, Aux_Totales!$F:$F, $F224, Aux_Totales!$A:$A,#REF!), 0))</f>
        <v/>
      </c>
      <c r="LUA224" s="19" t="str">
        <f>IF(LUA220 = "", "", IFERROR(LUA220 / SUMIFS(Aux_Totales!$N:$N, Aux_Totales!$F:$F, $F224, Aux_Totales!$A:$A,#REF!), 0))</f>
        <v/>
      </c>
      <c r="LUB224" s="19" t="str">
        <f>IF(LUB220 = "", "", IFERROR(LUB220 / SUMIFS(Aux_Totales!$N:$N, Aux_Totales!$F:$F, $F224, Aux_Totales!$A:$A,#REF!), 0))</f>
        <v/>
      </c>
      <c r="LUC224" s="19" t="str">
        <f>IF(LUC220 = "", "", IFERROR(LUC220 / SUMIFS(Aux_Totales!$N:$N, Aux_Totales!$F:$F, $F224, Aux_Totales!$A:$A,#REF!), 0))</f>
        <v/>
      </c>
      <c r="LUD224" s="19" t="str">
        <f>IF(LUD220 = "", "", IFERROR(LUD220 / SUMIFS(Aux_Totales!$N:$N, Aux_Totales!$F:$F, $F224, Aux_Totales!$A:$A,#REF!), 0))</f>
        <v/>
      </c>
      <c r="LUE224" s="19" t="str">
        <f>IF(LUE220 = "", "", IFERROR(LUE220 / SUMIFS(Aux_Totales!$N:$N, Aux_Totales!$F:$F, $F224, Aux_Totales!$A:$A,#REF!), 0))</f>
        <v/>
      </c>
      <c r="LUF224" s="19" t="str">
        <f>IF(LUF220 = "", "", IFERROR(LUF220 / SUMIFS(Aux_Totales!$N:$N, Aux_Totales!$F:$F, $F224, Aux_Totales!$A:$A,#REF!), 0))</f>
        <v/>
      </c>
      <c r="LUG224" s="19" t="str">
        <f>IF(LUG220 = "", "", IFERROR(LUG220 / SUMIFS(Aux_Totales!$N:$N, Aux_Totales!$F:$F, $F224, Aux_Totales!$A:$A,#REF!), 0))</f>
        <v/>
      </c>
      <c r="LUH224" s="19" t="str">
        <f>IF(LUH220 = "", "", IFERROR(LUH220 / SUMIFS(Aux_Totales!$N:$N, Aux_Totales!$F:$F, $F224, Aux_Totales!$A:$A,#REF!), 0))</f>
        <v/>
      </c>
      <c r="LUI224" s="19" t="str">
        <f>IF(LUI220 = "", "", IFERROR(LUI220 / SUMIFS(Aux_Totales!$N:$N, Aux_Totales!$F:$F, $F224, Aux_Totales!$A:$A,#REF!), 0))</f>
        <v/>
      </c>
      <c r="LUJ224" s="19" t="str">
        <f>IF(LUJ220 = "", "", IFERROR(LUJ220 / SUMIFS(Aux_Totales!$N:$N, Aux_Totales!$F:$F, $F224, Aux_Totales!$A:$A,#REF!), 0))</f>
        <v/>
      </c>
      <c r="LUK224" s="19" t="str">
        <f>IF(LUK220 = "", "", IFERROR(LUK220 / SUMIFS(Aux_Totales!$N:$N, Aux_Totales!$F:$F, $F224, Aux_Totales!$A:$A,#REF!), 0))</f>
        <v/>
      </c>
      <c r="LUL224" s="19" t="str">
        <f>IF(LUL220 = "", "", IFERROR(LUL220 / SUMIFS(Aux_Totales!$N:$N, Aux_Totales!$F:$F, $F224, Aux_Totales!$A:$A,#REF!), 0))</f>
        <v/>
      </c>
      <c r="LUM224" s="19" t="str">
        <f>IF(LUM220 = "", "", IFERROR(LUM220 / SUMIFS(Aux_Totales!$N:$N, Aux_Totales!$F:$F, $F224, Aux_Totales!$A:$A,#REF!), 0))</f>
        <v/>
      </c>
      <c r="LUN224" s="19" t="str">
        <f>IF(LUN220 = "", "", IFERROR(LUN220 / SUMIFS(Aux_Totales!$N:$N, Aux_Totales!$F:$F, $F224, Aux_Totales!$A:$A,#REF!), 0))</f>
        <v/>
      </c>
      <c r="LUO224" s="19" t="str">
        <f>IF(LUO220 = "", "", IFERROR(LUO220 / SUMIFS(Aux_Totales!$N:$N, Aux_Totales!$F:$F, $F224, Aux_Totales!$A:$A,#REF!), 0))</f>
        <v/>
      </c>
      <c r="LUP224" s="19" t="str">
        <f>IF(LUP220 = "", "", IFERROR(LUP220 / SUMIFS(Aux_Totales!$N:$N, Aux_Totales!$F:$F, $F224, Aux_Totales!$A:$A,#REF!), 0))</f>
        <v/>
      </c>
      <c r="LUQ224" s="19" t="str">
        <f>IF(LUQ220 = "", "", IFERROR(LUQ220 / SUMIFS(Aux_Totales!$N:$N, Aux_Totales!$F:$F, $F224, Aux_Totales!$A:$A,#REF!), 0))</f>
        <v/>
      </c>
      <c r="LUR224" s="19" t="str">
        <f>IF(LUR220 = "", "", IFERROR(LUR220 / SUMIFS(Aux_Totales!$N:$N, Aux_Totales!$F:$F, $F224, Aux_Totales!$A:$A,#REF!), 0))</f>
        <v/>
      </c>
      <c r="LUS224" s="19" t="str">
        <f>IF(LUS220 = "", "", IFERROR(LUS220 / SUMIFS(Aux_Totales!$N:$N, Aux_Totales!$F:$F, $F224, Aux_Totales!$A:$A,#REF!), 0))</f>
        <v/>
      </c>
      <c r="LUT224" s="19" t="str">
        <f>IF(LUT220 = "", "", IFERROR(LUT220 / SUMIFS(Aux_Totales!$N:$N, Aux_Totales!$F:$F, $F224, Aux_Totales!$A:$A,#REF!), 0))</f>
        <v/>
      </c>
      <c r="LUU224" s="19" t="str">
        <f>IF(LUU220 = "", "", IFERROR(LUU220 / SUMIFS(Aux_Totales!$N:$N, Aux_Totales!$F:$F, $F224, Aux_Totales!$A:$A,#REF!), 0))</f>
        <v/>
      </c>
      <c r="LUV224" s="19" t="str">
        <f>IF(LUV220 = "", "", IFERROR(LUV220 / SUMIFS(Aux_Totales!$N:$N, Aux_Totales!$F:$F, $F224, Aux_Totales!$A:$A,#REF!), 0))</f>
        <v/>
      </c>
      <c r="LUW224" s="19" t="str">
        <f>IF(LUW220 = "", "", IFERROR(LUW220 / SUMIFS(Aux_Totales!$N:$N, Aux_Totales!$F:$F, $F224, Aux_Totales!$A:$A,#REF!), 0))</f>
        <v/>
      </c>
      <c r="LUX224" s="19" t="str">
        <f>IF(LUX220 = "", "", IFERROR(LUX220 / SUMIFS(Aux_Totales!$N:$N, Aux_Totales!$F:$F, $F224, Aux_Totales!$A:$A,#REF!), 0))</f>
        <v/>
      </c>
      <c r="LUY224" s="19" t="str">
        <f>IF(LUY220 = "", "", IFERROR(LUY220 / SUMIFS(Aux_Totales!$N:$N, Aux_Totales!$F:$F, $F224, Aux_Totales!$A:$A,#REF!), 0))</f>
        <v/>
      </c>
      <c r="LUZ224" s="19" t="str">
        <f>IF(LUZ220 = "", "", IFERROR(LUZ220 / SUMIFS(Aux_Totales!$N:$N, Aux_Totales!$F:$F, $F224, Aux_Totales!$A:$A,#REF!), 0))</f>
        <v/>
      </c>
      <c r="LVA224" s="19" t="str">
        <f>IF(LVA220 = "", "", IFERROR(LVA220 / SUMIFS(Aux_Totales!$N:$N, Aux_Totales!$F:$F, $F224, Aux_Totales!$A:$A,#REF!), 0))</f>
        <v/>
      </c>
      <c r="LVB224" s="19" t="str">
        <f>IF(LVB220 = "", "", IFERROR(LVB220 / SUMIFS(Aux_Totales!$N:$N, Aux_Totales!$F:$F, $F224, Aux_Totales!$A:$A,#REF!), 0))</f>
        <v/>
      </c>
      <c r="LVC224" s="19" t="str">
        <f>IF(LVC220 = "", "", IFERROR(LVC220 / SUMIFS(Aux_Totales!$N:$N, Aux_Totales!$F:$F, $F224, Aux_Totales!$A:$A,#REF!), 0))</f>
        <v/>
      </c>
      <c r="LVD224" s="19" t="str">
        <f>IF(LVD220 = "", "", IFERROR(LVD220 / SUMIFS(Aux_Totales!$N:$N, Aux_Totales!$F:$F, $F224, Aux_Totales!$A:$A,#REF!), 0))</f>
        <v/>
      </c>
      <c r="LVE224" s="19" t="str">
        <f>IF(LVE220 = "", "", IFERROR(LVE220 / SUMIFS(Aux_Totales!$N:$N, Aux_Totales!$F:$F, $F224, Aux_Totales!$A:$A,#REF!), 0))</f>
        <v/>
      </c>
      <c r="LVF224" s="19" t="str">
        <f>IF(LVF220 = "", "", IFERROR(LVF220 / SUMIFS(Aux_Totales!$N:$N, Aux_Totales!$F:$F, $F224, Aux_Totales!$A:$A,#REF!), 0))</f>
        <v/>
      </c>
      <c r="LVG224" s="19" t="str">
        <f>IF(LVG220 = "", "", IFERROR(LVG220 / SUMIFS(Aux_Totales!$N:$N, Aux_Totales!$F:$F, $F224, Aux_Totales!$A:$A,#REF!), 0))</f>
        <v/>
      </c>
      <c r="LVH224" s="19" t="str">
        <f>IF(LVH220 = "", "", IFERROR(LVH220 / SUMIFS(Aux_Totales!$N:$N, Aux_Totales!$F:$F, $F224, Aux_Totales!$A:$A,#REF!), 0))</f>
        <v/>
      </c>
      <c r="LVI224" s="19" t="str">
        <f>IF(LVI220 = "", "", IFERROR(LVI220 / SUMIFS(Aux_Totales!$N:$N, Aux_Totales!$F:$F, $F224, Aux_Totales!$A:$A,#REF!), 0))</f>
        <v/>
      </c>
      <c r="LVJ224" s="19" t="str">
        <f>IF(LVJ220 = "", "", IFERROR(LVJ220 / SUMIFS(Aux_Totales!$N:$N, Aux_Totales!$F:$F, $F224, Aux_Totales!$A:$A,#REF!), 0))</f>
        <v/>
      </c>
      <c r="LVK224" s="19" t="str">
        <f>IF(LVK220 = "", "", IFERROR(LVK220 / SUMIFS(Aux_Totales!$N:$N, Aux_Totales!$F:$F, $F224, Aux_Totales!$A:$A,#REF!), 0))</f>
        <v/>
      </c>
      <c r="LVL224" s="19" t="str">
        <f>IF(LVL220 = "", "", IFERROR(LVL220 / SUMIFS(Aux_Totales!$N:$N, Aux_Totales!$F:$F, $F224, Aux_Totales!$A:$A,#REF!), 0))</f>
        <v/>
      </c>
      <c r="LVM224" s="19" t="str">
        <f>IF(LVM220 = "", "", IFERROR(LVM220 / SUMIFS(Aux_Totales!$N:$N, Aux_Totales!$F:$F, $F224, Aux_Totales!$A:$A,#REF!), 0))</f>
        <v/>
      </c>
      <c r="LVN224" s="19" t="str">
        <f>IF(LVN220 = "", "", IFERROR(LVN220 / SUMIFS(Aux_Totales!$N:$N, Aux_Totales!$F:$F, $F224, Aux_Totales!$A:$A,#REF!), 0))</f>
        <v/>
      </c>
      <c r="LVO224" s="19" t="str">
        <f>IF(LVO220 = "", "", IFERROR(LVO220 / SUMIFS(Aux_Totales!$N:$N, Aux_Totales!$F:$F, $F224, Aux_Totales!$A:$A,#REF!), 0))</f>
        <v/>
      </c>
      <c r="LVP224" s="19" t="str">
        <f>IF(LVP220 = "", "", IFERROR(LVP220 / SUMIFS(Aux_Totales!$N:$N, Aux_Totales!$F:$F, $F224, Aux_Totales!$A:$A,#REF!), 0))</f>
        <v/>
      </c>
      <c r="LVQ224" s="19" t="str">
        <f>IF(LVQ220 = "", "", IFERROR(LVQ220 / SUMIFS(Aux_Totales!$N:$N, Aux_Totales!$F:$F, $F224, Aux_Totales!$A:$A,#REF!), 0))</f>
        <v/>
      </c>
      <c r="LVR224" s="19" t="str">
        <f>IF(LVR220 = "", "", IFERROR(LVR220 / SUMIFS(Aux_Totales!$N:$N, Aux_Totales!$F:$F, $F224, Aux_Totales!$A:$A,#REF!), 0))</f>
        <v/>
      </c>
      <c r="LVS224" s="19" t="str">
        <f>IF(LVS220 = "", "", IFERROR(LVS220 / SUMIFS(Aux_Totales!$N:$N, Aux_Totales!$F:$F, $F224, Aux_Totales!$A:$A,#REF!), 0))</f>
        <v/>
      </c>
      <c r="LVT224" s="19" t="str">
        <f>IF(LVT220 = "", "", IFERROR(LVT220 / SUMIFS(Aux_Totales!$N:$N, Aux_Totales!$F:$F, $F224, Aux_Totales!$A:$A,#REF!), 0))</f>
        <v/>
      </c>
      <c r="LVU224" s="19" t="str">
        <f>IF(LVU220 = "", "", IFERROR(LVU220 / SUMIFS(Aux_Totales!$N:$N, Aux_Totales!$F:$F, $F224, Aux_Totales!$A:$A,#REF!), 0))</f>
        <v/>
      </c>
      <c r="LVV224" s="19" t="str">
        <f>IF(LVV220 = "", "", IFERROR(LVV220 / SUMIFS(Aux_Totales!$N:$N, Aux_Totales!$F:$F, $F224, Aux_Totales!$A:$A,#REF!), 0))</f>
        <v/>
      </c>
      <c r="LVW224" s="19" t="str">
        <f>IF(LVW220 = "", "", IFERROR(LVW220 / SUMIFS(Aux_Totales!$N:$N, Aux_Totales!$F:$F, $F224, Aux_Totales!$A:$A,#REF!), 0))</f>
        <v/>
      </c>
      <c r="LVX224" s="19" t="str">
        <f>IF(LVX220 = "", "", IFERROR(LVX220 / SUMIFS(Aux_Totales!$N:$N, Aux_Totales!$F:$F, $F224, Aux_Totales!$A:$A,#REF!), 0))</f>
        <v/>
      </c>
      <c r="LVY224" s="19" t="str">
        <f>IF(LVY220 = "", "", IFERROR(LVY220 / SUMIFS(Aux_Totales!$N:$N, Aux_Totales!$F:$F, $F224, Aux_Totales!$A:$A,#REF!), 0))</f>
        <v/>
      </c>
      <c r="LVZ224" s="19" t="str">
        <f>IF(LVZ220 = "", "", IFERROR(LVZ220 / SUMIFS(Aux_Totales!$N:$N, Aux_Totales!$F:$F, $F224, Aux_Totales!$A:$A,#REF!), 0))</f>
        <v/>
      </c>
      <c r="LWA224" s="19" t="str">
        <f>IF(LWA220 = "", "", IFERROR(LWA220 / SUMIFS(Aux_Totales!$N:$N, Aux_Totales!$F:$F, $F224, Aux_Totales!$A:$A,#REF!), 0))</f>
        <v/>
      </c>
      <c r="LWB224" s="19" t="str">
        <f>IF(LWB220 = "", "", IFERROR(LWB220 / SUMIFS(Aux_Totales!$N:$N, Aux_Totales!$F:$F, $F224, Aux_Totales!$A:$A,#REF!), 0))</f>
        <v/>
      </c>
      <c r="LWC224" s="19" t="str">
        <f>IF(LWC220 = "", "", IFERROR(LWC220 / SUMIFS(Aux_Totales!$N:$N, Aux_Totales!$F:$F, $F224, Aux_Totales!$A:$A,#REF!), 0))</f>
        <v/>
      </c>
      <c r="LWD224" s="19" t="str">
        <f>IF(LWD220 = "", "", IFERROR(LWD220 / SUMIFS(Aux_Totales!$N:$N, Aux_Totales!$F:$F, $F224, Aux_Totales!$A:$A,#REF!), 0))</f>
        <v/>
      </c>
      <c r="LWE224" s="19" t="str">
        <f>IF(LWE220 = "", "", IFERROR(LWE220 / SUMIFS(Aux_Totales!$N:$N, Aux_Totales!$F:$F, $F224, Aux_Totales!$A:$A,#REF!), 0))</f>
        <v/>
      </c>
      <c r="LWF224" s="19" t="str">
        <f>IF(LWF220 = "", "", IFERROR(LWF220 / SUMIFS(Aux_Totales!$N:$N, Aux_Totales!$F:$F, $F224, Aux_Totales!$A:$A,#REF!), 0))</f>
        <v/>
      </c>
      <c r="LWG224" s="19" t="str">
        <f>IF(LWG220 = "", "", IFERROR(LWG220 / SUMIFS(Aux_Totales!$N:$N, Aux_Totales!$F:$F, $F224, Aux_Totales!$A:$A,#REF!), 0))</f>
        <v/>
      </c>
      <c r="LWH224" s="19" t="str">
        <f>IF(LWH220 = "", "", IFERROR(LWH220 / SUMIFS(Aux_Totales!$N:$N, Aux_Totales!$F:$F, $F224, Aux_Totales!$A:$A,#REF!), 0))</f>
        <v/>
      </c>
      <c r="LWI224" s="19" t="str">
        <f>IF(LWI220 = "", "", IFERROR(LWI220 / SUMIFS(Aux_Totales!$N:$N, Aux_Totales!$F:$F, $F224, Aux_Totales!$A:$A,#REF!), 0))</f>
        <v/>
      </c>
      <c r="LWJ224" s="19" t="str">
        <f>IF(LWJ220 = "", "", IFERROR(LWJ220 / SUMIFS(Aux_Totales!$N:$N, Aux_Totales!$F:$F, $F224, Aux_Totales!$A:$A,#REF!), 0))</f>
        <v/>
      </c>
      <c r="LWK224" s="19" t="str">
        <f>IF(LWK220 = "", "", IFERROR(LWK220 / SUMIFS(Aux_Totales!$N:$N, Aux_Totales!$F:$F, $F224, Aux_Totales!$A:$A,#REF!), 0))</f>
        <v/>
      </c>
      <c r="LWL224" s="19" t="str">
        <f>IF(LWL220 = "", "", IFERROR(LWL220 / SUMIFS(Aux_Totales!$N:$N, Aux_Totales!$F:$F, $F224, Aux_Totales!$A:$A,#REF!), 0))</f>
        <v/>
      </c>
      <c r="LWM224" s="19" t="str">
        <f>IF(LWM220 = "", "", IFERROR(LWM220 / SUMIFS(Aux_Totales!$N:$N, Aux_Totales!$F:$F, $F224, Aux_Totales!$A:$A,#REF!), 0))</f>
        <v/>
      </c>
      <c r="LWN224" s="19" t="str">
        <f>IF(LWN220 = "", "", IFERROR(LWN220 / SUMIFS(Aux_Totales!$N:$N, Aux_Totales!$F:$F, $F224, Aux_Totales!$A:$A,#REF!), 0))</f>
        <v/>
      </c>
      <c r="LWO224" s="19" t="str">
        <f>IF(LWO220 = "", "", IFERROR(LWO220 / SUMIFS(Aux_Totales!$N:$N, Aux_Totales!$F:$F, $F224, Aux_Totales!$A:$A,#REF!), 0))</f>
        <v/>
      </c>
      <c r="LWP224" s="19" t="str">
        <f>IF(LWP220 = "", "", IFERROR(LWP220 / SUMIFS(Aux_Totales!$N:$N, Aux_Totales!$F:$F, $F224, Aux_Totales!$A:$A,#REF!), 0))</f>
        <v/>
      </c>
      <c r="LWQ224" s="19" t="str">
        <f>IF(LWQ220 = "", "", IFERROR(LWQ220 / SUMIFS(Aux_Totales!$N:$N, Aux_Totales!$F:$F, $F224, Aux_Totales!$A:$A,#REF!), 0))</f>
        <v/>
      </c>
      <c r="LWR224" s="19" t="str">
        <f>IF(LWR220 = "", "", IFERROR(LWR220 / SUMIFS(Aux_Totales!$N:$N, Aux_Totales!$F:$F, $F224, Aux_Totales!$A:$A,#REF!), 0))</f>
        <v/>
      </c>
      <c r="LWS224" s="19" t="str">
        <f>IF(LWS220 = "", "", IFERROR(LWS220 / SUMIFS(Aux_Totales!$N:$N, Aux_Totales!$F:$F, $F224, Aux_Totales!$A:$A,#REF!), 0))</f>
        <v/>
      </c>
      <c r="LWT224" s="19" t="str">
        <f>IF(LWT220 = "", "", IFERROR(LWT220 / SUMIFS(Aux_Totales!$N:$N, Aux_Totales!$F:$F, $F224, Aux_Totales!$A:$A,#REF!), 0))</f>
        <v/>
      </c>
      <c r="LWU224" s="19" t="str">
        <f>IF(LWU220 = "", "", IFERROR(LWU220 / SUMIFS(Aux_Totales!$N:$N, Aux_Totales!$F:$F, $F224, Aux_Totales!$A:$A,#REF!), 0))</f>
        <v/>
      </c>
      <c r="LWV224" s="19" t="str">
        <f>IF(LWV220 = "", "", IFERROR(LWV220 / SUMIFS(Aux_Totales!$N:$N, Aux_Totales!$F:$F, $F224, Aux_Totales!$A:$A,#REF!), 0))</f>
        <v/>
      </c>
      <c r="LWW224" s="19" t="str">
        <f>IF(LWW220 = "", "", IFERROR(LWW220 / SUMIFS(Aux_Totales!$N:$N, Aux_Totales!$F:$F, $F224, Aux_Totales!$A:$A,#REF!), 0))</f>
        <v/>
      </c>
      <c r="LWX224" s="19" t="str">
        <f>IF(LWX220 = "", "", IFERROR(LWX220 / SUMIFS(Aux_Totales!$N:$N, Aux_Totales!$F:$F, $F224, Aux_Totales!$A:$A,#REF!), 0))</f>
        <v/>
      </c>
      <c r="LWY224" s="19" t="str">
        <f>IF(LWY220 = "", "", IFERROR(LWY220 / SUMIFS(Aux_Totales!$N:$N, Aux_Totales!$F:$F, $F224, Aux_Totales!$A:$A,#REF!), 0))</f>
        <v/>
      </c>
      <c r="LWZ224" s="19" t="str">
        <f>IF(LWZ220 = "", "", IFERROR(LWZ220 / SUMIFS(Aux_Totales!$N:$N, Aux_Totales!$F:$F, $F224, Aux_Totales!$A:$A,#REF!), 0))</f>
        <v/>
      </c>
      <c r="LXA224" s="19" t="str">
        <f>IF(LXA220 = "", "", IFERROR(LXA220 / SUMIFS(Aux_Totales!$N:$N, Aux_Totales!$F:$F, $F224, Aux_Totales!$A:$A,#REF!), 0))</f>
        <v/>
      </c>
      <c r="LXB224" s="19" t="str">
        <f>IF(LXB220 = "", "", IFERROR(LXB220 / SUMIFS(Aux_Totales!$N:$N, Aux_Totales!$F:$F, $F224, Aux_Totales!$A:$A,#REF!), 0))</f>
        <v/>
      </c>
      <c r="LXC224" s="19" t="str">
        <f>IF(LXC220 = "", "", IFERROR(LXC220 / SUMIFS(Aux_Totales!$N:$N, Aux_Totales!$F:$F, $F224, Aux_Totales!$A:$A,#REF!), 0))</f>
        <v/>
      </c>
      <c r="LXD224" s="19" t="str">
        <f>IF(LXD220 = "", "", IFERROR(LXD220 / SUMIFS(Aux_Totales!$N:$N, Aux_Totales!$F:$F, $F224, Aux_Totales!$A:$A,#REF!), 0))</f>
        <v/>
      </c>
      <c r="LXE224" s="19" t="str">
        <f>IF(LXE220 = "", "", IFERROR(LXE220 / SUMIFS(Aux_Totales!$N:$N, Aux_Totales!$F:$F, $F224, Aux_Totales!$A:$A,#REF!), 0))</f>
        <v/>
      </c>
      <c r="LXF224" s="19" t="str">
        <f>IF(LXF220 = "", "", IFERROR(LXF220 / SUMIFS(Aux_Totales!$N:$N, Aux_Totales!$F:$F, $F224, Aux_Totales!$A:$A,#REF!), 0))</f>
        <v/>
      </c>
      <c r="LXG224" s="19" t="str">
        <f>IF(LXG220 = "", "", IFERROR(LXG220 / SUMIFS(Aux_Totales!$N:$N, Aux_Totales!$F:$F, $F224, Aux_Totales!$A:$A,#REF!), 0))</f>
        <v/>
      </c>
      <c r="LXH224" s="19" t="str">
        <f>IF(LXH220 = "", "", IFERROR(LXH220 / SUMIFS(Aux_Totales!$N:$N, Aux_Totales!$F:$F, $F224, Aux_Totales!$A:$A,#REF!), 0))</f>
        <v/>
      </c>
      <c r="LXI224" s="19" t="str">
        <f>IF(LXI220 = "", "", IFERROR(LXI220 / SUMIFS(Aux_Totales!$N:$N, Aux_Totales!$F:$F, $F224, Aux_Totales!$A:$A,#REF!), 0))</f>
        <v/>
      </c>
      <c r="LXJ224" s="19" t="str">
        <f>IF(LXJ220 = "", "", IFERROR(LXJ220 / SUMIFS(Aux_Totales!$N:$N, Aux_Totales!$F:$F, $F224, Aux_Totales!$A:$A,#REF!), 0))</f>
        <v/>
      </c>
      <c r="LXK224" s="19" t="str">
        <f>IF(LXK220 = "", "", IFERROR(LXK220 / SUMIFS(Aux_Totales!$N:$N, Aux_Totales!$F:$F, $F224, Aux_Totales!$A:$A,#REF!), 0))</f>
        <v/>
      </c>
      <c r="LXL224" s="19" t="str">
        <f>IF(LXL220 = "", "", IFERROR(LXL220 / SUMIFS(Aux_Totales!$N:$N, Aux_Totales!$F:$F, $F224, Aux_Totales!$A:$A,#REF!), 0))</f>
        <v/>
      </c>
      <c r="LXM224" s="19" t="str">
        <f>IF(LXM220 = "", "", IFERROR(LXM220 / SUMIFS(Aux_Totales!$N:$N, Aux_Totales!$F:$F, $F224, Aux_Totales!$A:$A,#REF!), 0))</f>
        <v/>
      </c>
      <c r="LXN224" s="19" t="str">
        <f>IF(LXN220 = "", "", IFERROR(LXN220 / SUMIFS(Aux_Totales!$N:$N, Aux_Totales!$F:$F, $F224, Aux_Totales!$A:$A,#REF!), 0))</f>
        <v/>
      </c>
      <c r="LXO224" s="19" t="str">
        <f>IF(LXO220 = "", "", IFERROR(LXO220 / SUMIFS(Aux_Totales!$N:$N, Aux_Totales!$F:$F, $F224, Aux_Totales!$A:$A,#REF!), 0))</f>
        <v/>
      </c>
      <c r="LXP224" s="19" t="str">
        <f>IF(LXP220 = "", "", IFERROR(LXP220 / SUMIFS(Aux_Totales!$N:$N, Aux_Totales!$F:$F, $F224, Aux_Totales!$A:$A,#REF!), 0))</f>
        <v/>
      </c>
      <c r="LXQ224" s="19" t="str">
        <f>IF(LXQ220 = "", "", IFERROR(LXQ220 / SUMIFS(Aux_Totales!$N:$N, Aux_Totales!$F:$F, $F224, Aux_Totales!$A:$A,#REF!), 0))</f>
        <v/>
      </c>
      <c r="LXR224" s="19" t="str">
        <f>IF(LXR220 = "", "", IFERROR(LXR220 / SUMIFS(Aux_Totales!$N:$N, Aux_Totales!$F:$F, $F224, Aux_Totales!$A:$A,#REF!), 0))</f>
        <v/>
      </c>
      <c r="LXS224" s="19" t="str">
        <f>IF(LXS220 = "", "", IFERROR(LXS220 / SUMIFS(Aux_Totales!$N:$N, Aux_Totales!$F:$F, $F224, Aux_Totales!$A:$A,#REF!), 0))</f>
        <v/>
      </c>
      <c r="LXT224" s="19" t="str">
        <f>IF(LXT220 = "", "", IFERROR(LXT220 / SUMIFS(Aux_Totales!$N:$N, Aux_Totales!$F:$F, $F224, Aux_Totales!$A:$A,#REF!), 0))</f>
        <v/>
      </c>
      <c r="LXU224" s="19" t="str">
        <f>IF(LXU220 = "", "", IFERROR(LXU220 / SUMIFS(Aux_Totales!$N:$N, Aux_Totales!$F:$F, $F224, Aux_Totales!$A:$A,#REF!), 0))</f>
        <v/>
      </c>
      <c r="LXV224" s="19" t="str">
        <f>IF(LXV220 = "", "", IFERROR(LXV220 / SUMIFS(Aux_Totales!$N:$N, Aux_Totales!$F:$F, $F224, Aux_Totales!$A:$A,#REF!), 0))</f>
        <v/>
      </c>
      <c r="LXW224" s="19" t="str">
        <f>IF(LXW220 = "", "", IFERROR(LXW220 / SUMIFS(Aux_Totales!$N:$N, Aux_Totales!$F:$F, $F224, Aux_Totales!$A:$A,#REF!), 0))</f>
        <v/>
      </c>
      <c r="LXX224" s="19" t="str">
        <f>IF(LXX220 = "", "", IFERROR(LXX220 / SUMIFS(Aux_Totales!$N:$N, Aux_Totales!$F:$F, $F224, Aux_Totales!$A:$A,#REF!), 0))</f>
        <v/>
      </c>
      <c r="LXY224" s="19" t="str">
        <f>IF(LXY220 = "", "", IFERROR(LXY220 / SUMIFS(Aux_Totales!$N:$N, Aux_Totales!$F:$F, $F224, Aux_Totales!$A:$A,#REF!), 0))</f>
        <v/>
      </c>
      <c r="LXZ224" s="19" t="str">
        <f>IF(LXZ220 = "", "", IFERROR(LXZ220 / SUMIFS(Aux_Totales!$N:$N, Aux_Totales!$F:$F, $F224, Aux_Totales!$A:$A,#REF!), 0))</f>
        <v/>
      </c>
      <c r="LYA224" s="19" t="str">
        <f>IF(LYA220 = "", "", IFERROR(LYA220 / SUMIFS(Aux_Totales!$N:$N, Aux_Totales!$F:$F, $F224, Aux_Totales!$A:$A,#REF!), 0))</f>
        <v/>
      </c>
      <c r="LYB224" s="19" t="str">
        <f>IF(LYB220 = "", "", IFERROR(LYB220 / SUMIFS(Aux_Totales!$N:$N, Aux_Totales!$F:$F, $F224, Aux_Totales!$A:$A,#REF!), 0))</f>
        <v/>
      </c>
      <c r="LYC224" s="19" t="str">
        <f>IF(LYC220 = "", "", IFERROR(LYC220 / SUMIFS(Aux_Totales!$N:$N, Aux_Totales!$F:$F, $F224, Aux_Totales!$A:$A,#REF!), 0))</f>
        <v/>
      </c>
      <c r="LYD224" s="19" t="str">
        <f>IF(LYD220 = "", "", IFERROR(LYD220 / SUMIFS(Aux_Totales!$N:$N, Aux_Totales!$F:$F, $F224, Aux_Totales!$A:$A,#REF!), 0))</f>
        <v/>
      </c>
      <c r="LYE224" s="19" t="str">
        <f>IF(LYE220 = "", "", IFERROR(LYE220 / SUMIFS(Aux_Totales!$N:$N, Aux_Totales!$F:$F, $F224, Aux_Totales!$A:$A,#REF!), 0))</f>
        <v/>
      </c>
      <c r="LYF224" s="19" t="str">
        <f>IF(LYF220 = "", "", IFERROR(LYF220 / SUMIFS(Aux_Totales!$N:$N, Aux_Totales!$F:$F, $F224, Aux_Totales!$A:$A,#REF!), 0))</f>
        <v/>
      </c>
      <c r="LYG224" s="19" t="str">
        <f>IF(LYG220 = "", "", IFERROR(LYG220 / SUMIFS(Aux_Totales!$N:$N, Aux_Totales!$F:$F, $F224, Aux_Totales!$A:$A,#REF!), 0))</f>
        <v/>
      </c>
      <c r="LYH224" s="19" t="str">
        <f>IF(LYH220 = "", "", IFERROR(LYH220 / SUMIFS(Aux_Totales!$N:$N, Aux_Totales!$F:$F, $F224, Aux_Totales!$A:$A,#REF!), 0))</f>
        <v/>
      </c>
      <c r="LYI224" s="19" t="str">
        <f>IF(LYI220 = "", "", IFERROR(LYI220 / SUMIFS(Aux_Totales!$N:$N, Aux_Totales!$F:$F, $F224, Aux_Totales!$A:$A,#REF!), 0))</f>
        <v/>
      </c>
      <c r="LYJ224" s="19" t="str">
        <f>IF(LYJ220 = "", "", IFERROR(LYJ220 / SUMIFS(Aux_Totales!$N:$N, Aux_Totales!$F:$F, $F224, Aux_Totales!$A:$A,#REF!), 0))</f>
        <v/>
      </c>
      <c r="LYK224" s="19" t="str">
        <f>IF(LYK220 = "", "", IFERROR(LYK220 / SUMIFS(Aux_Totales!$N:$N, Aux_Totales!$F:$F, $F224, Aux_Totales!$A:$A,#REF!), 0))</f>
        <v/>
      </c>
      <c r="LYL224" s="19" t="str">
        <f>IF(LYL220 = "", "", IFERROR(LYL220 / SUMIFS(Aux_Totales!$N:$N, Aux_Totales!$F:$F, $F224, Aux_Totales!$A:$A,#REF!), 0))</f>
        <v/>
      </c>
      <c r="LYM224" s="19" t="str">
        <f>IF(LYM220 = "", "", IFERROR(LYM220 / SUMIFS(Aux_Totales!$N:$N, Aux_Totales!$F:$F, $F224, Aux_Totales!$A:$A,#REF!), 0))</f>
        <v/>
      </c>
      <c r="LYN224" s="19" t="str">
        <f>IF(LYN220 = "", "", IFERROR(LYN220 / SUMIFS(Aux_Totales!$N:$N, Aux_Totales!$F:$F, $F224, Aux_Totales!$A:$A,#REF!), 0))</f>
        <v/>
      </c>
      <c r="LYO224" s="19" t="str">
        <f>IF(LYO220 = "", "", IFERROR(LYO220 / SUMIFS(Aux_Totales!$N:$N, Aux_Totales!$F:$F, $F224, Aux_Totales!$A:$A,#REF!), 0))</f>
        <v/>
      </c>
      <c r="LYP224" s="19" t="str">
        <f>IF(LYP220 = "", "", IFERROR(LYP220 / SUMIFS(Aux_Totales!$N:$N, Aux_Totales!$F:$F, $F224, Aux_Totales!$A:$A,#REF!), 0))</f>
        <v/>
      </c>
      <c r="LYQ224" s="19" t="str">
        <f>IF(LYQ220 = "", "", IFERROR(LYQ220 / SUMIFS(Aux_Totales!$N:$N, Aux_Totales!$F:$F, $F224, Aux_Totales!$A:$A,#REF!), 0))</f>
        <v/>
      </c>
      <c r="LYR224" s="19" t="str">
        <f>IF(LYR220 = "", "", IFERROR(LYR220 / SUMIFS(Aux_Totales!$N:$N, Aux_Totales!$F:$F, $F224, Aux_Totales!$A:$A,#REF!), 0))</f>
        <v/>
      </c>
      <c r="LYS224" s="19" t="str">
        <f>IF(LYS220 = "", "", IFERROR(LYS220 / SUMIFS(Aux_Totales!$N:$N, Aux_Totales!$F:$F, $F224, Aux_Totales!$A:$A,#REF!), 0))</f>
        <v/>
      </c>
      <c r="LYT224" s="19" t="str">
        <f>IF(LYT220 = "", "", IFERROR(LYT220 / SUMIFS(Aux_Totales!$N:$N, Aux_Totales!$F:$F, $F224, Aux_Totales!$A:$A,#REF!), 0))</f>
        <v/>
      </c>
      <c r="LYU224" s="19" t="str">
        <f>IF(LYU220 = "", "", IFERROR(LYU220 / SUMIFS(Aux_Totales!$N:$N, Aux_Totales!$F:$F, $F224, Aux_Totales!$A:$A,#REF!), 0))</f>
        <v/>
      </c>
      <c r="LYV224" s="19" t="str">
        <f>IF(LYV220 = "", "", IFERROR(LYV220 / SUMIFS(Aux_Totales!$N:$N, Aux_Totales!$F:$F, $F224, Aux_Totales!$A:$A,#REF!), 0))</f>
        <v/>
      </c>
      <c r="LYW224" s="19" t="str">
        <f>IF(LYW220 = "", "", IFERROR(LYW220 / SUMIFS(Aux_Totales!$N:$N, Aux_Totales!$F:$F, $F224, Aux_Totales!$A:$A,#REF!), 0))</f>
        <v/>
      </c>
      <c r="LYX224" s="19" t="str">
        <f>IF(LYX220 = "", "", IFERROR(LYX220 / SUMIFS(Aux_Totales!$N:$N, Aux_Totales!$F:$F, $F224, Aux_Totales!$A:$A,#REF!), 0))</f>
        <v/>
      </c>
      <c r="LYY224" s="19" t="str">
        <f>IF(LYY220 = "", "", IFERROR(LYY220 / SUMIFS(Aux_Totales!$N:$N, Aux_Totales!$F:$F, $F224, Aux_Totales!$A:$A,#REF!), 0))</f>
        <v/>
      </c>
      <c r="LYZ224" s="19" t="str">
        <f>IF(LYZ220 = "", "", IFERROR(LYZ220 / SUMIFS(Aux_Totales!$N:$N, Aux_Totales!$F:$F, $F224, Aux_Totales!$A:$A,#REF!), 0))</f>
        <v/>
      </c>
      <c r="LZA224" s="19" t="str">
        <f>IF(LZA220 = "", "", IFERROR(LZA220 / SUMIFS(Aux_Totales!$N:$N, Aux_Totales!$F:$F, $F224, Aux_Totales!$A:$A,#REF!), 0))</f>
        <v/>
      </c>
      <c r="LZB224" s="19" t="str">
        <f>IF(LZB220 = "", "", IFERROR(LZB220 / SUMIFS(Aux_Totales!$N:$N, Aux_Totales!$F:$F, $F224, Aux_Totales!$A:$A,#REF!), 0))</f>
        <v/>
      </c>
      <c r="LZC224" s="19" t="str">
        <f>IF(LZC220 = "", "", IFERROR(LZC220 / SUMIFS(Aux_Totales!$N:$N, Aux_Totales!$F:$F, $F224, Aux_Totales!$A:$A,#REF!), 0))</f>
        <v/>
      </c>
      <c r="LZD224" s="19" t="str">
        <f>IF(LZD220 = "", "", IFERROR(LZD220 / SUMIFS(Aux_Totales!$N:$N, Aux_Totales!$F:$F, $F224, Aux_Totales!$A:$A,#REF!), 0))</f>
        <v/>
      </c>
      <c r="LZE224" s="19" t="str">
        <f>IF(LZE220 = "", "", IFERROR(LZE220 / SUMIFS(Aux_Totales!$N:$N, Aux_Totales!$F:$F, $F224, Aux_Totales!$A:$A,#REF!), 0))</f>
        <v/>
      </c>
      <c r="LZF224" s="19" t="str">
        <f>IF(LZF220 = "", "", IFERROR(LZF220 / SUMIFS(Aux_Totales!$N:$N, Aux_Totales!$F:$F, $F224, Aux_Totales!$A:$A,#REF!), 0))</f>
        <v/>
      </c>
      <c r="LZG224" s="19" t="str">
        <f>IF(LZG220 = "", "", IFERROR(LZG220 / SUMIFS(Aux_Totales!$N:$N, Aux_Totales!$F:$F, $F224, Aux_Totales!$A:$A,#REF!), 0))</f>
        <v/>
      </c>
      <c r="LZH224" s="19" t="str">
        <f>IF(LZH220 = "", "", IFERROR(LZH220 / SUMIFS(Aux_Totales!$N:$N, Aux_Totales!$F:$F, $F224, Aux_Totales!$A:$A,#REF!), 0))</f>
        <v/>
      </c>
      <c r="LZI224" s="19" t="str">
        <f>IF(LZI220 = "", "", IFERROR(LZI220 / SUMIFS(Aux_Totales!$N:$N, Aux_Totales!$F:$F, $F224, Aux_Totales!$A:$A,#REF!), 0))</f>
        <v/>
      </c>
      <c r="LZJ224" s="19" t="str">
        <f>IF(LZJ220 = "", "", IFERROR(LZJ220 / SUMIFS(Aux_Totales!$N:$N, Aux_Totales!$F:$F, $F224, Aux_Totales!$A:$A,#REF!), 0))</f>
        <v/>
      </c>
      <c r="LZK224" s="19" t="str">
        <f>IF(LZK220 = "", "", IFERROR(LZK220 / SUMIFS(Aux_Totales!$N:$N, Aux_Totales!$F:$F, $F224, Aux_Totales!$A:$A,#REF!), 0))</f>
        <v/>
      </c>
      <c r="LZL224" s="19" t="str">
        <f>IF(LZL220 = "", "", IFERROR(LZL220 / SUMIFS(Aux_Totales!$N:$N, Aux_Totales!$F:$F, $F224, Aux_Totales!$A:$A,#REF!), 0))</f>
        <v/>
      </c>
      <c r="LZM224" s="19" t="str">
        <f>IF(LZM220 = "", "", IFERROR(LZM220 / SUMIFS(Aux_Totales!$N:$N, Aux_Totales!$F:$F, $F224, Aux_Totales!$A:$A,#REF!), 0))</f>
        <v/>
      </c>
      <c r="LZN224" s="19" t="str">
        <f>IF(LZN220 = "", "", IFERROR(LZN220 / SUMIFS(Aux_Totales!$N:$N, Aux_Totales!$F:$F, $F224, Aux_Totales!$A:$A,#REF!), 0))</f>
        <v/>
      </c>
      <c r="LZO224" s="19" t="str">
        <f>IF(LZO220 = "", "", IFERROR(LZO220 / SUMIFS(Aux_Totales!$N:$N, Aux_Totales!$F:$F, $F224, Aux_Totales!$A:$A,#REF!), 0))</f>
        <v/>
      </c>
      <c r="LZP224" s="19" t="str">
        <f>IF(LZP220 = "", "", IFERROR(LZP220 / SUMIFS(Aux_Totales!$N:$N, Aux_Totales!$F:$F, $F224, Aux_Totales!$A:$A,#REF!), 0))</f>
        <v/>
      </c>
      <c r="LZQ224" s="19" t="str">
        <f>IF(LZQ220 = "", "", IFERROR(LZQ220 / SUMIFS(Aux_Totales!$N:$N, Aux_Totales!$F:$F, $F224, Aux_Totales!$A:$A,#REF!), 0))</f>
        <v/>
      </c>
      <c r="LZR224" s="19" t="str">
        <f>IF(LZR220 = "", "", IFERROR(LZR220 / SUMIFS(Aux_Totales!$N:$N, Aux_Totales!$F:$F, $F224, Aux_Totales!$A:$A,#REF!), 0))</f>
        <v/>
      </c>
      <c r="LZS224" s="19" t="str">
        <f>IF(LZS220 = "", "", IFERROR(LZS220 / SUMIFS(Aux_Totales!$N:$N, Aux_Totales!$F:$F, $F224, Aux_Totales!$A:$A,#REF!), 0))</f>
        <v/>
      </c>
      <c r="LZT224" s="19" t="str">
        <f>IF(LZT220 = "", "", IFERROR(LZT220 / SUMIFS(Aux_Totales!$N:$N, Aux_Totales!$F:$F, $F224, Aux_Totales!$A:$A,#REF!), 0))</f>
        <v/>
      </c>
      <c r="LZU224" s="19" t="str">
        <f>IF(LZU220 = "", "", IFERROR(LZU220 / SUMIFS(Aux_Totales!$N:$N, Aux_Totales!$F:$F, $F224, Aux_Totales!$A:$A,#REF!), 0))</f>
        <v/>
      </c>
      <c r="LZV224" s="19" t="str">
        <f>IF(LZV220 = "", "", IFERROR(LZV220 / SUMIFS(Aux_Totales!$N:$N, Aux_Totales!$F:$F, $F224, Aux_Totales!$A:$A,#REF!), 0))</f>
        <v/>
      </c>
      <c r="LZW224" s="19" t="str">
        <f>IF(LZW220 = "", "", IFERROR(LZW220 / SUMIFS(Aux_Totales!$N:$N, Aux_Totales!$F:$F, $F224, Aux_Totales!$A:$A,#REF!), 0))</f>
        <v/>
      </c>
      <c r="LZX224" s="19" t="str">
        <f>IF(LZX220 = "", "", IFERROR(LZX220 / SUMIFS(Aux_Totales!$N:$N, Aux_Totales!$F:$F, $F224, Aux_Totales!$A:$A,#REF!), 0))</f>
        <v/>
      </c>
      <c r="LZY224" s="19" t="str">
        <f>IF(LZY220 = "", "", IFERROR(LZY220 / SUMIFS(Aux_Totales!$N:$N, Aux_Totales!$F:$F, $F224, Aux_Totales!$A:$A,#REF!), 0))</f>
        <v/>
      </c>
      <c r="LZZ224" s="19" t="str">
        <f>IF(LZZ220 = "", "", IFERROR(LZZ220 / SUMIFS(Aux_Totales!$N:$N, Aux_Totales!$F:$F, $F224, Aux_Totales!$A:$A,#REF!), 0))</f>
        <v/>
      </c>
      <c r="MAA224" s="19" t="str">
        <f>IF(MAA220 = "", "", IFERROR(MAA220 / SUMIFS(Aux_Totales!$N:$N, Aux_Totales!$F:$F, $F224, Aux_Totales!$A:$A,#REF!), 0))</f>
        <v/>
      </c>
      <c r="MAB224" s="19" t="str">
        <f>IF(MAB220 = "", "", IFERROR(MAB220 / SUMIFS(Aux_Totales!$N:$N, Aux_Totales!$F:$F, $F224, Aux_Totales!$A:$A,#REF!), 0))</f>
        <v/>
      </c>
      <c r="MAC224" s="19" t="str">
        <f>IF(MAC220 = "", "", IFERROR(MAC220 / SUMIFS(Aux_Totales!$N:$N, Aux_Totales!$F:$F, $F224, Aux_Totales!$A:$A,#REF!), 0))</f>
        <v/>
      </c>
      <c r="MAD224" s="19" t="str">
        <f>IF(MAD220 = "", "", IFERROR(MAD220 / SUMIFS(Aux_Totales!$N:$N, Aux_Totales!$F:$F, $F224, Aux_Totales!$A:$A,#REF!), 0))</f>
        <v/>
      </c>
      <c r="MAE224" s="19" t="str">
        <f>IF(MAE220 = "", "", IFERROR(MAE220 / SUMIFS(Aux_Totales!$N:$N, Aux_Totales!$F:$F, $F224, Aux_Totales!$A:$A,#REF!), 0))</f>
        <v/>
      </c>
      <c r="MAF224" s="19" t="str">
        <f>IF(MAF220 = "", "", IFERROR(MAF220 / SUMIFS(Aux_Totales!$N:$N, Aux_Totales!$F:$F, $F224, Aux_Totales!$A:$A,#REF!), 0))</f>
        <v/>
      </c>
      <c r="MAG224" s="19" t="str">
        <f>IF(MAG220 = "", "", IFERROR(MAG220 / SUMIFS(Aux_Totales!$N:$N, Aux_Totales!$F:$F, $F224, Aux_Totales!$A:$A,#REF!), 0))</f>
        <v/>
      </c>
      <c r="MAH224" s="19" t="str">
        <f>IF(MAH220 = "", "", IFERROR(MAH220 / SUMIFS(Aux_Totales!$N:$N, Aux_Totales!$F:$F, $F224, Aux_Totales!$A:$A,#REF!), 0))</f>
        <v/>
      </c>
      <c r="MAI224" s="19" t="str">
        <f>IF(MAI220 = "", "", IFERROR(MAI220 / SUMIFS(Aux_Totales!$N:$N, Aux_Totales!$F:$F, $F224, Aux_Totales!$A:$A,#REF!), 0))</f>
        <v/>
      </c>
      <c r="MAJ224" s="19" t="str">
        <f>IF(MAJ220 = "", "", IFERROR(MAJ220 / SUMIFS(Aux_Totales!$N:$N, Aux_Totales!$F:$F, $F224, Aux_Totales!$A:$A,#REF!), 0))</f>
        <v/>
      </c>
      <c r="MAK224" s="19" t="str">
        <f>IF(MAK220 = "", "", IFERROR(MAK220 / SUMIFS(Aux_Totales!$N:$N, Aux_Totales!$F:$F, $F224, Aux_Totales!$A:$A,#REF!), 0))</f>
        <v/>
      </c>
      <c r="MAL224" s="19" t="str">
        <f>IF(MAL220 = "", "", IFERROR(MAL220 / SUMIFS(Aux_Totales!$N:$N, Aux_Totales!$F:$F, $F224, Aux_Totales!$A:$A,#REF!), 0))</f>
        <v/>
      </c>
      <c r="MAM224" s="19" t="str">
        <f>IF(MAM220 = "", "", IFERROR(MAM220 / SUMIFS(Aux_Totales!$N:$N, Aux_Totales!$F:$F, $F224, Aux_Totales!$A:$A,#REF!), 0))</f>
        <v/>
      </c>
      <c r="MAN224" s="19" t="str">
        <f>IF(MAN220 = "", "", IFERROR(MAN220 / SUMIFS(Aux_Totales!$N:$N, Aux_Totales!$F:$F, $F224, Aux_Totales!$A:$A,#REF!), 0))</f>
        <v/>
      </c>
      <c r="MAO224" s="19" t="str">
        <f>IF(MAO220 = "", "", IFERROR(MAO220 / SUMIFS(Aux_Totales!$N:$N, Aux_Totales!$F:$F, $F224, Aux_Totales!$A:$A,#REF!), 0))</f>
        <v/>
      </c>
      <c r="MAP224" s="19" t="str">
        <f>IF(MAP220 = "", "", IFERROR(MAP220 / SUMIFS(Aux_Totales!$N:$N, Aux_Totales!$F:$F, $F224, Aux_Totales!$A:$A,#REF!), 0))</f>
        <v/>
      </c>
      <c r="MAQ224" s="19" t="str">
        <f>IF(MAQ220 = "", "", IFERROR(MAQ220 / SUMIFS(Aux_Totales!$N:$N, Aux_Totales!$F:$F, $F224, Aux_Totales!$A:$A,#REF!), 0))</f>
        <v/>
      </c>
      <c r="MAR224" s="19" t="str">
        <f>IF(MAR220 = "", "", IFERROR(MAR220 / SUMIFS(Aux_Totales!$N:$N, Aux_Totales!$F:$F, $F224, Aux_Totales!$A:$A,#REF!), 0))</f>
        <v/>
      </c>
      <c r="MAS224" s="19" t="str">
        <f>IF(MAS220 = "", "", IFERROR(MAS220 / SUMIFS(Aux_Totales!$N:$N, Aux_Totales!$F:$F, $F224, Aux_Totales!$A:$A,#REF!), 0))</f>
        <v/>
      </c>
      <c r="MAT224" s="19" t="str">
        <f>IF(MAT220 = "", "", IFERROR(MAT220 / SUMIFS(Aux_Totales!$N:$N, Aux_Totales!$F:$F, $F224, Aux_Totales!$A:$A,#REF!), 0))</f>
        <v/>
      </c>
      <c r="MAU224" s="19" t="str">
        <f>IF(MAU220 = "", "", IFERROR(MAU220 / SUMIFS(Aux_Totales!$N:$N, Aux_Totales!$F:$F, $F224, Aux_Totales!$A:$A,#REF!), 0))</f>
        <v/>
      </c>
      <c r="MAV224" s="19" t="str">
        <f>IF(MAV220 = "", "", IFERROR(MAV220 / SUMIFS(Aux_Totales!$N:$N, Aux_Totales!$F:$F, $F224, Aux_Totales!$A:$A,#REF!), 0))</f>
        <v/>
      </c>
      <c r="MAW224" s="19" t="str">
        <f>IF(MAW220 = "", "", IFERROR(MAW220 / SUMIFS(Aux_Totales!$N:$N, Aux_Totales!$F:$F, $F224, Aux_Totales!$A:$A,#REF!), 0))</f>
        <v/>
      </c>
      <c r="MAX224" s="19" t="str">
        <f>IF(MAX220 = "", "", IFERROR(MAX220 / SUMIFS(Aux_Totales!$N:$N, Aux_Totales!$F:$F, $F224, Aux_Totales!$A:$A,#REF!), 0))</f>
        <v/>
      </c>
      <c r="MAY224" s="19" t="str">
        <f>IF(MAY220 = "", "", IFERROR(MAY220 / SUMIFS(Aux_Totales!$N:$N, Aux_Totales!$F:$F, $F224, Aux_Totales!$A:$A,#REF!), 0))</f>
        <v/>
      </c>
      <c r="MAZ224" s="19" t="str">
        <f>IF(MAZ220 = "", "", IFERROR(MAZ220 / SUMIFS(Aux_Totales!$N:$N, Aux_Totales!$F:$F, $F224, Aux_Totales!$A:$A,#REF!), 0))</f>
        <v/>
      </c>
      <c r="MBA224" s="19" t="str">
        <f>IF(MBA220 = "", "", IFERROR(MBA220 / SUMIFS(Aux_Totales!$N:$N, Aux_Totales!$F:$F, $F224, Aux_Totales!$A:$A,#REF!), 0))</f>
        <v/>
      </c>
      <c r="MBB224" s="19" t="str">
        <f>IF(MBB220 = "", "", IFERROR(MBB220 / SUMIFS(Aux_Totales!$N:$N, Aux_Totales!$F:$F, $F224, Aux_Totales!$A:$A,#REF!), 0))</f>
        <v/>
      </c>
      <c r="MBC224" s="19" t="str">
        <f>IF(MBC220 = "", "", IFERROR(MBC220 / SUMIFS(Aux_Totales!$N:$N, Aux_Totales!$F:$F, $F224, Aux_Totales!$A:$A,#REF!), 0))</f>
        <v/>
      </c>
      <c r="MBD224" s="19" t="str">
        <f>IF(MBD220 = "", "", IFERROR(MBD220 / SUMIFS(Aux_Totales!$N:$N, Aux_Totales!$F:$F, $F224, Aux_Totales!$A:$A,#REF!), 0))</f>
        <v/>
      </c>
      <c r="MBE224" s="19" t="str">
        <f>IF(MBE220 = "", "", IFERROR(MBE220 / SUMIFS(Aux_Totales!$N:$N, Aux_Totales!$F:$F, $F224, Aux_Totales!$A:$A,#REF!), 0))</f>
        <v/>
      </c>
      <c r="MBF224" s="19" t="str">
        <f>IF(MBF220 = "", "", IFERROR(MBF220 / SUMIFS(Aux_Totales!$N:$N, Aux_Totales!$F:$F, $F224, Aux_Totales!$A:$A,#REF!), 0))</f>
        <v/>
      </c>
      <c r="MBG224" s="19" t="str">
        <f>IF(MBG220 = "", "", IFERROR(MBG220 / SUMIFS(Aux_Totales!$N:$N, Aux_Totales!$F:$F, $F224, Aux_Totales!$A:$A,#REF!), 0))</f>
        <v/>
      </c>
      <c r="MBH224" s="19" t="str">
        <f>IF(MBH220 = "", "", IFERROR(MBH220 / SUMIFS(Aux_Totales!$N:$N, Aux_Totales!$F:$F, $F224, Aux_Totales!$A:$A,#REF!), 0))</f>
        <v/>
      </c>
      <c r="MBI224" s="19" t="str">
        <f>IF(MBI220 = "", "", IFERROR(MBI220 / SUMIFS(Aux_Totales!$N:$N, Aux_Totales!$F:$F, $F224, Aux_Totales!$A:$A,#REF!), 0))</f>
        <v/>
      </c>
      <c r="MBJ224" s="19" t="str">
        <f>IF(MBJ220 = "", "", IFERROR(MBJ220 / SUMIFS(Aux_Totales!$N:$N, Aux_Totales!$F:$F, $F224, Aux_Totales!$A:$A,#REF!), 0))</f>
        <v/>
      </c>
      <c r="MBK224" s="19" t="str">
        <f>IF(MBK220 = "", "", IFERROR(MBK220 / SUMIFS(Aux_Totales!$N:$N, Aux_Totales!$F:$F, $F224, Aux_Totales!$A:$A,#REF!), 0))</f>
        <v/>
      </c>
      <c r="MBL224" s="19" t="str">
        <f>IF(MBL220 = "", "", IFERROR(MBL220 / SUMIFS(Aux_Totales!$N:$N, Aux_Totales!$F:$F, $F224, Aux_Totales!$A:$A,#REF!), 0))</f>
        <v/>
      </c>
      <c r="MBM224" s="19" t="str">
        <f>IF(MBM220 = "", "", IFERROR(MBM220 / SUMIFS(Aux_Totales!$N:$N, Aux_Totales!$F:$F, $F224, Aux_Totales!$A:$A,#REF!), 0))</f>
        <v/>
      </c>
      <c r="MBN224" s="19" t="str">
        <f>IF(MBN220 = "", "", IFERROR(MBN220 / SUMIFS(Aux_Totales!$N:$N, Aux_Totales!$F:$F, $F224, Aux_Totales!$A:$A,#REF!), 0))</f>
        <v/>
      </c>
      <c r="MBO224" s="19" t="str">
        <f>IF(MBO220 = "", "", IFERROR(MBO220 / SUMIFS(Aux_Totales!$N:$N, Aux_Totales!$F:$F, $F224, Aux_Totales!$A:$A,#REF!), 0))</f>
        <v/>
      </c>
      <c r="MBP224" s="19" t="str">
        <f>IF(MBP220 = "", "", IFERROR(MBP220 / SUMIFS(Aux_Totales!$N:$N, Aux_Totales!$F:$F, $F224, Aux_Totales!$A:$A,#REF!), 0))</f>
        <v/>
      </c>
      <c r="MBQ224" s="19" t="str">
        <f>IF(MBQ220 = "", "", IFERROR(MBQ220 / SUMIFS(Aux_Totales!$N:$N, Aux_Totales!$F:$F, $F224, Aux_Totales!$A:$A,#REF!), 0))</f>
        <v/>
      </c>
      <c r="MBR224" s="19" t="str">
        <f>IF(MBR220 = "", "", IFERROR(MBR220 / SUMIFS(Aux_Totales!$N:$N, Aux_Totales!$F:$F, $F224, Aux_Totales!$A:$A,#REF!), 0))</f>
        <v/>
      </c>
      <c r="MBS224" s="19" t="str">
        <f>IF(MBS220 = "", "", IFERROR(MBS220 / SUMIFS(Aux_Totales!$N:$N, Aux_Totales!$F:$F, $F224, Aux_Totales!$A:$A,#REF!), 0))</f>
        <v/>
      </c>
      <c r="MBT224" s="19" t="str">
        <f>IF(MBT220 = "", "", IFERROR(MBT220 / SUMIFS(Aux_Totales!$N:$N, Aux_Totales!$F:$F, $F224, Aux_Totales!$A:$A,#REF!), 0))</f>
        <v/>
      </c>
      <c r="MBU224" s="19" t="str">
        <f>IF(MBU220 = "", "", IFERROR(MBU220 / SUMIFS(Aux_Totales!$N:$N, Aux_Totales!$F:$F, $F224, Aux_Totales!$A:$A,#REF!), 0))</f>
        <v/>
      </c>
      <c r="MBV224" s="19" t="str">
        <f>IF(MBV220 = "", "", IFERROR(MBV220 / SUMIFS(Aux_Totales!$N:$N, Aux_Totales!$F:$F, $F224, Aux_Totales!$A:$A,#REF!), 0))</f>
        <v/>
      </c>
      <c r="MBW224" s="19" t="str">
        <f>IF(MBW220 = "", "", IFERROR(MBW220 / SUMIFS(Aux_Totales!$N:$N, Aux_Totales!$F:$F, $F224, Aux_Totales!$A:$A,#REF!), 0))</f>
        <v/>
      </c>
      <c r="MBX224" s="19" t="str">
        <f>IF(MBX220 = "", "", IFERROR(MBX220 / SUMIFS(Aux_Totales!$N:$N, Aux_Totales!$F:$F, $F224, Aux_Totales!$A:$A,#REF!), 0))</f>
        <v/>
      </c>
      <c r="MBY224" s="19" t="str">
        <f>IF(MBY220 = "", "", IFERROR(MBY220 / SUMIFS(Aux_Totales!$N:$N, Aux_Totales!$F:$F, $F224, Aux_Totales!$A:$A,#REF!), 0))</f>
        <v/>
      </c>
      <c r="MBZ224" s="19" t="str">
        <f>IF(MBZ220 = "", "", IFERROR(MBZ220 / SUMIFS(Aux_Totales!$N:$N, Aux_Totales!$F:$F, $F224, Aux_Totales!$A:$A,#REF!), 0))</f>
        <v/>
      </c>
      <c r="MCA224" s="19" t="str">
        <f>IF(MCA220 = "", "", IFERROR(MCA220 / SUMIFS(Aux_Totales!$N:$N, Aux_Totales!$F:$F, $F224, Aux_Totales!$A:$A,#REF!), 0))</f>
        <v/>
      </c>
      <c r="MCB224" s="19" t="str">
        <f>IF(MCB220 = "", "", IFERROR(MCB220 / SUMIFS(Aux_Totales!$N:$N, Aux_Totales!$F:$F, $F224, Aux_Totales!$A:$A,#REF!), 0))</f>
        <v/>
      </c>
      <c r="MCC224" s="19" t="str">
        <f>IF(MCC220 = "", "", IFERROR(MCC220 / SUMIFS(Aux_Totales!$N:$N, Aux_Totales!$F:$F, $F224, Aux_Totales!$A:$A,#REF!), 0))</f>
        <v/>
      </c>
      <c r="MCD224" s="19" t="str">
        <f>IF(MCD220 = "", "", IFERROR(MCD220 / SUMIFS(Aux_Totales!$N:$N, Aux_Totales!$F:$F, $F224, Aux_Totales!$A:$A,#REF!), 0))</f>
        <v/>
      </c>
      <c r="MCE224" s="19" t="str">
        <f>IF(MCE220 = "", "", IFERROR(MCE220 / SUMIFS(Aux_Totales!$N:$N, Aux_Totales!$F:$F, $F224, Aux_Totales!$A:$A,#REF!), 0))</f>
        <v/>
      </c>
      <c r="MCF224" s="19" t="str">
        <f>IF(MCF220 = "", "", IFERROR(MCF220 / SUMIFS(Aux_Totales!$N:$N, Aux_Totales!$F:$F, $F224, Aux_Totales!$A:$A,#REF!), 0))</f>
        <v/>
      </c>
      <c r="MCG224" s="19" t="str">
        <f>IF(MCG220 = "", "", IFERROR(MCG220 / SUMIFS(Aux_Totales!$N:$N, Aux_Totales!$F:$F, $F224, Aux_Totales!$A:$A,#REF!), 0))</f>
        <v/>
      </c>
      <c r="MCH224" s="19" t="str">
        <f>IF(MCH220 = "", "", IFERROR(MCH220 / SUMIFS(Aux_Totales!$N:$N, Aux_Totales!$F:$F, $F224, Aux_Totales!$A:$A,#REF!), 0))</f>
        <v/>
      </c>
      <c r="MCI224" s="19" t="str">
        <f>IF(MCI220 = "", "", IFERROR(MCI220 / SUMIFS(Aux_Totales!$N:$N, Aux_Totales!$F:$F, $F224, Aux_Totales!$A:$A,#REF!), 0))</f>
        <v/>
      </c>
      <c r="MCJ224" s="19" t="str">
        <f>IF(MCJ220 = "", "", IFERROR(MCJ220 / SUMIFS(Aux_Totales!$N:$N, Aux_Totales!$F:$F, $F224, Aux_Totales!$A:$A,#REF!), 0))</f>
        <v/>
      </c>
      <c r="MCK224" s="19" t="str">
        <f>IF(MCK220 = "", "", IFERROR(MCK220 / SUMIFS(Aux_Totales!$N:$N, Aux_Totales!$F:$F, $F224, Aux_Totales!$A:$A,#REF!), 0))</f>
        <v/>
      </c>
      <c r="MCL224" s="19" t="str">
        <f>IF(MCL220 = "", "", IFERROR(MCL220 / SUMIFS(Aux_Totales!$N:$N, Aux_Totales!$F:$F, $F224, Aux_Totales!$A:$A,#REF!), 0))</f>
        <v/>
      </c>
      <c r="MCM224" s="19" t="str">
        <f>IF(MCM220 = "", "", IFERROR(MCM220 / SUMIFS(Aux_Totales!$N:$N, Aux_Totales!$F:$F, $F224, Aux_Totales!$A:$A,#REF!), 0))</f>
        <v/>
      </c>
      <c r="MCN224" s="19" t="str">
        <f>IF(MCN220 = "", "", IFERROR(MCN220 / SUMIFS(Aux_Totales!$N:$N, Aux_Totales!$F:$F, $F224, Aux_Totales!$A:$A,#REF!), 0))</f>
        <v/>
      </c>
      <c r="MCO224" s="19" t="str">
        <f>IF(MCO220 = "", "", IFERROR(MCO220 / SUMIFS(Aux_Totales!$N:$N, Aux_Totales!$F:$F, $F224, Aux_Totales!$A:$A,#REF!), 0))</f>
        <v/>
      </c>
      <c r="MCP224" s="19" t="str">
        <f>IF(MCP220 = "", "", IFERROR(MCP220 / SUMIFS(Aux_Totales!$N:$N, Aux_Totales!$F:$F, $F224, Aux_Totales!$A:$A,#REF!), 0))</f>
        <v/>
      </c>
      <c r="MCQ224" s="19" t="str">
        <f>IF(MCQ220 = "", "", IFERROR(MCQ220 / SUMIFS(Aux_Totales!$N:$N, Aux_Totales!$F:$F, $F224, Aux_Totales!$A:$A,#REF!), 0))</f>
        <v/>
      </c>
      <c r="MCR224" s="19" t="str">
        <f>IF(MCR220 = "", "", IFERROR(MCR220 / SUMIFS(Aux_Totales!$N:$N, Aux_Totales!$F:$F, $F224, Aux_Totales!$A:$A,#REF!), 0))</f>
        <v/>
      </c>
      <c r="MCS224" s="19" t="str">
        <f>IF(MCS220 = "", "", IFERROR(MCS220 / SUMIFS(Aux_Totales!$N:$N, Aux_Totales!$F:$F, $F224, Aux_Totales!$A:$A,#REF!), 0))</f>
        <v/>
      </c>
      <c r="MCT224" s="19" t="str">
        <f>IF(MCT220 = "", "", IFERROR(MCT220 / SUMIFS(Aux_Totales!$N:$N, Aux_Totales!$F:$F, $F224, Aux_Totales!$A:$A,#REF!), 0))</f>
        <v/>
      </c>
      <c r="MCU224" s="19" t="str">
        <f>IF(MCU220 = "", "", IFERROR(MCU220 / SUMIFS(Aux_Totales!$N:$N, Aux_Totales!$F:$F, $F224, Aux_Totales!$A:$A,#REF!), 0))</f>
        <v/>
      </c>
      <c r="MCV224" s="19" t="str">
        <f>IF(MCV220 = "", "", IFERROR(MCV220 / SUMIFS(Aux_Totales!$N:$N, Aux_Totales!$F:$F, $F224, Aux_Totales!$A:$A,#REF!), 0))</f>
        <v/>
      </c>
      <c r="MCW224" s="19" t="str">
        <f>IF(MCW220 = "", "", IFERROR(MCW220 / SUMIFS(Aux_Totales!$N:$N, Aux_Totales!$F:$F, $F224, Aux_Totales!$A:$A,#REF!), 0))</f>
        <v/>
      </c>
      <c r="MCX224" s="19" t="str">
        <f>IF(MCX220 = "", "", IFERROR(MCX220 / SUMIFS(Aux_Totales!$N:$N, Aux_Totales!$F:$F, $F224, Aux_Totales!$A:$A,#REF!), 0))</f>
        <v/>
      </c>
      <c r="MCY224" s="19" t="str">
        <f>IF(MCY220 = "", "", IFERROR(MCY220 / SUMIFS(Aux_Totales!$N:$N, Aux_Totales!$F:$F, $F224, Aux_Totales!$A:$A,#REF!), 0))</f>
        <v/>
      </c>
      <c r="MCZ224" s="19" t="str">
        <f>IF(MCZ220 = "", "", IFERROR(MCZ220 / SUMIFS(Aux_Totales!$N:$N, Aux_Totales!$F:$F, $F224, Aux_Totales!$A:$A,#REF!), 0))</f>
        <v/>
      </c>
      <c r="MDA224" s="19" t="str">
        <f>IF(MDA220 = "", "", IFERROR(MDA220 / SUMIFS(Aux_Totales!$N:$N, Aux_Totales!$F:$F, $F224, Aux_Totales!$A:$A,#REF!), 0))</f>
        <v/>
      </c>
      <c r="MDB224" s="19" t="str">
        <f>IF(MDB220 = "", "", IFERROR(MDB220 / SUMIFS(Aux_Totales!$N:$N, Aux_Totales!$F:$F, $F224, Aux_Totales!$A:$A,#REF!), 0))</f>
        <v/>
      </c>
      <c r="MDC224" s="19" t="str">
        <f>IF(MDC220 = "", "", IFERROR(MDC220 / SUMIFS(Aux_Totales!$N:$N, Aux_Totales!$F:$F, $F224, Aux_Totales!$A:$A,#REF!), 0))</f>
        <v/>
      </c>
      <c r="MDD224" s="19" t="str">
        <f>IF(MDD220 = "", "", IFERROR(MDD220 / SUMIFS(Aux_Totales!$N:$N, Aux_Totales!$F:$F, $F224, Aux_Totales!$A:$A,#REF!), 0))</f>
        <v/>
      </c>
      <c r="MDE224" s="19" t="str">
        <f>IF(MDE220 = "", "", IFERROR(MDE220 / SUMIFS(Aux_Totales!$N:$N, Aux_Totales!$F:$F, $F224, Aux_Totales!$A:$A,#REF!), 0))</f>
        <v/>
      </c>
      <c r="MDF224" s="19" t="str">
        <f>IF(MDF220 = "", "", IFERROR(MDF220 / SUMIFS(Aux_Totales!$N:$N, Aux_Totales!$F:$F, $F224, Aux_Totales!$A:$A,#REF!), 0))</f>
        <v/>
      </c>
      <c r="MDG224" s="19" t="str">
        <f>IF(MDG220 = "", "", IFERROR(MDG220 / SUMIFS(Aux_Totales!$N:$N, Aux_Totales!$F:$F, $F224, Aux_Totales!$A:$A,#REF!), 0))</f>
        <v/>
      </c>
      <c r="MDH224" s="19" t="str">
        <f>IF(MDH220 = "", "", IFERROR(MDH220 / SUMIFS(Aux_Totales!$N:$N, Aux_Totales!$F:$F, $F224, Aux_Totales!$A:$A,#REF!), 0))</f>
        <v/>
      </c>
      <c r="MDI224" s="19" t="str">
        <f>IF(MDI220 = "", "", IFERROR(MDI220 / SUMIFS(Aux_Totales!$N:$N, Aux_Totales!$F:$F, $F224, Aux_Totales!$A:$A,#REF!), 0))</f>
        <v/>
      </c>
      <c r="MDJ224" s="19" t="str">
        <f>IF(MDJ220 = "", "", IFERROR(MDJ220 / SUMIFS(Aux_Totales!$N:$N, Aux_Totales!$F:$F, $F224, Aux_Totales!$A:$A,#REF!), 0))</f>
        <v/>
      </c>
      <c r="MDK224" s="19" t="str">
        <f>IF(MDK220 = "", "", IFERROR(MDK220 / SUMIFS(Aux_Totales!$N:$N, Aux_Totales!$F:$F, $F224, Aux_Totales!$A:$A,#REF!), 0))</f>
        <v/>
      </c>
      <c r="MDL224" s="19" t="str">
        <f>IF(MDL220 = "", "", IFERROR(MDL220 / SUMIFS(Aux_Totales!$N:$N, Aux_Totales!$F:$F, $F224, Aux_Totales!$A:$A,#REF!), 0))</f>
        <v/>
      </c>
      <c r="MDM224" s="19" t="str">
        <f>IF(MDM220 = "", "", IFERROR(MDM220 / SUMIFS(Aux_Totales!$N:$N, Aux_Totales!$F:$F, $F224, Aux_Totales!$A:$A,#REF!), 0))</f>
        <v/>
      </c>
      <c r="MDN224" s="19" t="str">
        <f>IF(MDN220 = "", "", IFERROR(MDN220 / SUMIFS(Aux_Totales!$N:$N, Aux_Totales!$F:$F, $F224, Aux_Totales!$A:$A,#REF!), 0))</f>
        <v/>
      </c>
      <c r="MDO224" s="19" t="str">
        <f>IF(MDO220 = "", "", IFERROR(MDO220 / SUMIFS(Aux_Totales!$N:$N, Aux_Totales!$F:$F, $F224, Aux_Totales!$A:$A,#REF!), 0))</f>
        <v/>
      </c>
      <c r="MDP224" s="19" t="str">
        <f>IF(MDP220 = "", "", IFERROR(MDP220 / SUMIFS(Aux_Totales!$N:$N, Aux_Totales!$F:$F, $F224, Aux_Totales!$A:$A,#REF!), 0))</f>
        <v/>
      </c>
      <c r="MDQ224" s="19" t="str">
        <f>IF(MDQ220 = "", "", IFERROR(MDQ220 / SUMIFS(Aux_Totales!$N:$N, Aux_Totales!$F:$F, $F224, Aux_Totales!$A:$A,#REF!), 0))</f>
        <v/>
      </c>
      <c r="MDR224" s="19" t="str">
        <f>IF(MDR220 = "", "", IFERROR(MDR220 / SUMIFS(Aux_Totales!$N:$N, Aux_Totales!$F:$F, $F224, Aux_Totales!$A:$A,#REF!), 0))</f>
        <v/>
      </c>
      <c r="MDS224" s="19" t="str">
        <f>IF(MDS220 = "", "", IFERROR(MDS220 / SUMIFS(Aux_Totales!$N:$N, Aux_Totales!$F:$F, $F224, Aux_Totales!$A:$A,#REF!), 0))</f>
        <v/>
      </c>
      <c r="MDT224" s="19" t="str">
        <f>IF(MDT220 = "", "", IFERROR(MDT220 / SUMIFS(Aux_Totales!$N:$N, Aux_Totales!$F:$F, $F224, Aux_Totales!$A:$A,#REF!), 0))</f>
        <v/>
      </c>
      <c r="MDU224" s="19" t="str">
        <f>IF(MDU220 = "", "", IFERROR(MDU220 / SUMIFS(Aux_Totales!$N:$N, Aux_Totales!$F:$F, $F224, Aux_Totales!$A:$A,#REF!), 0))</f>
        <v/>
      </c>
      <c r="MDV224" s="19" t="str">
        <f>IF(MDV220 = "", "", IFERROR(MDV220 / SUMIFS(Aux_Totales!$N:$N, Aux_Totales!$F:$F, $F224, Aux_Totales!$A:$A,#REF!), 0))</f>
        <v/>
      </c>
      <c r="MDW224" s="19" t="str">
        <f>IF(MDW220 = "", "", IFERROR(MDW220 / SUMIFS(Aux_Totales!$N:$N, Aux_Totales!$F:$F, $F224, Aux_Totales!$A:$A,#REF!), 0))</f>
        <v/>
      </c>
      <c r="MDX224" s="19" t="str">
        <f>IF(MDX220 = "", "", IFERROR(MDX220 / SUMIFS(Aux_Totales!$N:$N, Aux_Totales!$F:$F, $F224, Aux_Totales!$A:$A,#REF!), 0))</f>
        <v/>
      </c>
      <c r="MDY224" s="19" t="str">
        <f>IF(MDY220 = "", "", IFERROR(MDY220 / SUMIFS(Aux_Totales!$N:$N, Aux_Totales!$F:$F, $F224, Aux_Totales!$A:$A,#REF!), 0))</f>
        <v/>
      </c>
      <c r="MDZ224" s="19" t="str">
        <f>IF(MDZ220 = "", "", IFERROR(MDZ220 / SUMIFS(Aux_Totales!$N:$N, Aux_Totales!$F:$F, $F224, Aux_Totales!$A:$A,#REF!), 0))</f>
        <v/>
      </c>
      <c r="MEA224" s="19" t="str">
        <f>IF(MEA220 = "", "", IFERROR(MEA220 / SUMIFS(Aux_Totales!$N:$N, Aux_Totales!$F:$F, $F224, Aux_Totales!$A:$A,#REF!), 0))</f>
        <v/>
      </c>
      <c r="MEB224" s="19" t="str">
        <f>IF(MEB220 = "", "", IFERROR(MEB220 / SUMIFS(Aux_Totales!$N:$N, Aux_Totales!$F:$F, $F224, Aux_Totales!$A:$A,#REF!), 0))</f>
        <v/>
      </c>
      <c r="MEC224" s="19" t="str">
        <f>IF(MEC220 = "", "", IFERROR(MEC220 / SUMIFS(Aux_Totales!$N:$N, Aux_Totales!$F:$F, $F224, Aux_Totales!$A:$A,#REF!), 0))</f>
        <v/>
      </c>
      <c r="MED224" s="19" t="str">
        <f>IF(MED220 = "", "", IFERROR(MED220 / SUMIFS(Aux_Totales!$N:$N, Aux_Totales!$F:$F, $F224, Aux_Totales!$A:$A,#REF!), 0))</f>
        <v/>
      </c>
      <c r="MEE224" s="19" t="str">
        <f>IF(MEE220 = "", "", IFERROR(MEE220 / SUMIFS(Aux_Totales!$N:$N, Aux_Totales!$F:$F, $F224, Aux_Totales!$A:$A,#REF!), 0))</f>
        <v/>
      </c>
      <c r="MEF224" s="19" t="str">
        <f>IF(MEF220 = "", "", IFERROR(MEF220 / SUMIFS(Aux_Totales!$N:$N, Aux_Totales!$F:$F, $F224, Aux_Totales!$A:$A,#REF!), 0))</f>
        <v/>
      </c>
      <c r="MEG224" s="19" t="str">
        <f>IF(MEG220 = "", "", IFERROR(MEG220 / SUMIFS(Aux_Totales!$N:$N, Aux_Totales!$F:$F, $F224, Aux_Totales!$A:$A,#REF!), 0))</f>
        <v/>
      </c>
      <c r="MEH224" s="19" t="str">
        <f>IF(MEH220 = "", "", IFERROR(MEH220 / SUMIFS(Aux_Totales!$N:$N, Aux_Totales!$F:$F, $F224, Aux_Totales!$A:$A,#REF!), 0))</f>
        <v/>
      </c>
      <c r="MEI224" s="19" t="str">
        <f>IF(MEI220 = "", "", IFERROR(MEI220 / SUMIFS(Aux_Totales!$N:$N, Aux_Totales!$F:$F, $F224, Aux_Totales!$A:$A,#REF!), 0))</f>
        <v/>
      </c>
      <c r="MEJ224" s="19" t="str">
        <f>IF(MEJ220 = "", "", IFERROR(MEJ220 / SUMIFS(Aux_Totales!$N:$N, Aux_Totales!$F:$F, $F224, Aux_Totales!$A:$A,#REF!), 0))</f>
        <v/>
      </c>
      <c r="MEK224" s="19" t="str">
        <f>IF(MEK220 = "", "", IFERROR(MEK220 / SUMIFS(Aux_Totales!$N:$N, Aux_Totales!$F:$F, $F224, Aux_Totales!$A:$A,#REF!), 0))</f>
        <v/>
      </c>
      <c r="MEL224" s="19" t="str">
        <f>IF(MEL220 = "", "", IFERROR(MEL220 / SUMIFS(Aux_Totales!$N:$N, Aux_Totales!$F:$F, $F224, Aux_Totales!$A:$A,#REF!), 0))</f>
        <v/>
      </c>
      <c r="MEM224" s="19" t="str">
        <f>IF(MEM220 = "", "", IFERROR(MEM220 / SUMIFS(Aux_Totales!$N:$N, Aux_Totales!$F:$F, $F224, Aux_Totales!$A:$A,#REF!), 0))</f>
        <v/>
      </c>
      <c r="MEN224" s="19" t="str">
        <f>IF(MEN220 = "", "", IFERROR(MEN220 / SUMIFS(Aux_Totales!$N:$N, Aux_Totales!$F:$F, $F224, Aux_Totales!$A:$A,#REF!), 0))</f>
        <v/>
      </c>
      <c r="MEO224" s="19" t="str">
        <f>IF(MEO220 = "", "", IFERROR(MEO220 / SUMIFS(Aux_Totales!$N:$N, Aux_Totales!$F:$F, $F224, Aux_Totales!$A:$A,#REF!), 0))</f>
        <v/>
      </c>
      <c r="MEP224" s="19" t="str">
        <f>IF(MEP220 = "", "", IFERROR(MEP220 / SUMIFS(Aux_Totales!$N:$N, Aux_Totales!$F:$F, $F224, Aux_Totales!$A:$A,#REF!), 0))</f>
        <v/>
      </c>
      <c r="MEQ224" s="19" t="str">
        <f>IF(MEQ220 = "", "", IFERROR(MEQ220 / SUMIFS(Aux_Totales!$N:$N, Aux_Totales!$F:$F, $F224, Aux_Totales!$A:$A,#REF!), 0))</f>
        <v/>
      </c>
      <c r="MER224" s="19" t="str">
        <f>IF(MER220 = "", "", IFERROR(MER220 / SUMIFS(Aux_Totales!$N:$N, Aux_Totales!$F:$F, $F224, Aux_Totales!$A:$A,#REF!), 0))</f>
        <v/>
      </c>
      <c r="MES224" s="19" t="str">
        <f>IF(MES220 = "", "", IFERROR(MES220 / SUMIFS(Aux_Totales!$N:$N, Aux_Totales!$F:$F, $F224, Aux_Totales!$A:$A,#REF!), 0))</f>
        <v/>
      </c>
      <c r="MET224" s="19" t="str">
        <f>IF(MET220 = "", "", IFERROR(MET220 / SUMIFS(Aux_Totales!$N:$N, Aux_Totales!$F:$F, $F224, Aux_Totales!$A:$A,#REF!), 0))</f>
        <v/>
      </c>
      <c r="MEU224" s="19" t="str">
        <f>IF(MEU220 = "", "", IFERROR(MEU220 / SUMIFS(Aux_Totales!$N:$N, Aux_Totales!$F:$F, $F224, Aux_Totales!$A:$A,#REF!), 0))</f>
        <v/>
      </c>
      <c r="MEV224" s="19" t="str">
        <f>IF(MEV220 = "", "", IFERROR(MEV220 / SUMIFS(Aux_Totales!$N:$N, Aux_Totales!$F:$F, $F224, Aux_Totales!$A:$A,#REF!), 0))</f>
        <v/>
      </c>
      <c r="MEW224" s="19" t="str">
        <f>IF(MEW220 = "", "", IFERROR(MEW220 / SUMIFS(Aux_Totales!$N:$N, Aux_Totales!$F:$F, $F224, Aux_Totales!$A:$A,#REF!), 0))</f>
        <v/>
      </c>
      <c r="MEX224" s="19" t="str">
        <f>IF(MEX220 = "", "", IFERROR(MEX220 / SUMIFS(Aux_Totales!$N:$N, Aux_Totales!$F:$F, $F224, Aux_Totales!$A:$A,#REF!), 0))</f>
        <v/>
      </c>
      <c r="MEY224" s="19" t="str">
        <f>IF(MEY220 = "", "", IFERROR(MEY220 / SUMIFS(Aux_Totales!$N:$N, Aux_Totales!$F:$F, $F224, Aux_Totales!$A:$A,#REF!), 0))</f>
        <v/>
      </c>
      <c r="MEZ224" s="19" t="str">
        <f>IF(MEZ220 = "", "", IFERROR(MEZ220 / SUMIFS(Aux_Totales!$N:$N, Aux_Totales!$F:$F, $F224, Aux_Totales!$A:$A,#REF!), 0))</f>
        <v/>
      </c>
      <c r="MFA224" s="19" t="str">
        <f>IF(MFA220 = "", "", IFERROR(MFA220 / SUMIFS(Aux_Totales!$N:$N, Aux_Totales!$F:$F, $F224, Aux_Totales!$A:$A,#REF!), 0))</f>
        <v/>
      </c>
      <c r="MFB224" s="19" t="str">
        <f>IF(MFB220 = "", "", IFERROR(MFB220 / SUMIFS(Aux_Totales!$N:$N, Aux_Totales!$F:$F, $F224, Aux_Totales!$A:$A,#REF!), 0))</f>
        <v/>
      </c>
      <c r="MFC224" s="19" t="str">
        <f>IF(MFC220 = "", "", IFERROR(MFC220 / SUMIFS(Aux_Totales!$N:$N, Aux_Totales!$F:$F, $F224, Aux_Totales!$A:$A,#REF!), 0))</f>
        <v/>
      </c>
      <c r="MFD224" s="19" t="str">
        <f>IF(MFD220 = "", "", IFERROR(MFD220 / SUMIFS(Aux_Totales!$N:$N, Aux_Totales!$F:$F, $F224, Aux_Totales!$A:$A,#REF!), 0))</f>
        <v/>
      </c>
      <c r="MFE224" s="19" t="str">
        <f>IF(MFE220 = "", "", IFERROR(MFE220 / SUMIFS(Aux_Totales!$N:$N, Aux_Totales!$F:$F, $F224, Aux_Totales!$A:$A,#REF!), 0))</f>
        <v/>
      </c>
      <c r="MFF224" s="19" t="str">
        <f>IF(MFF220 = "", "", IFERROR(MFF220 / SUMIFS(Aux_Totales!$N:$N, Aux_Totales!$F:$F, $F224, Aux_Totales!$A:$A,#REF!), 0))</f>
        <v/>
      </c>
      <c r="MFG224" s="19" t="str">
        <f>IF(MFG220 = "", "", IFERROR(MFG220 / SUMIFS(Aux_Totales!$N:$N, Aux_Totales!$F:$F, $F224, Aux_Totales!$A:$A,#REF!), 0))</f>
        <v/>
      </c>
      <c r="MFH224" s="19" t="str">
        <f>IF(MFH220 = "", "", IFERROR(MFH220 / SUMIFS(Aux_Totales!$N:$N, Aux_Totales!$F:$F, $F224, Aux_Totales!$A:$A,#REF!), 0))</f>
        <v/>
      </c>
      <c r="MFI224" s="19" t="str">
        <f>IF(MFI220 = "", "", IFERROR(MFI220 / SUMIFS(Aux_Totales!$N:$N, Aux_Totales!$F:$F, $F224, Aux_Totales!$A:$A,#REF!), 0))</f>
        <v/>
      </c>
      <c r="MFJ224" s="19" t="str">
        <f>IF(MFJ220 = "", "", IFERROR(MFJ220 / SUMIFS(Aux_Totales!$N:$N, Aux_Totales!$F:$F, $F224, Aux_Totales!$A:$A,#REF!), 0))</f>
        <v/>
      </c>
      <c r="MFK224" s="19" t="str">
        <f>IF(MFK220 = "", "", IFERROR(MFK220 / SUMIFS(Aux_Totales!$N:$N, Aux_Totales!$F:$F, $F224, Aux_Totales!$A:$A,#REF!), 0))</f>
        <v/>
      </c>
      <c r="MFL224" s="19" t="str">
        <f>IF(MFL220 = "", "", IFERROR(MFL220 / SUMIFS(Aux_Totales!$N:$N, Aux_Totales!$F:$F, $F224, Aux_Totales!$A:$A,#REF!), 0))</f>
        <v/>
      </c>
      <c r="MFM224" s="19" t="str">
        <f>IF(MFM220 = "", "", IFERROR(MFM220 / SUMIFS(Aux_Totales!$N:$N, Aux_Totales!$F:$F, $F224, Aux_Totales!$A:$A,#REF!), 0))</f>
        <v/>
      </c>
      <c r="MFN224" s="19" t="str">
        <f>IF(MFN220 = "", "", IFERROR(MFN220 / SUMIFS(Aux_Totales!$N:$N, Aux_Totales!$F:$F, $F224, Aux_Totales!$A:$A,#REF!), 0))</f>
        <v/>
      </c>
      <c r="MFO224" s="19" t="str">
        <f>IF(MFO220 = "", "", IFERROR(MFO220 / SUMIFS(Aux_Totales!$N:$N, Aux_Totales!$F:$F, $F224, Aux_Totales!$A:$A,#REF!), 0))</f>
        <v/>
      </c>
      <c r="MFP224" s="19" t="str">
        <f>IF(MFP220 = "", "", IFERROR(MFP220 / SUMIFS(Aux_Totales!$N:$N, Aux_Totales!$F:$F, $F224, Aux_Totales!$A:$A,#REF!), 0))</f>
        <v/>
      </c>
      <c r="MFQ224" s="19" t="str">
        <f>IF(MFQ220 = "", "", IFERROR(MFQ220 / SUMIFS(Aux_Totales!$N:$N, Aux_Totales!$F:$F, $F224, Aux_Totales!$A:$A,#REF!), 0))</f>
        <v/>
      </c>
      <c r="MFR224" s="19" t="str">
        <f>IF(MFR220 = "", "", IFERROR(MFR220 / SUMIFS(Aux_Totales!$N:$N, Aux_Totales!$F:$F, $F224, Aux_Totales!$A:$A,#REF!), 0))</f>
        <v/>
      </c>
      <c r="MFS224" s="19" t="str">
        <f>IF(MFS220 = "", "", IFERROR(MFS220 / SUMIFS(Aux_Totales!$N:$N, Aux_Totales!$F:$F, $F224, Aux_Totales!$A:$A,#REF!), 0))</f>
        <v/>
      </c>
      <c r="MFT224" s="19" t="str">
        <f>IF(MFT220 = "", "", IFERROR(MFT220 / SUMIFS(Aux_Totales!$N:$N, Aux_Totales!$F:$F, $F224, Aux_Totales!$A:$A,#REF!), 0))</f>
        <v/>
      </c>
      <c r="MFU224" s="19" t="str">
        <f>IF(MFU220 = "", "", IFERROR(MFU220 / SUMIFS(Aux_Totales!$N:$N, Aux_Totales!$F:$F, $F224, Aux_Totales!$A:$A,#REF!), 0))</f>
        <v/>
      </c>
      <c r="MFV224" s="19" t="str">
        <f>IF(MFV220 = "", "", IFERROR(MFV220 / SUMIFS(Aux_Totales!$N:$N, Aux_Totales!$F:$F, $F224, Aux_Totales!$A:$A,#REF!), 0))</f>
        <v/>
      </c>
      <c r="MFW224" s="19" t="str">
        <f>IF(MFW220 = "", "", IFERROR(MFW220 / SUMIFS(Aux_Totales!$N:$N, Aux_Totales!$F:$F, $F224, Aux_Totales!$A:$A,#REF!), 0))</f>
        <v/>
      </c>
      <c r="MFX224" s="19" t="str">
        <f>IF(MFX220 = "", "", IFERROR(MFX220 / SUMIFS(Aux_Totales!$N:$N, Aux_Totales!$F:$F, $F224, Aux_Totales!$A:$A,#REF!), 0))</f>
        <v/>
      </c>
      <c r="MFY224" s="19" t="str">
        <f>IF(MFY220 = "", "", IFERROR(MFY220 / SUMIFS(Aux_Totales!$N:$N, Aux_Totales!$F:$F, $F224, Aux_Totales!$A:$A,#REF!), 0))</f>
        <v/>
      </c>
      <c r="MFZ224" s="19" t="str">
        <f>IF(MFZ220 = "", "", IFERROR(MFZ220 / SUMIFS(Aux_Totales!$N:$N, Aux_Totales!$F:$F, $F224, Aux_Totales!$A:$A,#REF!), 0))</f>
        <v/>
      </c>
      <c r="MGA224" s="19" t="str">
        <f>IF(MGA220 = "", "", IFERROR(MGA220 / SUMIFS(Aux_Totales!$N:$N, Aux_Totales!$F:$F, $F224, Aux_Totales!$A:$A,#REF!), 0))</f>
        <v/>
      </c>
      <c r="MGB224" s="19" t="str">
        <f>IF(MGB220 = "", "", IFERROR(MGB220 / SUMIFS(Aux_Totales!$N:$N, Aux_Totales!$F:$F, $F224, Aux_Totales!$A:$A,#REF!), 0))</f>
        <v/>
      </c>
      <c r="MGC224" s="19" t="str">
        <f>IF(MGC220 = "", "", IFERROR(MGC220 / SUMIFS(Aux_Totales!$N:$N, Aux_Totales!$F:$F, $F224, Aux_Totales!$A:$A,#REF!), 0))</f>
        <v/>
      </c>
      <c r="MGD224" s="19" t="str">
        <f>IF(MGD220 = "", "", IFERROR(MGD220 / SUMIFS(Aux_Totales!$N:$N, Aux_Totales!$F:$F, $F224, Aux_Totales!$A:$A,#REF!), 0))</f>
        <v/>
      </c>
      <c r="MGE224" s="19" t="str">
        <f>IF(MGE220 = "", "", IFERROR(MGE220 / SUMIFS(Aux_Totales!$N:$N, Aux_Totales!$F:$F, $F224, Aux_Totales!$A:$A,#REF!), 0))</f>
        <v/>
      </c>
      <c r="MGF224" s="19" t="str">
        <f>IF(MGF220 = "", "", IFERROR(MGF220 / SUMIFS(Aux_Totales!$N:$N, Aux_Totales!$F:$F, $F224, Aux_Totales!$A:$A,#REF!), 0))</f>
        <v/>
      </c>
      <c r="MGG224" s="19" t="str">
        <f>IF(MGG220 = "", "", IFERROR(MGG220 / SUMIFS(Aux_Totales!$N:$N, Aux_Totales!$F:$F, $F224, Aux_Totales!$A:$A,#REF!), 0))</f>
        <v/>
      </c>
      <c r="MGH224" s="19" t="str">
        <f>IF(MGH220 = "", "", IFERROR(MGH220 / SUMIFS(Aux_Totales!$N:$N, Aux_Totales!$F:$F, $F224, Aux_Totales!$A:$A,#REF!), 0))</f>
        <v/>
      </c>
      <c r="MGI224" s="19" t="str">
        <f>IF(MGI220 = "", "", IFERROR(MGI220 / SUMIFS(Aux_Totales!$N:$N, Aux_Totales!$F:$F, $F224, Aux_Totales!$A:$A,#REF!), 0))</f>
        <v/>
      </c>
      <c r="MGJ224" s="19" t="str">
        <f>IF(MGJ220 = "", "", IFERROR(MGJ220 / SUMIFS(Aux_Totales!$N:$N, Aux_Totales!$F:$F, $F224, Aux_Totales!$A:$A,#REF!), 0))</f>
        <v/>
      </c>
      <c r="MGK224" s="19" t="str">
        <f>IF(MGK220 = "", "", IFERROR(MGK220 / SUMIFS(Aux_Totales!$N:$N, Aux_Totales!$F:$F, $F224, Aux_Totales!$A:$A,#REF!), 0))</f>
        <v/>
      </c>
      <c r="MGL224" s="19" t="str">
        <f>IF(MGL220 = "", "", IFERROR(MGL220 / SUMIFS(Aux_Totales!$N:$N, Aux_Totales!$F:$F, $F224, Aux_Totales!$A:$A,#REF!), 0))</f>
        <v/>
      </c>
      <c r="MGM224" s="19" t="str">
        <f>IF(MGM220 = "", "", IFERROR(MGM220 / SUMIFS(Aux_Totales!$N:$N, Aux_Totales!$F:$F, $F224, Aux_Totales!$A:$A,#REF!), 0))</f>
        <v/>
      </c>
      <c r="MGN224" s="19" t="str">
        <f>IF(MGN220 = "", "", IFERROR(MGN220 / SUMIFS(Aux_Totales!$N:$N, Aux_Totales!$F:$F, $F224, Aux_Totales!$A:$A,#REF!), 0))</f>
        <v/>
      </c>
      <c r="MGO224" s="19" t="str">
        <f>IF(MGO220 = "", "", IFERROR(MGO220 / SUMIFS(Aux_Totales!$N:$N, Aux_Totales!$F:$F, $F224, Aux_Totales!$A:$A,#REF!), 0))</f>
        <v/>
      </c>
      <c r="MGP224" s="19" t="str">
        <f>IF(MGP220 = "", "", IFERROR(MGP220 / SUMIFS(Aux_Totales!$N:$N, Aux_Totales!$F:$F, $F224, Aux_Totales!$A:$A,#REF!), 0))</f>
        <v/>
      </c>
      <c r="MGQ224" s="19" t="str">
        <f>IF(MGQ220 = "", "", IFERROR(MGQ220 / SUMIFS(Aux_Totales!$N:$N, Aux_Totales!$F:$F, $F224, Aux_Totales!$A:$A,#REF!), 0))</f>
        <v/>
      </c>
      <c r="MGR224" s="19" t="str">
        <f>IF(MGR220 = "", "", IFERROR(MGR220 / SUMIFS(Aux_Totales!$N:$N, Aux_Totales!$F:$F, $F224, Aux_Totales!$A:$A,#REF!), 0))</f>
        <v/>
      </c>
      <c r="MGS224" s="19" t="str">
        <f>IF(MGS220 = "", "", IFERROR(MGS220 / SUMIFS(Aux_Totales!$N:$N, Aux_Totales!$F:$F, $F224, Aux_Totales!$A:$A,#REF!), 0))</f>
        <v/>
      </c>
      <c r="MGT224" s="19" t="str">
        <f>IF(MGT220 = "", "", IFERROR(MGT220 / SUMIFS(Aux_Totales!$N:$N, Aux_Totales!$F:$F, $F224, Aux_Totales!$A:$A,#REF!), 0))</f>
        <v/>
      </c>
      <c r="MGU224" s="19" t="str">
        <f>IF(MGU220 = "", "", IFERROR(MGU220 / SUMIFS(Aux_Totales!$N:$N, Aux_Totales!$F:$F, $F224, Aux_Totales!$A:$A,#REF!), 0))</f>
        <v/>
      </c>
      <c r="MGV224" s="19" t="str">
        <f>IF(MGV220 = "", "", IFERROR(MGV220 / SUMIFS(Aux_Totales!$N:$N, Aux_Totales!$F:$F, $F224, Aux_Totales!$A:$A,#REF!), 0))</f>
        <v/>
      </c>
      <c r="MGW224" s="19" t="str">
        <f>IF(MGW220 = "", "", IFERROR(MGW220 / SUMIFS(Aux_Totales!$N:$N, Aux_Totales!$F:$F, $F224, Aux_Totales!$A:$A,#REF!), 0))</f>
        <v/>
      </c>
      <c r="MGX224" s="19" t="str">
        <f>IF(MGX220 = "", "", IFERROR(MGX220 / SUMIFS(Aux_Totales!$N:$N, Aux_Totales!$F:$F, $F224, Aux_Totales!$A:$A,#REF!), 0))</f>
        <v/>
      </c>
      <c r="MGY224" s="19" t="str">
        <f>IF(MGY220 = "", "", IFERROR(MGY220 / SUMIFS(Aux_Totales!$N:$N, Aux_Totales!$F:$F, $F224, Aux_Totales!$A:$A,#REF!), 0))</f>
        <v/>
      </c>
      <c r="MGZ224" s="19" t="str">
        <f>IF(MGZ220 = "", "", IFERROR(MGZ220 / SUMIFS(Aux_Totales!$N:$N, Aux_Totales!$F:$F, $F224, Aux_Totales!$A:$A,#REF!), 0))</f>
        <v/>
      </c>
      <c r="MHA224" s="19" t="str">
        <f>IF(MHA220 = "", "", IFERROR(MHA220 / SUMIFS(Aux_Totales!$N:$N, Aux_Totales!$F:$F, $F224, Aux_Totales!$A:$A,#REF!), 0))</f>
        <v/>
      </c>
      <c r="MHB224" s="19" t="str">
        <f>IF(MHB220 = "", "", IFERROR(MHB220 / SUMIFS(Aux_Totales!$N:$N, Aux_Totales!$F:$F, $F224, Aux_Totales!$A:$A,#REF!), 0))</f>
        <v/>
      </c>
      <c r="MHC224" s="19" t="str">
        <f>IF(MHC220 = "", "", IFERROR(MHC220 / SUMIFS(Aux_Totales!$N:$N, Aux_Totales!$F:$F, $F224, Aux_Totales!$A:$A,#REF!), 0))</f>
        <v/>
      </c>
      <c r="MHD224" s="19" t="str">
        <f>IF(MHD220 = "", "", IFERROR(MHD220 / SUMIFS(Aux_Totales!$N:$N, Aux_Totales!$F:$F, $F224, Aux_Totales!$A:$A,#REF!), 0))</f>
        <v/>
      </c>
      <c r="MHE224" s="19" t="str">
        <f>IF(MHE220 = "", "", IFERROR(MHE220 / SUMIFS(Aux_Totales!$N:$N, Aux_Totales!$F:$F, $F224, Aux_Totales!$A:$A,#REF!), 0))</f>
        <v/>
      </c>
      <c r="MHF224" s="19" t="str">
        <f>IF(MHF220 = "", "", IFERROR(MHF220 / SUMIFS(Aux_Totales!$N:$N, Aux_Totales!$F:$F, $F224, Aux_Totales!$A:$A,#REF!), 0))</f>
        <v/>
      </c>
      <c r="MHG224" s="19" t="str">
        <f>IF(MHG220 = "", "", IFERROR(MHG220 / SUMIFS(Aux_Totales!$N:$N, Aux_Totales!$F:$F, $F224, Aux_Totales!$A:$A,#REF!), 0))</f>
        <v/>
      </c>
      <c r="MHH224" s="19" t="str">
        <f>IF(MHH220 = "", "", IFERROR(MHH220 / SUMIFS(Aux_Totales!$N:$N, Aux_Totales!$F:$F, $F224, Aux_Totales!$A:$A,#REF!), 0))</f>
        <v/>
      </c>
      <c r="MHI224" s="19" t="str">
        <f>IF(MHI220 = "", "", IFERROR(MHI220 / SUMIFS(Aux_Totales!$N:$N, Aux_Totales!$F:$F, $F224, Aux_Totales!$A:$A,#REF!), 0))</f>
        <v/>
      </c>
      <c r="MHJ224" s="19" t="str">
        <f>IF(MHJ220 = "", "", IFERROR(MHJ220 / SUMIFS(Aux_Totales!$N:$N, Aux_Totales!$F:$F, $F224, Aux_Totales!$A:$A,#REF!), 0))</f>
        <v/>
      </c>
      <c r="MHK224" s="19" t="str">
        <f>IF(MHK220 = "", "", IFERROR(MHK220 / SUMIFS(Aux_Totales!$N:$N, Aux_Totales!$F:$F, $F224, Aux_Totales!$A:$A,#REF!), 0))</f>
        <v/>
      </c>
      <c r="MHL224" s="19" t="str">
        <f>IF(MHL220 = "", "", IFERROR(MHL220 / SUMIFS(Aux_Totales!$N:$N, Aux_Totales!$F:$F, $F224, Aux_Totales!$A:$A,#REF!), 0))</f>
        <v/>
      </c>
      <c r="MHM224" s="19" t="str">
        <f>IF(MHM220 = "", "", IFERROR(MHM220 / SUMIFS(Aux_Totales!$N:$N, Aux_Totales!$F:$F, $F224, Aux_Totales!$A:$A,#REF!), 0))</f>
        <v/>
      </c>
      <c r="MHN224" s="19" t="str">
        <f>IF(MHN220 = "", "", IFERROR(MHN220 / SUMIFS(Aux_Totales!$N:$N, Aux_Totales!$F:$F, $F224, Aux_Totales!$A:$A,#REF!), 0))</f>
        <v/>
      </c>
      <c r="MHO224" s="19" t="str">
        <f>IF(MHO220 = "", "", IFERROR(MHO220 / SUMIFS(Aux_Totales!$N:$N, Aux_Totales!$F:$F, $F224, Aux_Totales!$A:$A,#REF!), 0))</f>
        <v/>
      </c>
      <c r="MHP224" s="19" t="str">
        <f>IF(MHP220 = "", "", IFERROR(MHP220 / SUMIFS(Aux_Totales!$N:$N, Aux_Totales!$F:$F, $F224, Aux_Totales!$A:$A,#REF!), 0))</f>
        <v/>
      </c>
      <c r="MHQ224" s="19" t="str">
        <f>IF(MHQ220 = "", "", IFERROR(MHQ220 / SUMIFS(Aux_Totales!$N:$N, Aux_Totales!$F:$F, $F224, Aux_Totales!$A:$A,#REF!), 0))</f>
        <v/>
      </c>
      <c r="MHR224" s="19" t="str">
        <f>IF(MHR220 = "", "", IFERROR(MHR220 / SUMIFS(Aux_Totales!$N:$N, Aux_Totales!$F:$F, $F224, Aux_Totales!$A:$A,#REF!), 0))</f>
        <v/>
      </c>
      <c r="MHS224" s="19" t="str">
        <f>IF(MHS220 = "", "", IFERROR(MHS220 / SUMIFS(Aux_Totales!$N:$N, Aux_Totales!$F:$F, $F224, Aux_Totales!$A:$A,#REF!), 0))</f>
        <v/>
      </c>
      <c r="MHT224" s="19" t="str">
        <f>IF(MHT220 = "", "", IFERROR(MHT220 / SUMIFS(Aux_Totales!$N:$N, Aux_Totales!$F:$F, $F224, Aux_Totales!$A:$A,#REF!), 0))</f>
        <v/>
      </c>
      <c r="MHU224" s="19" t="str">
        <f>IF(MHU220 = "", "", IFERROR(MHU220 / SUMIFS(Aux_Totales!$N:$N, Aux_Totales!$F:$F, $F224, Aux_Totales!$A:$A,#REF!), 0))</f>
        <v/>
      </c>
      <c r="MHV224" s="19" t="str">
        <f>IF(MHV220 = "", "", IFERROR(MHV220 / SUMIFS(Aux_Totales!$N:$N, Aux_Totales!$F:$F, $F224, Aux_Totales!$A:$A,#REF!), 0))</f>
        <v/>
      </c>
      <c r="MHW224" s="19" t="str">
        <f>IF(MHW220 = "", "", IFERROR(MHW220 / SUMIFS(Aux_Totales!$N:$N, Aux_Totales!$F:$F, $F224, Aux_Totales!$A:$A,#REF!), 0))</f>
        <v/>
      </c>
      <c r="MHX224" s="19" t="str">
        <f>IF(MHX220 = "", "", IFERROR(MHX220 / SUMIFS(Aux_Totales!$N:$N, Aux_Totales!$F:$F, $F224, Aux_Totales!$A:$A,#REF!), 0))</f>
        <v/>
      </c>
      <c r="MHY224" s="19" t="str">
        <f>IF(MHY220 = "", "", IFERROR(MHY220 / SUMIFS(Aux_Totales!$N:$N, Aux_Totales!$F:$F, $F224, Aux_Totales!$A:$A,#REF!), 0))</f>
        <v/>
      </c>
      <c r="MHZ224" s="19" t="str">
        <f>IF(MHZ220 = "", "", IFERROR(MHZ220 / SUMIFS(Aux_Totales!$N:$N, Aux_Totales!$F:$F, $F224, Aux_Totales!$A:$A,#REF!), 0))</f>
        <v/>
      </c>
      <c r="MIA224" s="19" t="str">
        <f>IF(MIA220 = "", "", IFERROR(MIA220 / SUMIFS(Aux_Totales!$N:$N, Aux_Totales!$F:$F, $F224, Aux_Totales!$A:$A,#REF!), 0))</f>
        <v/>
      </c>
      <c r="MIB224" s="19" t="str">
        <f>IF(MIB220 = "", "", IFERROR(MIB220 / SUMIFS(Aux_Totales!$N:$N, Aux_Totales!$F:$F, $F224, Aux_Totales!$A:$A,#REF!), 0))</f>
        <v/>
      </c>
      <c r="MIC224" s="19" t="str">
        <f>IF(MIC220 = "", "", IFERROR(MIC220 / SUMIFS(Aux_Totales!$N:$N, Aux_Totales!$F:$F, $F224, Aux_Totales!$A:$A,#REF!), 0))</f>
        <v/>
      </c>
      <c r="MID224" s="19" t="str">
        <f>IF(MID220 = "", "", IFERROR(MID220 / SUMIFS(Aux_Totales!$N:$N, Aux_Totales!$F:$F, $F224, Aux_Totales!$A:$A,#REF!), 0))</f>
        <v/>
      </c>
      <c r="MIE224" s="19" t="str">
        <f>IF(MIE220 = "", "", IFERROR(MIE220 / SUMIFS(Aux_Totales!$N:$N, Aux_Totales!$F:$F, $F224, Aux_Totales!$A:$A,#REF!), 0))</f>
        <v/>
      </c>
      <c r="MIF224" s="19" t="str">
        <f>IF(MIF220 = "", "", IFERROR(MIF220 / SUMIFS(Aux_Totales!$N:$N, Aux_Totales!$F:$F, $F224, Aux_Totales!$A:$A,#REF!), 0))</f>
        <v/>
      </c>
      <c r="MIG224" s="19" t="str">
        <f>IF(MIG220 = "", "", IFERROR(MIG220 / SUMIFS(Aux_Totales!$N:$N, Aux_Totales!$F:$F, $F224, Aux_Totales!$A:$A,#REF!), 0))</f>
        <v/>
      </c>
      <c r="MIH224" s="19" t="str">
        <f>IF(MIH220 = "", "", IFERROR(MIH220 / SUMIFS(Aux_Totales!$N:$N, Aux_Totales!$F:$F, $F224, Aux_Totales!$A:$A,#REF!), 0))</f>
        <v/>
      </c>
      <c r="MII224" s="19" t="str">
        <f>IF(MII220 = "", "", IFERROR(MII220 / SUMIFS(Aux_Totales!$N:$N, Aux_Totales!$F:$F, $F224, Aux_Totales!$A:$A,#REF!), 0))</f>
        <v/>
      </c>
      <c r="MIJ224" s="19" t="str">
        <f>IF(MIJ220 = "", "", IFERROR(MIJ220 / SUMIFS(Aux_Totales!$N:$N, Aux_Totales!$F:$F, $F224, Aux_Totales!$A:$A,#REF!), 0))</f>
        <v/>
      </c>
      <c r="MIK224" s="19" t="str">
        <f>IF(MIK220 = "", "", IFERROR(MIK220 / SUMIFS(Aux_Totales!$N:$N, Aux_Totales!$F:$F, $F224, Aux_Totales!$A:$A,#REF!), 0))</f>
        <v/>
      </c>
      <c r="MIL224" s="19" t="str">
        <f>IF(MIL220 = "", "", IFERROR(MIL220 / SUMIFS(Aux_Totales!$N:$N, Aux_Totales!$F:$F, $F224, Aux_Totales!$A:$A,#REF!), 0))</f>
        <v/>
      </c>
      <c r="MIM224" s="19" t="str">
        <f>IF(MIM220 = "", "", IFERROR(MIM220 / SUMIFS(Aux_Totales!$N:$N, Aux_Totales!$F:$F, $F224, Aux_Totales!$A:$A,#REF!), 0))</f>
        <v/>
      </c>
      <c r="MIN224" s="19" t="str">
        <f>IF(MIN220 = "", "", IFERROR(MIN220 / SUMIFS(Aux_Totales!$N:$N, Aux_Totales!$F:$F, $F224, Aux_Totales!$A:$A,#REF!), 0))</f>
        <v/>
      </c>
      <c r="MIO224" s="19" t="str">
        <f>IF(MIO220 = "", "", IFERROR(MIO220 / SUMIFS(Aux_Totales!$N:$N, Aux_Totales!$F:$F, $F224, Aux_Totales!$A:$A,#REF!), 0))</f>
        <v/>
      </c>
      <c r="MIP224" s="19" t="str">
        <f>IF(MIP220 = "", "", IFERROR(MIP220 / SUMIFS(Aux_Totales!$N:$N, Aux_Totales!$F:$F, $F224, Aux_Totales!$A:$A,#REF!), 0))</f>
        <v/>
      </c>
      <c r="MIQ224" s="19" t="str">
        <f>IF(MIQ220 = "", "", IFERROR(MIQ220 / SUMIFS(Aux_Totales!$N:$N, Aux_Totales!$F:$F, $F224, Aux_Totales!$A:$A,#REF!), 0))</f>
        <v/>
      </c>
      <c r="MIR224" s="19" t="str">
        <f>IF(MIR220 = "", "", IFERROR(MIR220 / SUMIFS(Aux_Totales!$N:$N, Aux_Totales!$F:$F, $F224, Aux_Totales!$A:$A,#REF!), 0))</f>
        <v/>
      </c>
      <c r="MIS224" s="19" t="str">
        <f>IF(MIS220 = "", "", IFERROR(MIS220 / SUMIFS(Aux_Totales!$N:$N, Aux_Totales!$F:$F, $F224, Aux_Totales!$A:$A,#REF!), 0))</f>
        <v/>
      </c>
      <c r="MIT224" s="19" t="str">
        <f>IF(MIT220 = "", "", IFERROR(MIT220 / SUMIFS(Aux_Totales!$N:$N, Aux_Totales!$F:$F, $F224, Aux_Totales!$A:$A,#REF!), 0))</f>
        <v/>
      </c>
      <c r="MIU224" s="19" t="str">
        <f>IF(MIU220 = "", "", IFERROR(MIU220 / SUMIFS(Aux_Totales!$N:$N, Aux_Totales!$F:$F, $F224, Aux_Totales!$A:$A,#REF!), 0))</f>
        <v/>
      </c>
      <c r="MIV224" s="19" t="str">
        <f>IF(MIV220 = "", "", IFERROR(MIV220 / SUMIFS(Aux_Totales!$N:$N, Aux_Totales!$F:$F, $F224, Aux_Totales!$A:$A,#REF!), 0))</f>
        <v/>
      </c>
      <c r="MIW224" s="19" t="str">
        <f>IF(MIW220 = "", "", IFERROR(MIW220 / SUMIFS(Aux_Totales!$N:$N, Aux_Totales!$F:$F, $F224, Aux_Totales!$A:$A,#REF!), 0))</f>
        <v/>
      </c>
      <c r="MIX224" s="19" t="str">
        <f>IF(MIX220 = "", "", IFERROR(MIX220 / SUMIFS(Aux_Totales!$N:$N, Aux_Totales!$F:$F, $F224, Aux_Totales!$A:$A,#REF!), 0))</f>
        <v/>
      </c>
      <c r="MIY224" s="19" t="str">
        <f>IF(MIY220 = "", "", IFERROR(MIY220 / SUMIFS(Aux_Totales!$N:$N, Aux_Totales!$F:$F, $F224, Aux_Totales!$A:$A,#REF!), 0))</f>
        <v/>
      </c>
      <c r="MIZ224" s="19" t="str">
        <f>IF(MIZ220 = "", "", IFERROR(MIZ220 / SUMIFS(Aux_Totales!$N:$N, Aux_Totales!$F:$F, $F224, Aux_Totales!$A:$A,#REF!), 0))</f>
        <v/>
      </c>
      <c r="MJA224" s="19" t="str">
        <f>IF(MJA220 = "", "", IFERROR(MJA220 / SUMIFS(Aux_Totales!$N:$N, Aux_Totales!$F:$F, $F224, Aux_Totales!$A:$A,#REF!), 0))</f>
        <v/>
      </c>
      <c r="MJB224" s="19" t="str">
        <f>IF(MJB220 = "", "", IFERROR(MJB220 / SUMIFS(Aux_Totales!$N:$N, Aux_Totales!$F:$F, $F224, Aux_Totales!$A:$A,#REF!), 0))</f>
        <v/>
      </c>
      <c r="MJC224" s="19" t="str">
        <f>IF(MJC220 = "", "", IFERROR(MJC220 / SUMIFS(Aux_Totales!$N:$N, Aux_Totales!$F:$F, $F224, Aux_Totales!$A:$A,#REF!), 0))</f>
        <v/>
      </c>
      <c r="MJD224" s="19" t="str">
        <f>IF(MJD220 = "", "", IFERROR(MJD220 / SUMIFS(Aux_Totales!$N:$N, Aux_Totales!$F:$F, $F224, Aux_Totales!$A:$A,#REF!), 0))</f>
        <v/>
      </c>
      <c r="MJE224" s="19" t="str">
        <f>IF(MJE220 = "", "", IFERROR(MJE220 / SUMIFS(Aux_Totales!$N:$N, Aux_Totales!$F:$F, $F224, Aux_Totales!$A:$A,#REF!), 0))</f>
        <v/>
      </c>
      <c r="MJF224" s="19" t="str">
        <f>IF(MJF220 = "", "", IFERROR(MJF220 / SUMIFS(Aux_Totales!$N:$N, Aux_Totales!$F:$F, $F224, Aux_Totales!$A:$A,#REF!), 0))</f>
        <v/>
      </c>
      <c r="MJG224" s="19" t="str">
        <f>IF(MJG220 = "", "", IFERROR(MJG220 / SUMIFS(Aux_Totales!$N:$N, Aux_Totales!$F:$F, $F224, Aux_Totales!$A:$A,#REF!), 0))</f>
        <v/>
      </c>
      <c r="MJH224" s="19" t="str">
        <f>IF(MJH220 = "", "", IFERROR(MJH220 / SUMIFS(Aux_Totales!$N:$N, Aux_Totales!$F:$F, $F224, Aux_Totales!$A:$A,#REF!), 0))</f>
        <v/>
      </c>
      <c r="MJI224" s="19" t="str">
        <f>IF(MJI220 = "", "", IFERROR(MJI220 / SUMIFS(Aux_Totales!$N:$N, Aux_Totales!$F:$F, $F224, Aux_Totales!$A:$A,#REF!), 0))</f>
        <v/>
      </c>
      <c r="MJJ224" s="19" t="str">
        <f>IF(MJJ220 = "", "", IFERROR(MJJ220 / SUMIFS(Aux_Totales!$N:$N, Aux_Totales!$F:$F, $F224, Aux_Totales!$A:$A,#REF!), 0))</f>
        <v/>
      </c>
      <c r="MJK224" s="19" t="str">
        <f>IF(MJK220 = "", "", IFERROR(MJK220 / SUMIFS(Aux_Totales!$N:$N, Aux_Totales!$F:$F, $F224, Aux_Totales!$A:$A,#REF!), 0))</f>
        <v/>
      </c>
      <c r="MJL224" s="19" t="str">
        <f>IF(MJL220 = "", "", IFERROR(MJL220 / SUMIFS(Aux_Totales!$N:$N, Aux_Totales!$F:$F, $F224, Aux_Totales!$A:$A,#REF!), 0))</f>
        <v/>
      </c>
      <c r="MJM224" s="19" t="str">
        <f>IF(MJM220 = "", "", IFERROR(MJM220 / SUMIFS(Aux_Totales!$N:$N, Aux_Totales!$F:$F, $F224, Aux_Totales!$A:$A,#REF!), 0))</f>
        <v/>
      </c>
      <c r="MJN224" s="19" t="str">
        <f>IF(MJN220 = "", "", IFERROR(MJN220 / SUMIFS(Aux_Totales!$N:$N, Aux_Totales!$F:$F, $F224, Aux_Totales!$A:$A,#REF!), 0))</f>
        <v/>
      </c>
      <c r="MJO224" s="19" t="str">
        <f>IF(MJO220 = "", "", IFERROR(MJO220 / SUMIFS(Aux_Totales!$N:$N, Aux_Totales!$F:$F, $F224, Aux_Totales!$A:$A,#REF!), 0))</f>
        <v/>
      </c>
      <c r="MJP224" s="19" t="str">
        <f>IF(MJP220 = "", "", IFERROR(MJP220 / SUMIFS(Aux_Totales!$N:$N, Aux_Totales!$F:$F, $F224, Aux_Totales!$A:$A,#REF!), 0))</f>
        <v/>
      </c>
      <c r="MJQ224" s="19" t="str">
        <f>IF(MJQ220 = "", "", IFERROR(MJQ220 / SUMIFS(Aux_Totales!$N:$N, Aux_Totales!$F:$F, $F224, Aux_Totales!$A:$A,#REF!), 0))</f>
        <v/>
      </c>
      <c r="MJR224" s="19" t="str">
        <f>IF(MJR220 = "", "", IFERROR(MJR220 / SUMIFS(Aux_Totales!$N:$N, Aux_Totales!$F:$F, $F224, Aux_Totales!$A:$A,#REF!), 0))</f>
        <v/>
      </c>
      <c r="MJS224" s="19" t="str">
        <f>IF(MJS220 = "", "", IFERROR(MJS220 / SUMIFS(Aux_Totales!$N:$N, Aux_Totales!$F:$F, $F224, Aux_Totales!$A:$A,#REF!), 0))</f>
        <v/>
      </c>
      <c r="MJT224" s="19" t="str">
        <f>IF(MJT220 = "", "", IFERROR(MJT220 / SUMIFS(Aux_Totales!$N:$N, Aux_Totales!$F:$F, $F224, Aux_Totales!$A:$A,#REF!), 0))</f>
        <v/>
      </c>
      <c r="MJU224" s="19" t="str">
        <f>IF(MJU220 = "", "", IFERROR(MJU220 / SUMIFS(Aux_Totales!$N:$N, Aux_Totales!$F:$F, $F224, Aux_Totales!$A:$A,#REF!), 0))</f>
        <v/>
      </c>
      <c r="MJV224" s="19" t="str">
        <f>IF(MJV220 = "", "", IFERROR(MJV220 / SUMIFS(Aux_Totales!$N:$N, Aux_Totales!$F:$F, $F224, Aux_Totales!$A:$A,#REF!), 0))</f>
        <v/>
      </c>
      <c r="MJW224" s="19" t="str">
        <f>IF(MJW220 = "", "", IFERROR(MJW220 / SUMIFS(Aux_Totales!$N:$N, Aux_Totales!$F:$F, $F224, Aux_Totales!$A:$A,#REF!), 0))</f>
        <v/>
      </c>
      <c r="MJX224" s="19" t="str">
        <f>IF(MJX220 = "", "", IFERROR(MJX220 / SUMIFS(Aux_Totales!$N:$N, Aux_Totales!$F:$F, $F224, Aux_Totales!$A:$A,#REF!), 0))</f>
        <v/>
      </c>
      <c r="MJY224" s="19" t="str">
        <f>IF(MJY220 = "", "", IFERROR(MJY220 / SUMIFS(Aux_Totales!$N:$N, Aux_Totales!$F:$F, $F224, Aux_Totales!$A:$A,#REF!), 0))</f>
        <v/>
      </c>
      <c r="MJZ224" s="19" t="str">
        <f>IF(MJZ220 = "", "", IFERROR(MJZ220 / SUMIFS(Aux_Totales!$N:$N, Aux_Totales!$F:$F, $F224, Aux_Totales!$A:$A,#REF!), 0))</f>
        <v/>
      </c>
      <c r="MKA224" s="19" t="str">
        <f>IF(MKA220 = "", "", IFERROR(MKA220 / SUMIFS(Aux_Totales!$N:$N, Aux_Totales!$F:$F, $F224, Aux_Totales!$A:$A,#REF!), 0))</f>
        <v/>
      </c>
      <c r="MKB224" s="19" t="str">
        <f>IF(MKB220 = "", "", IFERROR(MKB220 / SUMIFS(Aux_Totales!$N:$N, Aux_Totales!$F:$F, $F224, Aux_Totales!$A:$A,#REF!), 0))</f>
        <v/>
      </c>
      <c r="MKC224" s="19" t="str">
        <f>IF(MKC220 = "", "", IFERROR(MKC220 / SUMIFS(Aux_Totales!$N:$N, Aux_Totales!$F:$F, $F224, Aux_Totales!$A:$A,#REF!), 0))</f>
        <v/>
      </c>
      <c r="MKD224" s="19" t="str">
        <f>IF(MKD220 = "", "", IFERROR(MKD220 / SUMIFS(Aux_Totales!$N:$N, Aux_Totales!$F:$F, $F224, Aux_Totales!$A:$A,#REF!), 0))</f>
        <v/>
      </c>
      <c r="MKE224" s="19" t="str">
        <f>IF(MKE220 = "", "", IFERROR(MKE220 / SUMIFS(Aux_Totales!$N:$N, Aux_Totales!$F:$F, $F224, Aux_Totales!$A:$A,#REF!), 0))</f>
        <v/>
      </c>
      <c r="MKF224" s="19" t="str">
        <f>IF(MKF220 = "", "", IFERROR(MKF220 / SUMIFS(Aux_Totales!$N:$N, Aux_Totales!$F:$F, $F224, Aux_Totales!$A:$A,#REF!), 0))</f>
        <v/>
      </c>
      <c r="MKG224" s="19" t="str">
        <f>IF(MKG220 = "", "", IFERROR(MKG220 / SUMIFS(Aux_Totales!$N:$N, Aux_Totales!$F:$F, $F224, Aux_Totales!$A:$A,#REF!), 0))</f>
        <v/>
      </c>
      <c r="MKH224" s="19" t="str">
        <f>IF(MKH220 = "", "", IFERROR(MKH220 / SUMIFS(Aux_Totales!$N:$N, Aux_Totales!$F:$F, $F224, Aux_Totales!$A:$A,#REF!), 0))</f>
        <v/>
      </c>
      <c r="MKI224" s="19" t="str">
        <f>IF(MKI220 = "", "", IFERROR(MKI220 / SUMIFS(Aux_Totales!$N:$N, Aux_Totales!$F:$F, $F224, Aux_Totales!$A:$A,#REF!), 0))</f>
        <v/>
      </c>
      <c r="MKJ224" s="19" t="str">
        <f>IF(MKJ220 = "", "", IFERROR(MKJ220 / SUMIFS(Aux_Totales!$N:$N, Aux_Totales!$F:$F, $F224, Aux_Totales!$A:$A,#REF!), 0))</f>
        <v/>
      </c>
      <c r="MKK224" s="19" t="str">
        <f>IF(MKK220 = "", "", IFERROR(MKK220 / SUMIFS(Aux_Totales!$N:$N, Aux_Totales!$F:$F, $F224, Aux_Totales!$A:$A,#REF!), 0))</f>
        <v/>
      </c>
      <c r="MKL224" s="19" t="str">
        <f>IF(MKL220 = "", "", IFERROR(MKL220 / SUMIFS(Aux_Totales!$N:$N, Aux_Totales!$F:$F, $F224, Aux_Totales!$A:$A,#REF!), 0))</f>
        <v/>
      </c>
      <c r="MKM224" s="19" t="str">
        <f>IF(MKM220 = "", "", IFERROR(MKM220 / SUMIFS(Aux_Totales!$N:$N, Aux_Totales!$F:$F, $F224, Aux_Totales!$A:$A,#REF!), 0))</f>
        <v/>
      </c>
      <c r="MKN224" s="19" t="str">
        <f>IF(MKN220 = "", "", IFERROR(MKN220 / SUMIFS(Aux_Totales!$N:$N, Aux_Totales!$F:$F, $F224, Aux_Totales!$A:$A,#REF!), 0))</f>
        <v/>
      </c>
      <c r="MKO224" s="19" t="str">
        <f>IF(MKO220 = "", "", IFERROR(MKO220 / SUMIFS(Aux_Totales!$N:$N, Aux_Totales!$F:$F, $F224, Aux_Totales!$A:$A,#REF!), 0))</f>
        <v/>
      </c>
      <c r="MKP224" s="19" t="str">
        <f>IF(MKP220 = "", "", IFERROR(MKP220 / SUMIFS(Aux_Totales!$N:$N, Aux_Totales!$F:$F, $F224, Aux_Totales!$A:$A,#REF!), 0))</f>
        <v/>
      </c>
      <c r="MKQ224" s="19" t="str">
        <f>IF(MKQ220 = "", "", IFERROR(MKQ220 / SUMIFS(Aux_Totales!$N:$N, Aux_Totales!$F:$F, $F224, Aux_Totales!$A:$A,#REF!), 0))</f>
        <v/>
      </c>
      <c r="MKR224" s="19" t="str">
        <f>IF(MKR220 = "", "", IFERROR(MKR220 / SUMIFS(Aux_Totales!$N:$N, Aux_Totales!$F:$F, $F224, Aux_Totales!$A:$A,#REF!), 0))</f>
        <v/>
      </c>
      <c r="MKS224" s="19" t="str">
        <f>IF(MKS220 = "", "", IFERROR(MKS220 / SUMIFS(Aux_Totales!$N:$N, Aux_Totales!$F:$F, $F224, Aux_Totales!$A:$A,#REF!), 0))</f>
        <v/>
      </c>
      <c r="MKT224" s="19" t="str">
        <f>IF(MKT220 = "", "", IFERROR(MKT220 / SUMIFS(Aux_Totales!$N:$N, Aux_Totales!$F:$F, $F224, Aux_Totales!$A:$A,#REF!), 0))</f>
        <v/>
      </c>
      <c r="MKU224" s="19" t="str">
        <f>IF(MKU220 = "", "", IFERROR(MKU220 / SUMIFS(Aux_Totales!$N:$N, Aux_Totales!$F:$F, $F224, Aux_Totales!$A:$A,#REF!), 0))</f>
        <v/>
      </c>
      <c r="MKV224" s="19" t="str">
        <f>IF(MKV220 = "", "", IFERROR(MKV220 / SUMIFS(Aux_Totales!$N:$N, Aux_Totales!$F:$F, $F224, Aux_Totales!$A:$A,#REF!), 0))</f>
        <v/>
      </c>
      <c r="MKW224" s="19" t="str">
        <f>IF(MKW220 = "", "", IFERROR(MKW220 / SUMIFS(Aux_Totales!$N:$N, Aux_Totales!$F:$F, $F224, Aux_Totales!$A:$A,#REF!), 0))</f>
        <v/>
      </c>
      <c r="MKX224" s="19" t="str">
        <f>IF(MKX220 = "", "", IFERROR(MKX220 / SUMIFS(Aux_Totales!$N:$N, Aux_Totales!$F:$F, $F224, Aux_Totales!$A:$A,#REF!), 0))</f>
        <v/>
      </c>
      <c r="MKY224" s="19" t="str">
        <f>IF(MKY220 = "", "", IFERROR(MKY220 / SUMIFS(Aux_Totales!$N:$N, Aux_Totales!$F:$F, $F224, Aux_Totales!$A:$A,#REF!), 0))</f>
        <v/>
      </c>
      <c r="MKZ224" s="19" t="str">
        <f>IF(MKZ220 = "", "", IFERROR(MKZ220 / SUMIFS(Aux_Totales!$N:$N, Aux_Totales!$F:$F, $F224, Aux_Totales!$A:$A,#REF!), 0))</f>
        <v/>
      </c>
      <c r="MLA224" s="19" t="str">
        <f>IF(MLA220 = "", "", IFERROR(MLA220 / SUMIFS(Aux_Totales!$N:$N, Aux_Totales!$F:$F, $F224, Aux_Totales!$A:$A,#REF!), 0))</f>
        <v/>
      </c>
      <c r="MLB224" s="19" t="str">
        <f>IF(MLB220 = "", "", IFERROR(MLB220 / SUMIFS(Aux_Totales!$N:$N, Aux_Totales!$F:$F, $F224, Aux_Totales!$A:$A,#REF!), 0))</f>
        <v/>
      </c>
      <c r="MLC224" s="19" t="str">
        <f>IF(MLC220 = "", "", IFERROR(MLC220 / SUMIFS(Aux_Totales!$N:$N, Aux_Totales!$F:$F, $F224, Aux_Totales!$A:$A,#REF!), 0))</f>
        <v/>
      </c>
      <c r="MLD224" s="19" t="str">
        <f>IF(MLD220 = "", "", IFERROR(MLD220 / SUMIFS(Aux_Totales!$N:$N, Aux_Totales!$F:$F, $F224, Aux_Totales!$A:$A,#REF!), 0))</f>
        <v/>
      </c>
      <c r="MLE224" s="19" t="str">
        <f>IF(MLE220 = "", "", IFERROR(MLE220 / SUMIFS(Aux_Totales!$N:$N, Aux_Totales!$F:$F, $F224, Aux_Totales!$A:$A,#REF!), 0))</f>
        <v/>
      </c>
      <c r="MLF224" s="19" t="str">
        <f>IF(MLF220 = "", "", IFERROR(MLF220 / SUMIFS(Aux_Totales!$N:$N, Aux_Totales!$F:$F, $F224, Aux_Totales!$A:$A,#REF!), 0))</f>
        <v/>
      </c>
      <c r="MLG224" s="19" t="str">
        <f>IF(MLG220 = "", "", IFERROR(MLG220 / SUMIFS(Aux_Totales!$N:$N, Aux_Totales!$F:$F, $F224, Aux_Totales!$A:$A,#REF!), 0))</f>
        <v/>
      </c>
      <c r="MLH224" s="19" t="str">
        <f>IF(MLH220 = "", "", IFERROR(MLH220 / SUMIFS(Aux_Totales!$N:$N, Aux_Totales!$F:$F, $F224, Aux_Totales!$A:$A,#REF!), 0))</f>
        <v/>
      </c>
      <c r="MLI224" s="19" t="str">
        <f>IF(MLI220 = "", "", IFERROR(MLI220 / SUMIFS(Aux_Totales!$N:$N, Aux_Totales!$F:$F, $F224, Aux_Totales!$A:$A,#REF!), 0))</f>
        <v/>
      </c>
      <c r="MLJ224" s="19" t="str">
        <f>IF(MLJ220 = "", "", IFERROR(MLJ220 / SUMIFS(Aux_Totales!$N:$N, Aux_Totales!$F:$F, $F224, Aux_Totales!$A:$A,#REF!), 0))</f>
        <v/>
      </c>
      <c r="MLK224" s="19" t="str">
        <f>IF(MLK220 = "", "", IFERROR(MLK220 / SUMIFS(Aux_Totales!$N:$N, Aux_Totales!$F:$F, $F224, Aux_Totales!$A:$A,#REF!), 0))</f>
        <v/>
      </c>
      <c r="MLL224" s="19" t="str">
        <f>IF(MLL220 = "", "", IFERROR(MLL220 / SUMIFS(Aux_Totales!$N:$N, Aux_Totales!$F:$F, $F224, Aux_Totales!$A:$A,#REF!), 0))</f>
        <v/>
      </c>
      <c r="MLM224" s="19" t="str">
        <f>IF(MLM220 = "", "", IFERROR(MLM220 / SUMIFS(Aux_Totales!$N:$N, Aux_Totales!$F:$F, $F224, Aux_Totales!$A:$A,#REF!), 0))</f>
        <v/>
      </c>
      <c r="MLN224" s="19" t="str">
        <f>IF(MLN220 = "", "", IFERROR(MLN220 / SUMIFS(Aux_Totales!$N:$N, Aux_Totales!$F:$F, $F224, Aux_Totales!$A:$A,#REF!), 0))</f>
        <v/>
      </c>
      <c r="MLO224" s="19" t="str">
        <f>IF(MLO220 = "", "", IFERROR(MLO220 / SUMIFS(Aux_Totales!$N:$N, Aux_Totales!$F:$F, $F224, Aux_Totales!$A:$A,#REF!), 0))</f>
        <v/>
      </c>
      <c r="MLP224" s="19" t="str">
        <f>IF(MLP220 = "", "", IFERROR(MLP220 / SUMIFS(Aux_Totales!$N:$N, Aux_Totales!$F:$F, $F224, Aux_Totales!$A:$A,#REF!), 0))</f>
        <v/>
      </c>
      <c r="MLQ224" s="19" t="str">
        <f>IF(MLQ220 = "", "", IFERROR(MLQ220 / SUMIFS(Aux_Totales!$N:$N, Aux_Totales!$F:$F, $F224, Aux_Totales!$A:$A,#REF!), 0))</f>
        <v/>
      </c>
      <c r="MLR224" s="19" t="str">
        <f>IF(MLR220 = "", "", IFERROR(MLR220 / SUMIFS(Aux_Totales!$N:$N, Aux_Totales!$F:$F, $F224, Aux_Totales!$A:$A,#REF!), 0))</f>
        <v/>
      </c>
      <c r="MLS224" s="19" t="str">
        <f>IF(MLS220 = "", "", IFERROR(MLS220 / SUMIFS(Aux_Totales!$N:$N, Aux_Totales!$F:$F, $F224, Aux_Totales!$A:$A,#REF!), 0))</f>
        <v/>
      </c>
      <c r="MLT224" s="19" t="str">
        <f>IF(MLT220 = "", "", IFERROR(MLT220 / SUMIFS(Aux_Totales!$N:$N, Aux_Totales!$F:$F, $F224, Aux_Totales!$A:$A,#REF!), 0))</f>
        <v/>
      </c>
      <c r="MLU224" s="19" t="str">
        <f>IF(MLU220 = "", "", IFERROR(MLU220 / SUMIFS(Aux_Totales!$N:$N, Aux_Totales!$F:$F, $F224, Aux_Totales!$A:$A,#REF!), 0))</f>
        <v/>
      </c>
      <c r="MLV224" s="19" t="str">
        <f>IF(MLV220 = "", "", IFERROR(MLV220 / SUMIFS(Aux_Totales!$N:$N, Aux_Totales!$F:$F, $F224, Aux_Totales!$A:$A,#REF!), 0))</f>
        <v/>
      </c>
      <c r="MLW224" s="19" t="str">
        <f>IF(MLW220 = "", "", IFERROR(MLW220 / SUMIFS(Aux_Totales!$N:$N, Aux_Totales!$F:$F, $F224, Aux_Totales!$A:$A,#REF!), 0))</f>
        <v/>
      </c>
      <c r="MLX224" s="19" t="str">
        <f>IF(MLX220 = "", "", IFERROR(MLX220 / SUMIFS(Aux_Totales!$N:$N, Aux_Totales!$F:$F, $F224, Aux_Totales!$A:$A,#REF!), 0))</f>
        <v/>
      </c>
      <c r="MLY224" s="19" t="str">
        <f>IF(MLY220 = "", "", IFERROR(MLY220 / SUMIFS(Aux_Totales!$N:$N, Aux_Totales!$F:$F, $F224, Aux_Totales!$A:$A,#REF!), 0))</f>
        <v/>
      </c>
      <c r="MLZ224" s="19" t="str">
        <f>IF(MLZ220 = "", "", IFERROR(MLZ220 / SUMIFS(Aux_Totales!$N:$N, Aux_Totales!$F:$F, $F224, Aux_Totales!$A:$A,#REF!), 0))</f>
        <v/>
      </c>
      <c r="MMA224" s="19" t="str">
        <f>IF(MMA220 = "", "", IFERROR(MMA220 / SUMIFS(Aux_Totales!$N:$N, Aux_Totales!$F:$F, $F224, Aux_Totales!$A:$A,#REF!), 0))</f>
        <v/>
      </c>
      <c r="MMB224" s="19" t="str">
        <f>IF(MMB220 = "", "", IFERROR(MMB220 / SUMIFS(Aux_Totales!$N:$N, Aux_Totales!$F:$F, $F224, Aux_Totales!$A:$A,#REF!), 0))</f>
        <v/>
      </c>
      <c r="MMC224" s="19" t="str">
        <f>IF(MMC220 = "", "", IFERROR(MMC220 / SUMIFS(Aux_Totales!$N:$N, Aux_Totales!$F:$F, $F224, Aux_Totales!$A:$A,#REF!), 0))</f>
        <v/>
      </c>
      <c r="MMD224" s="19" t="str">
        <f>IF(MMD220 = "", "", IFERROR(MMD220 / SUMIFS(Aux_Totales!$N:$N, Aux_Totales!$F:$F, $F224, Aux_Totales!$A:$A,#REF!), 0))</f>
        <v/>
      </c>
      <c r="MME224" s="19" t="str">
        <f>IF(MME220 = "", "", IFERROR(MME220 / SUMIFS(Aux_Totales!$N:$N, Aux_Totales!$F:$F, $F224, Aux_Totales!$A:$A,#REF!), 0))</f>
        <v/>
      </c>
      <c r="MMF224" s="19" t="str">
        <f>IF(MMF220 = "", "", IFERROR(MMF220 / SUMIFS(Aux_Totales!$N:$N, Aux_Totales!$F:$F, $F224, Aux_Totales!$A:$A,#REF!), 0))</f>
        <v/>
      </c>
      <c r="MMG224" s="19" t="str">
        <f>IF(MMG220 = "", "", IFERROR(MMG220 / SUMIFS(Aux_Totales!$N:$N, Aux_Totales!$F:$F, $F224, Aux_Totales!$A:$A,#REF!), 0))</f>
        <v/>
      </c>
      <c r="MMH224" s="19" t="str">
        <f>IF(MMH220 = "", "", IFERROR(MMH220 / SUMIFS(Aux_Totales!$N:$N, Aux_Totales!$F:$F, $F224, Aux_Totales!$A:$A,#REF!), 0))</f>
        <v/>
      </c>
      <c r="MMI224" s="19" t="str">
        <f>IF(MMI220 = "", "", IFERROR(MMI220 / SUMIFS(Aux_Totales!$N:$N, Aux_Totales!$F:$F, $F224, Aux_Totales!$A:$A,#REF!), 0))</f>
        <v/>
      </c>
      <c r="MMJ224" s="19" t="str">
        <f>IF(MMJ220 = "", "", IFERROR(MMJ220 / SUMIFS(Aux_Totales!$N:$N, Aux_Totales!$F:$F, $F224, Aux_Totales!$A:$A,#REF!), 0))</f>
        <v/>
      </c>
      <c r="MMK224" s="19" t="str">
        <f>IF(MMK220 = "", "", IFERROR(MMK220 / SUMIFS(Aux_Totales!$N:$N, Aux_Totales!$F:$F, $F224, Aux_Totales!$A:$A,#REF!), 0))</f>
        <v/>
      </c>
      <c r="MML224" s="19" t="str">
        <f>IF(MML220 = "", "", IFERROR(MML220 / SUMIFS(Aux_Totales!$N:$N, Aux_Totales!$F:$F, $F224, Aux_Totales!$A:$A,#REF!), 0))</f>
        <v/>
      </c>
      <c r="MMM224" s="19" t="str">
        <f>IF(MMM220 = "", "", IFERROR(MMM220 / SUMIFS(Aux_Totales!$N:$N, Aux_Totales!$F:$F, $F224, Aux_Totales!$A:$A,#REF!), 0))</f>
        <v/>
      </c>
      <c r="MMN224" s="19" t="str">
        <f>IF(MMN220 = "", "", IFERROR(MMN220 / SUMIFS(Aux_Totales!$N:$N, Aux_Totales!$F:$F, $F224, Aux_Totales!$A:$A,#REF!), 0))</f>
        <v/>
      </c>
      <c r="MMO224" s="19" t="str">
        <f>IF(MMO220 = "", "", IFERROR(MMO220 / SUMIFS(Aux_Totales!$N:$N, Aux_Totales!$F:$F, $F224, Aux_Totales!$A:$A,#REF!), 0))</f>
        <v/>
      </c>
      <c r="MMP224" s="19" t="str">
        <f>IF(MMP220 = "", "", IFERROR(MMP220 / SUMIFS(Aux_Totales!$N:$N, Aux_Totales!$F:$F, $F224, Aux_Totales!$A:$A,#REF!), 0))</f>
        <v/>
      </c>
      <c r="MMQ224" s="19" t="str">
        <f>IF(MMQ220 = "", "", IFERROR(MMQ220 / SUMIFS(Aux_Totales!$N:$N, Aux_Totales!$F:$F, $F224, Aux_Totales!$A:$A,#REF!), 0))</f>
        <v/>
      </c>
      <c r="MMR224" s="19" t="str">
        <f>IF(MMR220 = "", "", IFERROR(MMR220 / SUMIFS(Aux_Totales!$N:$N, Aux_Totales!$F:$F, $F224, Aux_Totales!$A:$A,#REF!), 0))</f>
        <v/>
      </c>
      <c r="MMS224" s="19" t="str">
        <f>IF(MMS220 = "", "", IFERROR(MMS220 / SUMIFS(Aux_Totales!$N:$N, Aux_Totales!$F:$F, $F224, Aux_Totales!$A:$A,#REF!), 0))</f>
        <v/>
      </c>
      <c r="MMT224" s="19" t="str">
        <f>IF(MMT220 = "", "", IFERROR(MMT220 / SUMIFS(Aux_Totales!$N:$N, Aux_Totales!$F:$F, $F224, Aux_Totales!$A:$A,#REF!), 0))</f>
        <v/>
      </c>
      <c r="MMU224" s="19" t="str">
        <f>IF(MMU220 = "", "", IFERROR(MMU220 / SUMIFS(Aux_Totales!$N:$N, Aux_Totales!$F:$F, $F224, Aux_Totales!$A:$A,#REF!), 0))</f>
        <v/>
      </c>
      <c r="MMV224" s="19" t="str">
        <f>IF(MMV220 = "", "", IFERROR(MMV220 / SUMIFS(Aux_Totales!$N:$N, Aux_Totales!$F:$F, $F224, Aux_Totales!$A:$A,#REF!), 0))</f>
        <v/>
      </c>
      <c r="MMW224" s="19" t="str">
        <f>IF(MMW220 = "", "", IFERROR(MMW220 / SUMIFS(Aux_Totales!$N:$N, Aux_Totales!$F:$F, $F224, Aux_Totales!$A:$A,#REF!), 0))</f>
        <v/>
      </c>
      <c r="MMX224" s="19" t="str">
        <f>IF(MMX220 = "", "", IFERROR(MMX220 / SUMIFS(Aux_Totales!$N:$N, Aux_Totales!$F:$F, $F224, Aux_Totales!$A:$A,#REF!), 0))</f>
        <v/>
      </c>
      <c r="MMY224" s="19" t="str">
        <f>IF(MMY220 = "", "", IFERROR(MMY220 / SUMIFS(Aux_Totales!$N:$N, Aux_Totales!$F:$F, $F224, Aux_Totales!$A:$A,#REF!), 0))</f>
        <v/>
      </c>
      <c r="MMZ224" s="19" t="str">
        <f>IF(MMZ220 = "", "", IFERROR(MMZ220 / SUMIFS(Aux_Totales!$N:$N, Aux_Totales!$F:$F, $F224, Aux_Totales!$A:$A,#REF!), 0))</f>
        <v/>
      </c>
      <c r="MNA224" s="19" t="str">
        <f>IF(MNA220 = "", "", IFERROR(MNA220 / SUMIFS(Aux_Totales!$N:$N, Aux_Totales!$F:$F, $F224, Aux_Totales!$A:$A,#REF!), 0))</f>
        <v/>
      </c>
      <c r="MNB224" s="19" t="str">
        <f>IF(MNB220 = "", "", IFERROR(MNB220 / SUMIFS(Aux_Totales!$N:$N, Aux_Totales!$F:$F, $F224, Aux_Totales!$A:$A,#REF!), 0))</f>
        <v/>
      </c>
      <c r="MNC224" s="19" t="str">
        <f>IF(MNC220 = "", "", IFERROR(MNC220 / SUMIFS(Aux_Totales!$N:$N, Aux_Totales!$F:$F, $F224, Aux_Totales!$A:$A,#REF!), 0))</f>
        <v/>
      </c>
      <c r="MND224" s="19" t="str">
        <f>IF(MND220 = "", "", IFERROR(MND220 / SUMIFS(Aux_Totales!$N:$N, Aux_Totales!$F:$F, $F224, Aux_Totales!$A:$A,#REF!), 0))</f>
        <v/>
      </c>
      <c r="MNE224" s="19" t="str">
        <f>IF(MNE220 = "", "", IFERROR(MNE220 / SUMIFS(Aux_Totales!$N:$N, Aux_Totales!$F:$F, $F224, Aux_Totales!$A:$A,#REF!), 0))</f>
        <v/>
      </c>
      <c r="MNF224" s="19" t="str">
        <f>IF(MNF220 = "", "", IFERROR(MNF220 / SUMIFS(Aux_Totales!$N:$N, Aux_Totales!$F:$F, $F224, Aux_Totales!$A:$A,#REF!), 0))</f>
        <v/>
      </c>
      <c r="MNG224" s="19" t="str">
        <f>IF(MNG220 = "", "", IFERROR(MNG220 / SUMIFS(Aux_Totales!$N:$N, Aux_Totales!$F:$F, $F224, Aux_Totales!$A:$A,#REF!), 0))</f>
        <v/>
      </c>
      <c r="MNH224" s="19" t="str">
        <f>IF(MNH220 = "", "", IFERROR(MNH220 / SUMIFS(Aux_Totales!$N:$N, Aux_Totales!$F:$F, $F224, Aux_Totales!$A:$A,#REF!), 0))</f>
        <v/>
      </c>
      <c r="MNI224" s="19" t="str">
        <f>IF(MNI220 = "", "", IFERROR(MNI220 / SUMIFS(Aux_Totales!$N:$N, Aux_Totales!$F:$F, $F224, Aux_Totales!$A:$A,#REF!), 0))</f>
        <v/>
      </c>
      <c r="MNJ224" s="19" t="str">
        <f>IF(MNJ220 = "", "", IFERROR(MNJ220 / SUMIFS(Aux_Totales!$N:$N, Aux_Totales!$F:$F, $F224, Aux_Totales!$A:$A,#REF!), 0))</f>
        <v/>
      </c>
      <c r="MNK224" s="19" t="str">
        <f>IF(MNK220 = "", "", IFERROR(MNK220 / SUMIFS(Aux_Totales!$N:$N, Aux_Totales!$F:$F, $F224, Aux_Totales!$A:$A,#REF!), 0))</f>
        <v/>
      </c>
      <c r="MNL224" s="19" t="str">
        <f>IF(MNL220 = "", "", IFERROR(MNL220 / SUMIFS(Aux_Totales!$N:$N, Aux_Totales!$F:$F, $F224, Aux_Totales!$A:$A,#REF!), 0))</f>
        <v/>
      </c>
      <c r="MNM224" s="19" t="str">
        <f>IF(MNM220 = "", "", IFERROR(MNM220 / SUMIFS(Aux_Totales!$N:$N, Aux_Totales!$F:$F, $F224, Aux_Totales!$A:$A,#REF!), 0))</f>
        <v/>
      </c>
      <c r="MNN224" s="19" t="str">
        <f>IF(MNN220 = "", "", IFERROR(MNN220 / SUMIFS(Aux_Totales!$N:$N, Aux_Totales!$F:$F, $F224, Aux_Totales!$A:$A,#REF!), 0))</f>
        <v/>
      </c>
      <c r="MNO224" s="19" t="str">
        <f>IF(MNO220 = "", "", IFERROR(MNO220 / SUMIFS(Aux_Totales!$N:$N, Aux_Totales!$F:$F, $F224, Aux_Totales!$A:$A,#REF!), 0))</f>
        <v/>
      </c>
      <c r="MNP224" s="19" t="str">
        <f>IF(MNP220 = "", "", IFERROR(MNP220 / SUMIFS(Aux_Totales!$N:$N, Aux_Totales!$F:$F, $F224, Aux_Totales!$A:$A,#REF!), 0))</f>
        <v/>
      </c>
      <c r="MNQ224" s="19" t="str">
        <f>IF(MNQ220 = "", "", IFERROR(MNQ220 / SUMIFS(Aux_Totales!$N:$N, Aux_Totales!$F:$F, $F224, Aux_Totales!$A:$A,#REF!), 0))</f>
        <v/>
      </c>
      <c r="MNR224" s="19" t="str">
        <f>IF(MNR220 = "", "", IFERROR(MNR220 / SUMIFS(Aux_Totales!$N:$N, Aux_Totales!$F:$F, $F224, Aux_Totales!$A:$A,#REF!), 0))</f>
        <v/>
      </c>
      <c r="MNS224" s="19" t="str">
        <f>IF(MNS220 = "", "", IFERROR(MNS220 / SUMIFS(Aux_Totales!$N:$N, Aux_Totales!$F:$F, $F224, Aux_Totales!$A:$A,#REF!), 0))</f>
        <v/>
      </c>
      <c r="MNT224" s="19" t="str">
        <f>IF(MNT220 = "", "", IFERROR(MNT220 / SUMIFS(Aux_Totales!$N:$N, Aux_Totales!$F:$F, $F224, Aux_Totales!$A:$A,#REF!), 0))</f>
        <v/>
      </c>
      <c r="MNU224" s="19" t="str">
        <f>IF(MNU220 = "", "", IFERROR(MNU220 / SUMIFS(Aux_Totales!$N:$N, Aux_Totales!$F:$F, $F224, Aux_Totales!$A:$A,#REF!), 0))</f>
        <v/>
      </c>
      <c r="MNV224" s="19" t="str">
        <f>IF(MNV220 = "", "", IFERROR(MNV220 / SUMIFS(Aux_Totales!$N:$N, Aux_Totales!$F:$F, $F224, Aux_Totales!$A:$A,#REF!), 0))</f>
        <v/>
      </c>
      <c r="MNW224" s="19" t="str">
        <f>IF(MNW220 = "", "", IFERROR(MNW220 / SUMIFS(Aux_Totales!$N:$N, Aux_Totales!$F:$F, $F224, Aux_Totales!$A:$A,#REF!), 0))</f>
        <v/>
      </c>
      <c r="MNX224" s="19" t="str">
        <f>IF(MNX220 = "", "", IFERROR(MNX220 / SUMIFS(Aux_Totales!$N:$N, Aux_Totales!$F:$F, $F224, Aux_Totales!$A:$A,#REF!), 0))</f>
        <v/>
      </c>
      <c r="MNY224" s="19" t="str">
        <f>IF(MNY220 = "", "", IFERROR(MNY220 / SUMIFS(Aux_Totales!$N:$N, Aux_Totales!$F:$F, $F224, Aux_Totales!$A:$A,#REF!), 0))</f>
        <v/>
      </c>
      <c r="MNZ224" s="19" t="str">
        <f>IF(MNZ220 = "", "", IFERROR(MNZ220 / SUMIFS(Aux_Totales!$N:$N, Aux_Totales!$F:$F, $F224, Aux_Totales!$A:$A,#REF!), 0))</f>
        <v/>
      </c>
      <c r="MOA224" s="19" t="str">
        <f>IF(MOA220 = "", "", IFERROR(MOA220 / SUMIFS(Aux_Totales!$N:$N, Aux_Totales!$F:$F, $F224, Aux_Totales!$A:$A,#REF!), 0))</f>
        <v/>
      </c>
      <c r="MOB224" s="19" t="str">
        <f>IF(MOB220 = "", "", IFERROR(MOB220 / SUMIFS(Aux_Totales!$N:$N, Aux_Totales!$F:$F, $F224, Aux_Totales!$A:$A,#REF!), 0))</f>
        <v/>
      </c>
      <c r="MOC224" s="19" t="str">
        <f>IF(MOC220 = "", "", IFERROR(MOC220 / SUMIFS(Aux_Totales!$N:$N, Aux_Totales!$F:$F, $F224, Aux_Totales!$A:$A,#REF!), 0))</f>
        <v/>
      </c>
      <c r="MOD224" s="19" t="str">
        <f>IF(MOD220 = "", "", IFERROR(MOD220 / SUMIFS(Aux_Totales!$N:$N, Aux_Totales!$F:$F, $F224, Aux_Totales!$A:$A,#REF!), 0))</f>
        <v/>
      </c>
      <c r="MOE224" s="19" t="str">
        <f>IF(MOE220 = "", "", IFERROR(MOE220 / SUMIFS(Aux_Totales!$N:$N, Aux_Totales!$F:$F, $F224, Aux_Totales!$A:$A,#REF!), 0))</f>
        <v/>
      </c>
      <c r="MOF224" s="19" t="str">
        <f>IF(MOF220 = "", "", IFERROR(MOF220 / SUMIFS(Aux_Totales!$N:$N, Aux_Totales!$F:$F, $F224, Aux_Totales!$A:$A,#REF!), 0))</f>
        <v/>
      </c>
      <c r="MOG224" s="19" t="str">
        <f>IF(MOG220 = "", "", IFERROR(MOG220 / SUMIFS(Aux_Totales!$N:$N, Aux_Totales!$F:$F, $F224, Aux_Totales!$A:$A,#REF!), 0))</f>
        <v/>
      </c>
      <c r="MOH224" s="19" t="str">
        <f>IF(MOH220 = "", "", IFERROR(MOH220 / SUMIFS(Aux_Totales!$N:$N, Aux_Totales!$F:$F, $F224, Aux_Totales!$A:$A,#REF!), 0))</f>
        <v/>
      </c>
      <c r="MOI224" s="19" t="str">
        <f>IF(MOI220 = "", "", IFERROR(MOI220 / SUMIFS(Aux_Totales!$N:$N, Aux_Totales!$F:$F, $F224, Aux_Totales!$A:$A,#REF!), 0))</f>
        <v/>
      </c>
      <c r="MOJ224" s="19" t="str">
        <f>IF(MOJ220 = "", "", IFERROR(MOJ220 / SUMIFS(Aux_Totales!$N:$N, Aux_Totales!$F:$F, $F224, Aux_Totales!$A:$A,#REF!), 0))</f>
        <v/>
      </c>
      <c r="MOK224" s="19" t="str">
        <f>IF(MOK220 = "", "", IFERROR(MOK220 / SUMIFS(Aux_Totales!$N:$N, Aux_Totales!$F:$F, $F224, Aux_Totales!$A:$A,#REF!), 0))</f>
        <v/>
      </c>
      <c r="MOL224" s="19" t="str">
        <f>IF(MOL220 = "", "", IFERROR(MOL220 / SUMIFS(Aux_Totales!$N:$N, Aux_Totales!$F:$F, $F224, Aux_Totales!$A:$A,#REF!), 0))</f>
        <v/>
      </c>
      <c r="MOM224" s="19" t="str">
        <f>IF(MOM220 = "", "", IFERROR(MOM220 / SUMIFS(Aux_Totales!$N:$N, Aux_Totales!$F:$F, $F224, Aux_Totales!$A:$A,#REF!), 0))</f>
        <v/>
      </c>
      <c r="MON224" s="19" t="str">
        <f>IF(MON220 = "", "", IFERROR(MON220 / SUMIFS(Aux_Totales!$N:$N, Aux_Totales!$F:$F, $F224, Aux_Totales!$A:$A,#REF!), 0))</f>
        <v/>
      </c>
      <c r="MOO224" s="19" t="str">
        <f>IF(MOO220 = "", "", IFERROR(MOO220 / SUMIFS(Aux_Totales!$N:$N, Aux_Totales!$F:$F, $F224, Aux_Totales!$A:$A,#REF!), 0))</f>
        <v/>
      </c>
      <c r="MOP224" s="19" t="str">
        <f>IF(MOP220 = "", "", IFERROR(MOP220 / SUMIFS(Aux_Totales!$N:$N, Aux_Totales!$F:$F, $F224, Aux_Totales!$A:$A,#REF!), 0))</f>
        <v/>
      </c>
      <c r="MOQ224" s="19" t="str">
        <f>IF(MOQ220 = "", "", IFERROR(MOQ220 / SUMIFS(Aux_Totales!$N:$N, Aux_Totales!$F:$F, $F224, Aux_Totales!$A:$A,#REF!), 0))</f>
        <v/>
      </c>
      <c r="MOR224" s="19" t="str">
        <f>IF(MOR220 = "", "", IFERROR(MOR220 / SUMIFS(Aux_Totales!$N:$N, Aux_Totales!$F:$F, $F224, Aux_Totales!$A:$A,#REF!), 0))</f>
        <v/>
      </c>
      <c r="MOS224" s="19" t="str">
        <f>IF(MOS220 = "", "", IFERROR(MOS220 / SUMIFS(Aux_Totales!$N:$N, Aux_Totales!$F:$F, $F224, Aux_Totales!$A:$A,#REF!), 0))</f>
        <v/>
      </c>
      <c r="MOT224" s="19" t="str">
        <f>IF(MOT220 = "", "", IFERROR(MOT220 / SUMIFS(Aux_Totales!$N:$N, Aux_Totales!$F:$F, $F224, Aux_Totales!$A:$A,#REF!), 0))</f>
        <v/>
      </c>
      <c r="MOU224" s="19" t="str">
        <f>IF(MOU220 = "", "", IFERROR(MOU220 / SUMIFS(Aux_Totales!$N:$N, Aux_Totales!$F:$F, $F224, Aux_Totales!$A:$A,#REF!), 0))</f>
        <v/>
      </c>
      <c r="MOV224" s="19" t="str">
        <f>IF(MOV220 = "", "", IFERROR(MOV220 / SUMIFS(Aux_Totales!$N:$N, Aux_Totales!$F:$F, $F224, Aux_Totales!$A:$A,#REF!), 0))</f>
        <v/>
      </c>
      <c r="MOW224" s="19" t="str">
        <f>IF(MOW220 = "", "", IFERROR(MOW220 / SUMIFS(Aux_Totales!$N:$N, Aux_Totales!$F:$F, $F224, Aux_Totales!$A:$A,#REF!), 0))</f>
        <v/>
      </c>
      <c r="MOX224" s="19" t="str">
        <f>IF(MOX220 = "", "", IFERROR(MOX220 / SUMIFS(Aux_Totales!$N:$N, Aux_Totales!$F:$F, $F224, Aux_Totales!$A:$A,#REF!), 0))</f>
        <v/>
      </c>
      <c r="MOY224" s="19" t="str">
        <f>IF(MOY220 = "", "", IFERROR(MOY220 / SUMIFS(Aux_Totales!$N:$N, Aux_Totales!$F:$F, $F224, Aux_Totales!$A:$A,#REF!), 0))</f>
        <v/>
      </c>
      <c r="MOZ224" s="19" t="str">
        <f>IF(MOZ220 = "", "", IFERROR(MOZ220 / SUMIFS(Aux_Totales!$N:$N, Aux_Totales!$F:$F, $F224, Aux_Totales!$A:$A,#REF!), 0))</f>
        <v/>
      </c>
      <c r="MPA224" s="19" t="str">
        <f>IF(MPA220 = "", "", IFERROR(MPA220 / SUMIFS(Aux_Totales!$N:$N, Aux_Totales!$F:$F, $F224, Aux_Totales!$A:$A,#REF!), 0))</f>
        <v/>
      </c>
      <c r="MPB224" s="19" t="str">
        <f>IF(MPB220 = "", "", IFERROR(MPB220 / SUMIFS(Aux_Totales!$N:$N, Aux_Totales!$F:$F, $F224, Aux_Totales!$A:$A,#REF!), 0))</f>
        <v/>
      </c>
      <c r="MPC224" s="19" t="str">
        <f>IF(MPC220 = "", "", IFERROR(MPC220 / SUMIFS(Aux_Totales!$N:$N, Aux_Totales!$F:$F, $F224, Aux_Totales!$A:$A,#REF!), 0))</f>
        <v/>
      </c>
      <c r="MPD224" s="19" t="str">
        <f>IF(MPD220 = "", "", IFERROR(MPD220 / SUMIFS(Aux_Totales!$N:$N, Aux_Totales!$F:$F, $F224, Aux_Totales!$A:$A,#REF!), 0))</f>
        <v/>
      </c>
      <c r="MPE224" s="19" t="str">
        <f>IF(MPE220 = "", "", IFERROR(MPE220 / SUMIFS(Aux_Totales!$N:$N, Aux_Totales!$F:$F, $F224, Aux_Totales!$A:$A,#REF!), 0))</f>
        <v/>
      </c>
      <c r="MPF224" s="19" t="str">
        <f>IF(MPF220 = "", "", IFERROR(MPF220 / SUMIFS(Aux_Totales!$N:$N, Aux_Totales!$F:$F, $F224, Aux_Totales!$A:$A,#REF!), 0))</f>
        <v/>
      </c>
      <c r="MPG224" s="19" t="str">
        <f>IF(MPG220 = "", "", IFERROR(MPG220 / SUMIFS(Aux_Totales!$N:$N, Aux_Totales!$F:$F, $F224, Aux_Totales!$A:$A,#REF!), 0))</f>
        <v/>
      </c>
      <c r="MPH224" s="19" t="str">
        <f>IF(MPH220 = "", "", IFERROR(MPH220 / SUMIFS(Aux_Totales!$N:$N, Aux_Totales!$F:$F, $F224, Aux_Totales!$A:$A,#REF!), 0))</f>
        <v/>
      </c>
      <c r="MPI224" s="19" t="str">
        <f>IF(MPI220 = "", "", IFERROR(MPI220 / SUMIFS(Aux_Totales!$N:$N, Aux_Totales!$F:$F, $F224, Aux_Totales!$A:$A,#REF!), 0))</f>
        <v/>
      </c>
      <c r="MPJ224" s="19" t="str">
        <f>IF(MPJ220 = "", "", IFERROR(MPJ220 / SUMIFS(Aux_Totales!$N:$N, Aux_Totales!$F:$F, $F224, Aux_Totales!$A:$A,#REF!), 0))</f>
        <v/>
      </c>
      <c r="MPK224" s="19" t="str">
        <f>IF(MPK220 = "", "", IFERROR(MPK220 / SUMIFS(Aux_Totales!$N:$N, Aux_Totales!$F:$F, $F224, Aux_Totales!$A:$A,#REF!), 0))</f>
        <v/>
      </c>
      <c r="MPL224" s="19" t="str">
        <f>IF(MPL220 = "", "", IFERROR(MPL220 / SUMIFS(Aux_Totales!$N:$N, Aux_Totales!$F:$F, $F224, Aux_Totales!$A:$A,#REF!), 0))</f>
        <v/>
      </c>
      <c r="MPM224" s="19" t="str">
        <f>IF(MPM220 = "", "", IFERROR(MPM220 / SUMIFS(Aux_Totales!$N:$N, Aux_Totales!$F:$F, $F224, Aux_Totales!$A:$A,#REF!), 0))</f>
        <v/>
      </c>
      <c r="MPN224" s="19" t="str">
        <f>IF(MPN220 = "", "", IFERROR(MPN220 / SUMIFS(Aux_Totales!$N:$N, Aux_Totales!$F:$F, $F224, Aux_Totales!$A:$A,#REF!), 0))</f>
        <v/>
      </c>
      <c r="MPO224" s="19" t="str">
        <f>IF(MPO220 = "", "", IFERROR(MPO220 / SUMIFS(Aux_Totales!$N:$N, Aux_Totales!$F:$F, $F224, Aux_Totales!$A:$A,#REF!), 0))</f>
        <v/>
      </c>
      <c r="MPP224" s="19" t="str">
        <f>IF(MPP220 = "", "", IFERROR(MPP220 / SUMIFS(Aux_Totales!$N:$N, Aux_Totales!$F:$F, $F224, Aux_Totales!$A:$A,#REF!), 0))</f>
        <v/>
      </c>
      <c r="MPQ224" s="19" t="str">
        <f>IF(MPQ220 = "", "", IFERROR(MPQ220 / SUMIFS(Aux_Totales!$N:$N, Aux_Totales!$F:$F, $F224, Aux_Totales!$A:$A,#REF!), 0))</f>
        <v/>
      </c>
      <c r="MPR224" s="19" t="str">
        <f>IF(MPR220 = "", "", IFERROR(MPR220 / SUMIFS(Aux_Totales!$N:$N, Aux_Totales!$F:$F, $F224, Aux_Totales!$A:$A,#REF!), 0))</f>
        <v/>
      </c>
      <c r="MPS224" s="19" t="str">
        <f>IF(MPS220 = "", "", IFERROR(MPS220 / SUMIFS(Aux_Totales!$N:$N, Aux_Totales!$F:$F, $F224, Aux_Totales!$A:$A,#REF!), 0))</f>
        <v/>
      </c>
      <c r="MPT224" s="19" t="str">
        <f>IF(MPT220 = "", "", IFERROR(MPT220 / SUMIFS(Aux_Totales!$N:$N, Aux_Totales!$F:$F, $F224, Aux_Totales!$A:$A,#REF!), 0))</f>
        <v/>
      </c>
      <c r="MPU224" s="19" t="str">
        <f>IF(MPU220 = "", "", IFERROR(MPU220 / SUMIFS(Aux_Totales!$N:$N, Aux_Totales!$F:$F, $F224, Aux_Totales!$A:$A,#REF!), 0))</f>
        <v/>
      </c>
      <c r="MPV224" s="19" t="str">
        <f>IF(MPV220 = "", "", IFERROR(MPV220 / SUMIFS(Aux_Totales!$N:$N, Aux_Totales!$F:$F, $F224, Aux_Totales!$A:$A,#REF!), 0))</f>
        <v/>
      </c>
      <c r="MPW224" s="19" t="str">
        <f>IF(MPW220 = "", "", IFERROR(MPW220 / SUMIFS(Aux_Totales!$N:$N, Aux_Totales!$F:$F, $F224, Aux_Totales!$A:$A,#REF!), 0))</f>
        <v/>
      </c>
      <c r="MPX224" s="19" t="str">
        <f>IF(MPX220 = "", "", IFERROR(MPX220 / SUMIFS(Aux_Totales!$N:$N, Aux_Totales!$F:$F, $F224, Aux_Totales!$A:$A,#REF!), 0))</f>
        <v/>
      </c>
      <c r="MPY224" s="19" t="str">
        <f>IF(MPY220 = "", "", IFERROR(MPY220 / SUMIFS(Aux_Totales!$N:$N, Aux_Totales!$F:$F, $F224, Aux_Totales!$A:$A,#REF!), 0))</f>
        <v/>
      </c>
      <c r="MPZ224" s="19" t="str">
        <f>IF(MPZ220 = "", "", IFERROR(MPZ220 / SUMIFS(Aux_Totales!$N:$N, Aux_Totales!$F:$F, $F224, Aux_Totales!$A:$A,#REF!), 0))</f>
        <v/>
      </c>
      <c r="MQA224" s="19" t="str">
        <f>IF(MQA220 = "", "", IFERROR(MQA220 / SUMIFS(Aux_Totales!$N:$N, Aux_Totales!$F:$F, $F224, Aux_Totales!$A:$A,#REF!), 0))</f>
        <v/>
      </c>
      <c r="MQB224" s="19" t="str">
        <f>IF(MQB220 = "", "", IFERROR(MQB220 / SUMIFS(Aux_Totales!$N:$N, Aux_Totales!$F:$F, $F224, Aux_Totales!$A:$A,#REF!), 0))</f>
        <v/>
      </c>
      <c r="MQC224" s="19" t="str">
        <f>IF(MQC220 = "", "", IFERROR(MQC220 / SUMIFS(Aux_Totales!$N:$N, Aux_Totales!$F:$F, $F224, Aux_Totales!$A:$A,#REF!), 0))</f>
        <v/>
      </c>
      <c r="MQD224" s="19" t="str">
        <f>IF(MQD220 = "", "", IFERROR(MQD220 / SUMIFS(Aux_Totales!$N:$N, Aux_Totales!$F:$F, $F224, Aux_Totales!$A:$A,#REF!), 0))</f>
        <v/>
      </c>
      <c r="MQE224" s="19" t="str">
        <f>IF(MQE220 = "", "", IFERROR(MQE220 / SUMIFS(Aux_Totales!$N:$N, Aux_Totales!$F:$F, $F224, Aux_Totales!$A:$A,#REF!), 0))</f>
        <v/>
      </c>
      <c r="MQF224" s="19" t="str">
        <f>IF(MQF220 = "", "", IFERROR(MQF220 / SUMIFS(Aux_Totales!$N:$N, Aux_Totales!$F:$F, $F224, Aux_Totales!$A:$A,#REF!), 0))</f>
        <v/>
      </c>
      <c r="MQG224" s="19" t="str">
        <f>IF(MQG220 = "", "", IFERROR(MQG220 / SUMIFS(Aux_Totales!$N:$N, Aux_Totales!$F:$F, $F224, Aux_Totales!$A:$A,#REF!), 0))</f>
        <v/>
      </c>
      <c r="MQH224" s="19" t="str">
        <f>IF(MQH220 = "", "", IFERROR(MQH220 / SUMIFS(Aux_Totales!$N:$N, Aux_Totales!$F:$F, $F224, Aux_Totales!$A:$A,#REF!), 0))</f>
        <v/>
      </c>
      <c r="MQI224" s="19" t="str">
        <f>IF(MQI220 = "", "", IFERROR(MQI220 / SUMIFS(Aux_Totales!$N:$N, Aux_Totales!$F:$F, $F224, Aux_Totales!$A:$A,#REF!), 0))</f>
        <v/>
      </c>
      <c r="MQJ224" s="19" t="str">
        <f>IF(MQJ220 = "", "", IFERROR(MQJ220 / SUMIFS(Aux_Totales!$N:$N, Aux_Totales!$F:$F, $F224, Aux_Totales!$A:$A,#REF!), 0))</f>
        <v/>
      </c>
      <c r="MQK224" s="19" t="str">
        <f>IF(MQK220 = "", "", IFERROR(MQK220 / SUMIFS(Aux_Totales!$N:$N, Aux_Totales!$F:$F, $F224, Aux_Totales!$A:$A,#REF!), 0))</f>
        <v/>
      </c>
      <c r="MQL224" s="19" t="str">
        <f>IF(MQL220 = "", "", IFERROR(MQL220 / SUMIFS(Aux_Totales!$N:$N, Aux_Totales!$F:$F, $F224, Aux_Totales!$A:$A,#REF!), 0))</f>
        <v/>
      </c>
      <c r="MQM224" s="19" t="str">
        <f>IF(MQM220 = "", "", IFERROR(MQM220 / SUMIFS(Aux_Totales!$N:$N, Aux_Totales!$F:$F, $F224, Aux_Totales!$A:$A,#REF!), 0))</f>
        <v/>
      </c>
      <c r="MQN224" s="19" t="str">
        <f>IF(MQN220 = "", "", IFERROR(MQN220 / SUMIFS(Aux_Totales!$N:$N, Aux_Totales!$F:$F, $F224, Aux_Totales!$A:$A,#REF!), 0))</f>
        <v/>
      </c>
      <c r="MQO224" s="19" t="str">
        <f>IF(MQO220 = "", "", IFERROR(MQO220 / SUMIFS(Aux_Totales!$N:$N, Aux_Totales!$F:$F, $F224, Aux_Totales!$A:$A,#REF!), 0))</f>
        <v/>
      </c>
      <c r="MQP224" s="19" t="str">
        <f>IF(MQP220 = "", "", IFERROR(MQP220 / SUMIFS(Aux_Totales!$N:$N, Aux_Totales!$F:$F, $F224, Aux_Totales!$A:$A,#REF!), 0))</f>
        <v/>
      </c>
      <c r="MQQ224" s="19" t="str">
        <f>IF(MQQ220 = "", "", IFERROR(MQQ220 / SUMIFS(Aux_Totales!$N:$N, Aux_Totales!$F:$F, $F224, Aux_Totales!$A:$A,#REF!), 0))</f>
        <v/>
      </c>
      <c r="MQR224" s="19" t="str">
        <f>IF(MQR220 = "", "", IFERROR(MQR220 / SUMIFS(Aux_Totales!$N:$N, Aux_Totales!$F:$F, $F224, Aux_Totales!$A:$A,#REF!), 0))</f>
        <v/>
      </c>
      <c r="MQS224" s="19" t="str">
        <f>IF(MQS220 = "", "", IFERROR(MQS220 / SUMIFS(Aux_Totales!$N:$N, Aux_Totales!$F:$F, $F224, Aux_Totales!$A:$A,#REF!), 0))</f>
        <v/>
      </c>
      <c r="MQT224" s="19" t="str">
        <f>IF(MQT220 = "", "", IFERROR(MQT220 / SUMIFS(Aux_Totales!$N:$N, Aux_Totales!$F:$F, $F224, Aux_Totales!$A:$A,#REF!), 0))</f>
        <v/>
      </c>
      <c r="MQU224" s="19" t="str">
        <f>IF(MQU220 = "", "", IFERROR(MQU220 / SUMIFS(Aux_Totales!$N:$N, Aux_Totales!$F:$F, $F224, Aux_Totales!$A:$A,#REF!), 0))</f>
        <v/>
      </c>
      <c r="MQV224" s="19" t="str">
        <f>IF(MQV220 = "", "", IFERROR(MQV220 / SUMIFS(Aux_Totales!$N:$N, Aux_Totales!$F:$F, $F224, Aux_Totales!$A:$A,#REF!), 0))</f>
        <v/>
      </c>
      <c r="MQW224" s="19" t="str">
        <f>IF(MQW220 = "", "", IFERROR(MQW220 / SUMIFS(Aux_Totales!$N:$N, Aux_Totales!$F:$F, $F224, Aux_Totales!$A:$A,#REF!), 0))</f>
        <v/>
      </c>
      <c r="MQX224" s="19" t="str">
        <f>IF(MQX220 = "", "", IFERROR(MQX220 / SUMIFS(Aux_Totales!$N:$N, Aux_Totales!$F:$F, $F224, Aux_Totales!$A:$A,#REF!), 0))</f>
        <v/>
      </c>
      <c r="MQY224" s="19" t="str">
        <f>IF(MQY220 = "", "", IFERROR(MQY220 / SUMIFS(Aux_Totales!$N:$N, Aux_Totales!$F:$F, $F224, Aux_Totales!$A:$A,#REF!), 0))</f>
        <v/>
      </c>
      <c r="MQZ224" s="19" t="str">
        <f>IF(MQZ220 = "", "", IFERROR(MQZ220 / SUMIFS(Aux_Totales!$N:$N, Aux_Totales!$F:$F, $F224, Aux_Totales!$A:$A,#REF!), 0))</f>
        <v/>
      </c>
      <c r="MRA224" s="19" t="str">
        <f>IF(MRA220 = "", "", IFERROR(MRA220 / SUMIFS(Aux_Totales!$N:$N, Aux_Totales!$F:$F, $F224, Aux_Totales!$A:$A,#REF!), 0))</f>
        <v/>
      </c>
      <c r="MRB224" s="19" t="str">
        <f>IF(MRB220 = "", "", IFERROR(MRB220 / SUMIFS(Aux_Totales!$N:$N, Aux_Totales!$F:$F, $F224, Aux_Totales!$A:$A,#REF!), 0))</f>
        <v/>
      </c>
      <c r="MRC224" s="19" t="str">
        <f>IF(MRC220 = "", "", IFERROR(MRC220 / SUMIFS(Aux_Totales!$N:$N, Aux_Totales!$F:$F, $F224, Aux_Totales!$A:$A,#REF!), 0))</f>
        <v/>
      </c>
      <c r="MRD224" s="19" t="str">
        <f>IF(MRD220 = "", "", IFERROR(MRD220 / SUMIFS(Aux_Totales!$N:$N, Aux_Totales!$F:$F, $F224, Aux_Totales!$A:$A,#REF!), 0))</f>
        <v/>
      </c>
      <c r="MRE224" s="19" t="str">
        <f>IF(MRE220 = "", "", IFERROR(MRE220 / SUMIFS(Aux_Totales!$N:$N, Aux_Totales!$F:$F, $F224, Aux_Totales!$A:$A,#REF!), 0))</f>
        <v/>
      </c>
      <c r="MRF224" s="19" t="str">
        <f>IF(MRF220 = "", "", IFERROR(MRF220 / SUMIFS(Aux_Totales!$N:$N, Aux_Totales!$F:$F, $F224, Aux_Totales!$A:$A,#REF!), 0))</f>
        <v/>
      </c>
      <c r="MRG224" s="19" t="str">
        <f>IF(MRG220 = "", "", IFERROR(MRG220 / SUMIFS(Aux_Totales!$N:$N, Aux_Totales!$F:$F, $F224, Aux_Totales!$A:$A,#REF!), 0))</f>
        <v/>
      </c>
      <c r="MRH224" s="19" t="str">
        <f>IF(MRH220 = "", "", IFERROR(MRH220 / SUMIFS(Aux_Totales!$N:$N, Aux_Totales!$F:$F, $F224, Aux_Totales!$A:$A,#REF!), 0))</f>
        <v/>
      </c>
      <c r="MRI224" s="19" t="str">
        <f>IF(MRI220 = "", "", IFERROR(MRI220 / SUMIFS(Aux_Totales!$N:$N, Aux_Totales!$F:$F, $F224, Aux_Totales!$A:$A,#REF!), 0))</f>
        <v/>
      </c>
      <c r="MRJ224" s="19" t="str">
        <f>IF(MRJ220 = "", "", IFERROR(MRJ220 / SUMIFS(Aux_Totales!$N:$N, Aux_Totales!$F:$F, $F224, Aux_Totales!$A:$A,#REF!), 0))</f>
        <v/>
      </c>
      <c r="MRK224" s="19" t="str">
        <f>IF(MRK220 = "", "", IFERROR(MRK220 / SUMIFS(Aux_Totales!$N:$N, Aux_Totales!$F:$F, $F224, Aux_Totales!$A:$A,#REF!), 0))</f>
        <v/>
      </c>
      <c r="MRL224" s="19" t="str">
        <f>IF(MRL220 = "", "", IFERROR(MRL220 / SUMIFS(Aux_Totales!$N:$N, Aux_Totales!$F:$F, $F224, Aux_Totales!$A:$A,#REF!), 0))</f>
        <v/>
      </c>
      <c r="MRM224" s="19" t="str">
        <f>IF(MRM220 = "", "", IFERROR(MRM220 / SUMIFS(Aux_Totales!$N:$N, Aux_Totales!$F:$F, $F224, Aux_Totales!$A:$A,#REF!), 0))</f>
        <v/>
      </c>
      <c r="MRN224" s="19" t="str">
        <f>IF(MRN220 = "", "", IFERROR(MRN220 / SUMIFS(Aux_Totales!$N:$N, Aux_Totales!$F:$F, $F224, Aux_Totales!$A:$A,#REF!), 0))</f>
        <v/>
      </c>
      <c r="MRO224" s="19" t="str">
        <f>IF(MRO220 = "", "", IFERROR(MRO220 / SUMIFS(Aux_Totales!$N:$N, Aux_Totales!$F:$F, $F224, Aux_Totales!$A:$A,#REF!), 0))</f>
        <v/>
      </c>
      <c r="MRP224" s="19" t="str">
        <f>IF(MRP220 = "", "", IFERROR(MRP220 / SUMIFS(Aux_Totales!$N:$N, Aux_Totales!$F:$F, $F224, Aux_Totales!$A:$A,#REF!), 0))</f>
        <v/>
      </c>
      <c r="MRQ224" s="19" t="str">
        <f>IF(MRQ220 = "", "", IFERROR(MRQ220 / SUMIFS(Aux_Totales!$N:$N, Aux_Totales!$F:$F, $F224, Aux_Totales!$A:$A,#REF!), 0))</f>
        <v/>
      </c>
      <c r="MRR224" s="19" t="str">
        <f>IF(MRR220 = "", "", IFERROR(MRR220 / SUMIFS(Aux_Totales!$N:$N, Aux_Totales!$F:$F, $F224, Aux_Totales!$A:$A,#REF!), 0))</f>
        <v/>
      </c>
      <c r="MRS224" s="19" t="str">
        <f>IF(MRS220 = "", "", IFERROR(MRS220 / SUMIFS(Aux_Totales!$N:$N, Aux_Totales!$F:$F, $F224, Aux_Totales!$A:$A,#REF!), 0))</f>
        <v/>
      </c>
      <c r="MRT224" s="19" t="str">
        <f>IF(MRT220 = "", "", IFERROR(MRT220 / SUMIFS(Aux_Totales!$N:$N, Aux_Totales!$F:$F, $F224, Aux_Totales!$A:$A,#REF!), 0))</f>
        <v/>
      </c>
      <c r="MRU224" s="19" t="str">
        <f>IF(MRU220 = "", "", IFERROR(MRU220 / SUMIFS(Aux_Totales!$N:$N, Aux_Totales!$F:$F, $F224, Aux_Totales!$A:$A,#REF!), 0))</f>
        <v/>
      </c>
      <c r="MRV224" s="19" t="str">
        <f>IF(MRV220 = "", "", IFERROR(MRV220 / SUMIFS(Aux_Totales!$N:$N, Aux_Totales!$F:$F, $F224, Aux_Totales!$A:$A,#REF!), 0))</f>
        <v/>
      </c>
      <c r="MRW224" s="19" t="str">
        <f>IF(MRW220 = "", "", IFERROR(MRW220 / SUMIFS(Aux_Totales!$N:$N, Aux_Totales!$F:$F, $F224, Aux_Totales!$A:$A,#REF!), 0))</f>
        <v/>
      </c>
      <c r="MRX224" s="19" t="str">
        <f>IF(MRX220 = "", "", IFERROR(MRX220 / SUMIFS(Aux_Totales!$N:$N, Aux_Totales!$F:$F, $F224, Aux_Totales!$A:$A,#REF!), 0))</f>
        <v/>
      </c>
      <c r="MRY224" s="19" t="str">
        <f>IF(MRY220 = "", "", IFERROR(MRY220 / SUMIFS(Aux_Totales!$N:$N, Aux_Totales!$F:$F, $F224, Aux_Totales!$A:$A,#REF!), 0))</f>
        <v/>
      </c>
      <c r="MRZ224" s="19" t="str">
        <f>IF(MRZ220 = "", "", IFERROR(MRZ220 / SUMIFS(Aux_Totales!$N:$N, Aux_Totales!$F:$F, $F224, Aux_Totales!$A:$A,#REF!), 0))</f>
        <v/>
      </c>
      <c r="MSA224" s="19" t="str">
        <f>IF(MSA220 = "", "", IFERROR(MSA220 / SUMIFS(Aux_Totales!$N:$N, Aux_Totales!$F:$F, $F224, Aux_Totales!$A:$A,#REF!), 0))</f>
        <v/>
      </c>
      <c r="MSB224" s="19" t="str">
        <f>IF(MSB220 = "", "", IFERROR(MSB220 / SUMIFS(Aux_Totales!$N:$N, Aux_Totales!$F:$F, $F224, Aux_Totales!$A:$A,#REF!), 0))</f>
        <v/>
      </c>
      <c r="MSC224" s="19" t="str">
        <f>IF(MSC220 = "", "", IFERROR(MSC220 / SUMIFS(Aux_Totales!$N:$N, Aux_Totales!$F:$F, $F224, Aux_Totales!$A:$A,#REF!), 0))</f>
        <v/>
      </c>
      <c r="MSD224" s="19" t="str">
        <f>IF(MSD220 = "", "", IFERROR(MSD220 / SUMIFS(Aux_Totales!$N:$N, Aux_Totales!$F:$F, $F224, Aux_Totales!$A:$A,#REF!), 0))</f>
        <v/>
      </c>
      <c r="MSE224" s="19" t="str">
        <f>IF(MSE220 = "", "", IFERROR(MSE220 / SUMIFS(Aux_Totales!$N:$N, Aux_Totales!$F:$F, $F224, Aux_Totales!$A:$A,#REF!), 0))</f>
        <v/>
      </c>
      <c r="MSF224" s="19" t="str">
        <f>IF(MSF220 = "", "", IFERROR(MSF220 / SUMIFS(Aux_Totales!$N:$N, Aux_Totales!$F:$F, $F224, Aux_Totales!$A:$A,#REF!), 0))</f>
        <v/>
      </c>
      <c r="MSG224" s="19" t="str">
        <f>IF(MSG220 = "", "", IFERROR(MSG220 / SUMIFS(Aux_Totales!$N:$N, Aux_Totales!$F:$F, $F224, Aux_Totales!$A:$A,#REF!), 0))</f>
        <v/>
      </c>
      <c r="MSH224" s="19" t="str">
        <f>IF(MSH220 = "", "", IFERROR(MSH220 / SUMIFS(Aux_Totales!$N:$N, Aux_Totales!$F:$F, $F224, Aux_Totales!$A:$A,#REF!), 0))</f>
        <v/>
      </c>
      <c r="MSI224" s="19" t="str">
        <f>IF(MSI220 = "", "", IFERROR(MSI220 / SUMIFS(Aux_Totales!$N:$N, Aux_Totales!$F:$F, $F224, Aux_Totales!$A:$A,#REF!), 0))</f>
        <v/>
      </c>
      <c r="MSJ224" s="19" t="str">
        <f>IF(MSJ220 = "", "", IFERROR(MSJ220 / SUMIFS(Aux_Totales!$N:$N, Aux_Totales!$F:$F, $F224, Aux_Totales!$A:$A,#REF!), 0))</f>
        <v/>
      </c>
      <c r="MSK224" s="19" t="str">
        <f>IF(MSK220 = "", "", IFERROR(MSK220 / SUMIFS(Aux_Totales!$N:$N, Aux_Totales!$F:$F, $F224, Aux_Totales!$A:$A,#REF!), 0))</f>
        <v/>
      </c>
      <c r="MSL224" s="19" t="str">
        <f>IF(MSL220 = "", "", IFERROR(MSL220 / SUMIFS(Aux_Totales!$N:$N, Aux_Totales!$F:$F, $F224, Aux_Totales!$A:$A,#REF!), 0))</f>
        <v/>
      </c>
      <c r="MSM224" s="19" t="str">
        <f>IF(MSM220 = "", "", IFERROR(MSM220 / SUMIFS(Aux_Totales!$N:$N, Aux_Totales!$F:$F, $F224, Aux_Totales!$A:$A,#REF!), 0))</f>
        <v/>
      </c>
      <c r="MSN224" s="19" t="str">
        <f>IF(MSN220 = "", "", IFERROR(MSN220 / SUMIFS(Aux_Totales!$N:$N, Aux_Totales!$F:$F, $F224, Aux_Totales!$A:$A,#REF!), 0))</f>
        <v/>
      </c>
      <c r="MSO224" s="19" t="str">
        <f>IF(MSO220 = "", "", IFERROR(MSO220 / SUMIFS(Aux_Totales!$N:$N, Aux_Totales!$F:$F, $F224, Aux_Totales!$A:$A,#REF!), 0))</f>
        <v/>
      </c>
      <c r="MSP224" s="19" t="str">
        <f>IF(MSP220 = "", "", IFERROR(MSP220 / SUMIFS(Aux_Totales!$N:$N, Aux_Totales!$F:$F, $F224, Aux_Totales!$A:$A,#REF!), 0))</f>
        <v/>
      </c>
      <c r="MSQ224" s="19" t="str">
        <f>IF(MSQ220 = "", "", IFERROR(MSQ220 / SUMIFS(Aux_Totales!$N:$N, Aux_Totales!$F:$F, $F224, Aux_Totales!$A:$A,#REF!), 0))</f>
        <v/>
      </c>
      <c r="MSR224" s="19" t="str">
        <f>IF(MSR220 = "", "", IFERROR(MSR220 / SUMIFS(Aux_Totales!$N:$N, Aux_Totales!$F:$F, $F224, Aux_Totales!$A:$A,#REF!), 0))</f>
        <v/>
      </c>
      <c r="MSS224" s="19" t="str">
        <f>IF(MSS220 = "", "", IFERROR(MSS220 / SUMIFS(Aux_Totales!$N:$N, Aux_Totales!$F:$F, $F224, Aux_Totales!$A:$A,#REF!), 0))</f>
        <v/>
      </c>
      <c r="MST224" s="19" t="str">
        <f>IF(MST220 = "", "", IFERROR(MST220 / SUMIFS(Aux_Totales!$N:$N, Aux_Totales!$F:$F, $F224, Aux_Totales!$A:$A,#REF!), 0))</f>
        <v/>
      </c>
      <c r="MSU224" s="19" t="str">
        <f>IF(MSU220 = "", "", IFERROR(MSU220 / SUMIFS(Aux_Totales!$N:$N, Aux_Totales!$F:$F, $F224, Aux_Totales!$A:$A,#REF!), 0))</f>
        <v/>
      </c>
      <c r="MSV224" s="19" t="str">
        <f>IF(MSV220 = "", "", IFERROR(MSV220 / SUMIFS(Aux_Totales!$N:$N, Aux_Totales!$F:$F, $F224, Aux_Totales!$A:$A,#REF!), 0))</f>
        <v/>
      </c>
      <c r="MSW224" s="19" t="str">
        <f>IF(MSW220 = "", "", IFERROR(MSW220 / SUMIFS(Aux_Totales!$N:$N, Aux_Totales!$F:$F, $F224, Aux_Totales!$A:$A,#REF!), 0))</f>
        <v/>
      </c>
      <c r="MSX224" s="19" t="str">
        <f>IF(MSX220 = "", "", IFERROR(MSX220 / SUMIFS(Aux_Totales!$N:$N, Aux_Totales!$F:$F, $F224, Aux_Totales!$A:$A,#REF!), 0))</f>
        <v/>
      </c>
      <c r="MSY224" s="19" t="str">
        <f>IF(MSY220 = "", "", IFERROR(MSY220 / SUMIFS(Aux_Totales!$N:$N, Aux_Totales!$F:$F, $F224, Aux_Totales!$A:$A,#REF!), 0))</f>
        <v/>
      </c>
      <c r="MSZ224" s="19" t="str">
        <f>IF(MSZ220 = "", "", IFERROR(MSZ220 / SUMIFS(Aux_Totales!$N:$N, Aux_Totales!$F:$F, $F224, Aux_Totales!$A:$A,#REF!), 0))</f>
        <v/>
      </c>
      <c r="MTA224" s="19" t="str">
        <f>IF(MTA220 = "", "", IFERROR(MTA220 / SUMIFS(Aux_Totales!$N:$N, Aux_Totales!$F:$F, $F224, Aux_Totales!$A:$A,#REF!), 0))</f>
        <v/>
      </c>
      <c r="MTB224" s="19" t="str">
        <f>IF(MTB220 = "", "", IFERROR(MTB220 / SUMIFS(Aux_Totales!$N:$N, Aux_Totales!$F:$F, $F224, Aux_Totales!$A:$A,#REF!), 0))</f>
        <v/>
      </c>
      <c r="MTC224" s="19" t="str">
        <f>IF(MTC220 = "", "", IFERROR(MTC220 / SUMIFS(Aux_Totales!$N:$N, Aux_Totales!$F:$F, $F224, Aux_Totales!$A:$A,#REF!), 0))</f>
        <v/>
      </c>
      <c r="MTD224" s="19" t="str">
        <f>IF(MTD220 = "", "", IFERROR(MTD220 / SUMIFS(Aux_Totales!$N:$N, Aux_Totales!$F:$F, $F224, Aux_Totales!$A:$A,#REF!), 0))</f>
        <v/>
      </c>
      <c r="MTE224" s="19" t="str">
        <f>IF(MTE220 = "", "", IFERROR(MTE220 / SUMIFS(Aux_Totales!$N:$N, Aux_Totales!$F:$F, $F224, Aux_Totales!$A:$A,#REF!), 0))</f>
        <v/>
      </c>
      <c r="MTF224" s="19" t="str">
        <f>IF(MTF220 = "", "", IFERROR(MTF220 / SUMIFS(Aux_Totales!$N:$N, Aux_Totales!$F:$F, $F224, Aux_Totales!$A:$A,#REF!), 0))</f>
        <v/>
      </c>
      <c r="MTG224" s="19" t="str">
        <f>IF(MTG220 = "", "", IFERROR(MTG220 / SUMIFS(Aux_Totales!$N:$N, Aux_Totales!$F:$F, $F224, Aux_Totales!$A:$A,#REF!), 0))</f>
        <v/>
      </c>
      <c r="MTH224" s="19" t="str">
        <f>IF(MTH220 = "", "", IFERROR(MTH220 / SUMIFS(Aux_Totales!$N:$N, Aux_Totales!$F:$F, $F224, Aux_Totales!$A:$A,#REF!), 0))</f>
        <v/>
      </c>
      <c r="MTI224" s="19" t="str">
        <f>IF(MTI220 = "", "", IFERROR(MTI220 / SUMIFS(Aux_Totales!$N:$N, Aux_Totales!$F:$F, $F224, Aux_Totales!$A:$A,#REF!), 0))</f>
        <v/>
      </c>
      <c r="MTJ224" s="19" t="str">
        <f>IF(MTJ220 = "", "", IFERROR(MTJ220 / SUMIFS(Aux_Totales!$N:$N, Aux_Totales!$F:$F, $F224, Aux_Totales!$A:$A,#REF!), 0))</f>
        <v/>
      </c>
      <c r="MTK224" s="19" t="str">
        <f>IF(MTK220 = "", "", IFERROR(MTK220 / SUMIFS(Aux_Totales!$N:$N, Aux_Totales!$F:$F, $F224, Aux_Totales!$A:$A,#REF!), 0))</f>
        <v/>
      </c>
      <c r="MTL224" s="19" t="str">
        <f>IF(MTL220 = "", "", IFERROR(MTL220 / SUMIFS(Aux_Totales!$N:$N, Aux_Totales!$F:$F, $F224, Aux_Totales!$A:$A,#REF!), 0))</f>
        <v/>
      </c>
      <c r="MTM224" s="19" t="str">
        <f>IF(MTM220 = "", "", IFERROR(MTM220 / SUMIFS(Aux_Totales!$N:$N, Aux_Totales!$F:$F, $F224, Aux_Totales!$A:$A,#REF!), 0))</f>
        <v/>
      </c>
      <c r="MTN224" s="19" t="str">
        <f>IF(MTN220 = "", "", IFERROR(MTN220 / SUMIFS(Aux_Totales!$N:$N, Aux_Totales!$F:$F, $F224, Aux_Totales!$A:$A,#REF!), 0))</f>
        <v/>
      </c>
      <c r="MTO224" s="19" t="str">
        <f>IF(MTO220 = "", "", IFERROR(MTO220 / SUMIFS(Aux_Totales!$N:$N, Aux_Totales!$F:$F, $F224, Aux_Totales!$A:$A,#REF!), 0))</f>
        <v/>
      </c>
      <c r="MTP224" s="19" t="str">
        <f>IF(MTP220 = "", "", IFERROR(MTP220 / SUMIFS(Aux_Totales!$N:$N, Aux_Totales!$F:$F, $F224, Aux_Totales!$A:$A,#REF!), 0))</f>
        <v/>
      </c>
      <c r="MTQ224" s="19" t="str">
        <f>IF(MTQ220 = "", "", IFERROR(MTQ220 / SUMIFS(Aux_Totales!$N:$N, Aux_Totales!$F:$F, $F224, Aux_Totales!$A:$A,#REF!), 0))</f>
        <v/>
      </c>
      <c r="MTR224" s="19" t="str">
        <f>IF(MTR220 = "", "", IFERROR(MTR220 / SUMIFS(Aux_Totales!$N:$N, Aux_Totales!$F:$F, $F224, Aux_Totales!$A:$A,#REF!), 0))</f>
        <v/>
      </c>
      <c r="MTS224" s="19" t="str">
        <f>IF(MTS220 = "", "", IFERROR(MTS220 / SUMIFS(Aux_Totales!$N:$N, Aux_Totales!$F:$F, $F224, Aux_Totales!$A:$A,#REF!), 0))</f>
        <v/>
      </c>
      <c r="MTT224" s="19" t="str">
        <f>IF(MTT220 = "", "", IFERROR(MTT220 / SUMIFS(Aux_Totales!$N:$N, Aux_Totales!$F:$F, $F224, Aux_Totales!$A:$A,#REF!), 0))</f>
        <v/>
      </c>
      <c r="MTU224" s="19" t="str">
        <f>IF(MTU220 = "", "", IFERROR(MTU220 / SUMIFS(Aux_Totales!$N:$N, Aux_Totales!$F:$F, $F224, Aux_Totales!$A:$A,#REF!), 0))</f>
        <v/>
      </c>
      <c r="MTV224" s="19" t="str">
        <f>IF(MTV220 = "", "", IFERROR(MTV220 / SUMIFS(Aux_Totales!$N:$N, Aux_Totales!$F:$F, $F224, Aux_Totales!$A:$A,#REF!), 0))</f>
        <v/>
      </c>
      <c r="MTW224" s="19" t="str">
        <f>IF(MTW220 = "", "", IFERROR(MTW220 / SUMIFS(Aux_Totales!$N:$N, Aux_Totales!$F:$F, $F224, Aux_Totales!$A:$A,#REF!), 0))</f>
        <v/>
      </c>
      <c r="MTX224" s="19" t="str">
        <f>IF(MTX220 = "", "", IFERROR(MTX220 / SUMIFS(Aux_Totales!$N:$N, Aux_Totales!$F:$F, $F224, Aux_Totales!$A:$A,#REF!), 0))</f>
        <v/>
      </c>
      <c r="MTY224" s="19" t="str">
        <f>IF(MTY220 = "", "", IFERROR(MTY220 / SUMIFS(Aux_Totales!$N:$N, Aux_Totales!$F:$F, $F224, Aux_Totales!$A:$A,#REF!), 0))</f>
        <v/>
      </c>
      <c r="MTZ224" s="19" t="str">
        <f>IF(MTZ220 = "", "", IFERROR(MTZ220 / SUMIFS(Aux_Totales!$N:$N, Aux_Totales!$F:$F, $F224, Aux_Totales!$A:$A,#REF!), 0))</f>
        <v/>
      </c>
      <c r="MUA224" s="19" t="str">
        <f>IF(MUA220 = "", "", IFERROR(MUA220 / SUMIFS(Aux_Totales!$N:$N, Aux_Totales!$F:$F, $F224, Aux_Totales!$A:$A,#REF!), 0))</f>
        <v/>
      </c>
      <c r="MUB224" s="19" t="str">
        <f>IF(MUB220 = "", "", IFERROR(MUB220 / SUMIFS(Aux_Totales!$N:$N, Aux_Totales!$F:$F, $F224, Aux_Totales!$A:$A,#REF!), 0))</f>
        <v/>
      </c>
      <c r="MUC224" s="19" t="str">
        <f>IF(MUC220 = "", "", IFERROR(MUC220 / SUMIFS(Aux_Totales!$N:$N, Aux_Totales!$F:$F, $F224, Aux_Totales!$A:$A,#REF!), 0))</f>
        <v/>
      </c>
      <c r="MUD224" s="19" t="str">
        <f>IF(MUD220 = "", "", IFERROR(MUD220 / SUMIFS(Aux_Totales!$N:$N, Aux_Totales!$F:$F, $F224, Aux_Totales!$A:$A,#REF!), 0))</f>
        <v/>
      </c>
      <c r="MUE224" s="19" t="str">
        <f>IF(MUE220 = "", "", IFERROR(MUE220 / SUMIFS(Aux_Totales!$N:$N, Aux_Totales!$F:$F, $F224, Aux_Totales!$A:$A,#REF!), 0))</f>
        <v/>
      </c>
      <c r="MUF224" s="19" t="str">
        <f>IF(MUF220 = "", "", IFERROR(MUF220 / SUMIFS(Aux_Totales!$N:$N, Aux_Totales!$F:$F, $F224, Aux_Totales!$A:$A,#REF!), 0))</f>
        <v/>
      </c>
      <c r="MUG224" s="19" t="str">
        <f>IF(MUG220 = "", "", IFERROR(MUG220 / SUMIFS(Aux_Totales!$N:$N, Aux_Totales!$F:$F, $F224, Aux_Totales!$A:$A,#REF!), 0))</f>
        <v/>
      </c>
      <c r="MUH224" s="19" t="str">
        <f>IF(MUH220 = "", "", IFERROR(MUH220 / SUMIFS(Aux_Totales!$N:$N, Aux_Totales!$F:$F, $F224, Aux_Totales!$A:$A,#REF!), 0))</f>
        <v/>
      </c>
      <c r="MUI224" s="19" t="str">
        <f>IF(MUI220 = "", "", IFERROR(MUI220 / SUMIFS(Aux_Totales!$N:$N, Aux_Totales!$F:$F, $F224, Aux_Totales!$A:$A,#REF!), 0))</f>
        <v/>
      </c>
      <c r="MUJ224" s="19" t="str">
        <f>IF(MUJ220 = "", "", IFERROR(MUJ220 / SUMIFS(Aux_Totales!$N:$N, Aux_Totales!$F:$F, $F224, Aux_Totales!$A:$A,#REF!), 0))</f>
        <v/>
      </c>
      <c r="MUK224" s="19" t="str">
        <f>IF(MUK220 = "", "", IFERROR(MUK220 / SUMIFS(Aux_Totales!$N:$N, Aux_Totales!$F:$F, $F224, Aux_Totales!$A:$A,#REF!), 0))</f>
        <v/>
      </c>
      <c r="MUL224" s="19" t="str">
        <f>IF(MUL220 = "", "", IFERROR(MUL220 / SUMIFS(Aux_Totales!$N:$N, Aux_Totales!$F:$F, $F224, Aux_Totales!$A:$A,#REF!), 0))</f>
        <v/>
      </c>
      <c r="MUM224" s="19" t="str">
        <f>IF(MUM220 = "", "", IFERROR(MUM220 / SUMIFS(Aux_Totales!$N:$N, Aux_Totales!$F:$F, $F224, Aux_Totales!$A:$A,#REF!), 0))</f>
        <v/>
      </c>
      <c r="MUN224" s="19" t="str">
        <f>IF(MUN220 = "", "", IFERROR(MUN220 / SUMIFS(Aux_Totales!$N:$N, Aux_Totales!$F:$F, $F224, Aux_Totales!$A:$A,#REF!), 0))</f>
        <v/>
      </c>
      <c r="MUO224" s="19" t="str">
        <f>IF(MUO220 = "", "", IFERROR(MUO220 / SUMIFS(Aux_Totales!$N:$N, Aux_Totales!$F:$F, $F224, Aux_Totales!$A:$A,#REF!), 0))</f>
        <v/>
      </c>
      <c r="MUP224" s="19" t="str">
        <f>IF(MUP220 = "", "", IFERROR(MUP220 / SUMIFS(Aux_Totales!$N:$N, Aux_Totales!$F:$F, $F224, Aux_Totales!$A:$A,#REF!), 0))</f>
        <v/>
      </c>
      <c r="MUQ224" s="19" t="str">
        <f>IF(MUQ220 = "", "", IFERROR(MUQ220 / SUMIFS(Aux_Totales!$N:$N, Aux_Totales!$F:$F, $F224, Aux_Totales!$A:$A,#REF!), 0))</f>
        <v/>
      </c>
      <c r="MUR224" s="19" t="str">
        <f>IF(MUR220 = "", "", IFERROR(MUR220 / SUMIFS(Aux_Totales!$N:$N, Aux_Totales!$F:$F, $F224, Aux_Totales!$A:$A,#REF!), 0))</f>
        <v/>
      </c>
      <c r="MUS224" s="19" t="str">
        <f>IF(MUS220 = "", "", IFERROR(MUS220 / SUMIFS(Aux_Totales!$N:$N, Aux_Totales!$F:$F, $F224, Aux_Totales!$A:$A,#REF!), 0))</f>
        <v/>
      </c>
      <c r="MUT224" s="19" t="str">
        <f>IF(MUT220 = "", "", IFERROR(MUT220 / SUMIFS(Aux_Totales!$N:$N, Aux_Totales!$F:$F, $F224, Aux_Totales!$A:$A,#REF!), 0))</f>
        <v/>
      </c>
      <c r="MUU224" s="19" t="str">
        <f>IF(MUU220 = "", "", IFERROR(MUU220 / SUMIFS(Aux_Totales!$N:$N, Aux_Totales!$F:$F, $F224, Aux_Totales!$A:$A,#REF!), 0))</f>
        <v/>
      </c>
      <c r="MUV224" s="19" t="str">
        <f>IF(MUV220 = "", "", IFERROR(MUV220 / SUMIFS(Aux_Totales!$N:$N, Aux_Totales!$F:$F, $F224, Aux_Totales!$A:$A,#REF!), 0))</f>
        <v/>
      </c>
      <c r="MUW224" s="19" t="str">
        <f>IF(MUW220 = "", "", IFERROR(MUW220 / SUMIFS(Aux_Totales!$N:$N, Aux_Totales!$F:$F, $F224, Aux_Totales!$A:$A,#REF!), 0))</f>
        <v/>
      </c>
      <c r="MUX224" s="19" t="str">
        <f>IF(MUX220 = "", "", IFERROR(MUX220 / SUMIFS(Aux_Totales!$N:$N, Aux_Totales!$F:$F, $F224, Aux_Totales!$A:$A,#REF!), 0))</f>
        <v/>
      </c>
      <c r="MUY224" s="19" t="str">
        <f>IF(MUY220 = "", "", IFERROR(MUY220 / SUMIFS(Aux_Totales!$N:$N, Aux_Totales!$F:$F, $F224, Aux_Totales!$A:$A,#REF!), 0))</f>
        <v/>
      </c>
      <c r="MUZ224" s="19" t="str">
        <f>IF(MUZ220 = "", "", IFERROR(MUZ220 / SUMIFS(Aux_Totales!$N:$N, Aux_Totales!$F:$F, $F224, Aux_Totales!$A:$A,#REF!), 0))</f>
        <v/>
      </c>
      <c r="MVA224" s="19" t="str">
        <f>IF(MVA220 = "", "", IFERROR(MVA220 / SUMIFS(Aux_Totales!$N:$N, Aux_Totales!$F:$F, $F224, Aux_Totales!$A:$A,#REF!), 0))</f>
        <v/>
      </c>
      <c r="MVB224" s="19" t="str">
        <f>IF(MVB220 = "", "", IFERROR(MVB220 / SUMIFS(Aux_Totales!$N:$N, Aux_Totales!$F:$F, $F224, Aux_Totales!$A:$A,#REF!), 0))</f>
        <v/>
      </c>
      <c r="MVC224" s="19" t="str">
        <f>IF(MVC220 = "", "", IFERROR(MVC220 / SUMIFS(Aux_Totales!$N:$N, Aux_Totales!$F:$F, $F224, Aux_Totales!$A:$A,#REF!), 0))</f>
        <v/>
      </c>
      <c r="MVD224" s="19" t="str">
        <f>IF(MVD220 = "", "", IFERROR(MVD220 / SUMIFS(Aux_Totales!$N:$N, Aux_Totales!$F:$F, $F224, Aux_Totales!$A:$A,#REF!), 0))</f>
        <v/>
      </c>
      <c r="MVE224" s="19" t="str">
        <f>IF(MVE220 = "", "", IFERROR(MVE220 / SUMIFS(Aux_Totales!$N:$N, Aux_Totales!$F:$F, $F224, Aux_Totales!$A:$A,#REF!), 0))</f>
        <v/>
      </c>
      <c r="MVF224" s="19" t="str">
        <f>IF(MVF220 = "", "", IFERROR(MVF220 / SUMIFS(Aux_Totales!$N:$N, Aux_Totales!$F:$F, $F224, Aux_Totales!$A:$A,#REF!), 0))</f>
        <v/>
      </c>
      <c r="MVG224" s="19" t="str">
        <f>IF(MVG220 = "", "", IFERROR(MVG220 / SUMIFS(Aux_Totales!$N:$N, Aux_Totales!$F:$F, $F224, Aux_Totales!$A:$A,#REF!), 0))</f>
        <v/>
      </c>
      <c r="MVH224" s="19" t="str">
        <f>IF(MVH220 = "", "", IFERROR(MVH220 / SUMIFS(Aux_Totales!$N:$N, Aux_Totales!$F:$F, $F224, Aux_Totales!$A:$A,#REF!), 0))</f>
        <v/>
      </c>
      <c r="MVI224" s="19" t="str">
        <f>IF(MVI220 = "", "", IFERROR(MVI220 / SUMIFS(Aux_Totales!$N:$N, Aux_Totales!$F:$F, $F224, Aux_Totales!$A:$A,#REF!), 0))</f>
        <v/>
      </c>
      <c r="MVJ224" s="19" t="str">
        <f>IF(MVJ220 = "", "", IFERROR(MVJ220 / SUMIFS(Aux_Totales!$N:$N, Aux_Totales!$F:$F, $F224, Aux_Totales!$A:$A,#REF!), 0))</f>
        <v/>
      </c>
      <c r="MVK224" s="19" t="str">
        <f>IF(MVK220 = "", "", IFERROR(MVK220 / SUMIFS(Aux_Totales!$N:$N, Aux_Totales!$F:$F, $F224, Aux_Totales!$A:$A,#REF!), 0))</f>
        <v/>
      </c>
      <c r="MVL224" s="19" t="str">
        <f>IF(MVL220 = "", "", IFERROR(MVL220 / SUMIFS(Aux_Totales!$N:$N, Aux_Totales!$F:$F, $F224, Aux_Totales!$A:$A,#REF!), 0))</f>
        <v/>
      </c>
      <c r="MVM224" s="19" t="str">
        <f>IF(MVM220 = "", "", IFERROR(MVM220 / SUMIFS(Aux_Totales!$N:$N, Aux_Totales!$F:$F, $F224, Aux_Totales!$A:$A,#REF!), 0))</f>
        <v/>
      </c>
      <c r="MVN224" s="19" t="str">
        <f>IF(MVN220 = "", "", IFERROR(MVN220 / SUMIFS(Aux_Totales!$N:$N, Aux_Totales!$F:$F, $F224, Aux_Totales!$A:$A,#REF!), 0))</f>
        <v/>
      </c>
      <c r="MVO224" s="19" t="str">
        <f>IF(MVO220 = "", "", IFERROR(MVO220 / SUMIFS(Aux_Totales!$N:$N, Aux_Totales!$F:$F, $F224, Aux_Totales!$A:$A,#REF!), 0))</f>
        <v/>
      </c>
      <c r="MVP224" s="19" t="str">
        <f>IF(MVP220 = "", "", IFERROR(MVP220 / SUMIFS(Aux_Totales!$N:$N, Aux_Totales!$F:$F, $F224, Aux_Totales!$A:$A,#REF!), 0))</f>
        <v/>
      </c>
      <c r="MVQ224" s="19" t="str">
        <f>IF(MVQ220 = "", "", IFERROR(MVQ220 / SUMIFS(Aux_Totales!$N:$N, Aux_Totales!$F:$F, $F224, Aux_Totales!$A:$A,#REF!), 0))</f>
        <v/>
      </c>
      <c r="MVR224" s="19" t="str">
        <f>IF(MVR220 = "", "", IFERROR(MVR220 / SUMIFS(Aux_Totales!$N:$N, Aux_Totales!$F:$F, $F224, Aux_Totales!$A:$A,#REF!), 0))</f>
        <v/>
      </c>
      <c r="MVS224" s="19" t="str">
        <f>IF(MVS220 = "", "", IFERROR(MVS220 / SUMIFS(Aux_Totales!$N:$N, Aux_Totales!$F:$F, $F224, Aux_Totales!$A:$A,#REF!), 0))</f>
        <v/>
      </c>
      <c r="MVT224" s="19" t="str">
        <f>IF(MVT220 = "", "", IFERROR(MVT220 / SUMIFS(Aux_Totales!$N:$N, Aux_Totales!$F:$F, $F224, Aux_Totales!$A:$A,#REF!), 0))</f>
        <v/>
      </c>
      <c r="MVU224" s="19" t="str">
        <f>IF(MVU220 = "", "", IFERROR(MVU220 / SUMIFS(Aux_Totales!$N:$N, Aux_Totales!$F:$F, $F224, Aux_Totales!$A:$A,#REF!), 0))</f>
        <v/>
      </c>
      <c r="MVV224" s="19" t="str">
        <f>IF(MVV220 = "", "", IFERROR(MVV220 / SUMIFS(Aux_Totales!$N:$N, Aux_Totales!$F:$F, $F224, Aux_Totales!$A:$A,#REF!), 0))</f>
        <v/>
      </c>
      <c r="MVW224" s="19" t="str">
        <f>IF(MVW220 = "", "", IFERROR(MVW220 / SUMIFS(Aux_Totales!$N:$N, Aux_Totales!$F:$F, $F224, Aux_Totales!$A:$A,#REF!), 0))</f>
        <v/>
      </c>
      <c r="MVX224" s="19" t="str">
        <f>IF(MVX220 = "", "", IFERROR(MVX220 / SUMIFS(Aux_Totales!$N:$N, Aux_Totales!$F:$F, $F224, Aux_Totales!$A:$A,#REF!), 0))</f>
        <v/>
      </c>
      <c r="MVY224" s="19" t="str">
        <f>IF(MVY220 = "", "", IFERROR(MVY220 / SUMIFS(Aux_Totales!$N:$N, Aux_Totales!$F:$F, $F224, Aux_Totales!$A:$A,#REF!), 0))</f>
        <v/>
      </c>
      <c r="MVZ224" s="19" t="str">
        <f>IF(MVZ220 = "", "", IFERROR(MVZ220 / SUMIFS(Aux_Totales!$N:$N, Aux_Totales!$F:$F, $F224, Aux_Totales!$A:$A,#REF!), 0))</f>
        <v/>
      </c>
      <c r="MWA224" s="19" t="str">
        <f>IF(MWA220 = "", "", IFERROR(MWA220 / SUMIFS(Aux_Totales!$N:$N, Aux_Totales!$F:$F, $F224, Aux_Totales!$A:$A,#REF!), 0))</f>
        <v/>
      </c>
      <c r="MWB224" s="19" t="str">
        <f>IF(MWB220 = "", "", IFERROR(MWB220 / SUMIFS(Aux_Totales!$N:$N, Aux_Totales!$F:$F, $F224, Aux_Totales!$A:$A,#REF!), 0))</f>
        <v/>
      </c>
      <c r="MWC224" s="19" t="str">
        <f>IF(MWC220 = "", "", IFERROR(MWC220 / SUMIFS(Aux_Totales!$N:$N, Aux_Totales!$F:$F, $F224, Aux_Totales!$A:$A,#REF!), 0))</f>
        <v/>
      </c>
      <c r="MWD224" s="19" t="str">
        <f>IF(MWD220 = "", "", IFERROR(MWD220 / SUMIFS(Aux_Totales!$N:$N, Aux_Totales!$F:$F, $F224, Aux_Totales!$A:$A,#REF!), 0))</f>
        <v/>
      </c>
      <c r="MWE224" s="19" t="str">
        <f>IF(MWE220 = "", "", IFERROR(MWE220 / SUMIFS(Aux_Totales!$N:$N, Aux_Totales!$F:$F, $F224, Aux_Totales!$A:$A,#REF!), 0))</f>
        <v/>
      </c>
      <c r="MWF224" s="19" t="str">
        <f>IF(MWF220 = "", "", IFERROR(MWF220 / SUMIFS(Aux_Totales!$N:$N, Aux_Totales!$F:$F, $F224, Aux_Totales!$A:$A,#REF!), 0))</f>
        <v/>
      </c>
      <c r="MWG224" s="19" t="str">
        <f>IF(MWG220 = "", "", IFERROR(MWG220 / SUMIFS(Aux_Totales!$N:$N, Aux_Totales!$F:$F, $F224, Aux_Totales!$A:$A,#REF!), 0))</f>
        <v/>
      </c>
      <c r="MWH224" s="19" t="str">
        <f>IF(MWH220 = "", "", IFERROR(MWH220 / SUMIFS(Aux_Totales!$N:$N, Aux_Totales!$F:$F, $F224, Aux_Totales!$A:$A,#REF!), 0))</f>
        <v/>
      </c>
      <c r="MWI224" s="19" t="str">
        <f>IF(MWI220 = "", "", IFERROR(MWI220 / SUMIFS(Aux_Totales!$N:$N, Aux_Totales!$F:$F, $F224, Aux_Totales!$A:$A,#REF!), 0))</f>
        <v/>
      </c>
      <c r="MWJ224" s="19" t="str">
        <f>IF(MWJ220 = "", "", IFERROR(MWJ220 / SUMIFS(Aux_Totales!$N:$N, Aux_Totales!$F:$F, $F224, Aux_Totales!$A:$A,#REF!), 0))</f>
        <v/>
      </c>
      <c r="MWK224" s="19" t="str">
        <f>IF(MWK220 = "", "", IFERROR(MWK220 / SUMIFS(Aux_Totales!$N:$N, Aux_Totales!$F:$F, $F224, Aux_Totales!$A:$A,#REF!), 0))</f>
        <v/>
      </c>
      <c r="MWL224" s="19" t="str">
        <f>IF(MWL220 = "", "", IFERROR(MWL220 / SUMIFS(Aux_Totales!$N:$N, Aux_Totales!$F:$F, $F224, Aux_Totales!$A:$A,#REF!), 0))</f>
        <v/>
      </c>
      <c r="MWM224" s="19" t="str">
        <f>IF(MWM220 = "", "", IFERROR(MWM220 / SUMIFS(Aux_Totales!$N:$N, Aux_Totales!$F:$F, $F224, Aux_Totales!$A:$A,#REF!), 0))</f>
        <v/>
      </c>
      <c r="MWN224" s="19" t="str">
        <f>IF(MWN220 = "", "", IFERROR(MWN220 / SUMIFS(Aux_Totales!$N:$N, Aux_Totales!$F:$F, $F224, Aux_Totales!$A:$A,#REF!), 0))</f>
        <v/>
      </c>
      <c r="MWO224" s="19" t="str">
        <f>IF(MWO220 = "", "", IFERROR(MWO220 / SUMIFS(Aux_Totales!$N:$N, Aux_Totales!$F:$F, $F224, Aux_Totales!$A:$A,#REF!), 0))</f>
        <v/>
      </c>
      <c r="MWP224" s="19" t="str">
        <f>IF(MWP220 = "", "", IFERROR(MWP220 / SUMIFS(Aux_Totales!$N:$N, Aux_Totales!$F:$F, $F224, Aux_Totales!$A:$A,#REF!), 0))</f>
        <v/>
      </c>
      <c r="MWQ224" s="19" t="str">
        <f>IF(MWQ220 = "", "", IFERROR(MWQ220 / SUMIFS(Aux_Totales!$N:$N, Aux_Totales!$F:$F, $F224, Aux_Totales!$A:$A,#REF!), 0))</f>
        <v/>
      </c>
      <c r="MWR224" s="19" t="str">
        <f>IF(MWR220 = "", "", IFERROR(MWR220 / SUMIFS(Aux_Totales!$N:$N, Aux_Totales!$F:$F, $F224, Aux_Totales!$A:$A,#REF!), 0))</f>
        <v/>
      </c>
      <c r="MWS224" s="19" t="str">
        <f>IF(MWS220 = "", "", IFERROR(MWS220 / SUMIFS(Aux_Totales!$N:$N, Aux_Totales!$F:$F, $F224, Aux_Totales!$A:$A,#REF!), 0))</f>
        <v/>
      </c>
      <c r="MWT224" s="19" t="str">
        <f>IF(MWT220 = "", "", IFERROR(MWT220 / SUMIFS(Aux_Totales!$N:$N, Aux_Totales!$F:$F, $F224, Aux_Totales!$A:$A,#REF!), 0))</f>
        <v/>
      </c>
      <c r="MWU224" s="19" t="str">
        <f>IF(MWU220 = "", "", IFERROR(MWU220 / SUMIFS(Aux_Totales!$N:$N, Aux_Totales!$F:$F, $F224, Aux_Totales!$A:$A,#REF!), 0))</f>
        <v/>
      </c>
      <c r="MWV224" s="19" t="str">
        <f>IF(MWV220 = "", "", IFERROR(MWV220 / SUMIFS(Aux_Totales!$N:$N, Aux_Totales!$F:$F, $F224, Aux_Totales!$A:$A,#REF!), 0))</f>
        <v/>
      </c>
      <c r="MWW224" s="19" t="str">
        <f>IF(MWW220 = "", "", IFERROR(MWW220 / SUMIFS(Aux_Totales!$N:$N, Aux_Totales!$F:$F, $F224, Aux_Totales!$A:$A,#REF!), 0))</f>
        <v/>
      </c>
      <c r="MWX224" s="19" t="str">
        <f>IF(MWX220 = "", "", IFERROR(MWX220 / SUMIFS(Aux_Totales!$N:$N, Aux_Totales!$F:$F, $F224, Aux_Totales!$A:$A,#REF!), 0))</f>
        <v/>
      </c>
      <c r="MWY224" s="19" t="str">
        <f>IF(MWY220 = "", "", IFERROR(MWY220 / SUMIFS(Aux_Totales!$N:$N, Aux_Totales!$F:$F, $F224, Aux_Totales!$A:$A,#REF!), 0))</f>
        <v/>
      </c>
      <c r="MWZ224" s="19" t="str">
        <f>IF(MWZ220 = "", "", IFERROR(MWZ220 / SUMIFS(Aux_Totales!$N:$N, Aux_Totales!$F:$F, $F224, Aux_Totales!$A:$A,#REF!), 0))</f>
        <v/>
      </c>
      <c r="MXA224" s="19" t="str">
        <f>IF(MXA220 = "", "", IFERROR(MXA220 / SUMIFS(Aux_Totales!$N:$N, Aux_Totales!$F:$F, $F224, Aux_Totales!$A:$A,#REF!), 0))</f>
        <v/>
      </c>
      <c r="MXB224" s="19" t="str">
        <f>IF(MXB220 = "", "", IFERROR(MXB220 / SUMIFS(Aux_Totales!$N:$N, Aux_Totales!$F:$F, $F224, Aux_Totales!$A:$A,#REF!), 0))</f>
        <v/>
      </c>
      <c r="MXC224" s="19" t="str">
        <f>IF(MXC220 = "", "", IFERROR(MXC220 / SUMIFS(Aux_Totales!$N:$N, Aux_Totales!$F:$F, $F224, Aux_Totales!$A:$A,#REF!), 0))</f>
        <v/>
      </c>
      <c r="MXD224" s="19" t="str">
        <f>IF(MXD220 = "", "", IFERROR(MXD220 / SUMIFS(Aux_Totales!$N:$N, Aux_Totales!$F:$F, $F224, Aux_Totales!$A:$A,#REF!), 0))</f>
        <v/>
      </c>
      <c r="MXE224" s="19" t="str">
        <f>IF(MXE220 = "", "", IFERROR(MXE220 / SUMIFS(Aux_Totales!$N:$N, Aux_Totales!$F:$F, $F224, Aux_Totales!$A:$A,#REF!), 0))</f>
        <v/>
      </c>
      <c r="MXF224" s="19" t="str">
        <f>IF(MXF220 = "", "", IFERROR(MXF220 / SUMIFS(Aux_Totales!$N:$N, Aux_Totales!$F:$F, $F224, Aux_Totales!$A:$A,#REF!), 0))</f>
        <v/>
      </c>
      <c r="MXG224" s="19" t="str">
        <f>IF(MXG220 = "", "", IFERROR(MXG220 / SUMIFS(Aux_Totales!$N:$N, Aux_Totales!$F:$F, $F224, Aux_Totales!$A:$A,#REF!), 0))</f>
        <v/>
      </c>
      <c r="MXH224" s="19" t="str">
        <f>IF(MXH220 = "", "", IFERROR(MXH220 / SUMIFS(Aux_Totales!$N:$N, Aux_Totales!$F:$F, $F224, Aux_Totales!$A:$A,#REF!), 0))</f>
        <v/>
      </c>
      <c r="MXI224" s="19" t="str">
        <f>IF(MXI220 = "", "", IFERROR(MXI220 / SUMIFS(Aux_Totales!$N:$N, Aux_Totales!$F:$F, $F224, Aux_Totales!$A:$A,#REF!), 0))</f>
        <v/>
      </c>
      <c r="MXJ224" s="19" t="str">
        <f>IF(MXJ220 = "", "", IFERROR(MXJ220 / SUMIFS(Aux_Totales!$N:$N, Aux_Totales!$F:$F, $F224, Aux_Totales!$A:$A,#REF!), 0))</f>
        <v/>
      </c>
      <c r="MXK224" s="19" t="str">
        <f>IF(MXK220 = "", "", IFERROR(MXK220 / SUMIFS(Aux_Totales!$N:$N, Aux_Totales!$F:$F, $F224, Aux_Totales!$A:$A,#REF!), 0))</f>
        <v/>
      </c>
      <c r="MXL224" s="19" t="str">
        <f>IF(MXL220 = "", "", IFERROR(MXL220 / SUMIFS(Aux_Totales!$N:$N, Aux_Totales!$F:$F, $F224, Aux_Totales!$A:$A,#REF!), 0))</f>
        <v/>
      </c>
      <c r="MXM224" s="19" t="str">
        <f>IF(MXM220 = "", "", IFERROR(MXM220 / SUMIFS(Aux_Totales!$N:$N, Aux_Totales!$F:$F, $F224, Aux_Totales!$A:$A,#REF!), 0))</f>
        <v/>
      </c>
      <c r="MXN224" s="19" t="str">
        <f>IF(MXN220 = "", "", IFERROR(MXN220 / SUMIFS(Aux_Totales!$N:$N, Aux_Totales!$F:$F, $F224, Aux_Totales!$A:$A,#REF!), 0))</f>
        <v/>
      </c>
      <c r="MXO224" s="19" t="str">
        <f>IF(MXO220 = "", "", IFERROR(MXO220 / SUMIFS(Aux_Totales!$N:$N, Aux_Totales!$F:$F, $F224, Aux_Totales!$A:$A,#REF!), 0))</f>
        <v/>
      </c>
      <c r="MXP224" s="19" t="str">
        <f>IF(MXP220 = "", "", IFERROR(MXP220 / SUMIFS(Aux_Totales!$N:$N, Aux_Totales!$F:$F, $F224, Aux_Totales!$A:$A,#REF!), 0))</f>
        <v/>
      </c>
      <c r="MXQ224" s="19" t="str">
        <f>IF(MXQ220 = "", "", IFERROR(MXQ220 / SUMIFS(Aux_Totales!$N:$N, Aux_Totales!$F:$F, $F224, Aux_Totales!$A:$A,#REF!), 0))</f>
        <v/>
      </c>
      <c r="MXR224" s="19" t="str">
        <f>IF(MXR220 = "", "", IFERROR(MXR220 / SUMIFS(Aux_Totales!$N:$N, Aux_Totales!$F:$F, $F224, Aux_Totales!$A:$A,#REF!), 0))</f>
        <v/>
      </c>
      <c r="MXS224" s="19" t="str">
        <f>IF(MXS220 = "", "", IFERROR(MXS220 / SUMIFS(Aux_Totales!$N:$N, Aux_Totales!$F:$F, $F224, Aux_Totales!$A:$A,#REF!), 0))</f>
        <v/>
      </c>
      <c r="MXT224" s="19" t="str">
        <f>IF(MXT220 = "", "", IFERROR(MXT220 / SUMIFS(Aux_Totales!$N:$N, Aux_Totales!$F:$F, $F224, Aux_Totales!$A:$A,#REF!), 0))</f>
        <v/>
      </c>
      <c r="MXU224" s="19" t="str">
        <f>IF(MXU220 = "", "", IFERROR(MXU220 / SUMIFS(Aux_Totales!$N:$N, Aux_Totales!$F:$F, $F224, Aux_Totales!$A:$A,#REF!), 0))</f>
        <v/>
      </c>
      <c r="MXV224" s="19" t="str">
        <f>IF(MXV220 = "", "", IFERROR(MXV220 / SUMIFS(Aux_Totales!$N:$N, Aux_Totales!$F:$F, $F224, Aux_Totales!$A:$A,#REF!), 0))</f>
        <v/>
      </c>
      <c r="MXW224" s="19" t="str">
        <f>IF(MXW220 = "", "", IFERROR(MXW220 / SUMIFS(Aux_Totales!$N:$N, Aux_Totales!$F:$F, $F224, Aux_Totales!$A:$A,#REF!), 0))</f>
        <v/>
      </c>
      <c r="MXX224" s="19" t="str">
        <f>IF(MXX220 = "", "", IFERROR(MXX220 / SUMIFS(Aux_Totales!$N:$N, Aux_Totales!$F:$F, $F224, Aux_Totales!$A:$A,#REF!), 0))</f>
        <v/>
      </c>
      <c r="MXY224" s="19" t="str">
        <f>IF(MXY220 = "", "", IFERROR(MXY220 / SUMIFS(Aux_Totales!$N:$N, Aux_Totales!$F:$F, $F224, Aux_Totales!$A:$A,#REF!), 0))</f>
        <v/>
      </c>
      <c r="MXZ224" s="19" t="str">
        <f>IF(MXZ220 = "", "", IFERROR(MXZ220 / SUMIFS(Aux_Totales!$N:$N, Aux_Totales!$F:$F, $F224, Aux_Totales!$A:$A,#REF!), 0))</f>
        <v/>
      </c>
      <c r="MYA224" s="19" t="str">
        <f>IF(MYA220 = "", "", IFERROR(MYA220 / SUMIFS(Aux_Totales!$N:$N, Aux_Totales!$F:$F, $F224, Aux_Totales!$A:$A,#REF!), 0))</f>
        <v/>
      </c>
      <c r="MYB224" s="19" t="str">
        <f>IF(MYB220 = "", "", IFERROR(MYB220 / SUMIFS(Aux_Totales!$N:$N, Aux_Totales!$F:$F, $F224, Aux_Totales!$A:$A,#REF!), 0))</f>
        <v/>
      </c>
      <c r="MYC224" s="19" t="str">
        <f>IF(MYC220 = "", "", IFERROR(MYC220 / SUMIFS(Aux_Totales!$N:$N, Aux_Totales!$F:$F, $F224, Aux_Totales!$A:$A,#REF!), 0))</f>
        <v/>
      </c>
      <c r="MYD224" s="19" t="str">
        <f>IF(MYD220 = "", "", IFERROR(MYD220 / SUMIFS(Aux_Totales!$N:$N, Aux_Totales!$F:$F, $F224, Aux_Totales!$A:$A,#REF!), 0))</f>
        <v/>
      </c>
      <c r="MYE224" s="19" t="str">
        <f>IF(MYE220 = "", "", IFERROR(MYE220 / SUMIFS(Aux_Totales!$N:$N, Aux_Totales!$F:$F, $F224, Aux_Totales!$A:$A,#REF!), 0))</f>
        <v/>
      </c>
      <c r="MYF224" s="19" t="str">
        <f>IF(MYF220 = "", "", IFERROR(MYF220 / SUMIFS(Aux_Totales!$N:$N, Aux_Totales!$F:$F, $F224, Aux_Totales!$A:$A,#REF!), 0))</f>
        <v/>
      </c>
      <c r="MYG224" s="19" t="str">
        <f>IF(MYG220 = "", "", IFERROR(MYG220 / SUMIFS(Aux_Totales!$N:$N, Aux_Totales!$F:$F, $F224, Aux_Totales!$A:$A,#REF!), 0))</f>
        <v/>
      </c>
      <c r="MYH224" s="19" t="str">
        <f>IF(MYH220 = "", "", IFERROR(MYH220 / SUMIFS(Aux_Totales!$N:$N, Aux_Totales!$F:$F, $F224, Aux_Totales!$A:$A,#REF!), 0))</f>
        <v/>
      </c>
      <c r="MYI224" s="19" t="str">
        <f>IF(MYI220 = "", "", IFERROR(MYI220 / SUMIFS(Aux_Totales!$N:$N, Aux_Totales!$F:$F, $F224, Aux_Totales!$A:$A,#REF!), 0))</f>
        <v/>
      </c>
      <c r="MYJ224" s="19" t="str">
        <f>IF(MYJ220 = "", "", IFERROR(MYJ220 / SUMIFS(Aux_Totales!$N:$N, Aux_Totales!$F:$F, $F224, Aux_Totales!$A:$A,#REF!), 0))</f>
        <v/>
      </c>
      <c r="MYK224" s="19" t="str">
        <f>IF(MYK220 = "", "", IFERROR(MYK220 / SUMIFS(Aux_Totales!$N:$N, Aux_Totales!$F:$F, $F224, Aux_Totales!$A:$A,#REF!), 0))</f>
        <v/>
      </c>
      <c r="MYL224" s="19" t="str">
        <f>IF(MYL220 = "", "", IFERROR(MYL220 / SUMIFS(Aux_Totales!$N:$N, Aux_Totales!$F:$F, $F224, Aux_Totales!$A:$A,#REF!), 0))</f>
        <v/>
      </c>
      <c r="MYM224" s="19" t="str">
        <f>IF(MYM220 = "", "", IFERROR(MYM220 / SUMIFS(Aux_Totales!$N:$N, Aux_Totales!$F:$F, $F224, Aux_Totales!$A:$A,#REF!), 0))</f>
        <v/>
      </c>
      <c r="MYN224" s="19" t="str">
        <f>IF(MYN220 = "", "", IFERROR(MYN220 / SUMIFS(Aux_Totales!$N:$N, Aux_Totales!$F:$F, $F224, Aux_Totales!$A:$A,#REF!), 0))</f>
        <v/>
      </c>
      <c r="MYO224" s="19" t="str">
        <f>IF(MYO220 = "", "", IFERROR(MYO220 / SUMIFS(Aux_Totales!$N:$N, Aux_Totales!$F:$F, $F224, Aux_Totales!$A:$A,#REF!), 0))</f>
        <v/>
      </c>
      <c r="MYP224" s="19" t="str">
        <f>IF(MYP220 = "", "", IFERROR(MYP220 / SUMIFS(Aux_Totales!$N:$N, Aux_Totales!$F:$F, $F224, Aux_Totales!$A:$A,#REF!), 0))</f>
        <v/>
      </c>
      <c r="MYQ224" s="19" t="str">
        <f>IF(MYQ220 = "", "", IFERROR(MYQ220 / SUMIFS(Aux_Totales!$N:$N, Aux_Totales!$F:$F, $F224, Aux_Totales!$A:$A,#REF!), 0))</f>
        <v/>
      </c>
      <c r="MYR224" s="19" t="str">
        <f>IF(MYR220 = "", "", IFERROR(MYR220 / SUMIFS(Aux_Totales!$N:$N, Aux_Totales!$F:$F, $F224, Aux_Totales!$A:$A,#REF!), 0))</f>
        <v/>
      </c>
      <c r="MYS224" s="19" t="str">
        <f>IF(MYS220 = "", "", IFERROR(MYS220 / SUMIFS(Aux_Totales!$N:$N, Aux_Totales!$F:$F, $F224, Aux_Totales!$A:$A,#REF!), 0))</f>
        <v/>
      </c>
      <c r="MYT224" s="19" t="str">
        <f>IF(MYT220 = "", "", IFERROR(MYT220 / SUMIFS(Aux_Totales!$N:$N, Aux_Totales!$F:$F, $F224, Aux_Totales!$A:$A,#REF!), 0))</f>
        <v/>
      </c>
      <c r="MYU224" s="19" t="str">
        <f>IF(MYU220 = "", "", IFERROR(MYU220 / SUMIFS(Aux_Totales!$N:$N, Aux_Totales!$F:$F, $F224, Aux_Totales!$A:$A,#REF!), 0))</f>
        <v/>
      </c>
      <c r="MYV224" s="19" t="str">
        <f>IF(MYV220 = "", "", IFERROR(MYV220 / SUMIFS(Aux_Totales!$N:$N, Aux_Totales!$F:$F, $F224, Aux_Totales!$A:$A,#REF!), 0))</f>
        <v/>
      </c>
      <c r="MYW224" s="19" t="str">
        <f>IF(MYW220 = "", "", IFERROR(MYW220 / SUMIFS(Aux_Totales!$N:$N, Aux_Totales!$F:$F, $F224, Aux_Totales!$A:$A,#REF!), 0))</f>
        <v/>
      </c>
      <c r="MYX224" s="19" t="str">
        <f>IF(MYX220 = "", "", IFERROR(MYX220 / SUMIFS(Aux_Totales!$N:$N, Aux_Totales!$F:$F, $F224, Aux_Totales!$A:$A,#REF!), 0))</f>
        <v/>
      </c>
      <c r="MYY224" s="19" t="str">
        <f>IF(MYY220 = "", "", IFERROR(MYY220 / SUMIFS(Aux_Totales!$N:$N, Aux_Totales!$F:$F, $F224, Aux_Totales!$A:$A,#REF!), 0))</f>
        <v/>
      </c>
      <c r="MYZ224" s="19" t="str">
        <f>IF(MYZ220 = "", "", IFERROR(MYZ220 / SUMIFS(Aux_Totales!$N:$N, Aux_Totales!$F:$F, $F224, Aux_Totales!$A:$A,#REF!), 0))</f>
        <v/>
      </c>
      <c r="MZA224" s="19" t="str">
        <f>IF(MZA220 = "", "", IFERROR(MZA220 / SUMIFS(Aux_Totales!$N:$N, Aux_Totales!$F:$F, $F224, Aux_Totales!$A:$A,#REF!), 0))</f>
        <v/>
      </c>
      <c r="MZB224" s="19" t="str">
        <f>IF(MZB220 = "", "", IFERROR(MZB220 / SUMIFS(Aux_Totales!$N:$N, Aux_Totales!$F:$F, $F224, Aux_Totales!$A:$A,#REF!), 0))</f>
        <v/>
      </c>
      <c r="MZC224" s="19" t="str">
        <f>IF(MZC220 = "", "", IFERROR(MZC220 / SUMIFS(Aux_Totales!$N:$N, Aux_Totales!$F:$F, $F224, Aux_Totales!$A:$A,#REF!), 0))</f>
        <v/>
      </c>
      <c r="MZD224" s="19" t="str">
        <f>IF(MZD220 = "", "", IFERROR(MZD220 / SUMIFS(Aux_Totales!$N:$N, Aux_Totales!$F:$F, $F224, Aux_Totales!$A:$A,#REF!), 0))</f>
        <v/>
      </c>
      <c r="MZE224" s="19" t="str">
        <f>IF(MZE220 = "", "", IFERROR(MZE220 / SUMIFS(Aux_Totales!$N:$N, Aux_Totales!$F:$F, $F224, Aux_Totales!$A:$A,#REF!), 0))</f>
        <v/>
      </c>
      <c r="MZF224" s="19" t="str">
        <f>IF(MZF220 = "", "", IFERROR(MZF220 / SUMIFS(Aux_Totales!$N:$N, Aux_Totales!$F:$F, $F224, Aux_Totales!$A:$A,#REF!), 0))</f>
        <v/>
      </c>
      <c r="MZG224" s="19" t="str">
        <f>IF(MZG220 = "", "", IFERROR(MZG220 / SUMIFS(Aux_Totales!$N:$N, Aux_Totales!$F:$F, $F224, Aux_Totales!$A:$A,#REF!), 0))</f>
        <v/>
      </c>
      <c r="MZH224" s="19" t="str">
        <f>IF(MZH220 = "", "", IFERROR(MZH220 / SUMIFS(Aux_Totales!$N:$N, Aux_Totales!$F:$F, $F224, Aux_Totales!$A:$A,#REF!), 0))</f>
        <v/>
      </c>
      <c r="MZI224" s="19" t="str">
        <f>IF(MZI220 = "", "", IFERROR(MZI220 / SUMIFS(Aux_Totales!$N:$N, Aux_Totales!$F:$F, $F224, Aux_Totales!$A:$A,#REF!), 0))</f>
        <v/>
      </c>
      <c r="MZJ224" s="19" t="str">
        <f>IF(MZJ220 = "", "", IFERROR(MZJ220 / SUMIFS(Aux_Totales!$N:$N, Aux_Totales!$F:$F, $F224, Aux_Totales!$A:$A,#REF!), 0))</f>
        <v/>
      </c>
      <c r="MZK224" s="19" t="str">
        <f>IF(MZK220 = "", "", IFERROR(MZK220 / SUMIFS(Aux_Totales!$N:$N, Aux_Totales!$F:$F, $F224, Aux_Totales!$A:$A,#REF!), 0))</f>
        <v/>
      </c>
      <c r="MZL224" s="19" t="str">
        <f>IF(MZL220 = "", "", IFERROR(MZL220 / SUMIFS(Aux_Totales!$N:$N, Aux_Totales!$F:$F, $F224, Aux_Totales!$A:$A,#REF!), 0))</f>
        <v/>
      </c>
      <c r="MZM224" s="19" t="str">
        <f>IF(MZM220 = "", "", IFERROR(MZM220 / SUMIFS(Aux_Totales!$N:$N, Aux_Totales!$F:$F, $F224, Aux_Totales!$A:$A,#REF!), 0))</f>
        <v/>
      </c>
      <c r="MZN224" s="19" t="str">
        <f>IF(MZN220 = "", "", IFERROR(MZN220 / SUMIFS(Aux_Totales!$N:$N, Aux_Totales!$F:$F, $F224, Aux_Totales!$A:$A,#REF!), 0))</f>
        <v/>
      </c>
      <c r="MZO224" s="19" t="str">
        <f>IF(MZO220 = "", "", IFERROR(MZO220 / SUMIFS(Aux_Totales!$N:$N, Aux_Totales!$F:$F, $F224, Aux_Totales!$A:$A,#REF!), 0))</f>
        <v/>
      </c>
      <c r="MZP224" s="19" t="str">
        <f>IF(MZP220 = "", "", IFERROR(MZP220 / SUMIFS(Aux_Totales!$N:$N, Aux_Totales!$F:$F, $F224, Aux_Totales!$A:$A,#REF!), 0))</f>
        <v/>
      </c>
      <c r="MZQ224" s="19" t="str">
        <f>IF(MZQ220 = "", "", IFERROR(MZQ220 / SUMIFS(Aux_Totales!$N:$N, Aux_Totales!$F:$F, $F224, Aux_Totales!$A:$A,#REF!), 0))</f>
        <v/>
      </c>
      <c r="MZR224" s="19" t="str">
        <f>IF(MZR220 = "", "", IFERROR(MZR220 / SUMIFS(Aux_Totales!$N:$N, Aux_Totales!$F:$F, $F224, Aux_Totales!$A:$A,#REF!), 0))</f>
        <v/>
      </c>
      <c r="MZS224" s="19" t="str">
        <f>IF(MZS220 = "", "", IFERROR(MZS220 / SUMIFS(Aux_Totales!$N:$N, Aux_Totales!$F:$F, $F224, Aux_Totales!$A:$A,#REF!), 0))</f>
        <v/>
      </c>
      <c r="MZT224" s="19" t="str">
        <f>IF(MZT220 = "", "", IFERROR(MZT220 / SUMIFS(Aux_Totales!$N:$N, Aux_Totales!$F:$F, $F224, Aux_Totales!$A:$A,#REF!), 0))</f>
        <v/>
      </c>
      <c r="MZU224" s="19" t="str">
        <f>IF(MZU220 = "", "", IFERROR(MZU220 / SUMIFS(Aux_Totales!$N:$N, Aux_Totales!$F:$F, $F224, Aux_Totales!$A:$A,#REF!), 0))</f>
        <v/>
      </c>
      <c r="MZV224" s="19" t="str">
        <f>IF(MZV220 = "", "", IFERROR(MZV220 / SUMIFS(Aux_Totales!$N:$N, Aux_Totales!$F:$F, $F224, Aux_Totales!$A:$A,#REF!), 0))</f>
        <v/>
      </c>
      <c r="MZW224" s="19" t="str">
        <f>IF(MZW220 = "", "", IFERROR(MZW220 / SUMIFS(Aux_Totales!$N:$N, Aux_Totales!$F:$F, $F224, Aux_Totales!$A:$A,#REF!), 0))</f>
        <v/>
      </c>
      <c r="MZX224" s="19" t="str">
        <f>IF(MZX220 = "", "", IFERROR(MZX220 / SUMIFS(Aux_Totales!$N:$N, Aux_Totales!$F:$F, $F224, Aux_Totales!$A:$A,#REF!), 0))</f>
        <v/>
      </c>
      <c r="MZY224" s="19" t="str">
        <f>IF(MZY220 = "", "", IFERROR(MZY220 / SUMIFS(Aux_Totales!$N:$N, Aux_Totales!$F:$F, $F224, Aux_Totales!$A:$A,#REF!), 0))</f>
        <v/>
      </c>
      <c r="MZZ224" s="19" t="str">
        <f>IF(MZZ220 = "", "", IFERROR(MZZ220 / SUMIFS(Aux_Totales!$N:$N, Aux_Totales!$F:$F, $F224, Aux_Totales!$A:$A,#REF!), 0))</f>
        <v/>
      </c>
      <c r="NAA224" s="19" t="str">
        <f>IF(NAA220 = "", "", IFERROR(NAA220 / SUMIFS(Aux_Totales!$N:$N, Aux_Totales!$F:$F, $F224, Aux_Totales!$A:$A,#REF!), 0))</f>
        <v/>
      </c>
      <c r="NAB224" s="19" t="str">
        <f>IF(NAB220 = "", "", IFERROR(NAB220 / SUMIFS(Aux_Totales!$N:$N, Aux_Totales!$F:$F, $F224, Aux_Totales!$A:$A,#REF!), 0))</f>
        <v/>
      </c>
      <c r="NAC224" s="19" t="str">
        <f>IF(NAC220 = "", "", IFERROR(NAC220 / SUMIFS(Aux_Totales!$N:$N, Aux_Totales!$F:$F, $F224, Aux_Totales!$A:$A,#REF!), 0))</f>
        <v/>
      </c>
      <c r="NAD224" s="19" t="str">
        <f>IF(NAD220 = "", "", IFERROR(NAD220 / SUMIFS(Aux_Totales!$N:$N, Aux_Totales!$F:$F, $F224, Aux_Totales!$A:$A,#REF!), 0))</f>
        <v/>
      </c>
      <c r="NAE224" s="19" t="str">
        <f>IF(NAE220 = "", "", IFERROR(NAE220 / SUMIFS(Aux_Totales!$N:$N, Aux_Totales!$F:$F, $F224, Aux_Totales!$A:$A,#REF!), 0))</f>
        <v/>
      </c>
      <c r="NAF224" s="19" t="str">
        <f>IF(NAF220 = "", "", IFERROR(NAF220 / SUMIFS(Aux_Totales!$N:$N, Aux_Totales!$F:$F, $F224, Aux_Totales!$A:$A,#REF!), 0))</f>
        <v/>
      </c>
      <c r="NAG224" s="19" t="str">
        <f>IF(NAG220 = "", "", IFERROR(NAG220 / SUMIFS(Aux_Totales!$N:$N, Aux_Totales!$F:$F, $F224, Aux_Totales!$A:$A,#REF!), 0))</f>
        <v/>
      </c>
      <c r="NAH224" s="19" t="str">
        <f>IF(NAH220 = "", "", IFERROR(NAH220 / SUMIFS(Aux_Totales!$N:$N, Aux_Totales!$F:$F, $F224, Aux_Totales!$A:$A,#REF!), 0))</f>
        <v/>
      </c>
      <c r="NAI224" s="19" t="str">
        <f>IF(NAI220 = "", "", IFERROR(NAI220 / SUMIFS(Aux_Totales!$N:$N, Aux_Totales!$F:$F, $F224, Aux_Totales!$A:$A,#REF!), 0))</f>
        <v/>
      </c>
      <c r="NAJ224" s="19" t="str">
        <f>IF(NAJ220 = "", "", IFERROR(NAJ220 / SUMIFS(Aux_Totales!$N:$N, Aux_Totales!$F:$F, $F224, Aux_Totales!$A:$A,#REF!), 0))</f>
        <v/>
      </c>
      <c r="NAK224" s="19" t="str">
        <f>IF(NAK220 = "", "", IFERROR(NAK220 / SUMIFS(Aux_Totales!$N:$N, Aux_Totales!$F:$F, $F224, Aux_Totales!$A:$A,#REF!), 0))</f>
        <v/>
      </c>
      <c r="NAL224" s="19" t="str">
        <f>IF(NAL220 = "", "", IFERROR(NAL220 / SUMIFS(Aux_Totales!$N:$N, Aux_Totales!$F:$F, $F224, Aux_Totales!$A:$A,#REF!), 0))</f>
        <v/>
      </c>
      <c r="NAM224" s="19" t="str">
        <f>IF(NAM220 = "", "", IFERROR(NAM220 / SUMIFS(Aux_Totales!$N:$N, Aux_Totales!$F:$F, $F224, Aux_Totales!$A:$A,#REF!), 0))</f>
        <v/>
      </c>
      <c r="NAN224" s="19" t="str">
        <f>IF(NAN220 = "", "", IFERROR(NAN220 / SUMIFS(Aux_Totales!$N:$N, Aux_Totales!$F:$F, $F224, Aux_Totales!$A:$A,#REF!), 0))</f>
        <v/>
      </c>
      <c r="NAO224" s="19" t="str">
        <f>IF(NAO220 = "", "", IFERROR(NAO220 / SUMIFS(Aux_Totales!$N:$N, Aux_Totales!$F:$F, $F224, Aux_Totales!$A:$A,#REF!), 0))</f>
        <v/>
      </c>
      <c r="NAP224" s="19" t="str">
        <f>IF(NAP220 = "", "", IFERROR(NAP220 / SUMIFS(Aux_Totales!$N:$N, Aux_Totales!$F:$F, $F224, Aux_Totales!$A:$A,#REF!), 0))</f>
        <v/>
      </c>
      <c r="NAQ224" s="19" t="str">
        <f>IF(NAQ220 = "", "", IFERROR(NAQ220 / SUMIFS(Aux_Totales!$N:$N, Aux_Totales!$F:$F, $F224, Aux_Totales!$A:$A,#REF!), 0))</f>
        <v/>
      </c>
      <c r="NAR224" s="19" t="str">
        <f>IF(NAR220 = "", "", IFERROR(NAR220 / SUMIFS(Aux_Totales!$N:$N, Aux_Totales!$F:$F, $F224, Aux_Totales!$A:$A,#REF!), 0))</f>
        <v/>
      </c>
      <c r="NAS224" s="19" t="str">
        <f>IF(NAS220 = "", "", IFERROR(NAS220 / SUMIFS(Aux_Totales!$N:$N, Aux_Totales!$F:$F, $F224, Aux_Totales!$A:$A,#REF!), 0))</f>
        <v/>
      </c>
      <c r="NAT224" s="19" t="str">
        <f>IF(NAT220 = "", "", IFERROR(NAT220 / SUMIFS(Aux_Totales!$N:$N, Aux_Totales!$F:$F, $F224, Aux_Totales!$A:$A,#REF!), 0))</f>
        <v/>
      </c>
      <c r="NAU224" s="19" t="str">
        <f>IF(NAU220 = "", "", IFERROR(NAU220 / SUMIFS(Aux_Totales!$N:$N, Aux_Totales!$F:$F, $F224, Aux_Totales!$A:$A,#REF!), 0))</f>
        <v/>
      </c>
      <c r="NAV224" s="19" t="str">
        <f>IF(NAV220 = "", "", IFERROR(NAV220 / SUMIFS(Aux_Totales!$N:$N, Aux_Totales!$F:$F, $F224, Aux_Totales!$A:$A,#REF!), 0))</f>
        <v/>
      </c>
      <c r="NAW224" s="19" t="str">
        <f>IF(NAW220 = "", "", IFERROR(NAW220 / SUMIFS(Aux_Totales!$N:$N, Aux_Totales!$F:$F, $F224, Aux_Totales!$A:$A,#REF!), 0))</f>
        <v/>
      </c>
      <c r="NAX224" s="19" t="str">
        <f>IF(NAX220 = "", "", IFERROR(NAX220 / SUMIFS(Aux_Totales!$N:$N, Aux_Totales!$F:$F, $F224, Aux_Totales!$A:$A,#REF!), 0))</f>
        <v/>
      </c>
      <c r="NAY224" s="19" t="str">
        <f>IF(NAY220 = "", "", IFERROR(NAY220 / SUMIFS(Aux_Totales!$N:$N, Aux_Totales!$F:$F, $F224, Aux_Totales!$A:$A,#REF!), 0))</f>
        <v/>
      </c>
      <c r="NAZ224" s="19" t="str">
        <f>IF(NAZ220 = "", "", IFERROR(NAZ220 / SUMIFS(Aux_Totales!$N:$N, Aux_Totales!$F:$F, $F224, Aux_Totales!$A:$A,#REF!), 0))</f>
        <v/>
      </c>
      <c r="NBA224" s="19" t="str">
        <f>IF(NBA220 = "", "", IFERROR(NBA220 / SUMIFS(Aux_Totales!$N:$N, Aux_Totales!$F:$F, $F224, Aux_Totales!$A:$A,#REF!), 0))</f>
        <v/>
      </c>
      <c r="NBB224" s="19" t="str">
        <f>IF(NBB220 = "", "", IFERROR(NBB220 / SUMIFS(Aux_Totales!$N:$N, Aux_Totales!$F:$F, $F224, Aux_Totales!$A:$A,#REF!), 0))</f>
        <v/>
      </c>
      <c r="NBC224" s="19" t="str">
        <f>IF(NBC220 = "", "", IFERROR(NBC220 / SUMIFS(Aux_Totales!$N:$N, Aux_Totales!$F:$F, $F224, Aux_Totales!$A:$A,#REF!), 0))</f>
        <v/>
      </c>
      <c r="NBD224" s="19" t="str">
        <f>IF(NBD220 = "", "", IFERROR(NBD220 / SUMIFS(Aux_Totales!$N:$N, Aux_Totales!$F:$F, $F224, Aux_Totales!$A:$A,#REF!), 0))</f>
        <v/>
      </c>
      <c r="NBE224" s="19" t="str">
        <f>IF(NBE220 = "", "", IFERROR(NBE220 / SUMIFS(Aux_Totales!$N:$N, Aux_Totales!$F:$F, $F224, Aux_Totales!$A:$A,#REF!), 0))</f>
        <v/>
      </c>
      <c r="NBF224" s="19" t="str">
        <f>IF(NBF220 = "", "", IFERROR(NBF220 / SUMIFS(Aux_Totales!$N:$N, Aux_Totales!$F:$F, $F224, Aux_Totales!$A:$A,#REF!), 0))</f>
        <v/>
      </c>
      <c r="NBG224" s="19" t="str">
        <f>IF(NBG220 = "", "", IFERROR(NBG220 / SUMIFS(Aux_Totales!$N:$N, Aux_Totales!$F:$F, $F224, Aux_Totales!$A:$A,#REF!), 0))</f>
        <v/>
      </c>
      <c r="NBH224" s="19" t="str">
        <f>IF(NBH220 = "", "", IFERROR(NBH220 / SUMIFS(Aux_Totales!$N:$N, Aux_Totales!$F:$F, $F224, Aux_Totales!$A:$A,#REF!), 0))</f>
        <v/>
      </c>
      <c r="NBI224" s="19" t="str">
        <f>IF(NBI220 = "", "", IFERROR(NBI220 / SUMIFS(Aux_Totales!$N:$N, Aux_Totales!$F:$F, $F224, Aux_Totales!$A:$A,#REF!), 0))</f>
        <v/>
      </c>
      <c r="NBJ224" s="19" t="str">
        <f>IF(NBJ220 = "", "", IFERROR(NBJ220 / SUMIFS(Aux_Totales!$N:$N, Aux_Totales!$F:$F, $F224, Aux_Totales!$A:$A,#REF!), 0))</f>
        <v/>
      </c>
      <c r="NBK224" s="19" t="str">
        <f>IF(NBK220 = "", "", IFERROR(NBK220 / SUMIFS(Aux_Totales!$N:$N, Aux_Totales!$F:$F, $F224, Aux_Totales!$A:$A,#REF!), 0))</f>
        <v/>
      </c>
      <c r="NBL224" s="19" t="str">
        <f>IF(NBL220 = "", "", IFERROR(NBL220 / SUMIFS(Aux_Totales!$N:$N, Aux_Totales!$F:$F, $F224, Aux_Totales!$A:$A,#REF!), 0))</f>
        <v/>
      </c>
      <c r="NBM224" s="19" t="str">
        <f>IF(NBM220 = "", "", IFERROR(NBM220 / SUMIFS(Aux_Totales!$N:$N, Aux_Totales!$F:$F, $F224, Aux_Totales!$A:$A,#REF!), 0))</f>
        <v/>
      </c>
      <c r="NBN224" s="19" t="str">
        <f>IF(NBN220 = "", "", IFERROR(NBN220 / SUMIFS(Aux_Totales!$N:$N, Aux_Totales!$F:$F, $F224, Aux_Totales!$A:$A,#REF!), 0))</f>
        <v/>
      </c>
      <c r="NBO224" s="19" t="str">
        <f>IF(NBO220 = "", "", IFERROR(NBO220 / SUMIFS(Aux_Totales!$N:$N, Aux_Totales!$F:$F, $F224, Aux_Totales!$A:$A,#REF!), 0))</f>
        <v/>
      </c>
      <c r="NBP224" s="19" t="str">
        <f>IF(NBP220 = "", "", IFERROR(NBP220 / SUMIFS(Aux_Totales!$N:$N, Aux_Totales!$F:$F, $F224, Aux_Totales!$A:$A,#REF!), 0))</f>
        <v/>
      </c>
      <c r="NBQ224" s="19" t="str">
        <f>IF(NBQ220 = "", "", IFERROR(NBQ220 / SUMIFS(Aux_Totales!$N:$N, Aux_Totales!$F:$F, $F224, Aux_Totales!$A:$A,#REF!), 0))</f>
        <v/>
      </c>
      <c r="NBR224" s="19" t="str">
        <f>IF(NBR220 = "", "", IFERROR(NBR220 / SUMIFS(Aux_Totales!$N:$N, Aux_Totales!$F:$F, $F224, Aux_Totales!$A:$A,#REF!), 0))</f>
        <v/>
      </c>
      <c r="NBS224" s="19" t="str">
        <f>IF(NBS220 = "", "", IFERROR(NBS220 / SUMIFS(Aux_Totales!$N:$N, Aux_Totales!$F:$F, $F224, Aux_Totales!$A:$A,#REF!), 0))</f>
        <v/>
      </c>
      <c r="NBT224" s="19" t="str">
        <f>IF(NBT220 = "", "", IFERROR(NBT220 / SUMIFS(Aux_Totales!$N:$N, Aux_Totales!$F:$F, $F224, Aux_Totales!$A:$A,#REF!), 0))</f>
        <v/>
      </c>
      <c r="NBU224" s="19" t="str">
        <f>IF(NBU220 = "", "", IFERROR(NBU220 / SUMIFS(Aux_Totales!$N:$N, Aux_Totales!$F:$F, $F224, Aux_Totales!$A:$A,#REF!), 0))</f>
        <v/>
      </c>
      <c r="NBV224" s="19" t="str">
        <f>IF(NBV220 = "", "", IFERROR(NBV220 / SUMIFS(Aux_Totales!$N:$N, Aux_Totales!$F:$F, $F224, Aux_Totales!$A:$A,#REF!), 0))</f>
        <v/>
      </c>
      <c r="NBW224" s="19" t="str">
        <f>IF(NBW220 = "", "", IFERROR(NBW220 / SUMIFS(Aux_Totales!$N:$N, Aux_Totales!$F:$F, $F224, Aux_Totales!$A:$A,#REF!), 0))</f>
        <v/>
      </c>
      <c r="NBX224" s="19" t="str">
        <f>IF(NBX220 = "", "", IFERROR(NBX220 / SUMIFS(Aux_Totales!$N:$N, Aux_Totales!$F:$F, $F224, Aux_Totales!$A:$A,#REF!), 0))</f>
        <v/>
      </c>
      <c r="NBY224" s="19" t="str">
        <f>IF(NBY220 = "", "", IFERROR(NBY220 / SUMIFS(Aux_Totales!$N:$N, Aux_Totales!$F:$F, $F224, Aux_Totales!$A:$A,#REF!), 0))</f>
        <v/>
      </c>
      <c r="NBZ224" s="19" t="str">
        <f>IF(NBZ220 = "", "", IFERROR(NBZ220 / SUMIFS(Aux_Totales!$N:$N, Aux_Totales!$F:$F, $F224, Aux_Totales!$A:$A,#REF!), 0))</f>
        <v/>
      </c>
      <c r="NCA224" s="19" t="str">
        <f>IF(NCA220 = "", "", IFERROR(NCA220 / SUMIFS(Aux_Totales!$N:$N, Aux_Totales!$F:$F, $F224, Aux_Totales!$A:$A,#REF!), 0))</f>
        <v/>
      </c>
      <c r="NCB224" s="19" t="str">
        <f>IF(NCB220 = "", "", IFERROR(NCB220 / SUMIFS(Aux_Totales!$N:$N, Aux_Totales!$F:$F, $F224, Aux_Totales!$A:$A,#REF!), 0))</f>
        <v/>
      </c>
      <c r="NCC224" s="19" t="str">
        <f>IF(NCC220 = "", "", IFERROR(NCC220 / SUMIFS(Aux_Totales!$N:$N, Aux_Totales!$F:$F, $F224, Aux_Totales!$A:$A,#REF!), 0))</f>
        <v/>
      </c>
      <c r="NCD224" s="19" t="str">
        <f>IF(NCD220 = "", "", IFERROR(NCD220 / SUMIFS(Aux_Totales!$N:$N, Aux_Totales!$F:$F, $F224, Aux_Totales!$A:$A,#REF!), 0))</f>
        <v/>
      </c>
      <c r="NCE224" s="19" t="str">
        <f>IF(NCE220 = "", "", IFERROR(NCE220 / SUMIFS(Aux_Totales!$N:$N, Aux_Totales!$F:$F, $F224, Aux_Totales!$A:$A,#REF!), 0))</f>
        <v/>
      </c>
      <c r="NCF224" s="19" t="str">
        <f>IF(NCF220 = "", "", IFERROR(NCF220 / SUMIFS(Aux_Totales!$N:$N, Aux_Totales!$F:$F, $F224, Aux_Totales!$A:$A,#REF!), 0))</f>
        <v/>
      </c>
      <c r="NCG224" s="19" t="str">
        <f>IF(NCG220 = "", "", IFERROR(NCG220 / SUMIFS(Aux_Totales!$N:$N, Aux_Totales!$F:$F, $F224, Aux_Totales!$A:$A,#REF!), 0))</f>
        <v/>
      </c>
      <c r="NCH224" s="19" t="str">
        <f>IF(NCH220 = "", "", IFERROR(NCH220 / SUMIFS(Aux_Totales!$N:$N, Aux_Totales!$F:$F, $F224, Aux_Totales!$A:$A,#REF!), 0))</f>
        <v/>
      </c>
      <c r="NCI224" s="19" t="str">
        <f>IF(NCI220 = "", "", IFERROR(NCI220 / SUMIFS(Aux_Totales!$N:$N, Aux_Totales!$F:$F, $F224, Aux_Totales!$A:$A,#REF!), 0))</f>
        <v/>
      </c>
      <c r="NCJ224" s="19" t="str">
        <f>IF(NCJ220 = "", "", IFERROR(NCJ220 / SUMIFS(Aux_Totales!$N:$N, Aux_Totales!$F:$F, $F224, Aux_Totales!$A:$A,#REF!), 0))</f>
        <v/>
      </c>
      <c r="NCK224" s="19" t="str">
        <f>IF(NCK220 = "", "", IFERROR(NCK220 / SUMIFS(Aux_Totales!$N:$N, Aux_Totales!$F:$F, $F224, Aux_Totales!$A:$A,#REF!), 0))</f>
        <v/>
      </c>
      <c r="NCL224" s="19" t="str">
        <f>IF(NCL220 = "", "", IFERROR(NCL220 / SUMIFS(Aux_Totales!$N:$N, Aux_Totales!$F:$F, $F224, Aux_Totales!$A:$A,#REF!), 0))</f>
        <v/>
      </c>
      <c r="NCM224" s="19" t="str">
        <f>IF(NCM220 = "", "", IFERROR(NCM220 / SUMIFS(Aux_Totales!$N:$N, Aux_Totales!$F:$F, $F224, Aux_Totales!$A:$A,#REF!), 0))</f>
        <v/>
      </c>
      <c r="NCN224" s="19" t="str">
        <f>IF(NCN220 = "", "", IFERROR(NCN220 / SUMIFS(Aux_Totales!$N:$N, Aux_Totales!$F:$F, $F224, Aux_Totales!$A:$A,#REF!), 0))</f>
        <v/>
      </c>
      <c r="NCO224" s="19" t="str">
        <f>IF(NCO220 = "", "", IFERROR(NCO220 / SUMIFS(Aux_Totales!$N:$N, Aux_Totales!$F:$F, $F224, Aux_Totales!$A:$A,#REF!), 0))</f>
        <v/>
      </c>
      <c r="NCP224" s="19" t="str">
        <f>IF(NCP220 = "", "", IFERROR(NCP220 / SUMIFS(Aux_Totales!$N:$N, Aux_Totales!$F:$F, $F224, Aux_Totales!$A:$A,#REF!), 0))</f>
        <v/>
      </c>
      <c r="NCQ224" s="19" t="str">
        <f>IF(NCQ220 = "", "", IFERROR(NCQ220 / SUMIFS(Aux_Totales!$N:$N, Aux_Totales!$F:$F, $F224, Aux_Totales!$A:$A,#REF!), 0))</f>
        <v/>
      </c>
      <c r="NCR224" s="19" t="str">
        <f>IF(NCR220 = "", "", IFERROR(NCR220 / SUMIFS(Aux_Totales!$N:$N, Aux_Totales!$F:$F, $F224, Aux_Totales!$A:$A,#REF!), 0))</f>
        <v/>
      </c>
      <c r="NCS224" s="19" t="str">
        <f>IF(NCS220 = "", "", IFERROR(NCS220 / SUMIFS(Aux_Totales!$N:$N, Aux_Totales!$F:$F, $F224, Aux_Totales!$A:$A,#REF!), 0))</f>
        <v/>
      </c>
      <c r="NCT224" s="19" t="str">
        <f>IF(NCT220 = "", "", IFERROR(NCT220 / SUMIFS(Aux_Totales!$N:$N, Aux_Totales!$F:$F, $F224, Aux_Totales!$A:$A,#REF!), 0))</f>
        <v/>
      </c>
      <c r="NCU224" s="19" t="str">
        <f>IF(NCU220 = "", "", IFERROR(NCU220 / SUMIFS(Aux_Totales!$N:$N, Aux_Totales!$F:$F, $F224, Aux_Totales!$A:$A,#REF!), 0))</f>
        <v/>
      </c>
      <c r="NCV224" s="19" t="str">
        <f>IF(NCV220 = "", "", IFERROR(NCV220 / SUMIFS(Aux_Totales!$N:$N, Aux_Totales!$F:$F, $F224, Aux_Totales!$A:$A,#REF!), 0))</f>
        <v/>
      </c>
      <c r="NCW224" s="19" t="str">
        <f>IF(NCW220 = "", "", IFERROR(NCW220 / SUMIFS(Aux_Totales!$N:$N, Aux_Totales!$F:$F, $F224, Aux_Totales!$A:$A,#REF!), 0))</f>
        <v/>
      </c>
      <c r="NCX224" s="19" t="str">
        <f>IF(NCX220 = "", "", IFERROR(NCX220 / SUMIFS(Aux_Totales!$N:$N, Aux_Totales!$F:$F, $F224, Aux_Totales!$A:$A,#REF!), 0))</f>
        <v/>
      </c>
      <c r="NCY224" s="19" t="str">
        <f>IF(NCY220 = "", "", IFERROR(NCY220 / SUMIFS(Aux_Totales!$N:$N, Aux_Totales!$F:$F, $F224, Aux_Totales!$A:$A,#REF!), 0))</f>
        <v/>
      </c>
      <c r="NCZ224" s="19" t="str">
        <f>IF(NCZ220 = "", "", IFERROR(NCZ220 / SUMIFS(Aux_Totales!$N:$N, Aux_Totales!$F:$F, $F224, Aux_Totales!$A:$A,#REF!), 0))</f>
        <v/>
      </c>
      <c r="NDA224" s="19" t="str">
        <f>IF(NDA220 = "", "", IFERROR(NDA220 / SUMIFS(Aux_Totales!$N:$N, Aux_Totales!$F:$F, $F224, Aux_Totales!$A:$A,#REF!), 0))</f>
        <v/>
      </c>
      <c r="NDB224" s="19" t="str">
        <f>IF(NDB220 = "", "", IFERROR(NDB220 / SUMIFS(Aux_Totales!$N:$N, Aux_Totales!$F:$F, $F224, Aux_Totales!$A:$A,#REF!), 0))</f>
        <v/>
      </c>
      <c r="NDC224" s="19" t="str">
        <f>IF(NDC220 = "", "", IFERROR(NDC220 / SUMIFS(Aux_Totales!$N:$N, Aux_Totales!$F:$F, $F224, Aux_Totales!$A:$A,#REF!), 0))</f>
        <v/>
      </c>
      <c r="NDD224" s="19" t="str">
        <f>IF(NDD220 = "", "", IFERROR(NDD220 / SUMIFS(Aux_Totales!$N:$N, Aux_Totales!$F:$F, $F224, Aux_Totales!$A:$A,#REF!), 0))</f>
        <v/>
      </c>
      <c r="NDE224" s="19" t="str">
        <f>IF(NDE220 = "", "", IFERROR(NDE220 / SUMIFS(Aux_Totales!$N:$N, Aux_Totales!$F:$F, $F224, Aux_Totales!$A:$A,#REF!), 0))</f>
        <v/>
      </c>
      <c r="NDF224" s="19" t="str">
        <f>IF(NDF220 = "", "", IFERROR(NDF220 / SUMIFS(Aux_Totales!$N:$N, Aux_Totales!$F:$F, $F224, Aux_Totales!$A:$A,#REF!), 0))</f>
        <v/>
      </c>
      <c r="NDG224" s="19" t="str">
        <f>IF(NDG220 = "", "", IFERROR(NDG220 / SUMIFS(Aux_Totales!$N:$N, Aux_Totales!$F:$F, $F224, Aux_Totales!$A:$A,#REF!), 0))</f>
        <v/>
      </c>
      <c r="NDH224" s="19" t="str">
        <f>IF(NDH220 = "", "", IFERROR(NDH220 / SUMIFS(Aux_Totales!$N:$N, Aux_Totales!$F:$F, $F224, Aux_Totales!$A:$A,#REF!), 0))</f>
        <v/>
      </c>
      <c r="NDI224" s="19" t="str">
        <f>IF(NDI220 = "", "", IFERROR(NDI220 / SUMIFS(Aux_Totales!$N:$N, Aux_Totales!$F:$F, $F224, Aux_Totales!$A:$A,#REF!), 0))</f>
        <v/>
      </c>
      <c r="NDJ224" s="19" t="str">
        <f>IF(NDJ220 = "", "", IFERROR(NDJ220 / SUMIFS(Aux_Totales!$N:$N, Aux_Totales!$F:$F, $F224, Aux_Totales!$A:$A,#REF!), 0))</f>
        <v/>
      </c>
      <c r="NDK224" s="19" t="str">
        <f>IF(NDK220 = "", "", IFERROR(NDK220 / SUMIFS(Aux_Totales!$N:$N, Aux_Totales!$F:$F, $F224, Aux_Totales!$A:$A,#REF!), 0))</f>
        <v/>
      </c>
      <c r="NDL224" s="19" t="str">
        <f>IF(NDL220 = "", "", IFERROR(NDL220 / SUMIFS(Aux_Totales!$N:$N, Aux_Totales!$F:$F, $F224, Aux_Totales!$A:$A,#REF!), 0))</f>
        <v/>
      </c>
      <c r="NDM224" s="19" t="str">
        <f>IF(NDM220 = "", "", IFERROR(NDM220 / SUMIFS(Aux_Totales!$N:$N, Aux_Totales!$F:$F, $F224, Aux_Totales!$A:$A,#REF!), 0))</f>
        <v/>
      </c>
      <c r="NDN224" s="19" t="str">
        <f>IF(NDN220 = "", "", IFERROR(NDN220 / SUMIFS(Aux_Totales!$N:$N, Aux_Totales!$F:$F, $F224, Aux_Totales!$A:$A,#REF!), 0))</f>
        <v/>
      </c>
      <c r="NDO224" s="19" t="str">
        <f>IF(NDO220 = "", "", IFERROR(NDO220 / SUMIFS(Aux_Totales!$N:$N, Aux_Totales!$F:$F, $F224, Aux_Totales!$A:$A,#REF!), 0))</f>
        <v/>
      </c>
      <c r="NDP224" s="19" t="str">
        <f>IF(NDP220 = "", "", IFERROR(NDP220 / SUMIFS(Aux_Totales!$N:$N, Aux_Totales!$F:$F, $F224, Aux_Totales!$A:$A,#REF!), 0))</f>
        <v/>
      </c>
      <c r="NDQ224" s="19" t="str">
        <f>IF(NDQ220 = "", "", IFERROR(NDQ220 / SUMIFS(Aux_Totales!$N:$N, Aux_Totales!$F:$F, $F224, Aux_Totales!$A:$A,#REF!), 0))</f>
        <v/>
      </c>
      <c r="NDR224" s="19" t="str">
        <f>IF(NDR220 = "", "", IFERROR(NDR220 / SUMIFS(Aux_Totales!$N:$N, Aux_Totales!$F:$F, $F224, Aux_Totales!$A:$A,#REF!), 0))</f>
        <v/>
      </c>
      <c r="NDS224" s="19" t="str">
        <f>IF(NDS220 = "", "", IFERROR(NDS220 / SUMIFS(Aux_Totales!$N:$N, Aux_Totales!$F:$F, $F224, Aux_Totales!$A:$A,#REF!), 0))</f>
        <v/>
      </c>
      <c r="NDT224" s="19" t="str">
        <f>IF(NDT220 = "", "", IFERROR(NDT220 / SUMIFS(Aux_Totales!$N:$N, Aux_Totales!$F:$F, $F224, Aux_Totales!$A:$A,#REF!), 0))</f>
        <v/>
      </c>
      <c r="NDU224" s="19" t="str">
        <f>IF(NDU220 = "", "", IFERROR(NDU220 / SUMIFS(Aux_Totales!$N:$N, Aux_Totales!$F:$F, $F224, Aux_Totales!$A:$A,#REF!), 0))</f>
        <v/>
      </c>
      <c r="NDV224" s="19" t="str">
        <f>IF(NDV220 = "", "", IFERROR(NDV220 / SUMIFS(Aux_Totales!$N:$N, Aux_Totales!$F:$F, $F224, Aux_Totales!$A:$A,#REF!), 0))</f>
        <v/>
      </c>
      <c r="NDW224" s="19" t="str">
        <f>IF(NDW220 = "", "", IFERROR(NDW220 / SUMIFS(Aux_Totales!$N:$N, Aux_Totales!$F:$F, $F224, Aux_Totales!$A:$A,#REF!), 0))</f>
        <v/>
      </c>
      <c r="NDX224" s="19" t="str">
        <f>IF(NDX220 = "", "", IFERROR(NDX220 / SUMIFS(Aux_Totales!$N:$N, Aux_Totales!$F:$F, $F224, Aux_Totales!$A:$A,#REF!), 0))</f>
        <v/>
      </c>
      <c r="NDY224" s="19" t="str">
        <f>IF(NDY220 = "", "", IFERROR(NDY220 / SUMIFS(Aux_Totales!$N:$N, Aux_Totales!$F:$F, $F224, Aux_Totales!$A:$A,#REF!), 0))</f>
        <v/>
      </c>
      <c r="NDZ224" s="19" t="str">
        <f>IF(NDZ220 = "", "", IFERROR(NDZ220 / SUMIFS(Aux_Totales!$N:$N, Aux_Totales!$F:$F, $F224, Aux_Totales!$A:$A,#REF!), 0))</f>
        <v/>
      </c>
      <c r="NEA224" s="19" t="str">
        <f>IF(NEA220 = "", "", IFERROR(NEA220 / SUMIFS(Aux_Totales!$N:$N, Aux_Totales!$F:$F, $F224, Aux_Totales!$A:$A,#REF!), 0))</f>
        <v/>
      </c>
      <c r="NEB224" s="19" t="str">
        <f>IF(NEB220 = "", "", IFERROR(NEB220 / SUMIFS(Aux_Totales!$N:$N, Aux_Totales!$F:$F, $F224, Aux_Totales!$A:$A,#REF!), 0))</f>
        <v/>
      </c>
      <c r="NEC224" s="19" t="str">
        <f>IF(NEC220 = "", "", IFERROR(NEC220 / SUMIFS(Aux_Totales!$N:$N, Aux_Totales!$F:$F, $F224, Aux_Totales!$A:$A,#REF!), 0))</f>
        <v/>
      </c>
      <c r="NED224" s="19" t="str">
        <f>IF(NED220 = "", "", IFERROR(NED220 / SUMIFS(Aux_Totales!$N:$N, Aux_Totales!$F:$F, $F224, Aux_Totales!$A:$A,#REF!), 0))</f>
        <v/>
      </c>
      <c r="NEE224" s="19" t="str">
        <f>IF(NEE220 = "", "", IFERROR(NEE220 / SUMIFS(Aux_Totales!$N:$N, Aux_Totales!$F:$F, $F224, Aux_Totales!$A:$A,#REF!), 0))</f>
        <v/>
      </c>
      <c r="NEF224" s="19" t="str">
        <f>IF(NEF220 = "", "", IFERROR(NEF220 / SUMIFS(Aux_Totales!$N:$N, Aux_Totales!$F:$F, $F224, Aux_Totales!$A:$A,#REF!), 0))</f>
        <v/>
      </c>
      <c r="NEG224" s="19" t="str">
        <f>IF(NEG220 = "", "", IFERROR(NEG220 / SUMIFS(Aux_Totales!$N:$N, Aux_Totales!$F:$F, $F224, Aux_Totales!$A:$A,#REF!), 0))</f>
        <v/>
      </c>
      <c r="NEH224" s="19" t="str">
        <f>IF(NEH220 = "", "", IFERROR(NEH220 / SUMIFS(Aux_Totales!$N:$N, Aux_Totales!$F:$F, $F224, Aux_Totales!$A:$A,#REF!), 0))</f>
        <v/>
      </c>
      <c r="NEI224" s="19" t="str">
        <f>IF(NEI220 = "", "", IFERROR(NEI220 / SUMIFS(Aux_Totales!$N:$N, Aux_Totales!$F:$F, $F224, Aux_Totales!$A:$A,#REF!), 0))</f>
        <v/>
      </c>
      <c r="NEJ224" s="19" t="str">
        <f>IF(NEJ220 = "", "", IFERROR(NEJ220 / SUMIFS(Aux_Totales!$N:$N, Aux_Totales!$F:$F, $F224, Aux_Totales!$A:$A,#REF!), 0))</f>
        <v/>
      </c>
      <c r="NEK224" s="19" t="str">
        <f>IF(NEK220 = "", "", IFERROR(NEK220 / SUMIFS(Aux_Totales!$N:$N, Aux_Totales!$F:$F, $F224, Aux_Totales!$A:$A,#REF!), 0))</f>
        <v/>
      </c>
      <c r="NEL224" s="19" t="str">
        <f>IF(NEL220 = "", "", IFERROR(NEL220 / SUMIFS(Aux_Totales!$N:$N, Aux_Totales!$F:$F, $F224, Aux_Totales!$A:$A,#REF!), 0))</f>
        <v/>
      </c>
      <c r="NEM224" s="19" t="str">
        <f>IF(NEM220 = "", "", IFERROR(NEM220 / SUMIFS(Aux_Totales!$N:$N, Aux_Totales!$F:$F, $F224, Aux_Totales!$A:$A,#REF!), 0))</f>
        <v/>
      </c>
      <c r="NEN224" s="19" t="str">
        <f>IF(NEN220 = "", "", IFERROR(NEN220 / SUMIFS(Aux_Totales!$N:$N, Aux_Totales!$F:$F, $F224, Aux_Totales!$A:$A,#REF!), 0))</f>
        <v/>
      </c>
      <c r="NEO224" s="19" t="str">
        <f>IF(NEO220 = "", "", IFERROR(NEO220 / SUMIFS(Aux_Totales!$N:$N, Aux_Totales!$F:$F, $F224, Aux_Totales!$A:$A,#REF!), 0))</f>
        <v/>
      </c>
      <c r="NEP224" s="19" t="str">
        <f>IF(NEP220 = "", "", IFERROR(NEP220 / SUMIFS(Aux_Totales!$N:$N, Aux_Totales!$F:$F, $F224, Aux_Totales!$A:$A,#REF!), 0))</f>
        <v/>
      </c>
      <c r="NEQ224" s="19" t="str">
        <f>IF(NEQ220 = "", "", IFERROR(NEQ220 / SUMIFS(Aux_Totales!$N:$N, Aux_Totales!$F:$F, $F224, Aux_Totales!$A:$A,#REF!), 0))</f>
        <v/>
      </c>
      <c r="NER224" s="19" t="str">
        <f>IF(NER220 = "", "", IFERROR(NER220 / SUMIFS(Aux_Totales!$N:$N, Aux_Totales!$F:$F, $F224, Aux_Totales!$A:$A,#REF!), 0))</f>
        <v/>
      </c>
      <c r="NES224" s="19" t="str">
        <f>IF(NES220 = "", "", IFERROR(NES220 / SUMIFS(Aux_Totales!$N:$N, Aux_Totales!$F:$F, $F224, Aux_Totales!$A:$A,#REF!), 0))</f>
        <v/>
      </c>
      <c r="NET224" s="19" t="str">
        <f>IF(NET220 = "", "", IFERROR(NET220 / SUMIFS(Aux_Totales!$N:$N, Aux_Totales!$F:$F, $F224, Aux_Totales!$A:$A,#REF!), 0))</f>
        <v/>
      </c>
      <c r="NEU224" s="19" t="str">
        <f>IF(NEU220 = "", "", IFERROR(NEU220 / SUMIFS(Aux_Totales!$N:$N, Aux_Totales!$F:$F, $F224, Aux_Totales!$A:$A,#REF!), 0))</f>
        <v/>
      </c>
      <c r="NEV224" s="19" t="str">
        <f>IF(NEV220 = "", "", IFERROR(NEV220 / SUMIFS(Aux_Totales!$N:$N, Aux_Totales!$F:$F, $F224, Aux_Totales!$A:$A,#REF!), 0))</f>
        <v/>
      </c>
      <c r="NEW224" s="19" t="str">
        <f>IF(NEW220 = "", "", IFERROR(NEW220 / SUMIFS(Aux_Totales!$N:$N, Aux_Totales!$F:$F, $F224, Aux_Totales!$A:$A,#REF!), 0))</f>
        <v/>
      </c>
      <c r="NEX224" s="19" t="str">
        <f>IF(NEX220 = "", "", IFERROR(NEX220 / SUMIFS(Aux_Totales!$N:$N, Aux_Totales!$F:$F, $F224, Aux_Totales!$A:$A,#REF!), 0))</f>
        <v/>
      </c>
      <c r="NEY224" s="19" t="str">
        <f>IF(NEY220 = "", "", IFERROR(NEY220 / SUMIFS(Aux_Totales!$N:$N, Aux_Totales!$F:$F, $F224, Aux_Totales!$A:$A,#REF!), 0))</f>
        <v/>
      </c>
      <c r="NEZ224" s="19" t="str">
        <f>IF(NEZ220 = "", "", IFERROR(NEZ220 / SUMIFS(Aux_Totales!$N:$N, Aux_Totales!$F:$F, $F224, Aux_Totales!$A:$A,#REF!), 0))</f>
        <v/>
      </c>
      <c r="NFA224" s="19" t="str">
        <f>IF(NFA220 = "", "", IFERROR(NFA220 / SUMIFS(Aux_Totales!$N:$N, Aux_Totales!$F:$F, $F224, Aux_Totales!$A:$A,#REF!), 0))</f>
        <v/>
      </c>
      <c r="NFB224" s="19" t="str">
        <f>IF(NFB220 = "", "", IFERROR(NFB220 / SUMIFS(Aux_Totales!$N:$N, Aux_Totales!$F:$F, $F224, Aux_Totales!$A:$A,#REF!), 0))</f>
        <v/>
      </c>
      <c r="NFC224" s="19" t="str">
        <f>IF(NFC220 = "", "", IFERROR(NFC220 / SUMIFS(Aux_Totales!$N:$N, Aux_Totales!$F:$F, $F224, Aux_Totales!$A:$A,#REF!), 0))</f>
        <v/>
      </c>
      <c r="NFD224" s="19" t="str">
        <f>IF(NFD220 = "", "", IFERROR(NFD220 / SUMIFS(Aux_Totales!$N:$N, Aux_Totales!$F:$F, $F224, Aux_Totales!$A:$A,#REF!), 0))</f>
        <v/>
      </c>
      <c r="NFE224" s="19" t="str">
        <f>IF(NFE220 = "", "", IFERROR(NFE220 / SUMIFS(Aux_Totales!$N:$N, Aux_Totales!$F:$F, $F224, Aux_Totales!$A:$A,#REF!), 0))</f>
        <v/>
      </c>
      <c r="NFF224" s="19" t="str">
        <f>IF(NFF220 = "", "", IFERROR(NFF220 / SUMIFS(Aux_Totales!$N:$N, Aux_Totales!$F:$F, $F224, Aux_Totales!$A:$A,#REF!), 0))</f>
        <v/>
      </c>
      <c r="NFG224" s="19" t="str">
        <f>IF(NFG220 = "", "", IFERROR(NFG220 / SUMIFS(Aux_Totales!$N:$N, Aux_Totales!$F:$F, $F224, Aux_Totales!$A:$A,#REF!), 0))</f>
        <v/>
      </c>
      <c r="NFH224" s="19" t="str">
        <f>IF(NFH220 = "", "", IFERROR(NFH220 / SUMIFS(Aux_Totales!$N:$N, Aux_Totales!$F:$F, $F224, Aux_Totales!$A:$A,#REF!), 0))</f>
        <v/>
      </c>
      <c r="NFI224" s="19" t="str">
        <f>IF(NFI220 = "", "", IFERROR(NFI220 / SUMIFS(Aux_Totales!$N:$N, Aux_Totales!$F:$F, $F224, Aux_Totales!$A:$A,#REF!), 0))</f>
        <v/>
      </c>
      <c r="NFJ224" s="19" t="str">
        <f>IF(NFJ220 = "", "", IFERROR(NFJ220 / SUMIFS(Aux_Totales!$N:$N, Aux_Totales!$F:$F, $F224, Aux_Totales!$A:$A,#REF!), 0))</f>
        <v/>
      </c>
      <c r="NFK224" s="19" t="str">
        <f>IF(NFK220 = "", "", IFERROR(NFK220 / SUMIFS(Aux_Totales!$N:$N, Aux_Totales!$F:$F, $F224, Aux_Totales!$A:$A,#REF!), 0))</f>
        <v/>
      </c>
      <c r="NFL224" s="19" t="str">
        <f>IF(NFL220 = "", "", IFERROR(NFL220 / SUMIFS(Aux_Totales!$N:$N, Aux_Totales!$F:$F, $F224, Aux_Totales!$A:$A,#REF!), 0))</f>
        <v/>
      </c>
      <c r="NFM224" s="19" t="str">
        <f>IF(NFM220 = "", "", IFERROR(NFM220 / SUMIFS(Aux_Totales!$N:$N, Aux_Totales!$F:$F, $F224, Aux_Totales!$A:$A,#REF!), 0))</f>
        <v/>
      </c>
      <c r="NFN224" s="19" t="str">
        <f>IF(NFN220 = "", "", IFERROR(NFN220 / SUMIFS(Aux_Totales!$N:$N, Aux_Totales!$F:$F, $F224, Aux_Totales!$A:$A,#REF!), 0))</f>
        <v/>
      </c>
      <c r="NFO224" s="19" t="str">
        <f>IF(NFO220 = "", "", IFERROR(NFO220 / SUMIFS(Aux_Totales!$N:$N, Aux_Totales!$F:$F, $F224, Aux_Totales!$A:$A,#REF!), 0))</f>
        <v/>
      </c>
      <c r="NFP224" s="19" t="str">
        <f>IF(NFP220 = "", "", IFERROR(NFP220 / SUMIFS(Aux_Totales!$N:$N, Aux_Totales!$F:$F, $F224, Aux_Totales!$A:$A,#REF!), 0))</f>
        <v/>
      </c>
      <c r="NFQ224" s="19" t="str">
        <f>IF(NFQ220 = "", "", IFERROR(NFQ220 / SUMIFS(Aux_Totales!$N:$N, Aux_Totales!$F:$F, $F224, Aux_Totales!$A:$A,#REF!), 0))</f>
        <v/>
      </c>
      <c r="NFR224" s="19" t="str">
        <f>IF(NFR220 = "", "", IFERROR(NFR220 / SUMIFS(Aux_Totales!$N:$N, Aux_Totales!$F:$F, $F224, Aux_Totales!$A:$A,#REF!), 0))</f>
        <v/>
      </c>
      <c r="NFS224" s="19" t="str">
        <f>IF(NFS220 = "", "", IFERROR(NFS220 / SUMIFS(Aux_Totales!$N:$N, Aux_Totales!$F:$F, $F224, Aux_Totales!$A:$A,#REF!), 0))</f>
        <v/>
      </c>
      <c r="NFT224" s="19" t="str">
        <f>IF(NFT220 = "", "", IFERROR(NFT220 / SUMIFS(Aux_Totales!$N:$N, Aux_Totales!$F:$F, $F224, Aux_Totales!$A:$A,#REF!), 0))</f>
        <v/>
      </c>
      <c r="NFU224" s="19" t="str">
        <f>IF(NFU220 = "", "", IFERROR(NFU220 / SUMIFS(Aux_Totales!$N:$N, Aux_Totales!$F:$F, $F224, Aux_Totales!$A:$A,#REF!), 0))</f>
        <v/>
      </c>
      <c r="NFV224" s="19" t="str">
        <f>IF(NFV220 = "", "", IFERROR(NFV220 / SUMIFS(Aux_Totales!$N:$N, Aux_Totales!$F:$F, $F224, Aux_Totales!$A:$A,#REF!), 0))</f>
        <v/>
      </c>
      <c r="NFW224" s="19" t="str">
        <f>IF(NFW220 = "", "", IFERROR(NFW220 / SUMIFS(Aux_Totales!$N:$N, Aux_Totales!$F:$F, $F224, Aux_Totales!$A:$A,#REF!), 0))</f>
        <v/>
      </c>
      <c r="NFX224" s="19" t="str">
        <f>IF(NFX220 = "", "", IFERROR(NFX220 / SUMIFS(Aux_Totales!$N:$N, Aux_Totales!$F:$F, $F224, Aux_Totales!$A:$A,#REF!), 0))</f>
        <v/>
      </c>
      <c r="NFY224" s="19" t="str">
        <f>IF(NFY220 = "", "", IFERROR(NFY220 / SUMIFS(Aux_Totales!$N:$N, Aux_Totales!$F:$F, $F224, Aux_Totales!$A:$A,#REF!), 0))</f>
        <v/>
      </c>
      <c r="NFZ224" s="19" t="str">
        <f>IF(NFZ220 = "", "", IFERROR(NFZ220 / SUMIFS(Aux_Totales!$N:$N, Aux_Totales!$F:$F, $F224, Aux_Totales!$A:$A,#REF!), 0))</f>
        <v/>
      </c>
      <c r="NGA224" s="19" t="str">
        <f>IF(NGA220 = "", "", IFERROR(NGA220 / SUMIFS(Aux_Totales!$N:$N, Aux_Totales!$F:$F, $F224, Aux_Totales!$A:$A,#REF!), 0))</f>
        <v/>
      </c>
      <c r="NGB224" s="19" t="str">
        <f>IF(NGB220 = "", "", IFERROR(NGB220 / SUMIFS(Aux_Totales!$N:$N, Aux_Totales!$F:$F, $F224, Aux_Totales!$A:$A,#REF!), 0))</f>
        <v/>
      </c>
      <c r="NGC224" s="19" t="str">
        <f>IF(NGC220 = "", "", IFERROR(NGC220 / SUMIFS(Aux_Totales!$N:$N, Aux_Totales!$F:$F, $F224, Aux_Totales!$A:$A,#REF!), 0))</f>
        <v/>
      </c>
      <c r="NGD224" s="19" t="str">
        <f>IF(NGD220 = "", "", IFERROR(NGD220 / SUMIFS(Aux_Totales!$N:$N, Aux_Totales!$F:$F, $F224, Aux_Totales!$A:$A,#REF!), 0))</f>
        <v/>
      </c>
      <c r="NGE224" s="19" t="str">
        <f>IF(NGE220 = "", "", IFERROR(NGE220 / SUMIFS(Aux_Totales!$N:$N, Aux_Totales!$F:$F, $F224, Aux_Totales!$A:$A,#REF!), 0))</f>
        <v/>
      </c>
      <c r="NGF224" s="19" t="str">
        <f>IF(NGF220 = "", "", IFERROR(NGF220 / SUMIFS(Aux_Totales!$N:$N, Aux_Totales!$F:$F, $F224, Aux_Totales!$A:$A,#REF!), 0))</f>
        <v/>
      </c>
      <c r="NGG224" s="19" t="str">
        <f>IF(NGG220 = "", "", IFERROR(NGG220 / SUMIFS(Aux_Totales!$N:$N, Aux_Totales!$F:$F, $F224, Aux_Totales!$A:$A,#REF!), 0))</f>
        <v/>
      </c>
      <c r="NGH224" s="19" t="str">
        <f>IF(NGH220 = "", "", IFERROR(NGH220 / SUMIFS(Aux_Totales!$N:$N, Aux_Totales!$F:$F, $F224, Aux_Totales!$A:$A,#REF!), 0))</f>
        <v/>
      </c>
      <c r="NGI224" s="19" t="str">
        <f>IF(NGI220 = "", "", IFERROR(NGI220 / SUMIFS(Aux_Totales!$N:$N, Aux_Totales!$F:$F, $F224, Aux_Totales!$A:$A,#REF!), 0))</f>
        <v/>
      </c>
      <c r="NGJ224" s="19" t="str">
        <f>IF(NGJ220 = "", "", IFERROR(NGJ220 / SUMIFS(Aux_Totales!$N:$N, Aux_Totales!$F:$F, $F224, Aux_Totales!$A:$A,#REF!), 0))</f>
        <v/>
      </c>
      <c r="NGK224" s="19" t="str">
        <f>IF(NGK220 = "", "", IFERROR(NGK220 / SUMIFS(Aux_Totales!$N:$N, Aux_Totales!$F:$F, $F224, Aux_Totales!$A:$A,#REF!), 0))</f>
        <v/>
      </c>
      <c r="NGL224" s="19" t="str">
        <f>IF(NGL220 = "", "", IFERROR(NGL220 / SUMIFS(Aux_Totales!$N:$N, Aux_Totales!$F:$F, $F224, Aux_Totales!$A:$A,#REF!), 0))</f>
        <v/>
      </c>
      <c r="NGM224" s="19" t="str">
        <f>IF(NGM220 = "", "", IFERROR(NGM220 / SUMIFS(Aux_Totales!$N:$N, Aux_Totales!$F:$F, $F224, Aux_Totales!$A:$A,#REF!), 0))</f>
        <v/>
      </c>
      <c r="NGN224" s="19" t="str">
        <f>IF(NGN220 = "", "", IFERROR(NGN220 / SUMIFS(Aux_Totales!$N:$N, Aux_Totales!$F:$F, $F224, Aux_Totales!$A:$A,#REF!), 0))</f>
        <v/>
      </c>
      <c r="NGO224" s="19" t="str">
        <f>IF(NGO220 = "", "", IFERROR(NGO220 / SUMIFS(Aux_Totales!$N:$N, Aux_Totales!$F:$F, $F224, Aux_Totales!$A:$A,#REF!), 0))</f>
        <v/>
      </c>
      <c r="NGP224" s="19" t="str">
        <f>IF(NGP220 = "", "", IFERROR(NGP220 / SUMIFS(Aux_Totales!$N:$N, Aux_Totales!$F:$F, $F224, Aux_Totales!$A:$A,#REF!), 0))</f>
        <v/>
      </c>
      <c r="NGQ224" s="19" t="str">
        <f>IF(NGQ220 = "", "", IFERROR(NGQ220 / SUMIFS(Aux_Totales!$N:$N, Aux_Totales!$F:$F, $F224, Aux_Totales!$A:$A,#REF!), 0))</f>
        <v/>
      </c>
      <c r="NGR224" s="19" t="str">
        <f>IF(NGR220 = "", "", IFERROR(NGR220 / SUMIFS(Aux_Totales!$N:$N, Aux_Totales!$F:$F, $F224, Aux_Totales!$A:$A,#REF!), 0))</f>
        <v/>
      </c>
      <c r="NGS224" s="19" t="str">
        <f>IF(NGS220 = "", "", IFERROR(NGS220 / SUMIFS(Aux_Totales!$N:$N, Aux_Totales!$F:$F, $F224, Aux_Totales!$A:$A,#REF!), 0))</f>
        <v/>
      </c>
      <c r="NGT224" s="19" t="str">
        <f>IF(NGT220 = "", "", IFERROR(NGT220 / SUMIFS(Aux_Totales!$N:$N, Aux_Totales!$F:$F, $F224, Aux_Totales!$A:$A,#REF!), 0))</f>
        <v/>
      </c>
      <c r="NGU224" s="19" t="str">
        <f>IF(NGU220 = "", "", IFERROR(NGU220 / SUMIFS(Aux_Totales!$N:$N, Aux_Totales!$F:$F, $F224, Aux_Totales!$A:$A,#REF!), 0))</f>
        <v/>
      </c>
      <c r="NGV224" s="19" t="str">
        <f>IF(NGV220 = "", "", IFERROR(NGV220 / SUMIFS(Aux_Totales!$N:$N, Aux_Totales!$F:$F, $F224, Aux_Totales!$A:$A,#REF!), 0))</f>
        <v/>
      </c>
      <c r="NGW224" s="19" t="str">
        <f>IF(NGW220 = "", "", IFERROR(NGW220 / SUMIFS(Aux_Totales!$N:$N, Aux_Totales!$F:$F, $F224, Aux_Totales!$A:$A,#REF!), 0))</f>
        <v/>
      </c>
      <c r="NGX224" s="19" t="str">
        <f>IF(NGX220 = "", "", IFERROR(NGX220 / SUMIFS(Aux_Totales!$N:$N, Aux_Totales!$F:$F, $F224, Aux_Totales!$A:$A,#REF!), 0))</f>
        <v/>
      </c>
      <c r="NGY224" s="19" t="str">
        <f>IF(NGY220 = "", "", IFERROR(NGY220 / SUMIFS(Aux_Totales!$N:$N, Aux_Totales!$F:$F, $F224, Aux_Totales!$A:$A,#REF!), 0))</f>
        <v/>
      </c>
      <c r="NGZ224" s="19" t="str">
        <f>IF(NGZ220 = "", "", IFERROR(NGZ220 / SUMIFS(Aux_Totales!$N:$N, Aux_Totales!$F:$F, $F224, Aux_Totales!$A:$A,#REF!), 0))</f>
        <v/>
      </c>
      <c r="NHA224" s="19" t="str">
        <f>IF(NHA220 = "", "", IFERROR(NHA220 / SUMIFS(Aux_Totales!$N:$N, Aux_Totales!$F:$F, $F224, Aux_Totales!$A:$A,#REF!), 0))</f>
        <v/>
      </c>
      <c r="NHB224" s="19" t="str">
        <f>IF(NHB220 = "", "", IFERROR(NHB220 / SUMIFS(Aux_Totales!$N:$N, Aux_Totales!$F:$F, $F224, Aux_Totales!$A:$A,#REF!), 0))</f>
        <v/>
      </c>
      <c r="NHC224" s="19" t="str">
        <f>IF(NHC220 = "", "", IFERROR(NHC220 / SUMIFS(Aux_Totales!$N:$N, Aux_Totales!$F:$F, $F224, Aux_Totales!$A:$A,#REF!), 0))</f>
        <v/>
      </c>
      <c r="NHD224" s="19" t="str">
        <f>IF(NHD220 = "", "", IFERROR(NHD220 / SUMIFS(Aux_Totales!$N:$N, Aux_Totales!$F:$F, $F224, Aux_Totales!$A:$A,#REF!), 0))</f>
        <v/>
      </c>
      <c r="NHE224" s="19" t="str">
        <f>IF(NHE220 = "", "", IFERROR(NHE220 / SUMIFS(Aux_Totales!$N:$N, Aux_Totales!$F:$F, $F224, Aux_Totales!$A:$A,#REF!), 0))</f>
        <v/>
      </c>
      <c r="NHF224" s="19" t="str">
        <f>IF(NHF220 = "", "", IFERROR(NHF220 / SUMIFS(Aux_Totales!$N:$N, Aux_Totales!$F:$F, $F224, Aux_Totales!$A:$A,#REF!), 0))</f>
        <v/>
      </c>
      <c r="NHG224" s="19" t="str">
        <f>IF(NHG220 = "", "", IFERROR(NHG220 / SUMIFS(Aux_Totales!$N:$N, Aux_Totales!$F:$F, $F224, Aux_Totales!$A:$A,#REF!), 0))</f>
        <v/>
      </c>
      <c r="NHH224" s="19" t="str">
        <f>IF(NHH220 = "", "", IFERROR(NHH220 / SUMIFS(Aux_Totales!$N:$N, Aux_Totales!$F:$F, $F224, Aux_Totales!$A:$A,#REF!), 0))</f>
        <v/>
      </c>
      <c r="NHI224" s="19" t="str">
        <f>IF(NHI220 = "", "", IFERROR(NHI220 / SUMIFS(Aux_Totales!$N:$N, Aux_Totales!$F:$F, $F224, Aux_Totales!$A:$A,#REF!), 0))</f>
        <v/>
      </c>
      <c r="NHJ224" s="19" t="str">
        <f>IF(NHJ220 = "", "", IFERROR(NHJ220 / SUMIFS(Aux_Totales!$N:$N, Aux_Totales!$F:$F, $F224, Aux_Totales!$A:$A,#REF!), 0))</f>
        <v/>
      </c>
      <c r="NHK224" s="19" t="str">
        <f>IF(NHK220 = "", "", IFERROR(NHK220 / SUMIFS(Aux_Totales!$N:$N, Aux_Totales!$F:$F, $F224, Aux_Totales!$A:$A,#REF!), 0))</f>
        <v/>
      </c>
      <c r="NHL224" s="19" t="str">
        <f>IF(NHL220 = "", "", IFERROR(NHL220 / SUMIFS(Aux_Totales!$N:$N, Aux_Totales!$F:$F, $F224, Aux_Totales!$A:$A,#REF!), 0))</f>
        <v/>
      </c>
      <c r="NHM224" s="19" t="str">
        <f>IF(NHM220 = "", "", IFERROR(NHM220 / SUMIFS(Aux_Totales!$N:$N, Aux_Totales!$F:$F, $F224, Aux_Totales!$A:$A,#REF!), 0))</f>
        <v/>
      </c>
      <c r="NHN224" s="19" t="str">
        <f>IF(NHN220 = "", "", IFERROR(NHN220 / SUMIFS(Aux_Totales!$N:$N, Aux_Totales!$F:$F, $F224, Aux_Totales!$A:$A,#REF!), 0))</f>
        <v/>
      </c>
      <c r="NHO224" s="19" t="str">
        <f>IF(NHO220 = "", "", IFERROR(NHO220 / SUMIFS(Aux_Totales!$N:$N, Aux_Totales!$F:$F, $F224, Aux_Totales!$A:$A,#REF!), 0))</f>
        <v/>
      </c>
      <c r="NHP224" s="19" t="str">
        <f>IF(NHP220 = "", "", IFERROR(NHP220 / SUMIFS(Aux_Totales!$N:$N, Aux_Totales!$F:$F, $F224, Aux_Totales!$A:$A,#REF!), 0))</f>
        <v/>
      </c>
      <c r="NHQ224" s="19" t="str">
        <f>IF(NHQ220 = "", "", IFERROR(NHQ220 / SUMIFS(Aux_Totales!$N:$N, Aux_Totales!$F:$F, $F224, Aux_Totales!$A:$A,#REF!), 0))</f>
        <v/>
      </c>
      <c r="NHR224" s="19" t="str">
        <f>IF(NHR220 = "", "", IFERROR(NHR220 / SUMIFS(Aux_Totales!$N:$N, Aux_Totales!$F:$F, $F224, Aux_Totales!$A:$A,#REF!), 0))</f>
        <v/>
      </c>
      <c r="NHS224" s="19" t="str">
        <f>IF(NHS220 = "", "", IFERROR(NHS220 / SUMIFS(Aux_Totales!$N:$N, Aux_Totales!$F:$F, $F224, Aux_Totales!$A:$A,#REF!), 0))</f>
        <v/>
      </c>
      <c r="NHT224" s="19" t="str">
        <f>IF(NHT220 = "", "", IFERROR(NHT220 / SUMIFS(Aux_Totales!$N:$N, Aux_Totales!$F:$F, $F224, Aux_Totales!$A:$A,#REF!), 0))</f>
        <v/>
      </c>
      <c r="NHU224" s="19" t="str">
        <f>IF(NHU220 = "", "", IFERROR(NHU220 / SUMIFS(Aux_Totales!$N:$N, Aux_Totales!$F:$F, $F224, Aux_Totales!$A:$A,#REF!), 0))</f>
        <v/>
      </c>
      <c r="NHV224" s="19" t="str">
        <f>IF(NHV220 = "", "", IFERROR(NHV220 / SUMIFS(Aux_Totales!$N:$N, Aux_Totales!$F:$F, $F224, Aux_Totales!$A:$A,#REF!), 0))</f>
        <v/>
      </c>
      <c r="NHW224" s="19" t="str">
        <f>IF(NHW220 = "", "", IFERROR(NHW220 / SUMIFS(Aux_Totales!$N:$N, Aux_Totales!$F:$F, $F224, Aux_Totales!$A:$A,#REF!), 0))</f>
        <v/>
      </c>
      <c r="NHX224" s="19" t="str">
        <f>IF(NHX220 = "", "", IFERROR(NHX220 / SUMIFS(Aux_Totales!$N:$N, Aux_Totales!$F:$F, $F224, Aux_Totales!$A:$A,#REF!), 0))</f>
        <v/>
      </c>
      <c r="NHY224" s="19" t="str">
        <f>IF(NHY220 = "", "", IFERROR(NHY220 / SUMIFS(Aux_Totales!$N:$N, Aux_Totales!$F:$F, $F224, Aux_Totales!$A:$A,#REF!), 0))</f>
        <v/>
      </c>
      <c r="NHZ224" s="19" t="str">
        <f>IF(NHZ220 = "", "", IFERROR(NHZ220 / SUMIFS(Aux_Totales!$N:$N, Aux_Totales!$F:$F, $F224, Aux_Totales!$A:$A,#REF!), 0))</f>
        <v/>
      </c>
      <c r="NIA224" s="19" t="str">
        <f>IF(NIA220 = "", "", IFERROR(NIA220 / SUMIFS(Aux_Totales!$N:$N, Aux_Totales!$F:$F, $F224, Aux_Totales!$A:$A,#REF!), 0))</f>
        <v/>
      </c>
      <c r="NIB224" s="19" t="str">
        <f>IF(NIB220 = "", "", IFERROR(NIB220 / SUMIFS(Aux_Totales!$N:$N, Aux_Totales!$F:$F, $F224, Aux_Totales!$A:$A,#REF!), 0))</f>
        <v/>
      </c>
      <c r="NIC224" s="19" t="str">
        <f>IF(NIC220 = "", "", IFERROR(NIC220 / SUMIFS(Aux_Totales!$N:$N, Aux_Totales!$F:$F, $F224, Aux_Totales!$A:$A,#REF!), 0))</f>
        <v/>
      </c>
      <c r="NID224" s="19" t="str">
        <f>IF(NID220 = "", "", IFERROR(NID220 / SUMIFS(Aux_Totales!$N:$N, Aux_Totales!$F:$F, $F224, Aux_Totales!$A:$A,#REF!), 0))</f>
        <v/>
      </c>
      <c r="NIE224" s="19" t="str">
        <f>IF(NIE220 = "", "", IFERROR(NIE220 / SUMIFS(Aux_Totales!$N:$N, Aux_Totales!$F:$F, $F224, Aux_Totales!$A:$A,#REF!), 0))</f>
        <v/>
      </c>
      <c r="NIF224" s="19" t="str">
        <f>IF(NIF220 = "", "", IFERROR(NIF220 / SUMIFS(Aux_Totales!$N:$N, Aux_Totales!$F:$F, $F224, Aux_Totales!$A:$A,#REF!), 0))</f>
        <v/>
      </c>
      <c r="NIG224" s="19" t="str">
        <f>IF(NIG220 = "", "", IFERROR(NIG220 / SUMIFS(Aux_Totales!$N:$N, Aux_Totales!$F:$F, $F224, Aux_Totales!$A:$A,#REF!), 0))</f>
        <v/>
      </c>
      <c r="NIH224" s="19" t="str">
        <f>IF(NIH220 = "", "", IFERROR(NIH220 / SUMIFS(Aux_Totales!$N:$N, Aux_Totales!$F:$F, $F224, Aux_Totales!$A:$A,#REF!), 0))</f>
        <v/>
      </c>
      <c r="NII224" s="19" t="str">
        <f>IF(NII220 = "", "", IFERROR(NII220 / SUMIFS(Aux_Totales!$N:$N, Aux_Totales!$F:$F, $F224, Aux_Totales!$A:$A,#REF!), 0))</f>
        <v/>
      </c>
      <c r="NIJ224" s="19" t="str">
        <f>IF(NIJ220 = "", "", IFERROR(NIJ220 / SUMIFS(Aux_Totales!$N:$N, Aux_Totales!$F:$F, $F224, Aux_Totales!$A:$A,#REF!), 0))</f>
        <v/>
      </c>
      <c r="NIK224" s="19" t="str">
        <f>IF(NIK220 = "", "", IFERROR(NIK220 / SUMIFS(Aux_Totales!$N:$N, Aux_Totales!$F:$F, $F224, Aux_Totales!$A:$A,#REF!), 0))</f>
        <v/>
      </c>
      <c r="NIL224" s="19" t="str">
        <f>IF(NIL220 = "", "", IFERROR(NIL220 / SUMIFS(Aux_Totales!$N:$N, Aux_Totales!$F:$F, $F224, Aux_Totales!$A:$A,#REF!), 0))</f>
        <v/>
      </c>
      <c r="NIM224" s="19" t="str">
        <f>IF(NIM220 = "", "", IFERROR(NIM220 / SUMIFS(Aux_Totales!$N:$N, Aux_Totales!$F:$F, $F224, Aux_Totales!$A:$A,#REF!), 0))</f>
        <v/>
      </c>
      <c r="NIN224" s="19" t="str">
        <f>IF(NIN220 = "", "", IFERROR(NIN220 / SUMIFS(Aux_Totales!$N:$N, Aux_Totales!$F:$F, $F224, Aux_Totales!$A:$A,#REF!), 0))</f>
        <v/>
      </c>
      <c r="NIO224" s="19" t="str">
        <f>IF(NIO220 = "", "", IFERROR(NIO220 / SUMIFS(Aux_Totales!$N:$N, Aux_Totales!$F:$F, $F224, Aux_Totales!$A:$A,#REF!), 0))</f>
        <v/>
      </c>
      <c r="NIP224" s="19" t="str">
        <f>IF(NIP220 = "", "", IFERROR(NIP220 / SUMIFS(Aux_Totales!$N:$N, Aux_Totales!$F:$F, $F224, Aux_Totales!$A:$A,#REF!), 0))</f>
        <v/>
      </c>
      <c r="NIQ224" s="19" t="str">
        <f>IF(NIQ220 = "", "", IFERROR(NIQ220 / SUMIFS(Aux_Totales!$N:$N, Aux_Totales!$F:$F, $F224, Aux_Totales!$A:$A,#REF!), 0))</f>
        <v/>
      </c>
      <c r="NIR224" s="19" t="str">
        <f>IF(NIR220 = "", "", IFERROR(NIR220 / SUMIFS(Aux_Totales!$N:$N, Aux_Totales!$F:$F, $F224, Aux_Totales!$A:$A,#REF!), 0))</f>
        <v/>
      </c>
      <c r="NIS224" s="19" t="str">
        <f>IF(NIS220 = "", "", IFERROR(NIS220 / SUMIFS(Aux_Totales!$N:$N, Aux_Totales!$F:$F, $F224, Aux_Totales!$A:$A,#REF!), 0))</f>
        <v/>
      </c>
      <c r="NIT224" s="19" t="str">
        <f>IF(NIT220 = "", "", IFERROR(NIT220 / SUMIFS(Aux_Totales!$N:$N, Aux_Totales!$F:$F, $F224, Aux_Totales!$A:$A,#REF!), 0))</f>
        <v/>
      </c>
      <c r="NIU224" s="19" t="str">
        <f>IF(NIU220 = "", "", IFERROR(NIU220 / SUMIFS(Aux_Totales!$N:$N, Aux_Totales!$F:$F, $F224, Aux_Totales!$A:$A,#REF!), 0))</f>
        <v/>
      </c>
      <c r="NIV224" s="19" t="str">
        <f>IF(NIV220 = "", "", IFERROR(NIV220 / SUMIFS(Aux_Totales!$N:$N, Aux_Totales!$F:$F, $F224, Aux_Totales!$A:$A,#REF!), 0))</f>
        <v/>
      </c>
      <c r="NIW224" s="19" t="str">
        <f>IF(NIW220 = "", "", IFERROR(NIW220 / SUMIFS(Aux_Totales!$N:$N, Aux_Totales!$F:$F, $F224, Aux_Totales!$A:$A,#REF!), 0))</f>
        <v/>
      </c>
      <c r="NIX224" s="19" t="str">
        <f>IF(NIX220 = "", "", IFERROR(NIX220 / SUMIFS(Aux_Totales!$N:$N, Aux_Totales!$F:$F, $F224, Aux_Totales!$A:$A,#REF!), 0))</f>
        <v/>
      </c>
      <c r="NIY224" s="19" t="str">
        <f>IF(NIY220 = "", "", IFERROR(NIY220 / SUMIFS(Aux_Totales!$N:$N, Aux_Totales!$F:$F, $F224, Aux_Totales!$A:$A,#REF!), 0))</f>
        <v/>
      </c>
      <c r="NIZ224" s="19" t="str">
        <f>IF(NIZ220 = "", "", IFERROR(NIZ220 / SUMIFS(Aux_Totales!$N:$N, Aux_Totales!$F:$F, $F224, Aux_Totales!$A:$A,#REF!), 0))</f>
        <v/>
      </c>
      <c r="NJA224" s="19" t="str">
        <f>IF(NJA220 = "", "", IFERROR(NJA220 / SUMIFS(Aux_Totales!$N:$N, Aux_Totales!$F:$F, $F224, Aux_Totales!$A:$A,#REF!), 0))</f>
        <v/>
      </c>
      <c r="NJB224" s="19" t="str">
        <f>IF(NJB220 = "", "", IFERROR(NJB220 / SUMIFS(Aux_Totales!$N:$N, Aux_Totales!$F:$F, $F224, Aux_Totales!$A:$A,#REF!), 0))</f>
        <v/>
      </c>
      <c r="NJC224" s="19" t="str">
        <f>IF(NJC220 = "", "", IFERROR(NJC220 / SUMIFS(Aux_Totales!$N:$N, Aux_Totales!$F:$F, $F224, Aux_Totales!$A:$A,#REF!), 0))</f>
        <v/>
      </c>
      <c r="NJD224" s="19" t="str">
        <f>IF(NJD220 = "", "", IFERROR(NJD220 / SUMIFS(Aux_Totales!$N:$N, Aux_Totales!$F:$F, $F224, Aux_Totales!$A:$A,#REF!), 0))</f>
        <v/>
      </c>
      <c r="NJE224" s="19" t="str">
        <f>IF(NJE220 = "", "", IFERROR(NJE220 / SUMIFS(Aux_Totales!$N:$N, Aux_Totales!$F:$F, $F224, Aux_Totales!$A:$A,#REF!), 0))</f>
        <v/>
      </c>
      <c r="NJF224" s="19" t="str">
        <f>IF(NJF220 = "", "", IFERROR(NJF220 / SUMIFS(Aux_Totales!$N:$N, Aux_Totales!$F:$F, $F224, Aux_Totales!$A:$A,#REF!), 0))</f>
        <v/>
      </c>
      <c r="NJG224" s="19" t="str">
        <f>IF(NJG220 = "", "", IFERROR(NJG220 / SUMIFS(Aux_Totales!$N:$N, Aux_Totales!$F:$F, $F224, Aux_Totales!$A:$A,#REF!), 0))</f>
        <v/>
      </c>
      <c r="NJH224" s="19" t="str">
        <f>IF(NJH220 = "", "", IFERROR(NJH220 / SUMIFS(Aux_Totales!$N:$N, Aux_Totales!$F:$F, $F224, Aux_Totales!$A:$A,#REF!), 0))</f>
        <v/>
      </c>
      <c r="NJI224" s="19" t="str">
        <f>IF(NJI220 = "", "", IFERROR(NJI220 / SUMIFS(Aux_Totales!$N:$N, Aux_Totales!$F:$F, $F224, Aux_Totales!$A:$A,#REF!), 0))</f>
        <v/>
      </c>
      <c r="NJJ224" s="19" t="str">
        <f>IF(NJJ220 = "", "", IFERROR(NJJ220 / SUMIFS(Aux_Totales!$N:$N, Aux_Totales!$F:$F, $F224, Aux_Totales!$A:$A,#REF!), 0))</f>
        <v/>
      </c>
      <c r="NJK224" s="19" t="str">
        <f>IF(NJK220 = "", "", IFERROR(NJK220 / SUMIFS(Aux_Totales!$N:$N, Aux_Totales!$F:$F, $F224, Aux_Totales!$A:$A,#REF!), 0))</f>
        <v/>
      </c>
      <c r="NJL224" s="19" t="str">
        <f>IF(NJL220 = "", "", IFERROR(NJL220 / SUMIFS(Aux_Totales!$N:$N, Aux_Totales!$F:$F, $F224, Aux_Totales!$A:$A,#REF!), 0))</f>
        <v/>
      </c>
      <c r="NJM224" s="19" t="str">
        <f>IF(NJM220 = "", "", IFERROR(NJM220 / SUMIFS(Aux_Totales!$N:$N, Aux_Totales!$F:$F, $F224, Aux_Totales!$A:$A,#REF!), 0))</f>
        <v/>
      </c>
      <c r="NJN224" s="19" t="str">
        <f>IF(NJN220 = "", "", IFERROR(NJN220 / SUMIFS(Aux_Totales!$N:$N, Aux_Totales!$F:$F, $F224, Aux_Totales!$A:$A,#REF!), 0))</f>
        <v/>
      </c>
      <c r="NJO224" s="19" t="str">
        <f>IF(NJO220 = "", "", IFERROR(NJO220 / SUMIFS(Aux_Totales!$N:$N, Aux_Totales!$F:$F, $F224, Aux_Totales!$A:$A,#REF!), 0))</f>
        <v/>
      </c>
      <c r="NJP224" s="19" t="str">
        <f>IF(NJP220 = "", "", IFERROR(NJP220 / SUMIFS(Aux_Totales!$N:$N, Aux_Totales!$F:$F, $F224, Aux_Totales!$A:$A,#REF!), 0))</f>
        <v/>
      </c>
      <c r="NJQ224" s="19" t="str">
        <f>IF(NJQ220 = "", "", IFERROR(NJQ220 / SUMIFS(Aux_Totales!$N:$N, Aux_Totales!$F:$F, $F224, Aux_Totales!$A:$A,#REF!), 0))</f>
        <v/>
      </c>
      <c r="NJR224" s="19" t="str">
        <f>IF(NJR220 = "", "", IFERROR(NJR220 / SUMIFS(Aux_Totales!$N:$N, Aux_Totales!$F:$F, $F224, Aux_Totales!$A:$A,#REF!), 0))</f>
        <v/>
      </c>
      <c r="NJS224" s="19" t="str">
        <f>IF(NJS220 = "", "", IFERROR(NJS220 / SUMIFS(Aux_Totales!$N:$N, Aux_Totales!$F:$F, $F224, Aux_Totales!$A:$A,#REF!), 0))</f>
        <v/>
      </c>
      <c r="NJT224" s="19" t="str">
        <f>IF(NJT220 = "", "", IFERROR(NJT220 / SUMIFS(Aux_Totales!$N:$N, Aux_Totales!$F:$F, $F224, Aux_Totales!$A:$A,#REF!), 0))</f>
        <v/>
      </c>
      <c r="NJU224" s="19" t="str">
        <f>IF(NJU220 = "", "", IFERROR(NJU220 / SUMIFS(Aux_Totales!$N:$N, Aux_Totales!$F:$F, $F224, Aux_Totales!$A:$A,#REF!), 0))</f>
        <v/>
      </c>
      <c r="NJV224" s="19" t="str">
        <f>IF(NJV220 = "", "", IFERROR(NJV220 / SUMIFS(Aux_Totales!$N:$N, Aux_Totales!$F:$F, $F224, Aux_Totales!$A:$A,#REF!), 0))</f>
        <v/>
      </c>
      <c r="NJW224" s="19" t="str">
        <f>IF(NJW220 = "", "", IFERROR(NJW220 / SUMIFS(Aux_Totales!$N:$N, Aux_Totales!$F:$F, $F224, Aux_Totales!$A:$A,#REF!), 0))</f>
        <v/>
      </c>
      <c r="NJX224" s="19" t="str">
        <f>IF(NJX220 = "", "", IFERROR(NJX220 / SUMIFS(Aux_Totales!$N:$N, Aux_Totales!$F:$F, $F224, Aux_Totales!$A:$A,#REF!), 0))</f>
        <v/>
      </c>
      <c r="NJY224" s="19" t="str">
        <f>IF(NJY220 = "", "", IFERROR(NJY220 / SUMIFS(Aux_Totales!$N:$N, Aux_Totales!$F:$F, $F224, Aux_Totales!$A:$A,#REF!), 0))</f>
        <v/>
      </c>
      <c r="NJZ224" s="19" t="str">
        <f>IF(NJZ220 = "", "", IFERROR(NJZ220 / SUMIFS(Aux_Totales!$N:$N, Aux_Totales!$F:$F, $F224, Aux_Totales!$A:$A,#REF!), 0))</f>
        <v/>
      </c>
      <c r="NKA224" s="19" t="str">
        <f>IF(NKA220 = "", "", IFERROR(NKA220 / SUMIFS(Aux_Totales!$N:$N, Aux_Totales!$F:$F, $F224, Aux_Totales!$A:$A,#REF!), 0))</f>
        <v/>
      </c>
      <c r="NKB224" s="19" t="str">
        <f>IF(NKB220 = "", "", IFERROR(NKB220 / SUMIFS(Aux_Totales!$N:$N, Aux_Totales!$F:$F, $F224, Aux_Totales!$A:$A,#REF!), 0))</f>
        <v/>
      </c>
      <c r="NKC224" s="19" t="str">
        <f>IF(NKC220 = "", "", IFERROR(NKC220 / SUMIFS(Aux_Totales!$N:$N, Aux_Totales!$F:$F, $F224, Aux_Totales!$A:$A,#REF!), 0))</f>
        <v/>
      </c>
      <c r="NKD224" s="19" t="str">
        <f>IF(NKD220 = "", "", IFERROR(NKD220 / SUMIFS(Aux_Totales!$N:$N, Aux_Totales!$F:$F, $F224, Aux_Totales!$A:$A,#REF!), 0))</f>
        <v/>
      </c>
      <c r="NKE224" s="19" t="str">
        <f>IF(NKE220 = "", "", IFERROR(NKE220 / SUMIFS(Aux_Totales!$N:$N, Aux_Totales!$F:$F, $F224, Aux_Totales!$A:$A,#REF!), 0))</f>
        <v/>
      </c>
      <c r="NKF224" s="19" t="str">
        <f>IF(NKF220 = "", "", IFERROR(NKF220 / SUMIFS(Aux_Totales!$N:$N, Aux_Totales!$F:$F, $F224, Aux_Totales!$A:$A,#REF!), 0))</f>
        <v/>
      </c>
      <c r="NKG224" s="19" t="str">
        <f>IF(NKG220 = "", "", IFERROR(NKG220 / SUMIFS(Aux_Totales!$N:$N, Aux_Totales!$F:$F, $F224, Aux_Totales!$A:$A,#REF!), 0))</f>
        <v/>
      </c>
      <c r="NKH224" s="19" t="str">
        <f>IF(NKH220 = "", "", IFERROR(NKH220 / SUMIFS(Aux_Totales!$N:$N, Aux_Totales!$F:$F, $F224, Aux_Totales!$A:$A,#REF!), 0))</f>
        <v/>
      </c>
      <c r="NKI224" s="19" t="str">
        <f>IF(NKI220 = "", "", IFERROR(NKI220 / SUMIFS(Aux_Totales!$N:$N, Aux_Totales!$F:$F, $F224, Aux_Totales!$A:$A,#REF!), 0))</f>
        <v/>
      </c>
      <c r="NKJ224" s="19" t="str">
        <f>IF(NKJ220 = "", "", IFERROR(NKJ220 / SUMIFS(Aux_Totales!$N:$N, Aux_Totales!$F:$F, $F224, Aux_Totales!$A:$A,#REF!), 0))</f>
        <v/>
      </c>
      <c r="NKK224" s="19" t="str">
        <f>IF(NKK220 = "", "", IFERROR(NKK220 / SUMIFS(Aux_Totales!$N:$N, Aux_Totales!$F:$F, $F224, Aux_Totales!$A:$A,#REF!), 0))</f>
        <v/>
      </c>
      <c r="NKL224" s="19" t="str">
        <f>IF(NKL220 = "", "", IFERROR(NKL220 / SUMIFS(Aux_Totales!$N:$N, Aux_Totales!$F:$F, $F224, Aux_Totales!$A:$A,#REF!), 0))</f>
        <v/>
      </c>
      <c r="NKM224" s="19" t="str">
        <f>IF(NKM220 = "", "", IFERROR(NKM220 / SUMIFS(Aux_Totales!$N:$N, Aux_Totales!$F:$F, $F224, Aux_Totales!$A:$A,#REF!), 0))</f>
        <v/>
      </c>
      <c r="NKN224" s="19" t="str">
        <f>IF(NKN220 = "", "", IFERROR(NKN220 / SUMIFS(Aux_Totales!$N:$N, Aux_Totales!$F:$F, $F224, Aux_Totales!$A:$A,#REF!), 0))</f>
        <v/>
      </c>
      <c r="NKO224" s="19" t="str">
        <f>IF(NKO220 = "", "", IFERROR(NKO220 / SUMIFS(Aux_Totales!$N:$N, Aux_Totales!$F:$F, $F224, Aux_Totales!$A:$A,#REF!), 0))</f>
        <v/>
      </c>
      <c r="NKP224" s="19" t="str">
        <f>IF(NKP220 = "", "", IFERROR(NKP220 / SUMIFS(Aux_Totales!$N:$N, Aux_Totales!$F:$F, $F224, Aux_Totales!$A:$A,#REF!), 0))</f>
        <v/>
      </c>
      <c r="NKQ224" s="19" t="str">
        <f>IF(NKQ220 = "", "", IFERROR(NKQ220 / SUMIFS(Aux_Totales!$N:$N, Aux_Totales!$F:$F, $F224, Aux_Totales!$A:$A,#REF!), 0))</f>
        <v/>
      </c>
      <c r="NKR224" s="19" t="str">
        <f>IF(NKR220 = "", "", IFERROR(NKR220 / SUMIFS(Aux_Totales!$N:$N, Aux_Totales!$F:$F, $F224, Aux_Totales!$A:$A,#REF!), 0))</f>
        <v/>
      </c>
      <c r="NKS224" s="19" t="str">
        <f>IF(NKS220 = "", "", IFERROR(NKS220 / SUMIFS(Aux_Totales!$N:$N, Aux_Totales!$F:$F, $F224, Aux_Totales!$A:$A,#REF!), 0))</f>
        <v/>
      </c>
      <c r="NKT224" s="19" t="str">
        <f>IF(NKT220 = "", "", IFERROR(NKT220 / SUMIFS(Aux_Totales!$N:$N, Aux_Totales!$F:$F, $F224, Aux_Totales!$A:$A,#REF!), 0))</f>
        <v/>
      </c>
      <c r="NKU224" s="19" t="str">
        <f>IF(NKU220 = "", "", IFERROR(NKU220 / SUMIFS(Aux_Totales!$N:$N, Aux_Totales!$F:$F, $F224, Aux_Totales!$A:$A,#REF!), 0))</f>
        <v/>
      </c>
      <c r="NKV224" s="19" t="str">
        <f>IF(NKV220 = "", "", IFERROR(NKV220 / SUMIFS(Aux_Totales!$N:$N, Aux_Totales!$F:$F, $F224, Aux_Totales!$A:$A,#REF!), 0))</f>
        <v/>
      </c>
      <c r="NKW224" s="19" t="str">
        <f>IF(NKW220 = "", "", IFERROR(NKW220 / SUMIFS(Aux_Totales!$N:$N, Aux_Totales!$F:$F, $F224, Aux_Totales!$A:$A,#REF!), 0))</f>
        <v/>
      </c>
      <c r="NKX224" s="19" t="str">
        <f>IF(NKX220 = "", "", IFERROR(NKX220 / SUMIFS(Aux_Totales!$N:$N, Aux_Totales!$F:$F, $F224, Aux_Totales!$A:$A,#REF!), 0))</f>
        <v/>
      </c>
      <c r="NKY224" s="19" t="str">
        <f>IF(NKY220 = "", "", IFERROR(NKY220 / SUMIFS(Aux_Totales!$N:$N, Aux_Totales!$F:$F, $F224, Aux_Totales!$A:$A,#REF!), 0))</f>
        <v/>
      </c>
      <c r="NKZ224" s="19" t="str">
        <f>IF(NKZ220 = "", "", IFERROR(NKZ220 / SUMIFS(Aux_Totales!$N:$N, Aux_Totales!$F:$F, $F224, Aux_Totales!$A:$A,#REF!), 0))</f>
        <v/>
      </c>
      <c r="NLA224" s="19" t="str">
        <f>IF(NLA220 = "", "", IFERROR(NLA220 / SUMIFS(Aux_Totales!$N:$N, Aux_Totales!$F:$F, $F224, Aux_Totales!$A:$A,#REF!), 0))</f>
        <v/>
      </c>
      <c r="NLB224" s="19" t="str">
        <f>IF(NLB220 = "", "", IFERROR(NLB220 / SUMIFS(Aux_Totales!$N:$N, Aux_Totales!$F:$F, $F224, Aux_Totales!$A:$A,#REF!), 0))</f>
        <v/>
      </c>
      <c r="NLC224" s="19" t="str">
        <f>IF(NLC220 = "", "", IFERROR(NLC220 / SUMIFS(Aux_Totales!$N:$N, Aux_Totales!$F:$F, $F224, Aux_Totales!$A:$A,#REF!), 0))</f>
        <v/>
      </c>
      <c r="NLD224" s="19" t="str">
        <f>IF(NLD220 = "", "", IFERROR(NLD220 / SUMIFS(Aux_Totales!$N:$N, Aux_Totales!$F:$F, $F224, Aux_Totales!$A:$A,#REF!), 0))</f>
        <v/>
      </c>
      <c r="NLE224" s="19" t="str">
        <f>IF(NLE220 = "", "", IFERROR(NLE220 / SUMIFS(Aux_Totales!$N:$N, Aux_Totales!$F:$F, $F224, Aux_Totales!$A:$A,#REF!), 0))</f>
        <v/>
      </c>
      <c r="NLF224" s="19" t="str">
        <f>IF(NLF220 = "", "", IFERROR(NLF220 / SUMIFS(Aux_Totales!$N:$N, Aux_Totales!$F:$F, $F224, Aux_Totales!$A:$A,#REF!), 0))</f>
        <v/>
      </c>
      <c r="NLG224" s="19" t="str">
        <f>IF(NLG220 = "", "", IFERROR(NLG220 / SUMIFS(Aux_Totales!$N:$N, Aux_Totales!$F:$F, $F224, Aux_Totales!$A:$A,#REF!), 0))</f>
        <v/>
      </c>
      <c r="NLH224" s="19" t="str">
        <f>IF(NLH220 = "", "", IFERROR(NLH220 / SUMIFS(Aux_Totales!$N:$N, Aux_Totales!$F:$F, $F224, Aux_Totales!$A:$A,#REF!), 0))</f>
        <v/>
      </c>
      <c r="NLI224" s="19" t="str">
        <f>IF(NLI220 = "", "", IFERROR(NLI220 / SUMIFS(Aux_Totales!$N:$N, Aux_Totales!$F:$F, $F224, Aux_Totales!$A:$A,#REF!), 0))</f>
        <v/>
      </c>
      <c r="NLJ224" s="19" t="str">
        <f>IF(NLJ220 = "", "", IFERROR(NLJ220 / SUMIFS(Aux_Totales!$N:$N, Aux_Totales!$F:$F, $F224, Aux_Totales!$A:$A,#REF!), 0))</f>
        <v/>
      </c>
      <c r="NLK224" s="19" t="str">
        <f>IF(NLK220 = "", "", IFERROR(NLK220 / SUMIFS(Aux_Totales!$N:$N, Aux_Totales!$F:$F, $F224, Aux_Totales!$A:$A,#REF!), 0))</f>
        <v/>
      </c>
      <c r="NLL224" s="19" t="str">
        <f>IF(NLL220 = "", "", IFERROR(NLL220 / SUMIFS(Aux_Totales!$N:$N, Aux_Totales!$F:$F, $F224, Aux_Totales!$A:$A,#REF!), 0))</f>
        <v/>
      </c>
      <c r="NLM224" s="19" t="str">
        <f>IF(NLM220 = "", "", IFERROR(NLM220 / SUMIFS(Aux_Totales!$N:$N, Aux_Totales!$F:$F, $F224, Aux_Totales!$A:$A,#REF!), 0))</f>
        <v/>
      </c>
      <c r="NLN224" s="19" t="str">
        <f>IF(NLN220 = "", "", IFERROR(NLN220 / SUMIFS(Aux_Totales!$N:$N, Aux_Totales!$F:$F, $F224, Aux_Totales!$A:$A,#REF!), 0))</f>
        <v/>
      </c>
      <c r="NLO224" s="19" t="str">
        <f>IF(NLO220 = "", "", IFERROR(NLO220 / SUMIFS(Aux_Totales!$N:$N, Aux_Totales!$F:$F, $F224, Aux_Totales!$A:$A,#REF!), 0))</f>
        <v/>
      </c>
      <c r="NLP224" s="19" t="str">
        <f>IF(NLP220 = "", "", IFERROR(NLP220 / SUMIFS(Aux_Totales!$N:$N, Aux_Totales!$F:$F, $F224, Aux_Totales!$A:$A,#REF!), 0))</f>
        <v/>
      </c>
      <c r="NLQ224" s="19" t="str">
        <f>IF(NLQ220 = "", "", IFERROR(NLQ220 / SUMIFS(Aux_Totales!$N:$N, Aux_Totales!$F:$F, $F224, Aux_Totales!$A:$A,#REF!), 0))</f>
        <v/>
      </c>
      <c r="NLR224" s="19" t="str">
        <f>IF(NLR220 = "", "", IFERROR(NLR220 / SUMIFS(Aux_Totales!$N:$N, Aux_Totales!$F:$F, $F224, Aux_Totales!$A:$A,#REF!), 0))</f>
        <v/>
      </c>
      <c r="NLS224" s="19" t="str">
        <f>IF(NLS220 = "", "", IFERROR(NLS220 / SUMIFS(Aux_Totales!$N:$N, Aux_Totales!$F:$F, $F224, Aux_Totales!$A:$A,#REF!), 0))</f>
        <v/>
      </c>
      <c r="NLT224" s="19" t="str">
        <f>IF(NLT220 = "", "", IFERROR(NLT220 / SUMIFS(Aux_Totales!$N:$N, Aux_Totales!$F:$F, $F224, Aux_Totales!$A:$A,#REF!), 0))</f>
        <v/>
      </c>
      <c r="NLU224" s="19" t="str">
        <f>IF(NLU220 = "", "", IFERROR(NLU220 / SUMIFS(Aux_Totales!$N:$N, Aux_Totales!$F:$F, $F224, Aux_Totales!$A:$A,#REF!), 0))</f>
        <v/>
      </c>
      <c r="NLV224" s="19" t="str">
        <f>IF(NLV220 = "", "", IFERROR(NLV220 / SUMIFS(Aux_Totales!$N:$N, Aux_Totales!$F:$F, $F224, Aux_Totales!$A:$A,#REF!), 0))</f>
        <v/>
      </c>
      <c r="NLW224" s="19" t="str">
        <f>IF(NLW220 = "", "", IFERROR(NLW220 / SUMIFS(Aux_Totales!$N:$N, Aux_Totales!$F:$F, $F224, Aux_Totales!$A:$A,#REF!), 0))</f>
        <v/>
      </c>
      <c r="NLX224" s="19" t="str">
        <f>IF(NLX220 = "", "", IFERROR(NLX220 / SUMIFS(Aux_Totales!$N:$N, Aux_Totales!$F:$F, $F224, Aux_Totales!$A:$A,#REF!), 0))</f>
        <v/>
      </c>
      <c r="NLY224" s="19" t="str">
        <f>IF(NLY220 = "", "", IFERROR(NLY220 / SUMIFS(Aux_Totales!$N:$N, Aux_Totales!$F:$F, $F224, Aux_Totales!$A:$A,#REF!), 0))</f>
        <v/>
      </c>
      <c r="NLZ224" s="19" t="str">
        <f>IF(NLZ220 = "", "", IFERROR(NLZ220 / SUMIFS(Aux_Totales!$N:$N, Aux_Totales!$F:$F, $F224, Aux_Totales!$A:$A,#REF!), 0))</f>
        <v/>
      </c>
      <c r="NMA224" s="19" t="str">
        <f>IF(NMA220 = "", "", IFERROR(NMA220 / SUMIFS(Aux_Totales!$N:$N, Aux_Totales!$F:$F, $F224, Aux_Totales!$A:$A,#REF!), 0))</f>
        <v/>
      </c>
      <c r="NMB224" s="19" t="str">
        <f>IF(NMB220 = "", "", IFERROR(NMB220 / SUMIFS(Aux_Totales!$N:$N, Aux_Totales!$F:$F, $F224, Aux_Totales!$A:$A,#REF!), 0))</f>
        <v/>
      </c>
      <c r="NMC224" s="19" t="str">
        <f>IF(NMC220 = "", "", IFERROR(NMC220 / SUMIFS(Aux_Totales!$N:$N, Aux_Totales!$F:$F, $F224, Aux_Totales!$A:$A,#REF!), 0))</f>
        <v/>
      </c>
      <c r="NMD224" s="19" t="str">
        <f>IF(NMD220 = "", "", IFERROR(NMD220 / SUMIFS(Aux_Totales!$N:$N, Aux_Totales!$F:$F, $F224, Aux_Totales!$A:$A,#REF!), 0))</f>
        <v/>
      </c>
      <c r="NME224" s="19" t="str">
        <f>IF(NME220 = "", "", IFERROR(NME220 / SUMIFS(Aux_Totales!$N:$N, Aux_Totales!$F:$F, $F224, Aux_Totales!$A:$A,#REF!), 0))</f>
        <v/>
      </c>
      <c r="NMF224" s="19" t="str">
        <f>IF(NMF220 = "", "", IFERROR(NMF220 / SUMIFS(Aux_Totales!$N:$N, Aux_Totales!$F:$F, $F224, Aux_Totales!$A:$A,#REF!), 0))</f>
        <v/>
      </c>
      <c r="NMG224" s="19" t="str">
        <f>IF(NMG220 = "", "", IFERROR(NMG220 / SUMIFS(Aux_Totales!$N:$N, Aux_Totales!$F:$F, $F224, Aux_Totales!$A:$A,#REF!), 0))</f>
        <v/>
      </c>
      <c r="NMH224" s="19" t="str">
        <f>IF(NMH220 = "", "", IFERROR(NMH220 / SUMIFS(Aux_Totales!$N:$N, Aux_Totales!$F:$F, $F224, Aux_Totales!$A:$A,#REF!), 0))</f>
        <v/>
      </c>
      <c r="NMI224" s="19" t="str">
        <f>IF(NMI220 = "", "", IFERROR(NMI220 / SUMIFS(Aux_Totales!$N:$N, Aux_Totales!$F:$F, $F224, Aux_Totales!$A:$A,#REF!), 0))</f>
        <v/>
      </c>
      <c r="NMJ224" s="19" t="str">
        <f>IF(NMJ220 = "", "", IFERROR(NMJ220 / SUMIFS(Aux_Totales!$N:$N, Aux_Totales!$F:$F, $F224, Aux_Totales!$A:$A,#REF!), 0))</f>
        <v/>
      </c>
      <c r="NMK224" s="19" t="str">
        <f>IF(NMK220 = "", "", IFERROR(NMK220 / SUMIFS(Aux_Totales!$N:$N, Aux_Totales!$F:$F, $F224, Aux_Totales!$A:$A,#REF!), 0))</f>
        <v/>
      </c>
      <c r="NML224" s="19" t="str">
        <f>IF(NML220 = "", "", IFERROR(NML220 / SUMIFS(Aux_Totales!$N:$N, Aux_Totales!$F:$F, $F224, Aux_Totales!$A:$A,#REF!), 0))</f>
        <v/>
      </c>
      <c r="NMM224" s="19" t="str">
        <f>IF(NMM220 = "", "", IFERROR(NMM220 / SUMIFS(Aux_Totales!$N:$N, Aux_Totales!$F:$F, $F224, Aux_Totales!$A:$A,#REF!), 0))</f>
        <v/>
      </c>
      <c r="NMN224" s="19" t="str">
        <f>IF(NMN220 = "", "", IFERROR(NMN220 / SUMIFS(Aux_Totales!$N:$N, Aux_Totales!$F:$F, $F224, Aux_Totales!$A:$A,#REF!), 0))</f>
        <v/>
      </c>
      <c r="NMO224" s="19" t="str">
        <f>IF(NMO220 = "", "", IFERROR(NMO220 / SUMIFS(Aux_Totales!$N:$N, Aux_Totales!$F:$F, $F224, Aux_Totales!$A:$A,#REF!), 0))</f>
        <v/>
      </c>
      <c r="NMP224" s="19" t="str">
        <f>IF(NMP220 = "", "", IFERROR(NMP220 / SUMIFS(Aux_Totales!$N:$N, Aux_Totales!$F:$F, $F224, Aux_Totales!$A:$A,#REF!), 0))</f>
        <v/>
      </c>
      <c r="NMQ224" s="19" t="str">
        <f>IF(NMQ220 = "", "", IFERROR(NMQ220 / SUMIFS(Aux_Totales!$N:$N, Aux_Totales!$F:$F, $F224, Aux_Totales!$A:$A,#REF!), 0))</f>
        <v/>
      </c>
      <c r="NMR224" s="19" t="str">
        <f>IF(NMR220 = "", "", IFERROR(NMR220 / SUMIFS(Aux_Totales!$N:$N, Aux_Totales!$F:$F, $F224, Aux_Totales!$A:$A,#REF!), 0))</f>
        <v/>
      </c>
      <c r="NMS224" s="19" t="str">
        <f>IF(NMS220 = "", "", IFERROR(NMS220 / SUMIFS(Aux_Totales!$N:$N, Aux_Totales!$F:$F, $F224, Aux_Totales!$A:$A,#REF!), 0))</f>
        <v/>
      </c>
      <c r="NMT224" s="19" t="str">
        <f>IF(NMT220 = "", "", IFERROR(NMT220 / SUMIFS(Aux_Totales!$N:$N, Aux_Totales!$F:$F, $F224, Aux_Totales!$A:$A,#REF!), 0))</f>
        <v/>
      </c>
      <c r="NMU224" s="19" t="str">
        <f>IF(NMU220 = "", "", IFERROR(NMU220 / SUMIFS(Aux_Totales!$N:$N, Aux_Totales!$F:$F, $F224, Aux_Totales!$A:$A,#REF!), 0))</f>
        <v/>
      </c>
      <c r="NMV224" s="19" t="str">
        <f>IF(NMV220 = "", "", IFERROR(NMV220 / SUMIFS(Aux_Totales!$N:$N, Aux_Totales!$F:$F, $F224, Aux_Totales!$A:$A,#REF!), 0))</f>
        <v/>
      </c>
      <c r="NMW224" s="19" t="str">
        <f>IF(NMW220 = "", "", IFERROR(NMW220 / SUMIFS(Aux_Totales!$N:$N, Aux_Totales!$F:$F, $F224, Aux_Totales!$A:$A,#REF!), 0))</f>
        <v/>
      </c>
      <c r="NMX224" s="19" t="str">
        <f>IF(NMX220 = "", "", IFERROR(NMX220 / SUMIFS(Aux_Totales!$N:$N, Aux_Totales!$F:$F, $F224, Aux_Totales!$A:$A,#REF!), 0))</f>
        <v/>
      </c>
      <c r="NMY224" s="19" t="str">
        <f>IF(NMY220 = "", "", IFERROR(NMY220 / SUMIFS(Aux_Totales!$N:$N, Aux_Totales!$F:$F, $F224, Aux_Totales!$A:$A,#REF!), 0))</f>
        <v/>
      </c>
      <c r="NMZ224" s="19" t="str">
        <f>IF(NMZ220 = "", "", IFERROR(NMZ220 / SUMIFS(Aux_Totales!$N:$N, Aux_Totales!$F:$F, $F224, Aux_Totales!$A:$A,#REF!), 0))</f>
        <v/>
      </c>
      <c r="NNA224" s="19" t="str">
        <f>IF(NNA220 = "", "", IFERROR(NNA220 / SUMIFS(Aux_Totales!$N:$N, Aux_Totales!$F:$F, $F224, Aux_Totales!$A:$A,#REF!), 0))</f>
        <v/>
      </c>
      <c r="NNB224" s="19" t="str">
        <f>IF(NNB220 = "", "", IFERROR(NNB220 / SUMIFS(Aux_Totales!$N:$N, Aux_Totales!$F:$F, $F224, Aux_Totales!$A:$A,#REF!), 0))</f>
        <v/>
      </c>
      <c r="NNC224" s="19" t="str">
        <f>IF(NNC220 = "", "", IFERROR(NNC220 / SUMIFS(Aux_Totales!$N:$N, Aux_Totales!$F:$F, $F224, Aux_Totales!$A:$A,#REF!), 0))</f>
        <v/>
      </c>
      <c r="NND224" s="19" t="str">
        <f>IF(NND220 = "", "", IFERROR(NND220 / SUMIFS(Aux_Totales!$N:$N, Aux_Totales!$F:$F, $F224, Aux_Totales!$A:$A,#REF!), 0))</f>
        <v/>
      </c>
      <c r="NNE224" s="19" t="str">
        <f>IF(NNE220 = "", "", IFERROR(NNE220 / SUMIFS(Aux_Totales!$N:$N, Aux_Totales!$F:$F, $F224, Aux_Totales!$A:$A,#REF!), 0))</f>
        <v/>
      </c>
      <c r="NNF224" s="19" t="str">
        <f>IF(NNF220 = "", "", IFERROR(NNF220 / SUMIFS(Aux_Totales!$N:$N, Aux_Totales!$F:$F, $F224, Aux_Totales!$A:$A,#REF!), 0))</f>
        <v/>
      </c>
      <c r="NNG224" s="19" t="str">
        <f>IF(NNG220 = "", "", IFERROR(NNG220 / SUMIFS(Aux_Totales!$N:$N, Aux_Totales!$F:$F, $F224, Aux_Totales!$A:$A,#REF!), 0))</f>
        <v/>
      </c>
      <c r="NNH224" s="19" t="str">
        <f>IF(NNH220 = "", "", IFERROR(NNH220 / SUMIFS(Aux_Totales!$N:$N, Aux_Totales!$F:$F, $F224, Aux_Totales!$A:$A,#REF!), 0))</f>
        <v/>
      </c>
      <c r="NNI224" s="19" t="str">
        <f>IF(NNI220 = "", "", IFERROR(NNI220 / SUMIFS(Aux_Totales!$N:$N, Aux_Totales!$F:$F, $F224, Aux_Totales!$A:$A,#REF!), 0))</f>
        <v/>
      </c>
      <c r="NNJ224" s="19" t="str">
        <f>IF(NNJ220 = "", "", IFERROR(NNJ220 / SUMIFS(Aux_Totales!$N:$N, Aux_Totales!$F:$F, $F224, Aux_Totales!$A:$A,#REF!), 0))</f>
        <v/>
      </c>
      <c r="NNK224" s="19" t="str">
        <f>IF(NNK220 = "", "", IFERROR(NNK220 / SUMIFS(Aux_Totales!$N:$N, Aux_Totales!$F:$F, $F224, Aux_Totales!$A:$A,#REF!), 0))</f>
        <v/>
      </c>
      <c r="NNL224" s="19" t="str">
        <f>IF(NNL220 = "", "", IFERROR(NNL220 / SUMIFS(Aux_Totales!$N:$N, Aux_Totales!$F:$F, $F224, Aux_Totales!$A:$A,#REF!), 0))</f>
        <v/>
      </c>
      <c r="NNM224" s="19" t="str">
        <f>IF(NNM220 = "", "", IFERROR(NNM220 / SUMIFS(Aux_Totales!$N:$N, Aux_Totales!$F:$F, $F224, Aux_Totales!$A:$A,#REF!), 0))</f>
        <v/>
      </c>
      <c r="NNN224" s="19" t="str">
        <f>IF(NNN220 = "", "", IFERROR(NNN220 / SUMIFS(Aux_Totales!$N:$N, Aux_Totales!$F:$F, $F224, Aux_Totales!$A:$A,#REF!), 0))</f>
        <v/>
      </c>
      <c r="NNO224" s="19" t="str">
        <f>IF(NNO220 = "", "", IFERROR(NNO220 / SUMIFS(Aux_Totales!$N:$N, Aux_Totales!$F:$F, $F224, Aux_Totales!$A:$A,#REF!), 0))</f>
        <v/>
      </c>
      <c r="NNP224" s="19" t="str">
        <f>IF(NNP220 = "", "", IFERROR(NNP220 / SUMIFS(Aux_Totales!$N:$N, Aux_Totales!$F:$F, $F224, Aux_Totales!$A:$A,#REF!), 0))</f>
        <v/>
      </c>
      <c r="NNQ224" s="19" t="str">
        <f>IF(NNQ220 = "", "", IFERROR(NNQ220 / SUMIFS(Aux_Totales!$N:$N, Aux_Totales!$F:$F, $F224, Aux_Totales!$A:$A,#REF!), 0))</f>
        <v/>
      </c>
      <c r="NNR224" s="19" t="str">
        <f>IF(NNR220 = "", "", IFERROR(NNR220 / SUMIFS(Aux_Totales!$N:$N, Aux_Totales!$F:$F, $F224, Aux_Totales!$A:$A,#REF!), 0))</f>
        <v/>
      </c>
      <c r="NNS224" s="19" t="str">
        <f>IF(NNS220 = "", "", IFERROR(NNS220 / SUMIFS(Aux_Totales!$N:$N, Aux_Totales!$F:$F, $F224, Aux_Totales!$A:$A,#REF!), 0))</f>
        <v/>
      </c>
      <c r="NNT224" s="19" t="str">
        <f>IF(NNT220 = "", "", IFERROR(NNT220 / SUMIFS(Aux_Totales!$N:$N, Aux_Totales!$F:$F, $F224, Aux_Totales!$A:$A,#REF!), 0))</f>
        <v/>
      </c>
      <c r="NNU224" s="19" t="str">
        <f>IF(NNU220 = "", "", IFERROR(NNU220 / SUMIFS(Aux_Totales!$N:$N, Aux_Totales!$F:$F, $F224, Aux_Totales!$A:$A,#REF!), 0))</f>
        <v/>
      </c>
      <c r="NNV224" s="19" t="str">
        <f>IF(NNV220 = "", "", IFERROR(NNV220 / SUMIFS(Aux_Totales!$N:$N, Aux_Totales!$F:$F, $F224, Aux_Totales!$A:$A,#REF!), 0))</f>
        <v/>
      </c>
      <c r="NNW224" s="19" t="str">
        <f>IF(NNW220 = "", "", IFERROR(NNW220 / SUMIFS(Aux_Totales!$N:$N, Aux_Totales!$F:$F, $F224, Aux_Totales!$A:$A,#REF!), 0))</f>
        <v/>
      </c>
      <c r="NNX224" s="19" t="str">
        <f>IF(NNX220 = "", "", IFERROR(NNX220 / SUMIFS(Aux_Totales!$N:$N, Aux_Totales!$F:$F, $F224, Aux_Totales!$A:$A,#REF!), 0))</f>
        <v/>
      </c>
      <c r="NNY224" s="19" t="str">
        <f>IF(NNY220 = "", "", IFERROR(NNY220 / SUMIFS(Aux_Totales!$N:$N, Aux_Totales!$F:$F, $F224, Aux_Totales!$A:$A,#REF!), 0))</f>
        <v/>
      </c>
      <c r="NNZ224" s="19" t="str">
        <f>IF(NNZ220 = "", "", IFERROR(NNZ220 / SUMIFS(Aux_Totales!$N:$N, Aux_Totales!$F:$F, $F224, Aux_Totales!$A:$A,#REF!), 0))</f>
        <v/>
      </c>
      <c r="NOA224" s="19" t="str">
        <f>IF(NOA220 = "", "", IFERROR(NOA220 / SUMIFS(Aux_Totales!$N:$N, Aux_Totales!$F:$F, $F224, Aux_Totales!$A:$A,#REF!), 0))</f>
        <v/>
      </c>
      <c r="NOB224" s="19" t="str">
        <f>IF(NOB220 = "", "", IFERROR(NOB220 / SUMIFS(Aux_Totales!$N:$N, Aux_Totales!$F:$F, $F224, Aux_Totales!$A:$A,#REF!), 0))</f>
        <v/>
      </c>
      <c r="NOC224" s="19" t="str">
        <f>IF(NOC220 = "", "", IFERROR(NOC220 / SUMIFS(Aux_Totales!$N:$N, Aux_Totales!$F:$F, $F224, Aux_Totales!$A:$A,#REF!), 0))</f>
        <v/>
      </c>
      <c r="NOD224" s="19" t="str">
        <f>IF(NOD220 = "", "", IFERROR(NOD220 / SUMIFS(Aux_Totales!$N:$N, Aux_Totales!$F:$F, $F224, Aux_Totales!$A:$A,#REF!), 0))</f>
        <v/>
      </c>
      <c r="NOE224" s="19" t="str">
        <f>IF(NOE220 = "", "", IFERROR(NOE220 / SUMIFS(Aux_Totales!$N:$N, Aux_Totales!$F:$F, $F224, Aux_Totales!$A:$A,#REF!), 0))</f>
        <v/>
      </c>
      <c r="NOF224" s="19" t="str">
        <f>IF(NOF220 = "", "", IFERROR(NOF220 / SUMIFS(Aux_Totales!$N:$N, Aux_Totales!$F:$F, $F224, Aux_Totales!$A:$A,#REF!), 0))</f>
        <v/>
      </c>
      <c r="NOG224" s="19" t="str">
        <f>IF(NOG220 = "", "", IFERROR(NOG220 / SUMIFS(Aux_Totales!$N:$N, Aux_Totales!$F:$F, $F224, Aux_Totales!$A:$A,#REF!), 0))</f>
        <v/>
      </c>
      <c r="NOH224" s="19" t="str">
        <f>IF(NOH220 = "", "", IFERROR(NOH220 / SUMIFS(Aux_Totales!$N:$N, Aux_Totales!$F:$F, $F224, Aux_Totales!$A:$A,#REF!), 0))</f>
        <v/>
      </c>
      <c r="NOI224" s="19" t="str">
        <f>IF(NOI220 = "", "", IFERROR(NOI220 / SUMIFS(Aux_Totales!$N:$N, Aux_Totales!$F:$F, $F224, Aux_Totales!$A:$A,#REF!), 0))</f>
        <v/>
      </c>
      <c r="NOJ224" s="19" t="str">
        <f>IF(NOJ220 = "", "", IFERROR(NOJ220 / SUMIFS(Aux_Totales!$N:$N, Aux_Totales!$F:$F, $F224, Aux_Totales!$A:$A,#REF!), 0))</f>
        <v/>
      </c>
      <c r="NOK224" s="19" t="str">
        <f>IF(NOK220 = "", "", IFERROR(NOK220 / SUMIFS(Aux_Totales!$N:$N, Aux_Totales!$F:$F, $F224, Aux_Totales!$A:$A,#REF!), 0))</f>
        <v/>
      </c>
      <c r="NOL224" s="19" t="str">
        <f>IF(NOL220 = "", "", IFERROR(NOL220 / SUMIFS(Aux_Totales!$N:$N, Aux_Totales!$F:$F, $F224, Aux_Totales!$A:$A,#REF!), 0))</f>
        <v/>
      </c>
      <c r="NOM224" s="19" t="str">
        <f>IF(NOM220 = "", "", IFERROR(NOM220 / SUMIFS(Aux_Totales!$N:$N, Aux_Totales!$F:$F, $F224, Aux_Totales!$A:$A,#REF!), 0))</f>
        <v/>
      </c>
      <c r="NON224" s="19" t="str">
        <f>IF(NON220 = "", "", IFERROR(NON220 / SUMIFS(Aux_Totales!$N:$N, Aux_Totales!$F:$F, $F224, Aux_Totales!$A:$A,#REF!), 0))</f>
        <v/>
      </c>
      <c r="NOO224" s="19" t="str">
        <f>IF(NOO220 = "", "", IFERROR(NOO220 / SUMIFS(Aux_Totales!$N:$N, Aux_Totales!$F:$F, $F224, Aux_Totales!$A:$A,#REF!), 0))</f>
        <v/>
      </c>
      <c r="NOP224" s="19" t="str">
        <f>IF(NOP220 = "", "", IFERROR(NOP220 / SUMIFS(Aux_Totales!$N:$N, Aux_Totales!$F:$F, $F224, Aux_Totales!$A:$A,#REF!), 0))</f>
        <v/>
      </c>
      <c r="NOQ224" s="19" t="str">
        <f>IF(NOQ220 = "", "", IFERROR(NOQ220 / SUMIFS(Aux_Totales!$N:$N, Aux_Totales!$F:$F, $F224, Aux_Totales!$A:$A,#REF!), 0))</f>
        <v/>
      </c>
      <c r="NOR224" s="19" t="str">
        <f>IF(NOR220 = "", "", IFERROR(NOR220 / SUMIFS(Aux_Totales!$N:$N, Aux_Totales!$F:$F, $F224, Aux_Totales!$A:$A,#REF!), 0))</f>
        <v/>
      </c>
      <c r="NOS224" s="19" t="str">
        <f>IF(NOS220 = "", "", IFERROR(NOS220 / SUMIFS(Aux_Totales!$N:$N, Aux_Totales!$F:$F, $F224, Aux_Totales!$A:$A,#REF!), 0))</f>
        <v/>
      </c>
      <c r="NOT224" s="19" t="str">
        <f>IF(NOT220 = "", "", IFERROR(NOT220 / SUMIFS(Aux_Totales!$N:$N, Aux_Totales!$F:$F, $F224, Aux_Totales!$A:$A,#REF!), 0))</f>
        <v/>
      </c>
      <c r="NOU224" s="19" t="str">
        <f>IF(NOU220 = "", "", IFERROR(NOU220 / SUMIFS(Aux_Totales!$N:$N, Aux_Totales!$F:$F, $F224, Aux_Totales!$A:$A,#REF!), 0))</f>
        <v/>
      </c>
      <c r="NOV224" s="19" t="str">
        <f>IF(NOV220 = "", "", IFERROR(NOV220 / SUMIFS(Aux_Totales!$N:$N, Aux_Totales!$F:$F, $F224, Aux_Totales!$A:$A,#REF!), 0))</f>
        <v/>
      </c>
      <c r="NOW224" s="19" t="str">
        <f>IF(NOW220 = "", "", IFERROR(NOW220 / SUMIFS(Aux_Totales!$N:$N, Aux_Totales!$F:$F, $F224, Aux_Totales!$A:$A,#REF!), 0))</f>
        <v/>
      </c>
      <c r="NOX224" s="19" t="str">
        <f>IF(NOX220 = "", "", IFERROR(NOX220 / SUMIFS(Aux_Totales!$N:$N, Aux_Totales!$F:$F, $F224, Aux_Totales!$A:$A,#REF!), 0))</f>
        <v/>
      </c>
      <c r="NOY224" s="19" t="str">
        <f>IF(NOY220 = "", "", IFERROR(NOY220 / SUMIFS(Aux_Totales!$N:$N, Aux_Totales!$F:$F, $F224, Aux_Totales!$A:$A,#REF!), 0))</f>
        <v/>
      </c>
      <c r="NOZ224" s="19" t="str">
        <f>IF(NOZ220 = "", "", IFERROR(NOZ220 / SUMIFS(Aux_Totales!$N:$N, Aux_Totales!$F:$F, $F224, Aux_Totales!$A:$A,#REF!), 0))</f>
        <v/>
      </c>
      <c r="NPA224" s="19" t="str">
        <f>IF(NPA220 = "", "", IFERROR(NPA220 / SUMIFS(Aux_Totales!$N:$N, Aux_Totales!$F:$F, $F224, Aux_Totales!$A:$A,#REF!), 0))</f>
        <v/>
      </c>
      <c r="NPB224" s="19" t="str">
        <f>IF(NPB220 = "", "", IFERROR(NPB220 / SUMIFS(Aux_Totales!$N:$N, Aux_Totales!$F:$F, $F224, Aux_Totales!$A:$A,#REF!), 0))</f>
        <v/>
      </c>
      <c r="NPC224" s="19" t="str">
        <f>IF(NPC220 = "", "", IFERROR(NPC220 / SUMIFS(Aux_Totales!$N:$N, Aux_Totales!$F:$F, $F224, Aux_Totales!$A:$A,#REF!), 0))</f>
        <v/>
      </c>
      <c r="NPD224" s="19" t="str">
        <f>IF(NPD220 = "", "", IFERROR(NPD220 / SUMIFS(Aux_Totales!$N:$N, Aux_Totales!$F:$F, $F224, Aux_Totales!$A:$A,#REF!), 0))</f>
        <v/>
      </c>
      <c r="NPE224" s="19" t="str">
        <f>IF(NPE220 = "", "", IFERROR(NPE220 / SUMIFS(Aux_Totales!$N:$N, Aux_Totales!$F:$F, $F224, Aux_Totales!$A:$A,#REF!), 0))</f>
        <v/>
      </c>
      <c r="NPF224" s="19" t="str">
        <f>IF(NPF220 = "", "", IFERROR(NPF220 / SUMIFS(Aux_Totales!$N:$N, Aux_Totales!$F:$F, $F224, Aux_Totales!$A:$A,#REF!), 0))</f>
        <v/>
      </c>
      <c r="NPG224" s="19" t="str">
        <f>IF(NPG220 = "", "", IFERROR(NPG220 / SUMIFS(Aux_Totales!$N:$N, Aux_Totales!$F:$F, $F224, Aux_Totales!$A:$A,#REF!), 0))</f>
        <v/>
      </c>
      <c r="NPH224" s="19" t="str">
        <f>IF(NPH220 = "", "", IFERROR(NPH220 / SUMIFS(Aux_Totales!$N:$N, Aux_Totales!$F:$F, $F224, Aux_Totales!$A:$A,#REF!), 0))</f>
        <v/>
      </c>
      <c r="NPI224" s="19" t="str">
        <f>IF(NPI220 = "", "", IFERROR(NPI220 / SUMIFS(Aux_Totales!$N:$N, Aux_Totales!$F:$F, $F224, Aux_Totales!$A:$A,#REF!), 0))</f>
        <v/>
      </c>
      <c r="NPJ224" s="19" t="str">
        <f>IF(NPJ220 = "", "", IFERROR(NPJ220 / SUMIFS(Aux_Totales!$N:$N, Aux_Totales!$F:$F, $F224, Aux_Totales!$A:$A,#REF!), 0))</f>
        <v/>
      </c>
      <c r="NPK224" s="19" t="str">
        <f>IF(NPK220 = "", "", IFERROR(NPK220 / SUMIFS(Aux_Totales!$N:$N, Aux_Totales!$F:$F, $F224, Aux_Totales!$A:$A,#REF!), 0))</f>
        <v/>
      </c>
      <c r="NPL224" s="19" t="str">
        <f>IF(NPL220 = "", "", IFERROR(NPL220 / SUMIFS(Aux_Totales!$N:$N, Aux_Totales!$F:$F, $F224, Aux_Totales!$A:$A,#REF!), 0))</f>
        <v/>
      </c>
      <c r="NPM224" s="19" t="str">
        <f>IF(NPM220 = "", "", IFERROR(NPM220 / SUMIFS(Aux_Totales!$N:$N, Aux_Totales!$F:$F, $F224, Aux_Totales!$A:$A,#REF!), 0))</f>
        <v/>
      </c>
      <c r="NPN224" s="19" t="str">
        <f>IF(NPN220 = "", "", IFERROR(NPN220 / SUMIFS(Aux_Totales!$N:$N, Aux_Totales!$F:$F, $F224, Aux_Totales!$A:$A,#REF!), 0))</f>
        <v/>
      </c>
      <c r="NPO224" s="19" t="str">
        <f>IF(NPO220 = "", "", IFERROR(NPO220 / SUMIFS(Aux_Totales!$N:$N, Aux_Totales!$F:$F, $F224, Aux_Totales!$A:$A,#REF!), 0))</f>
        <v/>
      </c>
      <c r="NPP224" s="19" t="str">
        <f>IF(NPP220 = "", "", IFERROR(NPP220 / SUMIFS(Aux_Totales!$N:$N, Aux_Totales!$F:$F, $F224, Aux_Totales!$A:$A,#REF!), 0))</f>
        <v/>
      </c>
      <c r="NPQ224" s="19" t="str">
        <f>IF(NPQ220 = "", "", IFERROR(NPQ220 / SUMIFS(Aux_Totales!$N:$N, Aux_Totales!$F:$F, $F224, Aux_Totales!$A:$A,#REF!), 0))</f>
        <v/>
      </c>
      <c r="NPR224" s="19" t="str">
        <f>IF(NPR220 = "", "", IFERROR(NPR220 / SUMIFS(Aux_Totales!$N:$N, Aux_Totales!$F:$F, $F224, Aux_Totales!$A:$A,#REF!), 0))</f>
        <v/>
      </c>
      <c r="NPS224" s="19" t="str">
        <f>IF(NPS220 = "", "", IFERROR(NPS220 / SUMIFS(Aux_Totales!$N:$N, Aux_Totales!$F:$F, $F224, Aux_Totales!$A:$A,#REF!), 0))</f>
        <v/>
      </c>
      <c r="NPT224" s="19" t="str">
        <f>IF(NPT220 = "", "", IFERROR(NPT220 / SUMIFS(Aux_Totales!$N:$N, Aux_Totales!$F:$F, $F224, Aux_Totales!$A:$A,#REF!), 0))</f>
        <v/>
      </c>
      <c r="NPU224" s="19" t="str">
        <f>IF(NPU220 = "", "", IFERROR(NPU220 / SUMIFS(Aux_Totales!$N:$N, Aux_Totales!$F:$F, $F224, Aux_Totales!$A:$A,#REF!), 0))</f>
        <v/>
      </c>
      <c r="NPV224" s="19" t="str">
        <f>IF(NPV220 = "", "", IFERROR(NPV220 / SUMIFS(Aux_Totales!$N:$N, Aux_Totales!$F:$F, $F224, Aux_Totales!$A:$A,#REF!), 0))</f>
        <v/>
      </c>
      <c r="NPW224" s="19" t="str">
        <f>IF(NPW220 = "", "", IFERROR(NPW220 / SUMIFS(Aux_Totales!$N:$N, Aux_Totales!$F:$F, $F224, Aux_Totales!$A:$A,#REF!), 0))</f>
        <v/>
      </c>
      <c r="NPX224" s="19" t="str">
        <f>IF(NPX220 = "", "", IFERROR(NPX220 / SUMIFS(Aux_Totales!$N:$N, Aux_Totales!$F:$F, $F224, Aux_Totales!$A:$A,#REF!), 0))</f>
        <v/>
      </c>
      <c r="NPY224" s="19" t="str">
        <f>IF(NPY220 = "", "", IFERROR(NPY220 / SUMIFS(Aux_Totales!$N:$N, Aux_Totales!$F:$F, $F224, Aux_Totales!$A:$A,#REF!), 0))</f>
        <v/>
      </c>
      <c r="NPZ224" s="19" t="str">
        <f>IF(NPZ220 = "", "", IFERROR(NPZ220 / SUMIFS(Aux_Totales!$N:$N, Aux_Totales!$F:$F, $F224, Aux_Totales!$A:$A,#REF!), 0))</f>
        <v/>
      </c>
      <c r="NQA224" s="19" t="str">
        <f>IF(NQA220 = "", "", IFERROR(NQA220 / SUMIFS(Aux_Totales!$N:$N, Aux_Totales!$F:$F, $F224, Aux_Totales!$A:$A,#REF!), 0))</f>
        <v/>
      </c>
      <c r="NQB224" s="19" t="str">
        <f>IF(NQB220 = "", "", IFERROR(NQB220 / SUMIFS(Aux_Totales!$N:$N, Aux_Totales!$F:$F, $F224, Aux_Totales!$A:$A,#REF!), 0))</f>
        <v/>
      </c>
      <c r="NQC224" s="19" t="str">
        <f>IF(NQC220 = "", "", IFERROR(NQC220 / SUMIFS(Aux_Totales!$N:$N, Aux_Totales!$F:$F, $F224, Aux_Totales!$A:$A,#REF!), 0))</f>
        <v/>
      </c>
      <c r="NQD224" s="19" t="str">
        <f>IF(NQD220 = "", "", IFERROR(NQD220 / SUMIFS(Aux_Totales!$N:$N, Aux_Totales!$F:$F, $F224, Aux_Totales!$A:$A,#REF!), 0))</f>
        <v/>
      </c>
      <c r="NQE224" s="19" t="str">
        <f>IF(NQE220 = "", "", IFERROR(NQE220 / SUMIFS(Aux_Totales!$N:$N, Aux_Totales!$F:$F, $F224, Aux_Totales!$A:$A,#REF!), 0))</f>
        <v/>
      </c>
      <c r="NQF224" s="19" t="str">
        <f>IF(NQF220 = "", "", IFERROR(NQF220 / SUMIFS(Aux_Totales!$N:$N, Aux_Totales!$F:$F, $F224, Aux_Totales!$A:$A,#REF!), 0))</f>
        <v/>
      </c>
      <c r="NQG224" s="19" t="str">
        <f>IF(NQG220 = "", "", IFERROR(NQG220 / SUMIFS(Aux_Totales!$N:$N, Aux_Totales!$F:$F, $F224, Aux_Totales!$A:$A,#REF!), 0))</f>
        <v/>
      </c>
      <c r="NQH224" s="19" t="str">
        <f>IF(NQH220 = "", "", IFERROR(NQH220 / SUMIFS(Aux_Totales!$N:$N, Aux_Totales!$F:$F, $F224, Aux_Totales!$A:$A,#REF!), 0))</f>
        <v/>
      </c>
      <c r="NQI224" s="19" t="str">
        <f>IF(NQI220 = "", "", IFERROR(NQI220 / SUMIFS(Aux_Totales!$N:$N, Aux_Totales!$F:$F, $F224, Aux_Totales!$A:$A,#REF!), 0))</f>
        <v/>
      </c>
      <c r="NQJ224" s="19" t="str">
        <f>IF(NQJ220 = "", "", IFERROR(NQJ220 / SUMIFS(Aux_Totales!$N:$N, Aux_Totales!$F:$F, $F224, Aux_Totales!$A:$A,#REF!), 0))</f>
        <v/>
      </c>
      <c r="NQK224" s="19" t="str">
        <f>IF(NQK220 = "", "", IFERROR(NQK220 / SUMIFS(Aux_Totales!$N:$N, Aux_Totales!$F:$F, $F224, Aux_Totales!$A:$A,#REF!), 0))</f>
        <v/>
      </c>
      <c r="NQL224" s="19" t="str">
        <f>IF(NQL220 = "", "", IFERROR(NQL220 / SUMIFS(Aux_Totales!$N:$N, Aux_Totales!$F:$F, $F224, Aux_Totales!$A:$A,#REF!), 0))</f>
        <v/>
      </c>
      <c r="NQM224" s="19" t="str">
        <f>IF(NQM220 = "", "", IFERROR(NQM220 / SUMIFS(Aux_Totales!$N:$N, Aux_Totales!$F:$F, $F224, Aux_Totales!$A:$A,#REF!), 0))</f>
        <v/>
      </c>
      <c r="NQN224" s="19" t="str">
        <f>IF(NQN220 = "", "", IFERROR(NQN220 / SUMIFS(Aux_Totales!$N:$N, Aux_Totales!$F:$F, $F224, Aux_Totales!$A:$A,#REF!), 0))</f>
        <v/>
      </c>
      <c r="NQO224" s="19" t="str">
        <f>IF(NQO220 = "", "", IFERROR(NQO220 / SUMIFS(Aux_Totales!$N:$N, Aux_Totales!$F:$F, $F224, Aux_Totales!$A:$A,#REF!), 0))</f>
        <v/>
      </c>
      <c r="NQP224" s="19" t="str">
        <f>IF(NQP220 = "", "", IFERROR(NQP220 / SUMIFS(Aux_Totales!$N:$N, Aux_Totales!$F:$F, $F224, Aux_Totales!$A:$A,#REF!), 0))</f>
        <v/>
      </c>
      <c r="NQQ224" s="19" t="str">
        <f>IF(NQQ220 = "", "", IFERROR(NQQ220 / SUMIFS(Aux_Totales!$N:$N, Aux_Totales!$F:$F, $F224, Aux_Totales!$A:$A,#REF!), 0))</f>
        <v/>
      </c>
      <c r="NQR224" s="19" t="str">
        <f>IF(NQR220 = "", "", IFERROR(NQR220 / SUMIFS(Aux_Totales!$N:$N, Aux_Totales!$F:$F, $F224, Aux_Totales!$A:$A,#REF!), 0))</f>
        <v/>
      </c>
      <c r="NQS224" s="19" t="str">
        <f>IF(NQS220 = "", "", IFERROR(NQS220 / SUMIFS(Aux_Totales!$N:$N, Aux_Totales!$F:$F, $F224, Aux_Totales!$A:$A,#REF!), 0))</f>
        <v/>
      </c>
      <c r="NQT224" s="19" t="str">
        <f>IF(NQT220 = "", "", IFERROR(NQT220 / SUMIFS(Aux_Totales!$N:$N, Aux_Totales!$F:$F, $F224, Aux_Totales!$A:$A,#REF!), 0))</f>
        <v/>
      </c>
      <c r="NQU224" s="19" t="str">
        <f>IF(NQU220 = "", "", IFERROR(NQU220 / SUMIFS(Aux_Totales!$N:$N, Aux_Totales!$F:$F, $F224, Aux_Totales!$A:$A,#REF!), 0))</f>
        <v/>
      </c>
      <c r="NQV224" s="19" t="str">
        <f>IF(NQV220 = "", "", IFERROR(NQV220 / SUMIFS(Aux_Totales!$N:$N, Aux_Totales!$F:$F, $F224, Aux_Totales!$A:$A,#REF!), 0))</f>
        <v/>
      </c>
      <c r="NQW224" s="19" t="str">
        <f>IF(NQW220 = "", "", IFERROR(NQW220 / SUMIFS(Aux_Totales!$N:$N, Aux_Totales!$F:$F, $F224, Aux_Totales!$A:$A,#REF!), 0))</f>
        <v/>
      </c>
      <c r="NQX224" s="19" t="str">
        <f>IF(NQX220 = "", "", IFERROR(NQX220 / SUMIFS(Aux_Totales!$N:$N, Aux_Totales!$F:$F, $F224, Aux_Totales!$A:$A,#REF!), 0))</f>
        <v/>
      </c>
      <c r="NQY224" s="19" t="str">
        <f>IF(NQY220 = "", "", IFERROR(NQY220 / SUMIFS(Aux_Totales!$N:$N, Aux_Totales!$F:$F, $F224, Aux_Totales!$A:$A,#REF!), 0))</f>
        <v/>
      </c>
      <c r="NQZ224" s="19" t="str">
        <f>IF(NQZ220 = "", "", IFERROR(NQZ220 / SUMIFS(Aux_Totales!$N:$N, Aux_Totales!$F:$F, $F224, Aux_Totales!$A:$A,#REF!), 0))</f>
        <v/>
      </c>
      <c r="NRA224" s="19" t="str">
        <f>IF(NRA220 = "", "", IFERROR(NRA220 / SUMIFS(Aux_Totales!$N:$N, Aux_Totales!$F:$F, $F224, Aux_Totales!$A:$A,#REF!), 0))</f>
        <v/>
      </c>
      <c r="NRB224" s="19" t="str">
        <f>IF(NRB220 = "", "", IFERROR(NRB220 / SUMIFS(Aux_Totales!$N:$N, Aux_Totales!$F:$F, $F224, Aux_Totales!$A:$A,#REF!), 0))</f>
        <v/>
      </c>
      <c r="NRC224" s="19" t="str">
        <f>IF(NRC220 = "", "", IFERROR(NRC220 / SUMIFS(Aux_Totales!$N:$N, Aux_Totales!$F:$F, $F224, Aux_Totales!$A:$A,#REF!), 0))</f>
        <v/>
      </c>
      <c r="NRD224" s="19" t="str">
        <f>IF(NRD220 = "", "", IFERROR(NRD220 / SUMIFS(Aux_Totales!$N:$N, Aux_Totales!$F:$F, $F224, Aux_Totales!$A:$A,#REF!), 0))</f>
        <v/>
      </c>
      <c r="NRE224" s="19" t="str">
        <f>IF(NRE220 = "", "", IFERROR(NRE220 / SUMIFS(Aux_Totales!$N:$N, Aux_Totales!$F:$F, $F224, Aux_Totales!$A:$A,#REF!), 0))</f>
        <v/>
      </c>
      <c r="NRF224" s="19" t="str">
        <f>IF(NRF220 = "", "", IFERROR(NRF220 / SUMIFS(Aux_Totales!$N:$N, Aux_Totales!$F:$F, $F224, Aux_Totales!$A:$A,#REF!), 0))</f>
        <v/>
      </c>
      <c r="NRG224" s="19" t="str">
        <f>IF(NRG220 = "", "", IFERROR(NRG220 / SUMIFS(Aux_Totales!$N:$N, Aux_Totales!$F:$F, $F224, Aux_Totales!$A:$A,#REF!), 0))</f>
        <v/>
      </c>
      <c r="NRH224" s="19" t="str">
        <f>IF(NRH220 = "", "", IFERROR(NRH220 / SUMIFS(Aux_Totales!$N:$N, Aux_Totales!$F:$F, $F224, Aux_Totales!$A:$A,#REF!), 0))</f>
        <v/>
      </c>
      <c r="NRI224" s="19" t="str">
        <f>IF(NRI220 = "", "", IFERROR(NRI220 / SUMIFS(Aux_Totales!$N:$N, Aux_Totales!$F:$F, $F224, Aux_Totales!$A:$A,#REF!), 0))</f>
        <v/>
      </c>
      <c r="NRJ224" s="19" t="str">
        <f>IF(NRJ220 = "", "", IFERROR(NRJ220 / SUMIFS(Aux_Totales!$N:$N, Aux_Totales!$F:$F, $F224, Aux_Totales!$A:$A,#REF!), 0))</f>
        <v/>
      </c>
      <c r="NRK224" s="19" t="str">
        <f>IF(NRK220 = "", "", IFERROR(NRK220 / SUMIFS(Aux_Totales!$N:$N, Aux_Totales!$F:$F, $F224, Aux_Totales!$A:$A,#REF!), 0))</f>
        <v/>
      </c>
      <c r="NRL224" s="19" t="str">
        <f>IF(NRL220 = "", "", IFERROR(NRL220 / SUMIFS(Aux_Totales!$N:$N, Aux_Totales!$F:$F, $F224, Aux_Totales!$A:$A,#REF!), 0))</f>
        <v/>
      </c>
      <c r="NRM224" s="19" t="str">
        <f>IF(NRM220 = "", "", IFERROR(NRM220 / SUMIFS(Aux_Totales!$N:$N, Aux_Totales!$F:$F, $F224, Aux_Totales!$A:$A,#REF!), 0))</f>
        <v/>
      </c>
      <c r="NRN224" s="19" t="str">
        <f>IF(NRN220 = "", "", IFERROR(NRN220 / SUMIFS(Aux_Totales!$N:$N, Aux_Totales!$F:$F, $F224, Aux_Totales!$A:$A,#REF!), 0))</f>
        <v/>
      </c>
      <c r="NRO224" s="19" t="str">
        <f>IF(NRO220 = "", "", IFERROR(NRO220 / SUMIFS(Aux_Totales!$N:$N, Aux_Totales!$F:$F, $F224, Aux_Totales!$A:$A,#REF!), 0))</f>
        <v/>
      </c>
      <c r="NRP224" s="19" t="str">
        <f>IF(NRP220 = "", "", IFERROR(NRP220 / SUMIFS(Aux_Totales!$N:$N, Aux_Totales!$F:$F, $F224, Aux_Totales!$A:$A,#REF!), 0))</f>
        <v/>
      </c>
      <c r="NRQ224" s="19" t="str">
        <f>IF(NRQ220 = "", "", IFERROR(NRQ220 / SUMIFS(Aux_Totales!$N:$N, Aux_Totales!$F:$F, $F224, Aux_Totales!$A:$A,#REF!), 0))</f>
        <v/>
      </c>
      <c r="NRR224" s="19" t="str">
        <f>IF(NRR220 = "", "", IFERROR(NRR220 / SUMIFS(Aux_Totales!$N:$N, Aux_Totales!$F:$F, $F224, Aux_Totales!$A:$A,#REF!), 0))</f>
        <v/>
      </c>
      <c r="NRS224" s="19" t="str">
        <f>IF(NRS220 = "", "", IFERROR(NRS220 / SUMIFS(Aux_Totales!$N:$N, Aux_Totales!$F:$F, $F224, Aux_Totales!$A:$A,#REF!), 0))</f>
        <v/>
      </c>
      <c r="NRT224" s="19" t="str">
        <f>IF(NRT220 = "", "", IFERROR(NRT220 / SUMIFS(Aux_Totales!$N:$N, Aux_Totales!$F:$F, $F224, Aux_Totales!$A:$A,#REF!), 0))</f>
        <v/>
      </c>
      <c r="NRU224" s="19" t="str">
        <f>IF(NRU220 = "", "", IFERROR(NRU220 / SUMIFS(Aux_Totales!$N:$N, Aux_Totales!$F:$F, $F224, Aux_Totales!$A:$A,#REF!), 0))</f>
        <v/>
      </c>
      <c r="NRV224" s="19" t="str">
        <f>IF(NRV220 = "", "", IFERROR(NRV220 / SUMIFS(Aux_Totales!$N:$N, Aux_Totales!$F:$F, $F224, Aux_Totales!$A:$A,#REF!), 0))</f>
        <v/>
      </c>
      <c r="NRW224" s="19" t="str">
        <f>IF(NRW220 = "", "", IFERROR(NRW220 / SUMIFS(Aux_Totales!$N:$N, Aux_Totales!$F:$F, $F224, Aux_Totales!$A:$A,#REF!), 0))</f>
        <v/>
      </c>
      <c r="NRX224" s="19" t="str">
        <f>IF(NRX220 = "", "", IFERROR(NRX220 / SUMIFS(Aux_Totales!$N:$N, Aux_Totales!$F:$F, $F224, Aux_Totales!$A:$A,#REF!), 0))</f>
        <v/>
      </c>
      <c r="NRY224" s="19" t="str">
        <f>IF(NRY220 = "", "", IFERROR(NRY220 / SUMIFS(Aux_Totales!$N:$N, Aux_Totales!$F:$F, $F224, Aux_Totales!$A:$A,#REF!), 0))</f>
        <v/>
      </c>
      <c r="NRZ224" s="19" t="str">
        <f>IF(NRZ220 = "", "", IFERROR(NRZ220 / SUMIFS(Aux_Totales!$N:$N, Aux_Totales!$F:$F, $F224, Aux_Totales!$A:$A,#REF!), 0))</f>
        <v/>
      </c>
      <c r="NSA224" s="19" t="str">
        <f>IF(NSA220 = "", "", IFERROR(NSA220 / SUMIFS(Aux_Totales!$N:$N, Aux_Totales!$F:$F, $F224, Aux_Totales!$A:$A,#REF!), 0))</f>
        <v/>
      </c>
      <c r="NSB224" s="19" t="str">
        <f>IF(NSB220 = "", "", IFERROR(NSB220 / SUMIFS(Aux_Totales!$N:$N, Aux_Totales!$F:$F, $F224, Aux_Totales!$A:$A,#REF!), 0))</f>
        <v/>
      </c>
      <c r="NSC224" s="19" t="str">
        <f>IF(NSC220 = "", "", IFERROR(NSC220 / SUMIFS(Aux_Totales!$N:$N, Aux_Totales!$F:$F, $F224, Aux_Totales!$A:$A,#REF!), 0))</f>
        <v/>
      </c>
      <c r="NSD224" s="19" t="str">
        <f>IF(NSD220 = "", "", IFERROR(NSD220 / SUMIFS(Aux_Totales!$N:$N, Aux_Totales!$F:$F, $F224, Aux_Totales!$A:$A,#REF!), 0))</f>
        <v/>
      </c>
      <c r="NSE224" s="19" t="str">
        <f>IF(NSE220 = "", "", IFERROR(NSE220 / SUMIFS(Aux_Totales!$N:$N, Aux_Totales!$F:$F, $F224, Aux_Totales!$A:$A,#REF!), 0))</f>
        <v/>
      </c>
      <c r="NSF224" s="19" t="str">
        <f>IF(NSF220 = "", "", IFERROR(NSF220 / SUMIFS(Aux_Totales!$N:$N, Aux_Totales!$F:$F, $F224, Aux_Totales!$A:$A,#REF!), 0))</f>
        <v/>
      </c>
      <c r="NSG224" s="19" t="str">
        <f>IF(NSG220 = "", "", IFERROR(NSG220 / SUMIFS(Aux_Totales!$N:$N, Aux_Totales!$F:$F, $F224, Aux_Totales!$A:$A,#REF!), 0))</f>
        <v/>
      </c>
      <c r="NSH224" s="19" t="str">
        <f>IF(NSH220 = "", "", IFERROR(NSH220 / SUMIFS(Aux_Totales!$N:$N, Aux_Totales!$F:$F, $F224, Aux_Totales!$A:$A,#REF!), 0))</f>
        <v/>
      </c>
      <c r="NSI224" s="19" t="str">
        <f>IF(NSI220 = "", "", IFERROR(NSI220 / SUMIFS(Aux_Totales!$N:$N, Aux_Totales!$F:$F, $F224, Aux_Totales!$A:$A,#REF!), 0))</f>
        <v/>
      </c>
      <c r="NSJ224" s="19" t="str">
        <f>IF(NSJ220 = "", "", IFERROR(NSJ220 / SUMIFS(Aux_Totales!$N:$N, Aux_Totales!$F:$F, $F224, Aux_Totales!$A:$A,#REF!), 0))</f>
        <v/>
      </c>
      <c r="NSK224" s="19" t="str">
        <f>IF(NSK220 = "", "", IFERROR(NSK220 / SUMIFS(Aux_Totales!$N:$N, Aux_Totales!$F:$F, $F224, Aux_Totales!$A:$A,#REF!), 0))</f>
        <v/>
      </c>
      <c r="NSL224" s="19" t="str">
        <f>IF(NSL220 = "", "", IFERROR(NSL220 / SUMIFS(Aux_Totales!$N:$N, Aux_Totales!$F:$F, $F224, Aux_Totales!$A:$A,#REF!), 0))</f>
        <v/>
      </c>
      <c r="NSM224" s="19" t="str">
        <f>IF(NSM220 = "", "", IFERROR(NSM220 / SUMIFS(Aux_Totales!$N:$N, Aux_Totales!$F:$F, $F224, Aux_Totales!$A:$A,#REF!), 0))</f>
        <v/>
      </c>
      <c r="NSN224" s="19" t="str">
        <f>IF(NSN220 = "", "", IFERROR(NSN220 / SUMIFS(Aux_Totales!$N:$N, Aux_Totales!$F:$F, $F224, Aux_Totales!$A:$A,#REF!), 0))</f>
        <v/>
      </c>
      <c r="NSO224" s="19" t="str">
        <f>IF(NSO220 = "", "", IFERROR(NSO220 / SUMIFS(Aux_Totales!$N:$N, Aux_Totales!$F:$F, $F224, Aux_Totales!$A:$A,#REF!), 0))</f>
        <v/>
      </c>
      <c r="NSP224" s="19" t="str">
        <f>IF(NSP220 = "", "", IFERROR(NSP220 / SUMIFS(Aux_Totales!$N:$N, Aux_Totales!$F:$F, $F224, Aux_Totales!$A:$A,#REF!), 0))</f>
        <v/>
      </c>
      <c r="NSQ224" s="19" t="str">
        <f>IF(NSQ220 = "", "", IFERROR(NSQ220 / SUMIFS(Aux_Totales!$N:$N, Aux_Totales!$F:$F, $F224, Aux_Totales!$A:$A,#REF!), 0))</f>
        <v/>
      </c>
      <c r="NSR224" s="19" t="str">
        <f>IF(NSR220 = "", "", IFERROR(NSR220 / SUMIFS(Aux_Totales!$N:$N, Aux_Totales!$F:$F, $F224, Aux_Totales!$A:$A,#REF!), 0))</f>
        <v/>
      </c>
      <c r="NSS224" s="19" t="str">
        <f>IF(NSS220 = "", "", IFERROR(NSS220 / SUMIFS(Aux_Totales!$N:$N, Aux_Totales!$F:$F, $F224, Aux_Totales!$A:$A,#REF!), 0))</f>
        <v/>
      </c>
      <c r="NST224" s="19" t="str">
        <f>IF(NST220 = "", "", IFERROR(NST220 / SUMIFS(Aux_Totales!$N:$N, Aux_Totales!$F:$F, $F224, Aux_Totales!$A:$A,#REF!), 0))</f>
        <v/>
      </c>
      <c r="NSU224" s="19" t="str">
        <f>IF(NSU220 = "", "", IFERROR(NSU220 / SUMIFS(Aux_Totales!$N:$N, Aux_Totales!$F:$F, $F224, Aux_Totales!$A:$A,#REF!), 0))</f>
        <v/>
      </c>
      <c r="NSV224" s="19" t="str">
        <f>IF(NSV220 = "", "", IFERROR(NSV220 / SUMIFS(Aux_Totales!$N:$N, Aux_Totales!$F:$F, $F224, Aux_Totales!$A:$A,#REF!), 0))</f>
        <v/>
      </c>
      <c r="NSW224" s="19" t="str">
        <f>IF(NSW220 = "", "", IFERROR(NSW220 / SUMIFS(Aux_Totales!$N:$N, Aux_Totales!$F:$F, $F224, Aux_Totales!$A:$A,#REF!), 0))</f>
        <v/>
      </c>
      <c r="NSX224" s="19" t="str">
        <f>IF(NSX220 = "", "", IFERROR(NSX220 / SUMIFS(Aux_Totales!$N:$N, Aux_Totales!$F:$F, $F224, Aux_Totales!$A:$A,#REF!), 0))</f>
        <v/>
      </c>
      <c r="NSY224" s="19" t="str">
        <f>IF(NSY220 = "", "", IFERROR(NSY220 / SUMIFS(Aux_Totales!$N:$N, Aux_Totales!$F:$F, $F224, Aux_Totales!$A:$A,#REF!), 0))</f>
        <v/>
      </c>
      <c r="NSZ224" s="19" t="str">
        <f>IF(NSZ220 = "", "", IFERROR(NSZ220 / SUMIFS(Aux_Totales!$N:$N, Aux_Totales!$F:$F, $F224, Aux_Totales!$A:$A,#REF!), 0))</f>
        <v/>
      </c>
      <c r="NTA224" s="19" t="str">
        <f>IF(NTA220 = "", "", IFERROR(NTA220 / SUMIFS(Aux_Totales!$N:$N, Aux_Totales!$F:$F, $F224, Aux_Totales!$A:$A,#REF!), 0))</f>
        <v/>
      </c>
      <c r="NTB224" s="19" t="str">
        <f>IF(NTB220 = "", "", IFERROR(NTB220 / SUMIFS(Aux_Totales!$N:$N, Aux_Totales!$F:$F, $F224, Aux_Totales!$A:$A,#REF!), 0))</f>
        <v/>
      </c>
      <c r="NTC224" s="19" t="str">
        <f>IF(NTC220 = "", "", IFERROR(NTC220 / SUMIFS(Aux_Totales!$N:$N, Aux_Totales!$F:$F, $F224, Aux_Totales!$A:$A,#REF!), 0))</f>
        <v/>
      </c>
      <c r="NTD224" s="19" t="str">
        <f>IF(NTD220 = "", "", IFERROR(NTD220 / SUMIFS(Aux_Totales!$N:$N, Aux_Totales!$F:$F, $F224, Aux_Totales!$A:$A,#REF!), 0))</f>
        <v/>
      </c>
      <c r="NTE224" s="19" t="str">
        <f>IF(NTE220 = "", "", IFERROR(NTE220 / SUMIFS(Aux_Totales!$N:$N, Aux_Totales!$F:$F, $F224, Aux_Totales!$A:$A,#REF!), 0))</f>
        <v/>
      </c>
      <c r="NTF224" s="19" t="str">
        <f>IF(NTF220 = "", "", IFERROR(NTF220 / SUMIFS(Aux_Totales!$N:$N, Aux_Totales!$F:$F, $F224, Aux_Totales!$A:$A,#REF!), 0))</f>
        <v/>
      </c>
      <c r="NTG224" s="19" t="str">
        <f>IF(NTG220 = "", "", IFERROR(NTG220 / SUMIFS(Aux_Totales!$N:$N, Aux_Totales!$F:$F, $F224, Aux_Totales!$A:$A,#REF!), 0))</f>
        <v/>
      </c>
      <c r="NTH224" s="19" t="str">
        <f>IF(NTH220 = "", "", IFERROR(NTH220 / SUMIFS(Aux_Totales!$N:$N, Aux_Totales!$F:$F, $F224, Aux_Totales!$A:$A,#REF!), 0))</f>
        <v/>
      </c>
      <c r="NTI224" s="19" t="str">
        <f>IF(NTI220 = "", "", IFERROR(NTI220 / SUMIFS(Aux_Totales!$N:$N, Aux_Totales!$F:$F, $F224, Aux_Totales!$A:$A,#REF!), 0))</f>
        <v/>
      </c>
      <c r="NTJ224" s="19" t="str">
        <f>IF(NTJ220 = "", "", IFERROR(NTJ220 / SUMIFS(Aux_Totales!$N:$N, Aux_Totales!$F:$F, $F224, Aux_Totales!$A:$A,#REF!), 0))</f>
        <v/>
      </c>
      <c r="NTK224" s="19" t="str">
        <f>IF(NTK220 = "", "", IFERROR(NTK220 / SUMIFS(Aux_Totales!$N:$N, Aux_Totales!$F:$F, $F224, Aux_Totales!$A:$A,#REF!), 0))</f>
        <v/>
      </c>
      <c r="NTL224" s="19" t="str">
        <f>IF(NTL220 = "", "", IFERROR(NTL220 / SUMIFS(Aux_Totales!$N:$N, Aux_Totales!$F:$F, $F224, Aux_Totales!$A:$A,#REF!), 0))</f>
        <v/>
      </c>
      <c r="NTM224" s="19" t="str">
        <f>IF(NTM220 = "", "", IFERROR(NTM220 / SUMIFS(Aux_Totales!$N:$N, Aux_Totales!$F:$F, $F224, Aux_Totales!$A:$A,#REF!), 0))</f>
        <v/>
      </c>
      <c r="NTN224" s="19" t="str">
        <f>IF(NTN220 = "", "", IFERROR(NTN220 / SUMIFS(Aux_Totales!$N:$N, Aux_Totales!$F:$F, $F224, Aux_Totales!$A:$A,#REF!), 0))</f>
        <v/>
      </c>
      <c r="NTO224" s="19" t="str">
        <f>IF(NTO220 = "", "", IFERROR(NTO220 / SUMIFS(Aux_Totales!$N:$N, Aux_Totales!$F:$F, $F224, Aux_Totales!$A:$A,#REF!), 0))</f>
        <v/>
      </c>
      <c r="NTP224" s="19" t="str">
        <f>IF(NTP220 = "", "", IFERROR(NTP220 / SUMIFS(Aux_Totales!$N:$N, Aux_Totales!$F:$F, $F224, Aux_Totales!$A:$A,#REF!), 0))</f>
        <v/>
      </c>
      <c r="NTQ224" s="19" t="str">
        <f>IF(NTQ220 = "", "", IFERROR(NTQ220 / SUMIFS(Aux_Totales!$N:$N, Aux_Totales!$F:$F, $F224, Aux_Totales!$A:$A,#REF!), 0))</f>
        <v/>
      </c>
      <c r="NTR224" s="19" t="str">
        <f>IF(NTR220 = "", "", IFERROR(NTR220 / SUMIFS(Aux_Totales!$N:$N, Aux_Totales!$F:$F, $F224, Aux_Totales!$A:$A,#REF!), 0))</f>
        <v/>
      </c>
      <c r="NTS224" s="19" t="str">
        <f>IF(NTS220 = "", "", IFERROR(NTS220 / SUMIFS(Aux_Totales!$N:$N, Aux_Totales!$F:$F, $F224, Aux_Totales!$A:$A,#REF!), 0))</f>
        <v/>
      </c>
      <c r="NTT224" s="19" t="str">
        <f>IF(NTT220 = "", "", IFERROR(NTT220 / SUMIFS(Aux_Totales!$N:$N, Aux_Totales!$F:$F, $F224, Aux_Totales!$A:$A,#REF!), 0))</f>
        <v/>
      </c>
      <c r="NTU224" s="19" t="str">
        <f>IF(NTU220 = "", "", IFERROR(NTU220 / SUMIFS(Aux_Totales!$N:$N, Aux_Totales!$F:$F, $F224, Aux_Totales!$A:$A,#REF!), 0))</f>
        <v/>
      </c>
      <c r="NTV224" s="19" t="str">
        <f>IF(NTV220 = "", "", IFERROR(NTV220 / SUMIFS(Aux_Totales!$N:$N, Aux_Totales!$F:$F, $F224, Aux_Totales!$A:$A,#REF!), 0))</f>
        <v/>
      </c>
      <c r="NTW224" s="19" t="str">
        <f>IF(NTW220 = "", "", IFERROR(NTW220 / SUMIFS(Aux_Totales!$N:$N, Aux_Totales!$F:$F, $F224, Aux_Totales!$A:$A,#REF!), 0))</f>
        <v/>
      </c>
      <c r="NTX224" s="19" t="str">
        <f>IF(NTX220 = "", "", IFERROR(NTX220 / SUMIFS(Aux_Totales!$N:$N, Aux_Totales!$F:$F, $F224, Aux_Totales!$A:$A,#REF!), 0))</f>
        <v/>
      </c>
      <c r="NTY224" s="19" t="str">
        <f>IF(NTY220 = "", "", IFERROR(NTY220 / SUMIFS(Aux_Totales!$N:$N, Aux_Totales!$F:$F, $F224, Aux_Totales!$A:$A,#REF!), 0))</f>
        <v/>
      </c>
      <c r="NTZ224" s="19" t="str">
        <f>IF(NTZ220 = "", "", IFERROR(NTZ220 / SUMIFS(Aux_Totales!$N:$N, Aux_Totales!$F:$F, $F224, Aux_Totales!$A:$A,#REF!), 0))</f>
        <v/>
      </c>
      <c r="NUA224" s="19" t="str">
        <f>IF(NUA220 = "", "", IFERROR(NUA220 / SUMIFS(Aux_Totales!$N:$N, Aux_Totales!$F:$F, $F224, Aux_Totales!$A:$A,#REF!), 0))</f>
        <v/>
      </c>
      <c r="NUB224" s="19" t="str">
        <f>IF(NUB220 = "", "", IFERROR(NUB220 / SUMIFS(Aux_Totales!$N:$N, Aux_Totales!$F:$F, $F224, Aux_Totales!$A:$A,#REF!), 0))</f>
        <v/>
      </c>
      <c r="NUC224" s="19" t="str">
        <f>IF(NUC220 = "", "", IFERROR(NUC220 / SUMIFS(Aux_Totales!$N:$N, Aux_Totales!$F:$F, $F224, Aux_Totales!$A:$A,#REF!), 0))</f>
        <v/>
      </c>
      <c r="NUD224" s="19" t="str">
        <f>IF(NUD220 = "", "", IFERROR(NUD220 / SUMIFS(Aux_Totales!$N:$N, Aux_Totales!$F:$F, $F224, Aux_Totales!$A:$A,#REF!), 0))</f>
        <v/>
      </c>
      <c r="NUE224" s="19" t="str">
        <f>IF(NUE220 = "", "", IFERROR(NUE220 / SUMIFS(Aux_Totales!$N:$N, Aux_Totales!$F:$F, $F224, Aux_Totales!$A:$A,#REF!), 0))</f>
        <v/>
      </c>
      <c r="NUF224" s="19" t="str">
        <f>IF(NUF220 = "", "", IFERROR(NUF220 / SUMIFS(Aux_Totales!$N:$N, Aux_Totales!$F:$F, $F224, Aux_Totales!$A:$A,#REF!), 0))</f>
        <v/>
      </c>
      <c r="NUG224" s="19" t="str">
        <f>IF(NUG220 = "", "", IFERROR(NUG220 / SUMIFS(Aux_Totales!$N:$N, Aux_Totales!$F:$F, $F224, Aux_Totales!$A:$A,#REF!), 0))</f>
        <v/>
      </c>
      <c r="NUH224" s="19" t="str">
        <f>IF(NUH220 = "", "", IFERROR(NUH220 / SUMIFS(Aux_Totales!$N:$N, Aux_Totales!$F:$F, $F224, Aux_Totales!$A:$A,#REF!), 0))</f>
        <v/>
      </c>
      <c r="NUI224" s="19" t="str">
        <f>IF(NUI220 = "", "", IFERROR(NUI220 / SUMIFS(Aux_Totales!$N:$N, Aux_Totales!$F:$F, $F224, Aux_Totales!$A:$A,#REF!), 0))</f>
        <v/>
      </c>
      <c r="NUJ224" s="19" t="str">
        <f>IF(NUJ220 = "", "", IFERROR(NUJ220 / SUMIFS(Aux_Totales!$N:$N, Aux_Totales!$F:$F, $F224, Aux_Totales!$A:$A,#REF!), 0))</f>
        <v/>
      </c>
      <c r="NUK224" s="19" t="str">
        <f>IF(NUK220 = "", "", IFERROR(NUK220 / SUMIFS(Aux_Totales!$N:$N, Aux_Totales!$F:$F, $F224, Aux_Totales!$A:$A,#REF!), 0))</f>
        <v/>
      </c>
      <c r="NUL224" s="19" t="str">
        <f>IF(NUL220 = "", "", IFERROR(NUL220 / SUMIFS(Aux_Totales!$N:$N, Aux_Totales!$F:$F, $F224, Aux_Totales!$A:$A,#REF!), 0))</f>
        <v/>
      </c>
      <c r="NUM224" s="19" t="str">
        <f>IF(NUM220 = "", "", IFERROR(NUM220 / SUMIFS(Aux_Totales!$N:$N, Aux_Totales!$F:$F, $F224, Aux_Totales!$A:$A,#REF!), 0))</f>
        <v/>
      </c>
      <c r="NUN224" s="19" t="str">
        <f>IF(NUN220 = "", "", IFERROR(NUN220 / SUMIFS(Aux_Totales!$N:$N, Aux_Totales!$F:$F, $F224, Aux_Totales!$A:$A,#REF!), 0))</f>
        <v/>
      </c>
      <c r="NUO224" s="19" t="str">
        <f>IF(NUO220 = "", "", IFERROR(NUO220 / SUMIFS(Aux_Totales!$N:$N, Aux_Totales!$F:$F, $F224, Aux_Totales!$A:$A,#REF!), 0))</f>
        <v/>
      </c>
      <c r="NUP224" s="19" t="str">
        <f>IF(NUP220 = "", "", IFERROR(NUP220 / SUMIFS(Aux_Totales!$N:$N, Aux_Totales!$F:$F, $F224, Aux_Totales!$A:$A,#REF!), 0))</f>
        <v/>
      </c>
      <c r="NUQ224" s="19" t="str">
        <f>IF(NUQ220 = "", "", IFERROR(NUQ220 / SUMIFS(Aux_Totales!$N:$N, Aux_Totales!$F:$F, $F224, Aux_Totales!$A:$A,#REF!), 0))</f>
        <v/>
      </c>
      <c r="NUR224" s="19" t="str">
        <f>IF(NUR220 = "", "", IFERROR(NUR220 / SUMIFS(Aux_Totales!$N:$N, Aux_Totales!$F:$F, $F224, Aux_Totales!$A:$A,#REF!), 0))</f>
        <v/>
      </c>
      <c r="NUS224" s="19" t="str">
        <f>IF(NUS220 = "", "", IFERROR(NUS220 / SUMIFS(Aux_Totales!$N:$N, Aux_Totales!$F:$F, $F224, Aux_Totales!$A:$A,#REF!), 0))</f>
        <v/>
      </c>
      <c r="NUT224" s="19" t="str">
        <f>IF(NUT220 = "", "", IFERROR(NUT220 / SUMIFS(Aux_Totales!$N:$N, Aux_Totales!$F:$F, $F224, Aux_Totales!$A:$A,#REF!), 0))</f>
        <v/>
      </c>
      <c r="NUU224" s="19" t="str">
        <f>IF(NUU220 = "", "", IFERROR(NUU220 / SUMIFS(Aux_Totales!$N:$N, Aux_Totales!$F:$F, $F224, Aux_Totales!$A:$A,#REF!), 0))</f>
        <v/>
      </c>
      <c r="NUV224" s="19" t="str">
        <f>IF(NUV220 = "", "", IFERROR(NUV220 / SUMIFS(Aux_Totales!$N:$N, Aux_Totales!$F:$F, $F224, Aux_Totales!$A:$A,#REF!), 0))</f>
        <v/>
      </c>
      <c r="NUW224" s="19" t="str">
        <f>IF(NUW220 = "", "", IFERROR(NUW220 / SUMIFS(Aux_Totales!$N:$N, Aux_Totales!$F:$F, $F224, Aux_Totales!$A:$A,#REF!), 0))</f>
        <v/>
      </c>
      <c r="NUX224" s="19" t="str">
        <f>IF(NUX220 = "", "", IFERROR(NUX220 / SUMIFS(Aux_Totales!$N:$N, Aux_Totales!$F:$F, $F224, Aux_Totales!$A:$A,#REF!), 0))</f>
        <v/>
      </c>
      <c r="NUY224" s="19" t="str">
        <f>IF(NUY220 = "", "", IFERROR(NUY220 / SUMIFS(Aux_Totales!$N:$N, Aux_Totales!$F:$F, $F224, Aux_Totales!$A:$A,#REF!), 0))</f>
        <v/>
      </c>
      <c r="NUZ224" s="19" t="str">
        <f>IF(NUZ220 = "", "", IFERROR(NUZ220 / SUMIFS(Aux_Totales!$N:$N, Aux_Totales!$F:$F, $F224, Aux_Totales!$A:$A,#REF!), 0))</f>
        <v/>
      </c>
      <c r="NVA224" s="19" t="str">
        <f>IF(NVA220 = "", "", IFERROR(NVA220 / SUMIFS(Aux_Totales!$N:$N, Aux_Totales!$F:$F, $F224, Aux_Totales!$A:$A,#REF!), 0))</f>
        <v/>
      </c>
      <c r="NVB224" s="19" t="str">
        <f>IF(NVB220 = "", "", IFERROR(NVB220 / SUMIFS(Aux_Totales!$N:$N, Aux_Totales!$F:$F, $F224, Aux_Totales!$A:$A,#REF!), 0))</f>
        <v/>
      </c>
      <c r="NVC224" s="19" t="str">
        <f>IF(NVC220 = "", "", IFERROR(NVC220 / SUMIFS(Aux_Totales!$N:$N, Aux_Totales!$F:$F, $F224, Aux_Totales!$A:$A,#REF!), 0))</f>
        <v/>
      </c>
      <c r="NVD224" s="19" t="str">
        <f>IF(NVD220 = "", "", IFERROR(NVD220 / SUMIFS(Aux_Totales!$N:$N, Aux_Totales!$F:$F, $F224, Aux_Totales!$A:$A,#REF!), 0))</f>
        <v/>
      </c>
      <c r="NVE224" s="19" t="str">
        <f>IF(NVE220 = "", "", IFERROR(NVE220 / SUMIFS(Aux_Totales!$N:$N, Aux_Totales!$F:$F, $F224, Aux_Totales!$A:$A,#REF!), 0))</f>
        <v/>
      </c>
      <c r="NVF224" s="19" t="str">
        <f>IF(NVF220 = "", "", IFERROR(NVF220 / SUMIFS(Aux_Totales!$N:$N, Aux_Totales!$F:$F, $F224, Aux_Totales!$A:$A,#REF!), 0))</f>
        <v/>
      </c>
      <c r="NVG224" s="19" t="str">
        <f>IF(NVG220 = "", "", IFERROR(NVG220 / SUMIFS(Aux_Totales!$N:$N, Aux_Totales!$F:$F, $F224, Aux_Totales!$A:$A,#REF!), 0))</f>
        <v/>
      </c>
      <c r="NVH224" s="19" t="str">
        <f>IF(NVH220 = "", "", IFERROR(NVH220 / SUMIFS(Aux_Totales!$N:$N, Aux_Totales!$F:$F, $F224, Aux_Totales!$A:$A,#REF!), 0))</f>
        <v/>
      </c>
      <c r="NVI224" s="19" t="str">
        <f>IF(NVI220 = "", "", IFERROR(NVI220 / SUMIFS(Aux_Totales!$N:$N, Aux_Totales!$F:$F, $F224, Aux_Totales!$A:$A,#REF!), 0))</f>
        <v/>
      </c>
      <c r="NVJ224" s="19" t="str">
        <f>IF(NVJ220 = "", "", IFERROR(NVJ220 / SUMIFS(Aux_Totales!$N:$N, Aux_Totales!$F:$F, $F224, Aux_Totales!$A:$A,#REF!), 0))</f>
        <v/>
      </c>
      <c r="NVK224" s="19" t="str">
        <f>IF(NVK220 = "", "", IFERROR(NVK220 / SUMIFS(Aux_Totales!$N:$N, Aux_Totales!$F:$F, $F224, Aux_Totales!$A:$A,#REF!), 0))</f>
        <v/>
      </c>
      <c r="NVL224" s="19" t="str">
        <f>IF(NVL220 = "", "", IFERROR(NVL220 / SUMIFS(Aux_Totales!$N:$N, Aux_Totales!$F:$F, $F224, Aux_Totales!$A:$A,#REF!), 0))</f>
        <v/>
      </c>
      <c r="NVM224" s="19" t="str">
        <f>IF(NVM220 = "", "", IFERROR(NVM220 / SUMIFS(Aux_Totales!$N:$N, Aux_Totales!$F:$F, $F224, Aux_Totales!$A:$A,#REF!), 0))</f>
        <v/>
      </c>
      <c r="NVN224" s="19" t="str">
        <f>IF(NVN220 = "", "", IFERROR(NVN220 / SUMIFS(Aux_Totales!$N:$N, Aux_Totales!$F:$F, $F224, Aux_Totales!$A:$A,#REF!), 0))</f>
        <v/>
      </c>
      <c r="NVO224" s="19" t="str">
        <f>IF(NVO220 = "", "", IFERROR(NVO220 / SUMIFS(Aux_Totales!$N:$N, Aux_Totales!$F:$F, $F224, Aux_Totales!$A:$A,#REF!), 0))</f>
        <v/>
      </c>
      <c r="NVP224" s="19" t="str">
        <f>IF(NVP220 = "", "", IFERROR(NVP220 / SUMIFS(Aux_Totales!$N:$N, Aux_Totales!$F:$F, $F224, Aux_Totales!$A:$A,#REF!), 0))</f>
        <v/>
      </c>
      <c r="NVQ224" s="19" t="str">
        <f>IF(NVQ220 = "", "", IFERROR(NVQ220 / SUMIFS(Aux_Totales!$N:$N, Aux_Totales!$F:$F, $F224, Aux_Totales!$A:$A,#REF!), 0))</f>
        <v/>
      </c>
      <c r="NVR224" s="19" t="str">
        <f>IF(NVR220 = "", "", IFERROR(NVR220 / SUMIFS(Aux_Totales!$N:$N, Aux_Totales!$F:$F, $F224, Aux_Totales!$A:$A,#REF!), 0))</f>
        <v/>
      </c>
      <c r="NVS224" s="19" t="str">
        <f>IF(NVS220 = "", "", IFERROR(NVS220 / SUMIFS(Aux_Totales!$N:$N, Aux_Totales!$F:$F, $F224, Aux_Totales!$A:$A,#REF!), 0))</f>
        <v/>
      </c>
      <c r="NVT224" s="19" t="str">
        <f>IF(NVT220 = "", "", IFERROR(NVT220 / SUMIFS(Aux_Totales!$N:$N, Aux_Totales!$F:$F, $F224, Aux_Totales!$A:$A,#REF!), 0))</f>
        <v/>
      </c>
      <c r="NVU224" s="19" t="str">
        <f>IF(NVU220 = "", "", IFERROR(NVU220 / SUMIFS(Aux_Totales!$N:$N, Aux_Totales!$F:$F, $F224, Aux_Totales!$A:$A,#REF!), 0))</f>
        <v/>
      </c>
      <c r="NVV224" s="19" t="str">
        <f>IF(NVV220 = "", "", IFERROR(NVV220 / SUMIFS(Aux_Totales!$N:$N, Aux_Totales!$F:$F, $F224, Aux_Totales!$A:$A,#REF!), 0))</f>
        <v/>
      </c>
      <c r="NVW224" s="19" t="str">
        <f>IF(NVW220 = "", "", IFERROR(NVW220 / SUMIFS(Aux_Totales!$N:$N, Aux_Totales!$F:$F, $F224, Aux_Totales!$A:$A,#REF!), 0))</f>
        <v/>
      </c>
      <c r="NVX224" s="19" t="str">
        <f>IF(NVX220 = "", "", IFERROR(NVX220 / SUMIFS(Aux_Totales!$N:$N, Aux_Totales!$F:$F, $F224, Aux_Totales!$A:$A,#REF!), 0))</f>
        <v/>
      </c>
      <c r="NVY224" s="19" t="str">
        <f>IF(NVY220 = "", "", IFERROR(NVY220 / SUMIFS(Aux_Totales!$N:$N, Aux_Totales!$F:$F, $F224, Aux_Totales!$A:$A,#REF!), 0))</f>
        <v/>
      </c>
      <c r="NVZ224" s="19" t="str">
        <f>IF(NVZ220 = "", "", IFERROR(NVZ220 / SUMIFS(Aux_Totales!$N:$N, Aux_Totales!$F:$F, $F224, Aux_Totales!$A:$A,#REF!), 0))</f>
        <v/>
      </c>
      <c r="NWA224" s="19" t="str">
        <f>IF(NWA220 = "", "", IFERROR(NWA220 / SUMIFS(Aux_Totales!$N:$N, Aux_Totales!$F:$F, $F224, Aux_Totales!$A:$A,#REF!), 0))</f>
        <v/>
      </c>
      <c r="NWB224" s="19" t="str">
        <f>IF(NWB220 = "", "", IFERROR(NWB220 / SUMIFS(Aux_Totales!$N:$N, Aux_Totales!$F:$F, $F224, Aux_Totales!$A:$A,#REF!), 0))</f>
        <v/>
      </c>
      <c r="NWC224" s="19" t="str">
        <f>IF(NWC220 = "", "", IFERROR(NWC220 / SUMIFS(Aux_Totales!$N:$N, Aux_Totales!$F:$F, $F224, Aux_Totales!$A:$A,#REF!), 0))</f>
        <v/>
      </c>
      <c r="NWD224" s="19" t="str">
        <f>IF(NWD220 = "", "", IFERROR(NWD220 / SUMIFS(Aux_Totales!$N:$N, Aux_Totales!$F:$F, $F224, Aux_Totales!$A:$A,#REF!), 0))</f>
        <v/>
      </c>
      <c r="NWE224" s="19" t="str">
        <f>IF(NWE220 = "", "", IFERROR(NWE220 / SUMIFS(Aux_Totales!$N:$N, Aux_Totales!$F:$F, $F224, Aux_Totales!$A:$A,#REF!), 0))</f>
        <v/>
      </c>
      <c r="NWF224" s="19" t="str">
        <f>IF(NWF220 = "", "", IFERROR(NWF220 / SUMIFS(Aux_Totales!$N:$N, Aux_Totales!$F:$F, $F224, Aux_Totales!$A:$A,#REF!), 0))</f>
        <v/>
      </c>
      <c r="NWG224" s="19" t="str">
        <f>IF(NWG220 = "", "", IFERROR(NWG220 / SUMIFS(Aux_Totales!$N:$N, Aux_Totales!$F:$F, $F224, Aux_Totales!$A:$A,#REF!), 0))</f>
        <v/>
      </c>
      <c r="NWH224" s="19" t="str">
        <f>IF(NWH220 = "", "", IFERROR(NWH220 / SUMIFS(Aux_Totales!$N:$N, Aux_Totales!$F:$F, $F224, Aux_Totales!$A:$A,#REF!), 0))</f>
        <v/>
      </c>
      <c r="NWI224" s="19" t="str">
        <f>IF(NWI220 = "", "", IFERROR(NWI220 / SUMIFS(Aux_Totales!$N:$N, Aux_Totales!$F:$F, $F224, Aux_Totales!$A:$A,#REF!), 0))</f>
        <v/>
      </c>
      <c r="NWJ224" s="19" t="str">
        <f>IF(NWJ220 = "", "", IFERROR(NWJ220 / SUMIFS(Aux_Totales!$N:$N, Aux_Totales!$F:$F, $F224, Aux_Totales!$A:$A,#REF!), 0))</f>
        <v/>
      </c>
      <c r="NWK224" s="19" t="str">
        <f>IF(NWK220 = "", "", IFERROR(NWK220 / SUMIFS(Aux_Totales!$N:$N, Aux_Totales!$F:$F, $F224, Aux_Totales!$A:$A,#REF!), 0))</f>
        <v/>
      </c>
      <c r="NWL224" s="19" t="str">
        <f>IF(NWL220 = "", "", IFERROR(NWL220 / SUMIFS(Aux_Totales!$N:$N, Aux_Totales!$F:$F, $F224, Aux_Totales!$A:$A,#REF!), 0))</f>
        <v/>
      </c>
      <c r="NWM224" s="19" t="str">
        <f>IF(NWM220 = "", "", IFERROR(NWM220 / SUMIFS(Aux_Totales!$N:$N, Aux_Totales!$F:$F, $F224, Aux_Totales!$A:$A,#REF!), 0))</f>
        <v/>
      </c>
      <c r="NWN224" s="19" t="str">
        <f>IF(NWN220 = "", "", IFERROR(NWN220 / SUMIFS(Aux_Totales!$N:$N, Aux_Totales!$F:$F, $F224, Aux_Totales!$A:$A,#REF!), 0))</f>
        <v/>
      </c>
      <c r="NWO224" s="19" t="str">
        <f>IF(NWO220 = "", "", IFERROR(NWO220 / SUMIFS(Aux_Totales!$N:$N, Aux_Totales!$F:$F, $F224, Aux_Totales!$A:$A,#REF!), 0))</f>
        <v/>
      </c>
      <c r="NWP224" s="19" t="str">
        <f>IF(NWP220 = "", "", IFERROR(NWP220 / SUMIFS(Aux_Totales!$N:$N, Aux_Totales!$F:$F, $F224, Aux_Totales!$A:$A,#REF!), 0))</f>
        <v/>
      </c>
      <c r="NWQ224" s="19" t="str">
        <f>IF(NWQ220 = "", "", IFERROR(NWQ220 / SUMIFS(Aux_Totales!$N:$N, Aux_Totales!$F:$F, $F224, Aux_Totales!$A:$A,#REF!), 0))</f>
        <v/>
      </c>
      <c r="NWR224" s="19" t="str">
        <f>IF(NWR220 = "", "", IFERROR(NWR220 / SUMIFS(Aux_Totales!$N:$N, Aux_Totales!$F:$F, $F224, Aux_Totales!$A:$A,#REF!), 0))</f>
        <v/>
      </c>
      <c r="NWS224" s="19" t="str">
        <f>IF(NWS220 = "", "", IFERROR(NWS220 / SUMIFS(Aux_Totales!$N:$N, Aux_Totales!$F:$F, $F224, Aux_Totales!$A:$A,#REF!), 0))</f>
        <v/>
      </c>
      <c r="NWT224" s="19" t="str">
        <f>IF(NWT220 = "", "", IFERROR(NWT220 / SUMIFS(Aux_Totales!$N:$N, Aux_Totales!$F:$F, $F224, Aux_Totales!$A:$A,#REF!), 0))</f>
        <v/>
      </c>
      <c r="NWU224" s="19" t="str">
        <f>IF(NWU220 = "", "", IFERROR(NWU220 / SUMIFS(Aux_Totales!$N:$N, Aux_Totales!$F:$F, $F224, Aux_Totales!$A:$A,#REF!), 0))</f>
        <v/>
      </c>
      <c r="NWV224" s="19" t="str">
        <f>IF(NWV220 = "", "", IFERROR(NWV220 / SUMIFS(Aux_Totales!$N:$N, Aux_Totales!$F:$F, $F224, Aux_Totales!$A:$A,#REF!), 0))</f>
        <v/>
      </c>
      <c r="NWW224" s="19" t="str">
        <f>IF(NWW220 = "", "", IFERROR(NWW220 / SUMIFS(Aux_Totales!$N:$N, Aux_Totales!$F:$F, $F224, Aux_Totales!$A:$A,#REF!), 0))</f>
        <v/>
      </c>
      <c r="NWX224" s="19" t="str">
        <f>IF(NWX220 = "", "", IFERROR(NWX220 / SUMIFS(Aux_Totales!$N:$N, Aux_Totales!$F:$F, $F224, Aux_Totales!$A:$A,#REF!), 0))</f>
        <v/>
      </c>
      <c r="NWY224" s="19" t="str">
        <f>IF(NWY220 = "", "", IFERROR(NWY220 / SUMIFS(Aux_Totales!$N:$N, Aux_Totales!$F:$F, $F224, Aux_Totales!$A:$A,#REF!), 0))</f>
        <v/>
      </c>
      <c r="NWZ224" s="19" t="str">
        <f>IF(NWZ220 = "", "", IFERROR(NWZ220 / SUMIFS(Aux_Totales!$N:$N, Aux_Totales!$F:$F, $F224, Aux_Totales!$A:$A,#REF!), 0))</f>
        <v/>
      </c>
      <c r="NXA224" s="19" t="str">
        <f>IF(NXA220 = "", "", IFERROR(NXA220 / SUMIFS(Aux_Totales!$N:$N, Aux_Totales!$F:$F, $F224, Aux_Totales!$A:$A,#REF!), 0))</f>
        <v/>
      </c>
      <c r="NXB224" s="19" t="str">
        <f>IF(NXB220 = "", "", IFERROR(NXB220 / SUMIFS(Aux_Totales!$N:$N, Aux_Totales!$F:$F, $F224, Aux_Totales!$A:$A,#REF!), 0))</f>
        <v/>
      </c>
      <c r="NXC224" s="19" t="str">
        <f>IF(NXC220 = "", "", IFERROR(NXC220 / SUMIFS(Aux_Totales!$N:$N, Aux_Totales!$F:$F, $F224, Aux_Totales!$A:$A,#REF!), 0))</f>
        <v/>
      </c>
      <c r="NXD224" s="19" t="str">
        <f>IF(NXD220 = "", "", IFERROR(NXD220 / SUMIFS(Aux_Totales!$N:$N, Aux_Totales!$F:$F, $F224, Aux_Totales!$A:$A,#REF!), 0))</f>
        <v/>
      </c>
      <c r="NXE224" s="19" t="str">
        <f>IF(NXE220 = "", "", IFERROR(NXE220 / SUMIFS(Aux_Totales!$N:$N, Aux_Totales!$F:$F, $F224, Aux_Totales!$A:$A,#REF!), 0))</f>
        <v/>
      </c>
      <c r="NXF224" s="19" t="str">
        <f>IF(NXF220 = "", "", IFERROR(NXF220 / SUMIFS(Aux_Totales!$N:$N, Aux_Totales!$F:$F, $F224, Aux_Totales!$A:$A,#REF!), 0))</f>
        <v/>
      </c>
      <c r="NXG224" s="19" t="str">
        <f>IF(NXG220 = "", "", IFERROR(NXG220 / SUMIFS(Aux_Totales!$N:$N, Aux_Totales!$F:$F, $F224, Aux_Totales!$A:$A,#REF!), 0))</f>
        <v/>
      </c>
      <c r="NXH224" s="19" t="str">
        <f>IF(NXH220 = "", "", IFERROR(NXH220 / SUMIFS(Aux_Totales!$N:$N, Aux_Totales!$F:$F, $F224, Aux_Totales!$A:$A,#REF!), 0))</f>
        <v/>
      </c>
      <c r="NXI224" s="19" t="str">
        <f>IF(NXI220 = "", "", IFERROR(NXI220 / SUMIFS(Aux_Totales!$N:$N, Aux_Totales!$F:$F, $F224, Aux_Totales!$A:$A,#REF!), 0))</f>
        <v/>
      </c>
      <c r="NXJ224" s="19" t="str">
        <f>IF(NXJ220 = "", "", IFERROR(NXJ220 / SUMIFS(Aux_Totales!$N:$N, Aux_Totales!$F:$F, $F224, Aux_Totales!$A:$A,#REF!), 0))</f>
        <v/>
      </c>
      <c r="NXK224" s="19" t="str">
        <f>IF(NXK220 = "", "", IFERROR(NXK220 / SUMIFS(Aux_Totales!$N:$N, Aux_Totales!$F:$F, $F224, Aux_Totales!$A:$A,#REF!), 0))</f>
        <v/>
      </c>
      <c r="NXL224" s="19" t="str">
        <f>IF(NXL220 = "", "", IFERROR(NXL220 / SUMIFS(Aux_Totales!$N:$N, Aux_Totales!$F:$F, $F224, Aux_Totales!$A:$A,#REF!), 0))</f>
        <v/>
      </c>
      <c r="NXM224" s="19" t="str">
        <f>IF(NXM220 = "", "", IFERROR(NXM220 / SUMIFS(Aux_Totales!$N:$N, Aux_Totales!$F:$F, $F224, Aux_Totales!$A:$A,#REF!), 0))</f>
        <v/>
      </c>
      <c r="NXN224" s="19" t="str">
        <f>IF(NXN220 = "", "", IFERROR(NXN220 / SUMIFS(Aux_Totales!$N:$N, Aux_Totales!$F:$F, $F224, Aux_Totales!$A:$A,#REF!), 0))</f>
        <v/>
      </c>
      <c r="NXO224" s="19" t="str">
        <f>IF(NXO220 = "", "", IFERROR(NXO220 / SUMIFS(Aux_Totales!$N:$N, Aux_Totales!$F:$F, $F224, Aux_Totales!$A:$A,#REF!), 0))</f>
        <v/>
      </c>
      <c r="NXP224" s="19" t="str">
        <f>IF(NXP220 = "", "", IFERROR(NXP220 / SUMIFS(Aux_Totales!$N:$N, Aux_Totales!$F:$F, $F224, Aux_Totales!$A:$A,#REF!), 0))</f>
        <v/>
      </c>
      <c r="NXQ224" s="19" t="str">
        <f>IF(NXQ220 = "", "", IFERROR(NXQ220 / SUMIFS(Aux_Totales!$N:$N, Aux_Totales!$F:$F, $F224, Aux_Totales!$A:$A,#REF!), 0))</f>
        <v/>
      </c>
      <c r="NXR224" s="19" t="str">
        <f>IF(NXR220 = "", "", IFERROR(NXR220 / SUMIFS(Aux_Totales!$N:$N, Aux_Totales!$F:$F, $F224, Aux_Totales!$A:$A,#REF!), 0))</f>
        <v/>
      </c>
      <c r="NXS224" s="19" t="str">
        <f>IF(NXS220 = "", "", IFERROR(NXS220 / SUMIFS(Aux_Totales!$N:$N, Aux_Totales!$F:$F, $F224, Aux_Totales!$A:$A,#REF!), 0))</f>
        <v/>
      </c>
      <c r="NXT224" s="19" t="str">
        <f>IF(NXT220 = "", "", IFERROR(NXT220 / SUMIFS(Aux_Totales!$N:$N, Aux_Totales!$F:$F, $F224, Aux_Totales!$A:$A,#REF!), 0))</f>
        <v/>
      </c>
      <c r="NXU224" s="19" t="str">
        <f>IF(NXU220 = "", "", IFERROR(NXU220 / SUMIFS(Aux_Totales!$N:$N, Aux_Totales!$F:$F, $F224, Aux_Totales!$A:$A,#REF!), 0))</f>
        <v/>
      </c>
      <c r="NXV224" s="19" t="str">
        <f>IF(NXV220 = "", "", IFERROR(NXV220 / SUMIFS(Aux_Totales!$N:$N, Aux_Totales!$F:$F, $F224, Aux_Totales!$A:$A,#REF!), 0))</f>
        <v/>
      </c>
      <c r="NXW224" s="19" t="str">
        <f>IF(NXW220 = "", "", IFERROR(NXW220 / SUMIFS(Aux_Totales!$N:$N, Aux_Totales!$F:$F, $F224, Aux_Totales!$A:$A,#REF!), 0))</f>
        <v/>
      </c>
      <c r="NXX224" s="19" t="str">
        <f>IF(NXX220 = "", "", IFERROR(NXX220 / SUMIFS(Aux_Totales!$N:$N, Aux_Totales!$F:$F, $F224, Aux_Totales!$A:$A,#REF!), 0))</f>
        <v/>
      </c>
      <c r="NXY224" s="19" t="str">
        <f>IF(NXY220 = "", "", IFERROR(NXY220 / SUMIFS(Aux_Totales!$N:$N, Aux_Totales!$F:$F, $F224, Aux_Totales!$A:$A,#REF!), 0))</f>
        <v/>
      </c>
      <c r="NXZ224" s="19" t="str">
        <f>IF(NXZ220 = "", "", IFERROR(NXZ220 / SUMIFS(Aux_Totales!$N:$N, Aux_Totales!$F:$F, $F224, Aux_Totales!$A:$A,#REF!), 0))</f>
        <v/>
      </c>
      <c r="NYA224" s="19" t="str">
        <f>IF(NYA220 = "", "", IFERROR(NYA220 / SUMIFS(Aux_Totales!$N:$N, Aux_Totales!$F:$F, $F224, Aux_Totales!$A:$A,#REF!), 0))</f>
        <v/>
      </c>
      <c r="NYB224" s="19" t="str">
        <f>IF(NYB220 = "", "", IFERROR(NYB220 / SUMIFS(Aux_Totales!$N:$N, Aux_Totales!$F:$F, $F224, Aux_Totales!$A:$A,#REF!), 0))</f>
        <v/>
      </c>
      <c r="NYC224" s="19" t="str">
        <f>IF(NYC220 = "", "", IFERROR(NYC220 / SUMIFS(Aux_Totales!$N:$N, Aux_Totales!$F:$F, $F224, Aux_Totales!$A:$A,#REF!), 0))</f>
        <v/>
      </c>
      <c r="NYD224" s="19" t="str">
        <f>IF(NYD220 = "", "", IFERROR(NYD220 / SUMIFS(Aux_Totales!$N:$N, Aux_Totales!$F:$F, $F224, Aux_Totales!$A:$A,#REF!), 0))</f>
        <v/>
      </c>
      <c r="NYE224" s="19" t="str">
        <f>IF(NYE220 = "", "", IFERROR(NYE220 / SUMIFS(Aux_Totales!$N:$N, Aux_Totales!$F:$F, $F224, Aux_Totales!$A:$A,#REF!), 0))</f>
        <v/>
      </c>
      <c r="NYF224" s="19" t="str">
        <f>IF(NYF220 = "", "", IFERROR(NYF220 / SUMIFS(Aux_Totales!$N:$N, Aux_Totales!$F:$F, $F224, Aux_Totales!$A:$A,#REF!), 0))</f>
        <v/>
      </c>
      <c r="NYG224" s="19" t="str">
        <f>IF(NYG220 = "", "", IFERROR(NYG220 / SUMIFS(Aux_Totales!$N:$N, Aux_Totales!$F:$F, $F224, Aux_Totales!$A:$A,#REF!), 0))</f>
        <v/>
      </c>
      <c r="NYH224" s="19" t="str">
        <f>IF(NYH220 = "", "", IFERROR(NYH220 / SUMIFS(Aux_Totales!$N:$N, Aux_Totales!$F:$F, $F224, Aux_Totales!$A:$A,#REF!), 0))</f>
        <v/>
      </c>
      <c r="NYI224" s="19" t="str">
        <f>IF(NYI220 = "", "", IFERROR(NYI220 / SUMIFS(Aux_Totales!$N:$N, Aux_Totales!$F:$F, $F224, Aux_Totales!$A:$A,#REF!), 0))</f>
        <v/>
      </c>
      <c r="NYJ224" s="19" t="str">
        <f>IF(NYJ220 = "", "", IFERROR(NYJ220 / SUMIFS(Aux_Totales!$N:$N, Aux_Totales!$F:$F, $F224, Aux_Totales!$A:$A,#REF!), 0))</f>
        <v/>
      </c>
      <c r="NYK224" s="19" t="str">
        <f>IF(NYK220 = "", "", IFERROR(NYK220 / SUMIFS(Aux_Totales!$N:$N, Aux_Totales!$F:$F, $F224, Aux_Totales!$A:$A,#REF!), 0))</f>
        <v/>
      </c>
      <c r="NYL224" s="19" t="str">
        <f>IF(NYL220 = "", "", IFERROR(NYL220 / SUMIFS(Aux_Totales!$N:$N, Aux_Totales!$F:$F, $F224, Aux_Totales!$A:$A,#REF!), 0))</f>
        <v/>
      </c>
      <c r="NYM224" s="19" t="str">
        <f>IF(NYM220 = "", "", IFERROR(NYM220 / SUMIFS(Aux_Totales!$N:$N, Aux_Totales!$F:$F, $F224, Aux_Totales!$A:$A,#REF!), 0))</f>
        <v/>
      </c>
      <c r="NYN224" s="19" t="str">
        <f>IF(NYN220 = "", "", IFERROR(NYN220 / SUMIFS(Aux_Totales!$N:$N, Aux_Totales!$F:$F, $F224, Aux_Totales!$A:$A,#REF!), 0))</f>
        <v/>
      </c>
      <c r="NYO224" s="19" t="str">
        <f>IF(NYO220 = "", "", IFERROR(NYO220 / SUMIFS(Aux_Totales!$N:$N, Aux_Totales!$F:$F, $F224, Aux_Totales!$A:$A,#REF!), 0))</f>
        <v/>
      </c>
      <c r="NYP224" s="19" t="str">
        <f>IF(NYP220 = "", "", IFERROR(NYP220 / SUMIFS(Aux_Totales!$N:$N, Aux_Totales!$F:$F, $F224, Aux_Totales!$A:$A,#REF!), 0))</f>
        <v/>
      </c>
      <c r="NYQ224" s="19" t="str">
        <f>IF(NYQ220 = "", "", IFERROR(NYQ220 / SUMIFS(Aux_Totales!$N:$N, Aux_Totales!$F:$F, $F224, Aux_Totales!$A:$A,#REF!), 0))</f>
        <v/>
      </c>
      <c r="NYR224" s="19" t="str">
        <f>IF(NYR220 = "", "", IFERROR(NYR220 / SUMIFS(Aux_Totales!$N:$N, Aux_Totales!$F:$F, $F224, Aux_Totales!$A:$A,#REF!), 0))</f>
        <v/>
      </c>
      <c r="NYS224" s="19" t="str">
        <f>IF(NYS220 = "", "", IFERROR(NYS220 / SUMIFS(Aux_Totales!$N:$N, Aux_Totales!$F:$F, $F224, Aux_Totales!$A:$A,#REF!), 0))</f>
        <v/>
      </c>
      <c r="NYT224" s="19" t="str">
        <f>IF(NYT220 = "", "", IFERROR(NYT220 / SUMIFS(Aux_Totales!$N:$N, Aux_Totales!$F:$F, $F224, Aux_Totales!$A:$A,#REF!), 0))</f>
        <v/>
      </c>
      <c r="NYU224" s="19" t="str">
        <f>IF(NYU220 = "", "", IFERROR(NYU220 / SUMIFS(Aux_Totales!$N:$N, Aux_Totales!$F:$F, $F224, Aux_Totales!$A:$A,#REF!), 0))</f>
        <v/>
      </c>
      <c r="NYV224" s="19" t="str">
        <f>IF(NYV220 = "", "", IFERROR(NYV220 / SUMIFS(Aux_Totales!$N:$N, Aux_Totales!$F:$F, $F224, Aux_Totales!$A:$A,#REF!), 0))</f>
        <v/>
      </c>
      <c r="NYW224" s="19" t="str">
        <f>IF(NYW220 = "", "", IFERROR(NYW220 / SUMIFS(Aux_Totales!$N:$N, Aux_Totales!$F:$F, $F224, Aux_Totales!$A:$A,#REF!), 0))</f>
        <v/>
      </c>
      <c r="NYX224" s="19" t="str">
        <f>IF(NYX220 = "", "", IFERROR(NYX220 / SUMIFS(Aux_Totales!$N:$N, Aux_Totales!$F:$F, $F224, Aux_Totales!$A:$A,#REF!), 0))</f>
        <v/>
      </c>
      <c r="NYY224" s="19" t="str">
        <f>IF(NYY220 = "", "", IFERROR(NYY220 / SUMIFS(Aux_Totales!$N:$N, Aux_Totales!$F:$F, $F224, Aux_Totales!$A:$A,#REF!), 0))</f>
        <v/>
      </c>
      <c r="NYZ224" s="19" t="str">
        <f>IF(NYZ220 = "", "", IFERROR(NYZ220 / SUMIFS(Aux_Totales!$N:$N, Aux_Totales!$F:$F, $F224, Aux_Totales!$A:$A,#REF!), 0))</f>
        <v/>
      </c>
      <c r="NZA224" s="19" t="str">
        <f>IF(NZA220 = "", "", IFERROR(NZA220 / SUMIFS(Aux_Totales!$N:$N, Aux_Totales!$F:$F, $F224, Aux_Totales!$A:$A,#REF!), 0))</f>
        <v/>
      </c>
      <c r="NZB224" s="19" t="str">
        <f>IF(NZB220 = "", "", IFERROR(NZB220 / SUMIFS(Aux_Totales!$N:$N, Aux_Totales!$F:$F, $F224, Aux_Totales!$A:$A,#REF!), 0))</f>
        <v/>
      </c>
      <c r="NZC224" s="19" t="str">
        <f>IF(NZC220 = "", "", IFERROR(NZC220 / SUMIFS(Aux_Totales!$N:$N, Aux_Totales!$F:$F, $F224, Aux_Totales!$A:$A,#REF!), 0))</f>
        <v/>
      </c>
      <c r="NZD224" s="19" t="str">
        <f>IF(NZD220 = "", "", IFERROR(NZD220 / SUMIFS(Aux_Totales!$N:$N, Aux_Totales!$F:$F, $F224, Aux_Totales!$A:$A,#REF!), 0))</f>
        <v/>
      </c>
      <c r="NZE224" s="19" t="str">
        <f>IF(NZE220 = "", "", IFERROR(NZE220 / SUMIFS(Aux_Totales!$N:$N, Aux_Totales!$F:$F, $F224, Aux_Totales!$A:$A,#REF!), 0))</f>
        <v/>
      </c>
      <c r="NZF224" s="19" t="str">
        <f>IF(NZF220 = "", "", IFERROR(NZF220 / SUMIFS(Aux_Totales!$N:$N, Aux_Totales!$F:$F, $F224, Aux_Totales!$A:$A,#REF!), 0))</f>
        <v/>
      </c>
      <c r="NZG224" s="19" t="str">
        <f>IF(NZG220 = "", "", IFERROR(NZG220 / SUMIFS(Aux_Totales!$N:$N, Aux_Totales!$F:$F, $F224, Aux_Totales!$A:$A,#REF!), 0))</f>
        <v/>
      </c>
      <c r="NZH224" s="19" t="str">
        <f>IF(NZH220 = "", "", IFERROR(NZH220 / SUMIFS(Aux_Totales!$N:$N, Aux_Totales!$F:$F, $F224, Aux_Totales!$A:$A,#REF!), 0))</f>
        <v/>
      </c>
      <c r="NZI224" s="19" t="str">
        <f>IF(NZI220 = "", "", IFERROR(NZI220 / SUMIFS(Aux_Totales!$N:$N, Aux_Totales!$F:$F, $F224, Aux_Totales!$A:$A,#REF!), 0))</f>
        <v/>
      </c>
      <c r="NZJ224" s="19" t="str">
        <f>IF(NZJ220 = "", "", IFERROR(NZJ220 / SUMIFS(Aux_Totales!$N:$N, Aux_Totales!$F:$F, $F224, Aux_Totales!$A:$A,#REF!), 0))</f>
        <v/>
      </c>
      <c r="NZK224" s="19" t="str">
        <f>IF(NZK220 = "", "", IFERROR(NZK220 / SUMIFS(Aux_Totales!$N:$N, Aux_Totales!$F:$F, $F224, Aux_Totales!$A:$A,#REF!), 0))</f>
        <v/>
      </c>
      <c r="NZL224" s="19" t="str">
        <f>IF(NZL220 = "", "", IFERROR(NZL220 / SUMIFS(Aux_Totales!$N:$N, Aux_Totales!$F:$F, $F224, Aux_Totales!$A:$A,#REF!), 0))</f>
        <v/>
      </c>
      <c r="NZM224" s="19" t="str">
        <f>IF(NZM220 = "", "", IFERROR(NZM220 / SUMIFS(Aux_Totales!$N:$N, Aux_Totales!$F:$F, $F224, Aux_Totales!$A:$A,#REF!), 0))</f>
        <v/>
      </c>
      <c r="NZN224" s="19" t="str">
        <f>IF(NZN220 = "", "", IFERROR(NZN220 / SUMIFS(Aux_Totales!$N:$N, Aux_Totales!$F:$F, $F224, Aux_Totales!$A:$A,#REF!), 0))</f>
        <v/>
      </c>
      <c r="NZO224" s="19" t="str">
        <f>IF(NZO220 = "", "", IFERROR(NZO220 / SUMIFS(Aux_Totales!$N:$N, Aux_Totales!$F:$F, $F224, Aux_Totales!$A:$A,#REF!), 0))</f>
        <v/>
      </c>
      <c r="NZP224" s="19" t="str">
        <f>IF(NZP220 = "", "", IFERROR(NZP220 / SUMIFS(Aux_Totales!$N:$N, Aux_Totales!$F:$F, $F224, Aux_Totales!$A:$A,#REF!), 0))</f>
        <v/>
      </c>
      <c r="NZQ224" s="19" t="str">
        <f>IF(NZQ220 = "", "", IFERROR(NZQ220 / SUMIFS(Aux_Totales!$N:$N, Aux_Totales!$F:$F, $F224, Aux_Totales!$A:$A,#REF!), 0))</f>
        <v/>
      </c>
      <c r="NZR224" s="19" t="str">
        <f>IF(NZR220 = "", "", IFERROR(NZR220 / SUMIFS(Aux_Totales!$N:$N, Aux_Totales!$F:$F, $F224, Aux_Totales!$A:$A,#REF!), 0))</f>
        <v/>
      </c>
      <c r="NZS224" s="19" t="str">
        <f>IF(NZS220 = "", "", IFERROR(NZS220 / SUMIFS(Aux_Totales!$N:$N, Aux_Totales!$F:$F, $F224, Aux_Totales!$A:$A,#REF!), 0))</f>
        <v/>
      </c>
      <c r="NZT224" s="19" t="str">
        <f>IF(NZT220 = "", "", IFERROR(NZT220 / SUMIFS(Aux_Totales!$N:$N, Aux_Totales!$F:$F, $F224, Aux_Totales!$A:$A,#REF!), 0))</f>
        <v/>
      </c>
      <c r="NZU224" s="19" t="str">
        <f>IF(NZU220 = "", "", IFERROR(NZU220 / SUMIFS(Aux_Totales!$N:$N, Aux_Totales!$F:$F, $F224, Aux_Totales!$A:$A,#REF!), 0))</f>
        <v/>
      </c>
      <c r="NZV224" s="19" t="str">
        <f>IF(NZV220 = "", "", IFERROR(NZV220 / SUMIFS(Aux_Totales!$N:$N, Aux_Totales!$F:$F, $F224, Aux_Totales!$A:$A,#REF!), 0))</f>
        <v/>
      </c>
      <c r="NZW224" s="19" t="str">
        <f>IF(NZW220 = "", "", IFERROR(NZW220 / SUMIFS(Aux_Totales!$N:$N, Aux_Totales!$F:$F, $F224, Aux_Totales!$A:$A,#REF!), 0))</f>
        <v/>
      </c>
      <c r="NZX224" s="19" t="str">
        <f>IF(NZX220 = "", "", IFERROR(NZX220 / SUMIFS(Aux_Totales!$N:$N, Aux_Totales!$F:$F, $F224, Aux_Totales!$A:$A,#REF!), 0))</f>
        <v/>
      </c>
      <c r="NZY224" s="19" t="str">
        <f>IF(NZY220 = "", "", IFERROR(NZY220 / SUMIFS(Aux_Totales!$N:$N, Aux_Totales!$F:$F, $F224, Aux_Totales!$A:$A,#REF!), 0))</f>
        <v/>
      </c>
      <c r="NZZ224" s="19" t="str">
        <f>IF(NZZ220 = "", "", IFERROR(NZZ220 / SUMIFS(Aux_Totales!$N:$N, Aux_Totales!$F:$F, $F224, Aux_Totales!$A:$A,#REF!), 0))</f>
        <v/>
      </c>
      <c r="OAA224" s="19" t="str">
        <f>IF(OAA220 = "", "", IFERROR(OAA220 / SUMIFS(Aux_Totales!$N:$N, Aux_Totales!$F:$F, $F224, Aux_Totales!$A:$A,#REF!), 0))</f>
        <v/>
      </c>
      <c r="OAB224" s="19" t="str">
        <f>IF(OAB220 = "", "", IFERROR(OAB220 / SUMIFS(Aux_Totales!$N:$N, Aux_Totales!$F:$F, $F224, Aux_Totales!$A:$A,#REF!), 0))</f>
        <v/>
      </c>
      <c r="OAC224" s="19" t="str">
        <f>IF(OAC220 = "", "", IFERROR(OAC220 / SUMIFS(Aux_Totales!$N:$N, Aux_Totales!$F:$F, $F224, Aux_Totales!$A:$A,#REF!), 0))</f>
        <v/>
      </c>
      <c r="OAD224" s="19" t="str">
        <f>IF(OAD220 = "", "", IFERROR(OAD220 / SUMIFS(Aux_Totales!$N:$N, Aux_Totales!$F:$F, $F224, Aux_Totales!$A:$A,#REF!), 0))</f>
        <v/>
      </c>
      <c r="OAE224" s="19" t="str">
        <f>IF(OAE220 = "", "", IFERROR(OAE220 / SUMIFS(Aux_Totales!$N:$N, Aux_Totales!$F:$F, $F224, Aux_Totales!$A:$A,#REF!), 0))</f>
        <v/>
      </c>
      <c r="OAF224" s="19" t="str">
        <f>IF(OAF220 = "", "", IFERROR(OAF220 / SUMIFS(Aux_Totales!$N:$N, Aux_Totales!$F:$F, $F224, Aux_Totales!$A:$A,#REF!), 0))</f>
        <v/>
      </c>
      <c r="OAG224" s="19" t="str">
        <f>IF(OAG220 = "", "", IFERROR(OAG220 / SUMIFS(Aux_Totales!$N:$N, Aux_Totales!$F:$F, $F224, Aux_Totales!$A:$A,#REF!), 0))</f>
        <v/>
      </c>
      <c r="OAH224" s="19" t="str">
        <f>IF(OAH220 = "", "", IFERROR(OAH220 / SUMIFS(Aux_Totales!$N:$N, Aux_Totales!$F:$F, $F224, Aux_Totales!$A:$A,#REF!), 0))</f>
        <v/>
      </c>
      <c r="OAI224" s="19" t="str">
        <f>IF(OAI220 = "", "", IFERROR(OAI220 / SUMIFS(Aux_Totales!$N:$N, Aux_Totales!$F:$F, $F224, Aux_Totales!$A:$A,#REF!), 0))</f>
        <v/>
      </c>
      <c r="OAJ224" s="19" t="str">
        <f>IF(OAJ220 = "", "", IFERROR(OAJ220 / SUMIFS(Aux_Totales!$N:$N, Aux_Totales!$F:$F, $F224, Aux_Totales!$A:$A,#REF!), 0))</f>
        <v/>
      </c>
      <c r="OAK224" s="19" t="str">
        <f>IF(OAK220 = "", "", IFERROR(OAK220 / SUMIFS(Aux_Totales!$N:$N, Aux_Totales!$F:$F, $F224, Aux_Totales!$A:$A,#REF!), 0))</f>
        <v/>
      </c>
      <c r="OAL224" s="19" t="str">
        <f>IF(OAL220 = "", "", IFERROR(OAL220 / SUMIFS(Aux_Totales!$N:$N, Aux_Totales!$F:$F, $F224, Aux_Totales!$A:$A,#REF!), 0))</f>
        <v/>
      </c>
      <c r="OAM224" s="19" t="str">
        <f>IF(OAM220 = "", "", IFERROR(OAM220 / SUMIFS(Aux_Totales!$N:$N, Aux_Totales!$F:$F, $F224, Aux_Totales!$A:$A,#REF!), 0))</f>
        <v/>
      </c>
      <c r="OAN224" s="19" t="str">
        <f>IF(OAN220 = "", "", IFERROR(OAN220 / SUMIFS(Aux_Totales!$N:$N, Aux_Totales!$F:$F, $F224, Aux_Totales!$A:$A,#REF!), 0))</f>
        <v/>
      </c>
      <c r="OAO224" s="19" t="str">
        <f>IF(OAO220 = "", "", IFERROR(OAO220 / SUMIFS(Aux_Totales!$N:$N, Aux_Totales!$F:$F, $F224, Aux_Totales!$A:$A,#REF!), 0))</f>
        <v/>
      </c>
      <c r="OAP224" s="19" t="str">
        <f>IF(OAP220 = "", "", IFERROR(OAP220 / SUMIFS(Aux_Totales!$N:$N, Aux_Totales!$F:$F, $F224, Aux_Totales!$A:$A,#REF!), 0))</f>
        <v/>
      </c>
      <c r="OAQ224" s="19" t="str">
        <f>IF(OAQ220 = "", "", IFERROR(OAQ220 / SUMIFS(Aux_Totales!$N:$N, Aux_Totales!$F:$F, $F224, Aux_Totales!$A:$A,#REF!), 0))</f>
        <v/>
      </c>
      <c r="OAR224" s="19" t="str">
        <f>IF(OAR220 = "", "", IFERROR(OAR220 / SUMIFS(Aux_Totales!$N:$N, Aux_Totales!$F:$F, $F224, Aux_Totales!$A:$A,#REF!), 0))</f>
        <v/>
      </c>
      <c r="OAS224" s="19" t="str">
        <f>IF(OAS220 = "", "", IFERROR(OAS220 / SUMIFS(Aux_Totales!$N:$N, Aux_Totales!$F:$F, $F224, Aux_Totales!$A:$A,#REF!), 0))</f>
        <v/>
      </c>
      <c r="OAT224" s="19" t="str">
        <f>IF(OAT220 = "", "", IFERROR(OAT220 / SUMIFS(Aux_Totales!$N:$N, Aux_Totales!$F:$F, $F224, Aux_Totales!$A:$A,#REF!), 0))</f>
        <v/>
      </c>
      <c r="OAU224" s="19" t="str">
        <f>IF(OAU220 = "", "", IFERROR(OAU220 / SUMIFS(Aux_Totales!$N:$N, Aux_Totales!$F:$F, $F224, Aux_Totales!$A:$A,#REF!), 0))</f>
        <v/>
      </c>
      <c r="OAV224" s="19" t="str">
        <f>IF(OAV220 = "", "", IFERROR(OAV220 / SUMIFS(Aux_Totales!$N:$N, Aux_Totales!$F:$F, $F224, Aux_Totales!$A:$A,#REF!), 0))</f>
        <v/>
      </c>
      <c r="OAW224" s="19" t="str">
        <f>IF(OAW220 = "", "", IFERROR(OAW220 / SUMIFS(Aux_Totales!$N:$N, Aux_Totales!$F:$F, $F224, Aux_Totales!$A:$A,#REF!), 0))</f>
        <v/>
      </c>
      <c r="OAX224" s="19" t="str">
        <f>IF(OAX220 = "", "", IFERROR(OAX220 / SUMIFS(Aux_Totales!$N:$N, Aux_Totales!$F:$F, $F224, Aux_Totales!$A:$A,#REF!), 0))</f>
        <v/>
      </c>
      <c r="OAY224" s="19" t="str">
        <f>IF(OAY220 = "", "", IFERROR(OAY220 / SUMIFS(Aux_Totales!$N:$N, Aux_Totales!$F:$F, $F224, Aux_Totales!$A:$A,#REF!), 0))</f>
        <v/>
      </c>
      <c r="OAZ224" s="19" t="str">
        <f>IF(OAZ220 = "", "", IFERROR(OAZ220 / SUMIFS(Aux_Totales!$N:$N, Aux_Totales!$F:$F, $F224, Aux_Totales!$A:$A,#REF!), 0))</f>
        <v/>
      </c>
      <c r="OBA224" s="19" t="str">
        <f>IF(OBA220 = "", "", IFERROR(OBA220 / SUMIFS(Aux_Totales!$N:$N, Aux_Totales!$F:$F, $F224, Aux_Totales!$A:$A,#REF!), 0))</f>
        <v/>
      </c>
      <c r="OBB224" s="19" t="str">
        <f>IF(OBB220 = "", "", IFERROR(OBB220 / SUMIFS(Aux_Totales!$N:$N, Aux_Totales!$F:$F, $F224, Aux_Totales!$A:$A,#REF!), 0))</f>
        <v/>
      </c>
      <c r="OBC224" s="19" t="str">
        <f>IF(OBC220 = "", "", IFERROR(OBC220 / SUMIFS(Aux_Totales!$N:$N, Aux_Totales!$F:$F, $F224, Aux_Totales!$A:$A,#REF!), 0))</f>
        <v/>
      </c>
      <c r="OBD224" s="19" t="str">
        <f>IF(OBD220 = "", "", IFERROR(OBD220 / SUMIFS(Aux_Totales!$N:$N, Aux_Totales!$F:$F, $F224, Aux_Totales!$A:$A,#REF!), 0))</f>
        <v/>
      </c>
      <c r="OBE224" s="19" t="str">
        <f>IF(OBE220 = "", "", IFERROR(OBE220 / SUMIFS(Aux_Totales!$N:$N, Aux_Totales!$F:$F, $F224, Aux_Totales!$A:$A,#REF!), 0))</f>
        <v/>
      </c>
      <c r="OBF224" s="19" t="str">
        <f>IF(OBF220 = "", "", IFERROR(OBF220 / SUMIFS(Aux_Totales!$N:$N, Aux_Totales!$F:$F, $F224, Aux_Totales!$A:$A,#REF!), 0))</f>
        <v/>
      </c>
      <c r="OBG224" s="19" t="str">
        <f>IF(OBG220 = "", "", IFERROR(OBG220 / SUMIFS(Aux_Totales!$N:$N, Aux_Totales!$F:$F, $F224, Aux_Totales!$A:$A,#REF!), 0))</f>
        <v/>
      </c>
      <c r="OBH224" s="19" t="str">
        <f>IF(OBH220 = "", "", IFERROR(OBH220 / SUMIFS(Aux_Totales!$N:$N, Aux_Totales!$F:$F, $F224, Aux_Totales!$A:$A,#REF!), 0))</f>
        <v/>
      </c>
      <c r="OBI224" s="19" t="str">
        <f>IF(OBI220 = "", "", IFERROR(OBI220 / SUMIFS(Aux_Totales!$N:$N, Aux_Totales!$F:$F, $F224, Aux_Totales!$A:$A,#REF!), 0))</f>
        <v/>
      </c>
      <c r="OBJ224" s="19" t="str">
        <f>IF(OBJ220 = "", "", IFERROR(OBJ220 / SUMIFS(Aux_Totales!$N:$N, Aux_Totales!$F:$F, $F224, Aux_Totales!$A:$A,#REF!), 0))</f>
        <v/>
      </c>
      <c r="OBK224" s="19" t="str">
        <f>IF(OBK220 = "", "", IFERROR(OBK220 / SUMIFS(Aux_Totales!$N:$N, Aux_Totales!$F:$F, $F224, Aux_Totales!$A:$A,#REF!), 0))</f>
        <v/>
      </c>
      <c r="OBL224" s="19" t="str">
        <f>IF(OBL220 = "", "", IFERROR(OBL220 / SUMIFS(Aux_Totales!$N:$N, Aux_Totales!$F:$F, $F224, Aux_Totales!$A:$A,#REF!), 0))</f>
        <v/>
      </c>
      <c r="OBM224" s="19" t="str">
        <f>IF(OBM220 = "", "", IFERROR(OBM220 / SUMIFS(Aux_Totales!$N:$N, Aux_Totales!$F:$F, $F224, Aux_Totales!$A:$A,#REF!), 0))</f>
        <v/>
      </c>
      <c r="OBN224" s="19" t="str">
        <f>IF(OBN220 = "", "", IFERROR(OBN220 / SUMIFS(Aux_Totales!$N:$N, Aux_Totales!$F:$F, $F224, Aux_Totales!$A:$A,#REF!), 0))</f>
        <v/>
      </c>
      <c r="OBO224" s="19" t="str">
        <f>IF(OBO220 = "", "", IFERROR(OBO220 / SUMIFS(Aux_Totales!$N:$N, Aux_Totales!$F:$F, $F224, Aux_Totales!$A:$A,#REF!), 0))</f>
        <v/>
      </c>
      <c r="OBP224" s="19" t="str">
        <f>IF(OBP220 = "", "", IFERROR(OBP220 / SUMIFS(Aux_Totales!$N:$N, Aux_Totales!$F:$F, $F224, Aux_Totales!$A:$A,#REF!), 0))</f>
        <v/>
      </c>
      <c r="OBQ224" s="19" t="str">
        <f>IF(OBQ220 = "", "", IFERROR(OBQ220 / SUMIFS(Aux_Totales!$N:$N, Aux_Totales!$F:$F, $F224, Aux_Totales!$A:$A,#REF!), 0))</f>
        <v/>
      </c>
      <c r="OBR224" s="19" t="str">
        <f>IF(OBR220 = "", "", IFERROR(OBR220 / SUMIFS(Aux_Totales!$N:$N, Aux_Totales!$F:$F, $F224, Aux_Totales!$A:$A,#REF!), 0))</f>
        <v/>
      </c>
      <c r="OBS224" s="19" t="str">
        <f>IF(OBS220 = "", "", IFERROR(OBS220 / SUMIFS(Aux_Totales!$N:$N, Aux_Totales!$F:$F, $F224, Aux_Totales!$A:$A,#REF!), 0))</f>
        <v/>
      </c>
      <c r="OBT224" s="19" t="str">
        <f>IF(OBT220 = "", "", IFERROR(OBT220 / SUMIFS(Aux_Totales!$N:$N, Aux_Totales!$F:$F, $F224, Aux_Totales!$A:$A,#REF!), 0))</f>
        <v/>
      </c>
      <c r="OBU224" s="19" t="str">
        <f>IF(OBU220 = "", "", IFERROR(OBU220 / SUMIFS(Aux_Totales!$N:$N, Aux_Totales!$F:$F, $F224, Aux_Totales!$A:$A,#REF!), 0))</f>
        <v/>
      </c>
      <c r="OBV224" s="19" t="str">
        <f>IF(OBV220 = "", "", IFERROR(OBV220 / SUMIFS(Aux_Totales!$N:$N, Aux_Totales!$F:$F, $F224, Aux_Totales!$A:$A,#REF!), 0))</f>
        <v/>
      </c>
      <c r="OBW224" s="19" t="str">
        <f>IF(OBW220 = "", "", IFERROR(OBW220 / SUMIFS(Aux_Totales!$N:$N, Aux_Totales!$F:$F, $F224, Aux_Totales!$A:$A,#REF!), 0))</f>
        <v/>
      </c>
      <c r="OBX224" s="19" t="str">
        <f>IF(OBX220 = "", "", IFERROR(OBX220 / SUMIFS(Aux_Totales!$N:$N, Aux_Totales!$F:$F, $F224, Aux_Totales!$A:$A,#REF!), 0))</f>
        <v/>
      </c>
      <c r="OBY224" s="19" t="str">
        <f>IF(OBY220 = "", "", IFERROR(OBY220 / SUMIFS(Aux_Totales!$N:$N, Aux_Totales!$F:$F, $F224, Aux_Totales!$A:$A,#REF!), 0))</f>
        <v/>
      </c>
      <c r="OBZ224" s="19" t="str">
        <f>IF(OBZ220 = "", "", IFERROR(OBZ220 / SUMIFS(Aux_Totales!$N:$N, Aux_Totales!$F:$F, $F224, Aux_Totales!$A:$A,#REF!), 0))</f>
        <v/>
      </c>
      <c r="OCA224" s="19" t="str">
        <f>IF(OCA220 = "", "", IFERROR(OCA220 / SUMIFS(Aux_Totales!$N:$N, Aux_Totales!$F:$F, $F224, Aux_Totales!$A:$A,#REF!), 0))</f>
        <v/>
      </c>
      <c r="OCB224" s="19" t="str">
        <f>IF(OCB220 = "", "", IFERROR(OCB220 / SUMIFS(Aux_Totales!$N:$N, Aux_Totales!$F:$F, $F224, Aux_Totales!$A:$A,#REF!), 0))</f>
        <v/>
      </c>
      <c r="OCC224" s="19" t="str">
        <f>IF(OCC220 = "", "", IFERROR(OCC220 / SUMIFS(Aux_Totales!$N:$N, Aux_Totales!$F:$F, $F224, Aux_Totales!$A:$A,#REF!), 0))</f>
        <v/>
      </c>
      <c r="OCD224" s="19" t="str">
        <f>IF(OCD220 = "", "", IFERROR(OCD220 / SUMIFS(Aux_Totales!$N:$N, Aux_Totales!$F:$F, $F224, Aux_Totales!$A:$A,#REF!), 0))</f>
        <v/>
      </c>
      <c r="OCE224" s="19" t="str">
        <f>IF(OCE220 = "", "", IFERROR(OCE220 / SUMIFS(Aux_Totales!$N:$N, Aux_Totales!$F:$F, $F224, Aux_Totales!$A:$A,#REF!), 0))</f>
        <v/>
      </c>
      <c r="OCF224" s="19" t="str">
        <f>IF(OCF220 = "", "", IFERROR(OCF220 / SUMIFS(Aux_Totales!$N:$N, Aux_Totales!$F:$F, $F224, Aux_Totales!$A:$A,#REF!), 0))</f>
        <v/>
      </c>
      <c r="OCG224" s="19" t="str">
        <f>IF(OCG220 = "", "", IFERROR(OCG220 / SUMIFS(Aux_Totales!$N:$N, Aux_Totales!$F:$F, $F224, Aux_Totales!$A:$A,#REF!), 0))</f>
        <v/>
      </c>
      <c r="OCH224" s="19" t="str">
        <f>IF(OCH220 = "", "", IFERROR(OCH220 / SUMIFS(Aux_Totales!$N:$N, Aux_Totales!$F:$F, $F224, Aux_Totales!$A:$A,#REF!), 0))</f>
        <v/>
      </c>
      <c r="OCI224" s="19" t="str">
        <f>IF(OCI220 = "", "", IFERROR(OCI220 / SUMIFS(Aux_Totales!$N:$N, Aux_Totales!$F:$F, $F224, Aux_Totales!$A:$A,#REF!), 0))</f>
        <v/>
      </c>
      <c r="OCJ224" s="19" t="str">
        <f>IF(OCJ220 = "", "", IFERROR(OCJ220 / SUMIFS(Aux_Totales!$N:$N, Aux_Totales!$F:$F, $F224, Aux_Totales!$A:$A,#REF!), 0))</f>
        <v/>
      </c>
      <c r="OCK224" s="19" t="str">
        <f>IF(OCK220 = "", "", IFERROR(OCK220 / SUMIFS(Aux_Totales!$N:$N, Aux_Totales!$F:$F, $F224, Aux_Totales!$A:$A,#REF!), 0))</f>
        <v/>
      </c>
      <c r="OCL224" s="19" t="str">
        <f>IF(OCL220 = "", "", IFERROR(OCL220 / SUMIFS(Aux_Totales!$N:$N, Aux_Totales!$F:$F, $F224, Aux_Totales!$A:$A,#REF!), 0))</f>
        <v/>
      </c>
      <c r="OCM224" s="19" t="str">
        <f>IF(OCM220 = "", "", IFERROR(OCM220 / SUMIFS(Aux_Totales!$N:$N, Aux_Totales!$F:$F, $F224, Aux_Totales!$A:$A,#REF!), 0))</f>
        <v/>
      </c>
      <c r="OCN224" s="19" t="str">
        <f>IF(OCN220 = "", "", IFERROR(OCN220 / SUMIFS(Aux_Totales!$N:$N, Aux_Totales!$F:$F, $F224, Aux_Totales!$A:$A,#REF!), 0))</f>
        <v/>
      </c>
      <c r="OCO224" s="19" t="str">
        <f>IF(OCO220 = "", "", IFERROR(OCO220 / SUMIFS(Aux_Totales!$N:$N, Aux_Totales!$F:$F, $F224, Aux_Totales!$A:$A,#REF!), 0))</f>
        <v/>
      </c>
      <c r="OCP224" s="19" t="str">
        <f>IF(OCP220 = "", "", IFERROR(OCP220 / SUMIFS(Aux_Totales!$N:$N, Aux_Totales!$F:$F, $F224, Aux_Totales!$A:$A,#REF!), 0))</f>
        <v/>
      </c>
      <c r="OCQ224" s="19" t="str">
        <f>IF(OCQ220 = "", "", IFERROR(OCQ220 / SUMIFS(Aux_Totales!$N:$N, Aux_Totales!$F:$F, $F224, Aux_Totales!$A:$A,#REF!), 0))</f>
        <v/>
      </c>
      <c r="OCR224" s="19" t="str">
        <f>IF(OCR220 = "", "", IFERROR(OCR220 / SUMIFS(Aux_Totales!$N:$N, Aux_Totales!$F:$F, $F224, Aux_Totales!$A:$A,#REF!), 0))</f>
        <v/>
      </c>
      <c r="OCS224" s="19" t="str">
        <f>IF(OCS220 = "", "", IFERROR(OCS220 / SUMIFS(Aux_Totales!$N:$N, Aux_Totales!$F:$F, $F224, Aux_Totales!$A:$A,#REF!), 0))</f>
        <v/>
      </c>
      <c r="OCT224" s="19" t="str">
        <f>IF(OCT220 = "", "", IFERROR(OCT220 / SUMIFS(Aux_Totales!$N:$N, Aux_Totales!$F:$F, $F224, Aux_Totales!$A:$A,#REF!), 0))</f>
        <v/>
      </c>
      <c r="OCU224" s="19" t="str">
        <f>IF(OCU220 = "", "", IFERROR(OCU220 / SUMIFS(Aux_Totales!$N:$N, Aux_Totales!$F:$F, $F224, Aux_Totales!$A:$A,#REF!), 0))</f>
        <v/>
      </c>
      <c r="OCV224" s="19" t="str">
        <f>IF(OCV220 = "", "", IFERROR(OCV220 / SUMIFS(Aux_Totales!$N:$N, Aux_Totales!$F:$F, $F224, Aux_Totales!$A:$A,#REF!), 0))</f>
        <v/>
      </c>
      <c r="OCW224" s="19" t="str">
        <f>IF(OCW220 = "", "", IFERROR(OCW220 / SUMIFS(Aux_Totales!$N:$N, Aux_Totales!$F:$F, $F224, Aux_Totales!$A:$A,#REF!), 0))</f>
        <v/>
      </c>
      <c r="OCX224" s="19" t="str">
        <f>IF(OCX220 = "", "", IFERROR(OCX220 / SUMIFS(Aux_Totales!$N:$N, Aux_Totales!$F:$F, $F224, Aux_Totales!$A:$A,#REF!), 0))</f>
        <v/>
      </c>
      <c r="OCY224" s="19" t="str">
        <f>IF(OCY220 = "", "", IFERROR(OCY220 / SUMIFS(Aux_Totales!$N:$N, Aux_Totales!$F:$F, $F224, Aux_Totales!$A:$A,#REF!), 0))</f>
        <v/>
      </c>
      <c r="OCZ224" s="19" t="str">
        <f>IF(OCZ220 = "", "", IFERROR(OCZ220 / SUMIFS(Aux_Totales!$N:$N, Aux_Totales!$F:$F, $F224, Aux_Totales!$A:$A,#REF!), 0))</f>
        <v/>
      </c>
      <c r="ODA224" s="19" t="str">
        <f>IF(ODA220 = "", "", IFERROR(ODA220 / SUMIFS(Aux_Totales!$N:$N, Aux_Totales!$F:$F, $F224, Aux_Totales!$A:$A,#REF!), 0))</f>
        <v/>
      </c>
      <c r="ODB224" s="19" t="str">
        <f>IF(ODB220 = "", "", IFERROR(ODB220 / SUMIFS(Aux_Totales!$N:$N, Aux_Totales!$F:$F, $F224, Aux_Totales!$A:$A,#REF!), 0))</f>
        <v/>
      </c>
      <c r="ODC224" s="19" t="str">
        <f>IF(ODC220 = "", "", IFERROR(ODC220 / SUMIFS(Aux_Totales!$N:$N, Aux_Totales!$F:$F, $F224, Aux_Totales!$A:$A,#REF!), 0))</f>
        <v/>
      </c>
      <c r="ODD224" s="19" t="str">
        <f>IF(ODD220 = "", "", IFERROR(ODD220 / SUMIFS(Aux_Totales!$N:$N, Aux_Totales!$F:$F, $F224, Aux_Totales!$A:$A,#REF!), 0))</f>
        <v/>
      </c>
      <c r="ODE224" s="19" t="str">
        <f>IF(ODE220 = "", "", IFERROR(ODE220 / SUMIFS(Aux_Totales!$N:$N, Aux_Totales!$F:$F, $F224, Aux_Totales!$A:$A,#REF!), 0))</f>
        <v/>
      </c>
      <c r="ODF224" s="19" t="str">
        <f>IF(ODF220 = "", "", IFERROR(ODF220 / SUMIFS(Aux_Totales!$N:$N, Aux_Totales!$F:$F, $F224, Aux_Totales!$A:$A,#REF!), 0))</f>
        <v/>
      </c>
      <c r="ODG224" s="19" t="str">
        <f>IF(ODG220 = "", "", IFERROR(ODG220 / SUMIFS(Aux_Totales!$N:$N, Aux_Totales!$F:$F, $F224, Aux_Totales!$A:$A,#REF!), 0))</f>
        <v/>
      </c>
      <c r="ODH224" s="19" t="str">
        <f>IF(ODH220 = "", "", IFERROR(ODH220 / SUMIFS(Aux_Totales!$N:$N, Aux_Totales!$F:$F, $F224, Aux_Totales!$A:$A,#REF!), 0))</f>
        <v/>
      </c>
      <c r="ODI224" s="19" t="str">
        <f>IF(ODI220 = "", "", IFERROR(ODI220 / SUMIFS(Aux_Totales!$N:$N, Aux_Totales!$F:$F, $F224, Aux_Totales!$A:$A,#REF!), 0))</f>
        <v/>
      </c>
      <c r="ODJ224" s="19" t="str">
        <f>IF(ODJ220 = "", "", IFERROR(ODJ220 / SUMIFS(Aux_Totales!$N:$N, Aux_Totales!$F:$F, $F224, Aux_Totales!$A:$A,#REF!), 0))</f>
        <v/>
      </c>
      <c r="ODK224" s="19" t="str">
        <f>IF(ODK220 = "", "", IFERROR(ODK220 / SUMIFS(Aux_Totales!$N:$N, Aux_Totales!$F:$F, $F224, Aux_Totales!$A:$A,#REF!), 0))</f>
        <v/>
      </c>
      <c r="ODL224" s="19" t="str">
        <f>IF(ODL220 = "", "", IFERROR(ODL220 / SUMIFS(Aux_Totales!$N:$N, Aux_Totales!$F:$F, $F224, Aux_Totales!$A:$A,#REF!), 0))</f>
        <v/>
      </c>
      <c r="ODM224" s="19" t="str">
        <f>IF(ODM220 = "", "", IFERROR(ODM220 / SUMIFS(Aux_Totales!$N:$N, Aux_Totales!$F:$F, $F224, Aux_Totales!$A:$A,#REF!), 0))</f>
        <v/>
      </c>
      <c r="ODN224" s="19" t="str">
        <f>IF(ODN220 = "", "", IFERROR(ODN220 / SUMIFS(Aux_Totales!$N:$N, Aux_Totales!$F:$F, $F224, Aux_Totales!$A:$A,#REF!), 0))</f>
        <v/>
      </c>
      <c r="ODO224" s="19" t="str">
        <f>IF(ODO220 = "", "", IFERROR(ODO220 / SUMIFS(Aux_Totales!$N:$N, Aux_Totales!$F:$F, $F224, Aux_Totales!$A:$A,#REF!), 0))</f>
        <v/>
      </c>
      <c r="ODP224" s="19" t="str">
        <f>IF(ODP220 = "", "", IFERROR(ODP220 / SUMIFS(Aux_Totales!$N:$N, Aux_Totales!$F:$F, $F224, Aux_Totales!$A:$A,#REF!), 0))</f>
        <v/>
      </c>
      <c r="ODQ224" s="19" t="str">
        <f>IF(ODQ220 = "", "", IFERROR(ODQ220 / SUMIFS(Aux_Totales!$N:$N, Aux_Totales!$F:$F, $F224, Aux_Totales!$A:$A,#REF!), 0))</f>
        <v/>
      </c>
      <c r="ODR224" s="19" t="str">
        <f>IF(ODR220 = "", "", IFERROR(ODR220 / SUMIFS(Aux_Totales!$N:$N, Aux_Totales!$F:$F, $F224, Aux_Totales!$A:$A,#REF!), 0))</f>
        <v/>
      </c>
      <c r="ODS224" s="19" t="str">
        <f>IF(ODS220 = "", "", IFERROR(ODS220 / SUMIFS(Aux_Totales!$N:$N, Aux_Totales!$F:$F, $F224, Aux_Totales!$A:$A,#REF!), 0))</f>
        <v/>
      </c>
      <c r="ODT224" s="19" t="str">
        <f>IF(ODT220 = "", "", IFERROR(ODT220 / SUMIFS(Aux_Totales!$N:$N, Aux_Totales!$F:$F, $F224, Aux_Totales!$A:$A,#REF!), 0))</f>
        <v/>
      </c>
      <c r="ODU224" s="19" t="str">
        <f>IF(ODU220 = "", "", IFERROR(ODU220 / SUMIFS(Aux_Totales!$N:$N, Aux_Totales!$F:$F, $F224, Aux_Totales!$A:$A,#REF!), 0))</f>
        <v/>
      </c>
      <c r="ODV224" s="19" t="str">
        <f>IF(ODV220 = "", "", IFERROR(ODV220 / SUMIFS(Aux_Totales!$N:$N, Aux_Totales!$F:$F, $F224, Aux_Totales!$A:$A,#REF!), 0))</f>
        <v/>
      </c>
      <c r="ODW224" s="19" t="str">
        <f>IF(ODW220 = "", "", IFERROR(ODW220 / SUMIFS(Aux_Totales!$N:$N, Aux_Totales!$F:$F, $F224, Aux_Totales!$A:$A,#REF!), 0))</f>
        <v/>
      </c>
      <c r="ODX224" s="19" t="str">
        <f>IF(ODX220 = "", "", IFERROR(ODX220 / SUMIFS(Aux_Totales!$N:$N, Aux_Totales!$F:$F, $F224, Aux_Totales!$A:$A,#REF!), 0))</f>
        <v/>
      </c>
      <c r="ODY224" s="19" t="str">
        <f>IF(ODY220 = "", "", IFERROR(ODY220 / SUMIFS(Aux_Totales!$N:$N, Aux_Totales!$F:$F, $F224, Aux_Totales!$A:$A,#REF!), 0))</f>
        <v/>
      </c>
      <c r="ODZ224" s="19" t="str">
        <f>IF(ODZ220 = "", "", IFERROR(ODZ220 / SUMIFS(Aux_Totales!$N:$N, Aux_Totales!$F:$F, $F224, Aux_Totales!$A:$A,#REF!), 0))</f>
        <v/>
      </c>
      <c r="OEA224" s="19" t="str">
        <f>IF(OEA220 = "", "", IFERROR(OEA220 / SUMIFS(Aux_Totales!$N:$N, Aux_Totales!$F:$F, $F224, Aux_Totales!$A:$A,#REF!), 0))</f>
        <v/>
      </c>
      <c r="OEB224" s="19" t="str">
        <f>IF(OEB220 = "", "", IFERROR(OEB220 / SUMIFS(Aux_Totales!$N:$N, Aux_Totales!$F:$F, $F224, Aux_Totales!$A:$A,#REF!), 0))</f>
        <v/>
      </c>
      <c r="OEC224" s="19" t="str">
        <f>IF(OEC220 = "", "", IFERROR(OEC220 / SUMIFS(Aux_Totales!$N:$N, Aux_Totales!$F:$F, $F224, Aux_Totales!$A:$A,#REF!), 0))</f>
        <v/>
      </c>
      <c r="OED224" s="19" t="str">
        <f>IF(OED220 = "", "", IFERROR(OED220 / SUMIFS(Aux_Totales!$N:$N, Aux_Totales!$F:$F, $F224, Aux_Totales!$A:$A,#REF!), 0))</f>
        <v/>
      </c>
      <c r="OEE224" s="19" t="str">
        <f>IF(OEE220 = "", "", IFERROR(OEE220 / SUMIFS(Aux_Totales!$N:$N, Aux_Totales!$F:$F, $F224, Aux_Totales!$A:$A,#REF!), 0))</f>
        <v/>
      </c>
      <c r="OEF224" s="19" t="str">
        <f>IF(OEF220 = "", "", IFERROR(OEF220 / SUMIFS(Aux_Totales!$N:$N, Aux_Totales!$F:$F, $F224, Aux_Totales!$A:$A,#REF!), 0))</f>
        <v/>
      </c>
      <c r="OEG224" s="19" t="str">
        <f>IF(OEG220 = "", "", IFERROR(OEG220 / SUMIFS(Aux_Totales!$N:$N, Aux_Totales!$F:$F, $F224, Aux_Totales!$A:$A,#REF!), 0))</f>
        <v/>
      </c>
      <c r="OEH224" s="19" t="str">
        <f>IF(OEH220 = "", "", IFERROR(OEH220 / SUMIFS(Aux_Totales!$N:$N, Aux_Totales!$F:$F, $F224, Aux_Totales!$A:$A,#REF!), 0))</f>
        <v/>
      </c>
      <c r="OEI224" s="19" t="str">
        <f>IF(OEI220 = "", "", IFERROR(OEI220 / SUMIFS(Aux_Totales!$N:$N, Aux_Totales!$F:$F, $F224, Aux_Totales!$A:$A,#REF!), 0))</f>
        <v/>
      </c>
      <c r="OEJ224" s="19" t="str">
        <f>IF(OEJ220 = "", "", IFERROR(OEJ220 / SUMIFS(Aux_Totales!$N:$N, Aux_Totales!$F:$F, $F224, Aux_Totales!$A:$A,#REF!), 0))</f>
        <v/>
      </c>
      <c r="OEK224" s="19" t="str">
        <f>IF(OEK220 = "", "", IFERROR(OEK220 / SUMIFS(Aux_Totales!$N:$N, Aux_Totales!$F:$F, $F224, Aux_Totales!$A:$A,#REF!), 0))</f>
        <v/>
      </c>
      <c r="OEL224" s="19" t="str">
        <f>IF(OEL220 = "", "", IFERROR(OEL220 / SUMIFS(Aux_Totales!$N:$N, Aux_Totales!$F:$F, $F224, Aux_Totales!$A:$A,#REF!), 0))</f>
        <v/>
      </c>
      <c r="OEM224" s="19" t="str">
        <f>IF(OEM220 = "", "", IFERROR(OEM220 / SUMIFS(Aux_Totales!$N:$N, Aux_Totales!$F:$F, $F224, Aux_Totales!$A:$A,#REF!), 0))</f>
        <v/>
      </c>
      <c r="OEN224" s="19" t="str">
        <f>IF(OEN220 = "", "", IFERROR(OEN220 / SUMIFS(Aux_Totales!$N:$N, Aux_Totales!$F:$F, $F224, Aux_Totales!$A:$A,#REF!), 0))</f>
        <v/>
      </c>
      <c r="OEO224" s="19" t="str">
        <f>IF(OEO220 = "", "", IFERROR(OEO220 / SUMIFS(Aux_Totales!$N:$N, Aux_Totales!$F:$F, $F224, Aux_Totales!$A:$A,#REF!), 0))</f>
        <v/>
      </c>
      <c r="OEP224" s="19" t="str">
        <f>IF(OEP220 = "", "", IFERROR(OEP220 / SUMIFS(Aux_Totales!$N:$N, Aux_Totales!$F:$F, $F224, Aux_Totales!$A:$A,#REF!), 0))</f>
        <v/>
      </c>
      <c r="OEQ224" s="19" t="str">
        <f>IF(OEQ220 = "", "", IFERROR(OEQ220 / SUMIFS(Aux_Totales!$N:$N, Aux_Totales!$F:$F, $F224, Aux_Totales!$A:$A,#REF!), 0))</f>
        <v/>
      </c>
      <c r="OER224" s="19" t="str">
        <f>IF(OER220 = "", "", IFERROR(OER220 / SUMIFS(Aux_Totales!$N:$N, Aux_Totales!$F:$F, $F224, Aux_Totales!$A:$A,#REF!), 0))</f>
        <v/>
      </c>
      <c r="OES224" s="19" t="str">
        <f>IF(OES220 = "", "", IFERROR(OES220 / SUMIFS(Aux_Totales!$N:$N, Aux_Totales!$F:$F, $F224, Aux_Totales!$A:$A,#REF!), 0))</f>
        <v/>
      </c>
      <c r="OET224" s="19" t="str">
        <f>IF(OET220 = "", "", IFERROR(OET220 / SUMIFS(Aux_Totales!$N:$N, Aux_Totales!$F:$F, $F224, Aux_Totales!$A:$A,#REF!), 0))</f>
        <v/>
      </c>
      <c r="OEU224" s="19" t="str">
        <f>IF(OEU220 = "", "", IFERROR(OEU220 / SUMIFS(Aux_Totales!$N:$N, Aux_Totales!$F:$F, $F224, Aux_Totales!$A:$A,#REF!), 0))</f>
        <v/>
      </c>
      <c r="OEV224" s="19" t="str">
        <f>IF(OEV220 = "", "", IFERROR(OEV220 / SUMIFS(Aux_Totales!$N:$N, Aux_Totales!$F:$F, $F224, Aux_Totales!$A:$A,#REF!), 0))</f>
        <v/>
      </c>
      <c r="OEW224" s="19" t="str">
        <f>IF(OEW220 = "", "", IFERROR(OEW220 / SUMIFS(Aux_Totales!$N:$N, Aux_Totales!$F:$F, $F224, Aux_Totales!$A:$A,#REF!), 0))</f>
        <v/>
      </c>
      <c r="OEX224" s="19" t="str">
        <f>IF(OEX220 = "", "", IFERROR(OEX220 / SUMIFS(Aux_Totales!$N:$N, Aux_Totales!$F:$F, $F224, Aux_Totales!$A:$A,#REF!), 0))</f>
        <v/>
      </c>
      <c r="OEY224" s="19" t="str">
        <f>IF(OEY220 = "", "", IFERROR(OEY220 / SUMIFS(Aux_Totales!$N:$N, Aux_Totales!$F:$F, $F224, Aux_Totales!$A:$A,#REF!), 0))</f>
        <v/>
      </c>
      <c r="OEZ224" s="19" t="str">
        <f>IF(OEZ220 = "", "", IFERROR(OEZ220 / SUMIFS(Aux_Totales!$N:$N, Aux_Totales!$F:$F, $F224, Aux_Totales!$A:$A,#REF!), 0))</f>
        <v/>
      </c>
      <c r="OFA224" s="19" t="str">
        <f>IF(OFA220 = "", "", IFERROR(OFA220 / SUMIFS(Aux_Totales!$N:$N, Aux_Totales!$F:$F, $F224, Aux_Totales!$A:$A,#REF!), 0))</f>
        <v/>
      </c>
      <c r="OFB224" s="19" t="str">
        <f>IF(OFB220 = "", "", IFERROR(OFB220 / SUMIFS(Aux_Totales!$N:$N, Aux_Totales!$F:$F, $F224, Aux_Totales!$A:$A,#REF!), 0))</f>
        <v/>
      </c>
      <c r="OFC224" s="19" t="str">
        <f>IF(OFC220 = "", "", IFERROR(OFC220 / SUMIFS(Aux_Totales!$N:$N, Aux_Totales!$F:$F, $F224, Aux_Totales!$A:$A,#REF!), 0))</f>
        <v/>
      </c>
      <c r="OFD224" s="19" t="str">
        <f>IF(OFD220 = "", "", IFERROR(OFD220 / SUMIFS(Aux_Totales!$N:$N, Aux_Totales!$F:$F, $F224, Aux_Totales!$A:$A,#REF!), 0))</f>
        <v/>
      </c>
      <c r="OFE224" s="19" t="str">
        <f>IF(OFE220 = "", "", IFERROR(OFE220 / SUMIFS(Aux_Totales!$N:$N, Aux_Totales!$F:$F, $F224, Aux_Totales!$A:$A,#REF!), 0))</f>
        <v/>
      </c>
      <c r="OFF224" s="19" t="str">
        <f>IF(OFF220 = "", "", IFERROR(OFF220 / SUMIFS(Aux_Totales!$N:$N, Aux_Totales!$F:$F, $F224, Aux_Totales!$A:$A,#REF!), 0))</f>
        <v/>
      </c>
      <c r="OFG224" s="19" t="str">
        <f>IF(OFG220 = "", "", IFERROR(OFG220 / SUMIFS(Aux_Totales!$N:$N, Aux_Totales!$F:$F, $F224, Aux_Totales!$A:$A,#REF!), 0))</f>
        <v/>
      </c>
      <c r="OFH224" s="19" t="str">
        <f>IF(OFH220 = "", "", IFERROR(OFH220 / SUMIFS(Aux_Totales!$N:$N, Aux_Totales!$F:$F, $F224, Aux_Totales!$A:$A,#REF!), 0))</f>
        <v/>
      </c>
      <c r="OFI224" s="19" t="str">
        <f>IF(OFI220 = "", "", IFERROR(OFI220 / SUMIFS(Aux_Totales!$N:$N, Aux_Totales!$F:$F, $F224, Aux_Totales!$A:$A,#REF!), 0))</f>
        <v/>
      </c>
      <c r="OFJ224" s="19" t="str">
        <f>IF(OFJ220 = "", "", IFERROR(OFJ220 / SUMIFS(Aux_Totales!$N:$N, Aux_Totales!$F:$F, $F224, Aux_Totales!$A:$A,#REF!), 0))</f>
        <v/>
      </c>
      <c r="OFK224" s="19" t="str">
        <f>IF(OFK220 = "", "", IFERROR(OFK220 / SUMIFS(Aux_Totales!$N:$N, Aux_Totales!$F:$F, $F224, Aux_Totales!$A:$A,#REF!), 0))</f>
        <v/>
      </c>
      <c r="OFL224" s="19" t="str">
        <f>IF(OFL220 = "", "", IFERROR(OFL220 / SUMIFS(Aux_Totales!$N:$N, Aux_Totales!$F:$F, $F224, Aux_Totales!$A:$A,#REF!), 0))</f>
        <v/>
      </c>
      <c r="OFM224" s="19" t="str">
        <f>IF(OFM220 = "", "", IFERROR(OFM220 / SUMIFS(Aux_Totales!$N:$N, Aux_Totales!$F:$F, $F224, Aux_Totales!$A:$A,#REF!), 0))</f>
        <v/>
      </c>
      <c r="OFN224" s="19" t="str">
        <f>IF(OFN220 = "", "", IFERROR(OFN220 / SUMIFS(Aux_Totales!$N:$N, Aux_Totales!$F:$F, $F224, Aux_Totales!$A:$A,#REF!), 0))</f>
        <v/>
      </c>
      <c r="OFO224" s="19" t="str">
        <f>IF(OFO220 = "", "", IFERROR(OFO220 / SUMIFS(Aux_Totales!$N:$N, Aux_Totales!$F:$F, $F224, Aux_Totales!$A:$A,#REF!), 0))</f>
        <v/>
      </c>
      <c r="OFP224" s="19" t="str">
        <f>IF(OFP220 = "", "", IFERROR(OFP220 / SUMIFS(Aux_Totales!$N:$N, Aux_Totales!$F:$F, $F224, Aux_Totales!$A:$A,#REF!), 0))</f>
        <v/>
      </c>
      <c r="OFQ224" s="19" t="str">
        <f>IF(OFQ220 = "", "", IFERROR(OFQ220 / SUMIFS(Aux_Totales!$N:$N, Aux_Totales!$F:$F, $F224, Aux_Totales!$A:$A,#REF!), 0))</f>
        <v/>
      </c>
      <c r="OFR224" s="19" t="str">
        <f>IF(OFR220 = "", "", IFERROR(OFR220 / SUMIFS(Aux_Totales!$N:$N, Aux_Totales!$F:$F, $F224, Aux_Totales!$A:$A,#REF!), 0))</f>
        <v/>
      </c>
      <c r="OFS224" s="19" t="str">
        <f>IF(OFS220 = "", "", IFERROR(OFS220 / SUMIFS(Aux_Totales!$N:$N, Aux_Totales!$F:$F, $F224, Aux_Totales!$A:$A,#REF!), 0))</f>
        <v/>
      </c>
      <c r="OFT224" s="19" t="str">
        <f>IF(OFT220 = "", "", IFERROR(OFT220 / SUMIFS(Aux_Totales!$N:$N, Aux_Totales!$F:$F, $F224, Aux_Totales!$A:$A,#REF!), 0))</f>
        <v/>
      </c>
      <c r="OFU224" s="19" t="str">
        <f>IF(OFU220 = "", "", IFERROR(OFU220 / SUMIFS(Aux_Totales!$N:$N, Aux_Totales!$F:$F, $F224, Aux_Totales!$A:$A,#REF!), 0))</f>
        <v/>
      </c>
      <c r="OFV224" s="19" t="str">
        <f>IF(OFV220 = "", "", IFERROR(OFV220 / SUMIFS(Aux_Totales!$N:$N, Aux_Totales!$F:$F, $F224, Aux_Totales!$A:$A,#REF!), 0))</f>
        <v/>
      </c>
      <c r="OFW224" s="19" t="str">
        <f>IF(OFW220 = "", "", IFERROR(OFW220 / SUMIFS(Aux_Totales!$N:$N, Aux_Totales!$F:$F, $F224, Aux_Totales!$A:$A,#REF!), 0))</f>
        <v/>
      </c>
      <c r="OFX224" s="19" t="str">
        <f>IF(OFX220 = "", "", IFERROR(OFX220 / SUMIFS(Aux_Totales!$N:$N, Aux_Totales!$F:$F, $F224, Aux_Totales!$A:$A,#REF!), 0))</f>
        <v/>
      </c>
      <c r="OFY224" s="19" t="str">
        <f>IF(OFY220 = "", "", IFERROR(OFY220 / SUMIFS(Aux_Totales!$N:$N, Aux_Totales!$F:$F, $F224, Aux_Totales!$A:$A,#REF!), 0))</f>
        <v/>
      </c>
      <c r="OFZ224" s="19" t="str">
        <f>IF(OFZ220 = "", "", IFERROR(OFZ220 / SUMIFS(Aux_Totales!$N:$N, Aux_Totales!$F:$F, $F224, Aux_Totales!$A:$A,#REF!), 0))</f>
        <v/>
      </c>
      <c r="OGA224" s="19" t="str">
        <f>IF(OGA220 = "", "", IFERROR(OGA220 / SUMIFS(Aux_Totales!$N:$N, Aux_Totales!$F:$F, $F224, Aux_Totales!$A:$A,#REF!), 0))</f>
        <v/>
      </c>
      <c r="OGB224" s="19" t="str">
        <f>IF(OGB220 = "", "", IFERROR(OGB220 / SUMIFS(Aux_Totales!$N:$N, Aux_Totales!$F:$F, $F224, Aux_Totales!$A:$A,#REF!), 0))</f>
        <v/>
      </c>
      <c r="OGC224" s="19" t="str">
        <f>IF(OGC220 = "", "", IFERROR(OGC220 / SUMIFS(Aux_Totales!$N:$N, Aux_Totales!$F:$F, $F224, Aux_Totales!$A:$A,#REF!), 0))</f>
        <v/>
      </c>
      <c r="OGD224" s="19" t="str">
        <f>IF(OGD220 = "", "", IFERROR(OGD220 / SUMIFS(Aux_Totales!$N:$N, Aux_Totales!$F:$F, $F224, Aux_Totales!$A:$A,#REF!), 0))</f>
        <v/>
      </c>
      <c r="OGE224" s="19" t="str">
        <f>IF(OGE220 = "", "", IFERROR(OGE220 / SUMIFS(Aux_Totales!$N:$N, Aux_Totales!$F:$F, $F224, Aux_Totales!$A:$A,#REF!), 0))</f>
        <v/>
      </c>
      <c r="OGF224" s="19" t="str">
        <f>IF(OGF220 = "", "", IFERROR(OGF220 / SUMIFS(Aux_Totales!$N:$N, Aux_Totales!$F:$F, $F224, Aux_Totales!$A:$A,#REF!), 0))</f>
        <v/>
      </c>
      <c r="OGG224" s="19" t="str">
        <f>IF(OGG220 = "", "", IFERROR(OGG220 / SUMIFS(Aux_Totales!$N:$N, Aux_Totales!$F:$F, $F224, Aux_Totales!$A:$A,#REF!), 0))</f>
        <v/>
      </c>
      <c r="OGH224" s="19" t="str">
        <f>IF(OGH220 = "", "", IFERROR(OGH220 / SUMIFS(Aux_Totales!$N:$N, Aux_Totales!$F:$F, $F224, Aux_Totales!$A:$A,#REF!), 0))</f>
        <v/>
      </c>
      <c r="OGI224" s="19" t="str">
        <f>IF(OGI220 = "", "", IFERROR(OGI220 / SUMIFS(Aux_Totales!$N:$N, Aux_Totales!$F:$F, $F224, Aux_Totales!$A:$A,#REF!), 0))</f>
        <v/>
      </c>
      <c r="OGJ224" s="19" t="str">
        <f>IF(OGJ220 = "", "", IFERROR(OGJ220 / SUMIFS(Aux_Totales!$N:$N, Aux_Totales!$F:$F, $F224, Aux_Totales!$A:$A,#REF!), 0))</f>
        <v/>
      </c>
      <c r="OGK224" s="19" t="str">
        <f>IF(OGK220 = "", "", IFERROR(OGK220 / SUMIFS(Aux_Totales!$N:$N, Aux_Totales!$F:$F, $F224, Aux_Totales!$A:$A,#REF!), 0))</f>
        <v/>
      </c>
      <c r="OGL224" s="19" t="str">
        <f>IF(OGL220 = "", "", IFERROR(OGL220 / SUMIFS(Aux_Totales!$N:$N, Aux_Totales!$F:$F, $F224, Aux_Totales!$A:$A,#REF!), 0))</f>
        <v/>
      </c>
      <c r="OGM224" s="19" t="str">
        <f>IF(OGM220 = "", "", IFERROR(OGM220 / SUMIFS(Aux_Totales!$N:$N, Aux_Totales!$F:$F, $F224, Aux_Totales!$A:$A,#REF!), 0))</f>
        <v/>
      </c>
      <c r="OGN224" s="19" t="str">
        <f>IF(OGN220 = "", "", IFERROR(OGN220 / SUMIFS(Aux_Totales!$N:$N, Aux_Totales!$F:$F, $F224, Aux_Totales!$A:$A,#REF!), 0))</f>
        <v/>
      </c>
      <c r="OGO224" s="19" t="str">
        <f>IF(OGO220 = "", "", IFERROR(OGO220 / SUMIFS(Aux_Totales!$N:$N, Aux_Totales!$F:$F, $F224, Aux_Totales!$A:$A,#REF!), 0))</f>
        <v/>
      </c>
      <c r="OGP224" s="19" t="str">
        <f>IF(OGP220 = "", "", IFERROR(OGP220 / SUMIFS(Aux_Totales!$N:$N, Aux_Totales!$F:$F, $F224, Aux_Totales!$A:$A,#REF!), 0))</f>
        <v/>
      </c>
      <c r="OGQ224" s="19" t="str">
        <f>IF(OGQ220 = "", "", IFERROR(OGQ220 / SUMIFS(Aux_Totales!$N:$N, Aux_Totales!$F:$F, $F224, Aux_Totales!$A:$A,#REF!), 0))</f>
        <v/>
      </c>
      <c r="OGR224" s="19" t="str">
        <f>IF(OGR220 = "", "", IFERROR(OGR220 / SUMIFS(Aux_Totales!$N:$N, Aux_Totales!$F:$F, $F224, Aux_Totales!$A:$A,#REF!), 0))</f>
        <v/>
      </c>
      <c r="OGS224" s="19" t="str">
        <f>IF(OGS220 = "", "", IFERROR(OGS220 / SUMIFS(Aux_Totales!$N:$N, Aux_Totales!$F:$F, $F224, Aux_Totales!$A:$A,#REF!), 0))</f>
        <v/>
      </c>
      <c r="OGT224" s="19" t="str">
        <f>IF(OGT220 = "", "", IFERROR(OGT220 / SUMIFS(Aux_Totales!$N:$N, Aux_Totales!$F:$F, $F224, Aux_Totales!$A:$A,#REF!), 0))</f>
        <v/>
      </c>
      <c r="OGU224" s="19" t="str">
        <f>IF(OGU220 = "", "", IFERROR(OGU220 / SUMIFS(Aux_Totales!$N:$N, Aux_Totales!$F:$F, $F224, Aux_Totales!$A:$A,#REF!), 0))</f>
        <v/>
      </c>
      <c r="OGV224" s="19" t="str">
        <f>IF(OGV220 = "", "", IFERROR(OGV220 / SUMIFS(Aux_Totales!$N:$N, Aux_Totales!$F:$F, $F224, Aux_Totales!$A:$A,#REF!), 0))</f>
        <v/>
      </c>
      <c r="OGW224" s="19" t="str">
        <f>IF(OGW220 = "", "", IFERROR(OGW220 / SUMIFS(Aux_Totales!$N:$N, Aux_Totales!$F:$F, $F224, Aux_Totales!$A:$A,#REF!), 0))</f>
        <v/>
      </c>
      <c r="OGX224" s="19" t="str">
        <f>IF(OGX220 = "", "", IFERROR(OGX220 / SUMIFS(Aux_Totales!$N:$N, Aux_Totales!$F:$F, $F224, Aux_Totales!$A:$A,#REF!), 0))</f>
        <v/>
      </c>
      <c r="OGY224" s="19" t="str">
        <f>IF(OGY220 = "", "", IFERROR(OGY220 / SUMIFS(Aux_Totales!$N:$N, Aux_Totales!$F:$F, $F224, Aux_Totales!$A:$A,#REF!), 0))</f>
        <v/>
      </c>
      <c r="OGZ224" s="19" t="str">
        <f>IF(OGZ220 = "", "", IFERROR(OGZ220 / SUMIFS(Aux_Totales!$N:$N, Aux_Totales!$F:$F, $F224, Aux_Totales!$A:$A,#REF!), 0))</f>
        <v/>
      </c>
      <c r="OHA224" s="19" t="str">
        <f>IF(OHA220 = "", "", IFERROR(OHA220 / SUMIFS(Aux_Totales!$N:$N, Aux_Totales!$F:$F, $F224, Aux_Totales!$A:$A,#REF!), 0))</f>
        <v/>
      </c>
      <c r="OHB224" s="19" t="str">
        <f>IF(OHB220 = "", "", IFERROR(OHB220 / SUMIFS(Aux_Totales!$N:$N, Aux_Totales!$F:$F, $F224, Aux_Totales!$A:$A,#REF!), 0))</f>
        <v/>
      </c>
      <c r="OHC224" s="19" t="str">
        <f>IF(OHC220 = "", "", IFERROR(OHC220 / SUMIFS(Aux_Totales!$N:$N, Aux_Totales!$F:$F, $F224, Aux_Totales!$A:$A,#REF!), 0))</f>
        <v/>
      </c>
      <c r="OHD224" s="19" t="str">
        <f>IF(OHD220 = "", "", IFERROR(OHD220 / SUMIFS(Aux_Totales!$N:$N, Aux_Totales!$F:$F, $F224, Aux_Totales!$A:$A,#REF!), 0))</f>
        <v/>
      </c>
      <c r="OHE224" s="19" t="str">
        <f>IF(OHE220 = "", "", IFERROR(OHE220 / SUMIFS(Aux_Totales!$N:$N, Aux_Totales!$F:$F, $F224, Aux_Totales!$A:$A,#REF!), 0))</f>
        <v/>
      </c>
      <c r="OHF224" s="19" t="str">
        <f>IF(OHF220 = "", "", IFERROR(OHF220 / SUMIFS(Aux_Totales!$N:$N, Aux_Totales!$F:$F, $F224, Aux_Totales!$A:$A,#REF!), 0))</f>
        <v/>
      </c>
      <c r="OHG224" s="19" t="str">
        <f>IF(OHG220 = "", "", IFERROR(OHG220 / SUMIFS(Aux_Totales!$N:$N, Aux_Totales!$F:$F, $F224, Aux_Totales!$A:$A,#REF!), 0))</f>
        <v/>
      </c>
      <c r="OHH224" s="19" t="str">
        <f>IF(OHH220 = "", "", IFERROR(OHH220 / SUMIFS(Aux_Totales!$N:$N, Aux_Totales!$F:$F, $F224, Aux_Totales!$A:$A,#REF!), 0))</f>
        <v/>
      </c>
      <c r="OHI224" s="19" t="str">
        <f>IF(OHI220 = "", "", IFERROR(OHI220 / SUMIFS(Aux_Totales!$N:$N, Aux_Totales!$F:$F, $F224, Aux_Totales!$A:$A,#REF!), 0))</f>
        <v/>
      </c>
      <c r="OHJ224" s="19" t="str">
        <f>IF(OHJ220 = "", "", IFERROR(OHJ220 / SUMIFS(Aux_Totales!$N:$N, Aux_Totales!$F:$F, $F224, Aux_Totales!$A:$A,#REF!), 0))</f>
        <v/>
      </c>
      <c r="OHK224" s="19" t="str">
        <f>IF(OHK220 = "", "", IFERROR(OHK220 / SUMIFS(Aux_Totales!$N:$N, Aux_Totales!$F:$F, $F224, Aux_Totales!$A:$A,#REF!), 0))</f>
        <v/>
      </c>
      <c r="OHL224" s="19" t="str">
        <f>IF(OHL220 = "", "", IFERROR(OHL220 / SUMIFS(Aux_Totales!$N:$N, Aux_Totales!$F:$F, $F224, Aux_Totales!$A:$A,#REF!), 0))</f>
        <v/>
      </c>
      <c r="OHM224" s="19" t="str">
        <f>IF(OHM220 = "", "", IFERROR(OHM220 / SUMIFS(Aux_Totales!$N:$N, Aux_Totales!$F:$F, $F224, Aux_Totales!$A:$A,#REF!), 0))</f>
        <v/>
      </c>
      <c r="OHN224" s="19" t="str">
        <f>IF(OHN220 = "", "", IFERROR(OHN220 / SUMIFS(Aux_Totales!$N:$N, Aux_Totales!$F:$F, $F224, Aux_Totales!$A:$A,#REF!), 0))</f>
        <v/>
      </c>
      <c r="OHO224" s="19" t="str">
        <f>IF(OHO220 = "", "", IFERROR(OHO220 / SUMIFS(Aux_Totales!$N:$N, Aux_Totales!$F:$F, $F224, Aux_Totales!$A:$A,#REF!), 0))</f>
        <v/>
      </c>
      <c r="OHP224" s="19" t="str">
        <f>IF(OHP220 = "", "", IFERROR(OHP220 / SUMIFS(Aux_Totales!$N:$N, Aux_Totales!$F:$F, $F224, Aux_Totales!$A:$A,#REF!), 0))</f>
        <v/>
      </c>
      <c r="OHQ224" s="19" t="str">
        <f>IF(OHQ220 = "", "", IFERROR(OHQ220 / SUMIFS(Aux_Totales!$N:$N, Aux_Totales!$F:$F, $F224, Aux_Totales!$A:$A,#REF!), 0))</f>
        <v/>
      </c>
      <c r="OHR224" s="19" t="str">
        <f>IF(OHR220 = "", "", IFERROR(OHR220 / SUMIFS(Aux_Totales!$N:$N, Aux_Totales!$F:$F, $F224, Aux_Totales!$A:$A,#REF!), 0))</f>
        <v/>
      </c>
      <c r="OHS224" s="19" t="str">
        <f>IF(OHS220 = "", "", IFERROR(OHS220 / SUMIFS(Aux_Totales!$N:$N, Aux_Totales!$F:$F, $F224, Aux_Totales!$A:$A,#REF!), 0))</f>
        <v/>
      </c>
      <c r="OHT224" s="19" t="str">
        <f>IF(OHT220 = "", "", IFERROR(OHT220 / SUMIFS(Aux_Totales!$N:$N, Aux_Totales!$F:$F, $F224, Aux_Totales!$A:$A,#REF!), 0))</f>
        <v/>
      </c>
      <c r="OHU224" s="19" t="str">
        <f>IF(OHU220 = "", "", IFERROR(OHU220 / SUMIFS(Aux_Totales!$N:$N, Aux_Totales!$F:$F, $F224, Aux_Totales!$A:$A,#REF!), 0))</f>
        <v/>
      </c>
      <c r="OHV224" s="19" t="str">
        <f>IF(OHV220 = "", "", IFERROR(OHV220 / SUMIFS(Aux_Totales!$N:$N, Aux_Totales!$F:$F, $F224, Aux_Totales!$A:$A,#REF!), 0))</f>
        <v/>
      </c>
      <c r="OHW224" s="19" t="str">
        <f>IF(OHW220 = "", "", IFERROR(OHW220 / SUMIFS(Aux_Totales!$N:$N, Aux_Totales!$F:$F, $F224, Aux_Totales!$A:$A,#REF!), 0))</f>
        <v/>
      </c>
      <c r="OHX224" s="19" t="str">
        <f>IF(OHX220 = "", "", IFERROR(OHX220 / SUMIFS(Aux_Totales!$N:$N, Aux_Totales!$F:$F, $F224, Aux_Totales!$A:$A,#REF!), 0))</f>
        <v/>
      </c>
      <c r="OHY224" s="19" t="str">
        <f>IF(OHY220 = "", "", IFERROR(OHY220 / SUMIFS(Aux_Totales!$N:$N, Aux_Totales!$F:$F, $F224, Aux_Totales!$A:$A,#REF!), 0))</f>
        <v/>
      </c>
      <c r="OHZ224" s="19" t="str">
        <f>IF(OHZ220 = "", "", IFERROR(OHZ220 / SUMIFS(Aux_Totales!$N:$N, Aux_Totales!$F:$F, $F224, Aux_Totales!$A:$A,#REF!), 0))</f>
        <v/>
      </c>
      <c r="OIA224" s="19" t="str">
        <f>IF(OIA220 = "", "", IFERROR(OIA220 / SUMIFS(Aux_Totales!$N:$N, Aux_Totales!$F:$F, $F224, Aux_Totales!$A:$A,#REF!), 0))</f>
        <v/>
      </c>
      <c r="OIB224" s="19" t="str">
        <f>IF(OIB220 = "", "", IFERROR(OIB220 / SUMIFS(Aux_Totales!$N:$N, Aux_Totales!$F:$F, $F224, Aux_Totales!$A:$A,#REF!), 0))</f>
        <v/>
      </c>
      <c r="OIC224" s="19" t="str">
        <f>IF(OIC220 = "", "", IFERROR(OIC220 / SUMIFS(Aux_Totales!$N:$N, Aux_Totales!$F:$F, $F224, Aux_Totales!$A:$A,#REF!), 0))</f>
        <v/>
      </c>
      <c r="OID224" s="19" t="str">
        <f>IF(OID220 = "", "", IFERROR(OID220 / SUMIFS(Aux_Totales!$N:$N, Aux_Totales!$F:$F, $F224, Aux_Totales!$A:$A,#REF!), 0))</f>
        <v/>
      </c>
      <c r="OIE224" s="19" t="str">
        <f>IF(OIE220 = "", "", IFERROR(OIE220 / SUMIFS(Aux_Totales!$N:$N, Aux_Totales!$F:$F, $F224, Aux_Totales!$A:$A,#REF!), 0))</f>
        <v/>
      </c>
      <c r="OIF224" s="19" t="str">
        <f>IF(OIF220 = "", "", IFERROR(OIF220 / SUMIFS(Aux_Totales!$N:$N, Aux_Totales!$F:$F, $F224, Aux_Totales!$A:$A,#REF!), 0))</f>
        <v/>
      </c>
      <c r="OIG224" s="19" t="str">
        <f>IF(OIG220 = "", "", IFERROR(OIG220 / SUMIFS(Aux_Totales!$N:$N, Aux_Totales!$F:$F, $F224, Aux_Totales!$A:$A,#REF!), 0))</f>
        <v/>
      </c>
      <c r="OIH224" s="19" t="str">
        <f>IF(OIH220 = "", "", IFERROR(OIH220 / SUMIFS(Aux_Totales!$N:$N, Aux_Totales!$F:$F, $F224, Aux_Totales!$A:$A,#REF!), 0))</f>
        <v/>
      </c>
      <c r="OII224" s="19" t="str">
        <f>IF(OII220 = "", "", IFERROR(OII220 / SUMIFS(Aux_Totales!$N:$N, Aux_Totales!$F:$F, $F224, Aux_Totales!$A:$A,#REF!), 0))</f>
        <v/>
      </c>
      <c r="OIJ224" s="19" t="str">
        <f>IF(OIJ220 = "", "", IFERROR(OIJ220 / SUMIFS(Aux_Totales!$N:$N, Aux_Totales!$F:$F, $F224, Aux_Totales!$A:$A,#REF!), 0))</f>
        <v/>
      </c>
      <c r="OIK224" s="19" t="str">
        <f>IF(OIK220 = "", "", IFERROR(OIK220 / SUMIFS(Aux_Totales!$N:$N, Aux_Totales!$F:$F, $F224, Aux_Totales!$A:$A,#REF!), 0))</f>
        <v/>
      </c>
      <c r="OIL224" s="19" t="str">
        <f>IF(OIL220 = "", "", IFERROR(OIL220 / SUMIFS(Aux_Totales!$N:$N, Aux_Totales!$F:$F, $F224, Aux_Totales!$A:$A,#REF!), 0))</f>
        <v/>
      </c>
      <c r="OIM224" s="19" t="str">
        <f>IF(OIM220 = "", "", IFERROR(OIM220 / SUMIFS(Aux_Totales!$N:$N, Aux_Totales!$F:$F, $F224, Aux_Totales!$A:$A,#REF!), 0))</f>
        <v/>
      </c>
      <c r="OIN224" s="19" t="str">
        <f>IF(OIN220 = "", "", IFERROR(OIN220 / SUMIFS(Aux_Totales!$N:$N, Aux_Totales!$F:$F, $F224, Aux_Totales!$A:$A,#REF!), 0))</f>
        <v/>
      </c>
      <c r="OIO224" s="19" t="str">
        <f>IF(OIO220 = "", "", IFERROR(OIO220 / SUMIFS(Aux_Totales!$N:$N, Aux_Totales!$F:$F, $F224, Aux_Totales!$A:$A,#REF!), 0))</f>
        <v/>
      </c>
      <c r="OIP224" s="19" t="str">
        <f>IF(OIP220 = "", "", IFERROR(OIP220 / SUMIFS(Aux_Totales!$N:$N, Aux_Totales!$F:$F, $F224, Aux_Totales!$A:$A,#REF!), 0))</f>
        <v/>
      </c>
      <c r="OIQ224" s="19" t="str">
        <f>IF(OIQ220 = "", "", IFERROR(OIQ220 / SUMIFS(Aux_Totales!$N:$N, Aux_Totales!$F:$F, $F224, Aux_Totales!$A:$A,#REF!), 0))</f>
        <v/>
      </c>
      <c r="OIR224" s="19" t="str">
        <f>IF(OIR220 = "", "", IFERROR(OIR220 / SUMIFS(Aux_Totales!$N:$N, Aux_Totales!$F:$F, $F224, Aux_Totales!$A:$A,#REF!), 0))</f>
        <v/>
      </c>
      <c r="OIS224" s="19" t="str">
        <f>IF(OIS220 = "", "", IFERROR(OIS220 / SUMIFS(Aux_Totales!$N:$N, Aux_Totales!$F:$F, $F224, Aux_Totales!$A:$A,#REF!), 0))</f>
        <v/>
      </c>
      <c r="OIT224" s="19" t="str">
        <f>IF(OIT220 = "", "", IFERROR(OIT220 / SUMIFS(Aux_Totales!$N:$N, Aux_Totales!$F:$F, $F224, Aux_Totales!$A:$A,#REF!), 0))</f>
        <v/>
      </c>
      <c r="OIU224" s="19" t="str">
        <f>IF(OIU220 = "", "", IFERROR(OIU220 / SUMIFS(Aux_Totales!$N:$N, Aux_Totales!$F:$F, $F224, Aux_Totales!$A:$A,#REF!), 0))</f>
        <v/>
      </c>
      <c r="OIV224" s="19" t="str">
        <f>IF(OIV220 = "", "", IFERROR(OIV220 / SUMIFS(Aux_Totales!$N:$N, Aux_Totales!$F:$F, $F224, Aux_Totales!$A:$A,#REF!), 0))</f>
        <v/>
      </c>
      <c r="OIW224" s="19" t="str">
        <f>IF(OIW220 = "", "", IFERROR(OIW220 / SUMIFS(Aux_Totales!$N:$N, Aux_Totales!$F:$F, $F224, Aux_Totales!$A:$A,#REF!), 0))</f>
        <v/>
      </c>
      <c r="OIX224" s="19" t="str">
        <f>IF(OIX220 = "", "", IFERROR(OIX220 / SUMIFS(Aux_Totales!$N:$N, Aux_Totales!$F:$F, $F224, Aux_Totales!$A:$A,#REF!), 0))</f>
        <v/>
      </c>
      <c r="OIY224" s="19" t="str">
        <f>IF(OIY220 = "", "", IFERROR(OIY220 / SUMIFS(Aux_Totales!$N:$N, Aux_Totales!$F:$F, $F224, Aux_Totales!$A:$A,#REF!), 0))</f>
        <v/>
      </c>
      <c r="OIZ224" s="19" t="str">
        <f>IF(OIZ220 = "", "", IFERROR(OIZ220 / SUMIFS(Aux_Totales!$N:$N, Aux_Totales!$F:$F, $F224, Aux_Totales!$A:$A,#REF!), 0))</f>
        <v/>
      </c>
      <c r="OJA224" s="19" t="str">
        <f>IF(OJA220 = "", "", IFERROR(OJA220 / SUMIFS(Aux_Totales!$N:$N, Aux_Totales!$F:$F, $F224, Aux_Totales!$A:$A,#REF!), 0))</f>
        <v/>
      </c>
      <c r="OJB224" s="19" t="str">
        <f>IF(OJB220 = "", "", IFERROR(OJB220 / SUMIFS(Aux_Totales!$N:$N, Aux_Totales!$F:$F, $F224, Aux_Totales!$A:$A,#REF!), 0))</f>
        <v/>
      </c>
      <c r="OJC224" s="19" t="str">
        <f>IF(OJC220 = "", "", IFERROR(OJC220 / SUMIFS(Aux_Totales!$N:$N, Aux_Totales!$F:$F, $F224, Aux_Totales!$A:$A,#REF!), 0))</f>
        <v/>
      </c>
      <c r="OJD224" s="19" t="str">
        <f>IF(OJD220 = "", "", IFERROR(OJD220 / SUMIFS(Aux_Totales!$N:$N, Aux_Totales!$F:$F, $F224, Aux_Totales!$A:$A,#REF!), 0))</f>
        <v/>
      </c>
      <c r="OJE224" s="19" t="str">
        <f>IF(OJE220 = "", "", IFERROR(OJE220 / SUMIFS(Aux_Totales!$N:$N, Aux_Totales!$F:$F, $F224, Aux_Totales!$A:$A,#REF!), 0))</f>
        <v/>
      </c>
      <c r="OJF224" s="19" t="str">
        <f>IF(OJF220 = "", "", IFERROR(OJF220 / SUMIFS(Aux_Totales!$N:$N, Aux_Totales!$F:$F, $F224, Aux_Totales!$A:$A,#REF!), 0))</f>
        <v/>
      </c>
      <c r="OJG224" s="19" t="str">
        <f>IF(OJG220 = "", "", IFERROR(OJG220 / SUMIFS(Aux_Totales!$N:$N, Aux_Totales!$F:$F, $F224, Aux_Totales!$A:$A,#REF!), 0))</f>
        <v/>
      </c>
      <c r="OJH224" s="19" t="str">
        <f>IF(OJH220 = "", "", IFERROR(OJH220 / SUMIFS(Aux_Totales!$N:$N, Aux_Totales!$F:$F, $F224, Aux_Totales!$A:$A,#REF!), 0))</f>
        <v/>
      </c>
      <c r="OJI224" s="19" t="str">
        <f>IF(OJI220 = "", "", IFERROR(OJI220 / SUMIFS(Aux_Totales!$N:$N, Aux_Totales!$F:$F, $F224, Aux_Totales!$A:$A,#REF!), 0))</f>
        <v/>
      </c>
      <c r="OJJ224" s="19" t="str">
        <f>IF(OJJ220 = "", "", IFERROR(OJJ220 / SUMIFS(Aux_Totales!$N:$N, Aux_Totales!$F:$F, $F224, Aux_Totales!$A:$A,#REF!), 0))</f>
        <v/>
      </c>
      <c r="OJK224" s="19" t="str">
        <f>IF(OJK220 = "", "", IFERROR(OJK220 / SUMIFS(Aux_Totales!$N:$N, Aux_Totales!$F:$F, $F224, Aux_Totales!$A:$A,#REF!), 0))</f>
        <v/>
      </c>
      <c r="OJL224" s="19" t="str">
        <f>IF(OJL220 = "", "", IFERROR(OJL220 / SUMIFS(Aux_Totales!$N:$N, Aux_Totales!$F:$F, $F224, Aux_Totales!$A:$A,#REF!), 0))</f>
        <v/>
      </c>
      <c r="OJM224" s="19" t="str">
        <f>IF(OJM220 = "", "", IFERROR(OJM220 / SUMIFS(Aux_Totales!$N:$N, Aux_Totales!$F:$F, $F224, Aux_Totales!$A:$A,#REF!), 0))</f>
        <v/>
      </c>
      <c r="OJN224" s="19" t="str">
        <f>IF(OJN220 = "", "", IFERROR(OJN220 / SUMIFS(Aux_Totales!$N:$N, Aux_Totales!$F:$F, $F224, Aux_Totales!$A:$A,#REF!), 0))</f>
        <v/>
      </c>
      <c r="OJO224" s="19" t="str">
        <f>IF(OJO220 = "", "", IFERROR(OJO220 / SUMIFS(Aux_Totales!$N:$N, Aux_Totales!$F:$F, $F224, Aux_Totales!$A:$A,#REF!), 0))</f>
        <v/>
      </c>
      <c r="OJP224" s="19" t="str">
        <f>IF(OJP220 = "", "", IFERROR(OJP220 / SUMIFS(Aux_Totales!$N:$N, Aux_Totales!$F:$F, $F224, Aux_Totales!$A:$A,#REF!), 0))</f>
        <v/>
      </c>
      <c r="OJQ224" s="19" t="str">
        <f>IF(OJQ220 = "", "", IFERROR(OJQ220 / SUMIFS(Aux_Totales!$N:$N, Aux_Totales!$F:$F, $F224, Aux_Totales!$A:$A,#REF!), 0))</f>
        <v/>
      </c>
      <c r="OJR224" s="19" t="str">
        <f>IF(OJR220 = "", "", IFERROR(OJR220 / SUMIFS(Aux_Totales!$N:$N, Aux_Totales!$F:$F, $F224, Aux_Totales!$A:$A,#REF!), 0))</f>
        <v/>
      </c>
      <c r="OJS224" s="19" t="str">
        <f>IF(OJS220 = "", "", IFERROR(OJS220 / SUMIFS(Aux_Totales!$N:$N, Aux_Totales!$F:$F, $F224, Aux_Totales!$A:$A,#REF!), 0))</f>
        <v/>
      </c>
      <c r="OJT224" s="19" t="str">
        <f>IF(OJT220 = "", "", IFERROR(OJT220 / SUMIFS(Aux_Totales!$N:$N, Aux_Totales!$F:$F, $F224, Aux_Totales!$A:$A,#REF!), 0))</f>
        <v/>
      </c>
      <c r="OJU224" s="19" t="str">
        <f>IF(OJU220 = "", "", IFERROR(OJU220 / SUMIFS(Aux_Totales!$N:$N, Aux_Totales!$F:$F, $F224, Aux_Totales!$A:$A,#REF!), 0))</f>
        <v/>
      </c>
      <c r="OJV224" s="19" t="str">
        <f>IF(OJV220 = "", "", IFERROR(OJV220 / SUMIFS(Aux_Totales!$N:$N, Aux_Totales!$F:$F, $F224, Aux_Totales!$A:$A,#REF!), 0))</f>
        <v/>
      </c>
      <c r="OJW224" s="19" t="str">
        <f>IF(OJW220 = "", "", IFERROR(OJW220 / SUMIFS(Aux_Totales!$N:$N, Aux_Totales!$F:$F, $F224, Aux_Totales!$A:$A,#REF!), 0))</f>
        <v/>
      </c>
      <c r="OJX224" s="19" t="str">
        <f>IF(OJX220 = "", "", IFERROR(OJX220 / SUMIFS(Aux_Totales!$N:$N, Aux_Totales!$F:$F, $F224, Aux_Totales!$A:$A,#REF!), 0))</f>
        <v/>
      </c>
      <c r="OJY224" s="19" t="str">
        <f>IF(OJY220 = "", "", IFERROR(OJY220 / SUMIFS(Aux_Totales!$N:$N, Aux_Totales!$F:$F, $F224, Aux_Totales!$A:$A,#REF!), 0))</f>
        <v/>
      </c>
      <c r="OJZ224" s="19" t="str">
        <f>IF(OJZ220 = "", "", IFERROR(OJZ220 / SUMIFS(Aux_Totales!$N:$N, Aux_Totales!$F:$F, $F224, Aux_Totales!$A:$A,#REF!), 0))</f>
        <v/>
      </c>
      <c r="OKA224" s="19" t="str">
        <f>IF(OKA220 = "", "", IFERROR(OKA220 / SUMIFS(Aux_Totales!$N:$N, Aux_Totales!$F:$F, $F224, Aux_Totales!$A:$A,#REF!), 0))</f>
        <v/>
      </c>
      <c r="OKB224" s="19" t="str">
        <f>IF(OKB220 = "", "", IFERROR(OKB220 / SUMIFS(Aux_Totales!$N:$N, Aux_Totales!$F:$F, $F224, Aux_Totales!$A:$A,#REF!), 0))</f>
        <v/>
      </c>
      <c r="OKC224" s="19" t="str">
        <f>IF(OKC220 = "", "", IFERROR(OKC220 / SUMIFS(Aux_Totales!$N:$N, Aux_Totales!$F:$F, $F224, Aux_Totales!$A:$A,#REF!), 0))</f>
        <v/>
      </c>
      <c r="OKD224" s="19" t="str">
        <f>IF(OKD220 = "", "", IFERROR(OKD220 / SUMIFS(Aux_Totales!$N:$N, Aux_Totales!$F:$F, $F224, Aux_Totales!$A:$A,#REF!), 0))</f>
        <v/>
      </c>
      <c r="OKE224" s="19" t="str">
        <f>IF(OKE220 = "", "", IFERROR(OKE220 / SUMIFS(Aux_Totales!$N:$N, Aux_Totales!$F:$F, $F224, Aux_Totales!$A:$A,#REF!), 0))</f>
        <v/>
      </c>
      <c r="OKF224" s="19" t="str">
        <f>IF(OKF220 = "", "", IFERROR(OKF220 / SUMIFS(Aux_Totales!$N:$N, Aux_Totales!$F:$F, $F224, Aux_Totales!$A:$A,#REF!), 0))</f>
        <v/>
      </c>
      <c r="OKG224" s="19" t="str">
        <f>IF(OKG220 = "", "", IFERROR(OKG220 / SUMIFS(Aux_Totales!$N:$N, Aux_Totales!$F:$F, $F224, Aux_Totales!$A:$A,#REF!), 0))</f>
        <v/>
      </c>
      <c r="OKH224" s="19" t="str">
        <f>IF(OKH220 = "", "", IFERROR(OKH220 / SUMIFS(Aux_Totales!$N:$N, Aux_Totales!$F:$F, $F224, Aux_Totales!$A:$A,#REF!), 0))</f>
        <v/>
      </c>
      <c r="OKI224" s="19" t="str">
        <f>IF(OKI220 = "", "", IFERROR(OKI220 / SUMIFS(Aux_Totales!$N:$N, Aux_Totales!$F:$F, $F224, Aux_Totales!$A:$A,#REF!), 0))</f>
        <v/>
      </c>
      <c r="OKJ224" s="19" t="str">
        <f>IF(OKJ220 = "", "", IFERROR(OKJ220 / SUMIFS(Aux_Totales!$N:$N, Aux_Totales!$F:$F, $F224, Aux_Totales!$A:$A,#REF!), 0))</f>
        <v/>
      </c>
      <c r="OKK224" s="19" t="str">
        <f>IF(OKK220 = "", "", IFERROR(OKK220 / SUMIFS(Aux_Totales!$N:$N, Aux_Totales!$F:$F, $F224, Aux_Totales!$A:$A,#REF!), 0))</f>
        <v/>
      </c>
      <c r="OKL224" s="19" t="str">
        <f>IF(OKL220 = "", "", IFERROR(OKL220 / SUMIFS(Aux_Totales!$N:$N, Aux_Totales!$F:$F, $F224, Aux_Totales!$A:$A,#REF!), 0))</f>
        <v/>
      </c>
      <c r="OKM224" s="19" t="str">
        <f>IF(OKM220 = "", "", IFERROR(OKM220 / SUMIFS(Aux_Totales!$N:$N, Aux_Totales!$F:$F, $F224, Aux_Totales!$A:$A,#REF!), 0))</f>
        <v/>
      </c>
      <c r="OKN224" s="19" t="str">
        <f>IF(OKN220 = "", "", IFERROR(OKN220 / SUMIFS(Aux_Totales!$N:$N, Aux_Totales!$F:$F, $F224, Aux_Totales!$A:$A,#REF!), 0))</f>
        <v/>
      </c>
      <c r="OKO224" s="19" t="str">
        <f>IF(OKO220 = "", "", IFERROR(OKO220 / SUMIFS(Aux_Totales!$N:$N, Aux_Totales!$F:$F, $F224, Aux_Totales!$A:$A,#REF!), 0))</f>
        <v/>
      </c>
      <c r="OKP224" s="19" t="str">
        <f>IF(OKP220 = "", "", IFERROR(OKP220 / SUMIFS(Aux_Totales!$N:$N, Aux_Totales!$F:$F, $F224, Aux_Totales!$A:$A,#REF!), 0))</f>
        <v/>
      </c>
      <c r="OKQ224" s="19" t="str">
        <f>IF(OKQ220 = "", "", IFERROR(OKQ220 / SUMIFS(Aux_Totales!$N:$N, Aux_Totales!$F:$F, $F224, Aux_Totales!$A:$A,#REF!), 0))</f>
        <v/>
      </c>
      <c r="OKR224" s="19" t="str">
        <f>IF(OKR220 = "", "", IFERROR(OKR220 / SUMIFS(Aux_Totales!$N:$N, Aux_Totales!$F:$F, $F224, Aux_Totales!$A:$A,#REF!), 0))</f>
        <v/>
      </c>
      <c r="OKS224" s="19" t="str">
        <f>IF(OKS220 = "", "", IFERROR(OKS220 / SUMIFS(Aux_Totales!$N:$N, Aux_Totales!$F:$F, $F224, Aux_Totales!$A:$A,#REF!), 0))</f>
        <v/>
      </c>
      <c r="OKT224" s="19" t="str">
        <f>IF(OKT220 = "", "", IFERROR(OKT220 / SUMIFS(Aux_Totales!$N:$N, Aux_Totales!$F:$F, $F224, Aux_Totales!$A:$A,#REF!), 0))</f>
        <v/>
      </c>
      <c r="OKU224" s="19" t="str">
        <f>IF(OKU220 = "", "", IFERROR(OKU220 / SUMIFS(Aux_Totales!$N:$N, Aux_Totales!$F:$F, $F224, Aux_Totales!$A:$A,#REF!), 0))</f>
        <v/>
      </c>
      <c r="OKV224" s="19" t="str">
        <f>IF(OKV220 = "", "", IFERROR(OKV220 / SUMIFS(Aux_Totales!$N:$N, Aux_Totales!$F:$F, $F224, Aux_Totales!$A:$A,#REF!), 0))</f>
        <v/>
      </c>
      <c r="OKW224" s="19" t="str">
        <f>IF(OKW220 = "", "", IFERROR(OKW220 / SUMIFS(Aux_Totales!$N:$N, Aux_Totales!$F:$F, $F224, Aux_Totales!$A:$A,#REF!), 0))</f>
        <v/>
      </c>
      <c r="OKX224" s="19" t="str">
        <f>IF(OKX220 = "", "", IFERROR(OKX220 / SUMIFS(Aux_Totales!$N:$N, Aux_Totales!$F:$F, $F224, Aux_Totales!$A:$A,#REF!), 0))</f>
        <v/>
      </c>
      <c r="OKY224" s="19" t="str">
        <f>IF(OKY220 = "", "", IFERROR(OKY220 / SUMIFS(Aux_Totales!$N:$N, Aux_Totales!$F:$F, $F224, Aux_Totales!$A:$A,#REF!), 0))</f>
        <v/>
      </c>
      <c r="OKZ224" s="19" t="str">
        <f>IF(OKZ220 = "", "", IFERROR(OKZ220 / SUMIFS(Aux_Totales!$N:$N, Aux_Totales!$F:$F, $F224, Aux_Totales!$A:$A,#REF!), 0))</f>
        <v/>
      </c>
      <c r="OLA224" s="19" t="str">
        <f>IF(OLA220 = "", "", IFERROR(OLA220 / SUMIFS(Aux_Totales!$N:$N, Aux_Totales!$F:$F, $F224, Aux_Totales!$A:$A,#REF!), 0))</f>
        <v/>
      </c>
      <c r="OLB224" s="19" t="str">
        <f>IF(OLB220 = "", "", IFERROR(OLB220 / SUMIFS(Aux_Totales!$N:$N, Aux_Totales!$F:$F, $F224, Aux_Totales!$A:$A,#REF!), 0))</f>
        <v/>
      </c>
      <c r="OLC224" s="19" t="str">
        <f>IF(OLC220 = "", "", IFERROR(OLC220 / SUMIFS(Aux_Totales!$N:$N, Aux_Totales!$F:$F, $F224, Aux_Totales!$A:$A,#REF!), 0))</f>
        <v/>
      </c>
      <c r="OLD224" s="19" t="str">
        <f>IF(OLD220 = "", "", IFERROR(OLD220 / SUMIFS(Aux_Totales!$N:$N, Aux_Totales!$F:$F, $F224, Aux_Totales!$A:$A,#REF!), 0))</f>
        <v/>
      </c>
      <c r="OLE224" s="19" t="str">
        <f>IF(OLE220 = "", "", IFERROR(OLE220 / SUMIFS(Aux_Totales!$N:$N, Aux_Totales!$F:$F, $F224, Aux_Totales!$A:$A,#REF!), 0))</f>
        <v/>
      </c>
      <c r="OLF224" s="19" t="str">
        <f>IF(OLF220 = "", "", IFERROR(OLF220 / SUMIFS(Aux_Totales!$N:$N, Aux_Totales!$F:$F, $F224, Aux_Totales!$A:$A,#REF!), 0))</f>
        <v/>
      </c>
      <c r="OLG224" s="19" t="str">
        <f>IF(OLG220 = "", "", IFERROR(OLG220 / SUMIFS(Aux_Totales!$N:$N, Aux_Totales!$F:$F, $F224, Aux_Totales!$A:$A,#REF!), 0))</f>
        <v/>
      </c>
      <c r="OLH224" s="19" t="str">
        <f>IF(OLH220 = "", "", IFERROR(OLH220 / SUMIFS(Aux_Totales!$N:$N, Aux_Totales!$F:$F, $F224, Aux_Totales!$A:$A,#REF!), 0))</f>
        <v/>
      </c>
      <c r="OLI224" s="19" t="str">
        <f>IF(OLI220 = "", "", IFERROR(OLI220 / SUMIFS(Aux_Totales!$N:$N, Aux_Totales!$F:$F, $F224, Aux_Totales!$A:$A,#REF!), 0))</f>
        <v/>
      </c>
      <c r="OLJ224" s="19" t="str">
        <f>IF(OLJ220 = "", "", IFERROR(OLJ220 / SUMIFS(Aux_Totales!$N:$N, Aux_Totales!$F:$F, $F224, Aux_Totales!$A:$A,#REF!), 0))</f>
        <v/>
      </c>
      <c r="OLK224" s="19" t="str">
        <f>IF(OLK220 = "", "", IFERROR(OLK220 / SUMIFS(Aux_Totales!$N:$N, Aux_Totales!$F:$F, $F224, Aux_Totales!$A:$A,#REF!), 0))</f>
        <v/>
      </c>
      <c r="OLL224" s="19" t="str">
        <f>IF(OLL220 = "", "", IFERROR(OLL220 / SUMIFS(Aux_Totales!$N:$N, Aux_Totales!$F:$F, $F224, Aux_Totales!$A:$A,#REF!), 0))</f>
        <v/>
      </c>
      <c r="OLM224" s="19" t="str">
        <f>IF(OLM220 = "", "", IFERROR(OLM220 / SUMIFS(Aux_Totales!$N:$N, Aux_Totales!$F:$F, $F224, Aux_Totales!$A:$A,#REF!), 0))</f>
        <v/>
      </c>
      <c r="OLN224" s="19" t="str">
        <f>IF(OLN220 = "", "", IFERROR(OLN220 / SUMIFS(Aux_Totales!$N:$N, Aux_Totales!$F:$F, $F224, Aux_Totales!$A:$A,#REF!), 0))</f>
        <v/>
      </c>
      <c r="OLO224" s="19" t="str">
        <f>IF(OLO220 = "", "", IFERROR(OLO220 / SUMIFS(Aux_Totales!$N:$N, Aux_Totales!$F:$F, $F224, Aux_Totales!$A:$A,#REF!), 0))</f>
        <v/>
      </c>
      <c r="OLP224" s="19" t="str">
        <f>IF(OLP220 = "", "", IFERROR(OLP220 / SUMIFS(Aux_Totales!$N:$N, Aux_Totales!$F:$F, $F224, Aux_Totales!$A:$A,#REF!), 0))</f>
        <v/>
      </c>
      <c r="OLQ224" s="19" t="str">
        <f>IF(OLQ220 = "", "", IFERROR(OLQ220 / SUMIFS(Aux_Totales!$N:$N, Aux_Totales!$F:$F, $F224, Aux_Totales!$A:$A,#REF!), 0))</f>
        <v/>
      </c>
      <c r="OLR224" s="19" t="str">
        <f>IF(OLR220 = "", "", IFERROR(OLR220 / SUMIFS(Aux_Totales!$N:$N, Aux_Totales!$F:$F, $F224, Aux_Totales!$A:$A,#REF!), 0))</f>
        <v/>
      </c>
      <c r="OLS224" s="19" t="str">
        <f>IF(OLS220 = "", "", IFERROR(OLS220 / SUMIFS(Aux_Totales!$N:$N, Aux_Totales!$F:$F, $F224, Aux_Totales!$A:$A,#REF!), 0))</f>
        <v/>
      </c>
      <c r="OLT224" s="19" t="str">
        <f>IF(OLT220 = "", "", IFERROR(OLT220 / SUMIFS(Aux_Totales!$N:$N, Aux_Totales!$F:$F, $F224, Aux_Totales!$A:$A,#REF!), 0))</f>
        <v/>
      </c>
      <c r="OLU224" s="19" t="str">
        <f>IF(OLU220 = "", "", IFERROR(OLU220 / SUMIFS(Aux_Totales!$N:$N, Aux_Totales!$F:$F, $F224, Aux_Totales!$A:$A,#REF!), 0))</f>
        <v/>
      </c>
      <c r="OLV224" s="19" t="str">
        <f>IF(OLV220 = "", "", IFERROR(OLV220 / SUMIFS(Aux_Totales!$N:$N, Aux_Totales!$F:$F, $F224, Aux_Totales!$A:$A,#REF!), 0))</f>
        <v/>
      </c>
      <c r="OLW224" s="19" t="str">
        <f>IF(OLW220 = "", "", IFERROR(OLW220 / SUMIFS(Aux_Totales!$N:$N, Aux_Totales!$F:$F, $F224, Aux_Totales!$A:$A,#REF!), 0))</f>
        <v/>
      </c>
      <c r="OLX224" s="19" t="str">
        <f>IF(OLX220 = "", "", IFERROR(OLX220 / SUMIFS(Aux_Totales!$N:$N, Aux_Totales!$F:$F, $F224, Aux_Totales!$A:$A,#REF!), 0))</f>
        <v/>
      </c>
      <c r="OLY224" s="19" t="str">
        <f>IF(OLY220 = "", "", IFERROR(OLY220 / SUMIFS(Aux_Totales!$N:$N, Aux_Totales!$F:$F, $F224, Aux_Totales!$A:$A,#REF!), 0))</f>
        <v/>
      </c>
      <c r="OLZ224" s="19" t="str">
        <f>IF(OLZ220 = "", "", IFERROR(OLZ220 / SUMIFS(Aux_Totales!$N:$N, Aux_Totales!$F:$F, $F224, Aux_Totales!$A:$A,#REF!), 0))</f>
        <v/>
      </c>
      <c r="OMA224" s="19" t="str">
        <f>IF(OMA220 = "", "", IFERROR(OMA220 / SUMIFS(Aux_Totales!$N:$N, Aux_Totales!$F:$F, $F224, Aux_Totales!$A:$A,#REF!), 0))</f>
        <v/>
      </c>
      <c r="OMB224" s="19" t="str">
        <f>IF(OMB220 = "", "", IFERROR(OMB220 / SUMIFS(Aux_Totales!$N:$N, Aux_Totales!$F:$F, $F224, Aux_Totales!$A:$A,#REF!), 0))</f>
        <v/>
      </c>
      <c r="OMC224" s="19" t="str">
        <f>IF(OMC220 = "", "", IFERROR(OMC220 / SUMIFS(Aux_Totales!$N:$N, Aux_Totales!$F:$F, $F224, Aux_Totales!$A:$A,#REF!), 0))</f>
        <v/>
      </c>
      <c r="OMD224" s="19" t="str">
        <f>IF(OMD220 = "", "", IFERROR(OMD220 / SUMIFS(Aux_Totales!$N:$N, Aux_Totales!$F:$F, $F224, Aux_Totales!$A:$A,#REF!), 0))</f>
        <v/>
      </c>
      <c r="OME224" s="19" t="str">
        <f>IF(OME220 = "", "", IFERROR(OME220 / SUMIFS(Aux_Totales!$N:$N, Aux_Totales!$F:$F, $F224, Aux_Totales!$A:$A,#REF!), 0))</f>
        <v/>
      </c>
      <c r="OMF224" s="19" t="str">
        <f>IF(OMF220 = "", "", IFERROR(OMF220 / SUMIFS(Aux_Totales!$N:$N, Aux_Totales!$F:$F, $F224, Aux_Totales!$A:$A,#REF!), 0))</f>
        <v/>
      </c>
      <c r="OMG224" s="19" t="str">
        <f>IF(OMG220 = "", "", IFERROR(OMG220 / SUMIFS(Aux_Totales!$N:$N, Aux_Totales!$F:$F, $F224, Aux_Totales!$A:$A,#REF!), 0))</f>
        <v/>
      </c>
      <c r="OMH224" s="19" t="str">
        <f>IF(OMH220 = "", "", IFERROR(OMH220 / SUMIFS(Aux_Totales!$N:$N, Aux_Totales!$F:$F, $F224, Aux_Totales!$A:$A,#REF!), 0))</f>
        <v/>
      </c>
      <c r="OMI224" s="19" t="str">
        <f>IF(OMI220 = "", "", IFERROR(OMI220 / SUMIFS(Aux_Totales!$N:$N, Aux_Totales!$F:$F, $F224, Aux_Totales!$A:$A,#REF!), 0))</f>
        <v/>
      </c>
      <c r="OMJ224" s="19" t="str">
        <f>IF(OMJ220 = "", "", IFERROR(OMJ220 / SUMIFS(Aux_Totales!$N:$N, Aux_Totales!$F:$F, $F224, Aux_Totales!$A:$A,#REF!), 0))</f>
        <v/>
      </c>
      <c r="OMK224" s="19" t="str">
        <f>IF(OMK220 = "", "", IFERROR(OMK220 / SUMIFS(Aux_Totales!$N:$N, Aux_Totales!$F:$F, $F224, Aux_Totales!$A:$A,#REF!), 0))</f>
        <v/>
      </c>
      <c r="OML224" s="19" t="str">
        <f>IF(OML220 = "", "", IFERROR(OML220 / SUMIFS(Aux_Totales!$N:$N, Aux_Totales!$F:$F, $F224, Aux_Totales!$A:$A,#REF!), 0))</f>
        <v/>
      </c>
      <c r="OMM224" s="19" t="str">
        <f>IF(OMM220 = "", "", IFERROR(OMM220 / SUMIFS(Aux_Totales!$N:$N, Aux_Totales!$F:$F, $F224, Aux_Totales!$A:$A,#REF!), 0))</f>
        <v/>
      </c>
      <c r="OMN224" s="19" t="str">
        <f>IF(OMN220 = "", "", IFERROR(OMN220 / SUMIFS(Aux_Totales!$N:$N, Aux_Totales!$F:$F, $F224, Aux_Totales!$A:$A,#REF!), 0))</f>
        <v/>
      </c>
      <c r="OMO224" s="19" t="str">
        <f>IF(OMO220 = "", "", IFERROR(OMO220 / SUMIFS(Aux_Totales!$N:$N, Aux_Totales!$F:$F, $F224, Aux_Totales!$A:$A,#REF!), 0))</f>
        <v/>
      </c>
      <c r="OMP224" s="19" t="str">
        <f>IF(OMP220 = "", "", IFERROR(OMP220 / SUMIFS(Aux_Totales!$N:$N, Aux_Totales!$F:$F, $F224, Aux_Totales!$A:$A,#REF!), 0))</f>
        <v/>
      </c>
      <c r="OMQ224" s="19" t="str">
        <f>IF(OMQ220 = "", "", IFERROR(OMQ220 / SUMIFS(Aux_Totales!$N:$N, Aux_Totales!$F:$F, $F224, Aux_Totales!$A:$A,#REF!), 0))</f>
        <v/>
      </c>
      <c r="OMR224" s="19" t="str">
        <f>IF(OMR220 = "", "", IFERROR(OMR220 / SUMIFS(Aux_Totales!$N:$N, Aux_Totales!$F:$F, $F224, Aux_Totales!$A:$A,#REF!), 0))</f>
        <v/>
      </c>
      <c r="OMS224" s="19" t="str">
        <f>IF(OMS220 = "", "", IFERROR(OMS220 / SUMIFS(Aux_Totales!$N:$N, Aux_Totales!$F:$F, $F224, Aux_Totales!$A:$A,#REF!), 0))</f>
        <v/>
      </c>
      <c r="OMT224" s="19" t="str">
        <f>IF(OMT220 = "", "", IFERROR(OMT220 / SUMIFS(Aux_Totales!$N:$N, Aux_Totales!$F:$F, $F224, Aux_Totales!$A:$A,#REF!), 0))</f>
        <v/>
      </c>
      <c r="OMU224" s="19" t="str">
        <f>IF(OMU220 = "", "", IFERROR(OMU220 / SUMIFS(Aux_Totales!$N:$N, Aux_Totales!$F:$F, $F224, Aux_Totales!$A:$A,#REF!), 0))</f>
        <v/>
      </c>
      <c r="OMV224" s="19" t="str">
        <f>IF(OMV220 = "", "", IFERROR(OMV220 / SUMIFS(Aux_Totales!$N:$N, Aux_Totales!$F:$F, $F224, Aux_Totales!$A:$A,#REF!), 0))</f>
        <v/>
      </c>
      <c r="OMW224" s="19" t="str">
        <f>IF(OMW220 = "", "", IFERROR(OMW220 / SUMIFS(Aux_Totales!$N:$N, Aux_Totales!$F:$F, $F224, Aux_Totales!$A:$A,#REF!), 0))</f>
        <v/>
      </c>
      <c r="OMX224" s="19" t="str">
        <f>IF(OMX220 = "", "", IFERROR(OMX220 / SUMIFS(Aux_Totales!$N:$N, Aux_Totales!$F:$F, $F224, Aux_Totales!$A:$A,#REF!), 0))</f>
        <v/>
      </c>
      <c r="OMY224" s="19" t="str">
        <f>IF(OMY220 = "", "", IFERROR(OMY220 / SUMIFS(Aux_Totales!$N:$N, Aux_Totales!$F:$F, $F224, Aux_Totales!$A:$A,#REF!), 0))</f>
        <v/>
      </c>
      <c r="OMZ224" s="19" t="str">
        <f>IF(OMZ220 = "", "", IFERROR(OMZ220 / SUMIFS(Aux_Totales!$N:$N, Aux_Totales!$F:$F, $F224, Aux_Totales!$A:$A,#REF!), 0))</f>
        <v/>
      </c>
      <c r="ONA224" s="19" t="str">
        <f>IF(ONA220 = "", "", IFERROR(ONA220 / SUMIFS(Aux_Totales!$N:$N, Aux_Totales!$F:$F, $F224, Aux_Totales!$A:$A,#REF!), 0))</f>
        <v/>
      </c>
      <c r="ONB224" s="19" t="str">
        <f>IF(ONB220 = "", "", IFERROR(ONB220 / SUMIFS(Aux_Totales!$N:$N, Aux_Totales!$F:$F, $F224, Aux_Totales!$A:$A,#REF!), 0))</f>
        <v/>
      </c>
      <c r="ONC224" s="19" t="str">
        <f>IF(ONC220 = "", "", IFERROR(ONC220 / SUMIFS(Aux_Totales!$N:$N, Aux_Totales!$F:$F, $F224, Aux_Totales!$A:$A,#REF!), 0))</f>
        <v/>
      </c>
      <c r="OND224" s="19" t="str">
        <f>IF(OND220 = "", "", IFERROR(OND220 / SUMIFS(Aux_Totales!$N:$N, Aux_Totales!$F:$F, $F224, Aux_Totales!$A:$A,#REF!), 0))</f>
        <v/>
      </c>
      <c r="ONE224" s="19" t="str">
        <f>IF(ONE220 = "", "", IFERROR(ONE220 / SUMIFS(Aux_Totales!$N:$N, Aux_Totales!$F:$F, $F224, Aux_Totales!$A:$A,#REF!), 0))</f>
        <v/>
      </c>
      <c r="ONF224" s="19" t="str">
        <f>IF(ONF220 = "", "", IFERROR(ONF220 / SUMIFS(Aux_Totales!$N:$N, Aux_Totales!$F:$F, $F224, Aux_Totales!$A:$A,#REF!), 0))</f>
        <v/>
      </c>
      <c r="ONG224" s="19" t="str">
        <f>IF(ONG220 = "", "", IFERROR(ONG220 / SUMIFS(Aux_Totales!$N:$N, Aux_Totales!$F:$F, $F224, Aux_Totales!$A:$A,#REF!), 0))</f>
        <v/>
      </c>
      <c r="ONH224" s="19" t="str">
        <f>IF(ONH220 = "", "", IFERROR(ONH220 / SUMIFS(Aux_Totales!$N:$N, Aux_Totales!$F:$F, $F224, Aux_Totales!$A:$A,#REF!), 0))</f>
        <v/>
      </c>
      <c r="ONI224" s="19" t="str">
        <f>IF(ONI220 = "", "", IFERROR(ONI220 / SUMIFS(Aux_Totales!$N:$N, Aux_Totales!$F:$F, $F224, Aux_Totales!$A:$A,#REF!), 0))</f>
        <v/>
      </c>
      <c r="ONJ224" s="19" t="str">
        <f>IF(ONJ220 = "", "", IFERROR(ONJ220 / SUMIFS(Aux_Totales!$N:$N, Aux_Totales!$F:$F, $F224, Aux_Totales!$A:$A,#REF!), 0))</f>
        <v/>
      </c>
      <c r="ONK224" s="19" t="str">
        <f>IF(ONK220 = "", "", IFERROR(ONK220 / SUMIFS(Aux_Totales!$N:$N, Aux_Totales!$F:$F, $F224, Aux_Totales!$A:$A,#REF!), 0))</f>
        <v/>
      </c>
      <c r="ONL224" s="19" t="str">
        <f>IF(ONL220 = "", "", IFERROR(ONL220 / SUMIFS(Aux_Totales!$N:$N, Aux_Totales!$F:$F, $F224, Aux_Totales!$A:$A,#REF!), 0))</f>
        <v/>
      </c>
      <c r="ONM224" s="19" t="str">
        <f>IF(ONM220 = "", "", IFERROR(ONM220 / SUMIFS(Aux_Totales!$N:$N, Aux_Totales!$F:$F, $F224, Aux_Totales!$A:$A,#REF!), 0))</f>
        <v/>
      </c>
      <c r="ONN224" s="19" t="str">
        <f>IF(ONN220 = "", "", IFERROR(ONN220 / SUMIFS(Aux_Totales!$N:$N, Aux_Totales!$F:$F, $F224, Aux_Totales!$A:$A,#REF!), 0))</f>
        <v/>
      </c>
      <c r="ONO224" s="19" t="str">
        <f>IF(ONO220 = "", "", IFERROR(ONO220 / SUMIFS(Aux_Totales!$N:$N, Aux_Totales!$F:$F, $F224, Aux_Totales!$A:$A,#REF!), 0))</f>
        <v/>
      </c>
      <c r="ONP224" s="19" t="str">
        <f>IF(ONP220 = "", "", IFERROR(ONP220 / SUMIFS(Aux_Totales!$N:$N, Aux_Totales!$F:$F, $F224, Aux_Totales!$A:$A,#REF!), 0))</f>
        <v/>
      </c>
      <c r="ONQ224" s="19" t="str">
        <f>IF(ONQ220 = "", "", IFERROR(ONQ220 / SUMIFS(Aux_Totales!$N:$N, Aux_Totales!$F:$F, $F224, Aux_Totales!$A:$A,#REF!), 0))</f>
        <v/>
      </c>
      <c r="ONR224" s="19" t="str">
        <f>IF(ONR220 = "", "", IFERROR(ONR220 / SUMIFS(Aux_Totales!$N:$N, Aux_Totales!$F:$F, $F224, Aux_Totales!$A:$A,#REF!), 0))</f>
        <v/>
      </c>
      <c r="ONS224" s="19" t="str">
        <f>IF(ONS220 = "", "", IFERROR(ONS220 / SUMIFS(Aux_Totales!$N:$N, Aux_Totales!$F:$F, $F224, Aux_Totales!$A:$A,#REF!), 0))</f>
        <v/>
      </c>
      <c r="ONT224" s="19" t="str">
        <f>IF(ONT220 = "", "", IFERROR(ONT220 / SUMIFS(Aux_Totales!$N:$N, Aux_Totales!$F:$F, $F224, Aux_Totales!$A:$A,#REF!), 0))</f>
        <v/>
      </c>
      <c r="ONU224" s="19" t="str">
        <f>IF(ONU220 = "", "", IFERROR(ONU220 / SUMIFS(Aux_Totales!$N:$N, Aux_Totales!$F:$F, $F224, Aux_Totales!$A:$A,#REF!), 0))</f>
        <v/>
      </c>
      <c r="ONV224" s="19" t="str">
        <f>IF(ONV220 = "", "", IFERROR(ONV220 / SUMIFS(Aux_Totales!$N:$N, Aux_Totales!$F:$F, $F224, Aux_Totales!$A:$A,#REF!), 0))</f>
        <v/>
      </c>
      <c r="ONW224" s="19" t="str">
        <f>IF(ONW220 = "", "", IFERROR(ONW220 / SUMIFS(Aux_Totales!$N:$N, Aux_Totales!$F:$F, $F224, Aux_Totales!$A:$A,#REF!), 0))</f>
        <v/>
      </c>
      <c r="ONX224" s="19" t="str">
        <f>IF(ONX220 = "", "", IFERROR(ONX220 / SUMIFS(Aux_Totales!$N:$N, Aux_Totales!$F:$F, $F224, Aux_Totales!$A:$A,#REF!), 0))</f>
        <v/>
      </c>
      <c r="ONY224" s="19" t="str">
        <f>IF(ONY220 = "", "", IFERROR(ONY220 / SUMIFS(Aux_Totales!$N:$N, Aux_Totales!$F:$F, $F224, Aux_Totales!$A:$A,#REF!), 0))</f>
        <v/>
      </c>
      <c r="ONZ224" s="19" t="str">
        <f>IF(ONZ220 = "", "", IFERROR(ONZ220 / SUMIFS(Aux_Totales!$N:$N, Aux_Totales!$F:$F, $F224, Aux_Totales!$A:$A,#REF!), 0))</f>
        <v/>
      </c>
      <c r="OOA224" s="19" t="str">
        <f>IF(OOA220 = "", "", IFERROR(OOA220 / SUMIFS(Aux_Totales!$N:$N, Aux_Totales!$F:$F, $F224, Aux_Totales!$A:$A,#REF!), 0))</f>
        <v/>
      </c>
      <c r="OOB224" s="19" t="str">
        <f>IF(OOB220 = "", "", IFERROR(OOB220 / SUMIFS(Aux_Totales!$N:$N, Aux_Totales!$F:$F, $F224, Aux_Totales!$A:$A,#REF!), 0))</f>
        <v/>
      </c>
      <c r="OOC224" s="19" t="str">
        <f>IF(OOC220 = "", "", IFERROR(OOC220 / SUMIFS(Aux_Totales!$N:$N, Aux_Totales!$F:$F, $F224, Aux_Totales!$A:$A,#REF!), 0))</f>
        <v/>
      </c>
      <c r="OOD224" s="19" t="str">
        <f>IF(OOD220 = "", "", IFERROR(OOD220 / SUMIFS(Aux_Totales!$N:$N, Aux_Totales!$F:$F, $F224, Aux_Totales!$A:$A,#REF!), 0))</f>
        <v/>
      </c>
      <c r="OOE224" s="19" t="str">
        <f>IF(OOE220 = "", "", IFERROR(OOE220 / SUMIFS(Aux_Totales!$N:$N, Aux_Totales!$F:$F, $F224, Aux_Totales!$A:$A,#REF!), 0))</f>
        <v/>
      </c>
      <c r="OOF224" s="19" t="str">
        <f>IF(OOF220 = "", "", IFERROR(OOF220 / SUMIFS(Aux_Totales!$N:$N, Aux_Totales!$F:$F, $F224, Aux_Totales!$A:$A,#REF!), 0))</f>
        <v/>
      </c>
      <c r="OOG224" s="19" t="str">
        <f>IF(OOG220 = "", "", IFERROR(OOG220 / SUMIFS(Aux_Totales!$N:$N, Aux_Totales!$F:$F, $F224, Aux_Totales!$A:$A,#REF!), 0))</f>
        <v/>
      </c>
      <c r="OOH224" s="19" t="str">
        <f>IF(OOH220 = "", "", IFERROR(OOH220 / SUMIFS(Aux_Totales!$N:$N, Aux_Totales!$F:$F, $F224, Aux_Totales!$A:$A,#REF!), 0))</f>
        <v/>
      </c>
      <c r="OOI224" s="19" t="str">
        <f>IF(OOI220 = "", "", IFERROR(OOI220 / SUMIFS(Aux_Totales!$N:$N, Aux_Totales!$F:$F, $F224, Aux_Totales!$A:$A,#REF!), 0))</f>
        <v/>
      </c>
      <c r="OOJ224" s="19" t="str">
        <f>IF(OOJ220 = "", "", IFERROR(OOJ220 / SUMIFS(Aux_Totales!$N:$N, Aux_Totales!$F:$F, $F224, Aux_Totales!$A:$A,#REF!), 0))</f>
        <v/>
      </c>
      <c r="OOK224" s="19" t="str">
        <f>IF(OOK220 = "", "", IFERROR(OOK220 / SUMIFS(Aux_Totales!$N:$N, Aux_Totales!$F:$F, $F224, Aux_Totales!$A:$A,#REF!), 0))</f>
        <v/>
      </c>
      <c r="OOL224" s="19" t="str">
        <f>IF(OOL220 = "", "", IFERROR(OOL220 / SUMIFS(Aux_Totales!$N:$N, Aux_Totales!$F:$F, $F224, Aux_Totales!$A:$A,#REF!), 0))</f>
        <v/>
      </c>
      <c r="OOM224" s="19" t="str">
        <f>IF(OOM220 = "", "", IFERROR(OOM220 / SUMIFS(Aux_Totales!$N:$N, Aux_Totales!$F:$F, $F224, Aux_Totales!$A:$A,#REF!), 0))</f>
        <v/>
      </c>
      <c r="OON224" s="19" t="str">
        <f>IF(OON220 = "", "", IFERROR(OON220 / SUMIFS(Aux_Totales!$N:$N, Aux_Totales!$F:$F, $F224, Aux_Totales!$A:$A,#REF!), 0))</f>
        <v/>
      </c>
      <c r="OOO224" s="19" t="str">
        <f>IF(OOO220 = "", "", IFERROR(OOO220 / SUMIFS(Aux_Totales!$N:$N, Aux_Totales!$F:$F, $F224, Aux_Totales!$A:$A,#REF!), 0))</f>
        <v/>
      </c>
      <c r="OOP224" s="19" t="str">
        <f>IF(OOP220 = "", "", IFERROR(OOP220 / SUMIFS(Aux_Totales!$N:$N, Aux_Totales!$F:$F, $F224, Aux_Totales!$A:$A,#REF!), 0))</f>
        <v/>
      </c>
      <c r="OOQ224" s="19" t="str">
        <f>IF(OOQ220 = "", "", IFERROR(OOQ220 / SUMIFS(Aux_Totales!$N:$N, Aux_Totales!$F:$F, $F224, Aux_Totales!$A:$A,#REF!), 0))</f>
        <v/>
      </c>
      <c r="OOR224" s="19" t="str">
        <f>IF(OOR220 = "", "", IFERROR(OOR220 / SUMIFS(Aux_Totales!$N:$N, Aux_Totales!$F:$F, $F224, Aux_Totales!$A:$A,#REF!), 0))</f>
        <v/>
      </c>
      <c r="OOS224" s="19" t="str">
        <f>IF(OOS220 = "", "", IFERROR(OOS220 / SUMIFS(Aux_Totales!$N:$N, Aux_Totales!$F:$F, $F224, Aux_Totales!$A:$A,#REF!), 0))</f>
        <v/>
      </c>
      <c r="OOT224" s="19" t="str">
        <f>IF(OOT220 = "", "", IFERROR(OOT220 / SUMIFS(Aux_Totales!$N:$N, Aux_Totales!$F:$F, $F224, Aux_Totales!$A:$A,#REF!), 0))</f>
        <v/>
      </c>
      <c r="OOU224" s="19" t="str">
        <f>IF(OOU220 = "", "", IFERROR(OOU220 / SUMIFS(Aux_Totales!$N:$N, Aux_Totales!$F:$F, $F224, Aux_Totales!$A:$A,#REF!), 0))</f>
        <v/>
      </c>
      <c r="OOV224" s="19" t="str">
        <f>IF(OOV220 = "", "", IFERROR(OOV220 / SUMIFS(Aux_Totales!$N:$N, Aux_Totales!$F:$F, $F224, Aux_Totales!$A:$A,#REF!), 0))</f>
        <v/>
      </c>
      <c r="OOW224" s="19" t="str">
        <f>IF(OOW220 = "", "", IFERROR(OOW220 / SUMIFS(Aux_Totales!$N:$N, Aux_Totales!$F:$F, $F224, Aux_Totales!$A:$A,#REF!), 0))</f>
        <v/>
      </c>
      <c r="OOX224" s="19" t="str">
        <f>IF(OOX220 = "", "", IFERROR(OOX220 / SUMIFS(Aux_Totales!$N:$N, Aux_Totales!$F:$F, $F224, Aux_Totales!$A:$A,#REF!), 0))</f>
        <v/>
      </c>
      <c r="OOY224" s="19" t="str">
        <f>IF(OOY220 = "", "", IFERROR(OOY220 / SUMIFS(Aux_Totales!$N:$N, Aux_Totales!$F:$F, $F224, Aux_Totales!$A:$A,#REF!), 0))</f>
        <v/>
      </c>
      <c r="OOZ224" s="19" t="str">
        <f>IF(OOZ220 = "", "", IFERROR(OOZ220 / SUMIFS(Aux_Totales!$N:$N, Aux_Totales!$F:$F, $F224, Aux_Totales!$A:$A,#REF!), 0))</f>
        <v/>
      </c>
      <c r="OPA224" s="19" t="str">
        <f>IF(OPA220 = "", "", IFERROR(OPA220 / SUMIFS(Aux_Totales!$N:$N, Aux_Totales!$F:$F, $F224, Aux_Totales!$A:$A,#REF!), 0))</f>
        <v/>
      </c>
      <c r="OPB224" s="19" t="str">
        <f>IF(OPB220 = "", "", IFERROR(OPB220 / SUMIFS(Aux_Totales!$N:$N, Aux_Totales!$F:$F, $F224, Aux_Totales!$A:$A,#REF!), 0))</f>
        <v/>
      </c>
      <c r="OPC224" s="19" t="str">
        <f>IF(OPC220 = "", "", IFERROR(OPC220 / SUMIFS(Aux_Totales!$N:$N, Aux_Totales!$F:$F, $F224, Aux_Totales!$A:$A,#REF!), 0))</f>
        <v/>
      </c>
      <c r="OPD224" s="19" t="str">
        <f>IF(OPD220 = "", "", IFERROR(OPD220 / SUMIFS(Aux_Totales!$N:$N, Aux_Totales!$F:$F, $F224, Aux_Totales!$A:$A,#REF!), 0))</f>
        <v/>
      </c>
      <c r="OPE224" s="19" t="str">
        <f>IF(OPE220 = "", "", IFERROR(OPE220 / SUMIFS(Aux_Totales!$N:$N, Aux_Totales!$F:$F, $F224, Aux_Totales!$A:$A,#REF!), 0))</f>
        <v/>
      </c>
      <c r="OPF224" s="19" t="str">
        <f>IF(OPF220 = "", "", IFERROR(OPF220 / SUMIFS(Aux_Totales!$N:$N, Aux_Totales!$F:$F, $F224, Aux_Totales!$A:$A,#REF!), 0))</f>
        <v/>
      </c>
      <c r="OPG224" s="19" t="str">
        <f>IF(OPG220 = "", "", IFERROR(OPG220 / SUMIFS(Aux_Totales!$N:$N, Aux_Totales!$F:$F, $F224, Aux_Totales!$A:$A,#REF!), 0))</f>
        <v/>
      </c>
      <c r="OPH224" s="19" t="str">
        <f>IF(OPH220 = "", "", IFERROR(OPH220 / SUMIFS(Aux_Totales!$N:$N, Aux_Totales!$F:$F, $F224, Aux_Totales!$A:$A,#REF!), 0))</f>
        <v/>
      </c>
      <c r="OPI224" s="19" t="str">
        <f>IF(OPI220 = "", "", IFERROR(OPI220 / SUMIFS(Aux_Totales!$N:$N, Aux_Totales!$F:$F, $F224, Aux_Totales!$A:$A,#REF!), 0))</f>
        <v/>
      </c>
      <c r="OPJ224" s="19" t="str">
        <f>IF(OPJ220 = "", "", IFERROR(OPJ220 / SUMIFS(Aux_Totales!$N:$N, Aux_Totales!$F:$F, $F224, Aux_Totales!$A:$A,#REF!), 0))</f>
        <v/>
      </c>
      <c r="OPK224" s="19" t="str">
        <f>IF(OPK220 = "", "", IFERROR(OPK220 / SUMIFS(Aux_Totales!$N:$N, Aux_Totales!$F:$F, $F224, Aux_Totales!$A:$A,#REF!), 0))</f>
        <v/>
      </c>
      <c r="OPL224" s="19" t="str">
        <f>IF(OPL220 = "", "", IFERROR(OPL220 / SUMIFS(Aux_Totales!$N:$N, Aux_Totales!$F:$F, $F224, Aux_Totales!$A:$A,#REF!), 0))</f>
        <v/>
      </c>
      <c r="OPM224" s="19" t="str">
        <f>IF(OPM220 = "", "", IFERROR(OPM220 / SUMIFS(Aux_Totales!$N:$N, Aux_Totales!$F:$F, $F224, Aux_Totales!$A:$A,#REF!), 0))</f>
        <v/>
      </c>
      <c r="OPN224" s="19" t="str">
        <f>IF(OPN220 = "", "", IFERROR(OPN220 / SUMIFS(Aux_Totales!$N:$N, Aux_Totales!$F:$F, $F224, Aux_Totales!$A:$A,#REF!), 0))</f>
        <v/>
      </c>
      <c r="OPO224" s="19" t="str">
        <f>IF(OPO220 = "", "", IFERROR(OPO220 / SUMIFS(Aux_Totales!$N:$N, Aux_Totales!$F:$F, $F224, Aux_Totales!$A:$A,#REF!), 0))</f>
        <v/>
      </c>
      <c r="OPP224" s="19" t="str">
        <f>IF(OPP220 = "", "", IFERROR(OPP220 / SUMIFS(Aux_Totales!$N:$N, Aux_Totales!$F:$F, $F224, Aux_Totales!$A:$A,#REF!), 0))</f>
        <v/>
      </c>
      <c r="OPQ224" s="19" t="str">
        <f>IF(OPQ220 = "", "", IFERROR(OPQ220 / SUMIFS(Aux_Totales!$N:$N, Aux_Totales!$F:$F, $F224, Aux_Totales!$A:$A,#REF!), 0))</f>
        <v/>
      </c>
      <c r="OPR224" s="19" t="str">
        <f>IF(OPR220 = "", "", IFERROR(OPR220 / SUMIFS(Aux_Totales!$N:$N, Aux_Totales!$F:$F, $F224, Aux_Totales!$A:$A,#REF!), 0))</f>
        <v/>
      </c>
      <c r="OPS224" s="19" t="str">
        <f>IF(OPS220 = "", "", IFERROR(OPS220 / SUMIFS(Aux_Totales!$N:$N, Aux_Totales!$F:$F, $F224, Aux_Totales!$A:$A,#REF!), 0))</f>
        <v/>
      </c>
      <c r="OPT224" s="19" t="str">
        <f>IF(OPT220 = "", "", IFERROR(OPT220 / SUMIFS(Aux_Totales!$N:$N, Aux_Totales!$F:$F, $F224, Aux_Totales!$A:$A,#REF!), 0))</f>
        <v/>
      </c>
      <c r="OPU224" s="19" t="str">
        <f>IF(OPU220 = "", "", IFERROR(OPU220 / SUMIFS(Aux_Totales!$N:$N, Aux_Totales!$F:$F, $F224, Aux_Totales!$A:$A,#REF!), 0))</f>
        <v/>
      </c>
      <c r="OPV224" s="19" t="str">
        <f>IF(OPV220 = "", "", IFERROR(OPV220 / SUMIFS(Aux_Totales!$N:$N, Aux_Totales!$F:$F, $F224, Aux_Totales!$A:$A,#REF!), 0))</f>
        <v/>
      </c>
      <c r="OPW224" s="19" t="str">
        <f>IF(OPW220 = "", "", IFERROR(OPW220 / SUMIFS(Aux_Totales!$N:$N, Aux_Totales!$F:$F, $F224, Aux_Totales!$A:$A,#REF!), 0))</f>
        <v/>
      </c>
      <c r="OPX224" s="19" t="str">
        <f>IF(OPX220 = "", "", IFERROR(OPX220 / SUMIFS(Aux_Totales!$N:$N, Aux_Totales!$F:$F, $F224, Aux_Totales!$A:$A,#REF!), 0))</f>
        <v/>
      </c>
      <c r="OPY224" s="19" t="str">
        <f>IF(OPY220 = "", "", IFERROR(OPY220 / SUMIFS(Aux_Totales!$N:$N, Aux_Totales!$F:$F, $F224, Aux_Totales!$A:$A,#REF!), 0))</f>
        <v/>
      </c>
      <c r="OPZ224" s="19" t="str">
        <f>IF(OPZ220 = "", "", IFERROR(OPZ220 / SUMIFS(Aux_Totales!$N:$N, Aux_Totales!$F:$F, $F224, Aux_Totales!$A:$A,#REF!), 0))</f>
        <v/>
      </c>
      <c r="OQA224" s="19" t="str">
        <f>IF(OQA220 = "", "", IFERROR(OQA220 / SUMIFS(Aux_Totales!$N:$N, Aux_Totales!$F:$F, $F224, Aux_Totales!$A:$A,#REF!), 0))</f>
        <v/>
      </c>
      <c r="OQB224" s="19" t="str">
        <f>IF(OQB220 = "", "", IFERROR(OQB220 / SUMIFS(Aux_Totales!$N:$N, Aux_Totales!$F:$F, $F224, Aux_Totales!$A:$A,#REF!), 0))</f>
        <v/>
      </c>
      <c r="OQC224" s="19" t="str">
        <f>IF(OQC220 = "", "", IFERROR(OQC220 / SUMIFS(Aux_Totales!$N:$N, Aux_Totales!$F:$F, $F224, Aux_Totales!$A:$A,#REF!), 0))</f>
        <v/>
      </c>
      <c r="OQD224" s="19" t="str">
        <f>IF(OQD220 = "", "", IFERROR(OQD220 / SUMIFS(Aux_Totales!$N:$N, Aux_Totales!$F:$F, $F224, Aux_Totales!$A:$A,#REF!), 0))</f>
        <v/>
      </c>
      <c r="OQE224" s="19" t="str">
        <f>IF(OQE220 = "", "", IFERROR(OQE220 / SUMIFS(Aux_Totales!$N:$N, Aux_Totales!$F:$F, $F224, Aux_Totales!$A:$A,#REF!), 0))</f>
        <v/>
      </c>
      <c r="OQF224" s="19" t="str">
        <f>IF(OQF220 = "", "", IFERROR(OQF220 / SUMIFS(Aux_Totales!$N:$N, Aux_Totales!$F:$F, $F224, Aux_Totales!$A:$A,#REF!), 0))</f>
        <v/>
      </c>
      <c r="OQG224" s="19" t="str">
        <f>IF(OQG220 = "", "", IFERROR(OQG220 / SUMIFS(Aux_Totales!$N:$N, Aux_Totales!$F:$F, $F224, Aux_Totales!$A:$A,#REF!), 0))</f>
        <v/>
      </c>
      <c r="OQH224" s="19" t="str">
        <f>IF(OQH220 = "", "", IFERROR(OQH220 / SUMIFS(Aux_Totales!$N:$N, Aux_Totales!$F:$F, $F224, Aux_Totales!$A:$A,#REF!), 0))</f>
        <v/>
      </c>
      <c r="OQI224" s="19" t="str">
        <f>IF(OQI220 = "", "", IFERROR(OQI220 / SUMIFS(Aux_Totales!$N:$N, Aux_Totales!$F:$F, $F224, Aux_Totales!$A:$A,#REF!), 0))</f>
        <v/>
      </c>
      <c r="OQJ224" s="19" t="str">
        <f>IF(OQJ220 = "", "", IFERROR(OQJ220 / SUMIFS(Aux_Totales!$N:$N, Aux_Totales!$F:$F, $F224, Aux_Totales!$A:$A,#REF!), 0))</f>
        <v/>
      </c>
      <c r="OQK224" s="19" t="str">
        <f>IF(OQK220 = "", "", IFERROR(OQK220 / SUMIFS(Aux_Totales!$N:$N, Aux_Totales!$F:$F, $F224, Aux_Totales!$A:$A,#REF!), 0))</f>
        <v/>
      </c>
      <c r="OQL224" s="19" t="str">
        <f>IF(OQL220 = "", "", IFERROR(OQL220 / SUMIFS(Aux_Totales!$N:$N, Aux_Totales!$F:$F, $F224, Aux_Totales!$A:$A,#REF!), 0))</f>
        <v/>
      </c>
      <c r="OQM224" s="19" t="str">
        <f>IF(OQM220 = "", "", IFERROR(OQM220 / SUMIFS(Aux_Totales!$N:$N, Aux_Totales!$F:$F, $F224, Aux_Totales!$A:$A,#REF!), 0))</f>
        <v/>
      </c>
      <c r="OQN224" s="19" t="str">
        <f>IF(OQN220 = "", "", IFERROR(OQN220 / SUMIFS(Aux_Totales!$N:$N, Aux_Totales!$F:$F, $F224, Aux_Totales!$A:$A,#REF!), 0))</f>
        <v/>
      </c>
      <c r="OQO224" s="19" t="str">
        <f>IF(OQO220 = "", "", IFERROR(OQO220 / SUMIFS(Aux_Totales!$N:$N, Aux_Totales!$F:$F, $F224, Aux_Totales!$A:$A,#REF!), 0))</f>
        <v/>
      </c>
      <c r="OQP224" s="19" t="str">
        <f>IF(OQP220 = "", "", IFERROR(OQP220 / SUMIFS(Aux_Totales!$N:$N, Aux_Totales!$F:$F, $F224, Aux_Totales!$A:$A,#REF!), 0))</f>
        <v/>
      </c>
      <c r="OQQ224" s="19" t="str">
        <f>IF(OQQ220 = "", "", IFERROR(OQQ220 / SUMIFS(Aux_Totales!$N:$N, Aux_Totales!$F:$F, $F224, Aux_Totales!$A:$A,#REF!), 0))</f>
        <v/>
      </c>
      <c r="OQR224" s="19" t="str">
        <f>IF(OQR220 = "", "", IFERROR(OQR220 / SUMIFS(Aux_Totales!$N:$N, Aux_Totales!$F:$F, $F224, Aux_Totales!$A:$A,#REF!), 0))</f>
        <v/>
      </c>
      <c r="OQS224" s="19" t="str">
        <f>IF(OQS220 = "", "", IFERROR(OQS220 / SUMIFS(Aux_Totales!$N:$N, Aux_Totales!$F:$F, $F224, Aux_Totales!$A:$A,#REF!), 0))</f>
        <v/>
      </c>
      <c r="OQT224" s="19" t="str">
        <f>IF(OQT220 = "", "", IFERROR(OQT220 / SUMIFS(Aux_Totales!$N:$N, Aux_Totales!$F:$F, $F224, Aux_Totales!$A:$A,#REF!), 0))</f>
        <v/>
      </c>
      <c r="OQU224" s="19" t="str">
        <f>IF(OQU220 = "", "", IFERROR(OQU220 / SUMIFS(Aux_Totales!$N:$N, Aux_Totales!$F:$F, $F224, Aux_Totales!$A:$A,#REF!), 0))</f>
        <v/>
      </c>
      <c r="OQV224" s="19" t="str">
        <f>IF(OQV220 = "", "", IFERROR(OQV220 / SUMIFS(Aux_Totales!$N:$N, Aux_Totales!$F:$F, $F224, Aux_Totales!$A:$A,#REF!), 0))</f>
        <v/>
      </c>
      <c r="OQW224" s="19" t="str">
        <f>IF(OQW220 = "", "", IFERROR(OQW220 / SUMIFS(Aux_Totales!$N:$N, Aux_Totales!$F:$F, $F224, Aux_Totales!$A:$A,#REF!), 0))</f>
        <v/>
      </c>
      <c r="OQX224" s="19" t="str">
        <f>IF(OQX220 = "", "", IFERROR(OQX220 / SUMIFS(Aux_Totales!$N:$N, Aux_Totales!$F:$F, $F224, Aux_Totales!$A:$A,#REF!), 0))</f>
        <v/>
      </c>
      <c r="OQY224" s="19" t="str">
        <f>IF(OQY220 = "", "", IFERROR(OQY220 / SUMIFS(Aux_Totales!$N:$N, Aux_Totales!$F:$F, $F224, Aux_Totales!$A:$A,#REF!), 0))</f>
        <v/>
      </c>
      <c r="OQZ224" s="19" t="str">
        <f>IF(OQZ220 = "", "", IFERROR(OQZ220 / SUMIFS(Aux_Totales!$N:$N, Aux_Totales!$F:$F, $F224, Aux_Totales!$A:$A,#REF!), 0))</f>
        <v/>
      </c>
      <c r="ORA224" s="19" t="str">
        <f>IF(ORA220 = "", "", IFERROR(ORA220 / SUMIFS(Aux_Totales!$N:$N, Aux_Totales!$F:$F, $F224, Aux_Totales!$A:$A,#REF!), 0))</f>
        <v/>
      </c>
      <c r="ORB224" s="19" t="str">
        <f>IF(ORB220 = "", "", IFERROR(ORB220 / SUMIFS(Aux_Totales!$N:$N, Aux_Totales!$F:$F, $F224, Aux_Totales!$A:$A,#REF!), 0))</f>
        <v/>
      </c>
      <c r="ORC224" s="19" t="str">
        <f>IF(ORC220 = "", "", IFERROR(ORC220 / SUMIFS(Aux_Totales!$N:$N, Aux_Totales!$F:$F, $F224, Aux_Totales!$A:$A,#REF!), 0))</f>
        <v/>
      </c>
      <c r="ORD224" s="19" t="str">
        <f>IF(ORD220 = "", "", IFERROR(ORD220 / SUMIFS(Aux_Totales!$N:$N, Aux_Totales!$F:$F, $F224, Aux_Totales!$A:$A,#REF!), 0))</f>
        <v/>
      </c>
      <c r="ORE224" s="19" t="str">
        <f>IF(ORE220 = "", "", IFERROR(ORE220 / SUMIFS(Aux_Totales!$N:$N, Aux_Totales!$F:$F, $F224, Aux_Totales!$A:$A,#REF!), 0))</f>
        <v/>
      </c>
      <c r="ORF224" s="19" t="str">
        <f>IF(ORF220 = "", "", IFERROR(ORF220 / SUMIFS(Aux_Totales!$N:$N, Aux_Totales!$F:$F, $F224, Aux_Totales!$A:$A,#REF!), 0))</f>
        <v/>
      </c>
      <c r="ORG224" s="19" t="str">
        <f>IF(ORG220 = "", "", IFERROR(ORG220 / SUMIFS(Aux_Totales!$N:$N, Aux_Totales!$F:$F, $F224, Aux_Totales!$A:$A,#REF!), 0))</f>
        <v/>
      </c>
      <c r="ORH224" s="19" t="str">
        <f>IF(ORH220 = "", "", IFERROR(ORH220 / SUMIFS(Aux_Totales!$N:$N, Aux_Totales!$F:$F, $F224, Aux_Totales!$A:$A,#REF!), 0))</f>
        <v/>
      </c>
      <c r="ORI224" s="19" t="str">
        <f>IF(ORI220 = "", "", IFERROR(ORI220 / SUMIFS(Aux_Totales!$N:$N, Aux_Totales!$F:$F, $F224, Aux_Totales!$A:$A,#REF!), 0))</f>
        <v/>
      </c>
      <c r="ORJ224" s="19" t="str">
        <f>IF(ORJ220 = "", "", IFERROR(ORJ220 / SUMIFS(Aux_Totales!$N:$N, Aux_Totales!$F:$F, $F224, Aux_Totales!$A:$A,#REF!), 0))</f>
        <v/>
      </c>
      <c r="ORK224" s="19" t="str">
        <f>IF(ORK220 = "", "", IFERROR(ORK220 / SUMIFS(Aux_Totales!$N:$N, Aux_Totales!$F:$F, $F224, Aux_Totales!$A:$A,#REF!), 0))</f>
        <v/>
      </c>
      <c r="ORL224" s="19" t="str">
        <f>IF(ORL220 = "", "", IFERROR(ORL220 / SUMIFS(Aux_Totales!$N:$N, Aux_Totales!$F:$F, $F224, Aux_Totales!$A:$A,#REF!), 0))</f>
        <v/>
      </c>
      <c r="ORM224" s="19" t="str">
        <f>IF(ORM220 = "", "", IFERROR(ORM220 / SUMIFS(Aux_Totales!$N:$N, Aux_Totales!$F:$F, $F224, Aux_Totales!$A:$A,#REF!), 0))</f>
        <v/>
      </c>
      <c r="ORN224" s="19" t="str">
        <f>IF(ORN220 = "", "", IFERROR(ORN220 / SUMIFS(Aux_Totales!$N:$N, Aux_Totales!$F:$F, $F224, Aux_Totales!$A:$A,#REF!), 0))</f>
        <v/>
      </c>
      <c r="ORO224" s="19" t="str">
        <f>IF(ORO220 = "", "", IFERROR(ORO220 / SUMIFS(Aux_Totales!$N:$N, Aux_Totales!$F:$F, $F224, Aux_Totales!$A:$A,#REF!), 0))</f>
        <v/>
      </c>
      <c r="ORP224" s="19" t="str">
        <f>IF(ORP220 = "", "", IFERROR(ORP220 / SUMIFS(Aux_Totales!$N:$N, Aux_Totales!$F:$F, $F224, Aux_Totales!$A:$A,#REF!), 0))</f>
        <v/>
      </c>
      <c r="ORQ224" s="19" t="str">
        <f>IF(ORQ220 = "", "", IFERROR(ORQ220 / SUMIFS(Aux_Totales!$N:$N, Aux_Totales!$F:$F, $F224, Aux_Totales!$A:$A,#REF!), 0))</f>
        <v/>
      </c>
      <c r="ORR224" s="19" t="str">
        <f>IF(ORR220 = "", "", IFERROR(ORR220 / SUMIFS(Aux_Totales!$N:$N, Aux_Totales!$F:$F, $F224, Aux_Totales!$A:$A,#REF!), 0))</f>
        <v/>
      </c>
      <c r="ORS224" s="19" t="str">
        <f>IF(ORS220 = "", "", IFERROR(ORS220 / SUMIFS(Aux_Totales!$N:$N, Aux_Totales!$F:$F, $F224, Aux_Totales!$A:$A,#REF!), 0))</f>
        <v/>
      </c>
      <c r="ORT224" s="19" t="str">
        <f>IF(ORT220 = "", "", IFERROR(ORT220 / SUMIFS(Aux_Totales!$N:$N, Aux_Totales!$F:$F, $F224, Aux_Totales!$A:$A,#REF!), 0))</f>
        <v/>
      </c>
      <c r="ORU224" s="19" t="str">
        <f>IF(ORU220 = "", "", IFERROR(ORU220 / SUMIFS(Aux_Totales!$N:$N, Aux_Totales!$F:$F, $F224, Aux_Totales!$A:$A,#REF!), 0))</f>
        <v/>
      </c>
      <c r="ORV224" s="19" t="str">
        <f>IF(ORV220 = "", "", IFERROR(ORV220 / SUMIFS(Aux_Totales!$N:$N, Aux_Totales!$F:$F, $F224, Aux_Totales!$A:$A,#REF!), 0))</f>
        <v/>
      </c>
      <c r="ORW224" s="19" t="str">
        <f>IF(ORW220 = "", "", IFERROR(ORW220 / SUMIFS(Aux_Totales!$N:$N, Aux_Totales!$F:$F, $F224, Aux_Totales!$A:$A,#REF!), 0))</f>
        <v/>
      </c>
      <c r="ORX224" s="19" t="str">
        <f>IF(ORX220 = "", "", IFERROR(ORX220 / SUMIFS(Aux_Totales!$N:$N, Aux_Totales!$F:$F, $F224, Aux_Totales!$A:$A,#REF!), 0))</f>
        <v/>
      </c>
      <c r="ORY224" s="19" t="str">
        <f>IF(ORY220 = "", "", IFERROR(ORY220 / SUMIFS(Aux_Totales!$N:$N, Aux_Totales!$F:$F, $F224, Aux_Totales!$A:$A,#REF!), 0))</f>
        <v/>
      </c>
      <c r="ORZ224" s="19" t="str">
        <f>IF(ORZ220 = "", "", IFERROR(ORZ220 / SUMIFS(Aux_Totales!$N:$N, Aux_Totales!$F:$F, $F224, Aux_Totales!$A:$A,#REF!), 0))</f>
        <v/>
      </c>
      <c r="OSA224" s="19" t="str">
        <f>IF(OSA220 = "", "", IFERROR(OSA220 / SUMIFS(Aux_Totales!$N:$N, Aux_Totales!$F:$F, $F224, Aux_Totales!$A:$A,#REF!), 0))</f>
        <v/>
      </c>
      <c r="OSB224" s="19" t="str">
        <f>IF(OSB220 = "", "", IFERROR(OSB220 / SUMIFS(Aux_Totales!$N:$N, Aux_Totales!$F:$F, $F224, Aux_Totales!$A:$A,#REF!), 0))</f>
        <v/>
      </c>
      <c r="OSC224" s="19" t="str">
        <f>IF(OSC220 = "", "", IFERROR(OSC220 / SUMIFS(Aux_Totales!$N:$N, Aux_Totales!$F:$F, $F224, Aux_Totales!$A:$A,#REF!), 0))</f>
        <v/>
      </c>
      <c r="OSD224" s="19" t="str">
        <f>IF(OSD220 = "", "", IFERROR(OSD220 / SUMIFS(Aux_Totales!$N:$N, Aux_Totales!$F:$F, $F224, Aux_Totales!$A:$A,#REF!), 0))</f>
        <v/>
      </c>
      <c r="OSE224" s="19" t="str">
        <f>IF(OSE220 = "", "", IFERROR(OSE220 / SUMIFS(Aux_Totales!$N:$N, Aux_Totales!$F:$F, $F224, Aux_Totales!$A:$A,#REF!), 0))</f>
        <v/>
      </c>
      <c r="OSF224" s="19" t="str">
        <f>IF(OSF220 = "", "", IFERROR(OSF220 / SUMIFS(Aux_Totales!$N:$N, Aux_Totales!$F:$F, $F224, Aux_Totales!$A:$A,#REF!), 0))</f>
        <v/>
      </c>
      <c r="OSG224" s="19" t="str">
        <f>IF(OSG220 = "", "", IFERROR(OSG220 / SUMIFS(Aux_Totales!$N:$N, Aux_Totales!$F:$F, $F224, Aux_Totales!$A:$A,#REF!), 0))</f>
        <v/>
      </c>
      <c r="OSH224" s="19" t="str">
        <f>IF(OSH220 = "", "", IFERROR(OSH220 / SUMIFS(Aux_Totales!$N:$N, Aux_Totales!$F:$F, $F224, Aux_Totales!$A:$A,#REF!), 0))</f>
        <v/>
      </c>
      <c r="OSI224" s="19" t="str">
        <f>IF(OSI220 = "", "", IFERROR(OSI220 / SUMIFS(Aux_Totales!$N:$N, Aux_Totales!$F:$F, $F224, Aux_Totales!$A:$A,#REF!), 0))</f>
        <v/>
      </c>
      <c r="OSJ224" s="19" t="str">
        <f>IF(OSJ220 = "", "", IFERROR(OSJ220 / SUMIFS(Aux_Totales!$N:$N, Aux_Totales!$F:$F, $F224, Aux_Totales!$A:$A,#REF!), 0))</f>
        <v/>
      </c>
      <c r="OSK224" s="19" t="str">
        <f>IF(OSK220 = "", "", IFERROR(OSK220 / SUMIFS(Aux_Totales!$N:$N, Aux_Totales!$F:$F, $F224, Aux_Totales!$A:$A,#REF!), 0))</f>
        <v/>
      </c>
      <c r="OSL224" s="19" t="str">
        <f>IF(OSL220 = "", "", IFERROR(OSL220 / SUMIFS(Aux_Totales!$N:$N, Aux_Totales!$F:$F, $F224, Aux_Totales!$A:$A,#REF!), 0))</f>
        <v/>
      </c>
      <c r="OSM224" s="19" t="str">
        <f>IF(OSM220 = "", "", IFERROR(OSM220 / SUMIFS(Aux_Totales!$N:$N, Aux_Totales!$F:$F, $F224, Aux_Totales!$A:$A,#REF!), 0))</f>
        <v/>
      </c>
      <c r="OSN224" s="19" t="str">
        <f>IF(OSN220 = "", "", IFERROR(OSN220 / SUMIFS(Aux_Totales!$N:$N, Aux_Totales!$F:$F, $F224, Aux_Totales!$A:$A,#REF!), 0))</f>
        <v/>
      </c>
      <c r="OSO224" s="19" t="str">
        <f>IF(OSO220 = "", "", IFERROR(OSO220 / SUMIFS(Aux_Totales!$N:$N, Aux_Totales!$F:$F, $F224, Aux_Totales!$A:$A,#REF!), 0))</f>
        <v/>
      </c>
      <c r="OSP224" s="19" t="str">
        <f>IF(OSP220 = "", "", IFERROR(OSP220 / SUMIFS(Aux_Totales!$N:$N, Aux_Totales!$F:$F, $F224, Aux_Totales!$A:$A,#REF!), 0))</f>
        <v/>
      </c>
      <c r="OSQ224" s="19" t="str">
        <f>IF(OSQ220 = "", "", IFERROR(OSQ220 / SUMIFS(Aux_Totales!$N:$N, Aux_Totales!$F:$F, $F224, Aux_Totales!$A:$A,#REF!), 0))</f>
        <v/>
      </c>
      <c r="OSR224" s="19" t="str">
        <f>IF(OSR220 = "", "", IFERROR(OSR220 / SUMIFS(Aux_Totales!$N:$N, Aux_Totales!$F:$F, $F224, Aux_Totales!$A:$A,#REF!), 0))</f>
        <v/>
      </c>
      <c r="OSS224" s="19" t="str">
        <f>IF(OSS220 = "", "", IFERROR(OSS220 / SUMIFS(Aux_Totales!$N:$N, Aux_Totales!$F:$F, $F224, Aux_Totales!$A:$A,#REF!), 0))</f>
        <v/>
      </c>
      <c r="OST224" s="19" t="str">
        <f>IF(OST220 = "", "", IFERROR(OST220 / SUMIFS(Aux_Totales!$N:$N, Aux_Totales!$F:$F, $F224, Aux_Totales!$A:$A,#REF!), 0))</f>
        <v/>
      </c>
      <c r="OSU224" s="19" t="str">
        <f>IF(OSU220 = "", "", IFERROR(OSU220 / SUMIFS(Aux_Totales!$N:$N, Aux_Totales!$F:$F, $F224, Aux_Totales!$A:$A,#REF!), 0))</f>
        <v/>
      </c>
      <c r="OSV224" s="19" t="str">
        <f>IF(OSV220 = "", "", IFERROR(OSV220 / SUMIFS(Aux_Totales!$N:$N, Aux_Totales!$F:$F, $F224, Aux_Totales!$A:$A,#REF!), 0))</f>
        <v/>
      </c>
      <c r="OSW224" s="19" t="str">
        <f>IF(OSW220 = "", "", IFERROR(OSW220 / SUMIFS(Aux_Totales!$N:$N, Aux_Totales!$F:$F, $F224, Aux_Totales!$A:$A,#REF!), 0))</f>
        <v/>
      </c>
      <c r="OSX224" s="19" t="str">
        <f>IF(OSX220 = "", "", IFERROR(OSX220 / SUMIFS(Aux_Totales!$N:$N, Aux_Totales!$F:$F, $F224, Aux_Totales!$A:$A,#REF!), 0))</f>
        <v/>
      </c>
      <c r="OSY224" s="19" t="str">
        <f>IF(OSY220 = "", "", IFERROR(OSY220 / SUMIFS(Aux_Totales!$N:$N, Aux_Totales!$F:$F, $F224, Aux_Totales!$A:$A,#REF!), 0))</f>
        <v/>
      </c>
      <c r="OSZ224" s="19" t="str">
        <f>IF(OSZ220 = "", "", IFERROR(OSZ220 / SUMIFS(Aux_Totales!$N:$N, Aux_Totales!$F:$F, $F224, Aux_Totales!$A:$A,#REF!), 0))</f>
        <v/>
      </c>
      <c r="OTA224" s="19" t="str">
        <f>IF(OTA220 = "", "", IFERROR(OTA220 / SUMIFS(Aux_Totales!$N:$N, Aux_Totales!$F:$F, $F224, Aux_Totales!$A:$A,#REF!), 0))</f>
        <v/>
      </c>
      <c r="OTB224" s="19" t="str">
        <f>IF(OTB220 = "", "", IFERROR(OTB220 / SUMIFS(Aux_Totales!$N:$N, Aux_Totales!$F:$F, $F224, Aux_Totales!$A:$A,#REF!), 0))</f>
        <v/>
      </c>
      <c r="OTC224" s="19" t="str">
        <f>IF(OTC220 = "", "", IFERROR(OTC220 / SUMIFS(Aux_Totales!$N:$N, Aux_Totales!$F:$F, $F224, Aux_Totales!$A:$A,#REF!), 0))</f>
        <v/>
      </c>
      <c r="OTD224" s="19" t="str">
        <f>IF(OTD220 = "", "", IFERROR(OTD220 / SUMIFS(Aux_Totales!$N:$N, Aux_Totales!$F:$F, $F224, Aux_Totales!$A:$A,#REF!), 0))</f>
        <v/>
      </c>
      <c r="OTE224" s="19" t="str">
        <f>IF(OTE220 = "", "", IFERROR(OTE220 / SUMIFS(Aux_Totales!$N:$N, Aux_Totales!$F:$F, $F224, Aux_Totales!$A:$A,#REF!), 0))</f>
        <v/>
      </c>
      <c r="OTF224" s="19" t="str">
        <f>IF(OTF220 = "", "", IFERROR(OTF220 / SUMIFS(Aux_Totales!$N:$N, Aux_Totales!$F:$F, $F224, Aux_Totales!$A:$A,#REF!), 0))</f>
        <v/>
      </c>
      <c r="OTG224" s="19" t="str">
        <f>IF(OTG220 = "", "", IFERROR(OTG220 / SUMIFS(Aux_Totales!$N:$N, Aux_Totales!$F:$F, $F224, Aux_Totales!$A:$A,#REF!), 0))</f>
        <v/>
      </c>
      <c r="OTH224" s="19" t="str">
        <f>IF(OTH220 = "", "", IFERROR(OTH220 / SUMIFS(Aux_Totales!$N:$N, Aux_Totales!$F:$F, $F224, Aux_Totales!$A:$A,#REF!), 0))</f>
        <v/>
      </c>
      <c r="OTI224" s="19" t="str">
        <f>IF(OTI220 = "", "", IFERROR(OTI220 / SUMIFS(Aux_Totales!$N:$N, Aux_Totales!$F:$F, $F224, Aux_Totales!$A:$A,#REF!), 0))</f>
        <v/>
      </c>
      <c r="OTJ224" s="19" t="str">
        <f>IF(OTJ220 = "", "", IFERROR(OTJ220 / SUMIFS(Aux_Totales!$N:$N, Aux_Totales!$F:$F, $F224, Aux_Totales!$A:$A,#REF!), 0))</f>
        <v/>
      </c>
      <c r="OTK224" s="19" t="str">
        <f>IF(OTK220 = "", "", IFERROR(OTK220 / SUMIFS(Aux_Totales!$N:$N, Aux_Totales!$F:$F, $F224, Aux_Totales!$A:$A,#REF!), 0))</f>
        <v/>
      </c>
      <c r="OTL224" s="19" t="str">
        <f>IF(OTL220 = "", "", IFERROR(OTL220 / SUMIFS(Aux_Totales!$N:$N, Aux_Totales!$F:$F, $F224, Aux_Totales!$A:$A,#REF!), 0))</f>
        <v/>
      </c>
      <c r="OTM224" s="19" t="str">
        <f>IF(OTM220 = "", "", IFERROR(OTM220 / SUMIFS(Aux_Totales!$N:$N, Aux_Totales!$F:$F, $F224, Aux_Totales!$A:$A,#REF!), 0))</f>
        <v/>
      </c>
      <c r="OTN224" s="19" t="str">
        <f>IF(OTN220 = "", "", IFERROR(OTN220 / SUMIFS(Aux_Totales!$N:$N, Aux_Totales!$F:$F, $F224, Aux_Totales!$A:$A,#REF!), 0))</f>
        <v/>
      </c>
      <c r="OTO224" s="19" t="str">
        <f>IF(OTO220 = "", "", IFERROR(OTO220 / SUMIFS(Aux_Totales!$N:$N, Aux_Totales!$F:$F, $F224, Aux_Totales!$A:$A,#REF!), 0))</f>
        <v/>
      </c>
      <c r="OTP224" s="19" t="str">
        <f>IF(OTP220 = "", "", IFERROR(OTP220 / SUMIFS(Aux_Totales!$N:$N, Aux_Totales!$F:$F, $F224, Aux_Totales!$A:$A,#REF!), 0))</f>
        <v/>
      </c>
      <c r="OTQ224" s="19" t="str">
        <f>IF(OTQ220 = "", "", IFERROR(OTQ220 / SUMIFS(Aux_Totales!$N:$N, Aux_Totales!$F:$F, $F224, Aux_Totales!$A:$A,#REF!), 0))</f>
        <v/>
      </c>
      <c r="OTR224" s="19" t="str">
        <f>IF(OTR220 = "", "", IFERROR(OTR220 / SUMIFS(Aux_Totales!$N:$N, Aux_Totales!$F:$F, $F224, Aux_Totales!$A:$A,#REF!), 0))</f>
        <v/>
      </c>
      <c r="OTS224" s="19" t="str">
        <f>IF(OTS220 = "", "", IFERROR(OTS220 / SUMIFS(Aux_Totales!$N:$N, Aux_Totales!$F:$F, $F224, Aux_Totales!$A:$A,#REF!), 0))</f>
        <v/>
      </c>
      <c r="OTT224" s="19" t="str">
        <f>IF(OTT220 = "", "", IFERROR(OTT220 / SUMIFS(Aux_Totales!$N:$N, Aux_Totales!$F:$F, $F224, Aux_Totales!$A:$A,#REF!), 0))</f>
        <v/>
      </c>
      <c r="OTU224" s="19" t="str">
        <f>IF(OTU220 = "", "", IFERROR(OTU220 / SUMIFS(Aux_Totales!$N:$N, Aux_Totales!$F:$F, $F224, Aux_Totales!$A:$A,#REF!), 0))</f>
        <v/>
      </c>
      <c r="OTV224" s="19" t="str">
        <f>IF(OTV220 = "", "", IFERROR(OTV220 / SUMIFS(Aux_Totales!$N:$N, Aux_Totales!$F:$F, $F224, Aux_Totales!$A:$A,#REF!), 0))</f>
        <v/>
      </c>
      <c r="OTW224" s="19" t="str">
        <f>IF(OTW220 = "", "", IFERROR(OTW220 / SUMIFS(Aux_Totales!$N:$N, Aux_Totales!$F:$F, $F224, Aux_Totales!$A:$A,#REF!), 0))</f>
        <v/>
      </c>
      <c r="OTX224" s="19" t="str">
        <f>IF(OTX220 = "", "", IFERROR(OTX220 / SUMIFS(Aux_Totales!$N:$N, Aux_Totales!$F:$F, $F224, Aux_Totales!$A:$A,#REF!), 0))</f>
        <v/>
      </c>
      <c r="OTY224" s="19" t="str">
        <f>IF(OTY220 = "", "", IFERROR(OTY220 / SUMIFS(Aux_Totales!$N:$N, Aux_Totales!$F:$F, $F224, Aux_Totales!$A:$A,#REF!), 0))</f>
        <v/>
      </c>
      <c r="OTZ224" s="19" t="str">
        <f>IF(OTZ220 = "", "", IFERROR(OTZ220 / SUMIFS(Aux_Totales!$N:$N, Aux_Totales!$F:$F, $F224, Aux_Totales!$A:$A,#REF!), 0))</f>
        <v/>
      </c>
      <c r="OUA224" s="19" t="str">
        <f>IF(OUA220 = "", "", IFERROR(OUA220 / SUMIFS(Aux_Totales!$N:$N, Aux_Totales!$F:$F, $F224, Aux_Totales!$A:$A,#REF!), 0))</f>
        <v/>
      </c>
      <c r="OUB224" s="19" t="str">
        <f>IF(OUB220 = "", "", IFERROR(OUB220 / SUMIFS(Aux_Totales!$N:$N, Aux_Totales!$F:$F, $F224, Aux_Totales!$A:$A,#REF!), 0))</f>
        <v/>
      </c>
      <c r="OUC224" s="19" t="str">
        <f>IF(OUC220 = "", "", IFERROR(OUC220 / SUMIFS(Aux_Totales!$N:$N, Aux_Totales!$F:$F, $F224, Aux_Totales!$A:$A,#REF!), 0))</f>
        <v/>
      </c>
      <c r="OUD224" s="19" t="str">
        <f>IF(OUD220 = "", "", IFERROR(OUD220 / SUMIFS(Aux_Totales!$N:$N, Aux_Totales!$F:$F, $F224, Aux_Totales!$A:$A,#REF!), 0))</f>
        <v/>
      </c>
      <c r="OUE224" s="19" t="str">
        <f>IF(OUE220 = "", "", IFERROR(OUE220 / SUMIFS(Aux_Totales!$N:$N, Aux_Totales!$F:$F, $F224, Aux_Totales!$A:$A,#REF!), 0))</f>
        <v/>
      </c>
      <c r="OUF224" s="19" t="str">
        <f>IF(OUF220 = "", "", IFERROR(OUF220 / SUMIFS(Aux_Totales!$N:$N, Aux_Totales!$F:$F, $F224, Aux_Totales!$A:$A,#REF!), 0))</f>
        <v/>
      </c>
      <c r="OUG224" s="19" t="str">
        <f>IF(OUG220 = "", "", IFERROR(OUG220 / SUMIFS(Aux_Totales!$N:$N, Aux_Totales!$F:$F, $F224, Aux_Totales!$A:$A,#REF!), 0))</f>
        <v/>
      </c>
      <c r="OUH224" s="19" t="str">
        <f>IF(OUH220 = "", "", IFERROR(OUH220 / SUMIFS(Aux_Totales!$N:$N, Aux_Totales!$F:$F, $F224, Aux_Totales!$A:$A,#REF!), 0))</f>
        <v/>
      </c>
      <c r="OUI224" s="19" t="str">
        <f>IF(OUI220 = "", "", IFERROR(OUI220 / SUMIFS(Aux_Totales!$N:$N, Aux_Totales!$F:$F, $F224, Aux_Totales!$A:$A,#REF!), 0))</f>
        <v/>
      </c>
      <c r="OUJ224" s="19" t="str">
        <f>IF(OUJ220 = "", "", IFERROR(OUJ220 / SUMIFS(Aux_Totales!$N:$N, Aux_Totales!$F:$F, $F224, Aux_Totales!$A:$A,#REF!), 0))</f>
        <v/>
      </c>
      <c r="OUK224" s="19" t="str">
        <f>IF(OUK220 = "", "", IFERROR(OUK220 / SUMIFS(Aux_Totales!$N:$N, Aux_Totales!$F:$F, $F224, Aux_Totales!$A:$A,#REF!), 0))</f>
        <v/>
      </c>
      <c r="OUL224" s="19" t="str">
        <f>IF(OUL220 = "", "", IFERROR(OUL220 / SUMIFS(Aux_Totales!$N:$N, Aux_Totales!$F:$F, $F224, Aux_Totales!$A:$A,#REF!), 0))</f>
        <v/>
      </c>
      <c r="OUM224" s="19" t="str">
        <f>IF(OUM220 = "", "", IFERROR(OUM220 / SUMIFS(Aux_Totales!$N:$N, Aux_Totales!$F:$F, $F224, Aux_Totales!$A:$A,#REF!), 0))</f>
        <v/>
      </c>
      <c r="OUN224" s="19" t="str">
        <f>IF(OUN220 = "", "", IFERROR(OUN220 / SUMIFS(Aux_Totales!$N:$N, Aux_Totales!$F:$F, $F224, Aux_Totales!$A:$A,#REF!), 0))</f>
        <v/>
      </c>
      <c r="OUO224" s="19" t="str">
        <f>IF(OUO220 = "", "", IFERROR(OUO220 / SUMIFS(Aux_Totales!$N:$N, Aux_Totales!$F:$F, $F224, Aux_Totales!$A:$A,#REF!), 0))</f>
        <v/>
      </c>
      <c r="OUP224" s="19" t="str">
        <f>IF(OUP220 = "", "", IFERROR(OUP220 / SUMIFS(Aux_Totales!$N:$N, Aux_Totales!$F:$F, $F224, Aux_Totales!$A:$A,#REF!), 0))</f>
        <v/>
      </c>
      <c r="OUQ224" s="19" t="str">
        <f>IF(OUQ220 = "", "", IFERROR(OUQ220 / SUMIFS(Aux_Totales!$N:$N, Aux_Totales!$F:$F, $F224, Aux_Totales!$A:$A,#REF!), 0))</f>
        <v/>
      </c>
      <c r="OUR224" s="19" t="str">
        <f>IF(OUR220 = "", "", IFERROR(OUR220 / SUMIFS(Aux_Totales!$N:$N, Aux_Totales!$F:$F, $F224, Aux_Totales!$A:$A,#REF!), 0))</f>
        <v/>
      </c>
      <c r="OUS224" s="19" t="str">
        <f>IF(OUS220 = "", "", IFERROR(OUS220 / SUMIFS(Aux_Totales!$N:$N, Aux_Totales!$F:$F, $F224, Aux_Totales!$A:$A,#REF!), 0))</f>
        <v/>
      </c>
      <c r="OUT224" s="19" t="str">
        <f>IF(OUT220 = "", "", IFERROR(OUT220 / SUMIFS(Aux_Totales!$N:$N, Aux_Totales!$F:$F, $F224, Aux_Totales!$A:$A,#REF!), 0))</f>
        <v/>
      </c>
      <c r="OUU224" s="19" t="str">
        <f>IF(OUU220 = "", "", IFERROR(OUU220 / SUMIFS(Aux_Totales!$N:$N, Aux_Totales!$F:$F, $F224, Aux_Totales!$A:$A,#REF!), 0))</f>
        <v/>
      </c>
      <c r="OUV224" s="19" t="str">
        <f>IF(OUV220 = "", "", IFERROR(OUV220 / SUMIFS(Aux_Totales!$N:$N, Aux_Totales!$F:$F, $F224, Aux_Totales!$A:$A,#REF!), 0))</f>
        <v/>
      </c>
      <c r="OUW224" s="19" t="str">
        <f>IF(OUW220 = "", "", IFERROR(OUW220 / SUMIFS(Aux_Totales!$N:$N, Aux_Totales!$F:$F, $F224, Aux_Totales!$A:$A,#REF!), 0))</f>
        <v/>
      </c>
      <c r="OUX224" s="19" t="str">
        <f>IF(OUX220 = "", "", IFERROR(OUX220 / SUMIFS(Aux_Totales!$N:$N, Aux_Totales!$F:$F, $F224, Aux_Totales!$A:$A,#REF!), 0))</f>
        <v/>
      </c>
      <c r="OUY224" s="19" t="str">
        <f>IF(OUY220 = "", "", IFERROR(OUY220 / SUMIFS(Aux_Totales!$N:$N, Aux_Totales!$F:$F, $F224, Aux_Totales!$A:$A,#REF!), 0))</f>
        <v/>
      </c>
      <c r="OUZ224" s="19" t="str">
        <f>IF(OUZ220 = "", "", IFERROR(OUZ220 / SUMIFS(Aux_Totales!$N:$N, Aux_Totales!$F:$F, $F224, Aux_Totales!$A:$A,#REF!), 0))</f>
        <v/>
      </c>
      <c r="OVA224" s="19" t="str">
        <f>IF(OVA220 = "", "", IFERROR(OVA220 / SUMIFS(Aux_Totales!$N:$N, Aux_Totales!$F:$F, $F224, Aux_Totales!$A:$A,#REF!), 0))</f>
        <v/>
      </c>
      <c r="OVB224" s="19" t="str">
        <f>IF(OVB220 = "", "", IFERROR(OVB220 / SUMIFS(Aux_Totales!$N:$N, Aux_Totales!$F:$F, $F224, Aux_Totales!$A:$A,#REF!), 0))</f>
        <v/>
      </c>
      <c r="OVC224" s="19" t="str">
        <f>IF(OVC220 = "", "", IFERROR(OVC220 / SUMIFS(Aux_Totales!$N:$N, Aux_Totales!$F:$F, $F224, Aux_Totales!$A:$A,#REF!), 0))</f>
        <v/>
      </c>
      <c r="OVD224" s="19" t="str">
        <f>IF(OVD220 = "", "", IFERROR(OVD220 / SUMIFS(Aux_Totales!$N:$N, Aux_Totales!$F:$F, $F224, Aux_Totales!$A:$A,#REF!), 0))</f>
        <v/>
      </c>
      <c r="OVE224" s="19" t="str">
        <f>IF(OVE220 = "", "", IFERROR(OVE220 / SUMIFS(Aux_Totales!$N:$N, Aux_Totales!$F:$F, $F224, Aux_Totales!$A:$A,#REF!), 0))</f>
        <v/>
      </c>
      <c r="OVF224" s="19" t="str">
        <f>IF(OVF220 = "", "", IFERROR(OVF220 / SUMIFS(Aux_Totales!$N:$N, Aux_Totales!$F:$F, $F224, Aux_Totales!$A:$A,#REF!), 0))</f>
        <v/>
      </c>
      <c r="OVG224" s="19" t="str">
        <f>IF(OVG220 = "", "", IFERROR(OVG220 / SUMIFS(Aux_Totales!$N:$N, Aux_Totales!$F:$F, $F224, Aux_Totales!$A:$A,#REF!), 0))</f>
        <v/>
      </c>
      <c r="OVH224" s="19" t="str">
        <f>IF(OVH220 = "", "", IFERROR(OVH220 / SUMIFS(Aux_Totales!$N:$N, Aux_Totales!$F:$F, $F224, Aux_Totales!$A:$A,#REF!), 0))</f>
        <v/>
      </c>
      <c r="OVI224" s="19" t="str">
        <f>IF(OVI220 = "", "", IFERROR(OVI220 / SUMIFS(Aux_Totales!$N:$N, Aux_Totales!$F:$F, $F224, Aux_Totales!$A:$A,#REF!), 0))</f>
        <v/>
      </c>
      <c r="OVJ224" s="19" t="str">
        <f>IF(OVJ220 = "", "", IFERROR(OVJ220 / SUMIFS(Aux_Totales!$N:$N, Aux_Totales!$F:$F, $F224, Aux_Totales!$A:$A,#REF!), 0))</f>
        <v/>
      </c>
      <c r="OVK224" s="19" t="str">
        <f>IF(OVK220 = "", "", IFERROR(OVK220 / SUMIFS(Aux_Totales!$N:$N, Aux_Totales!$F:$F, $F224, Aux_Totales!$A:$A,#REF!), 0))</f>
        <v/>
      </c>
      <c r="OVL224" s="19" t="str">
        <f>IF(OVL220 = "", "", IFERROR(OVL220 / SUMIFS(Aux_Totales!$N:$N, Aux_Totales!$F:$F, $F224, Aux_Totales!$A:$A,#REF!), 0))</f>
        <v/>
      </c>
      <c r="OVM224" s="19" t="str">
        <f>IF(OVM220 = "", "", IFERROR(OVM220 / SUMIFS(Aux_Totales!$N:$N, Aux_Totales!$F:$F, $F224, Aux_Totales!$A:$A,#REF!), 0))</f>
        <v/>
      </c>
      <c r="OVN224" s="19" t="str">
        <f>IF(OVN220 = "", "", IFERROR(OVN220 / SUMIFS(Aux_Totales!$N:$N, Aux_Totales!$F:$F, $F224, Aux_Totales!$A:$A,#REF!), 0))</f>
        <v/>
      </c>
      <c r="OVO224" s="19" t="str">
        <f>IF(OVO220 = "", "", IFERROR(OVO220 / SUMIFS(Aux_Totales!$N:$N, Aux_Totales!$F:$F, $F224, Aux_Totales!$A:$A,#REF!), 0))</f>
        <v/>
      </c>
      <c r="OVP224" s="19" t="str">
        <f>IF(OVP220 = "", "", IFERROR(OVP220 / SUMIFS(Aux_Totales!$N:$N, Aux_Totales!$F:$F, $F224, Aux_Totales!$A:$A,#REF!), 0))</f>
        <v/>
      </c>
      <c r="OVQ224" s="19" t="str">
        <f>IF(OVQ220 = "", "", IFERROR(OVQ220 / SUMIFS(Aux_Totales!$N:$N, Aux_Totales!$F:$F, $F224, Aux_Totales!$A:$A,#REF!), 0))</f>
        <v/>
      </c>
      <c r="OVR224" s="19" t="str">
        <f>IF(OVR220 = "", "", IFERROR(OVR220 / SUMIFS(Aux_Totales!$N:$N, Aux_Totales!$F:$F, $F224, Aux_Totales!$A:$A,#REF!), 0))</f>
        <v/>
      </c>
      <c r="OVS224" s="19" t="str">
        <f>IF(OVS220 = "", "", IFERROR(OVS220 / SUMIFS(Aux_Totales!$N:$N, Aux_Totales!$F:$F, $F224, Aux_Totales!$A:$A,#REF!), 0))</f>
        <v/>
      </c>
      <c r="OVT224" s="19" t="str">
        <f>IF(OVT220 = "", "", IFERROR(OVT220 / SUMIFS(Aux_Totales!$N:$N, Aux_Totales!$F:$F, $F224, Aux_Totales!$A:$A,#REF!), 0))</f>
        <v/>
      </c>
      <c r="OVU224" s="19" t="str">
        <f>IF(OVU220 = "", "", IFERROR(OVU220 / SUMIFS(Aux_Totales!$N:$N, Aux_Totales!$F:$F, $F224, Aux_Totales!$A:$A,#REF!), 0))</f>
        <v/>
      </c>
      <c r="OVV224" s="19" t="str">
        <f>IF(OVV220 = "", "", IFERROR(OVV220 / SUMIFS(Aux_Totales!$N:$N, Aux_Totales!$F:$F, $F224, Aux_Totales!$A:$A,#REF!), 0))</f>
        <v/>
      </c>
      <c r="OVW224" s="19" t="str">
        <f>IF(OVW220 = "", "", IFERROR(OVW220 / SUMIFS(Aux_Totales!$N:$N, Aux_Totales!$F:$F, $F224, Aux_Totales!$A:$A,#REF!), 0))</f>
        <v/>
      </c>
      <c r="OVX224" s="19" t="str">
        <f>IF(OVX220 = "", "", IFERROR(OVX220 / SUMIFS(Aux_Totales!$N:$N, Aux_Totales!$F:$F, $F224, Aux_Totales!$A:$A,#REF!), 0))</f>
        <v/>
      </c>
      <c r="OVY224" s="19" t="str">
        <f>IF(OVY220 = "", "", IFERROR(OVY220 / SUMIFS(Aux_Totales!$N:$N, Aux_Totales!$F:$F, $F224, Aux_Totales!$A:$A,#REF!), 0))</f>
        <v/>
      </c>
      <c r="OVZ224" s="19" t="str">
        <f>IF(OVZ220 = "", "", IFERROR(OVZ220 / SUMIFS(Aux_Totales!$N:$N, Aux_Totales!$F:$F, $F224, Aux_Totales!$A:$A,#REF!), 0))</f>
        <v/>
      </c>
      <c r="OWA224" s="19" t="str">
        <f>IF(OWA220 = "", "", IFERROR(OWA220 / SUMIFS(Aux_Totales!$N:$N, Aux_Totales!$F:$F, $F224, Aux_Totales!$A:$A,#REF!), 0))</f>
        <v/>
      </c>
      <c r="OWB224" s="19" t="str">
        <f>IF(OWB220 = "", "", IFERROR(OWB220 / SUMIFS(Aux_Totales!$N:$N, Aux_Totales!$F:$F, $F224, Aux_Totales!$A:$A,#REF!), 0))</f>
        <v/>
      </c>
      <c r="OWC224" s="19" t="str">
        <f>IF(OWC220 = "", "", IFERROR(OWC220 / SUMIFS(Aux_Totales!$N:$N, Aux_Totales!$F:$F, $F224, Aux_Totales!$A:$A,#REF!), 0))</f>
        <v/>
      </c>
      <c r="OWD224" s="19" t="str">
        <f>IF(OWD220 = "", "", IFERROR(OWD220 / SUMIFS(Aux_Totales!$N:$N, Aux_Totales!$F:$F, $F224, Aux_Totales!$A:$A,#REF!), 0))</f>
        <v/>
      </c>
      <c r="OWE224" s="19" t="str">
        <f>IF(OWE220 = "", "", IFERROR(OWE220 / SUMIFS(Aux_Totales!$N:$N, Aux_Totales!$F:$F, $F224, Aux_Totales!$A:$A,#REF!), 0))</f>
        <v/>
      </c>
      <c r="OWF224" s="19" t="str">
        <f>IF(OWF220 = "", "", IFERROR(OWF220 / SUMIFS(Aux_Totales!$N:$N, Aux_Totales!$F:$F, $F224, Aux_Totales!$A:$A,#REF!), 0))</f>
        <v/>
      </c>
      <c r="OWG224" s="19" t="str">
        <f>IF(OWG220 = "", "", IFERROR(OWG220 / SUMIFS(Aux_Totales!$N:$N, Aux_Totales!$F:$F, $F224, Aux_Totales!$A:$A,#REF!), 0))</f>
        <v/>
      </c>
      <c r="OWH224" s="19" t="str">
        <f>IF(OWH220 = "", "", IFERROR(OWH220 / SUMIFS(Aux_Totales!$N:$N, Aux_Totales!$F:$F, $F224, Aux_Totales!$A:$A,#REF!), 0))</f>
        <v/>
      </c>
      <c r="OWI224" s="19" t="str">
        <f>IF(OWI220 = "", "", IFERROR(OWI220 / SUMIFS(Aux_Totales!$N:$N, Aux_Totales!$F:$F, $F224, Aux_Totales!$A:$A,#REF!), 0))</f>
        <v/>
      </c>
      <c r="OWJ224" s="19" t="str">
        <f>IF(OWJ220 = "", "", IFERROR(OWJ220 / SUMIFS(Aux_Totales!$N:$N, Aux_Totales!$F:$F, $F224, Aux_Totales!$A:$A,#REF!), 0))</f>
        <v/>
      </c>
      <c r="OWK224" s="19" t="str">
        <f>IF(OWK220 = "", "", IFERROR(OWK220 / SUMIFS(Aux_Totales!$N:$N, Aux_Totales!$F:$F, $F224, Aux_Totales!$A:$A,#REF!), 0))</f>
        <v/>
      </c>
      <c r="OWL224" s="19" t="str">
        <f>IF(OWL220 = "", "", IFERROR(OWL220 / SUMIFS(Aux_Totales!$N:$N, Aux_Totales!$F:$F, $F224, Aux_Totales!$A:$A,#REF!), 0))</f>
        <v/>
      </c>
      <c r="OWM224" s="19" t="str">
        <f>IF(OWM220 = "", "", IFERROR(OWM220 / SUMIFS(Aux_Totales!$N:$N, Aux_Totales!$F:$F, $F224, Aux_Totales!$A:$A,#REF!), 0))</f>
        <v/>
      </c>
      <c r="OWN224" s="19" t="str">
        <f>IF(OWN220 = "", "", IFERROR(OWN220 / SUMIFS(Aux_Totales!$N:$N, Aux_Totales!$F:$F, $F224, Aux_Totales!$A:$A,#REF!), 0))</f>
        <v/>
      </c>
      <c r="OWO224" s="19" t="str">
        <f>IF(OWO220 = "", "", IFERROR(OWO220 / SUMIFS(Aux_Totales!$N:$N, Aux_Totales!$F:$F, $F224, Aux_Totales!$A:$A,#REF!), 0))</f>
        <v/>
      </c>
      <c r="OWP224" s="19" t="str">
        <f>IF(OWP220 = "", "", IFERROR(OWP220 / SUMIFS(Aux_Totales!$N:$N, Aux_Totales!$F:$F, $F224, Aux_Totales!$A:$A,#REF!), 0))</f>
        <v/>
      </c>
      <c r="OWQ224" s="19" t="str">
        <f>IF(OWQ220 = "", "", IFERROR(OWQ220 / SUMIFS(Aux_Totales!$N:$N, Aux_Totales!$F:$F, $F224, Aux_Totales!$A:$A,#REF!), 0))</f>
        <v/>
      </c>
      <c r="OWR224" s="19" t="str">
        <f>IF(OWR220 = "", "", IFERROR(OWR220 / SUMIFS(Aux_Totales!$N:$N, Aux_Totales!$F:$F, $F224, Aux_Totales!$A:$A,#REF!), 0))</f>
        <v/>
      </c>
      <c r="OWS224" s="19" t="str">
        <f>IF(OWS220 = "", "", IFERROR(OWS220 / SUMIFS(Aux_Totales!$N:$N, Aux_Totales!$F:$F, $F224, Aux_Totales!$A:$A,#REF!), 0))</f>
        <v/>
      </c>
      <c r="OWT224" s="19" t="str">
        <f>IF(OWT220 = "", "", IFERROR(OWT220 / SUMIFS(Aux_Totales!$N:$N, Aux_Totales!$F:$F, $F224, Aux_Totales!$A:$A,#REF!), 0))</f>
        <v/>
      </c>
      <c r="OWU224" s="19" t="str">
        <f>IF(OWU220 = "", "", IFERROR(OWU220 / SUMIFS(Aux_Totales!$N:$N, Aux_Totales!$F:$F, $F224, Aux_Totales!$A:$A,#REF!), 0))</f>
        <v/>
      </c>
      <c r="OWV224" s="19" t="str">
        <f>IF(OWV220 = "", "", IFERROR(OWV220 / SUMIFS(Aux_Totales!$N:$N, Aux_Totales!$F:$F, $F224, Aux_Totales!$A:$A,#REF!), 0))</f>
        <v/>
      </c>
      <c r="OWW224" s="19" t="str">
        <f>IF(OWW220 = "", "", IFERROR(OWW220 / SUMIFS(Aux_Totales!$N:$N, Aux_Totales!$F:$F, $F224, Aux_Totales!$A:$A,#REF!), 0))</f>
        <v/>
      </c>
      <c r="OWX224" s="19" t="str">
        <f>IF(OWX220 = "", "", IFERROR(OWX220 / SUMIFS(Aux_Totales!$N:$N, Aux_Totales!$F:$F, $F224, Aux_Totales!$A:$A,#REF!), 0))</f>
        <v/>
      </c>
      <c r="OWY224" s="19" t="str">
        <f>IF(OWY220 = "", "", IFERROR(OWY220 / SUMIFS(Aux_Totales!$N:$N, Aux_Totales!$F:$F, $F224, Aux_Totales!$A:$A,#REF!), 0))</f>
        <v/>
      </c>
      <c r="OWZ224" s="19" t="str">
        <f>IF(OWZ220 = "", "", IFERROR(OWZ220 / SUMIFS(Aux_Totales!$N:$N, Aux_Totales!$F:$F, $F224, Aux_Totales!$A:$A,#REF!), 0))</f>
        <v/>
      </c>
      <c r="OXA224" s="19" t="str">
        <f>IF(OXA220 = "", "", IFERROR(OXA220 / SUMIFS(Aux_Totales!$N:$N, Aux_Totales!$F:$F, $F224, Aux_Totales!$A:$A,#REF!), 0))</f>
        <v/>
      </c>
      <c r="OXB224" s="19" t="str">
        <f>IF(OXB220 = "", "", IFERROR(OXB220 / SUMIFS(Aux_Totales!$N:$N, Aux_Totales!$F:$F, $F224, Aux_Totales!$A:$A,#REF!), 0))</f>
        <v/>
      </c>
      <c r="OXC224" s="19" t="str">
        <f>IF(OXC220 = "", "", IFERROR(OXC220 / SUMIFS(Aux_Totales!$N:$N, Aux_Totales!$F:$F, $F224, Aux_Totales!$A:$A,#REF!), 0))</f>
        <v/>
      </c>
      <c r="OXD224" s="19" t="str">
        <f>IF(OXD220 = "", "", IFERROR(OXD220 / SUMIFS(Aux_Totales!$N:$N, Aux_Totales!$F:$F, $F224, Aux_Totales!$A:$A,#REF!), 0))</f>
        <v/>
      </c>
      <c r="OXE224" s="19" t="str">
        <f>IF(OXE220 = "", "", IFERROR(OXE220 / SUMIFS(Aux_Totales!$N:$N, Aux_Totales!$F:$F, $F224, Aux_Totales!$A:$A,#REF!), 0))</f>
        <v/>
      </c>
      <c r="OXF224" s="19" t="str">
        <f>IF(OXF220 = "", "", IFERROR(OXF220 / SUMIFS(Aux_Totales!$N:$N, Aux_Totales!$F:$F, $F224, Aux_Totales!$A:$A,#REF!), 0))</f>
        <v/>
      </c>
      <c r="OXG224" s="19" t="str">
        <f>IF(OXG220 = "", "", IFERROR(OXG220 / SUMIFS(Aux_Totales!$N:$N, Aux_Totales!$F:$F, $F224, Aux_Totales!$A:$A,#REF!), 0))</f>
        <v/>
      </c>
      <c r="OXH224" s="19" t="str">
        <f>IF(OXH220 = "", "", IFERROR(OXH220 / SUMIFS(Aux_Totales!$N:$N, Aux_Totales!$F:$F, $F224, Aux_Totales!$A:$A,#REF!), 0))</f>
        <v/>
      </c>
      <c r="OXI224" s="19" t="str">
        <f>IF(OXI220 = "", "", IFERROR(OXI220 / SUMIFS(Aux_Totales!$N:$N, Aux_Totales!$F:$F, $F224, Aux_Totales!$A:$A,#REF!), 0))</f>
        <v/>
      </c>
      <c r="OXJ224" s="19" t="str">
        <f>IF(OXJ220 = "", "", IFERROR(OXJ220 / SUMIFS(Aux_Totales!$N:$N, Aux_Totales!$F:$F, $F224, Aux_Totales!$A:$A,#REF!), 0))</f>
        <v/>
      </c>
      <c r="OXK224" s="19" t="str">
        <f>IF(OXK220 = "", "", IFERROR(OXK220 / SUMIFS(Aux_Totales!$N:$N, Aux_Totales!$F:$F, $F224, Aux_Totales!$A:$A,#REF!), 0))</f>
        <v/>
      </c>
      <c r="OXL224" s="19" t="str">
        <f>IF(OXL220 = "", "", IFERROR(OXL220 / SUMIFS(Aux_Totales!$N:$N, Aux_Totales!$F:$F, $F224, Aux_Totales!$A:$A,#REF!), 0))</f>
        <v/>
      </c>
      <c r="OXM224" s="19" t="str">
        <f>IF(OXM220 = "", "", IFERROR(OXM220 / SUMIFS(Aux_Totales!$N:$N, Aux_Totales!$F:$F, $F224, Aux_Totales!$A:$A,#REF!), 0))</f>
        <v/>
      </c>
      <c r="OXN224" s="19" t="str">
        <f>IF(OXN220 = "", "", IFERROR(OXN220 / SUMIFS(Aux_Totales!$N:$N, Aux_Totales!$F:$F, $F224, Aux_Totales!$A:$A,#REF!), 0))</f>
        <v/>
      </c>
      <c r="OXO224" s="19" t="str">
        <f>IF(OXO220 = "", "", IFERROR(OXO220 / SUMIFS(Aux_Totales!$N:$N, Aux_Totales!$F:$F, $F224, Aux_Totales!$A:$A,#REF!), 0))</f>
        <v/>
      </c>
      <c r="OXP224" s="19" t="str">
        <f>IF(OXP220 = "", "", IFERROR(OXP220 / SUMIFS(Aux_Totales!$N:$N, Aux_Totales!$F:$F, $F224, Aux_Totales!$A:$A,#REF!), 0))</f>
        <v/>
      </c>
      <c r="OXQ224" s="19" t="str">
        <f>IF(OXQ220 = "", "", IFERROR(OXQ220 / SUMIFS(Aux_Totales!$N:$N, Aux_Totales!$F:$F, $F224, Aux_Totales!$A:$A,#REF!), 0))</f>
        <v/>
      </c>
      <c r="OXR224" s="19" t="str">
        <f>IF(OXR220 = "", "", IFERROR(OXR220 / SUMIFS(Aux_Totales!$N:$N, Aux_Totales!$F:$F, $F224, Aux_Totales!$A:$A,#REF!), 0))</f>
        <v/>
      </c>
      <c r="OXS224" s="19" t="str">
        <f>IF(OXS220 = "", "", IFERROR(OXS220 / SUMIFS(Aux_Totales!$N:$N, Aux_Totales!$F:$F, $F224, Aux_Totales!$A:$A,#REF!), 0))</f>
        <v/>
      </c>
      <c r="OXT224" s="19" t="str">
        <f>IF(OXT220 = "", "", IFERROR(OXT220 / SUMIFS(Aux_Totales!$N:$N, Aux_Totales!$F:$F, $F224, Aux_Totales!$A:$A,#REF!), 0))</f>
        <v/>
      </c>
      <c r="OXU224" s="19" t="str">
        <f>IF(OXU220 = "", "", IFERROR(OXU220 / SUMIFS(Aux_Totales!$N:$N, Aux_Totales!$F:$F, $F224, Aux_Totales!$A:$A,#REF!), 0))</f>
        <v/>
      </c>
      <c r="OXV224" s="19" t="str">
        <f>IF(OXV220 = "", "", IFERROR(OXV220 / SUMIFS(Aux_Totales!$N:$N, Aux_Totales!$F:$F, $F224, Aux_Totales!$A:$A,#REF!), 0))</f>
        <v/>
      </c>
      <c r="OXW224" s="19" t="str">
        <f>IF(OXW220 = "", "", IFERROR(OXW220 / SUMIFS(Aux_Totales!$N:$N, Aux_Totales!$F:$F, $F224, Aux_Totales!$A:$A,#REF!), 0))</f>
        <v/>
      </c>
      <c r="OXX224" s="19" t="str">
        <f>IF(OXX220 = "", "", IFERROR(OXX220 / SUMIFS(Aux_Totales!$N:$N, Aux_Totales!$F:$F, $F224, Aux_Totales!$A:$A,#REF!), 0))</f>
        <v/>
      </c>
      <c r="OXY224" s="19" t="str">
        <f>IF(OXY220 = "", "", IFERROR(OXY220 / SUMIFS(Aux_Totales!$N:$N, Aux_Totales!$F:$F, $F224, Aux_Totales!$A:$A,#REF!), 0))</f>
        <v/>
      </c>
      <c r="OXZ224" s="19" t="str">
        <f>IF(OXZ220 = "", "", IFERROR(OXZ220 / SUMIFS(Aux_Totales!$N:$N, Aux_Totales!$F:$F, $F224, Aux_Totales!$A:$A,#REF!), 0))</f>
        <v/>
      </c>
      <c r="OYA224" s="19" t="str">
        <f>IF(OYA220 = "", "", IFERROR(OYA220 / SUMIFS(Aux_Totales!$N:$N, Aux_Totales!$F:$F, $F224, Aux_Totales!$A:$A,#REF!), 0))</f>
        <v/>
      </c>
      <c r="OYB224" s="19" t="str">
        <f>IF(OYB220 = "", "", IFERROR(OYB220 / SUMIFS(Aux_Totales!$N:$N, Aux_Totales!$F:$F, $F224, Aux_Totales!$A:$A,#REF!), 0))</f>
        <v/>
      </c>
      <c r="OYC224" s="19" t="str">
        <f>IF(OYC220 = "", "", IFERROR(OYC220 / SUMIFS(Aux_Totales!$N:$N, Aux_Totales!$F:$F, $F224, Aux_Totales!$A:$A,#REF!), 0))</f>
        <v/>
      </c>
      <c r="OYD224" s="19" t="str">
        <f>IF(OYD220 = "", "", IFERROR(OYD220 / SUMIFS(Aux_Totales!$N:$N, Aux_Totales!$F:$F, $F224, Aux_Totales!$A:$A,#REF!), 0))</f>
        <v/>
      </c>
      <c r="OYE224" s="19" t="str">
        <f>IF(OYE220 = "", "", IFERROR(OYE220 / SUMIFS(Aux_Totales!$N:$N, Aux_Totales!$F:$F, $F224, Aux_Totales!$A:$A,#REF!), 0))</f>
        <v/>
      </c>
      <c r="OYF224" s="19" t="str">
        <f>IF(OYF220 = "", "", IFERROR(OYF220 / SUMIFS(Aux_Totales!$N:$N, Aux_Totales!$F:$F, $F224, Aux_Totales!$A:$A,#REF!), 0))</f>
        <v/>
      </c>
      <c r="OYG224" s="19" t="str">
        <f>IF(OYG220 = "", "", IFERROR(OYG220 / SUMIFS(Aux_Totales!$N:$N, Aux_Totales!$F:$F, $F224, Aux_Totales!$A:$A,#REF!), 0))</f>
        <v/>
      </c>
      <c r="OYH224" s="19" t="str">
        <f>IF(OYH220 = "", "", IFERROR(OYH220 / SUMIFS(Aux_Totales!$N:$N, Aux_Totales!$F:$F, $F224, Aux_Totales!$A:$A,#REF!), 0))</f>
        <v/>
      </c>
      <c r="OYI224" s="19" t="str">
        <f>IF(OYI220 = "", "", IFERROR(OYI220 / SUMIFS(Aux_Totales!$N:$N, Aux_Totales!$F:$F, $F224, Aux_Totales!$A:$A,#REF!), 0))</f>
        <v/>
      </c>
      <c r="OYJ224" s="19" t="str">
        <f>IF(OYJ220 = "", "", IFERROR(OYJ220 / SUMIFS(Aux_Totales!$N:$N, Aux_Totales!$F:$F, $F224, Aux_Totales!$A:$A,#REF!), 0))</f>
        <v/>
      </c>
      <c r="OYK224" s="19" t="str">
        <f>IF(OYK220 = "", "", IFERROR(OYK220 / SUMIFS(Aux_Totales!$N:$N, Aux_Totales!$F:$F, $F224, Aux_Totales!$A:$A,#REF!), 0))</f>
        <v/>
      </c>
      <c r="OYL224" s="19" t="str">
        <f>IF(OYL220 = "", "", IFERROR(OYL220 / SUMIFS(Aux_Totales!$N:$N, Aux_Totales!$F:$F, $F224, Aux_Totales!$A:$A,#REF!), 0))</f>
        <v/>
      </c>
      <c r="OYM224" s="19" t="str">
        <f>IF(OYM220 = "", "", IFERROR(OYM220 / SUMIFS(Aux_Totales!$N:$N, Aux_Totales!$F:$F, $F224, Aux_Totales!$A:$A,#REF!), 0))</f>
        <v/>
      </c>
      <c r="OYN224" s="19" t="str">
        <f>IF(OYN220 = "", "", IFERROR(OYN220 / SUMIFS(Aux_Totales!$N:$N, Aux_Totales!$F:$F, $F224, Aux_Totales!$A:$A,#REF!), 0))</f>
        <v/>
      </c>
      <c r="OYO224" s="19" t="str">
        <f>IF(OYO220 = "", "", IFERROR(OYO220 / SUMIFS(Aux_Totales!$N:$N, Aux_Totales!$F:$F, $F224, Aux_Totales!$A:$A,#REF!), 0))</f>
        <v/>
      </c>
      <c r="OYP224" s="19" t="str">
        <f>IF(OYP220 = "", "", IFERROR(OYP220 / SUMIFS(Aux_Totales!$N:$N, Aux_Totales!$F:$F, $F224, Aux_Totales!$A:$A,#REF!), 0))</f>
        <v/>
      </c>
      <c r="OYQ224" s="19" t="str">
        <f>IF(OYQ220 = "", "", IFERROR(OYQ220 / SUMIFS(Aux_Totales!$N:$N, Aux_Totales!$F:$F, $F224, Aux_Totales!$A:$A,#REF!), 0))</f>
        <v/>
      </c>
      <c r="OYR224" s="19" t="str">
        <f>IF(OYR220 = "", "", IFERROR(OYR220 / SUMIFS(Aux_Totales!$N:$N, Aux_Totales!$F:$F, $F224, Aux_Totales!$A:$A,#REF!), 0))</f>
        <v/>
      </c>
      <c r="OYS224" s="19" t="str">
        <f>IF(OYS220 = "", "", IFERROR(OYS220 / SUMIFS(Aux_Totales!$N:$N, Aux_Totales!$F:$F, $F224, Aux_Totales!$A:$A,#REF!), 0))</f>
        <v/>
      </c>
      <c r="OYT224" s="19" t="str">
        <f>IF(OYT220 = "", "", IFERROR(OYT220 / SUMIFS(Aux_Totales!$N:$N, Aux_Totales!$F:$F, $F224, Aux_Totales!$A:$A,#REF!), 0))</f>
        <v/>
      </c>
      <c r="OYU224" s="19" t="str">
        <f>IF(OYU220 = "", "", IFERROR(OYU220 / SUMIFS(Aux_Totales!$N:$N, Aux_Totales!$F:$F, $F224, Aux_Totales!$A:$A,#REF!), 0))</f>
        <v/>
      </c>
      <c r="OYV224" s="19" t="str">
        <f>IF(OYV220 = "", "", IFERROR(OYV220 / SUMIFS(Aux_Totales!$N:$N, Aux_Totales!$F:$F, $F224, Aux_Totales!$A:$A,#REF!), 0))</f>
        <v/>
      </c>
      <c r="OYW224" s="19" t="str">
        <f>IF(OYW220 = "", "", IFERROR(OYW220 / SUMIFS(Aux_Totales!$N:$N, Aux_Totales!$F:$F, $F224, Aux_Totales!$A:$A,#REF!), 0))</f>
        <v/>
      </c>
      <c r="OYX224" s="19" t="str">
        <f>IF(OYX220 = "", "", IFERROR(OYX220 / SUMIFS(Aux_Totales!$N:$N, Aux_Totales!$F:$F, $F224, Aux_Totales!$A:$A,#REF!), 0))</f>
        <v/>
      </c>
      <c r="OYY224" s="19" t="str">
        <f>IF(OYY220 = "", "", IFERROR(OYY220 / SUMIFS(Aux_Totales!$N:$N, Aux_Totales!$F:$F, $F224, Aux_Totales!$A:$A,#REF!), 0))</f>
        <v/>
      </c>
      <c r="OYZ224" s="19" t="str">
        <f>IF(OYZ220 = "", "", IFERROR(OYZ220 / SUMIFS(Aux_Totales!$N:$N, Aux_Totales!$F:$F, $F224, Aux_Totales!$A:$A,#REF!), 0))</f>
        <v/>
      </c>
      <c r="OZA224" s="19" t="str">
        <f>IF(OZA220 = "", "", IFERROR(OZA220 / SUMIFS(Aux_Totales!$N:$N, Aux_Totales!$F:$F, $F224, Aux_Totales!$A:$A,#REF!), 0))</f>
        <v/>
      </c>
      <c r="OZB224" s="19" t="str">
        <f>IF(OZB220 = "", "", IFERROR(OZB220 / SUMIFS(Aux_Totales!$N:$N, Aux_Totales!$F:$F, $F224, Aux_Totales!$A:$A,#REF!), 0))</f>
        <v/>
      </c>
      <c r="OZC224" s="19" t="str">
        <f>IF(OZC220 = "", "", IFERROR(OZC220 / SUMIFS(Aux_Totales!$N:$N, Aux_Totales!$F:$F, $F224, Aux_Totales!$A:$A,#REF!), 0))</f>
        <v/>
      </c>
      <c r="OZD224" s="19" t="str">
        <f>IF(OZD220 = "", "", IFERROR(OZD220 / SUMIFS(Aux_Totales!$N:$N, Aux_Totales!$F:$F, $F224, Aux_Totales!$A:$A,#REF!), 0))</f>
        <v/>
      </c>
      <c r="OZE224" s="19" t="str">
        <f>IF(OZE220 = "", "", IFERROR(OZE220 / SUMIFS(Aux_Totales!$N:$N, Aux_Totales!$F:$F, $F224, Aux_Totales!$A:$A,#REF!), 0))</f>
        <v/>
      </c>
      <c r="OZF224" s="19" t="str">
        <f>IF(OZF220 = "", "", IFERROR(OZF220 / SUMIFS(Aux_Totales!$N:$N, Aux_Totales!$F:$F, $F224, Aux_Totales!$A:$A,#REF!), 0))</f>
        <v/>
      </c>
      <c r="OZG224" s="19" t="str">
        <f>IF(OZG220 = "", "", IFERROR(OZG220 / SUMIFS(Aux_Totales!$N:$N, Aux_Totales!$F:$F, $F224, Aux_Totales!$A:$A,#REF!), 0))</f>
        <v/>
      </c>
      <c r="OZH224" s="19" t="str">
        <f>IF(OZH220 = "", "", IFERROR(OZH220 / SUMIFS(Aux_Totales!$N:$N, Aux_Totales!$F:$F, $F224, Aux_Totales!$A:$A,#REF!), 0))</f>
        <v/>
      </c>
      <c r="OZI224" s="19" t="str">
        <f>IF(OZI220 = "", "", IFERROR(OZI220 / SUMIFS(Aux_Totales!$N:$N, Aux_Totales!$F:$F, $F224, Aux_Totales!$A:$A,#REF!), 0))</f>
        <v/>
      </c>
      <c r="OZJ224" s="19" t="str">
        <f>IF(OZJ220 = "", "", IFERROR(OZJ220 / SUMIFS(Aux_Totales!$N:$N, Aux_Totales!$F:$F, $F224, Aux_Totales!$A:$A,#REF!), 0))</f>
        <v/>
      </c>
      <c r="OZK224" s="19" t="str">
        <f>IF(OZK220 = "", "", IFERROR(OZK220 / SUMIFS(Aux_Totales!$N:$N, Aux_Totales!$F:$F, $F224, Aux_Totales!$A:$A,#REF!), 0))</f>
        <v/>
      </c>
      <c r="OZL224" s="19" t="str">
        <f>IF(OZL220 = "", "", IFERROR(OZL220 / SUMIFS(Aux_Totales!$N:$N, Aux_Totales!$F:$F, $F224, Aux_Totales!$A:$A,#REF!), 0))</f>
        <v/>
      </c>
      <c r="OZM224" s="19" t="str">
        <f>IF(OZM220 = "", "", IFERROR(OZM220 / SUMIFS(Aux_Totales!$N:$N, Aux_Totales!$F:$F, $F224, Aux_Totales!$A:$A,#REF!), 0))</f>
        <v/>
      </c>
      <c r="OZN224" s="19" t="str">
        <f>IF(OZN220 = "", "", IFERROR(OZN220 / SUMIFS(Aux_Totales!$N:$N, Aux_Totales!$F:$F, $F224, Aux_Totales!$A:$A,#REF!), 0))</f>
        <v/>
      </c>
      <c r="OZO224" s="19" t="str">
        <f>IF(OZO220 = "", "", IFERROR(OZO220 / SUMIFS(Aux_Totales!$N:$N, Aux_Totales!$F:$F, $F224, Aux_Totales!$A:$A,#REF!), 0))</f>
        <v/>
      </c>
      <c r="OZP224" s="19" t="str">
        <f>IF(OZP220 = "", "", IFERROR(OZP220 / SUMIFS(Aux_Totales!$N:$N, Aux_Totales!$F:$F, $F224, Aux_Totales!$A:$A,#REF!), 0))</f>
        <v/>
      </c>
      <c r="OZQ224" s="19" t="str">
        <f>IF(OZQ220 = "", "", IFERROR(OZQ220 / SUMIFS(Aux_Totales!$N:$N, Aux_Totales!$F:$F, $F224, Aux_Totales!$A:$A,#REF!), 0))</f>
        <v/>
      </c>
      <c r="OZR224" s="19" t="str">
        <f>IF(OZR220 = "", "", IFERROR(OZR220 / SUMIFS(Aux_Totales!$N:$N, Aux_Totales!$F:$F, $F224, Aux_Totales!$A:$A,#REF!), 0))</f>
        <v/>
      </c>
      <c r="OZS224" s="19" t="str">
        <f>IF(OZS220 = "", "", IFERROR(OZS220 / SUMIFS(Aux_Totales!$N:$N, Aux_Totales!$F:$F, $F224, Aux_Totales!$A:$A,#REF!), 0))</f>
        <v/>
      </c>
      <c r="OZT224" s="19" t="str">
        <f>IF(OZT220 = "", "", IFERROR(OZT220 / SUMIFS(Aux_Totales!$N:$N, Aux_Totales!$F:$F, $F224, Aux_Totales!$A:$A,#REF!), 0))</f>
        <v/>
      </c>
      <c r="OZU224" s="19" t="str">
        <f>IF(OZU220 = "", "", IFERROR(OZU220 / SUMIFS(Aux_Totales!$N:$N, Aux_Totales!$F:$F, $F224, Aux_Totales!$A:$A,#REF!), 0))</f>
        <v/>
      </c>
      <c r="OZV224" s="19" t="str">
        <f>IF(OZV220 = "", "", IFERROR(OZV220 / SUMIFS(Aux_Totales!$N:$N, Aux_Totales!$F:$F, $F224, Aux_Totales!$A:$A,#REF!), 0))</f>
        <v/>
      </c>
      <c r="OZW224" s="19" t="str">
        <f>IF(OZW220 = "", "", IFERROR(OZW220 / SUMIFS(Aux_Totales!$N:$N, Aux_Totales!$F:$F, $F224, Aux_Totales!$A:$A,#REF!), 0))</f>
        <v/>
      </c>
      <c r="OZX224" s="19" t="str">
        <f>IF(OZX220 = "", "", IFERROR(OZX220 / SUMIFS(Aux_Totales!$N:$N, Aux_Totales!$F:$F, $F224, Aux_Totales!$A:$A,#REF!), 0))</f>
        <v/>
      </c>
      <c r="OZY224" s="19" t="str">
        <f>IF(OZY220 = "", "", IFERROR(OZY220 / SUMIFS(Aux_Totales!$N:$N, Aux_Totales!$F:$F, $F224, Aux_Totales!$A:$A,#REF!), 0))</f>
        <v/>
      </c>
      <c r="OZZ224" s="19" t="str">
        <f>IF(OZZ220 = "", "", IFERROR(OZZ220 / SUMIFS(Aux_Totales!$N:$N, Aux_Totales!$F:$F, $F224, Aux_Totales!$A:$A,#REF!), 0))</f>
        <v/>
      </c>
      <c r="PAA224" s="19" t="str">
        <f>IF(PAA220 = "", "", IFERROR(PAA220 / SUMIFS(Aux_Totales!$N:$N, Aux_Totales!$F:$F, $F224, Aux_Totales!$A:$A,#REF!), 0))</f>
        <v/>
      </c>
      <c r="PAB224" s="19" t="str">
        <f>IF(PAB220 = "", "", IFERROR(PAB220 / SUMIFS(Aux_Totales!$N:$N, Aux_Totales!$F:$F, $F224, Aux_Totales!$A:$A,#REF!), 0))</f>
        <v/>
      </c>
      <c r="PAC224" s="19" t="str">
        <f>IF(PAC220 = "", "", IFERROR(PAC220 / SUMIFS(Aux_Totales!$N:$N, Aux_Totales!$F:$F, $F224, Aux_Totales!$A:$A,#REF!), 0))</f>
        <v/>
      </c>
      <c r="PAD224" s="19" t="str">
        <f>IF(PAD220 = "", "", IFERROR(PAD220 / SUMIFS(Aux_Totales!$N:$N, Aux_Totales!$F:$F, $F224, Aux_Totales!$A:$A,#REF!), 0))</f>
        <v/>
      </c>
      <c r="PAE224" s="19" t="str">
        <f>IF(PAE220 = "", "", IFERROR(PAE220 / SUMIFS(Aux_Totales!$N:$N, Aux_Totales!$F:$F, $F224, Aux_Totales!$A:$A,#REF!), 0))</f>
        <v/>
      </c>
      <c r="PAF224" s="19" t="str">
        <f>IF(PAF220 = "", "", IFERROR(PAF220 / SUMIFS(Aux_Totales!$N:$N, Aux_Totales!$F:$F, $F224, Aux_Totales!$A:$A,#REF!), 0))</f>
        <v/>
      </c>
      <c r="PAG224" s="19" t="str">
        <f>IF(PAG220 = "", "", IFERROR(PAG220 / SUMIFS(Aux_Totales!$N:$N, Aux_Totales!$F:$F, $F224, Aux_Totales!$A:$A,#REF!), 0))</f>
        <v/>
      </c>
      <c r="PAH224" s="19" t="str">
        <f>IF(PAH220 = "", "", IFERROR(PAH220 / SUMIFS(Aux_Totales!$N:$N, Aux_Totales!$F:$F, $F224, Aux_Totales!$A:$A,#REF!), 0))</f>
        <v/>
      </c>
      <c r="PAI224" s="19" t="str">
        <f>IF(PAI220 = "", "", IFERROR(PAI220 / SUMIFS(Aux_Totales!$N:$N, Aux_Totales!$F:$F, $F224, Aux_Totales!$A:$A,#REF!), 0))</f>
        <v/>
      </c>
      <c r="PAJ224" s="19" t="str">
        <f>IF(PAJ220 = "", "", IFERROR(PAJ220 / SUMIFS(Aux_Totales!$N:$N, Aux_Totales!$F:$F, $F224, Aux_Totales!$A:$A,#REF!), 0))</f>
        <v/>
      </c>
      <c r="PAK224" s="19" t="str">
        <f>IF(PAK220 = "", "", IFERROR(PAK220 / SUMIFS(Aux_Totales!$N:$N, Aux_Totales!$F:$F, $F224, Aux_Totales!$A:$A,#REF!), 0))</f>
        <v/>
      </c>
      <c r="PAL224" s="19" t="str">
        <f>IF(PAL220 = "", "", IFERROR(PAL220 / SUMIFS(Aux_Totales!$N:$N, Aux_Totales!$F:$F, $F224, Aux_Totales!$A:$A,#REF!), 0))</f>
        <v/>
      </c>
      <c r="PAM224" s="19" t="str">
        <f>IF(PAM220 = "", "", IFERROR(PAM220 / SUMIFS(Aux_Totales!$N:$N, Aux_Totales!$F:$F, $F224, Aux_Totales!$A:$A,#REF!), 0))</f>
        <v/>
      </c>
      <c r="PAN224" s="19" t="str">
        <f>IF(PAN220 = "", "", IFERROR(PAN220 / SUMIFS(Aux_Totales!$N:$N, Aux_Totales!$F:$F, $F224, Aux_Totales!$A:$A,#REF!), 0))</f>
        <v/>
      </c>
      <c r="PAO224" s="19" t="str">
        <f>IF(PAO220 = "", "", IFERROR(PAO220 / SUMIFS(Aux_Totales!$N:$N, Aux_Totales!$F:$F, $F224, Aux_Totales!$A:$A,#REF!), 0))</f>
        <v/>
      </c>
      <c r="PAP224" s="19" t="str">
        <f>IF(PAP220 = "", "", IFERROR(PAP220 / SUMIFS(Aux_Totales!$N:$N, Aux_Totales!$F:$F, $F224, Aux_Totales!$A:$A,#REF!), 0))</f>
        <v/>
      </c>
      <c r="PAQ224" s="19" t="str">
        <f>IF(PAQ220 = "", "", IFERROR(PAQ220 / SUMIFS(Aux_Totales!$N:$N, Aux_Totales!$F:$F, $F224, Aux_Totales!$A:$A,#REF!), 0))</f>
        <v/>
      </c>
      <c r="PAR224" s="19" t="str">
        <f>IF(PAR220 = "", "", IFERROR(PAR220 / SUMIFS(Aux_Totales!$N:$N, Aux_Totales!$F:$F, $F224, Aux_Totales!$A:$A,#REF!), 0))</f>
        <v/>
      </c>
      <c r="PAS224" s="19" t="str">
        <f>IF(PAS220 = "", "", IFERROR(PAS220 / SUMIFS(Aux_Totales!$N:$N, Aux_Totales!$F:$F, $F224, Aux_Totales!$A:$A,#REF!), 0))</f>
        <v/>
      </c>
      <c r="PAT224" s="19" t="str">
        <f>IF(PAT220 = "", "", IFERROR(PAT220 / SUMIFS(Aux_Totales!$N:$N, Aux_Totales!$F:$F, $F224, Aux_Totales!$A:$A,#REF!), 0))</f>
        <v/>
      </c>
      <c r="PAU224" s="19" t="str">
        <f>IF(PAU220 = "", "", IFERROR(PAU220 / SUMIFS(Aux_Totales!$N:$N, Aux_Totales!$F:$F, $F224, Aux_Totales!$A:$A,#REF!), 0))</f>
        <v/>
      </c>
      <c r="PAV224" s="19" t="str">
        <f>IF(PAV220 = "", "", IFERROR(PAV220 / SUMIFS(Aux_Totales!$N:$N, Aux_Totales!$F:$F, $F224, Aux_Totales!$A:$A,#REF!), 0))</f>
        <v/>
      </c>
      <c r="PAW224" s="19" t="str">
        <f>IF(PAW220 = "", "", IFERROR(PAW220 / SUMIFS(Aux_Totales!$N:$N, Aux_Totales!$F:$F, $F224, Aux_Totales!$A:$A,#REF!), 0))</f>
        <v/>
      </c>
      <c r="PAX224" s="19" t="str">
        <f>IF(PAX220 = "", "", IFERROR(PAX220 / SUMIFS(Aux_Totales!$N:$N, Aux_Totales!$F:$F, $F224, Aux_Totales!$A:$A,#REF!), 0))</f>
        <v/>
      </c>
      <c r="PAY224" s="19" t="str">
        <f>IF(PAY220 = "", "", IFERROR(PAY220 / SUMIFS(Aux_Totales!$N:$N, Aux_Totales!$F:$F, $F224, Aux_Totales!$A:$A,#REF!), 0))</f>
        <v/>
      </c>
      <c r="PAZ224" s="19" t="str">
        <f>IF(PAZ220 = "", "", IFERROR(PAZ220 / SUMIFS(Aux_Totales!$N:$N, Aux_Totales!$F:$F, $F224, Aux_Totales!$A:$A,#REF!), 0))</f>
        <v/>
      </c>
      <c r="PBA224" s="19" t="str">
        <f>IF(PBA220 = "", "", IFERROR(PBA220 / SUMIFS(Aux_Totales!$N:$N, Aux_Totales!$F:$F, $F224, Aux_Totales!$A:$A,#REF!), 0))</f>
        <v/>
      </c>
      <c r="PBB224" s="19" t="str">
        <f>IF(PBB220 = "", "", IFERROR(PBB220 / SUMIFS(Aux_Totales!$N:$N, Aux_Totales!$F:$F, $F224, Aux_Totales!$A:$A,#REF!), 0))</f>
        <v/>
      </c>
      <c r="PBC224" s="19" t="str">
        <f>IF(PBC220 = "", "", IFERROR(PBC220 / SUMIFS(Aux_Totales!$N:$N, Aux_Totales!$F:$F, $F224, Aux_Totales!$A:$A,#REF!), 0))</f>
        <v/>
      </c>
      <c r="PBD224" s="19" t="str">
        <f>IF(PBD220 = "", "", IFERROR(PBD220 / SUMIFS(Aux_Totales!$N:$N, Aux_Totales!$F:$F, $F224, Aux_Totales!$A:$A,#REF!), 0))</f>
        <v/>
      </c>
      <c r="PBE224" s="19" t="str">
        <f>IF(PBE220 = "", "", IFERROR(PBE220 / SUMIFS(Aux_Totales!$N:$N, Aux_Totales!$F:$F, $F224, Aux_Totales!$A:$A,#REF!), 0))</f>
        <v/>
      </c>
      <c r="PBF224" s="19" t="str">
        <f>IF(PBF220 = "", "", IFERROR(PBF220 / SUMIFS(Aux_Totales!$N:$N, Aux_Totales!$F:$F, $F224, Aux_Totales!$A:$A,#REF!), 0))</f>
        <v/>
      </c>
      <c r="PBG224" s="19" t="str">
        <f>IF(PBG220 = "", "", IFERROR(PBG220 / SUMIFS(Aux_Totales!$N:$N, Aux_Totales!$F:$F, $F224, Aux_Totales!$A:$A,#REF!), 0))</f>
        <v/>
      </c>
      <c r="PBH224" s="19" t="str">
        <f>IF(PBH220 = "", "", IFERROR(PBH220 / SUMIFS(Aux_Totales!$N:$N, Aux_Totales!$F:$F, $F224, Aux_Totales!$A:$A,#REF!), 0))</f>
        <v/>
      </c>
      <c r="PBI224" s="19" t="str">
        <f>IF(PBI220 = "", "", IFERROR(PBI220 / SUMIFS(Aux_Totales!$N:$N, Aux_Totales!$F:$F, $F224, Aux_Totales!$A:$A,#REF!), 0))</f>
        <v/>
      </c>
      <c r="PBJ224" s="19" t="str">
        <f>IF(PBJ220 = "", "", IFERROR(PBJ220 / SUMIFS(Aux_Totales!$N:$N, Aux_Totales!$F:$F, $F224, Aux_Totales!$A:$A,#REF!), 0))</f>
        <v/>
      </c>
      <c r="PBK224" s="19" t="str">
        <f>IF(PBK220 = "", "", IFERROR(PBK220 / SUMIFS(Aux_Totales!$N:$N, Aux_Totales!$F:$F, $F224, Aux_Totales!$A:$A,#REF!), 0))</f>
        <v/>
      </c>
      <c r="PBL224" s="19" t="str">
        <f>IF(PBL220 = "", "", IFERROR(PBL220 / SUMIFS(Aux_Totales!$N:$N, Aux_Totales!$F:$F, $F224, Aux_Totales!$A:$A,#REF!), 0))</f>
        <v/>
      </c>
      <c r="PBM224" s="19" t="str">
        <f>IF(PBM220 = "", "", IFERROR(PBM220 / SUMIFS(Aux_Totales!$N:$N, Aux_Totales!$F:$F, $F224, Aux_Totales!$A:$A,#REF!), 0))</f>
        <v/>
      </c>
      <c r="PBN224" s="19" t="str">
        <f>IF(PBN220 = "", "", IFERROR(PBN220 / SUMIFS(Aux_Totales!$N:$N, Aux_Totales!$F:$F, $F224, Aux_Totales!$A:$A,#REF!), 0))</f>
        <v/>
      </c>
      <c r="PBO224" s="19" t="str">
        <f>IF(PBO220 = "", "", IFERROR(PBO220 / SUMIFS(Aux_Totales!$N:$N, Aux_Totales!$F:$F, $F224, Aux_Totales!$A:$A,#REF!), 0))</f>
        <v/>
      </c>
      <c r="PBP224" s="19" t="str">
        <f>IF(PBP220 = "", "", IFERROR(PBP220 / SUMIFS(Aux_Totales!$N:$N, Aux_Totales!$F:$F, $F224, Aux_Totales!$A:$A,#REF!), 0))</f>
        <v/>
      </c>
      <c r="PBQ224" s="19" t="str">
        <f>IF(PBQ220 = "", "", IFERROR(PBQ220 / SUMIFS(Aux_Totales!$N:$N, Aux_Totales!$F:$F, $F224, Aux_Totales!$A:$A,#REF!), 0))</f>
        <v/>
      </c>
      <c r="PBR224" s="19" t="str">
        <f>IF(PBR220 = "", "", IFERROR(PBR220 / SUMIFS(Aux_Totales!$N:$N, Aux_Totales!$F:$F, $F224, Aux_Totales!$A:$A,#REF!), 0))</f>
        <v/>
      </c>
      <c r="PBS224" s="19" t="str">
        <f>IF(PBS220 = "", "", IFERROR(PBS220 / SUMIFS(Aux_Totales!$N:$N, Aux_Totales!$F:$F, $F224, Aux_Totales!$A:$A,#REF!), 0))</f>
        <v/>
      </c>
      <c r="PBT224" s="19" t="str">
        <f>IF(PBT220 = "", "", IFERROR(PBT220 / SUMIFS(Aux_Totales!$N:$N, Aux_Totales!$F:$F, $F224, Aux_Totales!$A:$A,#REF!), 0))</f>
        <v/>
      </c>
      <c r="PBU224" s="19" t="str">
        <f>IF(PBU220 = "", "", IFERROR(PBU220 / SUMIFS(Aux_Totales!$N:$N, Aux_Totales!$F:$F, $F224, Aux_Totales!$A:$A,#REF!), 0))</f>
        <v/>
      </c>
      <c r="PBV224" s="19" t="str">
        <f>IF(PBV220 = "", "", IFERROR(PBV220 / SUMIFS(Aux_Totales!$N:$N, Aux_Totales!$F:$F, $F224, Aux_Totales!$A:$A,#REF!), 0))</f>
        <v/>
      </c>
      <c r="PBW224" s="19" t="str">
        <f>IF(PBW220 = "", "", IFERROR(PBW220 / SUMIFS(Aux_Totales!$N:$N, Aux_Totales!$F:$F, $F224, Aux_Totales!$A:$A,#REF!), 0))</f>
        <v/>
      </c>
      <c r="PBX224" s="19" t="str">
        <f>IF(PBX220 = "", "", IFERROR(PBX220 / SUMIFS(Aux_Totales!$N:$N, Aux_Totales!$F:$F, $F224, Aux_Totales!$A:$A,#REF!), 0))</f>
        <v/>
      </c>
      <c r="PBY224" s="19" t="str">
        <f>IF(PBY220 = "", "", IFERROR(PBY220 / SUMIFS(Aux_Totales!$N:$N, Aux_Totales!$F:$F, $F224, Aux_Totales!$A:$A,#REF!), 0))</f>
        <v/>
      </c>
      <c r="PBZ224" s="19" t="str">
        <f>IF(PBZ220 = "", "", IFERROR(PBZ220 / SUMIFS(Aux_Totales!$N:$N, Aux_Totales!$F:$F, $F224, Aux_Totales!$A:$A,#REF!), 0))</f>
        <v/>
      </c>
      <c r="PCA224" s="19" t="str">
        <f>IF(PCA220 = "", "", IFERROR(PCA220 / SUMIFS(Aux_Totales!$N:$N, Aux_Totales!$F:$F, $F224, Aux_Totales!$A:$A,#REF!), 0))</f>
        <v/>
      </c>
      <c r="PCB224" s="19" t="str">
        <f>IF(PCB220 = "", "", IFERROR(PCB220 / SUMIFS(Aux_Totales!$N:$N, Aux_Totales!$F:$F, $F224, Aux_Totales!$A:$A,#REF!), 0))</f>
        <v/>
      </c>
      <c r="PCC224" s="19" t="str">
        <f>IF(PCC220 = "", "", IFERROR(PCC220 / SUMIFS(Aux_Totales!$N:$N, Aux_Totales!$F:$F, $F224, Aux_Totales!$A:$A,#REF!), 0))</f>
        <v/>
      </c>
      <c r="PCD224" s="19" t="str">
        <f>IF(PCD220 = "", "", IFERROR(PCD220 / SUMIFS(Aux_Totales!$N:$N, Aux_Totales!$F:$F, $F224, Aux_Totales!$A:$A,#REF!), 0))</f>
        <v/>
      </c>
      <c r="PCE224" s="19" t="str">
        <f>IF(PCE220 = "", "", IFERROR(PCE220 / SUMIFS(Aux_Totales!$N:$N, Aux_Totales!$F:$F, $F224, Aux_Totales!$A:$A,#REF!), 0))</f>
        <v/>
      </c>
      <c r="PCF224" s="19" t="str">
        <f>IF(PCF220 = "", "", IFERROR(PCF220 / SUMIFS(Aux_Totales!$N:$N, Aux_Totales!$F:$F, $F224, Aux_Totales!$A:$A,#REF!), 0))</f>
        <v/>
      </c>
      <c r="PCG224" s="19" t="str">
        <f>IF(PCG220 = "", "", IFERROR(PCG220 / SUMIFS(Aux_Totales!$N:$N, Aux_Totales!$F:$F, $F224, Aux_Totales!$A:$A,#REF!), 0))</f>
        <v/>
      </c>
      <c r="PCH224" s="19" t="str">
        <f>IF(PCH220 = "", "", IFERROR(PCH220 / SUMIFS(Aux_Totales!$N:$N, Aux_Totales!$F:$F, $F224, Aux_Totales!$A:$A,#REF!), 0))</f>
        <v/>
      </c>
      <c r="PCI224" s="19" t="str">
        <f>IF(PCI220 = "", "", IFERROR(PCI220 / SUMIFS(Aux_Totales!$N:$N, Aux_Totales!$F:$F, $F224, Aux_Totales!$A:$A,#REF!), 0))</f>
        <v/>
      </c>
      <c r="PCJ224" s="19" t="str">
        <f>IF(PCJ220 = "", "", IFERROR(PCJ220 / SUMIFS(Aux_Totales!$N:$N, Aux_Totales!$F:$F, $F224, Aux_Totales!$A:$A,#REF!), 0))</f>
        <v/>
      </c>
      <c r="PCK224" s="19" t="str">
        <f>IF(PCK220 = "", "", IFERROR(PCK220 / SUMIFS(Aux_Totales!$N:$N, Aux_Totales!$F:$F, $F224, Aux_Totales!$A:$A,#REF!), 0))</f>
        <v/>
      </c>
      <c r="PCL224" s="19" t="str">
        <f>IF(PCL220 = "", "", IFERROR(PCL220 / SUMIFS(Aux_Totales!$N:$N, Aux_Totales!$F:$F, $F224, Aux_Totales!$A:$A,#REF!), 0))</f>
        <v/>
      </c>
      <c r="PCM224" s="19" t="str">
        <f>IF(PCM220 = "", "", IFERROR(PCM220 / SUMIFS(Aux_Totales!$N:$N, Aux_Totales!$F:$F, $F224, Aux_Totales!$A:$A,#REF!), 0))</f>
        <v/>
      </c>
      <c r="PCN224" s="19" t="str">
        <f>IF(PCN220 = "", "", IFERROR(PCN220 / SUMIFS(Aux_Totales!$N:$N, Aux_Totales!$F:$F, $F224, Aux_Totales!$A:$A,#REF!), 0))</f>
        <v/>
      </c>
      <c r="PCO224" s="19" t="str">
        <f>IF(PCO220 = "", "", IFERROR(PCO220 / SUMIFS(Aux_Totales!$N:$N, Aux_Totales!$F:$F, $F224, Aux_Totales!$A:$A,#REF!), 0))</f>
        <v/>
      </c>
      <c r="PCP224" s="19" t="str">
        <f>IF(PCP220 = "", "", IFERROR(PCP220 / SUMIFS(Aux_Totales!$N:$N, Aux_Totales!$F:$F, $F224, Aux_Totales!$A:$A,#REF!), 0))</f>
        <v/>
      </c>
      <c r="PCQ224" s="19" t="str">
        <f>IF(PCQ220 = "", "", IFERROR(PCQ220 / SUMIFS(Aux_Totales!$N:$N, Aux_Totales!$F:$F, $F224, Aux_Totales!$A:$A,#REF!), 0))</f>
        <v/>
      </c>
      <c r="PCR224" s="19" t="str">
        <f>IF(PCR220 = "", "", IFERROR(PCR220 / SUMIFS(Aux_Totales!$N:$N, Aux_Totales!$F:$F, $F224, Aux_Totales!$A:$A,#REF!), 0))</f>
        <v/>
      </c>
      <c r="PCS224" s="19" t="str">
        <f>IF(PCS220 = "", "", IFERROR(PCS220 / SUMIFS(Aux_Totales!$N:$N, Aux_Totales!$F:$F, $F224, Aux_Totales!$A:$A,#REF!), 0))</f>
        <v/>
      </c>
      <c r="PCT224" s="19" t="str">
        <f>IF(PCT220 = "", "", IFERROR(PCT220 / SUMIFS(Aux_Totales!$N:$N, Aux_Totales!$F:$F, $F224, Aux_Totales!$A:$A,#REF!), 0))</f>
        <v/>
      </c>
      <c r="PCU224" s="19" t="str">
        <f>IF(PCU220 = "", "", IFERROR(PCU220 / SUMIFS(Aux_Totales!$N:$N, Aux_Totales!$F:$F, $F224, Aux_Totales!$A:$A,#REF!), 0))</f>
        <v/>
      </c>
      <c r="PCV224" s="19" t="str">
        <f>IF(PCV220 = "", "", IFERROR(PCV220 / SUMIFS(Aux_Totales!$N:$N, Aux_Totales!$F:$F, $F224, Aux_Totales!$A:$A,#REF!), 0))</f>
        <v/>
      </c>
      <c r="PCW224" s="19" t="str">
        <f>IF(PCW220 = "", "", IFERROR(PCW220 / SUMIFS(Aux_Totales!$N:$N, Aux_Totales!$F:$F, $F224, Aux_Totales!$A:$A,#REF!), 0))</f>
        <v/>
      </c>
      <c r="PCX224" s="19" t="str">
        <f>IF(PCX220 = "", "", IFERROR(PCX220 / SUMIFS(Aux_Totales!$N:$N, Aux_Totales!$F:$F, $F224, Aux_Totales!$A:$A,#REF!), 0))</f>
        <v/>
      </c>
      <c r="PCY224" s="19" t="str">
        <f>IF(PCY220 = "", "", IFERROR(PCY220 / SUMIFS(Aux_Totales!$N:$N, Aux_Totales!$F:$F, $F224, Aux_Totales!$A:$A,#REF!), 0))</f>
        <v/>
      </c>
      <c r="PCZ224" s="19" t="str">
        <f>IF(PCZ220 = "", "", IFERROR(PCZ220 / SUMIFS(Aux_Totales!$N:$N, Aux_Totales!$F:$F, $F224, Aux_Totales!$A:$A,#REF!), 0))</f>
        <v/>
      </c>
      <c r="PDA224" s="19" t="str">
        <f>IF(PDA220 = "", "", IFERROR(PDA220 / SUMIFS(Aux_Totales!$N:$N, Aux_Totales!$F:$F, $F224, Aux_Totales!$A:$A,#REF!), 0))</f>
        <v/>
      </c>
      <c r="PDB224" s="19" t="str">
        <f>IF(PDB220 = "", "", IFERROR(PDB220 / SUMIFS(Aux_Totales!$N:$N, Aux_Totales!$F:$F, $F224, Aux_Totales!$A:$A,#REF!), 0))</f>
        <v/>
      </c>
      <c r="PDC224" s="19" t="str">
        <f>IF(PDC220 = "", "", IFERROR(PDC220 / SUMIFS(Aux_Totales!$N:$N, Aux_Totales!$F:$F, $F224, Aux_Totales!$A:$A,#REF!), 0))</f>
        <v/>
      </c>
      <c r="PDD224" s="19" t="str">
        <f>IF(PDD220 = "", "", IFERROR(PDD220 / SUMIFS(Aux_Totales!$N:$N, Aux_Totales!$F:$F, $F224, Aux_Totales!$A:$A,#REF!), 0))</f>
        <v/>
      </c>
      <c r="PDE224" s="19" t="str">
        <f>IF(PDE220 = "", "", IFERROR(PDE220 / SUMIFS(Aux_Totales!$N:$N, Aux_Totales!$F:$F, $F224, Aux_Totales!$A:$A,#REF!), 0))</f>
        <v/>
      </c>
      <c r="PDF224" s="19" t="str">
        <f>IF(PDF220 = "", "", IFERROR(PDF220 / SUMIFS(Aux_Totales!$N:$N, Aux_Totales!$F:$F, $F224, Aux_Totales!$A:$A,#REF!), 0))</f>
        <v/>
      </c>
      <c r="PDG224" s="19" t="str">
        <f>IF(PDG220 = "", "", IFERROR(PDG220 / SUMIFS(Aux_Totales!$N:$N, Aux_Totales!$F:$F, $F224, Aux_Totales!$A:$A,#REF!), 0))</f>
        <v/>
      </c>
      <c r="PDH224" s="19" t="str">
        <f>IF(PDH220 = "", "", IFERROR(PDH220 / SUMIFS(Aux_Totales!$N:$N, Aux_Totales!$F:$F, $F224, Aux_Totales!$A:$A,#REF!), 0))</f>
        <v/>
      </c>
      <c r="PDI224" s="19" t="str">
        <f>IF(PDI220 = "", "", IFERROR(PDI220 / SUMIFS(Aux_Totales!$N:$N, Aux_Totales!$F:$F, $F224, Aux_Totales!$A:$A,#REF!), 0))</f>
        <v/>
      </c>
      <c r="PDJ224" s="19" t="str">
        <f>IF(PDJ220 = "", "", IFERROR(PDJ220 / SUMIFS(Aux_Totales!$N:$N, Aux_Totales!$F:$F, $F224, Aux_Totales!$A:$A,#REF!), 0))</f>
        <v/>
      </c>
      <c r="PDK224" s="19" t="str">
        <f>IF(PDK220 = "", "", IFERROR(PDK220 / SUMIFS(Aux_Totales!$N:$N, Aux_Totales!$F:$F, $F224, Aux_Totales!$A:$A,#REF!), 0))</f>
        <v/>
      </c>
      <c r="PDL224" s="19" t="str">
        <f>IF(PDL220 = "", "", IFERROR(PDL220 / SUMIFS(Aux_Totales!$N:$N, Aux_Totales!$F:$F, $F224, Aux_Totales!$A:$A,#REF!), 0))</f>
        <v/>
      </c>
      <c r="PDM224" s="19" t="str">
        <f>IF(PDM220 = "", "", IFERROR(PDM220 / SUMIFS(Aux_Totales!$N:$N, Aux_Totales!$F:$F, $F224, Aux_Totales!$A:$A,#REF!), 0))</f>
        <v/>
      </c>
      <c r="PDN224" s="19" t="str">
        <f>IF(PDN220 = "", "", IFERROR(PDN220 / SUMIFS(Aux_Totales!$N:$N, Aux_Totales!$F:$F, $F224, Aux_Totales!$A:$A,#REF!), 0))</f>
        <v/>
      </c>
      <c r="PDO224" s="19" t="str">
        <f>IF(PDO220 = "", "", IFERROR(PDO220 / SUMIFS(Aux_Totales!$N:$N, Aux_Totales!$F:$F, $F224, Aux_Totales!$A:$A,#REF!), 0))</f>
        <v/>
      </c>
      <c r="PDP224" s="19" t="str">
        <f>IF(PDP220 = "", "", IFERROR(PDP220 / SUMIFS(Aux_Totales!$N:$N, Aux_Totales!$F:$F, $F224, Aux_Totales!$A:$A,#REF!), 0))</f>
        <v/>
      </c>
      <c r="PDQ224" s="19" t="str">
        <f>IF(PDQ220 = "", "", IFERROR(PDQ220 / SUMIFS(Aux_Totales!$N:$N, Aux_Totales!$F:$F, $F224, Aux_Totales!$A:$A,#REF!), 0))</f>
        <v/>
      </c>
      <c r="PDR224" s="19" t="str">
        <f>IF(PDR220 = "", "", IFERROR(PDR220 / SUMIFS(Aux_Totales!$N:$N, Aux_Totales!$F:$F, $F224, Aux_Totales!$A:$A,#REF!), 0))</f>
        <v/>
      </c>
      <c r="PDS224" s="19" t="str">
        <f>IF(PDS220 = "", "", IFERROR(PDS220 / SUMIFS(Aux_Totales!$N:$N, Aux_Totales!$F:$F, $F224, Aux_Totales!$A:$A,#REF!), 0))</f>
        <v/>
      </c>
      <c r="PDT224" s="19" t="str">
        <f>IF(PDT220 = "", "", IFERROR(PDT220 / SUMIFS(Aux_Totales!$N:$N, Aux_Totales!$F:$F, $F224, Aux_Totales!$A:$A,#REF!), 0))</f>
        <v/>
      </c>
      <c r="PDU224" s="19" t="str">
        <f>IF(PDU220 = "", "", IFERROR(PDU220 / SUMIFS(Aux_Totales!$N:$N, Aux_Totales!$F:$F, $F224, Aux_Totales!$A:$A,#REF!), 0))</f>
        <v/>
      </c>
      <c r="PDV224" s="19" t="str">
        <f>IF(PDV220 = "", "", IFERROR(PDV220 / SUMIFS(Aux_Totales!$N:$N, Aux_Totales!$F:$F, $F224, Aux_Totales!$A:$A,#REF!), 0))</f>
        <v/>
      </c>
      <c r="PDW224" s="19" t="str">
        <f>IF(PDW220 = "", "", IFERROR(PDW220 / SUMIFS(Aux_Totales!$N:$N, Aux_Totales!$F:$F, $F224, Aux_Totales!$A:$A,#REF!), 0))</f>
        <v/>
      </c>
      <c r="PDX224" s="19" t="str">
        <f>IF(PDX220 = "", "", IFERROR(PDX220 / SUMIFS(Aux_Totales!$N:$N, Aux_Totales!$F:$F, $F224, Aux_Totales!$A:$A,#REF!), 0))</f>
        <v/>
      </c>
      <c r="PDY224" s="19" t="str">
        <f>IF(PDY220 = "", "", IFERROR(PDY220 / SUMIFS(Aux_Totales!$N:$N, Aux_Totales!$F:$F, $F224, Aux_Totales!$A:$A,#REF!), 0))</f>
        <v/>
      </c>
      <c r="PDZ224" s="19" t="str">
        <f>IF(PDZ220 = "", "", IFERROR(PDZ220 / SUMIFS(Aux_Totales!$N:$N, Aux_Totales!$F:$F, $F224, Aux_Totales!$A:$A,#REF!), 0))</f>
        <v/>
      </c>
      <c r="PEA224" s="19" t="str">
        <f>IF(PEA220 = "", "", IFERROR(PEA220 / SUMIFS(Aux_Totales!$N:$N, Aux_Totales!$F:$F, $F224, Aux_Totales!$A:$A,#REF!), 0))</f>
        <v/>
      </c>
      <c r="PEB224" s="19" t="str">
        <f>IF(PEB220 = "", "", IFERROR(PEB220 / SUMIFS(Aux_Totales!$N:$N, Aux_Totales!$F:$F, $F224, Aux_Totales!$A:$A,#REF!), 0))</f>
        <v/>
      </c>
      <c r="PEC224" s="19" t="str">
        <f>IF(PEC220 = "", "", IFERROR(PEC220 / SUMIFS(Aux_Totales!$N:$N, Aux_Totales!$F:$F, $F224, Aux_Totales!$A:$A,#REF!), 0))</f>
        <v/>
      </c>
      <c r="PED224" s="19" t="str">
        <f>IF(PED220 = "", "", IFERROR(PED220 / SUMIFS(Aux_Totales!$N:$N, Aux_Totales!$F:$F, $F224, Aux_Totales!$A:$A,#REF!), 0))</f>
        <v/>
      </c>
      <c r="PEE224" s="19" t="str">
        <f>IF(PEE220 = "", "", IFERROR(PEE220 / SUMIFS(Aux_Totales!$N:$N, Aux_Totales!$F:$F, $F224, Aux_Totales!$A:$A,#REF!), 0))</f>
        <v/>
      </c>
      <c r="PEF224" s="19" t="str">
        <f>IF(PEF220 = "", "", IFERROR(PEF220 / SUMIFS(Aux_Totales!$N:$N, Aux_Totales!$F:$F, $F224, Aux_Totales!$A:$A,#REF!), 0))</f>
        <v/>
      </c>
      <c r="PEG224" s="19" t="str">
        <f>IF(PEG220 = "", "", IFERROR(PEG220 / SUMIFS(Aux_Totales!$N:$N, Aux_Totales!$F:$F, $F224, Aux_Totales!$A:$A,#REF!), 0))</f>
        <v/>
      </c>
      <c r="PEH224" s="19" t="str">
        <f>IF(PEH220 = "", "", IFERROR(PEH220 / SUMIFS(Aux_Totales!$N:$N, Aux_Totales!$F:$F, $F224, Aux_Totales!$A:$A,#REF!), 0))</f>
        <v/>
      </c>
      <c r="PEI224" s="19" t="str">
        <f>IF(PEI220 = "", "", IFERROR(PEI220 / SUMIFS(Aux_Totales!$N:$N, Aux_Totales!$F:$F, $F224, Aux_Totales!$A:$A,#REF!), 0))</f>
        <v/>
      </c>
      <c r="PEJ224" s="19" t="str">
        <f>IF(PEJ220 = "", "", IFERROR(PEJ220 / SUMIFS(Aux_Totales!$N:$N, Aux_Totales!$F:$F, $F224, Aux_Totales!$A:$A,#REF!), 0))</f>
        <v/>
      </c>
      <c r="PEK224" s="19" t="str">
        <f>IF(PEK220 = "", "", IFERROR(PEK220 / SUMIFS(Aux_Totales!$N:$N, Aux_Totales!$F:$F, $F224, Aux_Totales!$A:$A,#REF!), 0))</f>
        <v/>
      </c>
      <c r="PEL224" s="19" t="str">
        <f>IF(PEL220 = "", "", IFERROR(PEL220 / SUMIFS(Aux_Totales!$N:$N, Aux_Totales!$F:$F, $F224, Aux_Totales!$A:$A,#REF!), 0))</f>
        <v/>
      </c>
      <c r="PEM224" s="19" t="str">
        <f>IF(PEM220 = "", "", IFERROR(PEM220 / SUMIFS(Aux_Totales!$N:$N, Aux_Totales!$F:$F, $F224, Aux_Totales!$A:$A,#REF!), 0))</f>
        <v/>
      </c>
      <c r="PEN224" s="19" t="str">
        <f>IF(PEN220 = "", "", IFERROR(PEN220 / SUMIFS(Aux_Totales!$N:$N, Aux_Totales!$F:$F, $F224, Aux_Totales!$A:$A,#REF!), 0))</f>
        <v/>
      </c>
      <c r="PEO224" s="19" t="str">
        <f>IF(PEO220 = "", "", IFERROR(PEO220 / SUMIFS(Aux_Totales!$N:$N, Aux_Totales!$F:$F, $F224, Aux_Totales!$A:$A,#REF!), 0))</f>
        <v/>
      </c>
      <c r="PEP224" s="19" t="str">
        <f>IF(PEP220 = "", "", IFERROR(PEP220 / SUMIFS(Aux_Totales!$N:$N, Aux_Totales!$F:$F, $F224, Aux_Totales!$A:$A,#REF!), 0))</f>
        <v/>
      </c>
      <c r="PEQ224" s="19" t="str">
        <f>IF(PEQ220 = "", "", IFERROR(PEQ220 / SUMIFS(Aux_Totales!$N:$N, Aux_Totales!$F:$F, $F224, Aux_Totales!$A:$A,#REF!), 0))</f>
        <v/>
      </c>
      <c r="PER224" s="19" t="str">
        <f>IF(PER220 = "", "", IFERROR(PER220 / SUMIFS(Aux_Totales!$N:$N, Aux_Totales!$F:$F, $F224, Aux_Totales!$A:$A,#REF!), 0))</f>
        <v/>
      </c>
      <c r="PES224" s="19" t="str">
        <f>IF(PES220 = "", "", IFERROR(PES220 / SUMIFS(Aux_Totales!$N:$N, Aux_Totales!$F:$F, $F224, Aux_Totales!$A:$A,#REF!), 0))</f>
        <v/>
      </c>
      <c r="PET224" s="19" t="str">
        <f>IF(PET220 = "", "", IFERROR(PET220 / SUMIFS(Aux_Totales!$N:$N, Aux_Totales!$F:$F, $F224, Aux_Totales!$A:$A,#REF!), 0))</f>
        <v/>
      </c>
      <c r="PEU224" s="19" t="str">
        <f>IF(PEU220 = "", "", IFERROR(PEU220 / SUMIFS(Aux_Totales!$N:$N, Aux_Totales!$F:$F, $F224, Aux_Totales!$A:$A,#REF!), 0))</f>
        <v/>
      </c>
      <c r="PEV224" s="19" t="str">
        <f>IF(PEV220 = "", "", IFERROR(PEV220 / SUMIFS(Aux_Totales!$N:$N, Aux_Totales!$F:$F, $F224, Aux_Totales!$A:$A,#REF!), 0))</f>
        <v/>
      </c>
      <c r="PEW224" s="19" t="str">
        <f>IF(PEW220 = "", "", IFERROR(PEW220 / SUMIFS(Aux_Totales!$N:$N, Aux_Totales!$F:$F, $F224, Aux_Totales!$A:$A,#REF!), 0))</f>
        <v/>
      </c>
      <c r="PEX224" s="19" t="str">
        <f>IF(PEX220 = "", "", IFERROR(PEX220 / SUMIFS(Aux_Totales!$N:$N, Aux_Totales!$F:$F, $F224, Aux_Totales!$A:$A,#REF!), 0))</f>
        <v/>
      </c>
      <c r="PEY224" s="19" t="str">
        <f>IF(PEY220 = "", "", IFERROR(PEY220 / SUMIFS(Aux_Totales!$N:$N, Aux_Totales!$F:$F, $F224, Aux_Totales!$A:$A,#REF!), 0))</f>
        <v/>
      </c>
      <c r="PEZ224" s="19" t="str">
        <f>IF(PEZ220 = "", "", IFERROR(PEZ220 / SUMIFS(Aux_Totales!$N:$N, Aux_Totales!$F:$F, $F224, Aux_Totales!$A:$A,#REF!), 0))</f>
        <v/>
      </c>
      <c r="PFA224" s="19" t="str">
        <f>IF(PFA220 = "", "", IFERROR(PFA220 / SUMIFS(Aux_Totales!$N:$N, Aux_Totales!$F:$F, $F224, Aux_Totales!$A:$A,#REF!), 0))</f>
        <v/>
      </c>
      <c r="PFB224" s="19" t="str">
        <f>IF(PFB220 = "", "", IFERROR(PFB220 / SUMIFS(Aux_Totales!$N:$N, Aux_Totales!$F:$F, $F224, Aux_Totales!$A:$A,#REF!), 0))</f>
        <v/>
      </c>
      <c r="PFC224" s="19" t="str">
        <f>IF(PFC220 = "", "", IFERROR(PFC220 / SUMIFS(Aux_Totales!$N:$N, Aux_Totales!$F:$F, $F224, Aux_Totales!$A:$A,#REF!), 0))</f>
        <v/>
      </c>
      <c r="PFD224" s="19" t="str">
        <f>IF(PFD220 = "", "", IFERROR(PFD220 / SUMIFS(Aux_Totales!$N:$N, Aux_Totales!$F:$F, $F224, Aux_Totales!$A:$A,#REF!), 0))</f>
        <v/>
      </c>
      <c r="PFE224" s="19" t="str">
        <f>IF(PFE220 = "", "", IFERROR(PFE220 / SUMIFS(Aux_Totales!$N:$N, Aux_Totales!$F:$F, $F224, Aux_Totales!$A:$A,#REF!), 0))</f>
        <v/>
      </c>
      <c r="PFF224" s="19" t="str">
        <f>IF(PFF220 = "", "", IFERROR(PFF220 / SUMIFS(Aux_Totales!$N:$N, Aux_Totales!$F:$F, $F224, Aux_Totales!$A:$A,#REF!), 0))</f>
        <v/>
      </c>
      <c r="PFG224" s="19" t="str">
        <f>IF(PFG220 = "", "", IFERROR(PFG220 / SUMIFS(Aux_Totales!$N:$N, Aux_Totales!$F:$F, $F224, Aux_Totales!$A:$A,#REF!), 0))</f>
        <v/>
      </c>
      <c r="PFH224" s="19" t="str">
        <f>IF(PFH220 = "", "", IFERROR(PFH220 / SUMIFS(Aux_Totales!$N:$N, Aux_Totales!$F:$F, $F224, Aux_Totales!$A:$A,#REF!), 0))</f>
        <v/>
      </c>
      <c r="PFI224" s="19" t="str">
        <f>IF(PFI220 = "", "", IFERROR(PFI220 / SUMIFS(Aux_Totales!$N:$N, Aux_Totales!$F:$F, $F224, Aux_Totales!$A:$A,#REF!), 0))</f>
        <v/>
      </c>
      <c r="PFJ224" s="19" t="str">
        <f>IF(PFJ220 = "", "", IFERROR(PFJ220 / SUMIFS(Aux_Totales!$N:$N, Aux_Totales!$F:$F, $F224, Aux_Totales!$A:$A,#REF!), 0))</f>
        <v/>
      </c>
      <c r="PFK224" s="19" t="str">
        <f>IF(PFK220 = "", "", IFERROR(PFK220 / SUMIFS(Aux_Totales!$N:$N, Aux_Totales!$F:$F, $F224, Aux_Totales!$A:$A,#REF!), 0))</f>
        <v/>
      </c>
      <c r="PFL224" s="19" t="str">
        <f>IF(PFL220 = "", "", IFERROR(PFL220 / SUMIFS(Aux_Totales!$N:$N, Aux_Totales!$F:$F, $F224, Aux_Totales!$A:$A,#REF!), 0))</f>
        <v/>
      </c>
      <c r="PFM224" s="19" t="str">
        <f>IF(PFM220 = "", "", IFERROR(PFM220 / SUMIFS(Aux_Totales!$N:$N, Aux_Totales!$F:$F, $F224, Aux_Totales!$A:$A,#REF!), 0))</f>
        <v/>
      </c>
      <c r="PFN224" s="19" t="str">
        <f>IF(PFN220 = "", "", IFERROR(PFN220 / SUMIFS(Aux_Totales!$N:$N, Aux_Totales!$F:$F, $F224, Aux_Totales!$A:$A,#REF!), 0))</f>
        <v/>
      </c>
      <c r="PFO224" s="19" t="str">
        <f>IF(PFO220 = "", "", IFERROR(PFO220 / SUMIFS(Aux_Totales!$N:$N, Aux_Totales!$F:$F, $F224, Aux_Totales!$A:$A,#REF!), 0))</f>
        <v/>
      </c>
      <c r="PFP224" s="19" t="str">
        <f>IF(PFP220 = "", "", IFERROR(PFP220 / SUMIFS(Aux_Totales!$N:$N, Aux_Totales!$F:$F, $F224, Aux_Totales!$A:$A,#REF!), 0))</f>
        <v/>
      </c>
      <c r="PFQ224" s="19" t="str">
        <f>IF(PFQ220 = "", "", IFERROR(PFQ220 / SUMIFS(Aux_Totales!$N:$N, Aux_Totales!$F:$F, $F224, Aux_Totales!$A:$A,#REF!), 0))</f>
        <v/>
      </c>
      <c r="PFR224" s="19" t="str">
        <f>IF(PFR220 = "", "", IFERROR(PFR220 / SUMIFS(Aux_Totales!$N:$N, Aux_Totales!$F:$F, $F224, Aux_Totales!$A:$A,#REF!), 0))</f>
        <v/>
      </c>
      <c r="PFS224" s="19" t="str">
        <f>IF(PFS220 = "", "", IFERROR(PFS220 / SUMIFS(Aux_Totales!$N:$N, Aux_Totales!$F:$F, $F224, Aux_Totales!$A:$A,#REF!), 0))</f>
        <v/>
      </c>
      <c r="PFT224" s="19" t="str">
        <f>IF(PFT220 = "", "", IFERROR(PFT220 / SUMIFS(Aux_Totales!$N:$N, Aux_Totales!$F:$F, $F224, Aux_Totales!$A:$A,#REF!), 0))</f>
        <v/>
      </c>
      <c r="PFU224" s="19" t="str">
        <f>IF(PFU220 = "", "", IFERROR(PFU220 / SUMIFS(Aux_Totales!$N:$N, Aux_Totales!$F:$F, $F224, Aux_Totales!$A:$A,#REF!), 0))</f>
        <v/>
      </c>
      <c r="PFV224" s="19" t="str">
        <f>IF(PFV220 = "", "", IFERROR(PFV220 / SUMIFS(Aux_Totales!$N:$N, Aux_Totales!$F:$F, $F224, Aux_Totales!$A:$A,#REF!), 0))</f>
        <v/>
      </c>
      <c r="PFW224" s="19" t="str">
        <f>IF(PFW220 = "", "", IFERROR(PFW220 / SUMIFS(Aux_Totales!$N:$N, Aux_Totales!$F:$F, $F224, Aux_Totales!$A:$A,#REF!), 0))</f>
        <v/>
      </c>
      <c r="PFX224" s="19" t="str">
        <f>IF(PFX220 = "", "", IFERROR(PFX220 / SUMIFS(Aux_Totales!$N:$N, Aux_Totales!$F:$F, $F224, Aux_Totales!$A:$A,#REF!), 0))</f>
        <v/>
      </c>
      <c r="PFY224" s="19" t="str">
        <f>IF(PFY220 = "", "", IFERROR(PFY220 / SUMIFS(Aux_Totales!$N:$N, Aux_Totales!$F:$F, $F224, Aux_Totales!$A:$A,#REF!), 0))</f>
        <v/>
      </c>
      <c r="PFZ224" s="19" t="str">
        <f>IF(PFZ220 = "", "", IFERROR(PFZ220 / SUMIFS(Aux_Totales!$N:$N, Aux_Totales!$F:$F, $F224, Aux_Totales!$A:$A,#REF!), 0))</f>
        <v/>
      </c>
      <c r="PGA224" s="19" t="str">
        <f>IF(PGA220 = "", "", IFERROR(PGA220 / SUMIFS(Aux_Totales!$N:$N, Aux_Totales!$F:$F, $F224, Aux_Totales!$A:$A,#REF!), 0))</f>
        <v/>
      </c>
      <c r="PGB224" s="19" t="str">
        <f>IF(PGB220 = "", "", IFERROR(PGB220 / SUMIFS(Aux_Totales!$N:$N, Aux_Totales!$F:$F, $F224, Aux_Totales!$A:$A,#REF!), 0))</f>
        <v/>
      </c>
      <c r="PGC224" s="19" t="str">
        <f>IF(PGC220 = "", "", IFERROR(PGC220 / SUMIFS(Aux_Totales!$N:$N, Aux_Totales!$F:$F, $F224, Aux_Totales!$A:$A,#REF!), 0))</f>
        <v/>
      </c>
      <c r="PGD224" s="19" t="str">
        <f>IF(PGD220 = "", "", IFERROR(PGD220 / SUMIFS(Aux_Totales!$N:$N, Aux_Totales!$F:$F, $F224, Aux_Totales!$A:$A,#REF!), 0))</f>
        <v/>
      </c>
      <c r="PGE224" s="19" t="str">
        <f>IF(PGE220 = "", "", IFERROR(PGE220 / SUMIFS(Aux_Totales!$N:$N, Aux_Totales!$F:$F, $F224, Aux_Totales!$A:$A,#REF!), 0))</f>
        <v/>
      </c>
      <c r="PGF224" s="19" t="str">
        <f>IF(PGF220 = "", "", IFERROR(PGF220 / SUMIFS(Aux_Totales!$N:$N, Aux_Totales!$F:$F, $F224, Aux_Totales!$A:$A,#REF!), 0))</f>
        <v/>
      </c>
      <c r="PGG224" s="19" t="str">
        <f>IF(PGG220 = "", "", IFERROR(PGG220 / SUMIFS(Aux_Totales!$N:$N, Aux_Totales!$F:$F, $F224, Aux_Totales!$A:$A,#REF!), 0))</f>
        <v/>
      </c>
      <c r="PGH224" s="19" t="str">
        <f>IF(PGH220 = "", "", IFERROR(PGH220 / SUMIFS(Aux_Totales!$N:$N, Aux_Totales!$F:$F, $F224, Aux_Totales!$A:$A,#REF!), 0))</f>
        <v/>
      </c>
      <c r="PGI224" s="19" t="str">
        <f>IF(PGI220 = "", "", IFERROR(PGI220 / SUMIFS(Aux_Totales!$N:$N, Aux_Totales!$F:$F, $F224, Aux_Totales!$A:$A,#REF!), 0))</f>
        <v/>
      </c>
      <c r="PGJ224" s="19" t="str">
        <f>IF(PGJ220 = "", "", IFERROR(PGJ220 / SUMIFS(Aux_Totales!$N:$N, Aux_Totales!$F:$F, $F224, Aux_Totales!$A:$A,#REF!), 0))</f>
        <v/>
      </c>
      <c r="PGK224" s="19" t="str">
        <f>IF(PGK220 = "", "", IFERROR(PGK220 / SUMIFS(Aux_Totales!$N:$N, Aux_Totales!$F:$F, $F224, Aux_Totales!$A:$A,#REF!), 0))</f>
        <v/>
      </c>
      <c r="PGL224" s="19" t="str">
        <f>IF(PGL220 = "", "", IFERROR(PGL220 / SUMIFS(Aux_Totales!$N:$N, Aux_Totales!$F:$F, $F224, Aux_Totales!$A:$A,#REF!), 0))</f>
        <v/>
      </c>
      <c r="PGM224" s="19" t="str">
        <f>IF(PGM220 = "", "", IFERROR(PGM220 / SUMIFS(Aux_Totales!$N:$N, Aux_Totales!$F:$F, $F224, Aux_Totales!$A:$A,#REF!), 0))</f>
        <v/>
      </c>
      <c r="PGN224" s="19" t="str">
        <f>IF(PGN220 = "", "", IFERROR(PGN220 / SUMIFS(Aux_Totales!$N:$N, Aux_Totales!$F:$F, $F224, Aux_Totales!$A:$A,#REF!), 0))</f>
        <v/>
      </c>
      <c r="PGO224" s="19" t="str">
        <f>IF(PGO220 = "", "", IFERROR(PGO220 / SUMIFS(Aux_Totales!$N:$N, Aux_Totales!$F:$F, $F224, Aux_Totales!$A:$A,#REF!), 0))</f>
        <v/>
      </c>
      <c r="PGP224" s="19" t="str">
        <f>IF(PGP220 = "", "", IFERROR(PGP220 / SUMIFS(Aux_Totales!$N:$N, Aux_Totales!$F:$F, $F224, Aux_Totales!$A:$A,#REF!), 0))</f>
        <v/>
      </c>
      <c r="PGQ224" s="19" t="str">
        <f>IF(PGQ220 = "", "", IFERROR(PGQ220 / SUMIFS(Aux_Totales!$N:$N, Aux_Totales!$F:$F, $F224, Aux_Totales!$A:$A,#REF!), 0))</f>
        <v/>
      </c>
      <c r="PGR224" s="19" t="str">
        <f>IF(PGR220 = "", "", IFERROR(PGR220 / SUMIFS(Aux_Totales!$N:$N, Aux_Totales!$F:$F, $F224, Aux_Totales!$A:$A,#REF!), 0))</f>
        <v/>
      </c>
      <c r="PGS224" s="19" t="str">
        <f>IF(PGS220 = "", "", IFERROR(PGS220 / SUMIFS(Aux_Totales!$N:$N, Aux_Totales!$F:$F, $F224, Aux_Totales!$A:$A,#REF!), 0))</f>
        <v/>
      </c>
      <c r="PGT224" s="19" t="str">
        <f>IF(PGT220 = "", "", IFERROR(PGT220 / SUMIFS(Aux_Totales!$N:$N, Aux_Totales!$F:$F, $F224, Aux_Totales!$A:$A,#REF!), 0))</f>
        <v/>
      </c>
      <c r="PGU224" s="19" t="str">
        <f>IF(PGU220 = "", "", IFERROR(PGU220 / SUMIFS(Aux_Totales!$N:$N, Aux_Totales!$F:$F, $F224, Aux_Totales!$A:$A,#REF!), 0))</f>
        <v/>
      </c>
      <c r="PGV224" s="19" t="str">
        <f>IF(PGV220 = "", "", IFERROR(PGV220 / SUMIFS(Aux_Totales!$N:$N, Aux_Totales!$F:$F, $F224, Aux_Totales!$A:$A,#REF!), 0))</f>
        <v/>
      </c>
      <c r="PGW224" s="19" t="str">
        <f>IF(PGW220 = "", "", IFERROR(PGW220 / SUMIFS(Aux_Totales!$N:$N, Aux_Totales!$F:$F, $F224, Aux_Totales!$A:$A,#REF!), 0))</f>
        <v/>
      </c>
      <c r="PGX224" s="19" t="str">
        <f>IF(PGX220 = "", "", IFERROR(PGX220 / SUMIFS(Aux_Totales!$N:$N, Aux_Totales!$F:$F, $F224, Aux_Totales!$A:$A,#REF!), 0))</f>
        <v/>
      </c>
      <c r="PGY224" s="19" t="str">
        <f>IF(PGY220 = "", "", IFERROR(PGY220 / SUMIFS(Aux_Totales!$N:$N, Aux_Totales!$F:$F, $F224, Aux_Totales!$A:$A,#REF!), 0))</f>
        <v/>
      </c>
      <c r="PGZ224" s="19" t="str">
        <f>IF(PGZ220 = "", "", IFERROR(PGZ220 / SUMIFS(Aux_Totales!$N:$N, Aux_Totales!$F:$F, $F224, Aux_Totales!$A:$A,#REF!), 0))</f>
        <v/>
      </c>
      <c r="PHA224" s="19" t="str">
        <f>IF(PHA220 = "", "", IFERROR(PHA220 / SUMIFS(Aux_Totales!$N:$N, Aux_Totales!$F:$F, $F224, Aux_Totales!$A:$A,#REF!), 0))</f>
        <v/>
      </c>
      <c r="PHB224" s="19" t="str">
        <f>IF(PHB220 = "", "", IFERROR(PHB220 / SUMIFS(Aux_Totales!$N:$N, Aux_Totales!$F:$F, $F224, Aux_Totales!$A:$A,#REF!), 0))</f>
        <v/>
      </c>
      <c r="PHC224" s="19" t="str">
        <f>IF(PHC220 = "", "", IFERROR(PHC220 / SUMIFS(Aux_Totales!$N:$N, Aux_Totales!$F:$F, $F224, Aux_Totales!$A:$A,#REF!), 0))</f>
        <v/>
      </c>
      <c r="PHD224" s="19" t="str">
        <f>IF(PHD220 = "", "", IFERROR(PHD220 / SUMIFS(Aux_Totales!$N:$N, Aux_Totales!$F:$F, $F224, Aux_Totales!$A:$A,#REF!), 0))</f>
        <v/>
      </c>
      <c r="PHE224" s="19" t="str">
        <f>IF(PHE220 = "", "", IFERROR(PHE220 / SUMIFS(Aux_Totales!$N:$N, Aux_Totales!$F:$F, $F224, Aux_Totales!$A:$A,#REF!), 0))</f>
        <v/>
      </c>
      <c r="PHF224" s="19" t="str">
        <f>IF(PHF220 = "", "", IFERROR(PHF220 / SUMIFS(Aux_Totales!$N:$N, Aux_Totales!$F:$F, $F224, Aux_Totales!$A:$A,#REF!), 0))</f>
        <v/>
      </c>
      <c r="PHG224" s="19" t="str">
        <f>IF(PHG220 = "", "", IFERROR(PHG220 / SUMIFS(Aux_Totales!$N:$N, Aux_Totales!$F:$F, $F224, Aux_Totales!$A:$A,#REF!), 0))</f>
        <v/>
      </c>
      <c r="PHH224" s="19" t="str">
        <f>IF(PHH220 = "", "", IFERROR(PHH220 / SUMIFS(Aux_Totales!$N:$N, Aux_Totales!$F:$F, $F224, Aux_Totales!$A:$A,#REF!), 0))</f>
        <v/>
      </c>
      <c r="PHI224" s="19" t="str">
        <f>IF(PHI220 = "", "", IFERROR(PHI220 / SUMIFS(Aux_Totales!$N:$N, Aux_Totales!$F:$F, $F224, Aux_Totales!$A:$A,#REF!), 0))</f>
        <v/>
      </c>
      <c r="PHJ224" s="19" t="str">
        <f>IF(PHJ220 = "", "", IFERROR(PHJ220 / SUMIFS(Aux_Totales!$N:$N, Aux_Totales!$F:$F, $F224, Aux_Totales!$A:$A,#REF!), 0))</f>
        <v/>
      </c>
      <c r="PHK224" s="19" t="str">
        <f>IF(PHK220 = "", "", IFERROR(PHK220 / SUMIFS(Aux_Totales!$N:$N, Aux_Totales!$F:$F, $F224, Aux_Totales!$A:$A,#REF!), 0))</f>
        <v/>
      </c>
      <c r="PHL224" s="19" t="str">
        <f>IF(PHL220 = "", "", IFERROR(PHL220 / SUMIFS(Aux_Totales!$N:$N, Aux_Totales!$F:$F, $F224, Aux_Totales!$A:$A,#REF!), 0))</f>
        <v/>
      </c>
      <c r="PHM224" s="19" t="str">
        <f>IF(PHM220 = "", "", IFERROR(PHM220 / SUMIFS(Aux_Totales!$N:$N, Aux_Totales!$F:$F, $F224, Aux_Totales!$A:$A,#REF!), 0))</f>
        <v/>
      </c>
      <c r="PHN224" s="19" t="str">
        <f>IF(PHN220 = "", "", IFERROR(PHN220 / SUMIFS(Aux_Totales!$N:$N, Aux_Totales!$F:$F, $F224, Aux_Totales!$A:$A,#REF!), 0))</f>
        <v/>
      </c>
      <c r="PHO224" s="19" t="str">
        <f>IF(PHO220 = "", "", IFERROR(PHO220 / SUMIFS(Aux_Totales!$N:$N, Aux_Totales!$F:$F, $F224, Aux_Totales!$A:$A,#REF!), 0))</f>
        <v/>
      </c>
      <c r="PHP224" s="19" t="str">
        <f>IF(PHP220 = "", "", IFERROR(PHP220 / SUMIFS(Aux_Totales!$N:$N, Aux_Totales!$F:$F, $F224, Aux_Totales!$A:$A,#REF!), 0))</f>
        <v/>
      </c>
      <c r="PHQ224" s="19" t="str">
        <f>IF(PHQ220 = "", "", IFERROR(PHQ220 / SUMIFS(Aux_Totales!$N:$N, Aux_Totales!$F:$F, $F224, Aux_Totales!$A:$A,#REF!), 0))</f>
        <v/>
      </c>
      <c r="PHR224" s="19" t="str">
        <f>IF(PHR220 = "", "", IFERROR(PHR220 / SUMIFS(Aux_Totales!$N:$N, Aux_Totales!$F:$F, $F224, Aux_Totales!$A:$A,#REF!), 0))</f>
        <v/>
      </c>
      <c r="PHS224" s="19" t="str">
        <f>IF(PHS220 = "", "", IFERROR(PHS220 / SUMIFS(Aux_Totales!$N:$N, Aux_Totales!$F:$F, $F224, Aux_Totales!$A:$A,#REF!), 0))</f>
        <v/>
      </c>
      <c r="PHT224" s="19" t="str">
        <f>IF(PHT220 = "", "", IFERROR(PHT220 / SUMIFS(Aux_Totales!$N:$N, Aux_Totales!$F:$F, $F224, Aux_Totales!$A:$A,#REF!), 0))</f>
        <v/>
      </c>
      <c r="PHU224" s="19" t="str">
        <f>IF(PHU220 = "", "", IFERROR(PHU220 / SUMIFS(Aux_Totales!$N:$N, Aux_Totales!$F:$F, $F224, Aux_Totales!$A:$A,#REF!), 0))</f>
        <v/>
      </c>
      <c r="PHV224" s="19" t="str">
        <f>IF(PHV220 = "", "", IFERROR(PHV220 / SUMIFS(Aux_Totales!$N:$N, Aux_Totales!$F:$F, $F224, Aux_Totales!$A:$A,#REF!), 0))</f>
        <v/>
      </c>
      <c r="PHW224" s="19" t="str">
        <f>IF(PHW220 = "", "", IFERROR(PHW220 / SUMIFS(Aux_Totales!$N:$N, Aux_Totales!$F:$F, $F224, Aux_Totales!$A:$A,#REF!), 0))</f>
        <v/>
      </c>
      <c r="PHX224" s="19" t="str">
        <f>IF(PHX220 = "", "", IFERROR(PHX220 / SUMIFS(Aux_Totales!$N:$N, Aux_Totales!$F:$F, $F224, Aux_Totales!$A:$A,#REF!), 0))</f>
        <v/>
      </c>
      <c r="PHY224" s="19" t="str">
        <f>IF(PHY220 = "", "", IFERROR(PHY220 / SUMIFS(Aux_Totales!$N:$N, Aux_Totales!$F:$F, $F224, Aux_Totales!$A:$A,#REF!), 0))</f>
        <v/>
      </c>
      <c r="PHZ224" s="19" t="str">
        <f>IF(PHZ220 = "", "", IFERROR(PHZ220 / SUMIFS(Aux_Totales!$N:$N, Aux_Totales!$F:$F, $F224, Aux_Totales!$A:$A,#REF!), 0))</f>
        <v/>
      </c>
      <c r="PIA224" s="19" t="str">
        <f>IF(PIA220 = "", "", IFERROR(PIA220 / SUMIFS(Aux_Totales!$N:$N, Aux_Totales!$F:$F, $F224, Aux_Totales!$A:$A,#REF!), 0))</f>
        <v/>
      </c>
      <c r="PIB224" s="19" t="str">
        <f>IF(PIB220 = "", "", IFERROR(PIB220 / SUMIFS(Aux_Totales!$N:$N, Aux_Totales!$F:$F, $F224, Aux_Totales!$A:$A,#REF!), 0))</f>
        <v/>
      </c>
      <c r="PIC224" s="19" t="str">
        <f>IF(PIC220 = "", "", IFERROR(PIC220 / SUMIFS(Aux_Totales!$N:$N, Aux_Totales!$F:$F, $F224, Aux_Totales!$A:$A,#REF!), 0))</f>
        <v/>
      </c>
      <c r="PID224" s="19" t="str">
        <f>IF(PID220 = "", "", IFERROR(PID220 / SUMIFS(Aux_Totales!$N:$N, Aux_Totales!$F:$F, $F224, Aux_Totales!$A:$A,#REF!), 0))</f>
        <v/>
      </c>
      <c r="PIE224" s="19" t="str">
        <f>IF(PIE220 = "", "", IFERROR(PIE220 / SUMIFS(Aux_Totales!$N:$N, Aux_Totales!$F:$F, $F224, Aux_Totales!$A:$A,#REF!), 0))</f>
        <v/>
      </c>
      <c r="PIF224" s="19" t="str">
        <f>IF(PIF220 = "", "", IFERROR(PIF220 / SUMIFS(Aux_Totales!$N:$N, Aux_Totales!$F:$F, $F224, Aux_Totales!$A:$A,#REF!), 0))</f>
        <v/>
      </c>
      <c r="PIG224" s="19" t="str">
        <f>IF(PIG220 = "", "", IFERROR(PIG220 / SUMIFS(Aux_Totales!$N:$N, Aux_Totales!$F:$F, $F224, Aux_Totales!$A:$A,#REF!), 0))</f>
        <v/>
      </c>
      <c r="PIH224" s="19" t="str">
        <f>IF(PIH220 = "", "", IFERROR(PIH220 / SUMIFS(Aux_Totales!$N:$N, Aux_Totales!$F:$F, $F224, Aux_Totales!$A:$A,#REF!), 0))</f>
        <v/>
      </c>
      <c r="PII224" s="19" t="str">
        <f>IF(PII220 = "", "", IFERROR(PII220 / SUMIFS(Aux_Totales!$N:$N, Aux_Totales!$F:$F, $F224, Aux_Totales!$A:$A,#REF!), 0))</f>
        <v/>
      </c>
      <c r="PIJ224" s="19" t="str">
        <f>IF(PIJ220 = "", "", IFERROR(PIJ220 / SUMIFS(Aux_Totales!$N:$N, Aux_Totales!$F:$F, $F224, Aux_Totales!$A:$A,#REF!), 0))</f>
        <v/>
      </c>
      <c r="PIK224" s="19" t="str">
        <f>IF(PIK220 = "", "", IFERROR(PIK220 / SUMIFS(Aux_Totales!$N:$N, Aux_Totales!$F:$F, $F224, Aux_Totales!$A:$A,#REF!), 0))</f>
        <v/>
      </c>
      <c r="PIL224" s="19" t="str">
        <f>IF(PIL220 = "", "", IFERROR(PIL220 / SUMIFS(Aux_Totales!$N:$N, Aux_Totales!$F:$F, $F224, Aux_Totales!$A:$A,#REF!), 0))</f>
        <v/>
      </c>
      <c r="PIM224" s="19" t="str">
        <f>IF(PIM220 = "", "", IFERROR(PIM220 / SUMIFS(Aux_Totales!$N:$N, Aux_Totales!$F:$F, $F224, Aux_Totales!$A:$A,#REF!), 0))</f>
        <v/>
      </c>
      <c r="PIN224" s="19" t="str">
        <f>IF(PIN220 = "", "", IFERROR(PIN220 / SUMIFS(Aux_Totales!$N:$N, Aux_Totales!$F:$F, $F224, Aux_Totales!$A:$A,#REF!), 0))</f>
        <v/>
      </c>
      <c r="PIO224" s="19" t="str">
        <f>IF(PIO220 = "", "", IFERROR(PIO220 / SUMIFS(Aux_Totales!$N:$N, Aux_Totales!$F:$F, $F224, Aux_Totales!$A:$A,#REF!), 0))</f>
        <v/>
      </c>
      <c r="PIP224" s="19" t="str">
        <f>IF(PIP220 = "", "", IFERROR(PIP220 / SUMIFS(Aux_Totales!$N:$N, Aux_Totales!$F:$F, $F224, Aux_Totales!$A:$A,#REF!), 0))</f>
        <v/>
      </c>
      <c r="PIQ224" s="19" t="str">
        <f>IF(PIQ220 = "", "", IFERROR(PIQ220 / SUMIFS(Aux_Totales!$N:$N, Aux_Totales!$F:$F, $F224, Aux_Totales!$A:$A,#REF!), 0))</f>
        <v/>
      </c>
      <c r="PIR224" s="19" t="str">
        <f>IF(PIR220 = "", "", IFERROR(PIR220 / SUMIFS(Aux_Totales!$N:$N, Aux_Totales!$F:$F, $F224, Aux_Totales!$A:$A,#REF!), 0))</f>
        <v/>
      </c>
      <c r="PIS224" s="19" t="str">
        <f>IF(PIS220 = "", "", IFERROR(PIS220 / SUMIFS(Aux_Totales!$N:$N, Aux_Totales!$F:$F, $F224, Aux_Totales!$A:$A,#REF!), 0))</f>
        <v/>
      </c>
      <c r="PIT224" s="19" t="str">
        <f>IF(PIT220 = "", "", IFERROR(PIT220 / SUMIFS(Aux_Totales!$N:$N, Aux_Totales!$F:$F, $F224, Aux_Totales!$A:$A,#REF!), 0))</f>
        <v/>
      </c>
      <c r="PIU224" s="19" t="str">
        <f>IF(PIU220 = "", "", IFERROR(PIU220 / SUMIFS(Aux_Totales!$N:$N, Aux_Totales!$F:$F, $F224, Aux_Totales!$A:$A,#REF!), 0))</f>
        <v/>
      </c>
      <c r="PIV224" s="19" t="str">
        <f>IF(PIV220 = "", "", IFERROR(PIV220 / SUMIFS(Aux_Totales!$N:$N, Aux_Totales!$F:$F, $F224, Aux_Totales!$A:$A,#REF!), 0))</f>
        <v/>
      </c>
      <c r="PIW224" s="19" t="str">
        <f>IF(PIW220 = "", "", IFERROR(PIW220 / SUMIFS(Aux_Totales!$N:$N, Aux_Totales!$F:$F, $F224, Aux_Totales!$A:$A,#REF!), 0))</f>
        <v/>
      </c>
      <c r="PIX224" s="19" t="str">
        <f>IF(PIX220 = "", "", IFERROR(PIX220 / SUMIFS(Aux_Totales!$N:$N, Aux_Totales!$F:$F, $F224, Aux_Totales!$A:$A,#REF!), 0))</f>
        <v/>
      </c>
      <c r="PIY224" s="19" t="str">
        <f>IF(PIY220 = "", "", IFERROR(PIY220 / SUMIFS(Aux_Totales!$N:$N, Aux_Totales!$F:$F, $F224, Aux_Totales!$A:$A,#REF!), 0))</f>
        <v/>
      </c>
      <c r="PIZ224" s="19" t="str">
        <f>IF(PIZ220 = "", "", IFERROR(PIZ220 / SUMIFS(Aux_Totales!$N:$N, Aux_Totales!$F:$F, $F224, Aux_Totales!$A:$A,#REF!), 0))</f>
        <v/>
      </c>
      <c r="PJA224" s="19" t="str">
        <f>IF(PJA220 = "", "", IFERROR(PJA220 / SUMIFS(Aux_Totales!$N:$N, Aux_Totales!$F:$F, $F224, Aux_Totales!$A:$A,#REF!), 0))</f>
        <v/>
      </c>
      <c r="PJB224" s="19" t="str">
        <f>IF(PJB220 = "", "", IFERROR(PJB220 / SUMIFS(Aux_Totales!$N:$N, Aux_Totales!$F:$F, $F224, Aux_Totales!$A:$A,#REF!), 0))</f>
        <v/>
      </c>
      <c r="PJC224" s="19" t="str">
        <f>IF(PJC220 = "", "", IFERROR(PJC220 / SUMIFS(Aux_Totales!$N:$N, Aux_Totales!$F:$F, $F224, Aux_Totales!$A:$A,#REF!), 0))</f>
        <v/>
      </c>
      <c r="PJD224" s="19" t="str">
        <f>IF(PJD220 = "", "", IFERROR(PJD220 / SUMIFS(Aux_Totales!$N:$N, Aux_Totales!$F:$F, $F224, Aux_Totales!$A:$A,#REF!), 0))</f>
        <v/>
      </c>
      <c r="PJE224" s="19" t="str">
        <f>IF(PJE220 = "", "", IFERROR(PJE220 / SUMIFS(Aux_Totales!$N:$N, Aux_Totales!$F:$F, $F224, Aux_Totales!$A:$A,#REF!), 0))</f>
        <v/>
      </c>
      <c r="PJF224" s="19" t="str">
        <f>IF(PJF220 = "", "", IFERROR(PJF220 / SUMIFS(Aux_Totales!$N:$N, Aux_Totales!$F:$F, $F224, Aux_Totales!$A:$A,#REF!), 0))</f>
        <v/>
      </c>
      <c r="PJG224" s="19" t="str">
        <f>IF(PJG220 = "", "", IFERROR(PJG220 / SUMIFS(Aux_Totales!$N:$N, Aux_Totales!$F:$F, $F224, Aux_Totales!$A:$A,#REF!), 0))</f>
        <v/>
      </c>
      <c r="PJH224" s="19" t="str">
        <f>IF(PJH220 = "", "", IFERROR(PJH220 / SUMIFS(Aux_Totales!$N:$N, Aux_Totales!$F:$F, $F224, Aux_Totales!$A:$A,#REF!), 0))</f>
        <v/>
      </c>
      <c r="PJI224" s="19" t="str">
        <f>IF(PJI220 = "", "", IFERROR(PJI220 / SUMIFS(Aux_Totales!$N:$N, Aux_Totales!$F:$F, $F224, Aux_Totales!$A:$A,#REF!), 0))</f>
        <v/>
      </c>
      <c r="PJJ224" s="19" t="str">
        <f>IF(PJJ220 = "", "", IFERROR(PJJ220 / SUMIFS(Aux_Totales!$N:$N, Aux_Totales!$F:$F, $F224, Aux_Totales!$A:$A,#REF!), 0))</f>
        <v/>
      </c>
      <c r="PJK224" s="19" t="str">
        <f>IF(PJK220 = "", "", IFERROR(PJK220 / SUMIFS(Aux_Totales!$N:$N, Aux_Totales!$F:$F, $F224, Aux_Totales!$A:$A,#REF!), 0))</f>
        <v/>
      </c>
      <c r="PJL224" s="19" t="str">
        <f>IF(PJL220 = "", "", IFERROR(PJL220 / SUMIFS(Aux_Totales!$N:$N, Aux_Totales!$F:$F, $F224, Aux_Totales!$A:$A,#REF!), 0))</f>
        <v/>
      </c>
      <c r="PJM224" s="19" t="str">
        <f>IF(PJM220 = "", "", IFERROR(PJM220 / SUMIFS(Aux_Totales!$N:$N, Aux_Totales!$F:$F, $F224, Aux_Totales!$A:$A,#REF!), 0))</f>
        <v/>
      </c>
      <c r="PJN224" s="19" t="str">
        <f>IF(PJN220 = "", "", IFERROR(PJN220 / SUMIFS(Aux_Totales!$N:$N, Aux_Totales!$F:$F, $F224, Aux_Totales!$A:$A,#REF!), 0))</f>
        <v/>
      </c>
      <c r="PJO224" s="19" t="str">
        <f>IF(PJO220 = "", "", IFERROR(PJO220 / SUMIFS(Aux_Totales!$N:$N, Aux_Totales!$F:$F, $F224, Aux_Totales!$A:$A,#REF!), 0))</f>
        <v/>
      </c>
      <c r="PJP224" s="19" t="str">
        <f>IF(PJP220 = "", "", IFERROR(PJP220 / SUMIFS(Aux_Totales!$N:$N, Aux_Totales!$F:$F, $F224, Aux_Totales!$A:$A,#REF!), 0))</f>
        <v/>
      </c>
      <c r="PJQ224" s="19" t="str">
        <f>IF(PJQ220 = "", "", IFERROR(PJQ220 / SUMIFS(Aux_Totales!$N:$N, Aux_Totales!$F:$F, $F224, Aux_Totales!$A:$A,#REF!), 0))</f>
        <v/>
      </c>
      <c r="PJR224" s="19" t="str">
        <f>IF(PJR220 = "", "", IFERROR(PJR220 / SUMIFS(Aux_Totales!$N:$N, Aux_Totales!$F:$F, $F224, Aux_Totales!$A:$A,#REF!), 0))</f>
        <v/>
      </c>
      <c r="PJS224" s="19" t="str">
        <f>IF(PJS220 = "", "", IFERROR(PJS220 / SUMIFS(Aux_Totales!$N:$N, Aux_Totales!$F:$F, $F224, Aux_Totales!$A:$A,#REF!), 0))</f>
        <v/>
      </c>
      <c r="PJT224" s="19" t="str">
        <f>IF(PJT220 = "", "", IFERROR(PJT220 / SUMIFS(Aux_Totales!$N:$N, Aux_Totales!$F:$F, $F224, Aux_Totales!$A:$A,#REF!), 0))</f>
        <v/>
      </c>
      <c r="PJU224" s="19" t="str">
        <f>IF(PJU220 = "", "", IFERROR(PJU220 / SUMIFS(Aux_Totales!$N:$N, Aux_Totales!$F:$F, $F224, Aux_Totales!$A:$A,#REF!), 0))</f>
        <v/>
      </c>
      <c r="PJV224" s="19" t="str">
        <f>IF(PJV220 = "", "", IFERROR(PJV220 / SUMIFS(Aux_Totales!$N:$N, Aux_Totales!$F:$F, $F224, Aux_Totales!$A:$A,#REF!), 0))</f>
        <v/>
      </c>
      <c r="PJW224" s="19" t="str">
        <f>IF(PJW220 = "", "", IFERROR(PJW220 / SUMIFS(Aux_Totales!$N:$N, Aux_Totales!$F:$F, $F224, Aux_Totales!$A:$A,#REF!), 0))</f>
        <v/>
      </c>
      <c r="PJX224" s="19" t="str">
        <f>IF(PJX220 = "", "", IFERROR(PJX220 / SUMIFS(Aux_Totales!$N:$N, Aux_Totales!$F:$F, $F224, Aux_Totales!$A:$A,#REF!), 0))</f>
        <v/>
      </c>
      <c r="PJY224" s="19" t="str">
        <f>IF(PJY220 = "", "", IFERROR(PJY220 / SUMIFS(Aux_Totales!$N:$N, Aux_Totales!$F:$F, $F224, Aux_Totales!$A:$A,#REF!), 0))</f>
        <v/>
      </c>
      <c r="PJZ224" s="19" t="str">
        <f>IF(PJZ220 = "", "", IFERROR(PJZ220 / SUMIFS(Aux_Totales!$N:$N, Aux_Totales!$F:$F, $F224, Aux_Totales!$A:$A,#REF!), 0))</f>
        <v/>
      </c>
      <c r="PKA224" s="19" t="str">
        <f>IF(PKA220 = "", "", IFERROR(PKA220 / SUMIFS(Aux_Totales!$N:$N, Aux_Totales!$F:$F, $F224, Aux_Totales!$A:$A,#REF!), 0))</f>
        <v/>
      </c>
      <c r="PKB224" s="19" t="str">
        <f>IF(PKB220 = "", "", IFERROR(PKB220 / SUMIFS(Aux_Totales!$N:$N, Aux_Totales!$F:$F, $F224, Aux_Totales!$A:$A,#REF!), 0))</f>
        <v/>
      </c>
      <c r="PKC224" s="19" t="str">
        <f>IF(PKC220 = "", "", IFERROR(PKC220 / SUMIFS(Aux_Totales!$N:$N, Aux_Totales!$F:$F, $F224, Aux_Totales!$A:$A,#REF!), 0))</f>
        <v/>
      </c>
      <c r="PKD224" s="19" t="str">
        <f>IF(PKD220 = "", "", IFERROR(PKD220 / SUMIFS(Aux_Totales!$N:$N, Aux_Totales!$F:$F, $F224, Aux_Totales!$A:$A,#REF!), 0))</f>
        <v/>
      </c>
      <c r="PKE224" s="19" t="str">
        <f>IF(PKE220 = "", "", IFERROR(PKE220 / SUMIFS(Aux_Totales!$N:$N, Aux_Totales!$F:$F, $F224, Aux_Totales!$A:$A,#REF!), 0))</f>
        <v/>
      </c>
      <c r="PKF224" s="19" t="str">
        <f>IF(PKF220 = "", "", IFERROR(PKF220 / SUMIFS(Aux_Totales!$N:$N, Aux_Totales!$F:$F, $F224, Aux_Totales!$A:$A,#REF!), 0))</f>
        <v/>
      </c>
      <c r="PKG224" s="19" t="str">
        <f>IF(PKG220 = "", "", IFERROR(PKG220 / SUMIFS(Aux_Totales!$N:$N, Aux_Totales!$F:$F, $F224, Aux_Totales!$A:$A,#REF!), 0))</f>
        <v/>
      </c>
      <c r="PKH224" s="19" t="str">
        <f>IF(PKH220 = "", "", IFERROR(PKH220 / SUMIFS(Aux_Totales!$N:$N, Aux_Totales!$F:$F, $F224, Aux_Totales!$A:$A,#REF!), 0))</f>
        <v/>
      </c>
      <c r="PKI224" s="19" t="str">
        <f>IF(PKI220 = "", "", IFERROR(PKI220 / SUMIFS(Aux_Totales!$N:$N, Aux_Totales!$F:$F, $F224, Aux_Totales!$A:$A,#REF!), 0))</f>
        <v/>
      </c>
      <c r="PKJ224" s="19" t="str">
        <f>IF(PKJ220 = "", "", IFERROR(PKJ220 / SUMIFS(Aux_Totales!$N:$N, Aux_Totales!$F:$F, $F224, Aux_Totales!$A:$A,#REF!), 0))</f>
        <v/>
      </c>
      <c r="PKK224" s="19" t="str">
        <f>IF(PKK220 = "", "", IFERROR(PKK220 / SUMIFS(Aux_Totales!$N:$N, Aux_Totales!$F:$F, $F224, Aux_Totales!$A:$A,#REF!), 0))</f>
        <v/>
      </c>
      <c r="PKL224" s="19" t="str">
        <f>IF(PKL220 = "", "", IFERROR(PKL220 / SUMIFS(Aux_Totales!$N:$N, Aux_Totales!$F:$F, $F224, Aux_Totales!$A:$A,#REF!), 0))</f>
        <v/>
      </c>
      <c r="PKM224" s="19" t="str">
        <f>IF(PKM220 = "", "", IFERROR(PKM220 / SUMIFS(Aux_Totales!$N:$N, Aux_Totales!$F:$F, $F224, Aux_Totales!$A:$A,#REF!), 0))</f>
        <v/>
      </c>
      <c r="PKN224" s="19" t="str">
        <f>IF(PKN220 = "", "", IFERROR(PKN220 / SUMIFS(Aux_Totales!$N:$N, Aux_Totales!$F:$F, $F224, Aux_Totales!$A:$A,#REF!), 0))</f>
        <v/>
      </c>
      <c r="PKO224" s="19" t="str">
        <f>IF(PKO220 = "", "", IFERROR(PKO220 / SUMIFS(Aux_Totales!$N:$N, Aux_Totales!$F:$F, $F224, Aux_Totales!$A:$A,#REF!), 0))</f>
        <v/>
      </c>
      <c r="PKP224" s="19" t="str">
        <f>IF(PKP220 = "", "", IFERROR(PKP220 / SUMIFS(Aux_Totales!$N:$N, Aux_Totales!$F:$F, $F224, Aux_Totales!$A:$A,#REF!), 0))</f>
        <v/>
      </c>
      <c r="PKQ224" s="19" t="str">
        <f>IF(PKQ220 = "", "", IFERROR(PKQ220 / SUMIFS(Aux_Totales!$N:$N, Aux_Totales!$F:$F, $F224, Aux_Totales!$A:$A,#REF!), 0))</f>
        <v/>
      </c>
      <c r="PKR224" s="19" t="str">
        <f>IF(PKR220 = "", "", IFERROR(PKR220 / SUMIFS(Aux_Totales!$N:$N, Aux_Totales!$F:$F, $F224, Aux_Totales!$A:$A,#REF!), 0))</f>
        <v/>
      </c>
      <c r="PKS224" s="19" t="str">
        <f>IF(PKS220 = "", "", IFERROR(PKS220 / SUMIFS(Aux_Totales!$N:$N, Aux_Totales!$F:$F, $F224, Aux_Totales!$A:$A,#REF!), 0))</f>
        <v/>
      </c>
      <c r="PKT224" s="19" t="str">
        <f>IF(PKT220 = "", "", IFERROR(PKT220 / SUMIFS(Aux_Totales!$N:$N, Aux_Totales!$F:$F, $F224, Aux_Totales!$A:$A,#REF!), 0))</f>
        <v/>
      </c>
      <c r="PKU224" s="19" t="str">
        <f>IF(PKU220 = "", "", IFERROR(PKU220 / SUMIFS(Aux_Totales!$N:$N, Aux_Totales!$F:$F, $F224, Aux_Totales!$A:$A,#REF!), 0))</f>
        <v/>
      </c>
      <c r="PKV224" s="19" t="str">
        <f>IF(PKV220 = "", "", IFERROR(PKV220 / SUMIFS(Aux_Totales!$N:$N, Aux_Totales!$F:$F, $F224, Aux_Totales!$A:$A,#REF!), 0))</f>
        <v/>
      </c>
      <c r="PKW224" s="19" t="str">
        <f>IF(PKW220 = "", "", IFERROR(PKW220 / SUMIFS(Aux_Totales!$N:$N, Aux_Totales!$F:$F, $F224, Aux_Totales!$A:$A,#REF!), 0))</f>
        <v/>
      </c>
      <c r="PKX224" s="19" t="str">
        <f>IF(PKX220 = "", "", IFERROR(PKX220 / SUMIFS(Aux_Totales!$N:$N, Aux_Totales!$F:$F, $F224, Aux_Totales!$A:$A,#REF!), 0))</f>
        <v/>
      </c>
      <c r="PKY224" s="19" t="str">
        <f>IF(PKY220 = "", "", IFERROR(PKY220 / SUMIFS(Aux_Totales!$N:$N, Aux_Totales!$F:$F, $F224, Aux_Totales!$A:$A,#REF!), 0))</f>
        <v/>
      </c>
      <c r="PKZ224" s="19" t="str">
        <f>IF(PKZ220 = "", "", IFERROR(PKZ220 / SUMIFS(Aux_Totales!$N:$N, Aux_Totales!$F:$F, $F224, Aux_Totales!$A:$A,#REF!), 0))</f>
        <v/>
      </c>
      <c r="PLA224" s="19" t="str">
        <f>IF(PLA220 = "", "", IFERROR(PLA220 / SUMIFS(Aux_Totales!$N:$N, Aux_Totales!$F:$F, $F224, Aux_Totales!$A:$A,#REF!), 0))</f>
        <v/>
      </c>
      <c r="PLB224" s="19" t="str">
        <f>IF(PLB220 = "", "", IFERROR(PLB220 / SUMIFS(Aux_Totales!$N:$N, Aux_Totales!$F:$F, $F224, Aux_Totales!$A:$A,#REF!), 0))</f>
        <v/>
      </c>
      <c r="PLC224" s="19" t="str">
        <f>IF(PLC220 = "", "", IFERROR(PLC220 / SUMIFS(Aux_Totales!$N:$N, Aux_Totales!$F:$F, $F224, Aux_Totales!$A:$A,#REF!), 0))</f>
        <v/>
      </c>
      <c r="PLD224" s="19" t="str">
        <f>IF(PLD220 = "", "", IFERROR(PLD220 / SUMIFS(Aux_Totales!$N:$N, Aux_Totales!$F:$F, $F224, Aux_Totales!$A:$A,#REF!), 0))</f>
        <v/>
      </c>
      <c r="PLE224" s="19" t="str">
        <f>IF(PLE220 = "", "", IFERROR(PLE220 / SUMIFS(Aux_Totales!$N:$N, Aux_Totales!$F:$F, $F224, Aux_Totales!$A:$A,#REF!), 0))</f>
        <v/>
      </c>
      <c r="PLF224" s="19" t="str">
        <f>IF(PLF220 = "", "", IFERROR(PLF220 / SUMIFS(Aux_Totales!$N:$N, Aux_Totales!$F:$F, $F224, Aux_Totales!$A:$A,#REF!), 0))</f>
        <v/>
      </c>
      <c r="PLG224" s="19" t="str">
        <f>IF(PLG220 = "", "", IFERROR(PLG220 / SUMIFS(Aux_Totales!$N:$N, Aux_Totales!$F:$F, $F224, Aux_Totales!$A:$A,#REF!), 0))</f>
        <v/>
      </c>
      <c r="PLH224" s="19" t="str">
        <f>IF(PLH220 = "", "", IFERROR(PLH220 / SUMIFS(Aux_Totales!$N:$N, Aux_Totales!$F:$F, $F224, Aux_Totales!$A:$A,#REF!), 0))</f>
        <v/>
      </c>
      <c r="PLI224" s="19" t="str">
        <f>IF(PLI220 = "", "", IFERROR(PLI220 / SUMIFS(Aux_Totales!$N:$N, Aux_Totales!$F:$F, $F224, Aux_Totales!$A:$A,#REF!), 0))</f>
        <v/>
      </c>
      <c r="PLJ224" s="19" t="str">
        <f>IF(PLJ220 = "", "", IFERROR(PLJ220 / SUMIFS(Aux_Totales!$N:$N, Aux_Totales!$F:$F, $F224, Aux_Totales!$A:$A,#REF!), 0))</f>
        <v/>
      </c>
      <c r="PLK224" s="19" t="str">
        <f>IF(PLK220 = "", "", IFERROR(PLK220 / SUMIFS(Aux_Totales!$N:$N, Aux_Totales!$F:$F, $F224, Aux_Totales!$A:$A,#REF!), 0))</f>
        <v/>
      </c>
      <c r="PLL224" s="19" t="str">
        <f>IF(PLL220 = "", "", IFERROR(PLL220 / SUMIFS(Aux_Totales!$N:$N, Aux_Totales!$F:$F, $F224, Aux_Totales!$A:$A,#REF!), 0))</f>
        <v/>
      </c>
      <c r="PLM224" s="19" t="str">
        <f>IF(PLM220 = "", "", IFERROR(PLM220 / SUMIFS(Aux_Totales!$N:$N, Aux_Totales!$F:$F, $F224, Aux_Totales!$A:$A,#REF!), 0))</f>
        <v/>
      </c>
      <c r="PLN224" s="19" t="str">
        <f>IF(PLN220 = "", "", IFERROR(PLN220 / SUMIFS(Aux_Totales!$N:$N, Aux_Totales!$F:$F, $F224, Aux_Totales!$A:$A,#REF!), 0))</f>
        <v/>
      </c>
      <c r="PLO224" s="19" t="str">
        <f>IF(PLO220 = "", "", IFERROR(PLO220 / SUMIFS(Aux_Totales!$N:$N, Aux_Totales!$F:$F, $F224, Aux_Totales!$A:$A,#REF!), 0))</f>
        <v/>
      </c>
      <c r="PLP224" s="19" t="str">
        <f>IF(PLP220 = "", "", IFERROR(PLP220 / SUMIFS(Aux_Totales!$N:$N, Aux_Totales!$F:$F, $F224, Aux_Totales!$A:$A,#REF!), 0))</f>
        <v/>
      </c>
      <c r="PLQ224" s="19" t="str">
        <f>IF(PLQ220 = "", "", IFERROR(PLQ220 / SUMIFS(Aux_Totales!$N:$N, Aux_Totales!$F:$F, $F224, Aux_Totales!$A:$A,#REF!), 0))</f>
        <v/>
      </c>
      <c r="PLR224" s="19" t="str">
        <f>IF(PLR220 = "", "", IFERROR(PLR220 / SUMIFS(Aux_Totales!$N:$N, Aux_Totales!$F:$F, $F224, Aux_Totales!$A:$A,#REF!), 0))</f>
        <v/>
      </c>
      <c r="PLS224" s="19" t="str">
        <f>IF(PLS220 = "", "", IFERROR(PLS220 / SUMIFS(Aux_Totales!$N:$N, Aux_Totales!$F:$F, $F224, Aux_Totales!$A:$A,#REF!), 0))</f>
        <v/>
      </c>
      <c r="PLT224" s="19" t="str">
        <f>IF(PLT220 = "", "", IFERROR(PLT220 / SUMIFS(Aux_Totales!$N:$N, Aux_Totales!$F:$F, $F224, Aux_Totales!$A:$A,#REF!), 0))</f>
        <v/>
      </c>
      <c r="PLU224" s="19" t="str">
        <f>IF(PLU220 = "", "", IFERROR(PLU220 / SUMIFS(Aux_Totales!$N:$N, Aux_Totales!$F:$F, $F224, Aux_Totales!$A:$A,#REF!), 0))</f>
        <v/>
      </c>
      <c r="PLV224" s="19" t="str">
        <f>IF(PLV220 = "", "", IFERROR(PLV220 / SUMIFS(Aux_Totales!$N:$N, Aux_Totales!$F:$F, $F224, Aux_Totales!$A:$A,#REF!), 0))</f>
        <v/>
      </c>
      <c r="PLW224" s="19" t="str">
        <f>IF(PLW220 = "", "", IFERROR(PLW220 / SUMIFS(Aux_Totales!$N:$N, Aux_Totales!$F:$F, $F224, Aux_Totales!$A:$A,#REF!), 0))</f>
        <v/>
      </c>
      <c r="PLX224" s="19" t="str">
        <f>IF(PLX220 = "", "", IFERROR(PLX220 / SUMIFS(Aux_Totales!$N:$N, Aux_Totales!$F:$F, $F224, Aux_Totales!$A:$A,#REF!), 0))</f>
        <v/>
      </c>
      <c r="PLY224" s="19" t="str">
        <f>IF(PLY220 = "", "", IFERROR(PLY220 / SUMIFS(Aux_Totales!$N:$N, Aux_Totales!$F:$F, $F224, Aux_Totales!$A:$A,#REF!), 0))</f>
        <v/>
      </c>
      <c r="PLZ224" s="19" t="str">
        <f>IF(PLZ220 = "", "", IFERROR(PLZ220 / SUMIFS(Aux_Totales!$N:$N, Aux_Totales!$F:$F, $F224, Aux_Totales!$A:$A,#REF!), 0))</f>
        <v/>
      </c>
      <c r="PMA224" s="19" t="str">
        <f>IF(PMA220 = "", "", IFERROR(PMA220 / SUMIFS(Aux_Totales!$N:$N, Aux_Totales!$F:$F, $F224, Aux_Totales!$A:$A,#REF!), 0))</f>
        <v/>
      </c>
      <c r="PMB224" s="19" t="str">
        <f>IF(PMB220 = "", "", IFERROR(PMB220 / SUMIFS(Aux_Totales!$N:$N, Aux_Totales!$F:$F, $F224, Aux_Totales!$A:$A,#REF!), 0))</f>
        <v/>
      </c>
      <c r="PMC224" s="19" t="str">
        <f>IF(PMC220 = "", "", IFERROR(PMC220 / SUMIFS(Aux_Totales!$N:$N, Aux_Totales!$F:$F, $F224, Aux_Totales!$A:$A,#REF!), 0))</f>
        <v/>
      </c>
      <c r="PMD224" s="19" t="str">
        <f>IF(PMD220 = "", "", IFERROR(PMD220 / SUMIFS(Aux_Totales!$N:$N, Aux_Totales!$F:$F, $F224, Aux_Totales!$A:$A,#REF!), 0))</f>
        <v/>
      </c>
      <c r="PME224" s="19" t="str">
        <f>IF(PME220 = "", "", IFERROR(PME220 / SUMIFS(Aux_Totales!$N:$N, Aux_Totales!$F:$F, $F224, Aux_Totales!$A:$A,#REF!), 0))</f>
        <v/>
      </c>
      <c r="PMF224" s="19" t="str">
        <f>IF(PMF220 = "", "", IFERROR(PMF220 / SUMIFS(Aux_Totales!$N:$N, Aux_Totales!$F:$F, $F224, Aux_Totales!$A:$A,#REF!), 0))</f>
        <v/>
      </c>
      <c r="PMG224" s="19" t="str">
        <f>IF(PMG220 = "", "", IFERROR(PMG220 / SUMIFS(Aux_Totales!$N:$N, Aux_Totales!$F:$F, $F224, Aux_Totales!$A:$A,#REF!), 0))</f>
        <v/>
      </c>
      <c r="PMH224" s="19" t="str">
        <f>IF(PMH220 = "", "", IFERROR(PMH220 / SUMIFS(Aux_Totales!$N:$N, Aux_Totales!$F:$F, $F224, Aux_Totales!$A:$A,#REF!), 0))</f>
        <v/>
      </c>
      <c r="PMI224" s="19" t="str">
        <f>IF(PMI220 = "", "", IFERROR(PMI220 / SUMIFS(Aux_Totales!$N:$N, Aux_Totales!$F:$F, $F224, Aux_Totales!$A:$A,#REF!), 0))</f>
        <v/>
      </c>
      <c r="PMJ224" s="19" t="str">
        <f>IF(PMJ220 = "", "", IFERROR(PMJ220 / SUMIFS(Aux_Totales!$N:$N, Aux_Totales!$F:$F, $F224, Aux_Totales!$A:$A,#REF!), 0))</f>
        <v/>
      </c>
      <c r="PMK224" s="19" t="str">
        <f>IF(PMK220 = "", "", IFERROR(PMK220 / SUMIFS(Aux_Totales!$N:$N, Aux_Totales!$F:$F, $F224, Aux_Totales!$A:$A,#REF!), 0))</f>
        <v/>
      </c>
      <c r="PML224" s="19" t="str">
        <f>IF(PML220 = "", "", IFERROR(PML220 / SUMIFS(Aux_Totales!$N:$N, Aux_Totales!$F:$F, $F224, Aux_Totales!$A:$A,#REF!), 0))</f>
        <v/>
      </c>
      <c r="PMM224" s="19" t="str">
        <f>IF(PMM220 = "", "", IFERROR(PMM220 / SUMIFS(Aux_Totales!$N:$N, Aux_Totales!$F:$F, $F224, Aux_Totales!$A:$A,#REF!), 0))</f>
        <v/>
      </c>
      <c r="PMN224" s="19" t="str">
        <f>IF(PMN220 = "", "", IFERROR(PMN220 / SUMIFS(Aux_Totales!$N:$N, Aux_Totales!$F:$F, $F224, Aux_Totales!$A:$A,#REF!), 0))</f>
        <v/>
      </c>
      <c r="PMO224" s="19" t="str">
        <f>IF(PMO220 = "", "", IFERROR(PMO220 / SUMIFS(Aux_Totales!$N:$N, Aux_Totales!$F:$F, $F224, Aux_Totales!$A:$A,#REF!), 0))</f>
        <v/>
      </c>
      <c r="PMP224" s="19" t="str">
        <f>IF(PMP220 = "", "", IFERROR(PMP220 / SUMIFS(Aux_Totales!$N:$N, Aux_Totales!$F:$F, $F224, Aux_Totales!$A:$A,#REF!), 0))</f>
        <v/>
      </c>
      <c r="PMQ224" s="19" t="str">
        <f>IF(PMQ220 = "", "", IFERROR(PMQ220 / SUMIFS(Aux_Totales!$N:$N, Aux_Totales!$F:$F, $F224, Aux_Totales!$A:$A,#REF!), 0))</f>
        <v/>
      </c>
      <c r="PMR224" s="19" t="str">
        <f>IF(PMR220 = "", "", IFERROR(PMR220 / SUMIFS(Aux_Totales!$N:$N, Aux_Totales!$F:$F, $F224, Aux_Totales!$A:$A,#REF!), 0))</f>
        <v/>
      </c>
      <c r="PMS224" s="19" t="str">
        <f>IF(PMS220 = "", "", IFERROR(PMS220 / SUMIFS(Aux_Totales!$N:$N, Aux_Totales!$F:$F, $F224, Aux_Totales!$A:$A,#REF!), 0))</f>
        <v/>
      </c>
      <c r="PMT224" s="19" t="str">
        <f>IF(PMT220 = "", "", IFERROR(PMT220 / SUMIFS(Aux_Totales!$N:$N, Aux_Totales!$F:$F, $F224, Aux_Totales!$A:$A,#REF!), 0))</f>
        <v/>
      </c>
      <c r="PMU224" s="19" t="str">
        <f>IF(PMU220 = "", "", IFERROR(PMU220 / SUMIFS(Aux_Totales!$N:$N, Aux_Totales!$F:$F, $F224, Aux_Totales!$A:$A,#REF!), 0))</f>
        <v/>
      </c>
      <c r="PMV224" s="19" t="str">
        <f>IF(PMV220 = "", "", IFERROR(PMV220 / SUMIFS(Aux_Totales!$N:$N, Aux_Totales!$F:$F, $F224, Aux_Totales!$A:$A,#REF!), 0))</f>
        <v/>
      </c>
      <c r="PMW224" s="19" t="str">
        <f>IF(PMW220 = "", "", IFERROR(PMW220 / SUMIFS(Aux_Totales!$N:$N, Aux_Totales!$F:$F, $F224, Aux_Totales!$A:$A,#REF!), 0))</f>
        <v/>
      </c>
      <c r="PMX224" s="19" t="str">
        <f>IF(PMX220 = "", "", IFERROR(PMX220 / SUMIFS(Aux_Totales!$N:$N, Aux_Totales!$F:$F, $F224, Aux_Totales!$A:$A,#REF!), 0))</f>
        <v/>
      </c>
      <c r="PMY224" s="19" t="str">
        <f>IF(PMY220 = "", "", IFERROR(PMY220 / SUMIFS(Aux_Totales!$N:$N, Aux_Totales!$F:$F, $F224, Aux_Totales!$A:$A,#REF!), 0))</f>
        <v/>
      </c>
      <c r="PMZ224" s="19" t="str">
        <f>IF(PMZ220 = "", "", IFERROR(PMZ220 / SUMIFS(Aux_Totales!$N:$N, Aux_Totales!$F:$F, $F224, Aux_Totales!$A:$A,#REF!), 0))</f>
        <v/>
      </c>
      <c r="PNA224" s="19" t="str">
        <f>IF(PNA220 = "", "", IFERROR(PNA220 / SUMIFS(Aux_Totales!$N:$N, Aux_Totales!$F:$F, $F224, Aux_Totales!$A:$A,#REF!), 0))</f>
        <v/>
      </c>
      <c r="PNB224" s="19" t="str">
        <f>IF(PNB220 = "", "", IFERROR(PNB220 / SUMIFS(Aux_Totales!$N:$N, Aux_Totales!$F:$F, $F224, Aux_Totales!$A:$A,#REF!), 0))</f>
        <v/>
      </c>
      <c r="PNC224" s="19" t="str">
        <f>IF(PNC220 = "", "", IFERROR(PNC220 / SUMIFS(Aux_Totales!$N:$N, Aux_Totales!$F:$F, $F224, Aux_Totales!$A:$A,#REF!), 0))</f>
        <v/>
      </c>
      <c r="PND224" s="19" t="str">
        <f>IF(PND220 = "", "", IFERROR(PND220 / SUMIFS(Aux_Totales!$N:$N, Aux_Totales!$F:$F, $F224, Aux_Totales!$A:$A,#REF!), 0))</f>
        <v/>
      </c>
      <c r="PNE224" s="19" t="str">
        <f>IF(PNE220 = "", "", IFERROR(PNE220 / SUMIFS(Aux_Totales!$N:$N, Aux_Totales!$F:$F, $F224, Aux_Totales!$A:$A,#REF!), 0))</f>
        <v/>
      </c>
      <c r="PNF224" s="19" t="str">
        <f>IF(PNF220 = "", "", IFERROR(PNF220 / SUMIFS(Aux_Totales!$N:$N, Aux_Totales!$F:$F, $F224, Aux_Totales!$A:$A,#REF!), 0))</f>
        <v/>
      </c>
      <c r="PNG224" s="19" t="str">
        <f>IF(PNG220 = "", "", IFERROR(PNG220 / SUMIFS(Aux_Totales!$N:$N, Aux_Totales!$F:$F, $F224, Aux_Totales!$A:$A,#REF!), 0))</f>
        <v/>
      </c>
      <c r="PNH224" s="19" t="str">
        <f>IF(PNH220 = "", "", IFERROR(PNH220 / SUMIFS(Aux_Totales!$N:$N, Aux_Totales!$F:$F, $F224, Aux_Totales!$A:$A,#REF!), 0))</f>
        <v/>
      </c>
      <c r="PNI224" s="19" t="str">
        <f>IF(PNI220 = "", "", IFERROR(PNI220 / SUMIFS(Aux_Totales!$N:$N, Aux_Totales!$F:$F, $F224, Aux_Totales!$A:$A,#REF!), 0))</f>
        <v/>
      </c>
      <c r="PNJ224" s="19" t="str">
        <f>IF(PNJ220 = "", "", IFERROR(PNJ220 / SUMIFS(Aux_Totales!$N:$N, Aux_Totales!$F:$F, $F224, Aux_Totales!$A:$A,#REF!), 0))</f>
        <v/>
      </c>
      <c r="PNK224" s="19" t="str">
        <f>IF(PNK220 = "", "", IFERROR(PNK220 / SUMIFS(Aux_Totales!$N:$N, Aux_Totales!$F:$F, $F224, Aux_Totales!$A:$A,#REF!), 0))</f>
        <v/>
      </c>
      <c r="PNL224" s="19" t="str">
        <f>IF(PNL220 = "", "", IFERROR(PNL220 / SUMIFS(Aux_Totales!$N:$N, Aux_Totales!$F:$F, $F224, Aux_Totales!$A:$A,#REF!), 0))</f>
        <v/>
      </c>
      <c r="PNM224" s="19" t="str">
        <f>IF(PNM220 = "", "", IFERROR(PNM220 / SUMIFS(Aux_Totales!$N:$N, Aux_Totales!$F:$F, $F224, Aux_Totales!$A:$A,#REF!), 0))</f>
        <v/>
      </c>
      <c r="PNN224" s="19" t="str">
        <f>IF(PNN220 = "", "", IFERROR(PNN220 / SUMIFS(Aux_Totales!$N:$N, Aux_Totales!$F:$F, $F224, Aux_Totales!$A:$A,#REF!), 0))</f>
        <v/>
      </c>
      <c r="PNO224" s="19" t="str">
        <f>IF(PNO220 = "", "", IFERROR(PNO220 / SUMIFS(Aux_Totales!$N:$N, Aux_Totales!$F:$F, $F224, Aux_Totales!$A:$A,#REF!), 0))</f>
        <v/>
      </c>
      <c r="PNP224" s="19" t="str">
        <f>IF(PNP220 = "", "", IFERROR(PNP220 / SUMIFS(Aux_Totales!$N:$N, Aux_Totales!$F:$F, $F224, Aux_Totales!$A:$A,#REF!), 0))</f>
        <v/>
      </c>
      <c r="PNQ224" s="19" t="str">
        <f>IF(PNQ220 = "", "", IFERROR(PNQ220 / SUMIFS(Aux_Totales!$N:$N, Aux_Totales!$F:$F, $F224, Aux_Totales!$A:$A,#REF!), 0))</f>
        <v/>
      </c>
      <c r="PNR224" s="19" t="str">
        <f>IF(PNR220 = "", "", IFERROR(PNR220 / SUMIFS(Aux_Totales!$N:$N, Aux_Totales!$F:$F, $F224, Aux_Totales!$A:$A,#REF!), 0))</f>
        <v/>
      </c>
      <c r="PNS224" s="19" t="str">
        <f>IF(PNS220 = "", "", IFERROR(PNS220 / SUMIFS(Aux_Totales!$N:$N, Aux_Totales!$F:$F, $F224, Aux_Totales!$A:$A,#REF!), 0))</f>
        <v/>
      </c>
      <c r="PNT224" s="19" t="str">
        <f>IF(PNT220 = "", "", IFERROR(PNT220 / SUMIFS(Aux_Totales!$N:$N, Aux_Totales!$F:$F, $F224, Aux_Totales!$A:$A,#REF!), 0))</f>
        <v/>
      </c>
      <c r="PNU224" s="19" t="str">
        <f>IF(PNU220 = "", "", IFERROR(PNU220 / SUMIFS(Aux_Totales!$N:$N, Aux_Totales!$F:$F, $F224, Aux_Totales!$A:$A,#REF!), 0))</f>
        <v/>
      </c>
      <c r="PNV224" s="19" t="str">
        <f>IF(PNV220 = "", "", IFERROR(PNV220 / SUMIFS(Aux_Totales!$N:$N, Aux_Totales!$F:$F, $F224, Aux_Totales!$A:$A,#REF!), 0))</f>
        <v/>
      </c>
      <c r="PNW224" s="19" t="str">
        <f>IF(PNW220 = "", "", IFERROR(PNW220 / SUMIFS(Aux_Totales!$N:$N, Aux_Totales!$F:$F, $F224, Aux_Totales!$A:$A,#REF!), 0))</f>
        <v/>
      </c>
      <c r="PNX224" s="19" t="str">
        <f>IF(PNX220 = "", "", IFERROR(PNX220 / SUMIFS(Aux_Totales!$N:$N, Aux_Totales!$F:$F, $F224, Aux_Totales!$A:$A,#REF!), 0))</f>
        <v/>
      </c>
      <c r="PNY224" s="19" t="str">
        <f>IF(PNY220 = "", "", IFERROR(PNY220 / SUMIFS(Aux_Totales!$N:$N, Aux_Totales!$F:$F, $F224, Aux_Totales!$A:$A,#REF!), 0))</f>
        <v/>
      </c>
      <c r="PNZ224" s="19" t="str">
        <f>IF(PNZ220 = "", "", IFERROR(PNZ220 / SUMIFS(Aux_Totales!$N:$N, Aux_Totales!$F:$F, $F224, Aux_Totales!$A:$A,#REF!), 0))</f>
        <v/>
      </c>
      <c r="POA224" s="19" t="str">
        <f>IF(POA220 = "", "", IFERROR(POA220 / SUMIFS(Aux_Totales!$N:$N, Aux_Totales!$F:$F, $F224, Aux_Totales!$A:$A,#REF!), 0))</f>
        <v/>
      </c>
      <c r="POB224" s="19" t="str">
        <f>IF(POB220 = "", "", IFERROR(POB220 / SUMIFS(Aux_Totales!$N:$N, Aux_Totales!$F:$F, $F224, Aux_Totales!$A:$A,#REF!), 0))</f>
        <v/>
      </c>
      <c r="POC224" s="19" t="str">
        <f>IF(POC220 = "", "", IFERROR(POC220 / SUMIFS(Aux_Totales!$N:$N, Aux_Totales!$F:$F, $F224, Aux_Totales!$A:$A,#REF!), 0))</f>
        <v/>
      </c>
      <c r="POD224" s="19" t="str">
        <f>IF(POD220 = "", "", IFERROR(POD220 / SUMIFS(Aux_Totales!$N:$N, Aux_Totales!$F:$F, $F224, Aux_Totales!$A:$A,#REF!), 0))</f>
        <v/>
      </c>
      <c r="POE224" s="19" t="str">
        <f>IF(POE220 = "", "", IFERROR(POE220 / SUMIFS(Aux_Totales!$N:$N, Aux_Totales!$F:$F, $F224, Aux_Totales!$A:$A,#REF!), 0))</f>
        <v/>
      </c>
      <c r="POF224" s="19" t="str">
        <f>IF(POF220 = "", "", IFERROR(POF220 / SUMIFS(Aux_Totales!$N:$N, Aux_Totales!$F:$F, $F224, Aux_Totales!$A:$A,#REF!), 0))</f>
        <v/>
      </c>
      <c r="POG224" s="19" t="str">
        <f>IF(POG220 = "", "", IFERROR(POG220 / SUMIFS(Aux_Totales!$N:$N, Aux_Totales!$F:$F, $F224, Aux_Totales!$A:$A,#REF!), 0))</f>
        <v/>
      </c>
      <c r="POH224" s="19" t="str">
        <f>IF(POH220 = "", "", IFERROR(POH220 / SUMIFS(Aux_Totales!$N:$N, Aux_Totales!$F:$F, $F224, Aux_Totales!$A:$A,#REF!), 0))</f>
        <v/>
      </c>
      <c r="POI224" s="19" t="str">
        <f>IF(POI220 = "", "", IFERROR(POI220 / SUMIFS(Aux_Totales!$N:$N, Aux_Totales!$F:$F, $F224, Aux_Totales!$A:$A,#REF!), 0))</f>
        <v/>
      </c>
      <c r="POJ224" s="19" t="str">
        <f>IF(POJ220 = "", "", IFERROR(POJ220 / SUMIFS(Aux_Totales!$N:$N, Aux_Totales!$F:$F, $F224, Aux_Totales!$A:$A,#REF!), 0))</f>
        <v/>
      </c>
      <c r="POK224" s="19" t="str">
        <f>IF(POK220 = "", "", IFERROR(POK220 / SUMIFS(Aux_Totales!$N:$N, Aux_Totales!$F:$F, $F224, Aux_Totales!$A:$A,#REF!), 0))</f>
        <v/>
      </c>
      <c r="POL224" s="19" t="str">
        <f>IF(POL220 = "", "", IFERROR(POL220 / SUMIFS(Aux_Totales!$N:$N, Aux_Totales!$F:$F, $F224, Aux_Totales!$A:$A,#REF!), 0))</f>
        <v/>
      </c>
      <c r="POM224" s="19" t="str">
        <f>IF(POM220 = "", "", IFERROR(POM220 / SUMIFS(Aux_Totales!$N:$N, Aux_Totales!$F:$F, $F224, Aux_Totales!$A:$A,#REF!), 0))</f>
        <v/>
      </c>
      <c r="PON224" s="19" t="str">
        <f>IF(PON220 = "", "", IFERROR(PON220 / SUMIFS(Aux_Totales!$N:$N, Aux_Totales!$F:$F, $F224, Aux_Totales!$A:$A,#REF!), 0))</f>
        <v/>
      </c>
      <c r="POO224" s="19" t="str">
        <f>IF(POO220 = "", "", IFERROR(POO220 / SUMIFS(Aux_Totales!$N:$N, Aux_Totales!$F:$F, $F224, Aux_Totales!$A:$A,#REF!), 0))</f>
        <v/>
      </c>
      <c r="POP224" s="19" t="str">
        <f>IF(POP220 = "", "", IFERROR(POP220 / SUMIFS(Aux_Totales!$N:$N, Aux_Totales!$F:$F, $F224, Aux_Totales!$A:$A,#REF!), 0))</f>
        <v/>
      </c>
      <c r="POQ224" s="19" t="str">
        <f>IF(POQ220 = "", "", IFERROR(POQ220 / SUMIFS(Aux_Totales!$N:$N, Aux_Totales!$F:$F, $F224, Aux_Totales!$A:$A,#REF!), 0))</f>
        <v/>
      </c>
      <c r="POR224" s="19" t="str">
        <f>IF(POR220 = "", "", IFERROR(POR220 / SUMIFS(Aux_Totales!$N:$N, Aux_Totales!$F:$F, $F224, Aux_Totales!$A:$A,#REF!), 0))</f>
        <v/>
      </c>
      <c r="POS224" s="19" t="str">
        <f>IF(POS220 = "", "", IFERROR(POS220 / SUMIFS(Aux_Totales!$N:$N, Aux_Totales!$F:$F, $F224, Aux_Totales!$A:$A,#REF!), 0))</f>
        <v/>
      </c>
      <c r="POT224" s="19" t="str">
        <f>IF(POT220 = "", "", IFERROR(POT220 / SUMIFS(Aux_Totales!$N:$N, Aux_Totales!$F:$F, $F224, Aux_Totales!$A:$A,#REF!), 0))</f>
        <v/>
      </c>
      <c r="POU224" s="19" t="str">
        <f>IF(POU220 = "", "", IFERROR(POU220 / SUMIFS(Aux_Totales!$N:$N, Aux_Totales!$F:$F, $F224, Aux_Totales!$A:$A,#REF!), 0))</f>
        <v/>
      </c>
      <c r="POV224" s="19" t="str">
        <f>IF(POV220 = "", "", IFERROR(POV220 / SUMIFS(Aux_Totales!$N:$N, Aux_Totales!$F:$F, $F224, Aux_Totales!$A:$A,#REF!), 0))</f>
        <v/>
      </c>
      <c r="POW224" s="19" t="str">
        <f>IF(POW220 = "", "", IFERROR(POW220 / SUMIFS(Aux_Totales!$N:$N, Aux_Totales!$F:$F, $F224, Aux_Totales!$A:$A,#REF!), 0))</f>
        <v/>
      </c>
      <c r="POX224" s="19" t="str">
        <f>IF(POX220 = "", "", IFERROR(POX220 / SUMIFS(Aux_Totales!$N:$N, Aux_Totales!$F:$F, $F224, Aux_Totales!$A:$A,#REF!), 0))</f>
        <v/>
      </c>
      <c r="POY224" s="19" t="str">
        <f>IF(POY220 = "", "", IFERROR(POY220 / SUMIFS(Aux_Totales!$N:$N, Aux_Totales!$F:$F, $F224, Aux_Totales!$A:$A,#REF!), 0))</f>
        <v/>
      </c>
      <c r="POZ224" s="19" t="str">
        <f>IF(POZ220 = "", "", IFERROR(POZ220 / SUMIFS(Aux_Totales!$N:$N, Aux_Totales!$F:$F, $F224, Aux_Totales!$A:$A,#REF!), 0))</f>
        <v/>
      </c>
      <c r="PPA224" s="19" t="str">
        <f>IF(PPA220 = "", "", IFERROR(PPA220 / SUMIFS(Aux_Totales!$N:$N, Aux_Totales!$F:$F, $F224, Aux_Totales!$A:$A,#REF!), 0))</f>
        <v/>
      </c>
      <c r="PPB224" s="19" t="str">
        <f>IF(PPB220 = "", "", IFERROR(PPB220 / SUMIFS(Aux_Totales!$N:$N, Aux_Totales!$F:$F, $F224, Aux_Totales!$A:$A,#REF!), 0))</f>
        <v/>
      </c>
      <c r="PPC224" s="19" t="str">
        <f>IF(PPC220 = "", "", IFERROR(PPC220 / SUMIFS(Aux_Totales!$N:$N, Aux_Totales!$F:$F, $F224, Aux_Totales!$A:$A,#REF!), 0))</f>
        <v/>
      </c>
      <c r="PPD224" s="19" t="str">
        <f>IF(PPD220 = "", "", IFERROR(PPD220 / SUMIFS(Aux_Totales!$N:$N, Aux_Totales!$F:$F, $F224, Aux_Totales!$A:$A,#REF!), 0))</f>
        <v/>
      </c>
      <c r="PPE224" s="19" t="str">
        <f>IF(PPE220 = "", "", IFERROR(PPE220 / SUMIFS(Aux_Totales!$N:$N, Aux_Totales!$F:$F, $F224, Aux_Totales!$A:$A,#REF!), 0))</f>
        <v/>
      </c>
      <c r="PPF224" s="19" t="str">
        <f>IF(PPF220 = "", "", IFERROR(PPF220 / SUMIFS(Aux_Totales!$N:$N, Aux_Totales!$F:$F, $F224, Aux_Totales!$A:$A,#REF!), 0))</f>
        <v/>
      </c>
      <c r="PPG224" s="19" t="str">
        <f>IF(PPG220 = "", "", IFERROR(PPG220 / SUMIFS(Aux_Totales!$N:$N, Aux_Totales!$F:$F, $F224, Aux_Totales!$A:$A,#REF!), 0))</f>
        <v/>
      </c>
      <c r="PPH224" s="19" t="str">
        <f>IF(PPH220 = "", "", IFERROR(PPH220 / SUMIFS(Aux_Totales!$N:$N, Aux_Totales!$F:$F, $F224, Aux_Totales!$A:$A,#REF!), 0))</f>
        <v/>
      </c>
      <c r="PPI224" s="19" t="str">
        <f>IF(PPI220 = "", "", IFERROR(PPI220 / SUMIFS(Aux_Totales!$N:$N, Aux_Totales!$F:$F, $F224, Aux_Totales!$A:$A,#REF!), 0))</f>
        <v/>
      </c>
      <c r="PPJ224" s="19" t="str">
        <f>IF(PPJ220 = "", "", IFERROR(PPJ220 / SUMIFS(Aux_Totales!$N:$N, Aux_Totales!$F:$F, $F224, Aux_Totales!$A:$A,#REF!), 0))</f>
        <v/>
      </c>
      <c r="PPK224" s="19" t="str">
        <f>IF(PPK220 = "", "", IFERROR(PPK220 / SUMIFS(Aux_Totales!$N:$N, Aux_Totales!$F:$F, $F224, Aux_Totales!$A:$A,#REF!), 0))</f>
        <v/>
      </c>
      <c r="PPL224" s="19" t="str">
        <f>IF(PPL220 = "", "", IFERROR(PPL220 / SUMIFS(Aux_Totales!$N:$N, Aux_Totales!$F:$F, $F224, Aux_Totales!$A:$A,#REF!), 0))</f>
        <v/>
      </c>
      <c r="PPM224" s="19" t="str">
        <f>IF(PPM220 = "", "", IFERROR(PPM220 / SUMIFS(Aux_Totales!$N:$N, Aux_Totales!$F:$F, $F224, Aux_Totales!$A:$A,#REF!), 0))</f>
        <v/>
      </c>
      <c r="PPN224" s="19" t="str">
        <f>IF(PPN220 = "", "", IFERROR(PPN220 / SUMIFS(Aux_Totales!$N:$N, Aux_Totales!$F:$F, $F224, Aux_Totales!$A:$A,#REF!), 0))</f>
        <v/>
      </c>
      <c r="PPO224" s="19" t="str">
        <f>IF(PPO220 = "", "", IFERROR(PPO220 / SUMIFS(Aux_Totales!$N:$N, Aux_Totales!$F:$F, $F224, Aux_Totales!$A:$A,#REF!), 0))</f>
        <v/>
      </c>
      <c r="PPP224" s="19" t="str">
        <f>IF(PPP220 = "", "", IFERROR(PPP220 / SUMIFS(Aux_Totales!$N:$N, Aux_Totales!$F:$F, $F224, Aux_Totales!$A:$A,#REF!), 0))</f>
        <v/>
      </c>
      <c r="PPQ224" s="19" t="str">
        <f>IF(PPQ220 = "", "", IFERROR(PPQ220 / SUMIFS(Aux_Totales!$N:$N, Aux_Totales!$F:$F, $F224, Aux_Totales!$A:$A,#REF!), 0))</f>
        <v/>
      </c>
      <c r="PPR224" s="19" t="str">
        <f>IF(PPR220 = "", "", IFERROR(PPR220 / SUMIFS(Aux_Totales!$N:$N, Aux_Totales!$F:$F, $F224, Aux_Totales!$A:$A,#REF!), 0))</f>
        <v/>
      </c>
      <c r="PPS224" s="19" t="str">
        <f>IF(PPS220 = "", "", IFERROR(PPS220 / SUMIFS(Aux_Totales!$N:$N, Aux_Totales!$F:$F, $F224, Aux_Totales!$A:$A,#REF!), 0))</f>
        <v/>
      </c>
      <c r="PPT224" s="19" t="str">
        <f>IF(PPT220 = "", "", IFERROR(PPT220 / SUMIFS(Aux_Totales!$N:$N, Aux_Totales!$F:$F, $F224, Aux_Totales!$A:$A,#REF!), 0))</f>
        <v/>
      </c>
      <c r="PPU224" s="19" t="str">
        <f>IF(PPU220 = "", "", IFERROR(PPU220 / SUMIFS(Aux_Totales!$N:$N, Aux_Totales!$F:$F, $F224, Aux_Totales!$A:$A,#REF!), 0))</f>
        <v/>
      </c>
      <c r="PPV224" s="19" t="str">
        <f>IF(PPV220 = "", "", IFERROR(PPV220 / SUMIFS(Aux_Totales!$N:$N, Aux_Totales!$F:$F, $F224, Aux_Totales!$A:$A,#REF!), 0))</f>
        <v/>
      </c>
      <c r="PPW224" s="19" t="str">
        <f>IF(PPW220 = "", "", IFERROR(PPW220 / SUMIFS(Aux_Totales!$N:$N, Aux_Totales!$F:$F, $F224, Aux_Totales!$A:$A,#REF!), 0))</f>
        <v/>
      </c>
      <c r="PPX224" s="19" t="str">
        <f>IF(PPX220 = "", "", IFERROR(PPX220 / SUMIFS(Aux_Totales!$N:$N, Aux_Totales!$F:$F, $F224, Aux_Totales!$A:$A,#REF!), 0))</f>
        <v/>
      </c>
      <c r="PPY224" s="19" t="str">
        <f>IF(PPY220 = "", "", IFERROR(PPY220 / SUMIFS(Aux_Totales!$N:$N, Aux_Totales!$F:$F, $F224, Aux_Totales!$A:$A,#REF!), 0))</f>
        <v/>
      </c>
      <c r="PPZ224" s="19" t="str">
        <f>IF(PPZ220 = "", "", IFERROR(PPZ220 / SUMIFS(Aux_Totales!$N:$N, Aux_Totales!$F:$F, $F224, Aux_Totales!$A:$A,#REF!), 0))</f>
        <v/>
      </c>
      <c r="PQA224" s="19" t="str">
        <f>IF(PQA220 = "", "", IFERROR(PQA220 / SUMIFS(Aux_Totales!$N:$N, Aux_Totales!$F:$F, $F224, Aux_Totales!$A:$A,#REF!), 0))</f>
        <v/>
      </c>
      <c r="PQB224" s="19" t="str">
        <f>IF(PQB220 = "", "", IFERROR(PQB220 / SUMIFS(Aux_Totales!$N:$N, Aux_Totales!$F:$F, $F224, Aux_Totales!$A:$A,#REF!), 0))</f>
        <v/>
      </c>
      <c r="PQC224" s="19" t="str">
        <f>IF(PQC220 = "", "", IFERROR(PQC220 / SUMIFS(Aux_Totales!$N:$N, Aux_Totales!$F:$F, $F224, Aux_Totales!$A:$A,#REF!), 0))</f>
        <v/>
      </c>
      <c r="PQD224" s="19" t="str">
        <f>IF(PQD220 = "", "", IFERROR(PQD220 / SUMIFS(Aux_Totales!$N:$N, Aux_Totales!$F:$F, $F224, Aux_Totales!$A:$A,#REF!), 0))</f>
        <v/>
      </c>
      <c r="PQE224" s="19" t="str">
        <f>IF(PQE220 = "", "", IFERROR(PQE220 / SUMIFS(Aux_Totales!$N:$N, Aux_Totales!$F:$F, $F224, Aux_Totales!$A:$A,#REF!), 0))</f>
        <v/>
      </c>
      <c r="PQF224" s="19" t="str">
        <f>IF(PQF220 = "", "", IFERROR(PQF220 / SUMIFS(Aux_Totales!$N:$N, Aux_Totales!$F:$F, $F224, Aux_Totales!$A:$A,#REF!), 0))</f>
        <v/>
      </c>
      <c r="PQG224" s="19" t="str">
        <f>IF(PQG220 = "", "", IFERROR(PQG220 / SUMIFS(Aux_Totales!$N:$N, Aux_Totales!$F:$F, $F224, Aux_Totales!$A:$A,#REF!), 0))</f>
        <v/>
      </c>
      <c r="PQH224" s="19" t="str">
        <f>IF(PQH220 = "", "", IFERROR(PQH220 / SUMIFS(Aux_Totales!$N:$N, Aux_Totales!$F:$F, $F224, Aux_Totales!$A:$A,#REF!), 0))</f>
        <v/>
      </c>
      <c r="PQI224" s="19" t="str">
        <f>IF(PQI220 = "", "", IFERROR(PQI220 / SUMIFS(Aux_Totales!$N:$N, Aux_Totales!$F:$F, $F224, Aux_Totales!$A:$A,#REF!), 0))</f>
        <v/>
      </c>
      <c r="PQJ224" s="19" t="str">
        <f>IF(PQJ220 = "", "", IFERROR(PQJ220 / SUMIFS(Aux_Totales!$N:$N, Aux_Totales!$F:$F, $F224, Aux_Totales!$A:$A,#REF!), 0))</f>
        <v/>
      </c>
      <c r="PQK224" s="19" t="str">
        <f>IF(PQK220 = "", "", IFERROR(PQK220 / SUMIFS(Aux_Totales!$N:$N, Aux_Totales!$F:$F, $F224, Aux_Totales!$A:$A,#REF!), 0))</f>
        <v/>
      </c>
      <c r="PQL224" s="19" t="str">
        <f>IF(PQL220 = "", "", IFERROR(PQL220 / SUMIFS(Aux_Totales!$N:$N, Aux_Totales!$F:$F, $F224, Aux_Totales!$A:$A,#REF!), 0))</f>
        <v/>
      </c>
      <c r="PQM224" s="19" t="str">
        <f>IF(PQM220 = "", "", IFERROR(PQM220 / SUMIFS(Aux_Totales!$N:$N, Aux_Totales!$F:$F, $F224, Aux_Totales!$A:$A,#REF!), 0))</f>
        <v/>
      </c>
      <c r="PQN224" s="19" t="str">
        <f>IF(PQN220 = "", "", IFERROR(PQN220 / SUMIFS(Aux_Totales!$N:$N, Aux_Totales!$F:$F, $F224, Aux_Totales!$A:$A,#REF!), 0))</f>
        <v/>
      </c>
      <c r="PQO224" s="19" t="str">
        <f>IF(PQO220 = "", "", IFERROR(PQO220 / SUMIFS(Aux_Totales!$N:$N, Aux_Totales!$F:$F, $F224, Aux_Totales!$A:$A,#REF!), 0))</f>
        <v/>
      </c>
      <c r="PQP224" s="19" t="str">
        <f>IF(PQP220 = "", "", IFERROR(PQP220 / SUMIFS(Aux_Totales!$N:$N, Aux_Totales!$F:$F, $F224, Aux_Totales!$A:$A,#REF!), 0))</f>
        <v/>
      </c>
      <c r="PQQ224" s="19" t="str">
        <f>IF(PQQ220 = "", "", IFERROR(PQQ220 / SUMIFS(Aux_Totales!$N:$N, Aux_Totales!$F:$F, $F224, Aux_Totales!$A:$A,#REF!), 0))</f>
        <v/>
      </c>
      <c r="PQR224" s="19" t="str">
        <f>IF(PQR220 = "", "", IFERROR(PQR220 / SUMIFS(Aux_Totales!$N:$N, Aux_Totales!$F:$F, $F224, Aux_Totales!$A:$A,#REF!), 0))</f>
        <v/>
      </c>
      <c r="PQS224" s="19" t="str">
        <f>IF(PQS220 = "", "", IFERROR(PQS220 / SUMIFS(Aux_Totales!$N:$N, Aux_Totales!$F:$F, $F224, Aux_Totales!$A:$A,#REF!), 0))</f>
        <v/>
      </c>
      <c r="PQT224" s="19" t="str">
        <f>IF(PQT220 = "", "", IFERROR(PQT220 / SUMIFS(Aux_Totales!$N:$N, Aux_Totales!$F:$F, $F224, Aux_Totales!$A:$A,#REF!), 0))</f>
        <v/>
      </c>
      <c r="PQU224" s="19" t="str">
        <f>IF(PQU220 = "", "", IFERROR(PQU220 / SUMIFS(Aux_Totales!$N:$N, Aux_Totales!$F:$F, $F224, Aux_Totales!$A:$A,#REF!), 0))</f>
        <v/>
      </c>
      <c r="PQV224" s="19" t="str">
        <f>IF(PQV220 = "", "", IFERROR(PQV220 / SUMIFS(Aux_Totales!$N:$N, Aux_Totales!$F:$F, $F224, Aux_Totales!$A:$A,#REF!), 0))</f>
        <v/>
      </c>
      <c r="PQW224" s="19" t="str">
        <f>IF(PQW220 = "", "", IFERROR(PQW220 / SUMIFS(Aux_Totales!$N:$N, Aux_Totales!$F:$F, $F224, Aux_Totales!$A:$A,#REF!), 0))</f>
        <v/>
      </c>
      <c r="PQX224" s="19" t="str">
        <f>IF(PQX220 = "", "", IFERROR(PQX220 / SUMIFS(Aux_Totales!$N:$N, Aux_Totales!$F:$F, $F224, Aux_Totales!$A:$A,#REF!), 0))</f>
        <v/>
      </c>
      <c r="PQY224" s="19" t="str">
        <f>IF(PQY220 = "", "", IFERROR(PQY220 / SUMIFS(Aux_Totales!$N:$N, Aux_Totales!$F:$F, $F224, Aux_Totales!$A:$A,#REF!), 0))</f>
        <v/>
      </c>
      <c r="PQZ224" s="19" t="str">
        <f>IF(PQZ220 = "", "", IFERROR(PQZ220 / SUMIFS(Aux_Totales!$N:$N, Aux_Totales!$F:$F, $F224, Aux_Totales!$A:$A,#REF!), 0))</f>
        <v/>
      </c>
      <c r="PRA224" s="19" t="str">
        <f>IF(PRA220 = "", "", IFERROR(PRA220 / SUMIFS(Aux_Totales!$N:$N, Aux_Totales!$F:$F, $F224, Aux_Totales!$A:$A,#REF!), 0))</f>
        <v/>
      </c>
      <c r="PRB224" s="19" t="str">
        <f>IF(PRB220 = "", "", IFERROR(PRB220 / SUMIFS(Aux_Totales!$N:$N, Aux_Totales!$F:$F, $F224, Aux_Totales!$A:$A,#REF!), 0))</f>
        <v/>
      </c>
      <c r="PRC224" s="19" t="str">
        <f>IF(PRC220 = "", "", IFERROR(PRC220 / SUMIFS(Aux_Totales!$N:$N, Aux_Totales!$F:$F, $F224, Aux_Totales!$A:$A,#REF!), 0))</f>
        <v/>
      </c>
      <c r="PRD224" s="19" t="str">
        <f>IF(PRD220 = "", "", IFERROR(PRD220 / SUMIFS(Aux_Totales!$N:$N, Aux_Totales!$F:$F, $F224, Aux_Totales!$A:$A,#REF!), 0))</f>
        <v/>
      </c>
      <c r="PRE224" s="19" t="str">
        <f>IF(PRE220 = "", "", IFERROR(PRE220 / SUMIFS(Aux_Totales!$N:$N, Aux_Totales!$F:$F, $F224, Aux_Totales!$A:$A,#REF!), 0))</f>
        <v/>
      </c>
      <c r="PRF224" s="19" t="str">
        <f>IF(PRF220 = "", "", IFERROR(PRF220 / SUMIFS(Aux_Totales!$N:$N, Aux_Totales!$F:$F, $F224, Aux_Totales!$A:$A,#REF!), 0))</f>
        <v/>
      </c>
      <c r="PRG224" s="19" t="str">
        <f>IF(PRG220 = "", "", IFERROR(PRG220 / SUMIFS(Aux_Totales!$N:$N, Aux_Totales!$F:$F, $F224, Aux_Totales!$A:$A,#REF!), 0))</f>
        <v/>
      </c>
      <c r="PRH224" s="19" t="str">
        <f>IF(PRH220 = "", "", IFERROR(PRH220 / SUMIFS(Aux_Totales!$N:$N, Aux_Totales!$F:$F, $F224, Aux_Totales!$A:$A,#REF!), 0))</f>
        <v/>
      </c>
      <c r="PRI224" s="19" t="str">
        <f>IF(PRI220 = "", "", IFERROR(PRI220 / SUMIFS(Aux_Totales!$N:$N, Aux_Totales!$F:$F, $F224, Aux_Totales!$A:$A,#REF!), 0))</f>
        <v/>
      </c>
      <c r="PRJ224" s="19" t="str">
        <f>IF(PRJ220 = "", "", IFERROR(PRJ220 / SUMIFS(Aux_Totales!$N:$N, Aux_Totales!$F:$F, $F224, Aux_Totales!$A:$A,#REF!), 0))</f>
        <v/>
      </c>
      <c r="PRK224" s="19" t="str">
        <f>IF(PRK220 = "", "", IFERROR(PRK220 / SUMIFS(Aux_Totales!$N:$N, Aux_Totales!$F:$F, $F224, Aux_Totales!$A:$A,#REF!), 0))</f>
        <v/>
      </c>
      <c r="PRL224" s="19" t="str">
        <f>IF(PRL220 = "", "", IFERROR(PRL220 / SUMIFS(Aux_Totales!$N:$N, Aux_Totales!$F:$F, $F224, Aux_Totales!$A:$A,#REF!), 0))</f>
        <v/>
      </c>
      <c r="PRM224" s="19" t="str">
        <f>IF(PRM220 = "", "", IFERROR(PRM220 / SUMIFS(Aux_Totales!$N:$N, Aux_Totales!$F:$F, $F224, Aux_Totales!$A:$A,#REF!), 0))</f>
        <v/>
      </c>
      <c r="PRN224" s="19" t="str">
        <f>IF(PRN220 = "", "", IFERROR(PRN220 / SUMIFS(Aux_Totales!$N:$N, Aux_Totales!$F:$F, $F224, Aux_Totales!$A:$A,#REF!), 0))</f>
        <v/>
      </c>
      <c r="PRO224" s="19" t="str">
        <f>IF(PRO220 = "", "", IFERROR(PRO220 / SUMIFS(Aux_Totales!$N:$N, Aux_Totales!$F:$F, $F224, Aux_Totales!$A:$A,#REF!), 0))</f>
        <v/>
      </c>
      <c r="PRP224" s="19" t="str">
        <f>IF(PRP220 = "", "", IFERROR(PRP220 / SUMIFS(Aux_Totales!$N:$N, Aux_Totales!$F:$F, $F224, Aux_Totales!$A:$A,#REF!), 0))</f>
        <v/>
      </c>
      <c r="PRQ224" s="19" t="str">
        <f>IF(PRQ220 = "", "", IFERROR(PRQ220 / SUMIFS(Aux_Totales!$N:$N, Aux_Totales!$F:$F, $F224, Aux_Totales!$A:$A,#REF!), 0))</f>
        <v/>
      </c>
      <c r="PRR224" s="19" t="str">
        <f>IF(PRR220 = "", "", IFERROR(PRR220 / SUMIFS(Aux_Totales!$N:$N, Aux_Totales!$F:$F, $F224, Aux_Totales!$A:$A,#REF!), 0))</f>
        <v/>
      </c>
      <c r="PRS224" s="19" t="str">
        <f>IF(PRS220 = "", "", IFERROR(PRS220 / SUMIFS(Aux_Totales!$N:$N, Aux_Totales!$F:$F, $F224, Aux_Totales!$A:$A,#REF!), 0))</f>
        <v/>
      </c>
      <c r="PRT224" s="19" t="str">
        <f>IF(PRT220 = "", "", IFERROR(PRT220 / SUMIFS(Aux_Totales!$N:$N, Aux_Totales!$F:$F, $F224, Aux_Totales!$A:$A,#REF!), 0))</f>
        <v/>
      </c>
      <c r="PRU224" s="19" t="str">
        <f>IF(PRU220 = "", "", IFERROR(PRU220 / SUMIFS(Aux_Totales!$N:$N, Aux_Totales!$F:$F, $F224, Aux_Totales!$A:$A,#REF!), 0))</f>
        <v/>
      </c>
      <c r="PRV224" s="19" t="str">
        <f>IF(PRV220 = "", "", IFERROR(PRV220 / SUMIFS(Aux_Totales!$N:$N, Aux_Totales!$F:$F, $F224, Aux_Totales!$A:$A,#REF!), 0))</f>
        <v/>
      </c>
      <c r="PRW224" s="19" t="str">
        <f>IF(PRW220 = "", "", IFERROR(PRW220 / SUMIFS(Aux_Totales!$N:$N, Aux_Totales!$F:$F, $F224, Aux_Totales!$A:$A,#REF!), 0))</f>
        <v/>
      </c>
      <c r="PRX224" s="19" t="str">
        <f>IF(PRX220 = "", "", IFERROR(PRX220 / SUMIFS(Aux_Totales!$N:$N, Aux_Totales!$F:$F, $F224, Aux_Totales!$A:$A,#REF!), 0))</f>
        <v/>
      </c>
      <c r="PRY224" s="19" t="str">
        <f>IF(PRY220 = "", "", IFERROR(PRY220 / SUMIFS(Aux_Totales!$N:$N, Aux_Totales!$F:$F, $F224, Aux_Totales!$A:$A,#REF!), 0))</f>
        <v/>
      </c>
      <c r="PRZ224" s="19" t="str">
        <f>IF(PRZ220 = "", "", IFERROR(PRZ220 / SUMIFS(Aux_Totales!$N:$N, Aux_Totales!$F:$F, $F224, Aux_Totales!$A:$A,#REF!), 0))</f>
        <v/>
      </c>
      <c r="PSA224" s="19" t="str">
        <f>IF(PSA220 = "", "", IFERROR(PSA220 / SUMIFS(Aux_Totales!$N:$N, Aux_Totales!$F:$F, $F224, Aux_Totales!$A:$A,#REF!), 0))</f>
        <v/>
      </c>
      <c r="PSB224" s="19" t="str">
        <f>IF(PSB220 = "", "", IFERROR(PSB220 / SUMIFS(Aux_Totales!$N:$N, Aux_Totales!$F:$F, $F224, Aux_Totales!$A:$A,#REF!), 0))</f>
        <v/>
      </c>
      <c r="PSC224" s="19" t="str">
        <f>IF(PSC220 = "", "", IFERROR(PSC220 / SUMIFS(Aux_Totales!$N:$N, Aux_Totales!$F:$F, $F224, Aux_Totales!$A:$A,#REF!), 0))</f>
        <v/>
      </c>
      <c r="PSD224" s="19" t="str">
        <f>IF(PSD220 = "", "", IFERROR(PSD220 / SUMIFS(Aux_Totales!$N:$N, Aux_Totales!$F:$F, $F224, Aux_Totales!$A:$A,#REF!), 0))</f>
        <v/>
      </c>
      <c r="PSE224" s="19" t="str">
        <f>IF(PSE220 = "", "", IFERROR(PSE220 / SUMIFS(Aux_Totales!$N:$N, Aux_Totales!$F:$F, $F224, Aux_Totales!$A:$A,#REF!), 0))</f>
        <v/>
      </c>
      <c r="PSF224" s="19" t="str">
        <f>IF(PSF220 = "", "", IFERROR(PSF220 / SUMIFS(Aux_Totales!$N:$N, Aux_Totales!$F:$F, $F224, Aux_Totales!$A:$A,#REF!), 0))</f>
        <v/>
      </c>
      <c r="PSG224" s="19" t="str">
        <f>IF(PSG220 = "", "", IFERROR(PSG220 / SUMIFS(Aux_Totales!$N:$N, Aux_Totales!$F:$F, $F224, Aux_Totales!$A:$A,#REF!), 0))</f>
        <v/>
      </c>
      <c r="PSH224" s="19" t="str">
        <f>IF(PSH220 = "", "", IFERROR(PSH220 / SUMIFS(Aux_Totales!$N:$N, Aux_Totales!$F:$F, $F224, Aux_Totales!$A:$A,#REF!), 0))</f>
        <v/>
      </c>
      <c r="PSI224" s="19" t="str">
        <f>IF(PSI220 = "", "", IFERROR(PSI220 / SUMIFS(Aux_Totales!$N:$N, Aux_Totales!$F:$F, $F224, Aux_Totales!$A:$A,#REF!), 0))</f>
        <v/>
      </c>
      <c r="PSJ224" s="19" t="str">
        <f>IF(PSJ220 = "", "", IFERROR(PSJ220 / SUMIFS(Aux_Totales!$N:$N, Aux_Totales!$F:$F, $F224, Aux_Totales!$A:$A,#REF!), 0))</f>
        <v/>
      </c>
      <c r="PSK224" s="19" t="str">
        <f>IF(PSK220 = "", "", IFERROR(PSK220 / SUMIFS(Aux_Totales!$N:$N, Aux_Totales!$F:$F, $F224, Aux_Totales!$A:$A,#REF!), 0))</f>
        <v/>
      </c>
      <c r="PSL224" s="19" t="str">
        <f>IF(PSL220 = "", "", IFERROR(PSL220 / SUMIFS(Aux_Totales!$N:$N, Aux_Totales!$F:$F, $F224, Aux_Totales!$A:$A,#REF!), 0))</f>
        <v/>
      </c>
      <c r="PSM224" s="19" t="str">
        <f>IF(PSM220 = "", "", IFERROR(PSM220 / SUMIFS(Aux_Totales!$N:$N, Aux_Totales!$F:$F, $F224, Aux_Totales!$A:$A,#REF!), 0))</f>
        <v/>
      </c>
      <c r="PSN224" s="19" t="str">
        <f>IF(PSN220 = "", "", IFERROR(PSN220 / SUMIFS(Aux_Totales!$N:$N, Aux_Totales!$F:$F, $F224, Aux_Totales!$A:$A,#REF!), 0))</f>
        <v/>
      </c>
      <c r="PSO224" s="19" t="str">
        <f>IF(PSO220 = "", "", IFERROR(PSO220 / SUMIFS(Aux_Totales!$N:$N, Aux_Totales!$F:$F, $F224, Aux_Totales!$A:$A,#REF!), 0))</f>
        <v/>
      </c>
      <c r="PSP224" s="19" t="str">
        <f>IF(PSP220 = "", "", IFERROR(PSP220 / SUMIFS(Aux_Totales!$N:$N, Aux_Totales!$F:$F, $F224, Aux_Totales!$A:$A,#REF!), 0))</f>
        <v/>
      </c>
      <c r="PSQ224" s="19" t="str">
        <f>IF(PSQ220 = "", "", IFERROR(PSQ220 / SUMIFS(Aux_Totales!$N:$N, Aux_Totales!$F:$F, $F224, Aux_Totales!$A:$A,#REF!), 0))</f>
        <v/>
      </c>
      <c r="PSR224" s="19" t="str">
        <f>IF(PSR220 = "", "", IFERROR(PSR220 / SUMIFS(Aux_Totales!$N:$N, Aux_Totales!$F:$F, $F224, Aux_Totales!$A:$A,#REF!), 0))</f>
        <v/>
      </c>
      <c r="PSS224" s="19" t="str">
        <f>IF(PSS220 = "", "", IFERROR(PSS220 / SUMIFS(Aux_Totales!$N:$N, Aux_Totales!$F:$F, $F224, Aux_Totales!$A:$A,#REF!), 0))</f>
        <v/>
      </c>
      <c r="PST224" s="19" t="str">
        <f>IF(PST220 = "", "", IFERROR(PST220 / SUMIFS(Aux_Totales!$N:$N, Aux_Totales!$F:$F, $F224, Aux_Totales!$A:$A,#REF!), 0))</f>
        <v/>
      </c>
      <c r="PSU224" s="19" t="str">
        <f>IF(PSU220 = "", "", IFERROR(PSU220 / SUMIFS(Aux_Totales!$N:$N, Aux_Totales!$F:$F, $F224, Aux_Totales!$A:$A,#REF!), 0))</f>
        <v/>
      </c>
      <c r="PSV224" s="19" t="str">
        <f>IF(PSV220 = "", "", IFERROR(PSV220 / SUMIFS(Aux_Totales!$N:$N, Aux_Totales!$F:$F, $F224, Aux_Totales!$A:$A,#REF!), 0))</f>
        <v/>
      </c>
      <c r="PSW224" s="19" t="str">
        <f>IF(PSW220 = "", "", IFERROR(PSW220 / SUMIFS(Aux_Totales!$N:$N, Aux_Totales!$F:$F, $F224, Aux_Totales!$A:$A,#REF!), 0))</f>
        <v/>
      </c>
      <c r="PSX224" s="19" t="str">
        <f>IF(PSX220 = "", "", IFERROR(PSX220 / SUMIFS(Aux_Totales!$N:$N, Aux_Totales!$F:$F, $F224, Aux_Totales!$A:$A,#REF!), 0))</f>
        <v/>
      </c>
      <c r="PSY224" s="19" t="str">
        <f>IF(PSY220 = "", "", IFERROR(PSY220 / SUMIFS(Aux_Totales!$N:$N, Aux_Totales!$F:$F, $F224, Aux_Totales!$A:$A,#REF!), 0))</f>
        <v/>
      </c>
      <c r="PSZ224" s="19" t="str">
        <f>IF(PSZ220 = "", "", IFERROR(PSZ220 / SUMIFS(Aux_Totales!$N:$N, Aux_Totales!$F:$F, $F224, Aux_Totales!$A:$A,#REF!), 0))</f>
        <v/>
      </c>
      <c r="PTA224" s="19" t="str">
        <f>IF(PTA220 = "", "", IFERROR(PTA220 / SUMIFS(Aux_Totales!$N:$N, Aux_Totales!$F:$F, $F224, Aux_Totales!$A:$A,#REF!), 0))</f>
        <v/>
      </c>
      <c r="PTB224" s="19" t="str">
        <f>IF(PTB220 = "", "", IFERROR(PTB220 / SUMIFS(Aux_Totales!$N:$N, Aux_Totales!$F:$F, $F224, Aux_Totales!$A:$A,#REF!), 0))</f>
        <v/>
      </c>
      <c r="PTC224" s="19" t="str">
        <f>IF(PTC220 = "", "", IFERROR(PTC220 / SUMIFS(Aux_Totales!$N:$N, Aux_Totales!$F:$F, $F224, Aux_Totales!$A:$A,#REF!), 0))</f>
        <v/>
      </c>
      <c r="PTD224" s="19" t="str">
        <f>IF(PTD220 = "", "", IFERROR(PTD220 / SUMIFS(Aux_Totales!$N:$N, Aux_Totales!$F:$F, $F224, Aux_Totales!$A:$A,#REF!), 0))</f>
        <v/>
      </c>
      <c r="PTE224" s="19" t="str">
        <f>IF(PTE220 = "", "", IFERROR(PTE220 / SUMIFS(Aux_Totales!$N:$N, Aux_Totales!$F:$F, $F224, Aux_Totales!$A:$A,#REF!), 0))</f>
        <v/>
      </c>
      <c r="PTF224" s="19" t="str">
        <f>IF(PTF220 = "", "", IFERROR(PTF220 / SUMIFS(Aux_Totales!$N:$N, Aux_Totales!$F:$F, $F224, Aux_Totales!$A:$A,#REF!), 0))</f>
        <v/>
      </c>
      <c r="PTG224" s="19" t="str">
        <f>IF(PTG220 = "", "", IFERROR(PTG220 / SUMIFS(Aux_Totales!$N:$N, Aux_Totales!$F:$F, $F224, Aux_Totales!$A:$A,#REF!), 0))</f>
        <v/>
      </c>
      <c r="PTH224" s="19" t="str">
        <f>IF(PTH220 = "", "", IFERROR(PTH220 / SUMIFS(Aux_Totales!$N:$N, Aux_Totales!$F:$F, $F224, Aux_Totales!$A:$A,#REF!), 0))</f>
        <v/>
      </c>
      <c r="PTI224" s="19" t="str">
        <f>IF(PTI220 = "", "", IFERROR(PTI220 / SUMIFS(Aux_Totales!$N:$N, Aux_Totales!$F:$F, $F224, Aux_Totales!$A:$A,#REF!), 0))</f>
        <v/>
      </c>
      <c r="PTJ224" s="19" t="str">
        <f>IF(PTJ220 = "", "", IFERROR(PTJ220 / SUMIFS(Aux_Totales!$N:$N, Aux_Totales!$F:$F, $F224, Aux_Totales!$A:$A,#REF!), 0))</f>
        <v/>
      </c>
      <c r="PTK224" s="19" t="str">
        <f>IF(PTK220 = "", "", IFERROR(PTK220 / SUMIFS(Aux_Totales!$N:$N, Aux_Totales!$F:$F, $F224, Aux_Totales!$A:$A,#REF!), 0))</f>
        <v/>
      </c>
      <c r="PTL224" s="19" t="str">
        <f>IF(PTL220 = "", "", IFERROR(PTL220 / SUMIFS(Aux_Totales!$N:$N, Aux_Totales!$F:$F, $F224, Aux_Totales!$A:$A,#REF!), 0))</f>
        <v/>
      </c>
      <c r="PTM224" s="19" t="str">
        <f>IF(PTM220 = "", "", IFERROR(PTM220 / SUMIFS(Aux_Totales!$N:$N, Aux_Totales!$F:$F, $F224, Aux_Totales!$A:$A,#REF!), 0))</f>
        <v/>
      </c>
      <c r="PTN224" s="19" t="str">
        <f>IF(PTN220 = "", "", IFERROR(PTN220 / SUMIFS(Aux_Totales!$N:$N, Aux_Totales!$F:$F, $F224, Aux_Totales!$A:$A,#REF!), 0))</f>
        <v/>
      </c>
      <c r="PTO224" s="19" t="str">
        <f>IF(PTO220 = "", "", IFERROR(PTO220 / SUMIFS(Aux_Totales!$N:$N, Aux_Totales!$F:$F, $F224, Aux_Totales!$A:$A,#REF!), 0))</f>
        <v/>
      </c>
      <c r="PTP224" s="19" t="str">
        <f>IF(PTP220 = "", "", IFERROR(PTP220 / SUMIFS(Aux_Totales!$N:$N, Aux_Totales!$F:$F, $F224, Aux_Totales!$A:$A,#REF!), 0))</f>
        <v/>
      </c>
      <c r="PTQ224" s="19" t="str">
        <f>IF(PTQ220 = "", "", IFERROR(PTQ220 / SUMIFS(Aux_Totales!$N:$N, Aux_Totales!$F:$F, $F224, Aux_Totales!$A:$A,#REF!), 0))</f>
        <v/>
      </c>
      <c r="PTR224" s="19" t="str">
        <f>IF(PTR220 = "", "", IFERROR(PTR220 / SUMIFS(Aux_Totales!$N:$N, Aux_Totales!$F:$F, $F224, Aux_Totales!$A:$A,#REF!), 0))</f>
        <v/>
      </c>
      <c r="PTS224" s="19" t="str">
        <f>IF(PTS220 = "", "", IFERROR(PTS220 / SUMIFS(Aux_Totales!$N:$N, Aux_Totales!$F:$F, $F224, Aux_Totales!$A:$A,#REF!), 0))</f>
        <v/>
      </c>
      <c r="PTT224" s="19" t="str">
        <f>IF(PTT220 = "", "", IFERROR(PTT220 / SUMIFS(Aux_Totales!$N:$N, Aux_Totales!$F:$F, $F224, Aux_Totales!$A:$A,#REF!), 0))</f>
        <v/>
      </c>
      <c r="PTU224" s="19" t="str">
        <f>IF(PTU220 = "", "", IFERROR(PTU220 / SUMIFS(Aux_Totales!$N:$N, Aux_Totales!$F:$F, $F224, Aux_Totales!$A:$A,#REF!), 0))</f>
        <v/>
      </c>
      <c r="PTV224" s="19" t="str">
        <f>IF(PTV220 = "", "", IFERROR(PTV220 / SUMIFS(Aux_Totales!$N:$N, Aux_Totales!$F:$F, $F224, Aux_Totales!$A:$A,#REF!), 0))</f>
        <v/>
      </c>
      <c r="PTW224" s="19" t="str">
        <f>IF(PTW220 = "", "", IFERROR(PTW220 / SUMIFS(Aux_Totales!$N:$N, Aux_Totales!$F:$F, $F224, Aux_Totales!$A:$A,#REF!), 0))</f>
        <v/>
      </c>
      <c r="PTX224" s="19" t="str">
        <f>IF(PTX220 = "", "", IFERROR(PTX220 / SUMIFS(Aux_Totales!$N:$N, Aux_Totales!$F:$F, $F224, Aux_Totales!$A:$A,#REF!), 0))</f>
        <v/>
      </c>
      <c r="PTY224" s="19" t="str">
        <f>IF(PTY220 = "", "", IFERROR(PTY220 / SUMIFS(Aux_Totales!$N:$N, Aux_Totales!$F:$F, $F224, Aux_Totales!$A:$A,#REF!), 0))</f>
        <v/>
      </c>
      <c r="PTZ224" s="19" t="str">
        <f>IF(PTZ220 = "", "", IFERROR(PTZ220 / SUMIFS(Aux_Totales!$N:$N, Aux_Totales!$F:$F, $F224, Aux_Totales!$A:$A,#REF!), 0))</f>
        <v/>
      </c>
      <c r="PUA224" s="19" t="str">
        <f>IF(PUA220 = "", "", IFERROR(PUA220 / SUMIFS(Aux_Totales!$N:$N, Aux_Totales!$F:$F, $F224, Aux_Totales!$A:$A,#REF!), 0))</f>
        <v/>
      </c>
      <c r="PUB224" s="19" t="str">
        <f>IF(PUB220 = "", "", IFERROR(PUB220 / SUMIFS(Aux_Totales!$N:$N, Aux_Totales!$F:$F, $F224, Aux_Totales!$A:$A,#REF!), 0))</f>
        <v/>
      </c>
      <c r="PUC224" s="19" t="str">
        <f>IF(PUC220 = "", "", IFERROR(PUC220 / SUMIFS(Aux_Totales!$N:$N, Aux_Totales!$F:$F, $F224, Aux_Totales!$A:$A,#REF!), 0))</f>
        <v/>
      </c>
      <c r="PUD224" s="19" t="str">
        <f>IF(PUD220 = "", "", IFERROR(PUD220 / SUMIFS(Aux_Totales!$N:$N, Aux_Totales!$F:$F, $F224, Aux_Totales!$A:$A,#REF!), 0))</f>
        <v/>
      </c>
      <c r="PUE224" s="19" t="str">
        <f>IF(PUE220 = "", "", IFERROR(PUE220 / SUMIFS(Aux_Totales!$N:$N, Aux_Totales!$F:$F, $F224, Aux_Totales!$A:$A,#REF!), 0))</f>
        <v/>
      </c>
      <c r="PUF224" s="19" t="str">
        <f>IF(PUF220 = "", "", IFERROR(PUF220 / SUMIFS(Aux_Totales!$N:$N, Aux_Totales!$F:$F, $F224, Aux_Totales!$A:$A,#REF!), 0))</f>
        <v/>
      </c>
      <c r="PUG224" s="19" t="str">
        <f>IF(PUG220 = "", "", IFERROR(PUG220 / SUMIFS(Aux_Totales!$N:$N, Aux_Totales!$F:$F, $F224, Aux_Totales!$A:$A,#REF!), 0))</f>
        <v/>
      </c>
      <c r="PUH224" s="19" t="str">
        <f>IF(PUH220 = "", "", IFERROR(PUH220 / SUMIFS(Aux_Totales!$N:$N, Aux_Totales!$F:$F, $F224, Aux_Totales!$A:$A,#REF!), 0))</f>
        <v/>
      </c>
      <c r="PUI224" s="19" t="str">
        <f>IF(PUI220 = "", "", IFERROR(PUI220 / SUMIFS(Aux_Totales!$N:$N, Aux_Totales!$F:$F, $F224, Aux_Totales!$A:$A,#REF!), 0))</f>
        <v/>
      </c>
      <c r="PUJ224" s="19" t="str">
        <f>IF(PUJ220 = "", "", IFERROR(PUJ220 / SUMIFS(Aux_Totales!$N:$N, Aux_Totales!$F:$F, $F224, Aux_Totales!$A:$A,#REF!), 0))</f>
        <v/>
      </c>
      <c r="PUK224" s="19" t="str">
        <f>IF(PUK220 = "", "", IFERROR(PUK220 / SUMIFS(Aux_Totales!$N:$N, Aux_Totales!$F:$F, $F224, Aux_Totales!$A:$A,#REF!), 0))</f>
        <v/>
      </c>
      <c r="PUL224" s="19" t="str">
        <f>IF(PUL220 = "", "", IFERROR(PUL220 / SUMIFS(Aux_Totales!$N:$N, Aux_Totales!$F:$F, $F224, Aux_Totales!$A:$A,#REF!), 0))</f>
        <v/>
      </c>
      <c r="PUM224" s="19" t="str">
        <f>IF(PUM220 = "", "", IFERROR(PUM220 / SUMIFS(Aux_Totales!$N:$N, Aux_Totales!$F:$F, $F224, Aux_Totales!$A:$A,#REF!), 0))</f>
        <v/>
      </c>
      <c r="PUN224" s="19" t="str">
        <f>IF(PUN220 = "", "", IFERROR(PUN220 / SUMIFS(Aux_Totales!$N:$N, Aux_Totales!$F:$F, $F224, Aux_Totales!$A:$A,#REF!), 0))</f>
        <v/>
      </c>
      <c r="PUO224" s="19" t="str">
        <f>IF(PUO220 = "", "", IFERROR(PUO220 / SUMIFS(Aux_Totales!$N:$N, Aux_Totales!$F:$F, $F224, Aux_Totales!$A:$A,#REF!), 0))</f>
        <v/>
      </c>
      <c r="PUP224" s="19" t="str">
        <f>IF(PUP220 = "", "", IFERROR(PUP220 / SUMIFS(Aux_Totales!$N:$N, Aux_Totales!$F:$F, $F224, Aux_Totales!$A:$A,#REF!), 0))</f>
        <v/>
      </c>
      <c r="PUQ224" s="19" t="str">
        <f>IF(PUQ220 = "", "", IFERROR(PUQ220 / SUMIFS(Aux_Totales!$N:$N, Aux_Totales!$F:$F, $F224, Aux_Totales!$A:$A,#REF!), 0))</f>
        <v/>
      </c>
      <c r="PUR224" s="19" t="str">
        <f>IF(PUR220 = "", "", IFERROR(PUR220 / SUMIFS(Aux_Totales!$N:$N, Aux_Totales!$F:$F, $F224, Aux_Totales!$A:$A,#REF!), 0))</f>
        <v/>
      </c>
      <c r="PUS224" s="19" t="str">
        <f>IF(PUS220 = "", "", IFERROR(PUS220 / SUMIFS(Aux_Totales!$N:$N, Aux_Totales!$F:$F, $F224, Aux_Totales!$A:$A,#REF!), 0))</f>
        <v/>
      </c>
      <c r="PUT224" s="19" t="str">
        <f>IF(PUT220 = "", "", IFERROR(PUT220 / SUMIFS(Aux_Totales!$N:$N, Aux_Totales!$F:$F, $F224, Aux_Totales!$A:$A,#REF!), 0))</f>
        <v/>
      </c>
      <c r="PUU224" s="19" t="str">
        <f>IF(PUU220 = "", "", IFERROR(PUU220 / SUMIFS(Aux_Totales!$N:$N, Aux_Totales!$F:$F, $F224, Aux_Totales!$A:$A,#REF!), 0))</f>
        <v/>
      </c>
      <c r="PUV224" s="19" t="str">
        <f>IF(PUV220 = "", "", IFERROR(PUV220 / SUMIFS(Aux_Totales!$N:$N, Aux_Totales!$F:$F, $F224, Aux_Totales!$A:$A,#REF!), 0))</f>
        <v/>
      </c>
      <c r="PUW224" s="19" t="str">
        <f>IF(PUW220 = "", "", IFERROR(PUW220 / SUMIFS(Aux_Totales!$N:$N, Aux_Totales!$F:$F, $F224, Aux_Totales!$A:$A,#REF!), 0))</f>
        <v/>
      </c>
      <c r="PUX224" s="19" t="str">
        <f>IF(PUX220 = "", "", IFERROR(PUX220 / SUMIFS(Aux_Totales!$N:$N, Aux_Totales!$F:$F, $F224, Aux_Totales!$A:$A,#REF!), 0))</f>
        <v/>
      </c>
      <c r="PUY224" s="19" t="str">
        <f>IF(PUY220 = "", "", IFERROR(PUY220 / SUMIFS(Aux_Totales!$N:$N, Aux_Totales!$F:$F, $F224, Aux_Totales!$A:$A,#REF!), 0))</f>
        <v/>
      </c>
      <c r="PUZ224" s="19" t="str">
        <f>IF(PUZ220 = "", "", IFERROR(PUZ220 / SUMIFS(Aux_Totales!$N:$N, Aux_Totales!$F:$F, $F224, Aux_Totales!$A:$A,#REF!), 0))</f>
        <v/>
      </c>
      <c r="PVA224" s="19" t="str">
        <f>IF(PVA220 = "", "", IFERROR(PVA220 / SUMIFS(Aux_Totales!$N:$N, Aux_Totales!$F:$F, $F224, Aux_Totales!$A:$A,#REF!), 0))</f>
        <v/>
      </c>
      <c r="PVB224" s="19" t="str">
        <f>IF(PVB220 = "", "", IFERROR(PVB220 / SUMIFS(Aux_Totales!$N:$N, Aux_Totales!$F:$F, $F224, Aux_Totales!$A:$A,#REF!), 0))</f>
        <v/>
      </c>
      <c r="PVC224" s="19" t="str">
        <f>IF(PVC220 = "", "", IFERROR(PVC220 / SUMIFS(Aux_Totales!$N:$N, Aux_Totales!$F:$F, $F224, Aux_Totales!$A:$A,#REF!), 0))</f>
        <v/>
      </c>
      <c r="PVD224" s="19" t="str">
        <f>IF(PVD220 = "", "", IFERROR(PVD220 / SUMIFS(Aux_Totales!$N:$N, Aux_Totales!$F:$F, $F224, Aux_Totales!$A:$A,#REF!), 0))</f>
        <v/>
      </c>
      <c r="PVE224" s="19" t="str">
        <f>IF(PVE220 = "", "", IFERROR(PVE220 / SUMIFS(Aux_Totales!$N:$N, Aux_Totales!$F:$F, $F224, Aux_Totales!$A:$A,#REF!), 0))</f>
        <v/>
      </c>
      <c r="PVF224" s="19" t="str">
        <f>IF(PVF220 = "", "", IFERROR(PVF220 / SUMIFS(Aux_Totales!$N:$N, Aux_Totales!$F:$F, $F224, Aux_Totales!$A:$A,#REF!), 0))</f>
        <v/>
      </c>
      <c r="PVG224" s="19" t="str">
        <f>IF(PVG220 = "", "", IFERROR(PVG220 / SUMIFS(Aux_Totales!$N:$N, Aux_Totales!$F:$F, $F224, Aux_Totales!$A:$A,#REF!), 0))</f>
        <v/>
      </c>
      <c r="PVH224" s="19" t="str">
        <f>IF(PVH220 = "", "", IFERROR(PVH220 / SUMIFS(Aux_Totales!$N:$N, Aux_Totales!$F:$F, $F224, Aux_Totales!$A:$A,#REF!), 0))</f>
        <v/>
      </c>
      <c r="PVI224" s="19" t="str">
        <f>IF(PVI220 = "", "", IFERROR(PVI220 / SUMIFS(Aux_Totales!$N:$N, Aux_Totales!$F:$F, $F224, Aux_Totales!$A:$A,#REF!), 0))</f>
        <v/>
      </c>
      <c r="PVJ224" s="19" t="str">
        <f>IF(PVJ220 = "", "", IFERROR(PVJ220 / SUMIFS(Aux_Totales!$N:$N, Aux_Totales!$F:$F, $F224, Aux_Totales!$A:$A,#REF!), 0))</f>
        <v/>
      </c>
      <c r="PVK224" s="19" t="str">
        <f>IF(PVK220 = "", "", IFERROR(PVK220 / SUMIFS(Aux_Totales!$N:$N, Aux_Totales!$F:$F, $F224, Aux_Totales!$A:$A,#REF!), 0))</f>
        <v/>
      </c>
      <c r="PVL224" s="19" t="str">
        <f>IF(PVL220 = "", "", IFERROR(PVL220 / SUMIFS(Aux_Totales!$N:$N, Aux_Totales!$F:$F, $F224, Aux_Totales!$A:$A,#REF!), 0))</f>
        <v/>
      </c>
      <c r="PVM224" s="19" t="str">
        <f>IF(PVM220 = "", "", IFERROR(PVM220 / SUMIFS(Aux_Totales!$N:$N, Aux_Totales!$F:$F, $F224, Aux_Totales!$A:$A,#REF!), 0))</f>
        <v/>
      </c>
      <c r="PVN224" s="19" t="str">
        <f>IF(PVN220 = "", "", IFERROR(PVN220 / SUMIFS(Aux_Totales!$N:$N, Aux_Totales!$F:$F, $F224, Aux_Totales!$A:$A,#REF!), 0))</f>
        <v/>
      </c>
      <c r="PVO224" s="19" t="str">
        <f>IF(PVO220 = "", "", IFERROR(PVO220 / SUMIFS(Aux_Totales!$N:$N, Aux_Totales!$F:$F, $F224, Aux_Totales!$A:$A,#REF!), 0))</f>
        <v/>
      </c>
      <c r="PVP224" s="19" t="str">
        <f>IF(PVP220 = "", "", IFERROR(PVP220 / SUMIFS(Aux_Totales!$N:$N, Aux_Totales!$F:$F, $F224, Aux_Totales!$A:$A,#REF!), 0))</f>
        <v/>
      </c>
      <c r="PVQ224" s="19" t="str">
        <f>IF(PVQ220 = "", "", IFERROR(PVQ220 / SUMIFS(Aux_Totales!$N:$N, Aux_Totales!$F:$F, $F224, Aux_Totales!$A:$A,#REF!), 0))</f>
        <v/>
      </c>
      <c r="PVR224" s="19" t="str">
        <f>IF(PVR220 = "", "", IFERROR(PVR220 / SUMIFS(Aux_Totales!$N:$N, Aux_Totales!$F:$F, $F224, Aux_Totales!$A:$A,#REF!), 0))</f>
        <v/>
      </c>
      <c r="PVS224" s="19" t="str">
        <f>IF(PVS220 = "", "", IFERROR(PVS220 / SUMIFS(Aux_Totales!$N:$N, Aux_Totales!$F:$F, $F224, Aux_Totales!$A:$A,#REF!), 0))</f>
        <v/>
      </c>
      <c r="PVT224" s="19" t="str">
        <f>IF(PVT220 = "", "", IFERROR(PVT220 / SUMIFS(Aux_Totales!$N:$N, Aux_Totales!$F:$F, $F224, Aux_Totales!$A:$A,#REF!), 0))</f>
        <v/>
      </c>
      <c r="PVU224" s="19" t="str">
        <f>IF(PVU220 = "", "", IFERROR(PVU220 / SUMIFS(Aux_Totales!$N:$N, Aux_Totales!$F:$F, $F224, Aux_Totales!$A:$A,#REF!), 0))</f>
        <v/>
      </c>
      <c r="PVV224" s="19" t="str">
        <f>IF(PVV220 = "", "", IFERROR(PVV220 / SUMIFS(Aux_Totales!$N:$N, Aux_Totales!$F:$F, $F224, Aux_Totales!$A:$A,#REF!), 0))</f>
        <v/>
      </c>
      <c r="PVW224" s="19" t="str">
        <f>IF(PVW220 = "", "", IFERROR(PVW220 / SUMIFS(Aux_Totales!$N:$N, Aux_Totales!$F:$F, $F224, Aux_Totales!$A:$A,#REF!), 0))</f>
        <v/>
      </c>
      <c r="PVX224" s="19" t="str">
        <f>IF(PVX220 = "", "", IFERROR(PVX220 / SUMIFS(Aux_Totales!$N:$N, Aux_Totales!$F:$F, $F224, Aux_Totales!$A:$A,#REF!), 0))</f>
        <v/>
      </c>
      <c r="PVY224" s="19" t="str">
        <f>IF(PVY220 = "", "", IFERROR(PVY220 / SUMIFS(Aux_Totales!$N:$N, Aux_Totales!$F:$F, $F224, Aux_Totales!$A:$A,#REF!), 0))</f>
        <v/>
      </c>
      <c r="PVZ224" s="19" t="str">
        <f>IF(PVZ220 = "", "", IFERROR(PVZ220 / SUMIFS(Aux_Totales!$N:$N, Aux_Totales!$F:$F, $F224, Aux_Totales!$A:$A,#REF!), 0))</f>
        <v/>
      </c>
      <c r="PWA224" s="19" t="str">
        <f>IF(PWA220 = "", "", IFERROR(PWA220 / SUMIFS(Aux_Totales!$N:$N, Aux_Totales!$F:$F, $F224, Aux_Totales!$A:$A,#REF!), 0))</f>
        <v/>
      </c>
      <c r="PWB224" s="19" t="str">
        <f>IF(PWB220 = "", "", IFERROR(PWB220 / SUMIFS(Aux_Totales!$N:$N, Aux_Totales!$F:$F, $F224, Aux_Totales!$A:$A,#REF!), 0))</f>
        <v/>
      </c>
      <c r="PWC224" s="19" t="str">
        <f>IF(PWC220 = "", "", IFERROR(PWC220 / SUMIFS(Aux_Totales!$N:$N, Aux_Totales!$F:$F, $F224, Aux_Totales!$A:$A,#REF!), 0))</f>
        <v/>
      </c>
      <c r="PWD224" s="19" t="str">
        <f>IF(PWD220 = "", "", IFERROR(PWD220 / SUMIFS(Aux_Totales!$N:$N, Aux_Totales!$F:$F, $F224, Aux_Totales!$A:$A,#REF!), 0))</f>
        <v/>
      </c>
      <c r="PWE224" s="19" t="str">
        <f>IF(PWE220 = "", "", IFERROR(PWE220 / SUMIFS(Aux_Totales!$N:$N, Aux_Totales!$F:$F, $F224, Aux_Totales!$A:$A,#REF!), 0))</f>
        <v/>
      </c>
      <c r="PWF224" s="19" t="str">
        <f>IF(PWF220 = "", "", IFERROR(PWF220 / SUMIFS(Aux_Totales!$N:$N, Aux_Totales!$F:$F, $F224, Aux_Totales!$A:$A,#REF!), 0))</f>
        <v/>
      </c>
      <c r="PWG224" s="19" t="str">
        <f>IF(PWG220 = "", "", IFERROR(PWG220 / SUMIFS(Aux_Totales!$N:$N, Aux_Totales!$F:$F, $F224, Aux_Totales!$A:$A,#REF!), 0))</f>
        <v/>
      </c>
      <c r="PWH224" s="19" t="str">
        <f>IF(PWH220 = "", "", IFERROR(PWH220 / SUMIFS(Aux_Totales!$N:$N, Aux_Totales!$F:$F, $F224, Aux_Totales!$A:$A,#REF!), 0))</f>
        <v/>
      </c>
      <c r="PWI224" s="19" t="str">
        <f>IF(PWI220 = "", "", IFERROR(PWI220 / SUMIFS(Aux_Totales!$N:$N, Aux_Totales!$F:$F, $F224, Aux_Totales!$A:$A,#REF!), 0))</f>
        <v/>
      </c>
      <c r="PWJ224" s="19" t="str">
        <f>IF(PWJ220 = "", "", IFERROR(PWJ220 / SUMIFS(Aux_Totales!$N:$N, Aux_Totales!$F:$F, $F224, Aux_Totales!$A:$A,#REF!), 0))</f>
        <v/>
      </c>
      <c r="PWK224" s="19" t="str">
        <f>IF(PWK220 = "", "", IFERROR(PWK220 / SUMIFS(Aux_Totales!$N:$N, Aux_Totales!$F:$F, $F224, Aux_Totales!$A:$A,#REF!), 0))</f>
        <v/>
      </c>
      <c r="PWL224" s="19" t="str">
        <f>IF(PWL220 = "", "", IFERROR(PWL220 / SUMIFS(Aux_Totales!$N:$N, Aux_Totales!$F:$F, $F224, Aux_Totales!$A:$A,#REF!), 0))</f>
        <v/>
      </c>
      <c r="PWM224" s="19" t="str">
        <f>IF(PWM220 = "", "", IFERROR(PWM220 / SUMIFS(Aux_Totales!$N:$N, Aux_Totales!$F:$F, $F224, Aux_Totales!$A:$A,#REF!), 0))</f>
        <v/>
      </c>
      <c r="PWN224" s="19" t="str">
        <f>IF(PWN220 = "", "", IFERROR(PWN220 / SUMIFS(Aux_Totales!$N:$N, Aux_Totales!$F:$F, $F224, Aux_Totales!$A:$A,#REF!), 0))</f>
        <v/>
      </c>
      <c r="PWO224" s="19" t="str">
        <f>IF(PWO220 = "", "", IFERROR(PWO220 / SUMIFS(Aux_Totales!$N:$N, Aux_Totales!$F:$F, $F224, Aux_Totales!$A:$A,#REF!), 0))</f>
        <v/>
      </c>
      <c r="PWP224" s="19" t="str">
        <f>IF(PWP220 = "", "", IFERROR(PWP220 / SUMIFS(Aux_Totales!$N:$N, Aux_Totales!$F:$F, $F224, Aux_Totales!$A:$A,#REF!), 0))</f>
        <v/>
      </c>
      <c r="PWQ224" s="19" t="str">
        <f>IF(PWQ220 = "", "", IFERROR(PWQ220 / SUMIFS(Aux_Totales!$N:$N, Aux_Totales!$F:$F, $F224, Aux_Totales!$A:$A,#REF!), 0))</f>
        <v/>
      </c>
      <c r="PWR224" s="19" t="str">
        <f>IF(PWR220 = "", "", IFERROR(PWR220 / SUMIFS(Aux_Totales!$N:$N, Aux_Totales!$F:$F, $F224, Aux_Totales!$A:$A,#REF!), 0))</f>
        <v/>
      </c>
      <c r="PWS224" s="19" t="str">
        <f>IF(PWS220 = "", "", IFERROR(PWS220 / SUMIFS(Aux_Totales!$N:$N, Aux_Totales!$F:$F, $F224, Aux_Totales!$A:$A,#REF!), 0))</f>
        <v/>
      </c>
      <c r="PWT224" s="19" t="str">
        <f>IF(PWT220 = "", "", IFERROR(PWT220 / SUMIFS(Aux_Totales!$N:$N, Aux_Totales!$F:$F, $F224, Aux_Totales!$A:$A,#REF!), 0))</f>
        <v/>
      </c>
      <c r="PWU224" s="19" t="str">
        <f>IF(PWU220 = "", "", IFERROR(PWU220 / SUMIFS(Aux_Totales!$N:$N, Aux_Totales!$F:$F, $F224, Aux_Totales!$A:$A,#REF!), 0))</f>
        <v/>
      </c>
      <c r="PWV224" s="19" t="str">
        <f>IF(PWV220 = "", "", IFERROR(PWV220 / SUMIFS(Aux_Totales!$N:$N, Aux_Totales!$F:$F, $F224, Aux_Totales!$A:$A,#REF!), 0))</f>
        <v/>
      </c>
      <c r="PWW224" s="19" t="str">
        <f>IF(PWW220 = "", "", IFERROR(PWW220 / SUMIFS(Aux_Totales!$N:$N, Aux_Totales!$F:$F, $F224, Aux_Totales!$A:$A,#REF!), 0))</f>
        <v/>
      </c>
      <c r="PWX224" s="19" t="str">
        <f>IF(PWX220 = "", "", IFERROR(PWX220 / SUMIFS(Aux_Totales!$N:$N, Aux_Totales!$F:$F, $F224, Aux_Totales!$A:$A,#REF!), 0))</f>
        <v/>
      </c>
      <c r="PWY224" s="19" t="str">
        <f>IF(PWY220 = "", "", IFERROR(PWY220 / SUMIFS(Aux_Totales!$N:$N, Aux_Totales!$F:$F, $F224, Aux_Totales!$A:$A,#REF!), 0))</f>
        <v/>
      </c>
      <c r="PWZ224" s="19" t="str">
        <f>IF(PWZ220 = "", "", IFERROR(PWZ220 / SUMIFS(Aux_Totales!$N:$N, Aux_Totales!$F:$F, $F224, Aux_Totales!$A:$A,#REF!), 0))</f>
        <v/>
      </c>
      <c r="PXA224" s="19" t="str">
        <f>IF(PXA220 = "", "", IFERROR(PXA220 / SUMIFS(Aux_Totales!$N:$N, Aux_Totales!$F:$F, $F224, Aux_Totales!$A:$A,#REF!), 0))</f>
        <v/>
      </c>
      <c r="PXB224" s="19" t="str">
        <f>IF(PXB220 = "", "", IFERROR(PXB220 / SUMIFS(Aux_Totales!$N:$N, Aux_Totales!$F:$F, $F224, Aux_Totales!$A:$A,#REF!), 0))</f>
        <v/>
      </c>
      <c r="PXC224" s="19" t="str">
        <f>IF(PXC220 = "", "", IFERROR(PXC220 / SUMIFS(Aux_Totales!$N:$N, Aux_Totales!$F:$F, $F224, Aux_Totales!$A:$A,#REF!), 0))</f>
        <v/>
      </c>
      <c r="PXD224" s="19" t="str">
        <f>IF(PXD220 = "", "", IFERROR(PXD220 / SUMIFS(Aux_Totales!$N:$N, Aux_Totales!$F:$F, $F224, Aux_Totales!$A:$A,#REF!), 0))</f>
        <v/>
      </c>
      <c r="PXE224" s="19" t="str">
        <f>IF(PXE220 = "", "", IFERROR(PXE220 / SUMIFS(Aux_Totales!$N:$N, Aux_Totales!$F:$F, $F224, Aux_Totales!$A:$A,#REF!), 0))</f>
        <v/>
      </c>
      <c r="PXF224" s="19" t="str">
        <f>IF(PXF220 = "", "", IFERROR(PXF220 / SUMIFS(Aux_Totales!$N:$N, Aux_Totales!$F:$F, $F224, Aux_Totales!$A:$A,#REF!), 0))</f>
        <v/>
      </c>
      <c r="PXG224" s="19" t="str">
        <f>IF(PXG220 = "", "", IFERROR(PXG220 / SUMIFS(Aux_Totales!$N:$N, Aux_Totales!$F:$F, $F224, Aux_Totales!$A:$A,#REF!), 0))</f>
        <v/>
      </c>
      <c r="PXH224" s="19" t="str">
        <f>IF(PXH220 = "", "", IFERROR(PXH220 / SUMIFS(Aux_Totales!$N:$N, Aux_Totales!$F:$F, $F224, Aux_Totales!$A:$A,#REF!), 0))</f>
        <v/>
      </c>
      <c r="PXI224" s="19" t="str">
        <f>IF(PXI220 = "", "", IFERROR(PXI220 / SUMIFS(Aux_Totales!$N:$N, Aux_Totales!$F:$F, $F224, Aux_Totales!$A:$A,#REF!), 0))</f>
        <v/>
      </c>
      <c r="PXJ224" s="19" t="str">
        <f>IF(PXJ220 = "", "", IFERROR(PXJ220 / SUMIFS(Aux_Totales!$N:$N, Aux_Totales!$F:$F, $F224, Aux_Totales!$A:$A,#REF!), 0))</f>
        <v/>
      </c>
      <c r="PXK224" s="19" t="str">
        <f>IF(PXK220 = "", "", IFERROR(PXK220 / SUMIFS(Aux_Totales!$N:$N, Aux_Totales!$F:$F, $F224, Aux_Totales!$A:$A,#REF!), 0))</f>
        <v/>
      </c>
      <c r="PXL224" s="19" t="str">
        <f>IF(PXL220 = "", "", IFERROR(PXL220 / SUMIFS(Aux_Totales!$N:$N, Aux_Totales!$F:$F, $F224, Aux_Totales!$A:$A,#REF!), 0))</f>
        <v/>
      </c>
      <c r="PXM224" s="19" t="str">
        <f>IF(PXM220 = "", "", IFERROR(PXM220 / SUMIFS(Aux_Totales!$N:$N, Aux_Totales!$F:$F, $F224, Aux_Totales!$A:$A,#REF!), 0))</f>
        <v/>
      </c>
      <c r="PXN224" s="19" t="str">
        <f>IF(PXN220 = "", "", IFERROR(PXN220 / SUMIFS(Aux_Totales!$N:$N, Aux_Totales!$F:$F, $F224, Aux_Totales!$A:$A,#REF!), 0))</f>
        <v/>
      </c>
      <c r="PXO224" s="19" t="str">
        <f>IF(PXO220 = "", "", IFERROR(PXO220 / SUMIFS(Aux_Totales!$N:$N, Aux_Totales!$F:$F, $F224, Aux_Totales!$A:$A,#REF!), 0))</f>
        <v/>
      </c>
      <c r="PXP224" s="19" t="str">
        <f>IF(PXP220 = "", "", IFERROR(PXP220 / SUMIFS(Aux_Totales!$N:$N, Aux_Totales!$F:$F, $F224, Aux_Totales!$A:$A,#REF!), 0))</f>
        <v/>
      </c>
      <c r="PXQ224" s="19" t="str">
        <f>IF(PXQ220 = "", "", IFERROR(PXQ220 / SUMIFS(Aux_Totales!$N:$N, Aux_Totales!$F:$F, $F224, Aux_Totales!$A:$A,#REF!), 0))</f>
        <v/>
      </c>
      <c r="PXR224" s="19" t="str">
        <f>IF(PXR220 = "", "", IFERROR(PXR220 / SUMIFS(Aux_Totales!$N:$N, Aux_Totales!$F:$F, $F224, Aux_Totales!$A:$A,#REF!), 0))</f>
        <v/>
      </c>
      <c r="PXS224" s="19" t="str">
        <f>IF(PXS220 = "", "", IFERROR(PXS220 / SUMIFS(Aux_Totales!$N:$N, Aux_Totales!$F:$F, $F224, Aux_Totales!$A:$A,#REF!), 0))</f>
        <v/>
      </c>
      <c r="PXT224" s="19" t="str">
        <f>IF(PXT220 = "", "", IFERROR(PXT220 / SUMIFS(Aux_Totales!$N:$N, Aux_Totales!$F:$F, $F224, Aux_Totales!$A:$A,#REF!), 0))</f>
        <v/>
      </c>
      <c r="PXU224" s="19" t="str">
        <f>IF(PXU220 = "", "", IFERROR(PXU220 / SUMIFS(Aux_Totales!$N:$N, Aux_Totales!$F:$F, $F224, Aux_Totales!$A:$A,#REF!), 0))</f>
        <v/>
      </c>
      <c r="PXV224" s="19" t="str">
        <f>IF(PXV220 = "", "", IFERROR(PXV220 / SUMIFS(Aux_Totales!$N:$N, Aux_Totales!$F:$F, $F224, Aux_Totales!$A:$A,#REF!), 0))</f>
        <v/>
      </c>
      <c r="PXW224" s="19" t="str">
        <f>IF(PXW220 = "", "", IFERROR(PXW220 / SUMIFS(Aux_Totales!$N:$N, Aux_Totales!$F:$F, $F224, Aux_Totales!$A:$A,#REF!), 0))</f>
        <v/>
      </c>
      <c r="PXX224" s="19" t="str">
        <f>IF(PXX220 = "", "", IFERROR(PXX220 / SUMIFS(Aux_Totales!$N:$N, Aux_Totales!$F:$F, $F224, Aux_Totales!$A:$A,#REF!), 0))</f>
        <v/>
      </c>
      <c r="PXY224" s="19" t="str">
        <f>IF(PXY220 = "", "", IFERROR(PXY220 / SUMIFS(Aux_Totales!$N:$N, Aux_Totales!$F:$F, $F224, Aux_Totales!$A:$A,#REF!), 0))</f>
        <v/>
      </c>
      <c r="PXZ224" s="19" t="str">
        <f>IF(PXZ220 = "", "", IFERROR(PXZ220 / SUMIFS(Aux_Totales!$N:$N, Aux_Totales!$F:$F, $F224, Aux_Totales!$A:$A,#REF!), 0))</f>
        <v/>
      </c>
      <c r="PYA224" s="19" t="str">
        <f>IF(PYA220 = "", "", IFERROR(PYA220 / SUMIFS(Aux_Totales!$N:$N, Aux_Totales!$F:$F, $F224, Aux_Totales!$A:$A,#REF!), 0))</f>
        <v/>
      </c>
      <c r="PYB224" s="19" t="str">
        <f>IF(PYB220 = "", "", IFERROR(PYB220 / SUMIFS(Aux_Totales!$N:$N, Aux_Totales!$F:$F, $F224, Aux_Totales!$A:$A,#REF!), 0))</f>
        <v/>
      </c>
      <c r="PYC224" s="19" t="str">
        <f>IF(PYC220 = "", "", IFERROR(PYC220 / SUMIFS(Aux_Totales!$N:$N, Aux_Totales!$F:$F, $F224, Aux_Totales!$A:$A,#REF!), 0))</f>
        <v/>
      </c>
      <c r="PYD224" s="19" t="str">
        <f>IF(PYD220 = "", "", IFERROR(PYD220 / SUMIFS(Aux_Totales!$N:$N, Aux_Totales!$F:$F, $F224, Aux_Totales!$A:$A,#REF!), 0))</f>
        <v/>
      </c>
      <c r="PYE224" s="19" t="str">
        <f>IF(PYE220 = "", "", IFERROR(PYE220 / SUMIFS(Aux_Totales!$N:$N, Aux_Totales!$F:$F, $F224, Aux_Totales!$A:$A,#REF!), 0))</f>
        <v/>
      </c>
      <c r="PYF224" s="19" t="str">
        <f>IF(PYF220 = "", "", IFERROR(PYF220 / SUMIFS(Aux_Totales!$N:$N, Aux_Totales!$F:$F, $F224, Aux_Totales!$A:$A,#REF!), 0))</f>
        <v/>
      </c>
      <c r="PYG224" s="19" t="str">
        <f>IF(PYG220 = "", "", IFERROR(PYG220 / SUMIFS(Aux_Totales!$N:$N, Aux_Totales!$F:$F, $F224, Aux_Totales!$A:$A,#REF!), 0))</f>
        <v/>
      </c>
      <c r="PYH224" s="19" t="str">
        <f>IF(PYH220 = "", "", IFERROR(PYH220 / SUMIFS(Aux_Totales!$N:$N, Aux_Totales!$F:$F, $F224, Aux_Totales!$A:$A,#REF!), 0))</f>
        <v/>
      </c>
      <c r="PYI224" s="19" t="str">
        <f>IF(PYI220 = "", "", IFERROR(PYI220 / SUMIFS(Aux_Totales!$N:$N, Aux_Totales!$F:$F, $F224, Aux_Totales!$A:$A,#REF!), 0))</f>
        <v/>
      </c>
      <c r="PYJ224" s="19" t="str">
        <f>IF(PYJ220 = "", "", IFERROR(PYJ220 / SUMIFS(Aux_Totales!$N:$N, Aux_Totales!$F:$F, $F224, Aux_Totales!$A:$A,#REF!), 0))</f>
        <v/>
      </c>
      <c r="PYK224" s="19" t="str">
        <f>IF(PYK220 = "", "", IFERROR(PYK220 / SUMIFS(Aux_Totales!$N:$N, Aux_Totales!$F:$F, $F224, Aux_Totales!$A:$A,#REF!), 0))</f>
        <v/>
      </c>
      <c r="PYL224" s="19" t="str">
        <f>IF(PYL220 = "", "", IFERROR(PYL220 / SUMIFS(Aux_Totales!$N:$N, Aux_Totales!$F:$F, $F224, Aux_Totales!$A:$A,#REF!), 0))</f>
        <v/>
      </c>
      <c r="PYM224" s="19" t="str">
        <f>IF(PYM220 = "", "", IFERROR(PYM220 / SUMIFS(Aux_Totales!$N:$N, Aux_Totales!$F:$F, $F224, Aux_Totales!$A:$A,#REF!), 0))</f>
        <v/>
      </c>
      <c r="PYN224" s="19" t="str">
        <f>IF(PYN220 = "", "", IFERROR(PYN220 / SUMIFS(Aux_Totales!$N:$N, Aux_Totales!$F:$F, $F224, Aux_Totales!$A:$A,#REF!), 0))</f>
        <v/>
      </c>
      <c r="PYO224" s="19" t="str">
        <f>IF(PYO220 = "", "", IFERROR(PYO220 / SUMIFS(Aux_Totales!$N:$N, Aux_Totales!$F:$F, $F224, Aux_Totales!$A:$A,#REF!), 0))</f>
        <v/>
      </c>
      <c r="PYP224" s="19" t="str">
        <f>IF(PYP220 = "", "", IFERROR(PYP220 / SUMIFS(Aux_Totales!$N:$N, Aux_Totales!$F:$F, $F224, Aux_Totales!$A:$A,#REF!), 0))</f>
        <v/>
      </c>
      <c r="PYQ224" s="19" t="str">
        <f>IF(PYQ220 = "", "", IFERROR(PYQ220 / SUMIFS(Aux_Totales!$N:$N, Aux_Totales!$F:$F, $F224, Aux_Totales!$A:$A,#REF!), 0))</f>
        <v/>
      </c>
      <c r="PYR224" s="19" t="str">
        <f>IF(PYR220 = "", "", IFERROR(PYR220 / SUMIFS(Aux_Totales!$N:$N, Aux_Totales!$F:$F, $F224, Aux_Totales!$A:$A,#REF!), 0))</f>
        <v/>
      </c>
      <c r="PYS224" s="19" t="str">
        <f>IF(PYS220 = "", "", IFERROR(PYS220 / SUMIFS(Aux_Totales!$N:$N, Aux_Totales!$F:$F, $F224, Aux_Totales!$A:$A,#REF!), 0))</f>
        <v/>
      </c>
      <c r="PYT224" s="19" t="str">
        <f>IF(PYT220 = "", "", IFERROR(PYT220 / SUMIFS(Aux_Totales!$N:$N, Aux_Totales!$F:$F, $F224, Aux_Totales!$A:$A,#REF!), 0))</f>
        <v/>
      </c>
      <c r="PYU224" s="19" t="str">
        <f>IF(PYU220 = "", "", IFERROR(PYU220 / SUMIFS(Aux_Totales!$N:$N, Aux_Totales!$F:$F, $F224, Aux_Totales!$A:$A,#REF!), 0))</f>
        <v/>
      </c>
      <c r="PYV224" s="19" t="str">
        <f>IF(PYV220 = "", "", IFERROR(PYV220 / SUMIFS(Aux_Totales!$N:$N, Aux_Totales!$F:$F, $F224, Aux_Totales!$A:$A,#REF!), 0))</f>
        <v/>
      </c>
      <c r="PYW224" s="19" t="str">
        <f>IF(PYW220 = "", "", IFERROR(PYW220 / SUMIFS(Aux_Totales!$N:$N, Aux_Totales!$F:$F, $F224, Aux_Totales!$A:$A,#REF!), 0))</f>
        <v/>
      </c>
      <c r="PYX224" s="19" t="str">
        <f>IF(PYX220 = "", "", IFERROR(PYX220 / SUMIFS(Aux_Totales!$N:$N, Aux_Totales!$F:$F, $F224, Aux_Totales!$A:$A,#REF!), 0))</f>
        <v/>
      </c>
      <c r="PYY224" s="19" t="str">
        <f>IF(PYY220 = "", "", IFERROR(PYY220 / SUMIFS(Aux_Totales!$N:$N, Aux_Totales!$F:$F, $F224, Aux_Totales!$A:$A,#REF!), 0))</f>
        <v/>
      </c>
      <c r="PYZ224" s="19" t="str">
        <f>IF(PYZ220 = "", "", IFERROR(PYZ220 / SUMIFS(Aux_Totales!$N:$N, Aux_Totales!$F:$F, $F224, Aux_Totales!$A:$A,#REF!), 0))</f>
        <v/>
      </c>
      <c r="PZA224" s="19" t="str">
        <f>IF(PZA220 = "", "", IFERROR(PZA220 / SUMIFS(Aux_Totales!$N:$N, Aux_Totales!$F:$F, $F224, Aux_Totales!$A:$A,#REF!), 0))</f>
        <v/>
      </c>
      <c r="PZB224" s="19" t="str">
        <f>IF(PZB220 = "", "", IFERROR(PZB220 / SUMIFS(Aux_Totales!$N:$N, Aux_Totales!$F:$F, $F224, Aux_Totales!$A:$A,#REF!), 0))</f>
        <v/>
      </c>
      <c r="PZC224" s="19" t="str">
        <f>IF(PZC220 = "", "", IFERROR(PZC220 / SUMIFS(Aux_Totales!$N:$N, Aux_Totales!$F:$F, $F224, Aux_Totales!$A:$A,#REF!), 0))</f>
        <v/>
      </c>
      <c r="PZD224" s="19" t="str">
        <f>IF(PZD220 = "", "", IFERROR(PZD220 / SUMIFS(Aux_Totales!$N:$N, Aux_Totales!$F:$F, $F224, Aux_Totales!$A:$A,#REF!), 0))</f>
        <v/>
      </c>
      <c r="PZE224" s="19" t="str">
        <f>IF(PZE220 = "", "", IFERROR(PZE220 / SUMIFS(Aux_Totales!$N:$N, Aux_Totales!$F:$F, $F224, Aux_Totales!$A:$A,#REF!), 0))</f>
        <v/>
      </c>
      <c r="PZF224" s="19" t="str">
        <f>IF(PZF220 = "", "", IFERROR(PZF220 / SUMIFS(Aux_Totales!$N:$N, Aux_Totales!$F:$F, $F224, Aux_Totales!$A:$A,#REF!), 0))</f>
        <v/>
      </c>
      <c r="PZG224" s="19" t="str">
        <f>IF(PZG220 = "", "", IFERROR(PZG220 / SUMIFS(Aux_Totales!$N:$N, Aux_Totales!$F:$F, $F224, Aux_Totales!$A:$A,#REF!), 0))</f>
        <v/>
      </c>
      <c r="PZH224" s="19" t="str">
        <f>IF(PZH220 = "", "", IFERROR(PZH220 / SUMIFS(Aux_Totales!$N:$N, Aux_Totales!$F:$F, $F224, Aux_Totales!$A:$A,#REF!), 0))</f>
        <v/>
      </c>
      <c r="PZI224" s="19" t="str">
        <f>IF(PZI220 = "", "", IFERROR(PZI220 / SUMIFS(Aux_Totales!$N:$N, Aux_Totales!$F:$F, $F224, Aux_Totales!$A:$A,#REF!), 0))</f>
        <v/>
      </c>
      <c r="PZJ224" s="19" t="str">
        <f>IF(PZJ220 = "", "", IFERROR(PZJ220 / SUMIFS(Aux_Totales!$N:$N, Aux_Totales!$F:$F, $F224, Aux_Totales!$A:$A,#REF!), 0))</f>
        <v/>
      </c>
      <c r="PZK224" s="19" t="str">
        <f>IF(PZK220 = "", "", IFERROR(PZK220 / SUMIFS(Aux_Totales!$N:$N, Aux_Totales!$F:$F, $F224, Aux_Totales!$A:$A,#REF!), 0))</f>
        <v/>
      </c>
      <c r="PZL224" s="19" t="str">
        <f>IF(PZL220 = "", "", IFERROR(PZL220 / SUMIFS(Aux_Totales!$N:$N, Aux_Totales!$F:$F, $F224, Aux_Totales!$A:$A,#REF!), 0))</f>
        <v/>
      </c>
      <c r="PZM224" s="19" t="str">
        <f>IF(PZM220 = "", "", IFERROR(PZM220 / SUMIFS(Aux_Totales!$N:$N, Aux_Totales!$F:$F, $F224, Aux_Totales!$A:$A,#REF!), 0))</f>
        <v/>
      </c>
      <c r="PZN224" s="19" t="str">
        <f>IF(PZN220 = "", "", IFERROR(PZN220 / SUMIFS(Aux_Totales!$N:$N, Aux_Totales!$F:$F, $F224, Aux_Totales!$A:$A,#REF!), 0))</f>
        <v/>
      </c>
      <c r="PZO224" s="19" t="str">
        <f>IF(PZO220 = "", "", IFERROR(PZO220 / SUMIFS(Aux_Totales!$N:$N, Aux_Totales!$F:$F, $F224, Aux_Totales!$A:$A,#REF!), 0))</f>
        <v/>
      </c>
      <c r="PZP224" s="19" t="str">
        <f>IF(PZP220 = "", "", IFERROR(PZP220 / SUMIFS(Aux_Totales!$N:$N, Aux_Totales!$F:$F, $F224, Aux_Totales!$A:$A,#REF!), 0))</f>
        <v/>
      </c>
      <c r="PZQ224" s="19" t="str">
        <f>IF(PZQ220 = "", "", IFERROR(PZQ220 / SUMIFS(Aux_Totales!$N:$N, Aux_Totales!$F:$F, $F224, Aux_Totales!$A:$A,#REF!), 0))</f>
        <v/>
      </c>
      <c r="PZR224" s="19" t="str">
        <f>IF(PZR220 = "", "", IFERROR(PZR220 / SUMIFS(Aux_Totales!$N:$N, Aux_Totales!$F:$F, $F224, Aux_Totales!$A:$A,#REF!), 0))</f>
        <v/>
      </c>
      <c r="PZS224" s="19" t="str">
        <f>IF(PZS220 = "", "", IFERROR(PZS220 / SUMIFS(Aux_Totales!$N:$N, Aux_Totales!$F:$F, $F224, Aux_Totales!$A:$A,#REF!), 0))</f>
        <v/>
      </c>
      <c r="PZT224" s="19" t="str">
        <f>IF(PZT220 = "", "", IFERROR(PZT220 / SUMIFS(Aux_Totales!$N:$N, Aux_Totales!$F:$F, $F224, Aux_Totales!$A:$A,#REF!), 0))</f>
        <v/>
      </c>
      <c r="PZU224" s="19" t="str">
        <f>IF(PZU220 = "", "", IFERROR(PZU220 / SUMIFS(Aux_Totales!$N:$N, Aux_Totales!$F:$F, $F224, Aux_Totales!$A:$A,#REF!), 0))</f>
        <v/>
      </c>
      <c r="PZV224" s="19" t="str">
        <f>IF(PZV220 = "", "", IFERROR(PZV220 / SUMIFS(Aux_Totales!$N:$N, Aux_Totales!$F:$F, $F224, Aux_Totales!$A:$A,#REF!), 0))</f>
        <v/>
      </c>
      <c r="PZW224" s="19" t="str">
        <f>IF(PZW220 = "", "", IFERROR(PZW220 / SUMIFS(Aux_Totales!$N:$N, Aux_Totales!$F:$F, $F224, Aux_Totales!$A:$A,#REF!), 0))</f>
        <v/>
      </c>
      <c r="PZX224" s="19" t="str">
        <f>IF(PZX220 = "", "", IFERROR(PZX220 / SUMIFS(Aux_Totales!$N:$N, Aux_Totales!$F:$F, $F224, Aux_Totales!$A:$A,#REF!), 0))</f>
        <v/>
      </c>
      <c r="PZY224" s="19" t="str">
        <f>IF(PZY220 = "", "", IFERROR(PZY220 / SUMIFS(Aux_Totales!$N:$N, Aux_Totales!$F:$F, $F224, Aux_Totales!$A:$A,#REF!), 0))</f>
        <v/>
      </c>
      <c r="PZZ224" s="19" t="str">
        <f>IF(PZZ220 = "", "", IFERROR(PZZ220 / SUMIFS(Aux_Totales!$N:$N, Aux_Totales!$F:$F, $F224, Aux_Totales!$A:$A,#REF!), 0))</f>
        <v/>
      </c>
      <c r="QAA224" s="19" t="str">
        <f>IF(QAA220 = "", "", IFERROR(QAA220 / SUMIFS(Aux_Totales!$N:$N, Aux_Totales!$F:$F, $F224, Aux_Totales!$A:$A,#REF!), 0))</f>
        <v/>
      </c>
      <c r="QAB224" s="19" t="str">
        <f>IF(QAB220 = "", "", IFERROR(QAB220 / SUMIFS(Aux_Totales!$N:$N, Aux_Totales!$F:$F, $F224, Aux_Totales!$A:$A,#REF!), 0))</f>
        <v/>
      </c>
      <c r="QAC224" s="19" t="str">
        <f>IF(QAC220 = "", "", IFERROR(QAC220 / SUMIFS(Aux_Totales!$N:$N, Aux_Totales!$F:$F, $F224, Aux_Totales!$A:$A,#REF!), 0))</f>
        <v/>
      </c>
      <c r="QAD224" s="19" t="str">
        <f>IF(QAD220 = "", "", IFERROR(QAD220 / SUMIFS(Aux_Totales!$N:$N, Aux_Totales!$F:$F, $F224, Aux_Totales!$A:$A,#REF!), 0))</f>
        <v/>
      </c>
      <c r="QAE224" s="19" t="str">
        <f>IF(QAE220 = "", "", IFERROR(QAE220 / SUMIFS(Aux_Totales!$N:$N, Aux_Totales!$F:$F, $F224, Aux_Totales!$A:$A,#REF!), 0))</f>
        <v/>
      </c>
      <c r="QAF224" s="19" t="str">
        <f>IF(QAF220 = "", "", IFERROR(QAF220 / SUMIFS(Aux_Totales!$N:$N, Aux_Totales!$F:$F, $F224, Aux_Totales!$A:$A,#REF!), 0))</f>
        <v/>
      </c>
      <c r="QAG224" s="19" t="str">
        <f>IF(QAG220 = "", "", IFERROR(QAG220 / SUMIFS(Aux_Totales!$N:$N, Aux_Totales!$F:$F, $F224, Aux_Totales!$A:$A,#REF!), 0))</f>
        <v/>
      </c>
      <c r="QAH224" s="19" t="str">
        <f>IF(QAH220 = "", "", IFERROR(QAH220 / SUMIFS(Aux_Totales!$N:$N, Aux_Totales!$F:$F, $F224, Aux_Totales!$A:$A,#REF!), 0))</f>
        <v/>
      </c>
      <c r="QAI224" s="19" t="str">
        <f>IF(QAI220 = "", "", IFERROR(QAI220 / SUMIFS(Aux_Totales!$N:$N, Aux_Totales!$F:$F, $F224, Aux_Totales!$A:$A,#REF!), 0))</f>
        <v/>
      </c>
      <c r="QAJ224" s="19" t="str">
        <f>IF(QAJ220 = "", "", IFERROR(QAJ220 / SUMIFS(Aux_Totales!$N:$N, Aux_Totales!$F:$F, $F224, Aux_Totales!$A:$A,#REF!), 0))</f>
        <v/>
      </c>
      <c r="QAK224" s="19" t="str">
        <f>IF(QAK220 = "", "", IFERROR(QAK220 / SUMIFS(Aux_Totales!$N:$N, Aux_Totales!$F:$F, $F224, Aux_Totales!$A:$A,#REF!), 0))</f>
        <v/>
      </c>
      <c r="QAL224" s="19" t="str">
        <f>IF(QAL220 = "", "", IFERROR(QAL220 / SUMIFS(Aux_Totales!$N:$N, Aux_Totales!$F:$F, $F224, Aux_Totales!$A:$A,#REF!), 0))</f>
        <v/>
      </c>
      <c r="QAM224" s="19" t="str">
        <f>IF(QAM220 = "", "", IFERROR(QAM220 / SUMIFS(Aux_Totales!$N:$N, Aux_Totales!$F:$F, $F224, Aux_Totales!$A:$A,#REF!), 0))</f>
        <v/>
      </c>
      <c r="QAN224" s="19" t="str">
        <f>IF(QAN220 = "", "", IFERROR(QAN220 / SUMIFS(Aux_Totales!$N:$N, Aux_Totales!$F:$F, $F224, Aux_Totales!$A:$A,#REF!), 0))</f>
        <v/>
      </c>
      <c r="QAO224" s="19" t="str">
        <f>IF(QAO220 = "", "", IFERROR(QAO220 / SUMIFS(Aux_Totales!$N:$N, Aux_Totales!$F:$F, $F224, Aux_Totales!$A:$A,#REF!), 0))</f>
        <v/>
      </c>
      <c r="QAP224" s="19" t="str">
        <f>IF(QAP220 = "", "", IFERROR(QAP220 / SUMIFS(Aux_Totales!$N:$N, Aux_Totales!$F:$F, $F224, Aux_Totales!$A:$A,#REF!), 0))</f>
        <v/>
      </c>
      <c r="QAQ224" s="19" t="str">
        <f>IF(QAQ220 = "", "", IFERROR(QAQ220 / SUMIFS(Aux_Totales!$N:$N, Aux_Totales!$F:$F, $F224, Aux_Totales!$A:$A,#REF!), 0))</f>
        <v/>
      </c>
      <c r="QAR224" s="19" t="str">
        <f>IF(QAR220 = "", "", IFERROR(QAR220 / SUMIFS(Aux_Totales!$N:$N, Aux_Totales!$F:$F, $F224, Aux_Totales!$A:$A,#REF!), 0))</f>
        <v/>
      </c>
      <c r="QAS224" s="19" t="str">
        <f>IF(QAS220 = "", "", IFERROR(QAS220 / SUMIFS(Aux_Totales!$N:$N, Aux_Totales!$F:$F, $F224, Aux_Totales!$A:$A,#REF!), 0))</f>
        <v/>
      </c>
      <c r="QAT224" s="19" t="str">
        <f>IF(QAT220 = "", "", IFERROR(QAT220 / SUMIFS(Aux_Totales!$N:$N, Aux_Totales!$F:$F, $F224, Aux_Totales!$A:$A,#REF!), 0))</f>
        <v/>
      </c>
      <c r="QAU224" s="19" t="str">
        <f>IF(QAU220 = "", "", IFERROR(QAU220 / SUMIFS(Aux_Totales!$N:$N, Aux_Totales!$F:$F, $F224, Aux_Totales!$A:$A,#REF!), 0))</f>
        <v/>
      </c>
      <c r="QAV224" s="19" t="str">
        <f>IF(QAV220 = "", "", IFERROR(QAV220 / SUMIFS(Aux_Totales!$N:$N, Aux_Totales!$F:$F, $F224, Aux_Totales!$A:$A,#REF!), 0))</f>
        <v/>
      </c>
      <c r="QAW224" s="19" t="str">
        <f>IF(QAW220 = "", "", IFERROR(QAW220 / SUMIFS(Aux_Totales!$N:$N, Aux_Totales!$F:$F, $F224, Aux_Totales!$A:$A,#REF!), 0))</f>
        <v/>
      </c>
      <c r="QAX224" s="19" t="str">
        <f>IF(QAX220 = "", "", IFERROR(QAX220 / SUMIFS(Aux_Totales!$N:$N, Aux_Totales!$F:$F, $F224, Aux_Totales!$A:$A,#REF!), 0))</f>
        <v/>
      </c>
      <c r="QAY224" s="19" t="str">
        <f>IF(QAY220 = "", "", IFERROR(QAY220 / SUMIFS(Aux_Totales!$N:$N, Aux_Totales!$F:$F, $F224, Aux_Totales!$A:$A,#REF!), 0))</f>
        <v/>
      </c>
      <c r="QAZ224" s="19" t="str">
        <f>IF(QAZ220 = "", "", IFERROR(QAZ220 / SUMIFS(Aux_Totales!$N:$N, Aux_Totales!$F:$F, $F224, Aux_Totales!$A:$A,#REF!), 0))</f>
        <v/>
      </c>
      <c r="QBA224" s="19" t="str">
        <f>IF(QBA220 = "", "", IFERROR(QBA220 / SUMIFS(Aux_Totales!$N:$N, Aux_Totales!$F:$F, $F224, Aux_Totales!$A:$A,#REF!), 0))</f>
        <v/>
      </c>
      <c r="QBB224" s="19" t="str">
        <f>IF(QBB220 = "", "", IFERROR(QBB220 / SUMIFS(Aux_Totales!$N:$N, Aux_Totales!$F:$F, $F224, Aux_Totales!$A:$A,#REF!), 0))</f>
        <v/>
      </c>
      <c r="QBC224" s="19" t="str">
        <f>IF(QBC220 = "", "", IFERROR(QBC220 / SUMIFS(Aux_Totales!$N:$N, Aux_Totales!$F:$F, $F224, Aux_Totales!$A:$A,#REF!), 0))</f>
        <v/>
      </c>
      <c r="QBD224" s="19" t="str">
        <f>IF(QBD220 = "", "", IFERROR(QBD220 / SUMIFS(Aux_Totales!$N:$N, Aux_Totales!$F:$F, $F224, Aux_Totales!$A:$A,#REF!), 0))</f>
        <v/>
      </c>
      <c r="QBE224" s="19" t="str">
        <f>IF(QBE220 = "", "", IFERROR(QBE220 / SUMIFS(Aux_Totales!$N:$N, Aux_Totales!$F:$F, $F224, Aux_Totales!$A:$A,#REF!), 0))</f>
        <v/>
      </c>
      <c r="QBF224" s="19" t="str">
        <f>IF(QBF220 = "", "", IFERROR(QBF220 / SUMIFS(Aux_Totales!$N:$N, Aux_Totales!$F:$F, $F224, Aux_Totales!$A:$A,#REF!), 0))</f>
        <v/>
      </c>
      <c r="QBG224" s="19" t="str">
        <f>IF(QBG220 = "", "", IFERROR(QBG220 / SUMIFS(Aux_Totales!$N:$N, Aux_Totales!$F:$F, $F224, Aux_Totales!$A:$A,#REF!), 0))</f>
        <v/>
      </c>
      <c r="QBH224" s="19" t="str">
        <f>IF(QBH220 = "", "", IFERROR(QBH220 / SUMIFS(Aux_Totales!$N:$N, Aux_Totales!$F:$F, $F224, Aux_Totales!$A:$A,#REF!), 0))</f>
        <v/>
      </c>
      <c r="QBI224" s="19" t="str">
        <f>IF(QBI220 = "", "", IFERROR(QBI220 / SUMIFS(Aux_Totales!$N:$N, Aux_Totales!$F:$F, $F224, Aux_Totales!$A:$A,#REF!), 0))</f>
        <v/>
      </c>
      <c r="QBJ224" s="19" t="str">
        <f>IF(QBJ220 = "", "", IFERROR(QBJ220 / SUMIFS(Aux_Totales!$N:$N, Aux_Totales!$F:$F, $F224, Aux_Totales!$A:$A,#REF!), 0))</f>
        <v/>
      </c>
      <c r="QBK224" s="19" t="str">
        <f>IF(QBK220 = "", "", IFERROR(QBK220 / SUMIFS(Aux_Totales!$N:$N, Aux_Totales!$F:$F, $F224, Aux_Totales!$A:$A,#REF!), 0))</f>
        <v/>
      </c>
      <c r="QBL224" s="19" t="str">
        <f>IF(QBL220 = "", "", IFERROR(QBL220 / SUMIFS(Aux_Totales!$N:$N, Aux_Totales!$F:$F, $F224, Aux_Totales!$A:$A,#REF!), 0))</f>
        <v/>
      </c>
      <c r="QBM224" s="19" t="str">
        <f>IF(QBM220 = "", "", IFERROR(QBM220 / SUMIFS(Aux_Totales!$N:$N, Aux_Totales!$F:$F, $F224, Aux_Totales!$A:$A,#REF!), 0))</f>
        <v/>
      </c>
      <c r="QBN224" s="19" t="str">
        <f>IF(QBN220 = "", "", IFERROR(QBN220 / SUMIFS(Aux_Totales!$N:$N, Aux_Totales!$F:$F, $F224, Aux_Totales!$A:$A,#REF!), 0))</f>
        <v/>
      </c>
      <c r="QBO224" s="19" t="str">
        <f>IF(QBO220 = "", "", IFERROR(QBO220 / SUMIFS(Aux_Totales!$N:$N, Aux_Totales!$F:$F, $F224, Aux_Totales!$A:$A,#REF!), 0))</f>
        <v/>
      </c>
      <c r="QBP224" s="19" t="str">
        <f>IF(QBP220 = "", "", IFERROR(QBP220 / SUMIFS(Aux_Totales!$N:$N, Aux_Totales!$F:$F, $F224, Aux_Totales!$A:$A,#REF!), 0))</f>
        <v/>
      </c>
      <c r="QBQ224" s="19" t="str">
        <f>IF(QBQ220 = "", "", IFERROR(QBQ220 / SUMIFS(Aux_Totales!$N:$N, Aux_Totales!$F:$F, $F224, Aux_Totales!$A:$A,#REF!), 0))</f>
        <v/>
      </c>
      <c r="QBR224" s="19" t="str">
        <f>IF(QBR220 = "", "", IFERROR(QBR220 / SUMIFS(Aux_Totales!$N:$N, Aux_Totales!$F:$F, $F224, Aux_Totales!$A:$A,#REF!), 0))</f>
        <v/>
      </c>
      <c r="QBS224" s="19" t="str">
        <f>IF(QBS220 = "", "", IFERROR(QBS220 / SUMIFS(Aux_Totales!$N:$N, Aux_Totales!$F:$F, $F224, Aux_Totales!$A:$A,#REF!), 0))</f>
        <v/>
      </c>
      <c r="QBT224" s="19" t="str">
        <f>IF(QBT220 = "", "", IFERROR(QBT220 / SUMIFS(Aux_Totales!$N:$N, Aux_Totales!$F:$F, $F224, Aux_Totales!$A:$A,#REF!), 0))</f>
        <v/>
      </c>
      <c r="QBU224" s="19" t="str">
        <f>IF(QBU220 = "", "", IFERROR(QBU220 / SUMIFS(Aux_Totales!$N:$N, Aux_Totales!$F:$F, $F224, Aux_Totales!$A:$A,#REF!), 0))</f>
        <v/>
      </c>
      <c r="QBV224" s="19" t="str">
        <f>IF(QBV220 = "", "", IFERROR(QBV220 / SUMIFS(Aux_Totales!$N:$N, Aux_Totales!$F:$F, $F224, Aux_Totales!$A:$A,#REF!), 0))</f>
        <v/>
      </c>
      <c r="QBW224" s="19" t="str">
        <f>IF(QBW220 = "", "", IFERROR(QBW220 / SUMIFS(Aux_Totales!$N:$N, Aux_Totales!$F:$F, $F224, Aux_Totales!$A:$A,#REF!), 0))</f>
        <v/>
      </c>
      <c r="QBX224" s="19" t="str">
        <f>IF(QBX220 = "", "", IFERROR(QBX220 / SUMIFS(Aux_Totales!$N:$N, Aux_Totales!$F:$F, $F224, Aux_Totales!$A:$A,#REF!), 0))</f>
        <v/>
      </c>
      <c r="QBY224" s="19" t="str">
        <f>IF(QBY220 = "", "", IFERROR(QBY220 / SUMIFS(Aux_Totales!$N:$N, Aux_Totales!$F:$F, $F224, Aux_Totales!$A:$A,#REF!), 0))</f>
        <v/>
      </c>
      <c r="QBZ224" s="19" t="str">
        <f>IF(QBZ220 = "", "", IFERROR(QBZ220 / SUMIFS(Aux_Totales!$N:$N, Aux_Totales!$F:$F, $F224, Aux_Totales!$A:$A,#REF!), 0))</f>
        <v/>
      </c>
      <c r="QCA224" s="19" t="str">
        <f>IF(QCA220 = "", "", IFERROR(QCA220 / SUMIFS(Aux_Totales!$N:$N, Aux_Totales!$F:$F, $F224, Aux_Totales!$A:$A,#REF!), 0))</f>
        <v/>
      </c>
      <c r="QCB224" s="19" t="str">
        <f>IF(QCB220 = "", "", IFERROR(QCB220 / SUMIFS(Aux_Totales!$N:$N, Aux_Totales!$F:$F, $F224, Aux_Totales!$A:$A,#REF!), 0))</f>
        <v/>
      </c>
      <c r="QCC224" s="19" t="str">
        <f>IF(QCC220 = "", "", IFERROR(QCC220 / SUMIFS(Aux_Totales!$N:$N, Aux_Totales!$F:$F, $F224, Aux_Totales!$A:$A,#REF!), 0))</f>
        <v/>
      </c>
      <c r="QCD224" s="19" t="str">
        <f>IF(QCD220 = "", "", IFERROR(QCD220 / SUMIFS(Aux_Totales!$N:$N, Aux_Totales!$F:$F, $F224, Aux_Totales!$A:$A,#REF!), 0))</f>
        <v/>
      </c>
      <c r="QCE224" s="19" t="str">
        <f>IF(QCE220 = "", "", IFERROR(QCE220 / SUMIFS(Aux_Totales!$N:$N, Aux_Totales!$F:$F, $F224, Aux_Totales!$A:$A,#REF!), 0))</f>
        <v/>
      </c>
      <c r="QCF224" s="19" t="str">
        <f>IF(QCF220 = "", "", IFERROR(QCF220 / SUMIFS(Aux_Totales!$N:$N, Aux_Totales!$F:$F, $F224, Aux_Totales!$A:$A,#REF!), 0))</f>
        <v/>
      </c>
      <c r="QCG224" s="19" t="str">
        <f>IF(QCG220 = "", "", IFERROR(QCG220 / SUMIFS(Aux_Totales!$N:$N, Aux_Totales!$F:$F, $F224, Aux_Totales!$A:$A,#REF!), 0))</f>
        <v/>
      </c>
      <c r="QCH224" s="19" t="str">
        <f>IF(QCH220 = "", "", IFERROR(QCH220 / SUMIFS(Aux_Totales!$N:$N, Aux_Totales!$F:$F, $F224, Aux_Totales!$A:$A,#REF!), 0))</f>
        <v/>
      </c>
      <c r="QCI224" s="19" t="str">
        <f>IF(QCI220 = "", "", IFERROR(QCI220 / SUMIFS(Aux_Totales!$N:$N, Aux_Totales!$F:$F, $F224, Aux_Totales!$A:$A,#REF!), 0))</f>
        <v/>
      </c>
      <c r="QCJ224" s="19" t="str">
        <f>IF(QCJ220 = "", "", IFERROR(QCJ220 / SUMIFS(Aux_Totales!$N:$N, Aux_Totales!$F:$F, $F224, Aux_Totales!$A:$A,#REF!), 0))</f>
        <v/>
      </c>
      <c r="QCK224" s="19" t="str">
        <f>IF(QCK220 = "", "", IFERROR(QCK220 / SUMIFS(Aux_Totales!$N:$N, Aux_Totales!$F:$F, $F224, Aux_Totales!$A:$A,#REF!), 0))</f>
        <v/>
      </c>
      <c r="QCL224" s="19" t="str">
        <f>IF(QCL220 = "", "", IFERROR(QCL220 / SUMIFS(Aux_Totales!$N:$N, Aux_Totales!$F:$F, $F224, Aux_Totales!$A:$A,#REF!), 0))</f>
        <v/>
      </c>
      <c r="QCM224" s="19" t="str">
        <f>IF(QCM220 = "", "", IFERROR(QCM220 / SUMIFS(Aux_Totales!$N:$N, Aux_Totales!$F:$F, $F224, Aux_Totales!$A:$A,#REF!), 0))</f>
        <v/>
      </c>
      <c r="QCN224" s="19" t="str">
        <f>IF(QCN220 = "", "", IFERROR(QCN220 / SUMIFS(Aux_Totales!$N:$N, Aux_Totales!$F:$F, $F224, Aux_Totales!$A:$A,#REF!), 0))</f>
        <v/>
      </c>
      <c r="QCO224" s="19" t="str">
        <f>IF(QCO220 = "", "", IFERROR(QCO220 / SUMIFS(Aux_Totales!$N:$N, Aux_Totales!$F:$F, $F224, Aux_Totales!$A:$A,#REF!), 0))</f>
        <v/>
      </c>
      <c r="QCP224" s="19" t="str">
        <f>IF(QCP220 = "", "", IFERROR(QCP220 / SUMIFS(Aux_Totales!$N:$N, Aux_Totales!$F:$F, $F224, Aux_Totales!$A:$A,#REF!), 0))</f>
        <v/>
      </c>
      <c r="QCQ224" s="19" t="str">
        <f>IF(QCQ220 = "", "", IFERROR(QCQ220 / SUMIFS(Aux_Totales!$N:$N, Aux_Totales!$F:$F, $F224, Aux_Totales!$A:$A,#REF!), 0))</f>
        <v/>
      </c>
      <c r="QCR224" s="19" t="str">
        <f>IF(QCR220 = "", "", IFERROR(QCR220 / SUMIFS(Aux_Totales!$N:$N, Aux_Totales!$F:$F, $F224, Aux_Totales!$A:$A,#REF!), 0))</f>
        <v/>
      </c>
      <c r="QCS224" s="19" t="str">
        <f>IF(QCS220 = "", "", IFERROR(QCS220 / SUMIFS(Aux_Totales!$N:$N, Aux_Totales!$F:$F, $F224, Aux_Totales!$A:$A,#REF!), 0))</f>
        <v/>
      </c>
      <c r="QCT224" s="19" t="str">
        <f>IF(QCT220 = "", "", IFERROR(QCT220 / SUMIFS(Aux_Totales!$N:$N, Aux_Totales!$F:$F, $F224, Aux_Totales!$A:$A,#REF!), 0))</f>
        <v/>
      </c>
      <c r="QCU224" s="19" t="str">
        <f>IF(QCU220 = "", "", IFERROR(QCU220 / SUMIFS(Aux_Totales!$N:$N, Aux_Totales!$F:$F, $F224, Aux_Totales!$A:$A,#REF!), 0))</f>
        <v/>
      </c>
      <c r="QCV224" s="19" t="str">
        <f>IF(QCV220 = "", "", IFERROR(QCV220 / SUMIFS(Aux_Totales!$N:$N, Aux_Totales!$F:$F, $F224, Aux_Totales!$A:$A,#REF!), 0))</f>
        <v/>
      </c>
      <c r="QCW224" s="19" t="str">
        <f>IF(QCW220 = "", "", IFERROR(QCW220 / SUMIFS(Aux_Totales!$N:$N, Aux_Totales!$F:$F, $F224, Aux_Totales!$A:$A,#REF!), 0))</f>
        <v/>
      </c>
      <c r="QCX224" s="19" t="str">
        <f>IF(QCX220 = "", "", IFERROR(QCX220 / SUMIFS(Aux_Totales!$N:$N, Aux_Totales!$F:$F, $F224, Aux_Totales!$A:$A,#REF!), 0))</f>
        <v/>
      </c>
      <c r="QCY224" s="19" t="str">
        <f>IF(QCY220 = "", "", IFERROR(QCY220 / SUMIFS(Aux_Totales!$N:$N, Aux_Totales!$F:$F, $F224, Aux_Totales!$A:$A,#REF!), 0))</f>
        <v/>
      </c>
      <c r="QCZ224" s="19" t="str">
        <f>IF(QCZ220 = "", "", IFERROR(QCZ220 / SUMIFS(Aux_Totales!$N:$N, Aux_Totales!$F:$F, $F224, Aux_Totales!$A:$A,#REF!), 0))</f>
        <v/>
      </c>
      <c r="QDA224" s="19" t="str">
        <f>IF(QDA220 = "", "", IFERROR(QDA220 / SUMIFS(Aux_Totales!$N:$N, Aux_Totales!$F:$F, $F224, Aux_Totales!$A:$A,#REF!), 0))</f>
        <v/>
      </c>
      <c r="QDB224" s="19" t="str">
        <f>IF(QDB220 = "", "", IFERROR(QDB220 / SUMIFS(Aux_Totales!$N:$N, Aux_Totales!$F:$F, $F224, Aux_Totales!$A:$A,#REF!), 0))</f>
        <v/>
      </c>
      <c r="QDC224" s="19" t="str">
        <f>IF(QDC220 = "", "", IFERROR(QDC220 / SUMIFS(Aux_Totales!$N:$N, Aux_Totales!$F:$F, $F224, Aux_Totales!$A:$A,#REF!), 0))</f>
        <v/>
      </c>
      <c r="QDD224" s="19" t="str">
        <f>IF(QDD220 = "", "", IFERROR(QDD220 / SUMIFS(Aux_Totales!$N:$N, Aux_Totales!$F:$F, $F224, Aux_Totales!$A:$A,#REF!), 0))</f>
        <v/>
      </c>
      <c r="QDE224" s="19" t="str">
        <f>IF(QDE220 = "", "", IFERROR(QDE220 / SUMIFS(Aux_Totales!$N:$N, Aux_Totales!$F:$F, $F224, Aux_Totales!$A:$A,#REF!), 0))</f>
        <v/>
      </c>
      <c r="QDF224" s="19" t="str">
        <f>IF(QDF220 = "", "", IFERROR(QDF220 / SUMIFS(Aux_Totales!$N:$N, Aux_Totales!$F:$F, $F224, Aux_Totales!$A:$A,#REF!), 0))</f>
        <v/>
      </c>
      <c r="QDG224" s="19" t="str">
        <f>IF(QDG220 = "", "", IFERROR(QDG220 / SUMIFS(Aux_Totales!$N:$N, Aux_Totales!$F:$F, $F224, Aux_Totales!$A:$A,#REF!), 0))</f>
        <v/>
      </c>
      <c r="QDH224" s="19" t="str">
        <f>IF(QDH220 = "", "", IFERROR(QDH220 / SUMIFS(Aux_Totales!$N:$N, Aux_Totales!$F:$F, $F224, Aux_Totales!$A:$A,#REF!), 0))</f>
        <v/>
      </c>
      <c r="QDI224" s="19" t="str">
        <f>IF(QDI220 = "", "", IFERROR(QDI220 / SUMIFS(Aux_Totales!$N:$N, Aux_Totales!$F:$F, $F224, Aux_Totales!$A:$A,#REF!), 0))</f>
        <v/>
      </c>
      <c r="QDJ224" s="19" t="str">
        <f>IF(QDJ220 = "", "", IFERROR(QDJ220 / SUMIFS(Aux_Totales!$N:$N, Aux_Totales!$F:$F, $F224, Aux_Totales!$A:$A,#REF!), 0))</f>
        <v/>
      </c>
      <c r="QDK224" s="19" t="str">
        <f>IF(QDK220 = "", "", IFERROR(QDK220 / SUMIFS(Aux_Totales!$N:$N, Aux_Totales!$F:$F, $F224, Aux_Totales!$A:$A,#REF!), 0))</f>
        <v/>
      </c>
      <c r="QDL224" s="19" t="str">
        <f>IF(QDL220 = "", "", IFERROR(QDL220 / SUMIFS(Aux_Totales!$N:$N, Aux_Totales!$F:$F, $F224, Aux_Totales!$A:$A,#REF!), 0))</f>
        <v/>
      </c>
      <c r="QDM224" s="19" t="str">
        <f>IF(QDM220 = "", "", IFERROR(QDM220 / SUMIFS(Aux_Totales!$N:$N, Aux_Totales!$F:$F, $F224, Aux_Totales!$A:$A,#REF!), 0))</f>
        <v/>
      </c>
      <c r="QDN224" s="19" t="str">
        <f>IF(QDN220 = "", "", IFERROR(QDN220 / SUMIFS(Aux_Totales!$N:$N, Aux_Totales!$F:$F, $F224, Aux_Totales!$A:$A,#REF!), 0))</f>
        <v/>
      </c>
      <c r="QDO224" s="19" t="str">
        <f>IF(QDO220 = "", "", IFERROR(QDO220 / SUMIFS(Aux_Totales!$N:$N, Aux_Totales!$F:$F, $F224, Aux_Totales!$A:$A,#REF!), 0))</f>
        <v/>
      </c>
      <c r="QDP224" s="19" t="str">
        <f>IF(QDP220 = "", "", IFERROR(QDP220 / SUMIFS(Aux_Totales!$N:$N, Aux_Totales!$F:$F, $F224, Aux_Totales!$A:$A,#REF!), 0))</f>
        <v/>
      </c>
      <c r="QDQ224" s="19" t="str">
        <f>IF(QDQ220 = "", "", IFERROR(QDQ220 / SUMIFS(Aux_Totales!$N:$N, Aux_Totales!$F:$F, $F224, Aux_Totales!$A:$A,#REF!), 0))</f>
        <v/>
      </c>
      <c r="QDR224" s="19" t="str">
        <f>IF(QDR220 = "", "", IFERROR(QDR220 / SUMIFS(Aux_Totales!$N:$N, Aux_Totales!$F:$F, $F224, Aux_Totales!$A:$A,#REF!), 0))</f>
        <v/>
      </c>
      <c r="QDS224" s="19" t="str">
        <f>IF(QDS220 = "", "", IFERROR(QDS220 / SUMIFS(Aux_Totales!$N:$N, Aux_Totales!$F:$F, $F224, Aux_Totales!$A:$A,#REF!), 0))</f>
        <v/>
      </c>
      <c r="QDT224" s="19" t="str">
        <f>IF(QDT220 = "", "", IFERROR(QDT220 / SUMIFS(Aux_Totales!$N:$N, Aux_Totales!$F:$F, $F224, Aux_Totales!$A:$A,#REF!), 0))</f>
        <v/>
      </c>
      <c r="QDU224" s="19" t="str">
        <f>IF(QDU220 = "", "", IFERROR(QDU220 / SUMIFS(Aux_Totales!$N:$N, Aux_Totales!$F:$F, $F224, Aux_Totales!$A:$A,#REF!), 0))</f>
        <v/>
      </c>
      <c r="QDV224" s="19" t="str">
        <f>IF(QDV220 = "", "", IFERROR(QDV220 / SUMIFS(Aux_Totales!$N:$N, Aux_Totales!$F:$F, $F224, Aux_Totales!$A:$A,#REF!), 0))</f>
        <v/>
      </c>
      <c r="QDW224" s="19" t="str">
        <f>IF(QDW220 = "", "", IFERROR(QDW220 / SUMIFS(Aux_Totales!$N:$N, Aux_Totales!$F:$F, $F224, Aux_Totales!$A:$A,#REF!), 0))</f>
        <v/>
      </c>
      <c r="QDX224" s="19" t="str">
        <f>IF(QDX220 = "", "", IFERROR(QDX220 / SUMIFS(Aux_Totales!$N:$N, Aux_Totales!$F:$F, $F224, Aux_Totales!$A:$A,#REF!), 0))</f>
        <v/>
      </c>
      <c r="QDY224" s="19" t="str">
        <f>IF(QDY220 = "", "", IFERROR(QDY220 / SUMIFS(Aux_Totales!$N:$N, Aux_Totales!$F:$F, $F224, Aux_Totales!$A:$A,#REF!), 0))</f>
        <v/>
      </c>
      <c r="QDZ224" s="19" t="str">
        <f>IF(QDZ220 = "", "", IFERROR(QDZ220 / SUMIFS(Aux_Totales!$N:$N, Aux_Totales!$F:$F, $F224, Aux_Totales!$A:$A,#REF!), 0))</f>
        <v/>
      </c>
      <c r="QEA224" s="19" t="str">
        <f>IF(QEA220 = "", "", IFERROR(QEA220 / SUMIFS(Aux_Totales!$N:$N, Aux_Totales!$F:$F, $F224, Aux_Totales!$A:$A,#REF!), 0))</f>
        <v/>
      </c>
      <c r="QEB224" s="19" t="str">
        <f>IF(QEB220 = "", "", IFERROR(QEB220 / SUMIFS(Aux_Totales!$N:$N, Aux_Totales!$F:$F, $F224, Aux_Totales!$A:$A,#REF!), 0))</f>
        <v/>
      </c>
      <c r="QEC224" s="19" t="str">
        <f>IF(QEC220 = "", "", IFERROR(QEC220 / SUMIFS(Aux_Totales!$N:$N, Aux_Totales!$F:$F, $F224, Aux_Totales!$A:$A,#REF!), 0))</f>
        <v/>
      </c>
      <c r="QED224" s="19" t="str">
        <f>IF(QED220 = "", "", IFERROR(QED220 / SUMIFS(Aux_Totales!$N:$N, Aux_Totales!$F:$F, $F224, Aux_Totales!$A:$A,#REF!), 0))</f>
        <v/>
      </c>
      <c r="QEE224" s="19" t="str">
        <f>IF(QEE220 = "", "", IFERROR(QEE220 / SUMIFS(Aux_Totales!$N:$N, Aux_Totales!$F:$F, $F224, Aux_Totales!$A:$A,#REF!), 0))</f>
        <v/>
      </c>
      <c r="QEF224" s="19" t="str">
        <f>IF(QEF220 = "", "", IFERROR(QEF220 / SUMIFS(Aux_Totales!$N:$N, Aux_Totales!$F:$F, $F224, Aux_Totales!$A:$A,#REF!), 0))</f>
        <v/>
      </c>
      <c r="QEG224" s="19" t="str">
        <f>IF(QEG220 = "", "", IFERROR(QEG220 / SUMIFS(Aux_Totales!$N:$N, Aux_Totales!$F:$F, $F224, Aux_Totales!$A:$A,#REF!), 0))</f>
        <v/>
      </c>
      <c r="QEH224" s="19" t="str">
        <f>IF(QEH220 = "", "", IFERROR(QEH220 / SUMIFS(Aux_Totales!$N:$N, Aux_Totales!$F:$F, $F224, Aux_Totales!$A:$A,#REF!), 0))</f>
        <v/>
      </c>
      <c r="QEI224" s="19" t="str">
        <f>IF(QEI220 = "", "", IFERROR(QEI220 / SUMIFS(Aux_Totales!$N:$N, Aux_Totales!$F:$F, $F224, Aux_Totales!$A:$A,#REF!), 0))</f>
        <v/>
      </c>
      <c r="QEJ224" s="19" t="str">
        <f>IF(QEJ220 = "", "", IFERROR(QEJ220 / SUMIFS(Aux_Totales!$N:$N, Aux_Totales!$F:$F, $F224, Aux_Totales!$A:$A,#REF!), 0))</f>
        <v/>
      </c>
      <c r="QEK224" s="19" t="str">
        <f>IF(QEK220 = "", "", IFERROR(QEK220 / SUMIFS(Aux_Totales!$N:$N, Aux_Totales!$F:$F, $F224, Aux_Totales!$A:$A,#REF!), 0))</f>
        <v/>
      </c>
      <c r="QEL224" s="19" t="str">
        <f>IF(QEL220 = "", "", IFERROR(QEL220 / SUMIFS(Aux_Totales!$N:$N, Aux_Totales!$F:$F, $F224, Aux_Totales!$A:$A,#REF!), 0))</f>
        <v/>
      </c>
      <c r="QEM224" s="19" t="str">
        <f>IF(QEM220 = "", "", IFERROR(QEM220 / SUMIFS(Aux_Totales!$N:$N, Aux_Totales!$F:$F, $F224, Aux_Totales!$A:$A,#REF!), 0))</f>
        <v/>
      </c>
      <c r="QEN224" s="19" t="str">
        <f>IF(QEN220 = "", "", IFERROR(QEN220 / SUMIFS(Aux_Totales!$N:$N, Aux_Totales!$F:$F, $F224, Aux_Totales!$A:$A,#REF!), 0))</f>
        <v/>
      </c>
      <c r="QEO224" s="19" t="str">
        <f>IF(QEO220 = "", "", IFERROR(QEO220 / SUMIFS(Aux_Totales!$N:$N, Aux_Totales!$F:$F, $F224, Aux_Totales!$A:$A,#REF!), 0))</f>
        <v/>
      </c>
      <c r="QEP224" s="19" t="str">
        <f>IF(QEP220 = "", "", IFERROR(QEP220 / SUMIFS(Aux_Totales!$N:$N, Aux_Totales!$F:$F, $F224, Aux_Totales!$A:$A,#REF!), 0))</f>
        <v/>
      </c>
      <c r="QEQ224" s="19" t="str">
        <f>IF(QEQ220 = "", "", IFERROR(QEQ220 / SUMIFS(Aux_Totales!$N:$N, Aux_Totales!$F:$F, $F224, Aux_Totales!$A:$A,#REF!), 0))</f>
        <v/>
      </c>
      <c r="QER224" s="19" t="str">
        <f>IF(QER220 = "", "", IFERROR(QER220 / SUMIFS(Aux_Totales!$N:$N, Aux_Totales!$F:$F, $F224, Aux_Totales!$A:$A,#REF!), 0))</f>
        <v/>
      </c>
      <c r="QES224" s="19" t="str">
        <f>IF(QES220 = "", "", IFERROR(QES220 / SUMIFS(Aux_Totales!$N:$N, Aux_Totales!$F:$F, $F224, Aux_Totales!$A:$A,#REF!), 0))</f>
        <v/>
      </c>
      <c r="QET224" s="19" t="str">
        <f>IF(QET220 = "", "", IFERROR(QET220 / SUMIFS(Aux_Totales!$N:$N, Aux_Totales!$F:$F, $F224, Aux_Totales!$A:$A,#REF!), 0))</f>
        <v/>
      </c>
      <c r="QEU224" s="19" t="str">
        <f>IF(QEU220 = "", "", IFERROR(QEU220 / SUMIFS(Aux_Totales!$N:$N, Aux_Totales!$F:$F, $F224, Aux_Totales!$A:$A,#REF!), 0))</f>
        <v/>
      </c>
      <c r="QEV224" s="19" t="str">
        <f>IF(QEV220 = "", "", IFERROR(QEV220 / SUMIFS(Aux_Totales!$N:$N, Aux_Totales!$F:$F, $F224, Aux_Totales!$A:$A,#REF!), 0))</f>
        <v/>
      </c>
      <c r="QEW224" s="19" t="str">
        <f>IF(QEW220 = "", "", IFERROR(QEW220 / SUMIFS(Aux_Totales!$N:$N, Aux_Totales!$F:$F, $F224, Aux_Totales!$A:$A,#REF!), 0))</f>
        <v/>
      </c>
      <c r="QEX224" s="19" t="str">
        <f>IF(QEX220 = "", "", IFERROR(QEX220 / SUMIFS(Aux_Totales!$N:$N, Aux_Totales!$F:$F, $F224, Aux_Totales!$A:$A,#REF!), 0))</f>
        <v/>
      </c>
      <c r="QEY224" s="19" t="str">
        <f>IF(QEY220 = "", "", IFERROR(QEY220 / SUMIFS(Aux_Totales!$N:$N, Aux_Totales!$F:$F, $F224, Aux_Totales!$A:$A,#REF!), 0))</f>
        <v/>
      </c>
      <c r="QEZ224" s="19" t="str">
        <f>IF(QEZ220 = "", "", IFERROR(QEZ220 / SUMIFS(Aux_Totales!$N:$N, Aux_Totales!$F:$F, $F224, Aux_Totales!$A:$A,#REF!), 0))</f>
        <v/>
      </c>
      <c r="QFA224" s="19" t="str">
        <f>IF(QFA220 = "", "", IFERROR(QFA220 / SUMIFS(Aux_Totales!$N:$N, Aux_Totales!$F:$F, $F224, Aux_Totales!$A:$A,#REF!), 0))</f>
        <v/>
      </c>
      <c r="QFB224" s="19" t="str">
        <f>IF(QFB220 = "", "", IFERROR(QFB220 / SUMIFS(Aux_Totales!$N:$N, Aux_Totales!$F:$F, $F224, Aux_Totales!$A:$A,#REF!), 0))</f>
        <v/>
      </c>
      <c r="QFC224" s="19" t="str">
        <f>IF(QFC220 = "", "", IFERROR(QFC220 / SUMIFS(Aux_Totales!$N:$N, Aux_Totales!$F:$F, $F224, Aux_Totales!$A:$A,#REF!), 0))</f>
        <v/>
      </c>
      <c r="QFD224" s="19" t="str">
        <f>IF(QFD220 = "", "", IFERROR(QFD220 / SUMIFS(Aux_Totales!$N:$N, Aux_Totales!$F:$F, $F224, Aux_Totales!$A:$A,#REF!), 0))</f>
        <v/>
      </c>
      <c r="QFE224" s="19" t="str">
        <f>IF(QFE220 = "", "", IFERROR(QFE220 / SUMIFS(Aux_Totales!$N:$N, Aux_Totales!$F:$F, $F224, Aux_Totales!$A:$A,#REF!), 0))</f>
        <v/>
      </c>
      <c r="QFF224" s="19" t="str">
        <f>IF(QFF220 = "", "", IFERROR(QFF220 / SUMIFS(Aux_Totales!$N:$N, Aux_Totales!$F:$F, $F224, Aux_Totales!$A:$A,#REF!), 0))</f>
        <v/>
      </c>
      <c r="QFG224" s="19" t="str">
        <f>IF(QFG220 = "", "", IFERROR(QFG220 / SUMIFS(Aux_Totales!$N:$N, Aux_Totales!$F:$F, $F224, Aux_Totales!$A:$A,#REF!), 0))</f>
        <v/>
      </c>
      <c r="QFH224" s="19" t="str">
        <f>IF(QFH220 = "", "", IFERROR(QFH220 / SUMIFS(Aux_Totales!$N:$N, Aux_Totales!$F:$F, $F224, Aux_Totales!$A:$A,#REF!), 0))</f>
        <v/>
      </c>
      <c r="QFI224" s="19" t="str">
        <f>IF(QFI220 = "", "", IFERROR(QFI220 / SUMIFS(Aux_Totales!$N:$N, Aux_Totales!$F:$F, $F224, Aux_Totales!$A:$A,#REF!), 0))</f>
        <v/>
      </c>
      <c r="QFJ224" s="19" t="str">
        <f>IF(QFJ220 = "", "", IFERROR(QFJ220 / SUMIFS(Aux_Totales!$N:$N, Aux_Totales!$F:$F, $F224, Aux_Totales!$A:$A,#REF!), 0))</f>
        <v/>
      </c>
      <c r="QFK224" s="19" t="str">
        <f>IF(QFK220 = "", "", IFERROR(QFK220 / SUMIFS(Aux_Totales!$N:$N, Aux_Totales!$F:$F, $F224, Aux_Totales!$A:$A,#REF!), 0))</f>
        <v/>
      </c>
      <c r="QFL224" s="19" t="str">
        <f>IF(QFL220 = "", "", IFERROR(QFL220 / SUMIFS(Aux_Totales!$N:$N, Aux_Totales!$F:$F, $F224, Aux_Totales!$A:$A,#REF!), 0))</f>
        <v/>
      </c>
      <c r="QFM224" s="19" t="str">
        <f>IF(QFM220 = "", "", IFERROR(QFM220 / SUMIFS(Aux_Totales!$N:$N, Aux_Totales!$F:$F, $F224, Aux_Totales!$A:$A,#REF!), 0))</f>
        <v/>
      </c>
      <c r="QFN224" s="19" t="str">
        <f>IF(QFN220 = "", "", IFERROR(QFN220 / SUMIFS(Aux_Totales!$N:$N, Aux_Totales!$F:$F, $F224, Aux_Totales!$A:$A,#REF!), 0))</f>
        <v/>
      </c>
      <c r="QFO224" s="19" t="str">
        <f>IF(QFO220 = "", "", IFERROR(QFO220 / SUMIFS(Aux_Totales!$N:$N, Aux_Totales!$F:$F, $F224, Aux_Totales!$A:$A,#REF!), 0))</f>
        <v/>
      </c>
      <c r="QFP224" s="19" t="str">
        <f>IF(QFP220 = "", "", IFERROR(QFP220 / SUMIFS(Aux_Totales!$N:$N, Aux_Totales!$F:$F, $F224, Aux_Totales!$A:$A,#REF!), 0))</f>
        <v/>
      </c>
      <c r="QFQ224" s="19" t="str">
        <f>IF(QFQ220 = "", "", IFERROR(QFQ220 / SUMIFS(Aux_Totales!$N:$N, Aux_Totales!$F:$F, $F224, Aux_Totales!$A:$A,#REF!), 0))</f>
        <v/>
      </c>
      <c r="QFR224" s="19" t="str">
        <f>IF(QFR220 = "", "", IFERROR(QFR220 / SUMIFS(Aux_Totales!$N:$N, Aux_Totales!$F:$F, $F224, Aux_Totales!$A:$A,#REF!), 0))</f>
        <v/>
      </c>
      <c r="QFS224" s="19" t="str">
        <f>IF(QFS220 = "", "", IFERROR(QFS220 / SUMIFS(Aux_Totales!$N:$N, Aux_Totales!$F:$F, $F224, Aux_Totales!$A:$A,#REF!), 0))</f>
        <v/>
      </c>
      <c r="QFT224" s="19" t="str">
        <f>IF(QFT220 = "", "", IFERROR(QFT220 / SUMIFS(Aux_Totales!$N:$N, Aux_Totales!$F:$F, $F224, Aux_Totales!$A:$A,#REF!), 0))</f>
        <v/>
      </c>
      <c r="QFU224" s="19" t="str">
        <f>IF(QFU220 = "", "", IFERROR(QFU220 / SUMIFS(Aux_Totales!$N:$N, Aux_Totales!$F:$F, $F224, Aux_Totales!$A:$A,#REF!), 0))</f>
        <v/>
      </c>
      <c r="QFV224" s="19" t="str">
        <f>IF(QFV220 = "", "", IFERROR(QFV220 / SUMIFS(Aux_Totales!$N:$N, Aux_Totales!$F:$F, $F224, Aux_Totales!$A:$A,#REF!), 0))</f>
        <v/>
      </c>
      <c r="QFW224" s="19" t="str">
        <f>IF(QFW220 = "", "", IFERROR(QFW220 / SUMIFS(Aux_Totales!$N:$N, Aux_Totales!$F:$F, $F224, Aux_Totales!$A:$A,#REF!), 0))</f>
        <v/>
      </c>
      <c r="QFX224" s="19" t="str">
        <f>IF(QFX220 = "", "", IFERROR(QFX220 / SUMIFS(Aux_Totales!$N:$N, Aux_Totales!$F:$F, $F224, Aux_Totales!$A:$A,#REF!), 0))</f>
        <v/>
      </c>
      <c r="QFY224" s="19" t="str">
        <f>IF(QFY220 = "", "", IFERROR(QFY220 / SUMIFS(Aux_Totales!$N:$N, Aux_Totales!$F:$F, $F224, Aux_Totales!$A:$A,#REF!), 0))</f>
        <v/>
      </c>
      <c r="QFZ224" s="19" t="str">
        <f>IF(QFZ220 = "", "", IFERROR(QFZ220 / SUMIFS(Aux_Totales!$N:$N, Aux_Totales!$F:$F, $F224, Aux_Totales!$A:$A,#REF!), 0))</f>
        <v/>
      </c>
      <c r="QGA224" s="19" t="str">
        <f>IF(QGA220 = "", "", IFERROR(QGA220 / SUMIFS(Aux_Totales!$N:$N, Aux_Totales!$F:$F, $F224, Aux_Totales!$A:$A,#REF!), 0))</f>
        <v/>
      </c>
      <c r="QGB224" s="19" t="str">
        <f>IF(QGB220 = "", "", IFERROR(QGB220 / SUMIFS(Aux_Totales!$N:$N, Aux_Totales!$F:$F, $F224, Aux_Totales!$A:$A,#REF!), 0))</f>
        <v/>
      </c>
      <c r="QGC224" s="19" t="str">
        <f>IF(QGC220 = "", "", IFERROR(QGC220 / SUMIFS(Aux_Totales!$N:$N, Aux_Totales!$F:$F, $F224, Aux_Totales!$A:$A,#REF!), 0))</f>
        <v/>
      </c>
      <c r="QGD224" s="19" t="str">
        <f>IF(QGD220 = "", "", IFERROR(QGD220 / SUMIFS(Aux_Totales!$N:$N, Aux_Totales!$F:$F, $F224, Aux_Totales!$A:$A,#REF!), 0))</f>
        <v/>
      </c>
      <c r="QGE224" s="19" t="str">
        <f>IF(QGE220 = "", "", IFERROR(QGE220 / SUMIFS(Aux_Totales!$N:$N, Aux_Totales!$F:$F, $F224, Aux_Totales!$A:$A,#REF!), 0))</f>
        <v/>
      </c>
      <c r="QGF224" s="19" t="str">
        <f>IF(QGF220 = "", "", IFERROR(QGF220 / SUMIFS(Aux_Totales!$N:$N, Aux_Totales!$F:$F, $F224, Aux_Totales!$A:$A,#REF!), 0))</f>
        <v/>
      </c>
      <c r="QGG224" s="19" t="str">
        <f>IF(QGG220 = "", "", IFERROR(QGG220 / SUMIFS(Aux_Totales!$N:$N, Aux_Totales!$F:$F, $F224, Aux_Totales!$A:$A,#REF!), 0))</f>
        <v/>
      </c>
      <c r="QGH224" s="19" t="str">
        <f>IF(QGH220 = "", "", IFERROR(QGH220 / SUMIFS(Aux_Totales!$N:$N, Aux_Totales!$F:$F, $F224, Aux_Totales!$A:$A,#REF!), 0))</f>
        <v/>
      </c>
      <c r="QGI224" s="19" t="str">
        <f>IF(QGI220 = "", "", IFERROR(QGI220 / SUMIFS(Aux_Totales!$N:$N, Aux_Totales!$F:$F, $F224, Aux_Totales!$A:$A,#REF!), 0))</f>
        <v/>
      </c>
      <c r="QGJ224" s="19" t="str">
        <f>IF(QGJ220 = "", "", IFERROR(QGJ220 / SUMIFS(Aux_Totales!$N:$N, Aux_Totales!$F:$F, $F224, Aux_Totales!$A:$A,#REF!), 0))</f>
        <v/>
      </c>
      <c r="QGK224" s="19" t="str">
        <f>IF(QGK220 = "", "", IFERROR(QGK220 / SUMIFS(Aux_Totales!$N:$N, Aux_Totales!$F:$F, $F224, Aux_Totales!$A:$A,#REF!), 0))</f>
        <v/>
      </c>
      <c r="QGL224" s="19" t="str">
        <f>IF(QGL220 = "", "", IFERROR(QGL220 / SUMIFS(Aux_Totales!$N:$N, Aux_Totales!$F:$F, $F224, Aux_Totales!$A:$A,#REF!), 0))</f>
        <v/>
      </c>
      <c r="QGM224" s="19" t="str">
        <f>IF(QGM220 = "", "", IFERROR(QGM220 / SUMIFS(Aux_Totales!$N:$N, Aux_Totales!$F:$F, $F224, Aux_Totales!$A:$A,#REF!), 0))</f>
        <v/>
      </c>
      <c r="QGN224" s="19" t="str">
        <f>IF(QGN220 = "", "", IFERROR(QGN220 / SUMIFS(Aux_Totales!$N:$N, Aux_Totales!$F:$F, $F224, Aux_Totales!$A:$A,#REF!), 0))</f>
        <v/>
      </c>
      <c r="QGO224" s="19" t="str">
        <f>IF(QGO220 = "", "", IFERROR(QGO220 / SUMIFS(Aux_Totales!$N:$N, Aux_Totales!$F:$F, $F224, Aux_Totales!$A:$A,#REF!), 0))</f>
        <v/>
      </c>
      <c r="QGP224" s="19" t="str">
        <f>IF(QGP220 = "", "", IFERROR(QGP220 / SUMIFS(Aux_Totales!$N:$N, Aux_Totales!$F:$F, $F224, Aux_Totales!$A:$A,#REF!), 0))</f>
        <v/>
      </c>
      <c r="QGQ224" s="19" t="str">
        <f>IF(QGQ220 = "", "", IFERROR(QGQ220 / SUMIFS(Aux_Totales!$N:$N, Aux_Totales!$F:$F, $F224, Aux_Totales!$A:$A,#REF!), 0))</f>
        <v/>
      </c>
      <c r="QGR224" s="19" t="str">
        <f>IF(QGR220 = "", "", IFERROR(QGR220 / SUMIFS(Aux_Totales!$N:$N, Aux_Totales!$F:$F, $F224, Aux_Totales!$A:$A,#REF!), 0))</f>
        <v/>
      </c>
      <c r="QGS224" s="19" t="str">
        <f>IF(QGS220 = "", "", IFERROR(QGS220 / SUMIFS(Aux_Totales!$N:$N, Aux_Totales!$F:$F, $F224, Aux_Totales!$A:$A,#REF!), 0))</f>
        <v/>
      </c>
      <c r="QGT224" s="19" t="str">
        <f>IF(QGT220 = "", "", IFERROR(QGT220 / SUMIFS(Aux_Totales!$N:$N, Aux_Totales!$F:$F, $F224, Aux_Totales!$A:$A,#REF!), 0))</f>
        <v/>
      </c>
      <c r="QGU224" s="19" t="str">
        <f>IF(QGU220 = "", "", IFERROR(QGU220 / SUMIFS(Aux_Totales!$N:$N, Aux_Totales!$F:$F, $F224, Aux_Totales!$A:$A,#REF!), 0))</f>
        <v/>
      </c>
      <c r="QGV224" s="19" t="str">
        <f>IF(QGV220 = "", "", IFERROR(QGV220 / SUMIFS(Aux_Totales!$N:$N, Aux_Totales!$F:$F, $F224, Aux_Totales!$A:$A,#REF!), 0))</f>
        <v/>
      </c>
      <c r="QGW224" s="19" t="str">
        <f>IF(QGW220 = "", "", IFERROR(QGW220 / SUMIFS(Aux_Totales!$N:$N, Aux_Totales!$F:$F, $F224, Aux_Totales!$A:$A,#REF!), 0))</f>
        <v/>
      </c>
      <c r="QGX224" s="19" t="str">
        <f>IF(QGX220 = "", "", IFERROR(QGX220 / SUMIFS(Aux_Totales!$N:$N, Aux_Totales!$F:$F, $F224, Aux_Totales!$A:$A,#REF!), 0))</f>
        <v/>
      </c>
      <c r="QGY224" s="19" t="str">
        <f>IF(QGY220 = "", "", IFERROR(QGY220 / SUMIFS(Aux_Totales!$N:$N, Aux_Totales!$F:$F, $F224, Aux_Totales!$A:$A,#REF!), 0))</f>
        <v/>
      </c>
      <c r="QGZ224" s="19" t="str">
        <f>IF(QGZ220 = "", "", IFERROR(QGZ220 / SUMIFS(Aux_Totales!$N:$N, Aux_Totales!$F:$F, $F224, Aux_Totales!$A:$A,#REF!), 0))</f>
        <v/>
      </c>
      <c r="QHA224" s="19" t="str">
        <f>IF(QHA220 = "", "", IFERROR(QHA220 / SUMIFS(Aux_Totales!$N:$N, Aux_Totales!$F:$F, $F224, Aux_Totales!$A:$A,#REF!), 0))</f>
        <v/>
      </c>
      <c r="QHB224" s="19" t="str">
        <f>IF(QHB220 = "", "", IFERROR(QHB220 / SUMIFS(Aux_Totales!$N:$N, Aux_Totales!$F:$F, $F224, Aux_Totales!$A:$A,#REF!), 0))</f>
        <v/>
      </c>
      <c r="QHC224" s="19" t="str">
        <f>IF(QHC220 = "", "", IFERROR(QHC220 / SUMIFS(Aux_Totales!$N:$N, Aux_Totales!$F:$F, $F224, Aux_Totales!$A:$A,#REF!), 0))</f>
        <v/>
      </c>
      <c r="QHD224" s="19" t="str">
        <f>IF(QHD220 = "", "", IFERROR(QHD220 / SUMIFS(Aux_Totales!$N:$N, Aux_Totales!$F:$F, $F224, Aux_Totales!$A:$A,#REF!), 0))</f>
        <v/>
      </c>
      <c r="QHE224" s="19" t="str">
        <f>IF(QHE220 = "", "", IFERROR(QHE220 / SUMIFS(Aux_Totales!$N:$N, Aux_Totales!$F:$F, $F224, Aux_Totales!$A:$A,#REF!), 0))</f>
        <v/>
      </c>
      <c r="QHF224" s="19" t="str">
        <f>IF(QHF220 = "", "", IFERROR(QHF220 / SUMIFS(Aux_Totales!$N:$N, Aux_Totales!$F:$F, $F224, Aux_Totales!$A:$A,#REF!), 0))</f>
        <v/>
      </c>
      <c r="QHG224" s="19" t="str">
        <f>IF(QHG220 = "", "", IFERROR(QHG220 / SUMIFS(Aux_Totales!$N:$N, Aux_Totales!$F:$F, $F224, Aux_Totales!$A:$A,#REF!), 0))</f>
        <v/>
      </c>
      <c r="QHH224" s="19" t="str">
        <f>IF(QHH220 = "", "", IFERROR(QHH220 / SUMIFS(Aux_Totales!$N:$N, Aux_Totales!$F:$F, $F224, Aux_Totales!$A:$A,#REF!), 0))</f>
        <v/>
      </c>
      <c r="QHI224" s="19" t="str">
        <f>IF(QHI220 = "", "", IFERROR(QHI220 / SUMIFS(Aux_Totales!$N:$N, Aux_Totales!$F:$F, $F224, Aux_Totales!$A:$A,#REF!), 0))</f>
        <v/>
      </c>
      <c r="QHJ224" s="19" t="str">
        <f>IF(QHJ220 = "", "", IFERROR(QHJ220 / SUMIFS(Aux_Totales!$N:$N, Aux_Totales!$F:$F, $F224, Aux_Totales!$A:$A,#REF!), 0))</f>
        <v/>
      </c>
      <c r="QHK224" s="19" t="str">
        <f>IF(QHK220 = "", "", IFERROR(QHK220 / SUMIFS(Aux_Totales!$N:$N, Aux_Totales!$F:$F, $F224, Aux_Totales!$A:$A,#REF!), 0))</f>
        <v/>
      </c>
      <c r="QHL224" s="19" t="str">
        <f>IF(QHL220 = "", "", IFERROR(QHL220 / SUMIFS(Aux_Totales!$N:$N, Aux_Totales!$F:$F, $F224, Aux_Totales!$A:$A,#REF!), 0))</f>
        <v/>
      </c>
      <c r="QHM224" s="19" t="str">
        <f>IF(QHM220 = "", "", IFERROR(QHM220 / SUMIFS(Aux_Totales!$N:$N, Aux_Totales!$F:$F, $F224, Aux_Totales!$A:$A,#REF!), 0))</f>
        <v/>
      </c>
      <c r="QHN224" s="19" t="str">
        <f>IF(QHN220 = "", "", IFERROR(QHN220 / SUMIFS(Aux_Totales!$N:$N, Aux_Totales!$F:$F, $F224, Aux_Totales!$A:$A,#REF!), 0))</f>
        <v/>
      </c>
      <c r="QHO224" s="19" t="str">
        <f>IF(QHO220 = "", "", IFERROR(QHO220 / SUMIFS(Aux_Totales!$N:$N, Aux_Totales!$F:$F, $F224, Aux_Totales!$A:$A,#REF!), 0))</f>
        <v/>
      </c>
      <c r="QHP224" s="19" t="str">
        <f>IF(QHP220 = "", "", IFERROR(QHP220 / SUMIFS(Aux_Totales!$N:$N, Aux_Totales!$F:$F, $F224, Aux_Totales!$A:$A,#REF!), 0))</f>
        <v/>
      </c>
      <c r="QHQ224" s="19" t="str">
        <f>IF(QHQ220 = "", "", IFERROR(QHQ220 / SUMIFS(Aux_Totales!$N:$N, Aux_Totales!$F:$F, $F224, Aux_Totales!$A:$A,#REF!), 0))</f>
        <v/>
      </c>
      <c r="QHR224" s="19" t="str">
        <f>IF(QHR220 = "", "", IFERROR(QHR220 / SUMIFS(Aux_Totales!$N:$N, Aux_Totales!$F:$F, $F224, Aux_Totales!$A:$A,#REF!), 0))</f>
        <v/>
      </c>
      <c r="QHS224" s="19" t="str">
        <f>IF(QHS220 = "", "", IFERROR(QHS220 / SUMIFS(Aux_Totales!$N:$N, Aux_Totales!$F:$F, $F224, Aux_Totales!$A:$A,#REF!), 0))</f>
        <v/>
      </c>
      <c r="QHT224" s="19" t="str">
        <f>IF(QHT220 = "", "", IFERROR(QHT220 / SUMIFS(Aux_Totales!$N:$N, Aux_Totales!$F:$F, $F224, Aux_Totales!$A:$A,#REF!), 0))</f>
        <v/>
      </c>
      <c r="QHU224" s="19" t="str">
        <f>IF(QHU220 = "", "", IFERROR(QHU220 / SUMIFS(Aux_Totales!$N:$N, Aux_Totales!$F:$F, $F224, Aux_Totales!$A:$A,#REF!), 0))</f>
        <v/>
      </c>
      <c r="QHV224" s="19" t="str">
        <f>IF(QHV220 = "", "", IFERROR(QHV220 / SUMIFS(Aux_Totales!$N:$N, Aux_Totales!$F:$F, $F224, Aux_Totales!$A:$A,#REF!), 0))</f>
        <v/>
      </c>
      <c r="QHW224" s="19" t="str">
        <f>IF(QHW220 = "", "", IFERROR(QHW220 / SUMIFS(Aux_Totales!$N:$N, Aux_Totales!$F:$F, $F224, Aux_Totales!$A:$A,#REF!), 0))</f>
        <v/>
      </c>
      <c r="QHX224" s="19" t="str">
        <f>IF(QHX220 = "", "", IFERROR(QHX220 / SUMIFS(Aux_Totales!$N:$N, Aux_Totales!$F:$F, $F224, Aux_Totales!$A:$A,#REF!), 0))</f>
        <v/>
      </c>
      <c r="QHY224" s="19" t="str">
        <f>IF(QHY220 = "", "", IFERROR(QHY220 / SUMIFS(Aux_Totales!$N:$N, Aux_Totales!$F:$F, $F224, Aux_Totales!$A:$A,#REF!), 0))</f>
        <v/>
      </c>
      <c r="QHZ224" s="19" t="str">
        <f>IF(QHZ220 = "", "", IFERROR(QHZ220 / SUMIFS(Aux_Totales!$N:$N, Aux_Totales!$F:$F, $F224, Aux_Totales!$A:$A,#REF!), 0))</f>
        <v/>
      </c>
      <c r="QIA224" s="19" t="str">
        <f>IF(QIA220 = "", "", IFERROR(QIA220 / SUMIFS(Aux_Totales!$N:$N, Aux_Totales!$F:$F, $F224, Aux_Totales!$A:$A,#REF!), 0))</f>
        <v/>
      </c>
      <c r="QIB224" s="19" t="str">
        <f>IF(QIB220 = "", "", IFERROR(QIB220 / SUMIFS(Aux_Totales!$N:$N, Aux_Totales!$F:$F, $F224, Aux_Totales!$A:$A,#REF!), 0))</f>
        <v/>
      </c>
      <c r="QIC224" s="19" t="str">
        <f>IF(QIC220 = "", "", IFERROR(QIC220 / SUMIFS(Aux_Totales!$N:$N, Aux_Totales!$F:$F, $F224, Aux_Totales!$A:$A,#REF!), 0))</f>
        <v/>
      </c>
      <c r="QID224" s="19" t="str">
        <f>IF(QID220 = "", "", IFERROR(QID220 / SUMIFS(Aux_Totales!$N:$N, Aux_Totales!$F:$F, $F224, Aux_Totales!$A:$A,#REF!), 0))</f>
        <v/>
      </c>
      <c r="QIE224" s="19" t="str">
        <f>IF(QIE220 = "", "", IFERROR(QIE220 / SUMIFS(Aux_Totales!$N:$N, Aux_Totales!$F:$F, $F224, Aux_Totales!$A:$A,#REF!), 0))</f>
        <v/>
      </c>
      <c r="QIF224" s="19" t="str">
        <f>IF(QIF220 = "", "", IFERROR(QIF220 / SUMIFS(Aux_Totales!$N:$N, Aux_Totales!$F:$F, $F224, Aux_Totales!$A:$A,#REF!), 0))</f>
        <v/>
      </c>
      <c r="QIG224" s="19" t="str">
        <f>IF(QIG220 = "", "", IFERROR(QIG220 / SUMIFS(Aux_Totales!$N:$N, Aux_Totales!$F:$F, $F224, Aux_Totales!$A:$A,#REF!), 0))</f>
        <v/>
      </c>
      <c r="QIH224" s="19" t="str">
        <f>IF(QIH220 = "", "", IFERROR(QIH220 / SUMIFS(Aux_Totales!$N:$N, Aux_Totales!$F:$F, $F224, Aux_Totales!$A:$A,#REF!), 0))</f>
        <v/>
      </c>
      <c r="QII224" s="19" t="str">
        <f>IF(QII220 = "", "", IFERROR(QII220 / SUMIFS(Aux_Totales!$N:$N, Aux_Totales!$F:$F, $F224, Aux_Totales!$A:$A,#REF!), 0))</f>
        <v/>
      </c>
      <c r="QIJ224" s="19" t="str">
        <f>IF(QIJ220 = "", "", IFERROR(QIJ220 / SUMIFS(Aux_Totales!$N:$N, Aux_Totales!$F:$F, $F224, Aux_Totales!$A:$A,#REF!), 0))</f>
        <v/>
      </c>
      <c r="QIK224" s="19" t="str">
        <f>IF(QIK220 = "", "", IFERROR(QIK220 / SUMIFS(Aux_Totales!$N:$N, Aux_Totales!$F:$F, $F224, Aux_Totales!$A:$A,#REF!), 0))</f>
        <v/>
      </c>
      <c r="QIL224" s="19" t="str">
        <f>IF(QIL220 = "", "", IFERROR(QIL220 / SUMIFS(Aux_Totales!$N:$N, Aux_Totales!$F:$F, $F224, Aux_Totales!$A:$A,#REF!), 0))</f>
        <v/>
      </c>
      <c r="QIM224" s="19" t="str">
        <f>IF(QIM220 = "", "", IFERROR(QIM220 / SUMIFS(Aux_Totales!$N:$N, Aux_Totales!$F:$F, $F224, Aux_Totales!$A:$A,#REF!), 0))</f>
        <v/>
      </c>
      <c r="QIN224" s="19" t="str">
        <f>IF(QIN220 = "", "", IFERROR(QIN220 / SUMIFS(Aux_Totales!$N:$N, Aux_Totales!$F:$F, $F224, Aux_Totales!$A:$A,#REF!), 0))</f>
        <v/>
      </c>
      <c r="QIO224" s="19" t="str">
        <f>IF(QIO220 = "", "", IFERROR(QIO220 / SUMIFS(Aux_Totales!$N:$N, Aux_Totales!$F:$F, $F224, Aux_Totales!$A:$A,#REF!), 0))</f>
        <v/>
      </c>
      <c r="QIP224" s="19" t="str">
        <f>IF(QIP220 = "", "", IFERROR(QIP220 / SUMIFS(Aux_Totales!$N:$N, Aux_Totales!$F:$F, $F224, Aux_Totales!$A:$A,#REF!), 0))</f>
        <v/>
      </c>
      <c r="QIQ224" s="19" t="str">
        <f>IF(QIQ220 = "", "", IFERROR(QIQ220 / SUMIFS(Aux_Totales!$N:$N, Aux_Totales!$F:$F, $F224, Aux_Totales!$A:$A,#REF!), 0))</f>
        <v/>
      </c>
      <c r="QIR224" s="19" t="str">
        <f>IF(QIR220 = "", "", IFERROR(QIR220 / SUMIFS(Aux_Totales!$N:$N, Aux_Totales!$F:$F, $F224, Aux_Totales!$A:$A,#REF!), 0))</f>
        <v/>
      </c>
      <c r="QIS224" s="19" t="str">
        <f>IF(QIS220 = "", "", IFERROR(QIS220 / SUMIFS(Aux_Totales!$N:$N, Aux_Totales!$F:$F, $F224, Aux_Totales!$A:$A,#REF!), 0))</f>
        <v/>
      </c>
      <c r="QIT224" s="19" t="str">
        <f>IF(QIT220 = "", "", IFERROR(QIT220 / SUMIFS(Aux_Totales!$N:$N, Aux_Totales!$F:$F, $F224, Aux_Totales!$A:$A,#REF!), 0))</f>
        <v/>
      </c>
      <c r="QIU224" s="19" t="str">
        <f>IF(QIU220 = "", "", IFERROR(QIU220 / SUMIFS(Aux_Totales!$N:$N, Aux_Totales!$F:$F, $F224, Aux_Totales!$A:$A,#REF!), 0))</f>
        <v/>
      </c>
      <c r="QIV224" s="19" t="str">
        <f>IF(QIV220 = "", "", IFERROR(QIV220 / SUMIFS(Aux_Totales!$N:$N, Aux_Totales!$F:$F, $F224, Aux_Totales!$A:$A,#REF!), 0))</f>
        <v/>
      </c>
      <c r="QIW224" s="19" t="str">
        <f>IF(QIW220 = "", "", IFERROR(QIW220 / SUMIFS(Aux_Totales!$N:$N, Aux_Totales!$F:$F, $F224, Aux_Totales!$A:$A,#REF!), 0))</f>
        <v/>
      </c>
      <c r="QIX224" s="19" t="str">
        <f>IF(QIX220 = "", "", IFERROR(QIX220 / SUMIFS(Aux_Totales!$N:$N, Aux_Totales!$F:$F, $F224, Aux_Totales!$A:$A,#REF!), 0))</f>
        <v/>
      </c>
      <c r="QIY224" s="19" t="str">
        <f>IF(QIY220 = "", "", IFERROR(QIY220 / SUMIFS(Aux_Totales!$N:$N, Aux_Totales!$F:$F, $F224, Aux_Totales!$A:$A,#REF!), 0))</f>
        <v/>
      </c>
      <c r="QIZ224" s="19" t="str">
        <f>IF(QIZ220 = "", "", IFERROR(QIZ220 / SUMIFS(Aux_Totales!$N:$N, Aux_Totales!$F:$F, $F224, Aux_Totales!$A:$A,#REF!), 0))</f>
        <v/>
      </c>
      <c r="QJA224" s="19" t="str">
        <f>IF(QJA220 = "", "", IFERROR(QJA220 / SUMIFS(Aux_Totales!$N:$N, Aux_Totales!$F:$F, $F224, Aux_Totales!$A:$A,#REF!), 0))</f>
        <v/>
      </c>
      <c r="QJB224" s="19" t="str">
        <f>IF(QJB220 = "", "", IFERROR(QJB220 / SUMIFS(Aux_Totales!$N:$N, Aux_Totales!$F:$F, $F224, Aux_Totales!$A:$A,#REF!), 0))</f>
        <v/>
      </c>
      <c r="QJC224" s="19" t="str">
        <f>IF(QJC220 = "", "", IFERROR(QJC220 / SUMIFS(Aux_Totales!$N:$N, Aux_Totales!$F:$F, $F224, Aux_Totales!$A:$A,#REF!), 0))</f>
        <v/>
      </c>
      <c r="QJD224" s="19" t="str">
        <f>IF(QJD220 = "", "", IFERROR(QJD220 / SUMIFS(Aux_Totales!$N:$N, Aux_Totales!$F:$F, $F224, Aux_Totales!$A:$A,#REF!), 0))</f>
        <v/>
      </c>
      <c r="QJE224" s="19" t="str">
        <f>IF(QJE220 = "", "", IFERROR(QJE220 / SUMIFS(Aux_Totales!$N:$N, Aux_Totales!$F:$F, $F224, Aux_Totales!$A:$A,#REF!), 0))</f>
        <v/>
      </c>
      <c r="QJF224" s="19" t="str">
        <f>IF(QJF220 = "", "", IFERROR(QJF220 / SUMIFS(Aux_Totales!$N:$N, Aux_Totales!$F:$F, $F224, Aux_Totales!$A:$A,#REF!), 0))</f>
        <v/>
      </c>
      <c r="QJG224" s="19" t="str">
        <f>IF(QJG220 = "", "", IFERROR(QJG220 / SUMIFS(Aux_Totales!$N:$N, Aux_Totales!$F:$F, $F224, Aux_Totales!$A:$A,#REF!), 0))</f>
        <v/>
      </c>
      <c r="QJH224" s="19" t="str">
        <f>IF(QJH220 = "", "", IFERROR(QJH220 / SUMIFS(Aux_Totales!$N:$N, Aux_Totales!$F:$F, $F224, Aux_Totales!$A:$A,#REF!), 0))</f>
        <v/>
      </c>
      <c r="QJI224" s="19" t="str">
        <f>IF(QJI220 = "", "", IFERROR(QJI220 / SUMIFS(Aux_Totales!$N:$N, Aux_Totales!$F:$F, $F224, Aux_Totales!$A:$A,#REF!), 0))</f>
        <v/>
      </c>
      <c r="QJJ224" s="19" t="str">
        <f>IF(QJJ220 = "", "", IFERROR(QJJ220 / SUMIFS(Aux_Totales!$N:$N, Aux_Totales!$F:$F, $F224, Aux_Totales!$A:$A,#REF!), 0))</f>
        <v/>
      </c>
      <c r="QJK224" s="19" t="str">
        <f>IF(QJK220 = "", "", IFERROR(QJK220 / SUMIFS(Aux_Totales!$N:$N, Aux_Totales!$F:$F, $F224, Aux_Totales!$A:$A,#REF!), 0))</f>
        <v/>
      </c>
      <c r="QJL224" s="19" t="str">
        <f>IF(QJL220 = "", "", IFERROR(QJL220 / SUMIFS(Aux_Totales!$N:$N, Aux_Totales!$F:$F, $F224, Aux_Totales!$A:$A,#REF!), 0))</f>
        <v/>
      </c>
      <c r="QJM224" s="19" t="str">
        <f>IF(QJM220 = "", "", IFERROR(QJM220 / SUMIFS(Aux_Totales!$N:$N, Aux_Totales!$F:$F, $F224, Aux_Totales!$A:$A,#REF!), 0))</f>
        <v/>
      </c>
      <c r="QJN224" s="19" t="str">
        <f>IF(QJN220 = "", "", IFERROR(QJN220 / SUMIFS(Aux_Totales!$N:$N, Aux_Totales!$F:$F, $F224, Aux_Totales!$A:$A,#REF!), 0))</f>
        <v/>
      </c>
      <c r="QJO224" s="19" t="str">
        <f>IF(QJO220 = "", "", IFERROR(QJO220 / SUMIFS(Aux_Totales!$N:$N, Aux_Totales!$F:$F, $F224, Aux_Totales!$A:$A,#REF!), 0))</f>
        <v/>
      </c>
      <c r="QJP224" s="19" t="str">
        <f>IF(QJP220 = "", "", IFERROR(QJP220 / SUMIFS(Aux_Totales!$N:$N, Aux_Totales!$F:$F, $F224, Aux_Totales!$A:$A,#REF!), 0))</f>
        <v/>
      </c>
      <c r="QJQ224" s="19" t="str">
        <f>IF(QJQ220 = "", "", IFERROR(QJQ220 / SUMIFS(Aux_Totales!$N:$N, Aux_Totales!$F:$F, $F224, Aux_Totales!$A:$A,#REF!), 0))</f>
        <v/>
      </c>
      <c r="QJR224" s="19" t="str">
        <f>IF(QJR220 = "", "", IFERROR(QJR220 / SUMIFS(Aux_Totales!$N:$N, Aux_Totales!$F:$F, $F224, Aux_Totales!$A:$A,#REF!), 0))</f>
        <v/>
      </c>
      <c r="QJS224" s="19" t="str">
        <f>IF(QJS220 = "", "", IFERROR(QJS220 / SUMIFS(Aux_Totales!$N:$N, Aux_Totales!$F:$F, $F224, Aux_Totales!$A:$A,#REF!), 0))</f>
        <v/>
      </c>
      <c r="QJT224" s="19" t="str">
        <f>IF(QJT220 = "", "", IFERROR(QJT220 / SUMIFS(Aux_Totales!$N:$N, Aux_Totales!$F:$F, $F224, Aux_Totales!$A:$A,#REF!), 0))</f>
        <v/>
      </c>
      <c r="QJU224" s="19" t="str">
        <f>IF(QJU220 = "", "", IFERROR(QJU220 / SUMIFS(Aux_Totales!$N:$N, Aux_Totales!$F:$F, $F224, Aux_Totales!$A:$A,#REF!), 0))</f>
        <v/>
      </c>
      <c r="QJV224" s="19" t="str">
        <f>IF(QJV220 = "", "", IFERROR(QJV220 / SUMIFS(Aux_Totales!$N:$N, Aux_Totales!$F:$F, $F224, Aux_Totales!$A:$A,#REF!), 0))</f>
        <v/>
      </c>
      <c r="QJW224" s="19" t="str">
        <f>IF(QJW220 = "", "", IFERROR(QJW220 / SUMIFS(Aux_Totales!$N:$N, Aux_Totales!$F:$F, $F224, Aux_Totales!$A:$A,#REF!), 0))</f>
        <v/>
      </c>
      <c r="QJX224" s="19" t="str">
        <f>IF(QJX220 = "", "", IFERROR(QJX220 / SUMIFS(Aux_Totales!$N:$N, Aux_Totales!$F:$F, $F224, Aux_Totales!$A:$A,#REF!), 0))</f>
        <v/>
      </c>
      <c r="QJY224" s="19" t="str">
        <f>IF(QJY220 = "", "", IFERROR(QJY220 / SUMIFS(Aux_Totales!$N:$N, Aux_Totales!$F:$F, $F224, Aux_Totales!$A:$A,#REF!), 0))</f>
        <v/>
      </c>
      <c r="QJZ224" s="19" t="str">
        <f>IF(QJZ220 = "", "", IFERROR(QJZ220 / SUMIFS(Aux_Totales!$N:$N, Aux_Totales!$F:$F, $F224, Aux_Totales!$A:$A,#REF!), 0))</f>
        <v/>
      </c>
      <c r="QKA224" s="19" t="str">
        <f>IF(QKA220 = "", "", IFERROR(QKA220 / SUMIFS(Aux_Totales!$N:$N, Aux_Totales!$F:$F, $F224, Aux_Totales!$A:$A,#REF!), 0))</f>
        <v/>
      </c>
      <c r="QKB224" s="19" t="str">
        <f>IF(QKB220 = "", "", IFERROR(QKB220 / SUMIFS(Aux_Totales!$N:$N, Aux_Totales!$F:$F, $F224, Aux_Totales!$A:$A,#REF!), 0))</f>
        <v/>
      </c>
      <c r="QKC224" s="19" t="str">
        <f>IF(QKC220 = "", "", IFERROR(QKC220 / SUMIFS(Aux_Totales!$N:$N, Aux_Totales!$F:$F, $F224, Aux_Totales!$A:$A,#REF!), 0))</f>
        <v/>
      </c>
      <c r="QKD224" s="19" t="str">
        <f>IF(QKD220 = "", "", IFERROR(QKD220 / SUMIFS(Aux_Totales!$N:$N, Aux_Totales!$F:$F, $F224, Aux_Totales!$A:$A,#REF!), 0))</f>
        <v/>
      </c>
      <c r="QKE224" s="19" t="str">
        <f>IF(QKE220 = "", "", IFERROR(QKE220 / SUMIFS(Aux_Totales!$N:$N, Aux_Totales!$F:$F, $F224, Aux_Totales!$A:$A,#REF!), 0))</f>
        <v/>
      </c>
      <c r="QKF224" s="19" t="str">
        <f>IF(QKF220 = "", "", IFERROR(QKF220 / SUMIFS(Aux_Totales!$N:$N, Aux_Totales!$F:$F, $F224, Aux_Totales!$A:$A,#REF!), 0))</f>
        <v/>
      </c>
      <c r="QKG224" s="19" t="str">
        <f>IF(QKG220 = "", "", IFERROR(QKG220 / SUMIFS(Aux_Totales!$N:$N, Aux_Totales!$F:$F, $F224, Aux_Totales!$A:$A,#REF!), 0))</f>
        <v/>
      </c>
      <c r="QKH224" s="19" t="str">
        <f>IF(QKH220 = "", "", IFERROR(QKH220 / SUMIFS(Aux_Totales!$N:$N, Aux_Totales!$F:$F, $F224, Aux_Totales!$A:$A,#REF!), 0))</f>
        <v/>
      </c>
      <c r="QKI224" s="19" t="str">
        <f>IF(QKI220 = "", "", IFERROR(QKI220 / SUMIFS(Aux_Totales!$N:$N, Aux_Totales!$F:$F, $F224, Aux_Totales!$A:$A,#REF!), 0))</f>
        <v/>
      </c>
      <c r="QKJ224" s="19" t="str">
        <f>IF(QKJ220 = "", "", IFERROR(QKJ220 / SUMIFS(Aux_Totales!$N:$N, Aux_Totales!$F:$F, $F224, Aux_Totales!$A:$A,#REF!), 0))</f>
        <v/>
      </c>
      <c r="QKK224" s="19" t="str">
        <f>IF(QKK220 = "", "", IFERROR(QKK220 / SUMIFS(Aux_Totales!$N:$N, Aux_Totales!$F:$F, $F224, Aux_Totales!$A:$A,#REF!), 0))</f>
        <v/>
      </c>
      <c r="QKL224" s="19" t="str">
        <f>IF(QKL220 = "", "", IFERROR(QKL220 / SUMIFS(Aux_Totales!$N:$N, Aux_Totales!$F:$F, $F224, Aux_Totales!$A:$A,#REF!), 0))</f>
        <v/>
      </c>
      <c r="QKM224" s="19" t="str">
        <f>IF(QKM220 = "", "", IFERROR(QKM220 / SUMIFS(Aux_Totales!$N:$N, Aux_Totales!$F:$F, $F224, Aux_Totales!$A:$A,#REF!), 0))</f>
        <v/>
      </c>
      <c r="QKN224" s="19" t="str">
        <f>IF(QKN220 = "", "", IFERROR(QKN220 / SUMIFS(Aux_Totales!$N:$N, Aux_Totales!$F:$F, $F224, Aux_Totales!$A:$A,#REF!), 0))</f>
        <v/>
      </c>
      <c r="QKO224" s="19" t="str">
        <f>IF(QKO220 = "", "", IFERROR(QKO220 / SUMIFS(Aux_Totales!$N:$N, Aux_Totales!$F:$F, $F224, Aux_Totales!$A:$A,#REF!), 0))</f>
        <v/>
      </c>
      <c r="QKP224" s="19" t="str">
        <f>IF(QKP220 = "", "", IFERROR(QKP220 / SUMIFS(Aux_Totales!$N:$N, Aux_Totales!$F:$F, $F224, Aux_Totales!$A:$A,#REF!), 0))</f>
        <v/>
      </c>
      <c r="QKQ224" s="19" t="str">
        <f>IF(QKQ220 = "", "", IFERROR(QKQ220 / SUMIFS(Aux_Totales!$N:$N, Aux_Totales!$F:$F, $F224, Aux_Totales!$A:$A,#REF!), 0))</f>
        <v/>
      </c>
      <c r="QKR224" s="19" t="str">
        <f>IF(QKR220 = "", "", IFERROR(QKR220 / SUMIFS(Aux_Totales!$N:$N, Aux_Totales!$F:$F, $F224, Aux_Totales!$A:$A,#REF!), 0))</f>
        <v/>
      </c>
      <c r="QKS224" s="19" t="str">
        <f>IF(QKS220 = "", "", IFERROR(QKS220 / SUMIFS(Aux_Totales!$N:$N, Aux_Totales!$F:$F, $F224, Aux_Totales!$A:$A,#REF!), 0))</f>
        <v/>
      </c>
      <c r="QKT224" s="19" t="str">
        <f>IF(QKT220 = "", "", IFERROR(QKT220 / SUMIFS(Aux_Totales!$N:$N, Aux_Totales!$F:$F, $F224, Aux_Totales!$A:$A,#REF!), 0))</f>
        <v/>
      </c>
      <c r="QKU224" s="19" t="str">
        <f>IF(QKU220 = "", "", IFERROR(QKU220 / SUMIFS(Aux_Totales!$N:$N, Aux_Totales!$F:$F, $F224, Aux_Totales!$A:$A,#REF!), 0))</f>
        <v/>
      </c>
      <c r="QKV224" s="19" t="str">
        <f>IF(QKV220 = "", "", IFERROR(QKV220 / SUMIFS(Aux_Totales!$N:$N, Aux_Totales!$F:$F, $F224, Aux_Totales!$A:$A,#REF!), 0))</f>
        <v/>
      </c>
      <c r="QKW224" s="19" t="str">
        <f>IF(QKW220 = "", "", IFERROR(QKW220 / SUMIFS(Aux_Totales!$N:$N, Aux_Totales!$F:$F, $F224, Aux_Totales!$A:$A,#REF!), 0))</f>
        <v/>
      </c>
      <c r="QKX224" s="19" t="str">
        <f>IF(QKX220 = "", "", IFERROR(QKX220 / SUMIFS(Aux_Totales!$N:$N, Aux_Totales!$F:$F, $F224, Aux_Totales!$A:$A,#REF!), 0))</f>
        <v/>
      </c>
      <c r="QKY224" s="19" t="str">
        <f>IF(QKY220 = "", "", IFERROR(QKY220 / SUMIFS(Aux_Totales!$N:$N, Aux_Totales!$F:$F, $F224, Aux_Totales!$A:$A,#REF!), 0))</f>
        <v/>
      </c>
      <c r="QKZ224" s="19" t="str">
        <f>IF(QKZ220 = "", "", IFERROR(QKZ220 / SUMIFS(Aux_Totales!$N:$N, Aux_Totales!$F:$F, $F224, Aux_Totales!$A:$A,#REF!), 0))</f>
        <v/>
      </c>
      <c r="QLA224" s="19" t="str">
        <f>IF(QLA220 = "", "", IFERROR(QLA220 / SUMIFS(Aux_Totales!$N:$N, Aux_Totales!$F:$F, $F224, Aux_Totales!$A:$A,#REF!), 0))</f>
        <v/>
      </c>
      <c r="QLB224" s="19" t="str">
        <f>IF(QLB220 = "", "", IFERROR(QLB220 / SUMIFS(Aux_Totales!$N:$N, Aux_Totales!$F:$F, $F224, Aux_Totales!$A:$A,#REF!), 0))</f>
        <v/>
      </c>
      <c r="QLC224" s="19" t="str">
        <f>IF(QLC220 = "", "", IFERROR(QLC220 / SUMIFS(Aux_Totales!$N:$N, Aux_Totales!$F:$F, $F224, Aux_Totales!$A:$A,#REF!), 0))</f>
        <v/>
      </c>
      <c r="QLD224" s="19" t="str">
        <f>IF(QLD220 = "", "", IFERROR(QLD220 / SUMIFS(Aux_Totales!$N:$N, Aux_Totales!$F:$F, $F224, Aux_Totales!$A:$A,#REF!), 0))</f>
        <v/>
      </c>
      <c r="QLE224" s="19" t="str">
        <f>IF(QLE220 = "", "", IFERROR(QLE220 / SUMIFS(Aux_Totales!$N:$N, Aux_Totales!$F:$F, $F224, Aux_Totales!$A:$A,#REF!), 0))</f>
        <v/>
      </c>
      <c r="QLF224" s="19" t="str">
        <f>IF(QLF220 = "", "", IFERROR(QLF220 / SUMIFS(Aux_Totales!$N:$N, Aux_Totales!$F:$F, $F224, Aux_Totales!$A:$A,#REF!), 0))</f>
        <v/>
      </c>
      <c r="QLG224" s="19" t="str">
        <f>IF(QLG220 = "", "", IFERROR(QLG220 / SUMIFS(Aux_Totales!$N:$N, Aux_Totales!$F:$F, $F224, Aux_Totales!$A:$A,#REF!), 0))</f>
        <v/>
      </c>
      <c r="QLH224" s="19" t="str">
        <f>IF(QLH220 = "", "", IFERROR(QLH220 / SUMIFS(Aux_Totales!$N:$N, Aux_Totales!$F:$F, $F224, Aux_Totales!$A:$A,#REF!), 0))</f>
        <v/>
      </c>
      <c r="QLI224" s="19" t="str">
        <f>IF(QLI220 = "", "", IFERROR(QLI220 / SUMIFS(Aux_Totales!$N:$N, Aux_Totales!$F:$F, $F224, Aux_Totales!$A:$A,#REF!), 0))</f>
        <v/>
      </c>
      <c r="QLJ224" s="19" t="str">
        <f>IF(QLJ220 = "", "", IFERROR(QLJ220 / SUMIFS(Aux_Totales!$N:$N, Aux_Totales!$F:$F, $F224, Aux_Totales!$A:$A,#REF!), 0))</f>
        <v/>
      </c>
      <c r="QLK224" s="19" t="str">
        <f>IF(QLK220 = "", "", IFERROR(QLK220 / SUMIFS(Aux_Totales!$N:$N, Aux_Totales!$F:$F, $F224, Aux_Totales!$A:$A,#REF!), 0))</f>
        <v/>
      </c>
      <c r="QLL224" s="19" t="str">
        <f>IF(QLL220 = "", "", IFERROR(QLL220 / SUMIFS(Aux_Totales!$N:$N, Aux_Totales!$F:$F, $F224, Aux_Totales!$A:$A,#REF!), 0))</f>
        <v/>
      </c>
      <c r="QLM224" s="19" t="str">
        <f>IF(QLM220 = "", "", IFERROR(QLM220 / SUMIFS(Aux_Totales!$N:$N, Aux_Totales!$F:$F, $F224, Aux_Totales!$A:$A,#REF!), 0))</f>
        <v/>
      </c>
      <c r="QLN224" s="19" t="str">
        <f>IF(QLN220 = "", "", IFERROR(QLN220 / SUMIFS(Aux_Totales!$N:$N, Aux_Totales!$F:$F, $F224, Aux_Totales!$A:$A,#REF!), 0))</f>
        <v/>
      </c>
      <c r="QLO224" s="19" t="str">
        <f>IF(QLO220 = "", "", IFERROR(QLO220 / SUMIFS(Aux_Totales!$N:$N, Aux_Totales!$F:$F, $F224, Aux_Totales!$A:$A,#REF!), 0))</f>
        <v/>
      </c>
      <c r="QLP224" s="19" t="str">
        <f>IF(QLP220 = "", "", IFERROR(QLP220 / SUMIFS(Aux_Totales!$N:$N, Aux_Totales!$F:$F, $F224, Aux_Totales!$A:$A,#REF!), 0))</f>
        <v/>
      </c>
      <c r="QLQ224" s="19" t="str">
        <f>IF(QLQ220 = "", "", IFERROR(QLQ220 / SUMIFS(Aux_Totales!$N:$N, Aux_Totales!$F:$F, $F224, Aux_Totales!$A:$A,#REF!), 0))</f>
        <v/>
      </c>
      <c r="QLR224" s="19" t="str">
        <f>IF(QLR220 = "", "", IFERROR(QLR220 / SUMIFS(Aux_Totales!$N:$N, Aux_Totales!$F:$F, $F224, Aux_Totales!$A:$A,#REF!), 0))</f>
        <v/>
      </c>
      <c r="QLS224" s="19" t="str">
        <f>IF(QLS220 = "", "", IFERROR(QLS220 / SUMIFS(Aux_Totales!$N:$N, Aux_Totales!$F:$F, $F224, Aux_Totales!$A:$A,#REF!), 0))</f>
        <v/>
      </c>
      <c r="QLT224" s="19" t="str">
        <f>IF(QLT220 = "", "", IFERROR(QLT220 / SUMIFS(Aux_Totales!$N:$N, Aux_Totales!$F:$F, $F224, Aux_Totales!$A:$A,#REF!), 0))</f>
        <v/>
      </c>
      <c r="QLU224" s="19" t="str">
        <f>IF(QLU220 = "", "", IFERROR(QLU220 / SUMIFS(Aux_Totales!$N:$N, Aux_Totales!$F:$F, $F224, Aux_Totales!$A:$A,#REF!), 0))</f>
        <v/>
      </c>
      <c r="QLV224" s="19" t="str">
        <f>IF(QLV220 = "", "", IFERROR(QLV220 / SUMIFS(Aux_Totales!$N:$N, Aux_Totales!$F:$F, $F224, Aux_Totales!$A:$A,#REF!), 0))</f>
        <v/>
      </c>
      <c r="QLW224" s="19" t="str">
        <f>IF(QLW220 = "", "", IFERROR(QLW220 / SUMIFS(Aux_Totales!$N:$N, Aux_Totales!$F:$F, $F224, Aux_Totales!$A:$A,#REF!), 0))</f>
        <v/>
      </c>
      <c r="QLX224" s="19" t="str">
        <f>IF(QLX220 = "", "", IFERROR(QLX220 / SUMIFS(Aux_Totales!$N:$N, Aux_Totales!$F:$F, $F224, Aux_Totales!$A:$A,#REF!), 0))</f>
        <v/>
      </c>
      <c r="QLY224" s="19" t="str">
        <f>IF(QLY220 = "", "", IFERROR(QLY220 / SUMIFS(Aux_Totales!$N:$N, Aux_Totales!$F:$F, $F224, Aux_Totales!$A:$A,#REF!), 0))</f>
        <v/>
      </c>
      <c r="QLZ224" s="19" t="str">
        <f>IF(QLZ220 = "", "", IFERROR(QLZ220 / SUMIFS(Aux_Totales!$N:$N, Aux_Totales!$F:$F, $F224, Aux_Totales!$A:$A,#REF!), 0))</f>
        <v/>
      </c>
      <c r="QMA224" s="19" t="str">
        <f>IF(QMA220 = "", "", IFERROR(QMA220 / SUMIFS(Aux_Totales!$N:$N, Aux_Totales!$F:$F, $F224, Aux_Totales!$A:$A,#REF!), 0))</f>
        <v/>
      </c>
      <c r="QMB224" s="19" t="str">
        <f>IF(QMB220 = "", "", IFERROR(QMB220 / SUMIFS(Aux_Totales!$N:$N, Aux_Totales!$F:$F, $F224, Aux_Totales!$A:$A,#REF!), 0))</f>
        <v/>
      </c>
      <c r="QMC224" s="19" t="str">
        <f>IF(QMC220 = "", "", IFERROR(QMC220 / SUMIFS(Aux_Totales!$N:$N, Aux_Totales!$F:$F, $F224, Aux_Totales!$A:$A,#REF!), 0))</f>
        <v/>
      </c>
      <c r="QMD224" s="19" t="str">
        <f>IF(QMD220 = "", "", IFERROR(QMD220 / SUMIFS(Aux_Totales!$N:$N, Aux_Totales!$F:$F, $F224, Aux_Totales!$A:$A,#REF!), 0))</f>
        <v/>
      </c>
      <c r="QME224" s="19" t="str">
        <f>IF(QME220 = "", "", IFERROR(QME220 / SUMIFS(Aux_Totales!$N:$N, Aux_Totales!$F:$F, $F224, Aux_Totales!$A:$A,#REF!), 0))</f>
        <v/>
      </c>
      <c r="QMF224" s="19" t="str">
        <f>IF(QMF220 = "", "", IFERROR(QMF220 / SUMIFS(Aux_Totales!$N:$N, Aux_Totales!$F:$F, $F224, Aux_Totales!$A:$A,#REF!), 0))</f>
        <v/>
      </c>
      <c r="QMG224" s="19" t="str">
        <f>IF(QMG220 = "", "", IFERROR(QMG220 / SUMIFS(Aux_Totales!$N:$N, Aux_Totales!$F:$F, $F224, Aux_Totales!$A:$A,#REF!), 0))</f>
        <v/>
      </c>
      <c r="QMH224" s="19" t="str">
        <f>IF(QMH220 = "", "", IFERROR(QMH220 / SUMIFS(Aux_Totales!$N:$N, Aux_Totales!$F:$F, $F224, Aux_Totales!$A:$A,#REF!), 0))</f>
        <v/>
      </c>
      <c r="QMI224" s="19" t="str">
        <f>IF(QMI220 = "", "", IFERROR(QMI220 / SUMIFS(Aux_Totales!$N:$N, Aux_Totales!$F:$F, $F224, Aux_Totales!$A:$A,#REF!), 0))</f>
        <v/>
      </c>
      <c r="QMJ224" s="19" t="str">
        <f>IF(QMJ220 = "", "", IFERROR(QMJ220 / SUMIFS(Aux_Totales!$N:$N, Aux_Totales!$F:$F, $F224, Aux_Totales!$A:$A,#REF!), 0))</f>
        <v/>
      </c>
      <c r="QMK224" s="19" t="str">
        <f>IF(QMK220 = "", "", IFERROR(QMK220 / SUMIFS(Aux_Totales!$N:$N, Aux_Totales!$F:$F, $F224, Aux_Totales!$A:$A,#REF!), 0))</f>
        <v/>
      </c>
      <c r="QML224" s="19" t="str">
        <f>IF(QML220 = "", "", IFERROR(QML220 / SUMIFS(Aux_Totales!$N:$N, Aux_Totales!$F:$F, $F224, Aux_Totales!$A:$A,#REF!), 0))</f>
        <v/>
      </c>
      <c r="QMM224" s="19" t="str">
        <f>IF(QMM220 = "", "", IFERROR(QMM220 / SUMIFS(Aux_Totales!$N:$N, Aux_Totales!$F:$F, $F224, Aux_Totales!$A:$A,#REF!), 0))</f>
        <v/>
      </c>
      <c r="QMN224" s="19" t="str">
        <f>IF(QMN220 = "", "", IFERROR(QMN220 / SUMIFS(Aux_Totales!$N:$N, Aux_Totales!$F:$F, $F224, Aux_Totales!$A:$A,#REF!), 0))</f>
        <v/>
      </c>
      <c r="QMO224" s="19" t="str">
        <f>IF(QMO220 = "", "", IFERROR(QMO220 / SUMIFS(Aux_Totales!$N:$N, Aux_Totales!$F:$F, $F224, Aux_Totales!$A:$A,#REF!), 0))</f>
        <v/>
      </c>
      <c r="QMP224" s="19" t="str">
        <f>IF(QMP220 = "", "", IFERROR(QMP220 / SUMIFS(Aux_Totales!$N:$N, Aux_Totales!$F:$F, $F224, Aux_Totales!$A:$A,#REF!), 0))</f>
        <v/>
      </c>
      <c r="QMQ224" s="19" t="str">
        <f>IF(QMQ220 = "", "", IFERROR(QMQ220 / SUMIFS(Aux_Totales!$N:$N, Aux_Totales!$F:$F, $F224, Aux_Totales!$A:$A,#REF!), 0))</f>
        <v/>
      </c>
      <c r="QMR224" s="19" t="str">
        <f>IF(QMR220 = "", "", IFERROR(QMR220 / SUMIFS(Aux_Totales!$N:$N, Aux_Totales!$F:$F, $F224, Aux_Totales!$A:$A,#REF!), 0))</f>
        <v/>
      </c>
      <c r="QMS224" s="19" t="str">
        <f>IF(QMS220 = "", "", IFERROR(QMS220 / SUMIFS(Aux_Totales!$N:$N, Aux_Totales!$F:$F, $F224, Aux_Totales!$A:$A,#REF!), 0))</f>
        <v/>
      </c>
      <c r="QMT224" s="19" t="str">
        <f>IF(QMT220 = "", "", IFERROR(QMT220 / SUMIFS(Aux_Totales!$N:$N, Aux_Totales!$F:$F, $F224, Aux_Totales!$A:$A,#REF!), 0))</f>
        <v/>
      </c>
      <c r="QMU224" s="19" t="str">
        <f>IF(QMU220 = "", "", IFERROR(QMU220 / SUMIFS(Aux_Totales!$N:$N, Aux_Totales!$F:$F, $F224, Aux_Totales!$A:$A,#REF!), 0))</f>
        <v/>
      </c>
      <c r="QMV224" s="19" t="str">
        <f>IF(QMV220 = "", "", IFERROR(QMV220 / SUMIFS(Aux_Totales!$N:$N, Aux_Totales!$F:$F, $F224, Aux_Totales!$A:$A,#REF!), 0))</f>
        <v/>
      </c>
      <c r="QMW224" s="19" t="str">
        <f>IF(QMW220 = "", "", IFERROR(QMW220 / SUMIFS(Aux_Totales!$N:$N, Aux_Totales!$F:$F, $F224, Aux_Totales!$A:$A,#REF!), 0))</f>
        <v/>
      </c>
      <c r="QMX224" s="19" t="str">
        <f>IF(QMX220 = "", "", IFERROR(QMX220 / SUMIFS(Aux_Totales!$N:$N, Aux_Totales!$F:$F, $F224, Aux_Totales!$A:$A,#REF!), 0))</f>
        <v/>
      </c>
      <c r="QMY224" s="19" t="str">
        <f>IF(QMY220 = "", "", IFERROR(QMY220 / SUMIFS(Aux_Totales!$N:$N, Aux_Totales!$F:$F, $F224, Aux_Totales!$A:$A,#REF!), 0))</f>
        <v/>
      </c>
      <c r="QMZ224" s="19" t="str">
        <f>IF(QMZ220 = "", "", IFERROR(QMZ220 / SUMIFS(Aux_Totales!$N:$N, Aux_Totales!$F:$F, $F224, Aux_Totales!$A:$A,#REF!), 0))</f>
        <v/>
      </c>
      <c r="QNA224" s="19" t="str">
        <f>IF(QNA220 = "", "", IFERROR(QNA220 / SUMIFS(Aux_Totales!$N:$N, Aux_Totales!$F:$F, $F224, Aux_Totales!$A:$A,#REF!), 0))</f>
        <v/>
      </c>
      <c r="QNB224" s="19" t="str">
        <f>IF(QNB220 = "", "", IFERROR(QNB220 / SUMIFS(Aux_Totales!$N:$N, Aux_Totales!$F:$F, $F224, Aux_Totales!$A:$A,#REF!), 0))</f>
        <v/>
      </c>
      <c r="QNC224" s="19" t="str">
        <f>IF(QNC220 = "", "", IFERROR(QNC220 / SUMIFS(Aux_Totales!$N:$N, Aux_Totales!$F:$F, $F224, Aux_Totales!$A:$A,#REF!), 0))</f>
        <v/>
      </c>
      <c r="QND224" s="19" t="str">
        <f>IF(QND220 = "", "", IFERROR(QND220 / SUMIFS(Aux_Totales!$N:$N, Aux_Totales!$F:$F, $F224, Aux_Totales!$A:$A,#REF!), 0))</f>
        <v/>
      </c>
      <c r="QNE224" s="19" t="str">
        <f>IF(QNE220 = "", "", IFERROR(QNE220 / SUMIFS(Aux_Totales!$N:$N, Aux_Totales!$F:$F, $F224, Aux_Totales!$A:$A,#REF!), 0))</f>
        <v/>
      </c>
      <c r="QNF224" s="19" t="str">
        <f>IF(QNF220 = "", "", IFERROR(QNF220 / SUMIFS(Aux_Totales!$N:$N, Aux_Totales!$F:$F, $F224, Aux_Totales!$A:$A,#REF!), 0))</f>
        <v/>
      </c>
      <c r="QNG224" s="19" t="str">
        <f>IF(QNG220 = "", "", IFERROR(QNG220 / SUMIFS(Aux_Totales!$N:$N, Aux_Totales!$F:$F, $F224, Aux_Totales!$A:$A,#REF!), 0))</f>
        <v/>
      </c>
      <c r="QNH224" s="19" t="str">
        <f>IF(QNH220 = "", "", IFERROR(QNH220 / SUMIFS(Aux_Totales!$N:$N, Aux_Totales!$F:$F, $F224, Aux_Totales!$A:$A,#REF!), 0))</f>
        <v/>
      </c>
      <c r="QNI224" s="19" t="str">
        <f>IF(QNI220 = "", "", IFERROR(QNI220 / SUMIFS(Aux_Totales!$N:$N, Aux_Totales!$F:$F, $F224, Aux_Totales!$A:$A,#REF!), 0))</f>
        <v/>
      </c>
      <c r="QNJ224" s="19" t="str">
        <f>IF(QNJ220 = "", "", IFERROR(QNJ220 / SUMIFS(Aux_Totales!$N:$N, Aux_Totales!$F:$F, $F224, Aux_Totales!$A:$A,#REF!), 0))</f>
        <v/>
      </c>
      <c r="QNK224" s="19" t="str">
        <f>IF(QNK220 = "", "", IFERROR(QNK220 / SUMIFS(Aux_Totales!$N:$N, Aux_Totales!$F:$F, $F224, Aux_Totales!$A:$A,#REF!), 0))</f>
        <v/>
      </c>
      <c r="QNL224" s="19" t="str">
        <f>IF(QNL220 = "", "", IFERROR(QNL220 / SUMIFS(Aux_Totales!$N:$N, Aux_Totales!$F:$F, $F224, Aux_Totales!$A:$A,#REF!), 0))</f>
        <v/>
      </c>
      <c r="QNM224" s="19" t="str">
        <f>IF(QNM220 = "", "", IFERROR(QNM220 / SUMIFS(Aux_Totales!$N:$N, Aux_Totales!$F:$F, $F224, Aux_Totales!$A:$A,#REF!), 0))</f>
        <v/>
      </c>
      <c r="QNN224" s="19" t="str">
        <f>IF(QNN220 = "", "", IFERROR(QNN220 / SUMIFS(Aux_Totales!$N:$N, Aux_Totales!$F:$F, $F224, Aux_Totales!$A:$A,#REF!), 0))</f>
        <v/>
      </c>
      <c r="QNO224" s="19" t="str">
        <f>IF(QNO220 = "", "", IFERROR(QNO220 / SUMIFS(Aux_Totales!$N:$N, Aux_Totales!$F:$F, $F224, Aux_Totales!$A:$A,#REF!), 0))</f>
        <v/>
      </c>
      <c r="QNP224" s="19" t="str">
        <f>IF(QNP220 = "", "", IFERROR(QNP220 / SUMIFS(Aux_Totales!$N:$N, Aux_Totales!$F:$F, $F224, Aux_Totales!$A:$A,#REF!), 0))</f>
        <v/>
      </c>
      <c r="QNQ224" s="19" t="str">
        <f>IF(QNQ220 = "", "", IFERROR(QNQ220 / SUMIFS(Aux_Totales!$N:$N, Aux_Totales!$F:$F, $F224, Aux_Totales!$A:$A,#REF!), 0))</f>
        <v/>
      </c>
      <c r="QNR224" s="19" t="str">
        <f>IF(QNR220 = "", "", IFERROR(QNR220 / SUMIFS(Aux_Totales!$N:$N, Aux_Totales!$F:$F, $F224, Aux_Totales!$A:$A,#REF!), 0))</f>
        <v/>
      </c>
      <c r="QNS224" s="19" t="str">
        <f>IF(QNS220 = "", "", IFERROR(QNS220 / SUMIFS(Aux_Totales!$N:$N, Aux_Totales!$F:$F, $F224, Aux_Totales!$A:$A,#REF!), 0))</f>
        <v/>
      </c>
      <c r="QNT224" s="19" t="str">
        <f>IF(QNT220 = "", "", IFERROR(QNT220 / SUMIFS(Aux_Totales!$N:$N, Aux_Totales!$F:$F, $F224, Aux_Totales!$A:$A,#REF!), 0))</f>
        <v/>
      </c>
      <c r="QNU224" s="19" t="str">
        <f>IF(QNU220 = "", "", IFERROR(QNU220 / SUMIFS(Aux_Totales!$N:$N, Aux_Totales!$F:$F, $F224, Aux_Totales!$A:$A,#REF!), 0))</f>
        <v/>
      </c>
      <c r="QNV224" s="19" t="str">
        <f>IF(QNV220 = "", "", IFERROR(QNV220 / SUMIFS(Aux_Totales!$N:$N, Aux_Totales!$F:$F, $F224, Aux_Totales!$A:$A,#REF!), 0))</f>
        <v/>
      </c>
      <c r="QNW224" s="19" t="str">
        <f>IF(QNW220 = "", "", IFERROR(QNW220 / SUMIFS(Aux_Totales!$N:$N, Aux_Totales!$F:$F, $F224, Aux_Totales!$A:$A,#REF!), 0))</f>
        <v/>
      </c>
      <c r="QNX224" s="19" t="str">
        <f>IF(QNX220 = "", "", IFERROR(QNX220 / SUMIFS(Aux_Totales!$N:$N, Aux_Totales!$F:$F, $F224, Aux_Totales!$A:$A,#REF!), 0))</f>
        <v/>
      </c>
      <c r="QNY224" s="19" t="str">
        <f>IF(QNY220 = "", "", IFERROR(QNY220 / SUMIFS(Aux_Totales!$N:$N, Aux_Totales!$F:$F, $F224, Aux_Totales!$A:$A,#REF!), 0))</f>
        <v/>
      </c>
      <c r="QNZ224" s="19" t="str">
        <f>IF(QNZ220 = "", "", IFERROR(QNZ220 / SUMIFS(Aux_Totales!$N:$N, Aux_Totales!$F:$F, $F224, Aux_Totales!$A:$A,#REF!), 0))</f>
        <v/>
      </c>
      <c r="QOA224" s="19" t="str">
        <f>IF(QOA220 = "", "", IFERROR(QOA220 / SUMIFS(Aux_Totales!$N:$N, Aux_Totales!$F:$F, $F224, Aux_Totales!$A:$A,#REF!), 0))</f>
        <v/>
      </c>
      <c r="QOB224" s="19" t="str">
        <f>IF(QOB220 = "", "", IFERROR(QOB220 / SUMIFS(Aux_Totales!$N:$N, Aux_Totales!$F:$F, $F224, Aux_Totales!$A:$A,#REF!), 0))</f>
        <v/>
      </c>
      <c r="QOC224" s="19" t="str">
        <f>IF(QOC220 = "", "", IFERROR(QOC220 / SUMIFS(Aux_Totales!$N:$N, Aux_Totales!$F:$F, $F224, Aux_Totales!$A:$A,#REF!), 0))</f>
        <v/>
      </c>
      <c r="QOD224" s="19" t="str">
        <f>IF(QOD220 = "", "", IFERROR(QOD220 / SUMIFS(Aux_Totales!$N:$N, Aux_Totales!$F:$F, $F224, Aux_Totales!$A:$A,#REF!), 0))</f>
        <v/>
      </c>
      <c r="QOE224" s="19" t="str">
        <f>IF(QOE220 = "", "", IFERROR(QOE220 / SUMIFS(Aux_Totales!$N:$N, Aux_Totales!$F:$F, $F224, Aux_Totales!$A:$A,#REF!), 0))</f>
        <v/>
      </c>
      <c r="QOF224" s="19" t="str">
        <f>IF(QOF220 = "", "", IFERROR(QOF220 / SUMIFS(Aux_Totales!$N:$N, Aux_Totales!$F:$F, $F224, Aux_Totales!$A:$A,#REF!), 0))</f>
        <v/>
      </c>
      <c r="QOG224" s="19" t="str">
        <f>IF(QOG220 = "", "", IFERROR(QOG220 / SUMIFS(Aux_Totales!$N:$N, Aux_Totales!$F:$F, $F224, Aux_Totales!$A:$A,#REF!), 0))</f>
        <v/>
      </c>
      <c r="QOH224" s="19" t="str">
        <f>IF(QOH220 = "", "", IFERROR(QOH220 / SUMIFS(Aux_Totales!$N:$N, Aux_Totales!$F:$F, $F224, Aux_Totales!$A:$A,#REF!), 0))</f>
        <v/>
      </c>
      <c r="QOI224" s="19" t="str">
        <f>IF(QOI220 = "", "", IFERROR(QOI220 / SUMIFS(Aux_Totales!$N:$N, Aux_Totales!$F:$F, $F224, Aux_Totales!$A:$A,#REF!), 0))</f>
        <v/>
      </c>
      <c r="QOJ224" s="19" t="str">
        <f>IF(QOJ220 = "", "", IFERROR(QOJ220 / SUMIFS(Aux_Totales!$N:$N, Aux_Totales!$F:$F, $F224, Aux_Totales!$A:$A,#REF!), 0))</f>
        <v/>
      </c>
      <c r="QOK224" s="19" t="str">
        <f>IF(QOK220 = "", "", IFERROR(QOK220 / SUMIFS(Aux_Totales!$N:$N, Aux_Totales!$F:$F, $F224, Aux_Totales!$A:$A,#REF!), 0))</f>
        <v/>
      </c>
      <c r="QOL224" s="19" t="str">
        <f>IF(QOL220 = "", "", IFERROR(QOL220 / SUMIFS(Aux_Totales!$N:$N, Aux_Totales!$F:$F, $F224, Aux_Totales!$A:$A,#REF!), 0))</f>
        <v/>
      </c>
      <c r="QOM224" s="19" t="str">
        <f>IF(QOM220 = "", "", IFERROR(QOM220 / SUMIFS(Aux_Totales!$N:$N, Aux_Totales!$F:$F, $F224, Aux_Totales!$A:$A,#REF!), 0))</f>
        <v/>
      </c>
      <c r="QON224" s="19" t="str">
        <f>IF(QON220 = "", "", IFERROR(QON220 / SUMIFS(Aux_Totales!$N:$N, Aux_Totales!$F:$F, $F224, Aux_Totales!$A:$A,#REF!), 0))</f>
        <v/>
      </c>
      <c r="QOO224" s="19" t="str">
        <f>IF(QOO220 = "", "", IFERROR(QOO220 / SUMIFS(Aux_Totales!$N:$N, Aux_Totales!$F:$F, $F224, Aux_Totales!$A:$A,#REF!), 0))</f>
        <v/>
      </c>
      <c r="QOP224" s="19" t="str">
        <f>IF(QOP220 = "", "", IFERROR(QOP220 / SUMIFS(Aux_Totales!$N:$N, Aux_Totales!$F:$F, $F224, Aux_Totales!$A:$A,#REF!), 0))</f>
        <v/>
      </c>
      <c r="QOQ224" s="19" t="str">
        <f>IF(QOQ220 = "", "", IFERROR(QOQ220 / SUMIFS(Aux_Totales!$N:$N, Aux_Totales!$F:$F, $F224, Aux_Totales!$A:$A,#REF!), 0))</f>
        <v/>
      </c>
      <c r="QOR224" s="19" t="str">
        <f>IF(QOR220 = "", "", IFERROR(QOR220 / SUMIFS(Aux_Totales!$N:$N, Aux_Totales!$F:$F, $F224, Aux_Totales!$A:$A,#REF!), 0))</f>
        <v/>
      </c>
      <c r="QOS224" s="19" t="str">
        <f>IF(QOS220 = "", "", IFERROR(QOS220 / SUMIFS(Aux_Totales!$N:$N, Aux_Totales!$F:$F, $F224, Aux_Totales!$A:$A,#REF!), 0))</f>
        <v/>
      </c>
      <c r="QOT224" s="19" t="str">
        <f>IF(QOT220 = "", "", IFERROR(QOT220 / SUMIFS(Aux_Totales!$N:$N, Aux_Totales!$F:$F, $F224, Aux_Totales!$A:$A,#REF!), 0))</f>
        <v/>
      </c>
      <c r="QOU224" s="19" t="str">
        <f>IF(QOU220 = "", "", IFERROR(QOU220 / SUMIFS(Aux_Totales!$N:$N, Aux_Totales!$F:$F, $F224, Aux_Totales!$A:$A,#REF!), 0))</f>
        <v/>
      </c>
      <c r="QOV224" s="19" t="str">
        <f>IF(QOV220 = "", "", IFERROR(QOV220 / SUMIFS(Aux_Totales!$N:$N, Aux_Totales!$F:$F, $F224, Aux_Totales!$A:$A,#REF!), 0))</f>
        <v/>
      </c>
      <c r="QOW224" s="19" t="str">
        <f>IF(QOW220 = "", "", IFERROR(QOW220 / SUMIFS(Aux_Totales!$N:$N, Aux_Totales!$F:$F, $F224, Aux_Totales!$A:$A,#REF!), 0))</f>
        <v/>
      </c>
      <c r="QOX224" s="19" t="str">
        <f>IF(QOX220 = "", "", IFERROR(QOX220 / SUMIFS(Aux_Totales!$N:$N, Aux_Totales!$F:$F, $F224, Aux_Totales!$A:$A,#REF!), 0))</f>
        <v/>
      </c>
      <c r="QOY224" s="19" t="str">
        <f>IF(QOY220 = "", "", IFERROR(QOY220 / SUMIFS(Aux_Totales!$N:$N, Aux_Totales!$F:$F, $F224, Aux_Totales!$A:$A,#REF!), 0))</f>
        <v/>
      </c>
      <c r="QOZ224" s="19" t="str">
        <f>IF(QOZ220 = "", "", IFERROR(QOZ220 / SUMIFS(Aux_Totales!$N:$N, Aux_Totales!$F:$F, $F224, Aux_Totales!$A:$A,#REF!), 0))</f>
        <v/>
      </c>
      <c r="QPA224" s="19" t="str">
        <f>IF(QPA220 = "", "", IFERROR(QPA220 / SUMIFS(Aux_Totales!$N:$N, Aux_Totales!$F:$F, $F224, Aux_Totales!$A:$A,#REF!), 0))</f>
        <v/>
      </c>
      <c r="QPB224" s="19" t="str">
        <f>IF(QPB220 = "", "", IFERROR(QPB220 / SUMIFS(Aux_Totales!$N:$N, Aux_Totales!$F:$F, $F224, Aux_Totales!$A:$A,#REF!), 0))</f>
        <v/>
      </c>
      <c r="QPC224" s="19" t="str">
        <f>IF(QPC220 = "", "", IFERROR(QPC220 / SUMIFS(Aux_Totales!$N:$N, Aux_Totales!$F:$F, $F224, Aux_Totales!$A:$A,#REF!), 0))</f>
        <v/>
      </c>
      <c r="QPD224" s="19" t="str">
        <f>IF(QPD220 = "", "", IFERROR(QPD220 / SUMIFS(Aux_Totales!$N:$N, Aux_Totales!$F:$F, $F224, Aux_Totales!$A:$A,#REF!), 0))</f>
        <v/>
      </c>
      <c r="QPE224" s="19" t="str">
        <f>IF(QPE220 = "", "", IFERROR(QPE220 / SUMIFS(Aux_Totales!$N:$N, Aux_Totales!$F:$F, $F224, Aux_Totales!$A:$A,#REF!), 0))</f>
        <v/>
      </c>
      <c r="QPF224" s="19" t="str">
        <f>IF(QPF220 = "", "", IFERROR(QPF220 / SUMIFS(Aux_Totales!$N:$N, Aux_Totales!$F:$F, $F224, Aux_Totales!$A:$A,#REF!), 0))</f>
        <v/>
      </c>
      <c r="QPG224" s="19" t="str">
        <f>IF(QPG220 = "", "", IFERROR(QPG220 / SUMIFS(Aux_Totales!$N:$N, Aux_Totales!$F:$F, $F224, Aux_Totales!$A:$A,#REF!), 0))</f>
        <v/>
      </c>
      <c r="QPH224" s="19" t="str">
        <f>IF(QPH220 = "", "", IFERROR(QPH220 / SUMIFS(Aux_Totales!$N:$N, Aux_Totales!$F:$F, $F224, Aux_Totales!$A:$A,#REF!), 0))</f>
        <v/>
      </c>
      <c r="QPI224" s="19" t="str">
        <f>IF(QPI220 = "", "", IFERROR(QPI220 / SUMIFS(Aux_Totales!$N:$N, Aux_Totales!$F:$F, $F224, Aux_Totales!$A:$A,#REF!), 0))</f>
        <v/>
      </c>
      <c r="QPJ224" s="19" t="str">
        <f>IF(QPJ220 = "", "", IFERROR(QPJ220 / SUMIFS(Aux_Totales!$N:$N, Aux_Totales!$F:$F, $F224, Aux_Totales!$A:$A,#REF!), 0))</f>
        <v/>
      </c>
      <c r="QPK224" s="19" t="str">
        <f>IF(QPK220 = "", "", IFERROR(QPK220 / SUMIFS(Aux_Totales!$N:$N, Aux_Totales!$F:$F, $F224, Aux_Totales!$A:$A,#REF!), 0))</f>
        <v/>
      </c>
      <c r="QPL224" s="19" t="str">
        <f>IF(QPL220 = "", "", IFERROR(QPL220 / SUMIFS(Aux_Totales!$N:$N, Aux_Totales!$F:$F, $F224, Aux_Totales!$A:$A,#REF!), 0))</f>
        <v/>
      </c>
      <c r="QPM224" s="19" t="str">
        <f>IF(QPM220 = "", "", IFERROR(QPM220 / SUMIFS(Aux_Totales!$N:$N, Aux_Totales!$F:$F, $F224, Aux_Totales!$A:$A,#REF!), 0))</f>
        <v/>
      </c>
      <c r="QPN224" s="19" t="str">
        <f>IF(QPN220 = "", "", IFERROR(QPN220 / SUMIFS(Aux_Totales!$N:$N, Aux_Totales!$F:$F, $F224, Aux_Totales!$A:$A,#REF!), 0))</f>
        <v/>
      </c>
      <c r="QPO224" s="19" t="str">
        <f>IF(QPO220 = "", "", IFERROR(QPO220 / SUMIFS(Aux_Totales!$N:$N, Aux_Totales!$F:$F, $F224, Aux_Totales!$A:$A,#REF!), 0))</f>
        <v/>
      </c>
      <c r="QPP224" s="19" t="str">
        <f>IF(QPP220 = "", "", IFERROR(QPP220 / SUMIFS(Aux_Totales!$N:$N, Aux_Totales!$F:$F, $F224, Aux_Totales!$A:$A,#REF!), 0))</f>
        <v/>
      </c>
      <c r="QPQ224" s="19" t="str">
        <f>IF(QPQ220 = "", "", IFERROR(QPQ220 / SUMIFS(Aux_Totales!$N:$N, Aux_Totales!$F:$F, $F224, Aux_Totales!$A:$A,#REF!), 0))</f>
        <v/>
      </c>
      <c r="QPR224" s="19" t="str">
        <f>IF(QPR220 = "", "", IFERROR(QPR220 / SUMIFS(Aux_Totales!$N:$N, Aux_Totales!$F:$F, $F224, Aux_Totales!$A:$A,#REF!), 0))</f>
        <v/>
      </c>
      <c r="QPS224" s="19" t="str">
        <f>IF(QPS220 = "", "", IFERROR(QPS220 / SUMIFS(Aux_Totales!$N:$N, Aux_Totales!$F:$F, $F224, Aux_Totales!$A:$A,#REF!), 0))</f>
        <v/>
      </c>
      <c r="QPT224" s="19" t="str">
        <f>IF(QPT220 = "", "", IFERROR(QPT220 / SUMIFS(Aux_Totales!$N:$N, Aux_Totales!$F:$F, $F224, Aux_Totales!$A:$A,#REF!), 0))</f>
        <v/>
      </c>
      <c r="QPU224" s="19" t="str">
        <f>IF(QPU220 = "", "", IFERROR(QPU220 / SUMIFS(Aux_Totales!$N:$N, Aux_Totales!$F:$F, $F224, Aux_Totales!$A:$A,#REF!), 0))</f>
        <v/>
      </c>
      <c r="QPV224" s="19" t="str">
        <f>IF(QPV220 = "", "", IFERROR(QPV220 / SUMIFS(Aux_Totales!$N:$N, Aux_Totales!$F:$F, $F224, Aux_Totales!$A:$A,#REF!), 0))</f>
        <v/>
      </c>
      <c r="QPW224" s="19" t="str">
        <f>IF(QPW220 = "", "", IFERROR(QPW220 / SUMIFS(Aux_Totales!$N:$N, Aux_Totales!$F:$F, $F224, Aux_Totales!$A:$A,#REF!), 0))</f>
        <v/>
      </c>
      <c r="QPX224" s="19" t="str">
        <f>IF(QPX220 = "", "", IFERROR(QPX220 / SUMIFS(Aux_Totales!$N:$N, Aux_Totales!$F:$F, $F224, Aux_Totales!$A:$A,#REF!), 0))</f>
        <v/>
      </c>
      <c r="QPY224" s="19" t="str">
        <f>IF(QPY220 = "", "", IFERROR(QPY220 / SUMIFS(Aux_Totales!$N:$N, Aux_Totales!$F:$F, $F224, Aux_Totales!$A:$A,#REF!), 0))</f>
        <v/>
      </c>
      <c r="QPZ224" s="19" t="str">
        <f>IF(QPZ220 = "", "", IFERROR(QPZ220 / SUMIFS(Aux_Totales!$N:$N, Aux_Totales!$F:$F, $F224, Aux_Totales!$A:$A,#REF!), 0))</f>
        <v/>
      </c>
      <c r="QQA224" s="19" t="str">
        <f>IF(QQA220 = "", "", IFERROR(QQA220 / SUMIFS(Aux_Totales!$N:$N, Aux_Totales!$F:$F, $F224, Aux_Totales!$A:$A,#REF!), 0))</f>
        <v/>
      </c>
      <c r="QQB224" s="19" t="str">
        <f>IF(QQB220 = "", "", IFERROR(QQB220 / SUMIFS(Aux_Totales!$N:$N, Aux_Totales!$F:$F, $F224, Aux_Totales!$A:$A,#REF!), 0))</f>
        <v/>
      </c>
      <c r="QQC224" s="19" t="str">
        <f>IF(QQC220 = "", "", IFERROR(QQC220 / SUMIFS(Aux_Totales!$N:$N, Aux_Totales!$F:$F, $F224, Aux_Totales!$A:$A,#REF!), 0))</f>
        <v/>
      </c>
      <c r="QQD224" s="19" t="str">
        <f>IF(QQD220 = "", "", IFERROR(QQD220 / SUMIFS(Aux_Totales!$N:$N, Aux_Totales!$F:$F, $F224, Aux_Totales!$A:$A,#REF!), 0))</f>
        <v/>
      </c>
      <c r="QQE224" s="19" t="str">
        <f>IF(QQE220 = "", "", IFERROR(QQE220 / SUMIFS(Aux_Totales!$N:$N, Aux_Totales!$F:$F, $F224, Aux_Totales!$A:$A,#REF!), 0))</f>
        <v/>
      </c>
      <c r="QQF224" s="19" t="str">
        <f>IF(QQF220 = "", "", IFERROR(QQF220 / SUMIFS(Aux_Totales!$N:$N, Aux_Totales!$F:$F, $F224, Aux_Totales!$A:$A,#REF!), 0))</f>
        <v/>
      </c>
      <c r="QQG224" s="19" t="str">
        <f>IF(QQG220 = "", "", IFERROR(QQG220 / SUMIFS(Aux_Totales!$N:$N, Aux_Totales!$F:$F, $F224, Aux_Totales!$A:$A,#REF!), 0))</f>
        <v/>
      </c>
      <c r="QQH224" s="19" t="str">
        <f>IF(QQH220 = "", "", IFERROR(QQH220 / SUMIFS(Aux_Totales!$N:$N, Aux_Totales!$F:$F, $F224, Aux_Totales!$A:$A,#REF!), 0))</f>
        <v/>
      </c>
      <c r="QQI224" s="19" t="str">
        <f>IF(QQI220 = "", "", IFERROR(QQI220 / SUMIFS(Aux_Totales!$N:$N, Aux_Totales!$F:$F, $F224, Aux_Totales!$A:$A,#REF!), 0))</f>
        <v/>
      </c>
      <c r="QQJ224" s="19" t="str">
        <f>IF(QQJ220 = "", "", IFERROR(QQJ220 / SUMIFS(Aux_Totales!$N:$N, Aux_Totales!$F:$F, $F224, Aux_Totales!$A:$A,#REF!), 0))</f>
        <v/>
      </c>
      <c r="QQK224" s="19" t="str">
        <f>IF(QQK220 = "", "", IFERROR(QQK220 / SUMIFS(Aux_Totales!$N:$N, Aux_Totales!$F:$F, $F224, Aux_Totales!$A:$A,#REF!), 0))</f>
        <v/>
      </c>
      <c r="QQL224" s="19" t="str">
        <f>IF(QQL220 = "", "", IFERROR(QQL220 / SUMIFS(Aux_Totales!$N:$N, Aux_Totales!$F:$F, $F224, Aux_Totales!$A:$A,#REF!), 0))</f>
        <v/>
      </c>
      <c r="QQM224" s="19" t="str">
        <f>IF(QQM220 = "", "", IFERROR(QQM220 / SUMIFS(Aux_Totales!$N:$N, Aux_Totales!$F:$F, $F224, Aux_Totales!$A:$A,#REF!), 0))</f>
        <v/>
      </c>
      <c r="QQN224" s="19" t="str">
        <f>IF(QQN220 = "", "", IFERROR(QQN220 / SUMIFS(Aux_Totales!$N:$N, Aux_Totales!$F:$F, $F224, Aux_Totales!$A:$A,#REF!), 0))</f>
        <v/>
      </c>
      <c r="QQO224" s="19" t="str">
        <f>IF(QQO220 = "", "", IFERROR(QQO220 / SUMIFS(Aux_Totales!$N:$N, Aux_Totales!$F:$F, $F224, Aux_Totales!$A:$A,#REF!), 0))</f>
        <v/>
      </c>
      <c r="QQP224" s="19" t="str">
        <f>IF(QQP220 = "", "", IFERROR(QQP220 / SUMIFS(Aux_Totales!$N:$N, Aux_Totales!$F:$F, $F224, Aux_Totales!$A:$A,#REF!), 0))</f>
        <v/>
      </c>
      <c r="QQQ224" s="19" t="str">
        <f>IF(QQQ220 = "", "", IFERROR(QQQ220 / SUMIFS(Aux_Totales!$N:$N, Aux_Totales!$F:$F, $F224, Aux_Totales!$A:$A,#REF!), 0))</f>
        <v/>
      </c>
      <c r="QQR224" s="19" t="str">
        <f>IF(QQR220 = "", "", IFERROR(QQR220 / SUMIFS(Aux_Totales!$N:$N, Aux_Totales!$F:$F, $F224, Aux_Totales!$A:$A,#REF!), 0))</f>
        <v/>
      </c>
      <c r="QQS224" s="19" t="str">
        <f>IF(QQS220 = "", "", IFERROR(QQS220 / SUMIFS(Aux_Totales!$N:$N, Aux_Totales!$F:$F, $F224, Aux_Totales!$A:$A,#REF!), 0))</f>
        <v/>
      </c>
      <c r="QQT224" s="19" t="str">
        <f>IF(QQT220 = "", "", IFERROR(QQT220 / SUMIFS(Aux_Totales!$N:$N, Aux_Totales!$F:$F, $F224, Aux_Totales!$A:$A,#REF!), 0))</f>
        <v/>
      </c>
      <c r="QQU224" s="19" t="str">
        <f>IF(QQU220 = "", "", IFERROR(QQU220 / SUMIFS(Aux_Totales!$N:$N, Aux_Totales!$F:$F, $F224, Aux_Totales!$A:$A,#REF!), 0))</f>
        <v/>
      </c>
      <c r="QQV224" s="19" t="str">
        <f>IF(QQV220 = "", "", IFERROR(QQV220 / SUMIFS(Aux_Totales!$N:$N, Aux_Totales!$F:$F, $F224, Aux_Totales!$A:$A,#REF!), 0))</f>
        <v/>
      </c>
      <c r="QQW224" s="19" t="str">
        <f>IF(QQW220 = "", "", IFERROR(QQW220 / SUMIFS(Aux_Totales!$N:$N, Aux_Totales!$F:$F, $F224, Aux_Totales!$A:$A,#REF!), 0))</f>
        <v/>
      </c>
      <c r="QQX224" s="19" t="str">
        <f>IF(QQX220 = "", "", IFERROR(QQX220 / SUMIFS(Aux_Totales!$N:$N, Aux_Totales!$F:$F, $F224, Aux_Totales!$A:$A,#REF!), 0))</f>
        <v/>
      </c>
      <c r="QQY224" s="19" t="str">
        <f>IF(QQY220 = "", "", IFERROR(QQY220 / SUMIFS(Aux_Totales!$N:$N, Aux_Totales!$F:$F, $F224, Aux_Totales!$A:$A,#REF!), 0))</f>
        <v/>
      </c>
      <c r="QQZ224" s="19" t="str">
        <f>IF(QQZ220 = "", "", IFERROR(QQZ220 / SUMIFS(Aux_Totales!$N:$N, Aux_Totales!$F:$F, $F224, Aux_Totales!$A:$A,#REF!), 0))</f>
        <v/>
      </c>
      <c r="QRA224" s="19" t="str">
        <f>IF(QRA220 = "", "", IFERROR(QRA220 / SUMIFS(Aux_Totales!$N:$N, Aux_Totales!$F:$F, $F224, Aux_Totales!$A:$A,#REF!), 0))</f>
        <v/>
      </c>
      <c r="QRB224" s="19" t="str">
        <f>IF(QRB220 = "", "", IFERROR(QRB220 / SUMIFS(Aux_Totales!$N:$N, Aux_Totales!$F:$F, $F224, Aux_Totales!$A:$A,#REF!), 0))</f>
        <v/>
      </c>
      <c r="QRC224" s="19" t="str">
        <f>IF(QRC220 = "", "", IFERROR(QRC220 / SUMIFS(Aux_Totales!$N:$N, Aux_Totales!$F:$F, $F224, Aux_Totales!$A:$A,#REF!), 0))</f>
        <v/>
      </c>
      <c r="QRD224" s="19" t="str">
        <f>IF(QRD220 = "", "", IFERROR(QRD220 / SUMIFS(Aux_Totales!$N:$N, Aux_Totales!$F:$F, $F224, Aux_Totales!$A:$A,#REF!), 0))</f>
        <v/>
      </c>
      <c r="QRE224" s="19" t="str">
        <f>IF(QRE220 = "", "", IFERROR(QRE220 / SUMIFS(Aux_Totales!$N:$N, Aux_Totales!$F:$F, $F224, Aux_Totales!$A:$A,#REF!), 0))</f>
        <v/>
      </c>
      <c r="QRF224" s="19" t="str">
        <f>IF(QRF220 = "", "", IFERROR(QRF220 / SUMIFS(Aux_Totales!$N:$N, Aux_Totales!$F:$F, $F224, Aux_Totales!$A:$A,#REF!), 0))</f>
        <v/>
      </c>
      <c r="QRG224" s="19" t="str">
        <f>IF(QRG220 = "", "", IFERROR(QRG220 / SUMIFS(Aux_Totales!$N:$N, Aux_Totales!$F:$F, $F224, Aux_Totales!$A:$A,#REF!), 0))</f>
        <v/>
      </c>
      <c r="QRH224" s="19" t="str">
        <f>IF(QRH220 = "", "", IFERROR(QRH220 / SUMIFS(Aux_Totales!$N:$N, Aux_Totales!$F:$F, $F224, Aux_Totales!$A:$A,#REF!), 0))</f>
        <v/>
      </c>
      <c r="QRI224" s="19" t="str">
        <f>IF(QRI220 = "", "", IFERROR(QRI220 / SUMIFS(Aux_Totales!$N:$N, Aux_Totales!$F:$F, $F224, Aux_Totales!$A:$A,#REF!), 0))</f>
        <v/>
      </c>
      <c r="QRJ224" s="19" t="str">
        <f>IF(QRJ220 = "", "", IFERROR(QRJ220 / SUMIFS(Aux_Totales!$N:$N, Aux_Totales!$F:$F, $F224, Aux_Totales!$A:$A,#REF!), 0))</f>
        <v/>
      </c>
      <c r="QRK224" s="19" t="str">
        <f>IF(QRK220 = "", "", IFERROR(QRK220 / SUMIFS(Aux_Totales!$N:$N, Aux_Totales!$F:$F, $F224, Aux_Totales!$A:$A,#REF!), 0))</f>
        <v/>
      </c>
      <c r="QRL224" s="19" t="str">
        <f>IF(QRL220 = "", "", IFERROR(QRL220 / SUMIFS(Aux_Totales!$N:$N, Aux_Totales!$F:$F, $F224, Aux_Totales!$A:$A,#REF!), 0))</f>
        <v/>
      </c>
      <c r="QRM224" s="19" t="str">
        <f>IF(QRM220 = "", "", IFERROR(QRM220 / SUMIFS(Aux_Totales!$N:$N, Aux_Totales!$F:$F, $F224, Aux_Totales!$A:$A,#REF!), 0))</f>
        <v/>
      </c>
      <c r="QRN224" s="19" t="str">
        <f>IF(QRN220 = "", "", IFERROR(QRN220 / SUMIFS(Aux_Totales!$N:$N, Aux_Totales!$F:$F, $F224, Aux_Totales!$A:$A,#REF!), 0))</f>
        <v/>
      </c>
      <c r="QRO224" s="19" t="str">
        <f>IF(QRO220 = "", "", IFERROR(QRO220 / SUMIFS(Aux_Totales!$N:$N, Aux_Totales!$F:$F, $F224, Aux_Totales!$A:$A,#REF!), 0))</f>
        <v/>
      </c>
      <c r="QRP224" s="19" t="str">
        <f>IF(QRP220 = "", "", IFERROR(QRP220 / SUMIFS(Aux_Totales!$N:$N, Aux_Totales!$F:$F, $F224, Aux_Totales!$A:$A,#REF!), 0))</f>
        <v/>
      </c>
      <c r="QRQ224" s="19" t="str">
        <f>IF(QRQ220 = "", "", IFERROR(QRQ220 / SUMIFS(Aux_Totales!$N:$N, Aux_Totales!$F:$F, $F224, Aux_Totales!$A:$A,#REF!), 0))</f>
        <v/>
      </c>
      <c r="QRR224" s="19" t="str">
        <f>IF(QRR220 = "", "", IFERROR(QRR220 / SUMIFS(Aux_Totales!$N:$N, Aux_Totales!$F:$F, $F224, Aux_Totales!$A:$A,#REF!), 0))</f>
        <v/>
      </c>
      <c r="QRS224" s="19" t="str">
        <f>IF(QRS220 = "", "", IFERROR(QRS220 / SUMIFS(Aux_Totales!$N:$N, Aux_Totales!$F:$F, $F224, Aux_Totales!$A:$A,#REF!), 0))</f>
        <v/>
      </c>
      <c r="QRT224" s="19" t="str">
        <f>IF(QRT220 = "", "", IFERROR(QRT220 / SUMIFS(Aux_Totales!$N:$N, Aux_Totales!$F:$F, $F224, Aux_Totales!$A:$A,#REF!), 0))</f>
        <v/>
      </c>
      <c r="QRU224" s="19" t="str">
        <f>IF(QRU220 = "", "", IFERROR(QRU220 / SUMIFS(Aux_Totales!$N:$N, Aux_Totales!$F:$F, $F224, Aux_Totales!$A:$A,#REF!), 0))</f>
        <v/>
      </c>
      <c r="QRV224" s="19" t="str">
        <f>IF(QRV220 = "", "", IFERROR(QRV220 / SUMIFS(Aux_Totales!$N:$N, Aux_Totales!$F:$F, $F224, Aux_Totales!$A:$A,#REF!), 0))</f>
        <v/>
      </c>
      <c r="QRW224" s="19" t="str">
        <f>IF(QRW220 = "", "", IFERROR(QRW220 / SUMIFS(Aux_Totales!$N:$N, Aux_Totales!$F:$F, $F224, Aux_Totales!$A:$A,#REF!), 0))</f>
        <v/>
      </c>
      <c r="QRX224" s="19" t="str">
        <f>IF(QRX220 = "", "", IFERROR(QRX220 / SUMIFS(Aux_Totales!$N:$N, Aux_Totales!$F:$F, $F224, Aux_Totales!$A:$A,#REF!), 0))</f>
        <v/>
      </c>
      <c r="QRY224" s="19" t="str">
        <f>IF(QRY220 = "", "", IFERROR(QRY220 / SUMIFS(Aux_Totales!$N:$N, Aux_Totales!$F:$F, $F224, Aux_Totales!$A:$A,#REF!), 0))</f>
        <v/>
      </c>
      <c r="QRZ224" s="19" t="str">
        <f>IF(QRZ220 = "", "", IFERROR(QRZ220 / SUMIFS(Aux_Totales!$N:$N, Aux_Totales!$F:$F, $F224, Aux_Totales!$A:$A,#REF!), 0))</f>
        <v/>
      </c>
      <c r="QSA224" s="19" t="str">
        <f>IF(QSA220 = "", "", IFERROR(QSA220 / SUMIFS(Aux_Totales!$N:$N, Aux_Totales!$F:$F, $F224, Aux_Totales!$A:$A,#REF!), 0))</f>
        <v/>
      </c>
      <c r="QSB224" s="19" t="str">
        <f>IF(QSB220 = "", "", IFERROR(QSB220 / SUMIFS(Aux_Totales!$N:$N, Aux_Totales!$F:$F, $F224, Aux_Totales!$A:$A,#REF!), 0))</f>
        <v/>
      </c>
      <c r="QSC224" s="19" t="str">
        <f>IF(QSC220 = "", "", IFERROR(QSC220 / SUMIFS(Aux_Totales!$N:$N, Aux_Totales!$F:$F, $F224, Aux_Totales!$A:$A,#REF!), 0))</f>
        <v/>
      </c>
      <c r="QSD224" s="19" t="str">
        <f>IF(QSD220 = "", "", IFERROR(QSD220 / SUMIFS(Aux_Totales!$N:$N, Aux_Totales!$F:$F, $F224, Aux_Totales!$A:$A,#REF!), 0))</f>
        <v/>
      </c>
      <c r="QSE224" s="19" t="str">
        <f>IF(QSE220 = "", "", IFERROR(QSE220 / SUMIFS(Aux_Totales!$N:$N, Aux_Totales!$F:$F, $F224, Aux_Totales!$A:$A,#REF!), 0))</f>
        <v/>
      </c>
      <c r="QSF224" s="19" t="str">
        <f>IF(QSF220 = "", "", IFERROR(QSF220 / SUMIFS(Aux_Totales!$N:$N, Aux_Totales!$F:$F, $F224, Aux_Totales!$A:$A,#REF!), 0))</f>
        <v/>
      </c>
      <c r="QSG224" s="19" t="str">
        <f>IF(QSG220 = "", "", IFERROR(QSG220 / SUMIFS(Aux_Totales!$N:$N, Aux_Totales!$F:$F, $F224, Aux_Totales!$A:$A,#REF!), 0))</f>
        <v/>
      </c>
      <c r="QSH224" s="19" t="str">
        <f>IF(QSH220 = "", "", IFERROR(QSH220 / SUMIFS(Aux_Totales!$N:$N, Aux_Totales!$F:$F, $F224, Aux_Totales!$A:$A,#REF!), 0))</f>
        <v/>
      </c>
      <c r="QSI224" s="19" t="str">
        <f>IF(QSI220 = "", "", IFERROR(QSI220 / SUMIFS(Aux_Totales!$N:$N, Aux_Totales!$F:$F, $F224, Aux_Totales!$A:$A,#REF!), 0))</f>
        <v/>
      </c>
      <c r="QSJ224" s="19" t="str">
        <f>IF(QSJ220 = "", "", IFERROR(QSJ220 / SUMIFS(Aux_Totales!$N:$N, Aux_Totales!$F:$F, $F224, Aux_Totales!$A:$A,#REF!), 0))</f>
        <v/>
      </c>
      <c r="QSK224" s="19" t="str">
        <f>IF(QSK220 = "", "", IFERROR(QSK220 / SUMIFS(Aux_Totales!$N:$N, Aux_Totales!$F:$F, $F224, Aux_Totales!$A:$A,#REF!), 0))</f>
        <v/>
      </c>
      <c r="QSL224" s="19" t="str">
        <f>IF(QSL220 = "", "", IFERROR(QSL220 / SUMIFS(Aux_Totales!$N:$N, Aux_Totales!$F:$F, $F224, Aux_Totales!$A:$A,#REF!), 0))</f>
        <v/>
      </c>
      <c r="QSM224" s="19" t="str">
        <f>IF(QSM220 = "", "", IFERROR(QSM220 / SUMIFS(Aux_Totales!$N:$N, Aux_Totales!$F:$F, $F224, Aux_Totales!$A:$A,#REF!), 0))</f>
        <v/>
      </c>
      <c r="QSN224" s="19" t="str">
        <f>IF(QSN220 = "", "", IFERROR(QSN220 / SUMIFS(Aux_Totales!$N:$N, Aux_Totales!$F:$F, $F224, Aux_Totales!$A:$A,#REF!), 0))</f>
        <v/>
      </c>
      <c r="QSO224" s="19" t="str">
        <f>IF(QSO220 = "", "", IFERROR(QSO220 / SUMIFS(Aux_Totales!$N:$N, Aux_Totales!$F:$F, $F224, Aux_Totales!$A:$A,#REF!), 0))</f>
        <v/>
      </c>
      <c r="QSP224" s="19" t="str">
        <f>IF(QSP220 = "", "", IFERROR(QSP220 / SUMIFS(Aux_Totales!$N:$N, Aux_Totales!$F:$F, $F224, Aux_Totales!$A:$A,#REF!), 0))</f>
        <v/>
      </c>
      <c r="QSQ224" s="19" t="str">
        <f>IF(QSQ220 = "", "", IFERROR(QSQ220 / SUMIFS(Aux_Totales!$N:$N, Aux_Totales!$F:$F, $F224, Aux_Totales!$A:$A,#REF!), 0))</f>
        <v/>
      </c>
      <c r="QSR224" s="19" t="str">
        <f>IF(QSR220 = "", "", IFERROR(QSR220 / SUMIFS(Aux_Totales!$N:$N, Aux_Totales!$F:$F, $F224, Aux_Totales!$A:$A,#REF!), 0))</f>
        <v/>
      </c>
      <c r="QSS224" s="19" t="str">
        <f>IF(QSS220 = "", "", IFERROR(QSS220 / SUMIFS(Aux_Totales!$N:$N, Aux_Totales!$F:$F, $F224, Aux_Totales!$A:$A,#REF!), 0))</f>
        <v/>
      </c>
      <c r="QST224" s="19" t="str">
        <f>IF(QST220 = "", "", IFERROR(QST220 / SUMIFS(Aux_Totales!$N:$N, Aux_Totales!$F:$F, $F224, Aux_Totales!$A:$A,#REF!), 0))</f>
        <v/>
      </c>
      <c r="QSU224" s="19" t="str">
        <f>IF(QSU220 = "", "", IFERROR(QSU220 / SUMIFS(Aux_Totales!$N:$N, Aux_Totales!$F:$F, $F224, Aux_Totales!$A:$A,#REF!), 0))</f>
        <v/>
      </c>
      <c r="QSV224" s="19" t="str">
        <f>IF(QSV220 = "", "", IFERROR(QSV220 / SUMIFS(Aux_Totales!$N:$N, Aux_Totales!$F:$F, $F224, Aux_Totales!$A:$A,#REF!), 0))</f>
        <v/>
      </c>
      <c r="QSW224" s="19" t="str">
        <f>IF(QSW220 = "", "", IFERROR(QSW220 / SUMIFS(Aux_Totales!$N:$N, Aux_Totales!$F:$F, $F224, Aux_Totales!$A:$A,#REF!), 0))</f>
        <v/>
      </c>
      <c r="QSX224" s="19" t="str">
        <f>IF(QSX220 = "", "", IFERROR(QSX220 / SUMIFS(Aux_Totales!$N:$N, Aux_Totales!$F:$F, $F224, Aux_Totales!$A:$A,#REF!), 0))</f>
        <v/>
      </c>
      <c r="QSY224" s="19" t="str">
        <f>IF(QSY220 = "", "", IFERROR(QSY220 / SUMIFS(Aux_Totales!$N:$N, Aux_Totales!$F:$F, $F224, Aux_Totales!$A:$A,#REF!), 0))</f>
        <v/>
      </c>
      <c r="QSZ224" s="19" t="str">
        <f>IF(QSZ220 = "", "", IFERROR(QSZ220 / SUMIFS(Aux_Totales!$N:$N, Aux_Totales!$F:$F, $F224, Aux_Totales!$A:$A,#REF!), 0))</f>
        <v/>
      </c>
      <c r="QTA224" s="19" t="str">
        <f>IF(QTA220 = "", "", IFERROR(QTA220 / SUMIFS(Aux_Totales!$N:$N, Aux_Totales!$F:$F, $F224, Aux_Totales!$A:$A,#REF!), 0))</f>
        <v/>
      </c>
      <c r="QTB224" s="19" t="str">
        <f>IF(QTB220 = "", "", IFERROR(QTB220 / SUMIFS(Aux_Totales!$N:$N, Aux_Totales!$F:$F, $F224, Aux_Totales!$A:$A,#REF!), 0))</f>
        <v/>
      </c>
      <c r="QTC224" s="19" t="str">
        <f>IF(QTC220 = "", "", IFERROR(QTC220 / SUMIFS(Aux_Totales!$N:$N, Aux_Totales!$F:$F, $F224, Aux_Totales!$A:$A,#REF!), 0))</f>
        <v/>
      </c>
      <c r="QTD224" s="19" t="str">
        <f>IF(QTD220 = "", "", IFERROR(QTD220 / SUMIFS(Aux_Totales!$N:$N, Aux_Totales!$F:$F, $F224, Aux_Totales!$A:$A,#REF!), 0))</f>
        <v/>
      </c>
      <c r="QTE224" s="19" t="str">
        <f>IF(QTE220 = "", "", IFERROR(QTE220 / SUMIFS(Aux_Totales!$N:$N, Aux_Totales!$F:$F, $F224, Aux_Totales!$A:$A,#REF!), 0))</f>
        <v/>
      </c>
      <c r="QTF224" s="19" t="str">
        <f>IF(QTF220 = "", "", IFERROR(QTF220 / SUMIFS(Aux_Totales!$N:$N, Aux_Totales!$F:$F, $F224, Aux_Totales!$A:$A,#REF!), 0))</f>
        <v/>
      </c>
      <c r="QTG224" s="19" t="str">
        <f>IF(QTG220 = "", "", IFERROR(QTG220 / SUMIFS(Aux_Totales!$N:$N, Aux_Totales!$F:$F, $F224, Aux_Totales!$A:$A,#REF!), 0))</f>
        <v/>
      </c>
      <c r="QTH224" s="19" t="str">
        <f>IF(QTH220 = "", "", IFERROR(QTH220 / SUMIFS(Aux_Totales!$N:$N, Aux_Totales!$F:$F, $F224, Aux_Totales!$A:$A,#REF!), 0))</f>
        <v/>
      </c>
      <c r="QTI224" s="19" t="str">
        <f>IF(QTI220 = "", "", IFERROR(QTI220 / SUMIFS(Aux_Totales!$N:$N, Aux_Totales!$F:$F, $F224, Aux_Totales!$A:$A,#REF!), 0))</f>
        <v/>
      </c>
      <c r="QTJ224" s="19" t="str">
        <f>IF(QTJ220 = "", "", IFERROR(QTJ220 / SUMIFS(Aux_Totales!$N:$N, Aux_Totales!$F:$F, $F224, Aux_Totales!$A:$A,#REF!), 0))</f>
        <v/>
      </c>
      <c r="QTK224" s="19" t="str">
        <f>IF(QTK220 = "", "", IFERROR(QTK220 / SUMIFS(Aux_Totales!$N:$N, Aux_Totales!$F:$F, $F224, Aux_Totales!$A:$A,#REF!), 0))</f>
        <v/>
      </c>
      <c r="QTL224" s="19" t="str">
        <f>IF(QTL220 = "", "", IFERROR(QTL220 / SUMIFS(Aux_Totales!$N:$N, Aux_Totales!$F:$F, $F224, Aux_Totales!$A:$A,#REF!), 0))</f>
        <v/>
      </c>
      <c r="QTM224" s="19" t="str">
        <f>IF(QTM220 = "", "", IFERROR(QTM220 / SUMIFS(Aux_Totales!$N:$N, Aux_Totales!$F:$F, $F224, Aux_Totales!$A:$A,#REF!), 0))</f>
        <v/>
      </c>
      <c r="QTN224" s="19" t="str">
        <f>IF(QTN220 = "", "", IFERROR(QTN220 / SUMIFS(Aux_Totales!$N:$N, Aux_Totales!$F:$F, $F224, Aux_Totales!$A:$A,#REF!), 0))</f>
        <v/>
      </c>
      <c r="QTO224" s="19" t="str">
        <f>IF(QTO220 = "", "", IFERROR(QTO220 / SUMIFS(Aux_Totales!$N:$N, Aux_Totales!$F:$F, $F224, Aux_Totales!$A:$A,#REF!), 0))</f>
        <v/>
      </c>
      <c r="QTP224" s="19" t="str">
        <f>IF(QTP220 = "", "", IFERROR(QTP220 / SUMIFS(Aux_Totales!$N:$N, Aux_Totales!$F:$F, $F224, Aux_Totales!$A:$A,#REF!), 0))</f>
        <v/>
      </c>
      <c r="QTQ224" s="19" t="str">
        <f>IF(QTQ220 = "", "", IFERROR(QTQ220 / SUMIFS(Aux_Totales!$N:$N, Aux_Totales!$F:$F, $F224, Aux_Totales!$A:$A,#REF!), 0))</f>
        <v/>
      </c>
      <c r="QTR224" s="19" t="str">
        <f>IF(QTR220 = "", "", IFERROR(QTR220 / SUMIFS(Aux_Totales!$N:$N, Aux_Totales!$F:$F, $F224, Aux_Totales!$A:$A,#REF!), 0))</f>
        <v/>
      </c>
      <c r="QTS224" s="19" t="str">
        <f>IF(QTS220 = "", "", IFERROR(QTS220 / SUMIFS(Aux_Totales!$N:$N, Aux_Totales!$F:$F, $F224, Aux_Totales!$A:$A,#REF!), 0))</f>
        <v/>
      </c>
      <c r="QTT224" s="19" t="str">
        <f>IF(QTT220 = "", "", IFERROR(QTT220 / SUMIFS(Aux_Totales!$N:$N, Aux_Totales!$F:$F, $F224, Aux_Totales!$A:$A,#REF!), 0))</f>
        <v/>
      </c>
      <c r="QTU224" s="19" t="str">
        <f>IF(QTU220 = "", "", IFERROR(QTU220 / SUMIFS(Aux_Totales!$N:$N, Aux_Totales!$F:$F, $F224, Aux_Totales!$A:$A,#REF!), 0))</f>
        <v/>
      </c>
      <c r="QTV224" s="19" t="str">
        <f>IF(QTV220 = "", "", IFERROR(QTV220 / SUMIFS(Aux_Totales!$N:$N, Aux_Totales!$F:$F, $F224, Aux_Totales!$A:$A,#REF!), 0))</f>
        <v/>
      </c>
      <c r="QTW224" s="19" t="str">
        <f>IF(QTW220 = "", "", IFERROR(QTW220 / SUMIFS(Aux_Totales!$N:$N, Aux_Totales!$F:$F, $F224, Aux_Totales!$A:$A,#REF!), 0))</f>
        <v/>
      </c>
      <c r="QTX224" s="19" t="str">
        <f>IF(QTX220 = "", "", IFERROR(QTX220 / SUMIFS(Aux_Totales!$N:$N, Aux_Totales!$F:$F, $F224, Aux_Totales!$A:$A,#REF!), 0))</f>
        <v/>
      </c>
      <c r="QTY224" s="19" t="str">
        <f>IF(QTY220 = "", "", IFERROR(QTY220 / SUMIFS(Aux_Totales!$N:$N, Aux_Totales!$F:$F, $F224, Aux_Totales!$A:$A,#REF!), 0))</f>
        <v/>
      </c>
      <c r="QTZ224" s="19" t="str">
        <f>IF(QTZ220 = "", "", IFERROR(QTZ220 / SUMIFS(Aux_Totales!$N:$N, Aux_Totales!$F:$F, $F224, Aux_Totales!$A:$A,#REF!), 0))</f>
        <v/>
      </c>
      <c r="QUA224" s="19" t="str">
        <f>IF(QUA220 = "", "", IFERROR(QUA220 / SUMIFS(Aux_Totales!$N:$N, Aux_Totales!$F:$F, $F224, Aux_Totales!$A:$A,#REF!), 0))</f>
        <v/>
      </c>
      <c r="QUB224" s="19" t="str">
        <f>IF(QUB220 = "", "", IFERROR(QUB220 / SUMIFS(Aux_Totales!$N:$N, Aux_Totales!$F:$F, $F224, Aux_Totales!$A:$A,#REF!), 0))</f>
        <v/>
      </c>
      <c r="QUC224" s="19" t="str">
        <f>IF(QUC220 = "", "", IFERROR(QUC220 / SUMIFS(Aux_Totales!$N:$N, Aux_Totales!$F:$F, $F224, Aux_Totales!$A:$A,#REF!), 0))</f>
        <v/>
      </c>
      <c r="QUD224" s="19" t="str">
        <f>IF(QUD220 = "", "", IFERROR(QUD220 / SUMIFS(Aux_Totales!$N:$N, Aux_Totales!$F:$F, $F224, Aux_Totales!$A:$A,#REF!), 0))</f>
        <v/>
      </c>
      <c r="QUE224" s="19" t="str">
        <f>IF(QUE220 = "", "", IFERROR(QUE220 / SUMIFS(Aux_Totales!$N:$N, Aux_Totales!$F:$F, $F224, Aux_Totales!$A:$A,#REF!), 0))</f>
        <v/>
      </c>
      <c r="QUF224" s="19" t="str">
        <f>IF(QUF220 = "", "", IFERROR(QUF220 / SUMIFS(Aux_Totales!$N:$N, Aux_Totales!$F:$F, $F224, Aux_Totales!$A:$A,#REF!), 0))</f>
        <v/>
      </c>
      <c r="QUG224" s="19" t="str">
        <f>IF(QUG220 = "", "", IFERROR(QUG220 / SUMIFS(Aux_Totales!$N:$N, Aux_Totales!$F:$F, $F224, Aux_Totales!$A:$A,#REF!), 0))</f>
        <v/>
      </c>
      <c r="QUH224" s="19" t="str">
        <f>IF(QUH220 = "", "", IFERROR(QUH220 / SUMIFS(Aux_Totales!$N:$N, Aux_Totales!$F:$F, $F224, Aux_Totales!$A:$A,#REF!), 0))</f>
        <v/>
      </c>
      <c r="QUI224" s="19" t="str">
        <f>IF(QUI220 = "", "", IFERROR(QUI220 / SUMIFS(Aux_Totales!$N:$N, Aux_Totales!$F:$F, $F224, Aux_Totales!$A:$A,#REF!), 0))</f>
        <v/>
      </c>
      <c r="QUJ224" s="19" t="str">
        <f>IF(QUJ220 = "", "", IFERROR(QUJ220 / SUMIFS(Aux_Totales!$N:$N, Aux_Totales!$F:$F, $F224, Aux_Totales!$A:$A,#REF!), 0))</f>
        <v/>
      </c>
      <c r="QUK224" s="19" t="str">
        <f>IF(QUK220 = "", "", IFERROR(QUK220 / SUMIFS(Aux_Totales!$N:$N, Aux_Totales!$F:$F, $F224, Aux_Totales!$A:$A,#REF!), 0))</f>
        <v/>
      </c>
      <c r="QUL224" s="19" t="str">
        <f>IF(QUL220 = "", "", IFERROR(QUL220 / SUMIFS(Aux_Totales!$N:$N, Aux_Totales!$F:$F, $F224, Aux_Totales!$A:$A,#REF!), 0))</f>
        <v/>
      </c>
      <c r="QUM224" s="19" t="str">
        <f>IF(QUM220 = "", "", IFERROR(QUM220 / SUMIFS(Aux_Totales!$N:$N, Aux_Totales!$F:$F, $F224, Aux_Totales!$A:$A,#REF!), 0))</f>
        <v/>
      </c>
      <c r="QUN224" s="19" t="str">
        <f>IF(QUN220 = "", "", IFERROR(QUN220 / SUMIFS(Aux_Totales!$N:$N, Aux_Totales!$F:$F, $F224, Aux_Totales!$A:$A,#REF!), 0))</f>
        <v/>
      </c>
      <c r="QUO224" s="19" t="str">
        <f>IF(QUO220 = "", "", IFERROR(QUO220 / SUMIFS(Aux_Totales!$N:$N, Aux_Totales!$F:$F, $F224, Aux_Totales!$A:$A,#REF!), 0))</f>
        <v/>
      </c>
      <c r="QUP224" s="19" t="str">
        <f>IF(QUP220 = "", "", IFERROR(QUP220 / SUMIFS(Aux_Totales!$N:$N, Aux_Totales!$F:$F, $F224, Aux_Totales!$A:$A,#REF!), 0))</f>
        <v/>
      </c>
      <c r="QUQ224" s="19" t="str">
        <f>IF(QUQ220 = "", "", IFERROR(QUQ220 / SUMIFS(Aux_Totales!$N:$N, Aux_Totales!$F:$F, $F224, Aux_Totales!$A:$A,#REF!), 0))</f>
        <v/>
      </c>
      <c r="QUR224" s="19" t="str">
        <f>IF(QUR220 = "", "", IFERROR(QUR220 / SUMIFS(Aux_Totales!$N:$N, Aux_Totales!$F:$F, $F224, Aux_Totales!$A:$A,#REF!), 0))</f>
        <v/>
      </c>
      <c r="QUS224" s="19" t="str">
        <f>IF(QUS220 = "", "", IFERROR(QUS220 / SUMIFS(Aux_Totales!$N:$N, Aux_Totales!$F:$F, $F224, Aux_Totales!$A:$A,#REF!), 0))</f>
        <v/>
      </c>
      <c r="QUT224" s="19" t="str">
        <f>IF(QUT220 = "", "", IFERROR(QUT220 / SUMIFS(Aux_Totales!$N:$N, Aux_Totales!$F:$F, $F224, Aux_Totales!$A:$A,#REF!), 0))</f>
        <v/>
      </c>
      <c r="QUU224" s="19" t="str">
        <f>IF(QUU220 = "", "", IFERROR(QUU220 / SUMIFS(Aux_Totales!$N:$N, Aux_Totales!$F:$F, $F224, Aux_Totales!$A:$A,#REF!), 0))</f>
        <v/>
      </c>
      <c r="QUV224" s="19" t="str">
        <f>IF(QUV220 = "", "", IFERROR(QUV220 / SUMIFS(Aux_Totales!$N:$N, Aux_Totales!$F:$F, $F224, Aux_Totales!$A:$A,#REF!), 0))</f>
        <v/>
      </c>
      <c r="QUW224" s="19" t="str">
        <f>IF(QUW220 = "", "", IFERROR(QUW220 / SUMIFS(Aux_Totales!$N:$N, Aux_Totales!$F:$F, $F224, Aux_Totales!$A:$A,#REF!), 0))</f>
        <v/>
      </c>
      <c r="QUX224" s="19" t="str">
        <f>IF(QUX220 = "", "", IFERROR(QUX220 / SUMIFS(Aux_Totales!$N:$N, Aux_Totales!$F:$F, $F224, Aux_Totales!$A:$A,#REF!), 0))</f>
        <v/>
      </c>
      <c r="QUY224" s="19" t="str">
        <f>IF(QUY220 = "", "", IFERROR(QUY220 / SUMIFS(Aux_Totales!$N:$N, Aux_Totales!$F:$F, $F224, Aux_Totales!$A:$A,#REF!), 0))</f>
        <v/>
      </c>
      <c r="QUZ224" s="19" t="str">
        <f>IF(QUZ220 = "", "", IFERROR(QUZ220 / SUMIFS(Aux_Totales!$N:$N, Aux_Totales!$F:$F, $F224, Aux_Totales!$A:$A,#REF!), 0))</f>
        <v/>
      </c>
      <c r="QVA224" s="19" t="str">
        <f>IF(QVA220 = "", "", IFERROR(QVA220 / SUMIFS(Aux_Totales!$N:$N, Aux_Totales!$F:$F, $F224, Aux_Totales!$A:$A,#REF!), 0))</f>
        <v/>
      </c>
      <c r="QVB224" s="19" t="str">
        <f>IF(QVB220 = "", "", IFERROR(QVB220 / SUMIFS(Aux_Totales!$N:$N, Aux_Totales!$F:$F, $F224, Aux_Totales!$A:$A,#REF!), 0))</f>
        <v/>
      </c>
      <c r="QVC224" s="19" t="str">
        <f>IF(QVC220 = "", "", IFERROR(QVC220 / SUMIFS(Aux_Totales!$N:$N, Aux_Totales!$F:$F, $F224, Aux_Totales!$A:$A,#REF!), 0))</f>
        <v/>
      </c>
      <c r="QVD224" s="19" t="str">
        <f>IF(QVD220 = "", "", IFERROR(QVD220 / SUMIFS(Aux_Totales!$N:$N, Aux_Totales!$F:$F, $F224, Aux_Totales!$A:$A,#REF!), 0))</f>
        <v/>
      </c>
      <c r="QVE224" s="19" t="str">
        <f>IF(QVE220 = "", "", IFERROR(QVE220 / SUMIFS(Aux_Totales!$N:$N, Aux_Totales!$F:$F, $F224, Aux_Totales!$A:$A,#REF!), 0))</f>
        <v/>
      </c>
      <c r="QVF224" s="19" t="str">
        <f>IF(QVF220 = "", "", IFERROR(QVF220 / SUMIFS(Aux_Totales!$N:$N, Aux_Totales!$F:$F, $F224, Aux_Totales!$A:$A,#REF!), 0))</f>
        <v/>
      </c>
      <c r="QVG224" s="19" t="str">
        <f>IF(QVG220 = "", "", IFERROR(QVG220 / SUMIFS(Aux_Totales!$N:$N, Aux_Totales!$F:$F, $F224, Aux_Totales!$A:$A,#REF!), 0))</f>
        <v/>
      </c>
      <c r="QVH224" s="19" t="str">
        <f>IF(QVH220 = "", "", IFERROR(QVH220 / SUMIFS(Aux_Totales!$N:$N, Aux_Totales!$F:$F, $F224, Aux_Totales!$A:$A,#REF!), 0))</f>
        <v/>
      </c>
      <c r="QVI224" s="19" t="str">
        <f>IF(QVI220 = "", "", IFERROR(QVI220 / SUMIFS(Aux_Totales!$N:$N, Aux_Totales!$F:$F, $F224, Aux_Totales!$A:$A,#REF!), 0))</f>
        <v/>
      </c>
      <c r="QVJ224" s="19" t="str">
        <f>IF(QVJ220 = "", "", IFERROR(QVJ220 / SUMIFS(Aux_Totales!$N:$N, Aux_Totales!$F:$F, $F224, Aux_Totales!$A:$A,#REF!), 0))</f>
        <v/>
      </c>
      <c r="QVK224" s="19" t="str">
        <f>IF(QVK220 = "", "", IFERROR(QVK220 / SUMIFS(Aux_Totales!$N:$N, Aux_Totales!$F:$F, $F224, Aux_Totales!$A:$A,#REF!), 0))</f>
        <v/>
      </c>
      <c r="QVL224" s="19" t="str">
        <f>IF(QVL220 = "", "", IFERROR(QVL220 / SUMIFS(Aux_Totales!$N:$N, Aux_Totales!$F:$F, $F224, Aux_Totales!$A:$A,#REF!), 0))</f>
        <v/>
      </c>
      <c r="QVM224" s="19" t="str">
        <f>IF(QVM220 = "", "", IFERROR(QVM220 / SUMIFS(Aux_Totales!$N:$N, Aux_Totales!$F:$F, $F224, Aux_Totales!$A:$A,#REF!), 0))</f>
        <v/>
      </c>
      <c r="QVN224" s="19" t="str">
        <f>IF(QVN220 = "", "", IFERROR(QVN220 / SUMIFS(Aux_Totales!$N:$N, Aux_Totales!$F:$F, $F224, Aux_Totales!$A:$A,#REF!), 0))</f>
        <v/>
      </c>
      <c r="QVO224" s="19" t="str">
        <f>IF(QVO220 = "", "", IFERROR(QVO220 / SUMIFS(Aux_Totales!$N:$N, Aux_Totales!$F:$F, $F224, Aux_Totales!$A:$A,#REF!), 0))</f>
        <v/>
      </c>
      <c r="QVP224" s="19" t="str">
        <f>IF(QVP220 = "", "", IFERROR(QVP220 / SUMIFS(Aux_Totales!$N:$N, Aux_Totales!$F:$F, $F224, Aux_Totales!$A:$A,#REF!), 0))</f>
        <v/>
      </c>
      <c r="QVQ224" s="19" t="str">
        <f>IF(QVQ220 = "", "", IFERROR(QVQ220 / SUMIFS(Aux_Totales!$N:$N, Aux_Totales!$F:$F, $F224, Aux_Totales!$A:$A,#REF!), 0))</f>
        <v/>
      </c>
      <c r="QVR224" s="19" t="str">
        <f>IF(QVR220 = "", "", IFERROR(QVR220 / SUMIFS(Aux_Totales!$N:$N, Aux_Totales!$F:$F, $F224, Aux_Totales!$A:$A,#REF!), 0))</f>
        <v/>
      </c>
      <c r="QVS224" s="19" t="str">
        <f>IF(QVS220 = "", "", IFERROR(QVS220 / SUMIFS(Aux_Totales!$N:$N, Aux_Totales!$F:$F, $F224, Aux_Totales!$A:$A,#REF!), 0))</f>
        <v/>
      </c>
      <c r="QVT224" s="19" t="str">
        <f>IF(QVT220 = "", "", IFERROR(QVT220 / SUMIFS(Aux_Totales!$N:$N, Aux_Totales!$F:$F, $F224, Aux_Totales!$A:$A,#REF!), 0))</f>
        <v/>
      </c>
      <c r="QVU224" s="19" t="str">
        <f>IF(QVU220 = "", "", IFERROR(QVU220 / SUMIFS(Aux_Totales!$N:$N, Aux_Totales!$F:$F, $F224, Aux_Totales!$A:$A,#REF!), 0))</f>
        <v/>
      </c>
      <c r="QVV224" s="19" t="str">
        <f>IF(QVV220 = "", "", IFERROR(QVV220 / SUMIFS(Aux_Totales!$N:$N, Aux_Totales!$F:$F, $F224, Aux_Totales!$A:$A,#REF!), 0))</f>
        <v/>
      </c>
      <c r="QVW224" s="19" t="str">
        <f>IF(QVW220 = "", "", IFERROR(QVW220 / SUMIFS(Aux_Totales!$N:$N, Aux_Totales!$F:$F, $F224, Aux_Totales!$A:$A,#REF!), 0))</f>
        <v/>
      </c>
      <c r="QVX224" s="19" t="str">
        <f>IF(QVX220 = "", "", IFERROR(QVX220 / SUMIFS(Aux_Totales!$N:$N, Aux_Totales!$F:$F, $F224, Aux_Totales!$A:$A,#REF!), 0))</f>
        <v/>
      </c>
      <c r="QVY224" s="19" t="str">
        <f>IF(QVY220 = "", "", IFERROR(QVY220 / SUMIFS(Aux_Totales!$N:$N, Aux_Totales!$F:$F, $F224, Aux_Totales!$A:$A,#REF!), 0))</f>
        <v/>
      </c>
      <c r="QVZ224" s="19" t="str">
        <f>IF(QVZ220 = "", "", IFERROR(QVZ220 / SUMIFS(Aux_Totales!$N:$N, Aux_Totales!$F:$F, $F224, Aux_Totales!$A:$A,#REF!), 0))</f>
        <v/>
      </c>
      <c r="QWA224" s="19" t="str">
        <f>IF(QWA220 = "", "", IFERROR(QWA220 / SUMIFS(Aux_Totales!$N:$N, Aux_Totales!$F:$F, $F224, Aux_Totales!$A:$A,#REF!), 0))</f>
        <v/>
      </c>
      <c r="QWB224" s="19" t="str">
        <f>IF(QWB220 = "", "", IFERROR(QWB220 / SUMIFS(Aux_Totales!$N:$N, Aux_Totales!$F:$F, $F224, Aux_Totales!$A:$A,#REF!), 0))</f>
        <v/>
      </c>
      <c r="QWC224" s="19" t="str">
        <f>IF(QWC220 = "", "", IFERROR(QWC220 / SUMIFS(Aux_Totales!$N:$N, Aux_Totales!$F:$F, $F224, Aux_Totales!$A:$A,#REF!), 0))</f>
        <v/>
      </c>
      <c r="QWD224" s="19" t="str">
        <f>IF(QWD220 = "", "", IFERROR(QWD220 / SUMIFS(Aux_Totales!$N:$N, Aux_Totales!$F:$F, $F224, Aux_Totales!$A:$A,#REF!), 0))</f>
        <v/>
      </c>
      <c r="QWE224" s="19" t="str">
        <f>IF(QWE220 = "", "", IFERROR(QWE220 / SUMIFS(Aux_Totales!$N:$N, Aux_Totales!$F:$F, $F224, Aux_Totales!$A:$A,#REF!), 0))</f>
        <v/>
      </c>
      <c r="QWF224" s="19" t="str">
        <f>IF(QWF220 = "", "", IFERROR(QWF220 / SUMIFS(Aux_Totales!$N:$N, Aux_Totales!$F:$F, $F224, Aux_Totales!$A:$A,#REF!), 0))</f>
        <v/>
      </c>
      <c r="QWG224" s="19" t="str">
        <f>IF(QWG220 = "", "", IFERROR(QWG220 / SUMIFS(Aux_Totales!$N:$N, Aux_Totales!$F:$F, $F224, Aux_Totales!$A:$A,#REF!), 0))</f>
        <v/>
      </c>
      <c r="QWH224" s="19" t="str">
        <f>IF(QWH220 = "", "", IFERROR(QWH220 / SUMIFS(Aux_Totales!$N:$N, Aux_Totales!$F:$F, $F224, Aux_Totales!$A:$A,#REF!), 0))</f>
        <v/>
      </c>
      <c r="QWI224" s="19" t="str">
        <f>IF(QWI220 = "", "", IFERROR(QWI220 / SUMIFS(Aux_Totales!$N:$N, Aux_Totales!$F:$F, $F224, Aux_Totales!$A:$A,#REF!), 0))</f>
        <v/>
      </c>
      <c r="QWJ224" s="19" t="str">
        <f>IF(QWJ220 = "", "", IFERROR(QWJ220 / SUMIFS(Aux_Totales!$N:$N, Aux_Totales!$F:$F, $F224, Aux_Totales!$A:$A,#REF!), 0))</f>
        <v/>
      </c>
      <c r="QWK224" s="19" t="str">
        <f>IF(QWK220 = "", "", IFERROR(QWK220 / SUMIFS(Aux_Totales!$N:$N, Aux_Totales!$F:$F, $F224, Aux_Totales!$A:$A,#REF!), 0))</f>
        <v/>
      </c>
      <c r="QWL224" s="19" t="str">
        <f>IF(QWL220 = "", "", IFERROR(QWL220 / SUMIFS(Aux_Totales!$N:$N, Aux_Totales!$F:$F, $F224, Aux_Totales!$A:$A,#REF!), 0))</f>
        <v/>
      </c>
      <c r="QWM224" s="19" t="str">
        <f>IF(QWM220 = "", "", IFERROR(QWM220 / SUMIFS(Aux_Totales!$N:$N, Aux_Totales!$F:$F, $F224, Aux_Totales!$A:$A,#REF!), 0))</f>
        <v/>
      </c>
      <c r="QWN224" s="19" t="str">
        <f>IF(QWN220 = "", "", IFERROR(QWN220 / SUMIFS(Aux_Totales!$N:$N, Aux_Totales!$F:$F, $F224, Aux_Totales!$A:$A,#REF!), 0))</f>
        <v/>
      </c>
      <c r="QWO224" s="19" t="str">
        <f>IF(QWO220 = "", "", IFERROR(QWO220 / SUMIFS(Aux_Totales!$N:$N, Aux_Totales!$F:$F, $F224, Aux_Totales!$A:$A,#REF!), 0))</f>
        <v/>
      </c>
      <c r="QWP224" s="19" t="str">
        <f>IF(QWP220 = "", "", IFERROR(QWP220 / SUMIFS(Aux_Totales!$N:$N, Aux_Totales!$F:$F, $F224, Aux_Totales!$A:$A,#REF!), 0))</f>
        <v/>
      </c>
      <c r="QWQ224" s="19" t="str">
        <f>IF(QWQ220 = "", "", IFERROR(QWQ220 / SUMIFS(Aux_Totales!$N:$N, Aux_Totales!$F:$F, $F224, Aux_Totales!$A:$A,#REF!), 0))</f>
        <v/>
      </c>
      <c r="QWR224" s="19" t="str">
        <f>IF(QWR220 = "", "", IFERROR(QWR220 / SUMIFS(Aux_Totales!$N:$N, Aux_Totales!$F:$F, $F224, Aux_Totales!$A:$A,#REF!), 0))</f>
        <v/>
      </c>
      <c r="QWS224" s="19" t="str">
        <f>IF(QWS220 = "", "", IFERROR(QWS220 / SUMIFS(Aux_Totales!$N:$N, Aux_Totales!$F:$F, $F224, Aux_Totales!$A:$A,#REF!), 0))</f>
        <v/>
      </c>
      <c r="QWT224" s="19" t="str">
        <f>IF(QWT220 = "", "", IFERROR(QWT220 / SUMIFS(Aux_Totales!$N:$N, Aux_Totales!$F:$F, $F224, Aux_Totales!$A:$A,#REF!), 0))</f>
        <v/>
      </c>
      <c r="QWU224" s="19" t="str">
        <f>IF(QWU220 = "", "", IFERROR(QWU220 / SUMIFS(Aux_Totales!$N:$N, Aux_Totales!$F:$F, $F224, Aux_Totales!$A:$A,#REF!), 0))</f>
        <v/>
      </c>
      <c r="QWV224" s="19" t="str">
        <f>IF(QWV220 = "", "", IFERROR(QWV220 / SUMIFS(Aux_Totales!$N:$N, Aux_Totales!$F:$F, $F224, Aux_Totales!$A:$A,#REF!), 0))</f>
        <v/>
      </c>
      <c r="QWW224" s="19" t="str">
        <f>IF(QWW220 = "", "", IFERROR(QWW220 / SUMIFS(Aux_Totales!$N:$N, Aux_Totales!$F:$F, $F224, Aux_Totales!$A:$A,#REF!), 0))</f>
        <v/>
      </c>
      <c r="QWX224" s="19" t="str">
        <f>IF(QWX220 = "", "", IFERROR(QWX220 / SUMIFS(Aux_Totales!$N:$N, Aux_Totales!$F:$F, $F224, Aux_Totales!$A:$A,#REF!), 0))</f>
        <v/>
      </c>
      <c r="QWY224" s="19" t="str">
        <f>IF(QWY220 = "", "", IFERROR(QWY220 / SUMIFS(Aux_Totales!$N:$N, Aux_Totales!$F:$F, $F224, Aux_Totales!$A:$A,#REF!), 0))</f>
        <v/>
      </c>
      <c r="QWZ224" s="19" t="str">
        <f>IF(QWZ220 = "", "", IFERROR(QWZ220 / SUMIFS(Aux_Totales!$N:$N, Aux_Totales!$F:$F, $F224, Aux_Totales!$A:$A,#REF!), 0))</f>
        <v/>
      </c>
      <c r="QXA224" s="19" t="str">
        <f>IF(QXA220 = "", "", IFERROR(QXA220 / SUMIFS(Aux_Totales!$N:$N, Aux_Totales!$F:$F, $F224, Aux_Totales!$A:$A,#REF!), 0))</f>
        <v/>
      </c>
      <c r="QXB224" s="19" t="str">
        <f>IF(QXB220 = "", "", IFERROR(QXB220 / SUMIFS(Aux_Totales!$N:$N, Aux_Totales!$F:$F, $F224, Aux_Totales!$A:$A,#REF!), 0))</f>
        <v/>
      </c>
      <c r="QXC224" s="19" t="str">
        <f>IF(QXC220 = "", "", IFERROR(QXC220 / SUMIFS(Aux_Totales!$N:$N, Aux_Totales!$F:$F, $F224, Aux_Totales!$A:$A,#REF!), 0))</f>
        <v/>
      </c>
      <c r="QXD224" s="19" t="str">
        <f>IF(QXD220 = "", "", IFERROR(QXD220 / SUMIFS(Aux_Totales!$N:$N, Aux_Totales!$F:$F, $F224, Aux_Totales!$A:$A,#REF!), 0))</f>
        <v/>
      </c>
      <c r="QXE224" s="19" t="str">
        <f>IF(QXE220 = "", "", IFERROR(QXE220 / SUMIFS(Aux_Totales!$N:$N, Aux_Totales!$F:$F, $F224, Aux_Totales!$A:$A,#REF!), 0))</f>
        <v/>
      </c>
      <c r="QXF224" s="19" t="str">
        <f>IF(QXF220 = "", "", IFERROR(QXF220 / SUMIFS(Aux_Totales!$N:$N, Aux_Totales!$F:$F, $F224, Aux_Totales!$A:$A,#REF!), 0))</f>
        <v/>
      </c>
      <c r="QXG224" s="19" t="str">
        <f>IF(QXG220 = "", "", IFERROR(QXG220 / SUMIFS(Aux_Totales!$N:$N, Aux_Totales!$F:$F, $F224, Aux_Totales!$A:$A,#REF!), 0))</f>
        <v/>
      </c>
      <c r="QXH224" s="19" t="str">
        <f>IF(QXH220 = "", "", IFERROR(QXH220 / SUMIFS(Aux_Totales!$N:$N, Aux_Totales!$F:$F, $F224, Aux_Totales!$A:$A,#REF!), 0))</f>
        <v/>
      </c>
      <c r="QXI224" s="19" t="str">
        <f>IF(QXI220 = "", "", IFERROR(QXI220 / SUMIFS(Aux_Totales!$N:$N, Aux_Totales!$F:$F, $F224, Aux_Totales!$A:$A,#REF!), 0))</f>
        <v/>
      </c>
      <c r="QXJ224" s="19" t="str">
        <f>IF(QXJ220 = "", "", IFERROR(QXJ220 / SUMIFS(Aux_Totales!$N:$N, Aux_Totales!$F:$F, $F224, Aux_Totales!$A:$A,#REF!), 0))</f>
        <v/>
      </c>
      <c r="QXK224" s="19" t="str">
        <f>IF(QXK220 = "", "", IFERROR(QXK220 / SUMIFS(Aux_Totales!$N:$N, Aux_Totales!$F:$F, $F224, Aux_Totales!$A:$A,#REF!), 0))</f>
        <v/>
      </c>
      <c r="QXL224" s="19" t="str">
        <f>IF(QXL220 = "", "", IFERROR(QXL220 / SUMIFS(Aux_Totales!$N:$N, Aux_Totales!$F:$F, $F224, Aux_Totales!$A:$A,#REF!), 0))</f>
        <v/>
      </c>
      <c r="QXM224" s="19" t="str">
        <f>IF(QXM220 = "", "", IFERROR(QXM220 / SUMIFS(Aux_Totales!$N:$N, Aux_Totales!$F:$F, $F224, Aux_Totales!$A:$A,#REF!), 0))</f>
        <v/>
      </c>
      <c r="QXN224" s="19" t="str">
        <f>IF(QXN220 = "", "", IFERROR(QXN220 / SUMIFS(Aux_Totales!$N:$N, Aux_Totales!$F:$F, $F224, Aux_Totales!$A:$A,#REF!), 0))</f>
        <v/>
      </c>
      <c r="QXO224" s="19" t="str">
        <f>IF(QXO220 = "", "", IFERROR(QXO220 / SUMIFS(Aux_Totales!$N:$N, Aux_Totales!$F:$F, $F224, Aux_Totales!$A:$A,#REF!), 0))</f>
        <v/>
      </c>
      <c r="QXP224" s="19" t="str">
        <f>IF(QXP220 = "", "", IFERROR(QXP220 / SUMIFS(Aux_Totales!$N:$N, Aux_Totales!$F:$F, $F224, Aux_Totales!$A:$A,#REF!), 0))</f>
        <v/>
      </c>
      <c r="QXQ224" s="19" t="str">
        <f>IF(QXQ220 = "", "", IFERROR(QXQ220 / SUMIFS(Aux_Totales!$N:$N, Aux_Totales!$F:$F, $F224, Aux_Totales!$A:$A,#REF!), 0))</f>
        <v/>
      </c>
      <c r="QXR224" s="19" t="str">
        <f>IF(QXR220 = "", "", IFERROR(QXR220 / SUMIFS(Aux_Totales!$N:$N, Aux_Totales!$F:$F, $F224, Aux_Totales!$A:$A,#REF!), 0))</f>
        <v/>
      </c>
      <c r="QXS224" s="19" t="str">
        <f>IF(QXS220 = "", "", IFERROR(QXS220 / SUMIFS(Aux_Totales!$N:$N, Aux_Totales!$F:$F, $F224, Aux_Totales!$A:$A,#REF!), 0))</f>
        <v/>
      </c>
      <c r="QXT224" s="19" t="str">
        <f>IF(QXT220 = "", "", IFERROR(QXT220 / SUMIFS(Aux_Totales!$N:$N, Aux_Totales!$F:$F, $F224, Aux_Totales!$A:$A,#REF!), 0))</f>
        <v/>
      </c>
      <c r="QXU224" s="19" t="str">
        <f>IF(QXU220 = "", "", IFERROR(QXU220 / SUMIFS(Aux_Totales!$N:$N, Aux_Totales!$F:$F, $F224, Aux_Totales!$A:$A,#REF!), 0))</f>
        <v/>
      </c>
      <c r="QXV224" s="19" t="str">
        <f>IF(QXV220 = "", "", IFERROR(QXV220 / SUMIFS(Aux_Totales!$N:$N, Aux_Totales!$F:$F, $F224, Aux_Totales!$A:$A,#REF!), 0))</f>
        <v/>
      </c>
      <c r="QXW224" s="19" t="str">
        <f>IF(QXW220 = "", "", IFERROR(QXW220 / SUMIFS(Aux_Totales!$N:$N, Aux_Totales!$F:$F, $F224, Aux_Totales!$A:$A,#REF!), 0))</f>
        <v/>
      </c>
      <c r="QXX224" s="19" t="str">
        <f>IF(QXX220 = "", "", IFERROR(QXX220 / SUMIFS(Aux_Totales!$N:$N, Aux_Totales!$F:$F, $F224, Aux_Totales!$A:$A,#REF!), 0))</f>
        <v/>
      </c>
      <c r="QXY224" s="19" t="str">
        <f>IF(QXY220 = "", "", IFERROR(QXY220 / SUMIFS(Aux_Totales!$N:$N, Aux_Totales!$F:$F, $F224, Aux_Totales!$A:$A,#REF!), 0))</f>
        <v/>
      </c>
      <c r="QXZ224" s="19" t="str">
        <f>IF(QXZ220 = "", "", IFERROR(QXZ220 / SUMIFS(Aux_Totales!$N:$N, Aux_Totales!$F:$F, $F224, Aux_Totales!$A:$A,#REF!), 0))</f>
        <v/>
      </c>
      <c r="QYA224" s="19" t="str">
        <f>IF(QYA220 = "", "", IFERROR(QYA220 / SUMIFS(Aux_Totales!$N:$N, Aux_Totales!$F:$F, $F224, Aux_Totales!$A:$A,#REF!), 0))</f>
        <v/>
      </c>
      <c r="QYB224" s="19" t="str">
        <f>IF(QYB220 = "", "", IFERROR(QYB220 / SUMIFS(Aux_Totales!$N:$N, Aux_Totales!$F:$F, $F224, Aux_Totales!$A:$A,#REF!), 0))</f>
        <v/>
      </c>
      <c r="QYC224" s="19" t="str">
        <f>IF(QYC220 = "", "", IFERROR(QYC220 / SUMIFS(Aux_Totales!$N:$N, Aux_Totales!$F:$F, $F224, Aux_Totales!$A:$A,#REF!), 0))</f>
        <v/>
      </c>
      <c r="QYD224" s="19" t="str">
        <f>IF(QYD220 = "", "", IFERROR(QYD220 / SUMIFS(Aux_Totales!$N:$N, Aux_Totales!$F:$F, $F224, Aux_Totales!$A:$A,#REF!), 0))</f>
        <v/>
      </c>
      <c r="QYE224" s="19" t="str">
        <f>IF(QYE220 = "", "", IFERROR(QYE220 / SUMIFS(Aux_Totales!$N:$N, Aux_Totales!$F:$F, $F224, Aux_Totales!$A:$A,#REF!), 0))</f>
        <v/>
      </c>
      <c r="QYF224" s="19" t="str">
        <f>IF(QYF220 = "", "", IFERROR(QYF220 / SUMIFS(Aux_Totales!$N:$N, Aux_Totales!$F:$F, $F224, Aux_Totales!$A:$A,#REF!), 0))</f>
        <v/>
      </c>
      <c r="QYG224" s="19" t="str">
        <f>IF(QYG220 = "", "", IFERROR(QYG220 / SUMIFS(Aux_Totales!$N:$N, Aux_Totales!$F:$F, $F224, Aux_Totales!$A:$A,#REF!), 0))</f>
        <v/>
      </c>
      <c r="QYH224" s="19" t="str">
        <f>IF(QYH220 = "", "", IFERROR(QYH220 / SUMIFS(Aux_Totales!$N:$N, Aux_Totales!$F:$F, $F224, Aux_Totales!$A:$A,#REF!), 0))</f>
        <v/>
      </c>
      <c r="QYI224" s="19" t="str">
        <f>IF(QYI220 = "", "", IFERROR(QYI220 / SUMIFS(Aux_Totales!$N:$N, Aux_Totales!$F:$F, $F224, Aux_Totales!$A:$A,#REF!), 0))</f>
        <v/>
      </c>
      <c r="QYJ224" s="19" t="str">
        <f>IF(QYJ220 = "", "", IFERROR(QYJ220 / SUMIFS(Aux_Totales!$N:$N, Aux_Totales!$F:$F, $F224, Aux_Totales!$A:$A,#REF!), 0))</f>
        <v/>
      </c>
      <c r="QYK224" s="19" t="str">
        <f>IF(QYK220 = "", "", IFERROR(QYK220 / SUMIFS(Aux_Totales!$N:$N, Aux_Totales!$F:$F, $F224, Aux_Totales!$A:$A,#REF!), 0))</f>
        <v/>
      </c>
      <c r="QYL224" s="19" t="str">
        <f>IF(QYL220 = "", "", IFERROR(QYL220 / SUMIFS(Aux_Totales!$N:$N, Aux_Totales!$F:$F, $F224, Aux_Totales!$A:$A,#REF!), 0))</f>
        <v/>
      </c>
      <c r="QYM224" s="19" t="str">
        <f>IF(QYM220 = "", "", IFERROR(QYM220 / SUMIFS(Aux_Totales!$N:$N, Aux_Totales!$F:$F, $F224, Aux_Totales!$A:$A,#REF!), 0))</f>
        <v/>
      </c>
      <c r="QYN224" s="19" t="str">
        <f>IF(QYN220 = "", "", IFERROR(QYN220 / SUMIFS(Aux_Totales!$N:$N, Aux_Totales!$F:$F, $F224, Aux_Totales!$A:$A,#REF!), 0))</f>
        <v/>
      </c>
      <c r="QYO224" s="19" t="str">
        <f>IF(QYO220 = "", "", IFERROR(QYO220 / SUMIFS(Aux_Totales!$N:$N, Aux_Totales!$F:$F, $F224, Aux_Totales!$A:$A,#REF!), 0))</f>
        <v/>
      </c>
      <c r="QYP224" s="19" t="str">
        <f>IF(QYP220 = "", "", IFERROR(QYP220 / SUMIFS(Aux_Totales!$N:$N, Aux_Totales!$F:$F, $F224, Aux_Totales!$A:$A,#REF!), 0))</f>
        <v/>
      </c>
      <c r="QYQ224" s="19" t="str">
        <f>IF(QYQ220 = "", "", IFERROR(QYQ220 / SUMIFS(Aux_Totales!$N:$N, Aux_Totales!$F:$F, $F224, Aux_Totales!$A:$A,#REF!), 0))</f>
        <v/>
      </c>
      <c r="QYR224" s="19" t="str">
        <f>IF(QYR220 = "", "", IFERROR(QYR220 / SUMIFS(Aux_Totales!$N:$N, Aux_Totales!$F:$F, $F224, Aux_Totales!$A:$A,#REF!), 0))</f>
        <v/>
      </c>
      <c r="QYS224" s="19" t="str">
        <f>IF(QYS220 = "", "", IFERROR(QYS220 / SUMIFS(Aux_Totales!$N:$N, Aux_Totales!$F:$F, $F224, Aux_Totales!$A:$A,#REF!), 0))</f>
        <v/>
      </c>
      <c r="QYT224" s="19" t="str">
        <f>IF(QYT220 = "", "", IFERROR(QYT220 / SUMIFS(Aux_Totales!$N:$N, Aux_Totales!$F:$F, $F224, Aux_Totales!$A:$A,#REF!), 0))</f>
        <v/>
      </c>
      <c r="QYU224" s="19" t="str">
        <f>IF(QYU220 = "", "", IFERROR(QYU220 / SUMIFS(Aux_Totales!$N:$N, Aux_Totales!$F:$F, $F224, Aux_Totales!$A:$A,#REF!), 0))</f>
        <v/>
      </c>
      <c r="QYV224" s="19" t="str">
        <f>IF(QYV220 = "", "", IFERROR(QYV220 / SUMIFS(Aux_Totales!$N:$N, Aux_Totales!$F:$F, $F224, Aux_Totales!$A:$A,#REF!), 0))</f>
        <v/>
      </c>
      <c r="QYW224" s="19" t="str">
        <f>IF(QYW220 = "", "", IFERROR(QYW220 / SUMIFS(Aux_Totales!$N:$N, Aux_Totales!$F:$F, $F224, Aux_Totales!$A:$A,#REF!), 0))</f>
        <v/>
      </c>
      <c r="QYX224" s="19" t="str">
        <f>IF(QYX220 = "", "", IFERROR(QYX220 / SUMIFS(Aux_Totales!$N:$N, Aux_Totales!$F:$F, $F224, Aux_Totales!$A:$A,#REF!), 0))</f>
        <v/>
      </c>
      <c r="QYY224" s="19" t="str">
        <f>IF(QYY220 = "", "", IFERROR(QYY220 / SUMIFS(Aux_Totales!$N:$N, Aux_Totales!$F:$F, $F224, Aux_Totales!$A:$A,#REF!), 0))</f>
        <v/>
      </c>
      <c r="QYZ224" s="19" t="str">
        <f>IF(QYZ220 = "", "", IFERROR(QYZ220 / SUMIFS(Aux_Totales!$N:$N, Aux_Totales!$F:$F, $F224, Aux_Totales!$A:$A,#REF!), 0))</f>
        <v/>
      </c>
      <c r="QZA224" s="19" t="str">
        <f>IF(QZA220 = "", "", IFERROR(QZA220 / SUMIFS(Aux_Totales!$N:$N, Aux_Totales!$F:$F, $F224, Aux_Totales!$A:$A,#REF!), 0))</f>
        <v/>
      </c>
      <c r="QZB224" s="19" t="str">
        <f>IF(QZB220 = "", "", IFERROR(QZB220 / SUMIFS(Aux_Totales!$N:$N, Aux_Totales!$F:$F, $F224, Aux_Totales!$A:$A,#REF!), 0))</f>
        <v/>
      </c>
      <c r="QZC224" s="19" t="str">
        <f>IF(QZC220 = "", "", IFERROR(QZC220 / SUMIFS(Aux_Totales!$N:$N, Aux_Totales!$F:$F, $F224, Aux_Totales!$A:$A,#REF!), 0))</f>
        <v/>
      </c>
      <c r="QZD224" s="19" t="str">
        <f>IF(QZD220 = "", "", IFERROR(QZD220 / SUMIFS(Aux_Totales!$N:$N, Aux_Totales!$F:$F, $F224, Aux_Totales!$A:$A,#REF!), 0))</f>
        <v/>
      </c>
      <c r="QZE224" s="19" t="str">
        <f>IF(QZE220 = "", "", IFERROR(QZE220 / SUMIFS(Aux_Totales!$N:$N, Aux_Totales!$F:$F, $F224, Aux_Totales!$A:$A,#REF!), 0))</f>
        <v/>
      </c>
      <c r="QZF224" s="19" t="str">
        <f>IF(QZF220 = "", "", IFERROR(QZF220 / SUMIFS(Aux_Totales!$N:$N, Aux_Totales!$F:$F, $F224, Aux_Totales!$A:$A,#REF!), 0))</f>
        <v/>
      </c>
      <c r="QZG224" s="19" t="str">
        <f>IF(QZG220 = "", "", IFERROR(QZG220 / SUMIFS(Aux_Totales!$N:$N, Aux_Totales!$F:$F, $F224, Aux_Totales!$A:$A,#REF!), 0))</f>
        <v/>
      </c>
      <c r="QZH224" s="19" t="str">
        <f>IF(QZH220 = "", "", IFERROR(QZH220 / SUMIFS(Aux_Totales!$N:$N, Aux_Totales!$F:$F, $F224, Aux_Totales!$A:$A,#REF!), 0))</f>
        <v/>
      </c>
      <c r="QZI224" s="19" t="str">
        <f>IF(QZI220 = "", "", IFERROR(QZI220 / SUMIFS(Aux_Totales!$N:$N, Aux_Totales!$F:$F, $F224, Aux_Totales!$A:$A,#REF!), 0))</f>
        <v/>
      </c>
      <c r="QZJ224" s="19" t="str">
        <f>IF(QZJ220 = "", "", IFERROR(QZJ220 / SUMIFS(Aux_Totales!$N:$N, Aux_Totales!$F:$F, $F224, Aux_Totales!$A:$A,#REF!), 0))</f>
        <v/>
      </c>
      <c r="QZK224" s="19" t="str">
        <f>IF(QZK220 = "", "", IFERROR(QZK220 / SUMIFS(Aux_Totales!$N:$N, Aux_Totales!$F:$F, $F224, Aux_Totales!$A:$A,#REF!), 0))</f>
        <v/>
      </c>
      <c r="QZL224" s="19" t="str">
        <f>IF(QZL220 = "", "", IFERROR(QZL220 / SUMIFS(Aux_Totales!$N:$N, Aux_Totales!$F:$F, $F224, Aux_Totales!$A:$A,#REF!), 0))</f>
        <v/>
      </c>
      <c r="QZM224" s="19" t="str">
        <f>IF(QZM220 = "", "", IFERROR(QZM220 / SUMIFS(Aux_Totales!$N:$N, Aux_Totales!$F:$F, $F224, Aux_Totales!$A:$A,#REF!), 0))</f>
        <v/>
      </c>
      <c r="QZN224" s="19" t="str">
        <f>IF(QZN220 = "", "", IFERROR(QZN220 / SUMIFS(Aux_Totales!$N:$N, Aux_Totales!$F:$F, $F224, Aux_Totales!$A:$A,#REF!), 0))</f>
        <v/>
      </c>
      <c r="QZO224" s="19" t="str">
        <f>IF(QZO220 = "", "", IFERROR(QZO220 / SUMIFS(Aux_Totales!$N:$N, Aux_Totales!$F:$F, $F224, Aux_Totales!$A:$A,#REF!), 0))</f>
        <v/>
      </c>
      <c r="QZP224" s="19" t="str">
        <f>IF(QZP220 = "", "", IFERROR(QZP220 / SUMIFS(Aux_Totales!$N:$N, Aux_Totales!$F:$F, $F224, Aux_Totales!$A:$A,#REF!), 0))</f>
        <v/>
      </c>
      <c r="QZQ224" s="19" t="str">
        <f>IF(QZQ220 = "", "", IFERROR(QZQ220 / SUMIFS(Aux_Totales!$N:$N, Aux_Totales!$F:$F, $F224, Aux_Totales!$A:$A,#REF!), 0))</f>
        <v/>
      </c>
      <c r="QZR224" s="19" t="str">
        <f>IF(QZR220 = "", "", IFERROR(QZR220 / SUMIFS(Aux_Totales!$N:$N, Aux_Totales!$F:$F, $F224, Aux_Totales!$A:$A,#REF!), 0))</f>
        <v/>
      </c>
      <c r="QZS224" s="19" t="str">
        <f>IF(QZS220 = "", "", IFERROR(QZS220 / SUMIFS(Aux_Totales!$N:$N, Aux_Totales!$F:$F, $F224, Aux_Totales!$A:$A,#REF!), 0))</f>
        <v/>
      </c>
      <c r="QZT224" s="19" t="str">
        <f>IF(QZT220 = "", "", IFERROR(QZT220 / SUMIFS(Aux_Totales!$N:$N, Aux_Totales!$F:$F, $F224, Aux_Totales!$A:$A,#REF!), 0))</f>
        <v/>
      </c>
      <c r="QZU224" s="19" t="str">
        <f>IF(QZU220 = "", "", IFERROR(QZU220 / SUMIFS(Aux_Totales!$N:$N, Aux_Totales!$F:$F, $F224, Aux_Totales!$A:$A,#REF!), 0))</f>
        <v/>
      </c>
      <c r="QZV224" s="19" t="str">
        <f>IF(QZV220 = "", "", IFERROR(QZV220 / SUMIFS(Aux_Totales!$N:$N, Aux_Totales!$F:$F, $F224, Aux_Totales!$A:$A,#REF!), 0))</f>
        <v/>
      </c>
      <c r="QZW224" s="19" t="str">
        <f>IF(QZW220 = "", "", IFERROR(QZW220 / SUMIFS(Aux_Totales!$N:$N, Aux_Totales!$F:$F, $F224, Aux_Totales!$A:$A,#REF!), 0))</f>
        <v/>
      </c>
      <c r="QZX224" s="19" t="str">
        <f>IF(QZX220 = "", "", IFERROR(QZX220 / SUMIFS(Aux_Totales!$N:$N, Aux_Totales!$F:$F, $F224, Aux_Totales!$A:$A,#REF!), 0))</f>
        <v/>
      </c>
      <c r="QZY224" s="19" t="str">
        <f>IF(QZY220 = "", "", IFERROR(QZY220 / SUMIFS(Aux_Totales!$N:$N, Aux_Totales!$F:$F, $F224, Aux_Totales!$A:$A,#REF!), 0))</f>
        <v/>
      </c>
      <c r="QZZ224" s="19" t="str">
        <f>IF(QZZ220 = "", "", IFERROR(QZZ220 / SUMIFS(Aux_Totales!$N:$N, Aux_Totales!$F:$F, $F224, Aux_Totales!$A:$A,#REF!), 0))</f>
        <v/>
      </c>
      <c r="RAA224" s="19" t="str">
        <f>IF(RAA220 = "", "", IFERROR(RAA220 / SUMIFS(Aux_Totales!$N:$N, Aux_Totales!$F:$F, $F224, Aux_Totales!$A:$A,#REF!), 0))</f>
        <v/>
      </c>
      <c r="RAB224" s="19" t="str">
        <f>IF(RAB220 = "", "", IFERROR(RAB220 / SUMIFS(Aux_Totales!$N:$N, Aux_Totales!$F:$F, $F224, Aux_Totales!$A:$A,#REF!), 0))</f>
        <v/>
      </c>
      <c r="RAC224" s="19" t="str">
        <f>IF(RAC220 = "", "", IFERROR(RAC220 / SUMIFS(Aux_Totales!$N:$N, Aux_Totales!$F:$F, $F224, Aux_Totales!$A:$A,#REF!), 0))</f>
        <v/>
      </c>
      <c r="RAD224" s="19" t="str">
        <f>IF(RAD220 = "", "", IFERROR(RAD220 / SUMIFS(Aux_Totales!$N:$N, Aux_Totales!$F:$F, $F224, Aux_Totales!$A:$A,#REF!), 0))</f>
        <v/>
      </c>
      <c r="RAE224" s="19" t="str">
        <f>IF(RAE220 = "", "", IFERROR(RAE220 / SUMIFS(Aux_Totales!$N:$N, Aux_Totales!$F:$F, $F224, Aux_Totales!$A:$A,#REF!), 0))</f>
        <v/>
      </c>
      <c r="RAF224" s="19" t="str">
        <f>IF(RAF220 = "", "", IFERROR(RAF220 / SUMIFS(Aux_Totales!$N:$N, Aux_Totales!$F:$F, $F224, Aux_Totales!$A:$A,#REF!), 0))</f>
        <v/>
      </c>
      <c r="RAG224" s="19" t="str">
        <f>IF(RAG220 = "", "", IFERROR(RAG220 / SUMIFS(Aux_Totales!$N:$N, Aux_Totales!$F:$F, $F224, Aux_Totales!$A:$A,#REF!), 0))</f>
        <v/>
      </c>
      <c r="RAH224" s="19" t="str">
        <f>IF(RAH220 = "", "", IFERROR(RAH220 / SUMIFS(Aux_Totales!$N:$N, Aux_Totales!$F:$F, $F224, Aux_Totales!$A:$A,#REF!), 0))</f>
        <v/>
      </c>
      <c r="RAI224" s="19" t="str">
        <f>IF(RAI220 = "", "", IFERROR(RAI220 / SUMIFS(Aux_Totales!$N:$N, Aux_Totales!$F:$F, $F224, Aux_Totales!$A:$A,#REF!), 0))</f>
        <v/>
      </c>
      <c r="RAJ224" s="19" t="str">
        <f>IF(RAJ220 = "", "", IFERROR(RAJ220 / SUMIFS(Aux_Totales!$N:$N, Aux_Totales!$F:$F, $F224, Aux_Totales!$A:$A,#REF!), 0))</f>
        <v/>
      </c>
      <c r="RAK224" s="19" t="str">
        <f>IF(RAK220 = "", "", IFERROR(RAK220 / SUMIFS(Aux_Totales!$N:$N, Aux_Totales!$F:$F, $F224, Aux_Totales!$A:$A,#REF!), 0))</f>
        <v/>
      </c>
      <c r="RAL224" s="19" t="str">
        <f>IF(RAL220 = "", "", IFERROR(RAL220 / SUMIFS(Aux_Totales!$N:$N, Aux_Totales!$F:$F, $F224, Aux_Totales!$A:$A,#REF!), 0))</f>
        <v/>
      </c>
      <c r="RAM224" s="19" t="str">
        <f>IF(RAM220 = "", "", IFERROR(RAM220 / SUMIFS(Aux_Totales!$N:$N, Aux_Totales!$F:$F, $F224, Aux_Totales!$A:$A,#REF!), 0))</f>
        <v/>
      </c>
      <c r="RAN224" s="19" t="str">
        <f>IF(RAN220 = "", "", IFERROR(RAN220 / SUMIFS(Aux_Totales!$N:$N, Aux_Totales!$F:$F, $F224, Aux_Totales!$A:$A,#REF!), 0))</f>
        <v/>
      </c>
      <c r="RAO224" s="19" t="str">
        <f>IF(RAO220 = "", "", IFERROR(RAO220 / SUMIFS(Aux_Totales!$N:$N, Aux_Totales!$F:$F, $F224, Aux_Totales!$A:$A,#REF!), 0))</f>
        <v/>
      </c>
      <c r="RAP224" s="19" t="str">
        <f>IF(RAP220 = "", "", IFERROR(RAP220 / SUMIFS(Aux_Totales!$N:$N, Aux_Totales!$F:$F, $F224, Aux_Totales!$A:$A,#REF!), 0))</f>
        <v/>
      </c>
      <c r="RAQ224" s="19" t="str">
        <f>IF(RAQ220 = "", "", IFERROR(RAQ220 / SUMIFS(Aux_Totales!$N:$N, Aux_Totales!$F:$F, $F224, Aux_Totales!$A:$A,#REF!), 0))</f>
        <v/>
      </c>
      <c r="RAR224" s="19" t="str">
        <f>IF(RAR220 = "", "", IFERROR(RAR220 / SUMIFS(Aux_Totales!$N:$N, Aux_Totales!$F:$F, $F224, Aux_Totales!$A:$A,#REF!), 0))</f>
        <v/>
      </c>
      <c r="RAS224" s="19" t="str">
        <f>IF(RAS220 = "", "", IFERROR(RAS220 / SUMIFS(Aux_Totales!$N:$N, Aux_Totales!$F:$F, $F224, Aux_Totales!$A:$A,#REF!), 0))</f>
        <v/>
      </c>
      <c r="RAT224" s="19" t="str">
        <f>IF(RAT220 = "", "", IFERROR(RAT220 / SUMIFS(Aux_Totales!$N:$N, Aux_Totales!$F:$F, $F224, Aux_Totales!$A:$A,#REF!), 0))</f>
        <v/>
      </c>
      <c r="RAU224" s="19" t="str">
        <f>IF(RAU220 = "", "", IFERROR(RAU220 / SUMIFS(Aux_Totales!$N:$N, Aux_Totales!$F:$F, $F224, Aux_Totales!$A:$A,#REF!), 0))</f>
        <v/>
      </c>
      <c r="RAV224" s="19" t="str">
        <f>IF(RAV220 = "", "", IFERROR(RAV220 / SUMIFS(Aux_Totales!$N:$N, Aux_Totales!$F:$F, $F224, Aux_Totales!$A:$A,#REF!), 0))</f>
        <v/>
      </c>
      <c r="RAW224" s="19" t="str">
        <f>IF(RAW220 = "", "", IFERROR(RAW220 / SUMIFS(Aux_Totales!$N:$N, Aux_Totales!$F:$F, $F224, Aux_Totales!$A:$A,#REF!), 0))</f>
        <v/>
      </c>
      <c r="RAX224" s="19" t="str">
        <f>IF(RAX220 = "", "", IFERROR(RAX220 / SUMIFS(Aux_Totales!$N:$N, Aux_Totales!$F:$F, $F224, Aux_Totales!$A:$A,#REF!), 0))</f>
        <v/>
      </c>
      <c r="RAY224" s="19" t="str">
        <f>IF(RAY220 = "", "", IFERROR(RAY220 / SUMIFS(Aux_Totales!$N:$N, Aux_Totales!$F:$F, $F224, Aux_Totales!$A:$A,#REF!), 0))</f>
        <v/>
      </c>
      <c r="RAZ224" s="19" t="str">
        <f>IF(RAZ220 = "", "", IFERROR(RAZ220 / SUMIFS(Aux_Totales!$N:$N, Aux_Totales!$F:$F, $F224, Aux_Totales!$A:$A,#REF!), 0))</f>
        <v/>
      </c>
      <c r="RBA224" s="19" t="str">
        <f>IF(RBA220 = "", "", IFERROR(RBA220 / SUMIFS(Aux_Totales!$N:$N, Aux_Totales!$F:$F, $F224, Aux_Totales!$A:$A,#REF!), 0))</f>
        <v/>
      </c>
      <c r="RBB224" s="19" t="str">
        <f>IF(RBB220 = "", "", IFERROR(RBB220 / SUMIFS(Aux_Totales!$N:$N, Aux_Totales!$F:$F, $F224, Aux_Totales!$A:$A,#REF!), 0))</f>
        <v/>
      </c>
      <c r="RBC224" s="19" t="str">
        <f>IF(RBC220 = "", "", IFERROR(RBC220 / SUMIFS(Aux_Totales!$N:$N, Aux_Totales!$F:$F, $F224, Aux_Totales!$A:$A,#REF!), 0))</f>
        <v/>
      </c>
      <c r="RBD224" s="19" t="str">
        <f>IF(RBD220 = "", "", IFERROR(RBD220 / SUMIFS(Aux_Totales!$N:$N, Aux_Totales!$F:$F, $F224, Aux_Totales!$A:$A,#REF!), 0))</f>
        <v/>
      </c>
      <c r="RBE224" s="19" t="str">
        <f>IF(RBE220 = "", "", IFERROR(RBE220 / SUMIFS(Aux_Totales!$N:$N, Aux_Totales!$F:$F, $F224, Aux_Totales!$A:$A,#REF!), 0))</f>
        <v/>
      </c>
      <c r="RBF224" s="19" t="str">
        <f>IF(RBF220 = "", "", IFERROR(RBF220 / SUMIFS(Aux_Totales!$N:$N, Aux_Totales!$F:$F, $F224, Aux_Totales!$A:$A,#REF!), 0))</f>
        <v/>
      </c>
      <c r="RBG224" s="19" t="str">
        <f>IF(RBG220 = "", "", IFERROR(RBG220 / SUMIFS(Aux_Totales!$N:$N, Aux_Totales!$F:$F, $F224, Aux_Totales!$A:$A,#REF!), 0))</f>
        <v/>
      </c>
      <c r="RBH224" s="19" t="str">
        <f>IF(RBH220 = "", "", IFERROR(RBH220 / SUMIFS(Aux_Totales!$N:$N, Aux_Totales!$F:$F, $F224, Aux_Totales!$A:$A,#REF!), 0))</f>
        <v/>
      </c>
      <c r="RBI224" s="19" t="str">
        <f>IF(RBI220 = "", "", IFERROR(RBI220 / SUMIFS(Aux_Totales!$N:$N, Aux_Totales!$F:$F, $F224, Aux_Totales!$A:$A,#REF!), 0))</f>
        <v/>
      </c>
      <c r="RBJ224" s="19" t="str">
        <f>IF(RBJ220 = "", "", IFERROR(RBJ220 / SUMIFS(Aux_Totales!$N:$N, Aux_Totales!$F:$F, $F224, Aux_Totales!$A:$A,#REF!), 0))</f>
        <v/>
      </c>
      <c r="RBK224" s="19" t="str">
        <f>IF(RBK220 = "", "", IFERROR(RBK220 / SUMIFS(Aux_Totales!$N:$N, Aux_Totales!$F:$F, $F224, Aux_Totales!$A:$A,#REF!), 0))</f>
        <v/>
      </c>
      <c r="RBL224" s="19" t="str">
        <f>IF(RBL220 = "", "", IFERROR(RBL220 / SUMIFS(Aux_Totales!$N:$N, Aux_Totales!$F:$F, $F224, Aux_Totales!$A:$A,#REF!), 0))</f>
        <v/>
      </c>
      <c r="RBM224" s="19" t="str">
        <f>IF(RBM220 = "", "", IFERROR(RBM220 / SUMIFS(Aux_Totales!$N:$N, Aux_Totales!$F:$F, $F224, Aux_Totales!$A:$A,#REF!), 0))</f>
        <v/>
      </c>
      <c r="RBN224" s="19" t="str">
        <f>IF(RBN220 = "", "", IFERROR(RBN220 / SUMIFS(Aux_Totales!$N:$N, Aux_Totales!$F:$F, $F224, Aux_Totales!$A:$A,#REF!), 0))</f>
        <v/>
      </c>
      <c r="RBO224" s="19" t="str">
        <f>IF(RBO220 = "", "", IFERROR(RBO220 / SUMIFS(Aux_Totales!$N:$N, Aux_Totales!$F:$F, $F224, Aux_Totales!$A:$A,#REF!), 0))</f>
        <v/>
      </c>
      <c r="RBP224" s="19" t="str">
        <f>IF(RBP220 = "", "", IFERROR(RBP220 / SUMIFS(Aux_Totales!$N:$N, Aux_Totales!$F:$F, $F224, Aux_Totales!$A:$A,#REF!), 0))</f>
        <v/>
      </c>
      <c r="RBQ224" s="19" t="str">
        <f>IF(RBQ220 = "", "", IFERROR(RBQ220 / SUMIFS(Aux_Totales!$N:$N, Aux_Totales!$F:$F, $F224, Aux_Totales!$A:$A,#REF!), 0))</f>
        <v/>
      </c>
      <c r="RBR224" s="19" t="str">
        <f>IF(RBR220 = "", "", IFERROR(RBR220 / SUMIFS(Aux_Totales!$N:$N, Aux_Totales!$F:$F, $F224, Aux_Totales!$A:$A,#REF!), 0))</f>
        <v/>
      </c>
      <c r="RBS224" s="19" t="str">
        <f>IF(RBS220 = "", "", IFERROR(RBS220 / SUMIFS(Aux_Totales!$N:$N, Aux_Totales!$F:$F, $F224, Aux_Totales!$A:$A,#REF!), 0))</f>
        <v/>
      </c>
      <c r="RBT224" s="19" t="str">
        <f>IF(RBT220 = "", "", IFERROR(RBT220 / SUMIFS(Aux_Totales!$N:$N, Aux_Totales!$F:$F, $F224, Aux_Totales!$A:$A,#REF!), 0))</f>
        <v/>
      </c>
      <c r="RBU224" s="19" t="str">
        <f>IF(RBU220 = "", "", IFERROR(RBU220 / SUMIFS(Aux_Totales!$N:$N, Aux_Totales!$F:$F, $F224, Aux_Totales!$A:$A,#REF!), 0))</f>
        <v/>
      </c>
      <c r="RBV224" s="19" t="str">
        <f>IF(RBV220 = "", "", IFERROR(RBV220 / SUMIFS(Aux_Totales!$N:$N, Aux_Totales!$F:$F, $F224, Aux_Totales!$A:$A,#REF!), 0))</f>
        <v/>
      </c>
      <c r="RBW224" s="19" t="str">
        <f>IF(RBW220 = "", "", IFERROR(RBW220 / SUMIFS(Aux_Totales!$N:$N, Aux_Totales!$F:$F, $F224, Aux_Totales!$A:$A,#REF!), 0))</f>
        <v/>
      </c>
      <c r="RBX224" s="19" t="str">
        <f>IF(RBX220 = "", "", IFERROR(RBX220 / SUMIFS(Aux_Totales!$N:$N, Aux_Totales!$F:$F, $F224, Aux_Totales!$A:$A,#REF!), 0))</f>
        <v/>
      </c>
      <c r="RBY224" s="19" t="str">
        <f>IF(RBY220 = "", "", IFERROR(RBY220 / SUMIFS(Aux_Totales!$N:$N, Aux_Totales!$F:$F, $F224, Aux_Totales!$A:$A,#REF!), 0))</f>
        <v/>
      </c>
      <c r="RBZ224" s="19" t="str">
        <f>IF(RBZ220 = "", "", IFERROR(RBZ220 / SUMIFS(Aux_Totales!$N:$N, Aux_Totales!$F:$F, $F224, Aux_Totales!$A:$A,#REF!), 0))</f>
        <v/>
      </c>
      <c r="RCA224" s="19" t="str">
        <f>IF(RCA220 = "", "", IFERROR(RCA220 / SUMIFS(Aux_Totales!$N:$N, Aux_Totales!$F:$F, $F224, Aux_Totales!$A:$A,#REF!), 0))</f>
        <v/>
      </c>
      <c r="RCB224" s="19" t="str">
        <f>IF(RCB220 = "", "", IFERROR(RCB220 / SUMIFS(Aux_Totales!$N:$N, Aux_Totales!$F:$F, $F224, Aux_Totales!$A:$A,#REF!), 0))</f>
        <v/>
      </c>
      <c r="RCC224" s="19" t="str">
        <f>IF(RCC220 = "", "", IFERROR(RCC220 / SUMIFS(Aux_Totales!$N:$N, Aux_Totales!$F:$F, $F224, Aux_Totales!$A:$A,#REF!), 0))</f>
        <v/>
      </c>
      <c r="RCD224" s="19" t="str">
        <f>IF(RCD220 = "", "", IFERROR(RCD220 / SUMIFS(Aux_Totales!$N:$N, Aux_Totales!$F:$F, $F224, Aux_Totales!$A:$A,#REF!), 0))</f>
        <v/>
      </c>
      <c r="RCE224" s="19" t="str">
        <f>IF(RCE220 = "", "", IFERROR(RCE220 / SUMIFS(Aux_Totales!$N:$N, Aux_Totales!$F:$F, $F224, Aux_Totales!$A:$A,#REF!), 0))</f>
        <v/>
      </c>
      <c r="RCF224" s="19" t="str">
        <f>IF(RCF220 = "", "", IFERROR(RCF220 / SUMIFS(Aux_Totales!$N:$N, Aux_Totales!$F:$F, $F224, Aux_Totales!$A:$A,#REF!), 0))</f>
        <v/>
      </c>
      <c r="RCG224" s="19" t="str">
        <f>IF(RCG220 = "", "", IFERROR(RCG220 / SUMIFS(Aux_Totales!$N:$N, Aux_Totales!$F:$F, $F224, Aux_Totales!$A:$A,#REF!), 0))</f>
        <v/>
      </c>
      <c r="RCH224" s="19" t="str">
        <f>IF(RCH220 = "", "", IFERROR(RCH220 / SUMIFS(Aux_Totales!$N:$N, Aux_Totales!$F:$F, $F224, Aux_Totales!$A:$A,#REF!), 0))</f>
        <v/>
      </c>
      <c r="RCI224" s="19" t="str">
        <f>IF(RCI220 = "", "", IFERROR(RCI220 / SUMIFS(Aux_Totales!$N:$N, Aux_Totales!$F:$F, $F224, Aux_Totales!$A:$A,#REF!), 0))</f>
        <v/>
      </c>
      <c r="RCJ224" s="19" t="str">
        <f>IF(RCJ220 = "", "", IFERROR(RCJ220 / SUMIFS(Aux_Totales!$N:$N, Aux_Totales!$F:$F, $F224, Aux_Totales!$A:$A,#REF!), 0))</f>
        <v/>
      </c>
      <c r="RCK224" s="19" t="str">
        <f>IF(RCK220 = "", "", IFERROR(RCK220 / SUMIFS(Aux_Totales!$N:$N, Aux_Totales!$F:$F, $F224, Aux_Totales!$A:$A,#REF!), 0))</f>
        <v/>
      </c>
      <c r="RCL224" s="19" t="str">
        <f>IF(RCL220 = "", "", IFERROR(RCL220 / SUMIFS(Aux_Totales!$N:$N, Aux_Totales!$F:$F, $F224, Aux_Totales!$A:$A,#REF!), 0))</f>
        <v/>
      </c>
      <c r="RCM224" s="19" t="str">
        <f>IF(RCM220 = "", "", IFERROR(RCM220 / SUMIFS(Aux_Totales!$N:$N, Aux_Totales!$F:$F, $F224, Aux_Totales!$A:$A,#REF!), 0))</f>
        <v/>
      </c>
      <c r="RCN224" s="19" t="str">
        <f>IF(RCN220 = "", "", IFERROR(RCN220 / SUMIFS(Aux_Totales!$N:$N, Aux_Totales!$F:$F, $F224, Aux_Totales!$A:$A,#REF!), 0))</f>
        <v/>
      </c>
      <c r="RCO224" s="19" t="str">
        <f>IF(RCO220 = "", "", IFERROR(RCO220 / SUMIFS(Aux_Totales!$N:$N, Aux_Totales!$F:$F, $F224, Aux_Totales!$A:$A,#REF!), 0))</f>
        <v/>
      </c>
      <c r="RCP224" s="19" t="str">
        <f>IF(RCP220 = "", "", IFERROR(RCP220 / SUMIFS(Aux_Totales!$N:$N, Aux_Totales!$F:$F, $F224, Aux_Totales!$A:$A,#REF!), 0))</f>
        <v/>
      </c>
      <c r="RCQ224" s="19" t="str">
        <f>IF(RCQ220 = "", "", IFERROR(RCQ220 / SUMIFS(Aux_Totales!$N:$N, Aux_Totales!$F:$F, $F224, Aux_Totales!$A:$A,#REF!), 0))</f>
        <v/>
      </c>
      <c r="RCR224" s="19" t="str">
        <f>IF(RCR220 = "", "", IFERROR(RCR220 / SUMIFS(Aux_Totales!$N:$N, Aux_Totales!$F:$F, $F224, Aux_Totales!$A:$A,#REF!), 0))</f>
        <v/>
      </c>
      <c r="RCS224" s="19" t="str">
        <f>IF(RCS220 = "", "", IFERROR(RCS220 / SUMIFS(Aux_Totales!$N:$N, Aux_Totales!$F:$F, $F224, Aux_Totales!$A:$A,#REF!), 0))</f>
        <v/>
      </c>
      <c r="RCT224" s="19" t="str">
        <f>IF(RCT220 = "", "", IFERROR(RCT220 / SUMIFS(Aux_Totales!$N:$N, Aux_Totales!$F:$F, $F224, Aux_Totales!$A:$A,#REF!), 0))</f>
        <v/>
      </c>
      <c r="RCU224" s="19" t="str">
        <f>IF(RCU220 = "", "", IFERROR(RCU220 / SUMIFS(Aux_Totales!$N:$N, Aux_Totales!$F:$F, $F224, Aux_Totales!$A:$A,#REF!), 0))</f>
        <v/>
      </c>
      <c r="RCV224" s="19" t="str">
        <f>IF(RCV220 = "", "", IFERROR(RCV220 / SUMIFS(Aux_Totales!$N:$N, Aux_Totales!$F:$F, $F224, Aux_Totales!$A:$A,#REF!), 0))</f>
        <v/>
      </c>
      <c r="RCW224" s="19" t="str">
        <f>IF(RCW220 = "", "", IFERROR(RCW220 / SUMIFS(Aux_Totales!$N:$N, Aux_Totales!$F:$F, $F224, Aux_Totales!$A:$A,#REF!), 0))</f>
        <v/>
      </c>
      <c r="RCX224" s="19" t="str">
        <f>IF(RCX220 = "", "", IFERROR(RCX220 / SUMIFS(Aux_Totales!$N:$N, Aux_Totales!$F:$F, $F224, Aux_Totales!$A:$A,#REF!), 0))</f>
        <v/>
      </c>
      <c r="RCY224" s="19" t="str">
        <f>IF(RCY220 = "", "", IFERROR(RCY220 / SUMIFS(Aux_Totales!$N:$N, Aux_Totales!$F:$F, $F224, Aux_Totales!$A:$A,#REF!), 0))</f>
        <v/>
      </c>
      <c r="RCZ224" s="19" t="str">
        <f>IF(RCZ220 = "", "", IFERROR(RCZ220 / SUMIFS(Aux_Totales!$N:$N, Aux_Totales!$F:$F, $F224, Aux_Totales!$A:$A,#REF!), 0))</f>
        <v/>
      </c>
      <c r="RDA224" s="19" t="str">
        <f>IF(RDA220 = "", "", IFERROR(RDA220 / SUMIFS(Aux_Totales!$N:$N, Aux_Totales!$F:$F, $F224, Aux_Totales!$A:$A,#REF!), 0))</f>
        <v/>
      </c>
      <c r="RDB224" s="19" t="str">
        <f>IF(RDB220 = "", "", IFERROR(RDB220 / SUMIFS(Aux_Totales!$N:$N, Aux_Totales!$F:$F, $F224, Aux_Totales!$A:$A,#REF!), 0))</f>
        <v/>
      </c>
      <c r="RDC224" s="19" t="str">
        <f>IF(RDC220 = "", "", IFERROR(RDC220 / SUMIFS(Aux_Totales!$N:$N, Aux_Totales!$F:$F, $F224, Aux_Totales!$A:$A,#REF!), 0))</f>
        <v/>
      </c>
      <c r="RDD224" s="19" t="str">
        <f>IF(RDD220 = "", "", IFERROR(RDD220 / SUMIFS(Aux_Totales!$N:$N, Aux_Totales!$F:$F, $F224, Aux_Totales!$A:$A,#REF!), 0))</f>
        <v/>
      </c>
      <c r="RDE224" s="19" t="str">
        <f>IF(RDE220 = "", "", IFERROR(RDE220 / SUMIFS(Aux_Totales!$N:$N, Aux_Totales!$F:$F, $F224, Aux_Totales!$A:$A,#REF!), 0))</f>
        <v/>
      </c>
      <c r="RDF224" s="19" t="str">
        <f>IF(RDF220 = "", "", IFERROR(RDF220 / SUMIFS(Aux_Totales!$N:$N, Aux_Totales!$F:$F, $F224, Aux_Totales!$A:$A,#REF!), 0))</f>
        <v/>
      </c>
      <c r="RDG224" s="19" t="str">
        <f>IF(RDG220 = "", "", IFERROR(RDG220 / SUMIFS(Aux_Totales!$N:$N, Aux_Totales!$F:$F, $F224, Aux_Totales!$A:$A,#REF!), 0))</f>
        <v/>
      </c>
      <c r="RDH224" s="19" t="str">
        <f>IF(RDH220 = "", "", IFERROR(RDH220 / SUMIFS(Aux_Totales!$N:$N, Aux_Totales!$F:$F, $F224, Aux_Totales!$A:$A,#REF!), 0))</f>
        <v/>
      </c>
      <c r="RDI224" s="19" t="str">
        <f>IF(RDI220 = "", "", IFERROR(RDI220 / SUMIFS(Aux_Totales!$N:$N, Aux_Totales!$F:$F, $F224, Aux_Totales!$A:$A,#REF!), 0))</f>
        <v/>
      </c>
      <c r="RDJ224" s="19" t="str">
        <f>IF(RDJ220 = "", "", IFERROR(RDJ220 / SUMIFS(Aux_Totales!$N:$N, Aux_Totales!$F:$F, $F224, Aux_Totales!$A:$A,#REF!), 0))</f>
        <v/>
      </c>
      <c r="RDK224" s="19" t="str">
        <f>IF(RDK220 = "", "", IFERROR(RDK220 / SUMIFS(Aux_Totales!$N:$N, Aux_Totales!$F:$F, $F224, Aux_Totales!$A:$A,#REF!), 0))</f>
        <v/>
      </c>
      <c r="RDL224" s="19" t="str">
        <f>IF(RDL220 = "", "", IFERROR(RDL220 / SUMIFS(Aux_Totales!$N:$N, Aux_Totales!$F:$F, $F224, Aux_Totales!$A:$A,#REF!), 0))</f>
        <v/>
      </c>
      <c r="RDM224" s="19" t="str">
        <f>IF(RDM220 = "", "", IFERROR(RDM220 / SUMIFS(Aux_Totales!$N:$N, Aux_Totales!$F:$F, $F224, Aux_Totales!$A:$A,#REF!), 0))</f>
        <v/>
      </c>
      <c r="RDN224" s="19" t="str">
        <f>IF(RDN220 = "", "", IFERROR(RDN220 / SUMIFS(Aux_Totales!$N:$N, Aux_Totales!$F:$F, $F224, Aux_Totales!$A:$A,#REF!), 0))</f>
        <v/>
      </c>
      <c r="RDO224" s="19" t="str">
        <f>IF(RDO220 = "", "", IFERROR(RDO220 / SUMIFS(Aux_Totales!$N:$N, Aux_Totales!$F:$F, $F224, Aux_Totales!$A:$A,#REF!), 0))</f>
        <v/>
      </c>
      <c r="RDP224" s="19" t="str">
        <f>IF(RDP220 = "", "", IFERROR(RDP220 / SUMIFS(Aux_Totales!$N:$N, Aux_Totales!$F:$F, $F224, Aux_Totales!$A:$A,#REF!), 0))</f>
        <v/>
      </c>
      <c r="RDQ224" s="19" t="str">
        <f>IF(RDQ220 = "", "", IFERROR(RDQ220 / SUMIFS(Aux_Totales!$N:$N, Aux_Totales!$F:$F, $F224, Aux_Totales!$A:$A,#REF!), 0))</f>
        <v/>
      </c>
      <c r="RDR224" s="19" t="str">
        <f>IF(RDR220 = "", "", IFERROR(RDR220 / SUMIFS(Aux_Totales!$N:$N, Aux_Totales!$F:$F, $F224, Aux_Totales!$A:$A,#REF!), 0))</f>
        <v/>
      </c>
      <c r="RDS224" s="19" t="str">
        <f>IF(RDS220 = "", "", IFERROR(RDS220 / SUMIFS(Aux_Totales!$N:$N, Aux_Totales!$F:$F, $F224, Aux_Totales!$A:$A,#REF!), 0))</f>
        <v/>
      </c>
      <c r="RDT224" s="19" t="str">
        <f>IF(RDT220 = "", "", IFERROR(RDT220 / SUMIFS(Aux_Totales!$N:$N, Aux_Totales!$F:$F, $F224, Aux_Totales!$A:$A,#REF!), 0))</f>
        <v/>
      </c>
      <c r="RDU224" s="19" t="str">
        <f>IF(RDU220 = "", "", IFERROR(RDU220 / SUMIFS(Aux_Totales!$N:$N, Aux_Totales!$F:$F, $F224, Aux_Totales!$A:$A,#REF!), 0))</f>
        <v/>
      </c>
      <c r="RDV224" s="19" t="str">
        <f>IF(RDV220 = "", "", IFERROR(RDV220 / SUMIFS(Aux_Totales!$N:$N, Aux_Totales!$F:$F, $F224, Aux_Totales!$A:$A,#REF!), 0))</f>
        <v/>
      </c>
      <c r="RDW224" s="19" t="str">
        <f>IF(RDW220 = "", "", IFERROR(RDW220 / SUMIFS(Aux_Totales!$N:$N, Aux_Totales!$F:$F, $F224, Aux_Totales!$A:$A,#REF!), 0))</f>
        <v/>
      </c>
      <c r="RDX224" s="19" t="str">
        <f>IF(RDX220 = "", "", IFERROR(RDX220 / SUMIFS(Aux_Totales!$N:$N, Aux_Totales!$F:$F, $F224, Aux_Totales!$A:$A,#REF!), 0))</f>
        <v/>
      </c>
      <c r="RDY224" s="19" t="str">
        <f>IF(RDY220 = "", "", IFERROR(RDY220 / SUMIFS(Aux_Totales!$N:$N, Aux_Totales!$F:$F, $F224, Aux_Totales!$A:$A,#REF!), 0))</f>
        <v/>
      </c>
      <c r="RDZ224" s="19" t="str">
        <f>IF(RDZ220 = "", "", IFERROR(RDZ220 / SUMIFS(Aux_Totales!$N:$N, Aux_Totales!$F:$F, $F224, Aux_Totales!$A:$A,#REF!), 0))</f>
        <v/>
      </c>
      <c r="REA224" s="19" t="str">
        <f>IF(REA220 = "", "", IFERROR(REA220 / SUMIFS(Aux_Totales!$N:$N, Aux_Totales!$F:$F, $F224, Aux_Totales!$A:$A,#REF!), 0))</f>
        <v/>
      </c>
      <c r="REB224" s="19" t="str">
        <f>IF(REB220 = "", "", IFERROR(REB220 / SUMIFS(Aux_Totales!$N:$N, Aux_Totales!$F:$F, $F224, Aux_Totales!$A:$A,#REF!), 0))</f>
        <v/>
      </c>
      <c r="REC224" s="19" t="str">
        <f>IF(REC220 = "", "", IFERROR(REC220 / SUMIFS(Aux_Totales!$N:$N, Aux_Totales!$F:$F, $F224, Aux_Totales!$A:$A,#REF!), 0))</f>
        <v/>
      </c>
      <c r="RED224" s="19" t="str">
        <f>IF(RED220 = "", "", IFERROR(RED220 / SUMIFS(Aux_Totales!$N:$N, Aux_Totales!$F:$F, $F224, Aux_Totales!$A:$A,#REF!), 0))</f>
        <v/>
      </c>
      <c r="REE224" s="19" t="str">
        <f>IF(REE220 = "", "", IFERROR(REE220 / SUMIFS(Aux_Totales!$N:$N, Aux_Totales!$F:$F, $F224, Aux_Totales!$A:$A,#REF!), 0))</f>
        <v/>
      </c>
      <c r="REF224" s="19" t="str">
        <f>IF(REF220 = "", "", IFERROR(REF220 / SUMIFS(Aux_Totales!$N:$N, Aux_Totales!$F:$F, $F224, Aux_Totales!$A:$A,#REF!), 0))</f>
        <v/>
      </c>
      <c r="REG224" s="19" t="str">
        <f>IF(REG220 = "", "", IFERROR(REG220 / SUMIFS(Aux_Totales!$N:$N, Aux_Totales!$F:$F, $F224, Aux_Totales!$A:$A,#REF!), 0))</f>
        <v/>
      </c>
      <c r="REH224" s="19" t="str">
        <f>IF(REH220 = "", "", IFERROR(REH220 / SUMIFS(Aux_Totales!$N:$N, Aux_Totales!$F:$F, $F224, Aux_Totales!$A:$A,#REF!), 0))</f>
        <v/>
      </c>
      <c r="REI224" s="19" t="str">
        <f>IF(REI220 = "", "", IFERROR(REI220 / SUMIFS(Aux_Totales!$N:$N, Aux_Totales!$F:$F, $F224, Aux_Totales!$A:$A,#REF!), 0))</f>
        <v/>
      </c>
      <c r="REJ224" s="19" t="str">
        <f>IF(REJ220 = "", "", IFERROR(REJ220 / SUMIFS(Aux_Totales!$N:$N, Aux_Totales!$F:$F, $F224, Aux_Totales!$A:$A,#REF!), 0))</f>
        <v/>
      </c>
      <c r="REK224" s="19" t="str">
        <f>IF(REK220 = "", "", IFERROR(REK220 / SUMIFS(Aux_Totales!$N:$N, Aux_Totales!$F:$F, $F224, Aux_Totales!$A:$A,#REF!), 0))</f>
        <v/>
      </c>
      <c r="REL224" s="19" t="str">
        <f>IF(REL220 = "", "", IFERROR(REL220 / SUMIFS(Aux_Totales!$N:$N, Aux_Totales!$F:$F, $F224, Aux_Totales!$A:$A,#REF!), 0))</f>
        <v/>
      </c>
      <c r="REM224" s="19" t="str">
        <f>IF(REM220 = "", "", IFERROR(REM220 / SUMIFS(Aux_Totales!$N:$N, Aux_Totales!$F:$F, $F224, Aux_Totales!$A:$A,#REF!), 0))</f>
        <v/>
      </c>
      <c r="REN224" s="19" t="str">
        <f>IF(REN220 = "", "", IFERROR(REN220 / SUMIFS(Aux_Totales!$N:$N, Aux_Totales!$F:$F, $F224, Aux_Totales!$A:$A,#REF!), 0))</f>
        <v/>
      </c>
      <c r="REO224" s="19" t="str">
        <f>IF(REO220 = "", "", IFERROR(REO220 / SUMIFS(Aux_Totales!$N:$N, Aux_Totales!$F:$F, $F224, Aux_Totales!$A:$A,#REF!), 0))</f>
        <v/>
      </c>
      <c r="REP224" s="19" t="str">
        <f>IF(REP220 = "", "", IFERROR(REP220 / SUMIFS(Aux_Totales!$N:$N, Aux_Totales!$F:$F, $F224, Aux_Totales!$A:$A,#REF!), 0))</f>
        <v/>
      </c>
      <c r="REQ224" s="19" t="str">
        <f>IF(REQ220 = "", "", IFERROR(REQ220 / SUMIFS(Aux_Totales!$N:$N, Aux_Totales!$F:$F, $F224, Aux_Totales!$A:$A,#REF!), 0))</f>
        <v/>
      </c>
      <c r="RER224" s="19" t="str">
        <f>IF(RER220 = "", "", IFERROR(RER220 / SUMIFS(Aux_Totales!$N:$N, Aux_Totales!$F:$F, $F224, Aux_Totales!$A:$A,#REF!), 0))</f>
        <v/>
      </c>
      <c r="RES224" s="19" t="str">
        <f>IF(RES220 = "", "", IFERROR(RES220 / SUMIFS(Aux_Totales!$N:$N, Aux_Totales!$F:$F, $F224, Aux_Totales!$A:$A,#REF!), 0))</f>
        <v/>
      </c>
      <c r="RET224" s="19" t="str">
        <f>IF(RET220 = "", "", IFERROR(RET220 / SUMIFS(Aux_Totales!$N:$N, Aux_Totales!$F:$F, $F224, Aux_Totales!$A:$A,#REF!), 0))</f>
        <v/>
      </c>
      <c r="REU224" s="19" t="str">
        <f>IF(REU220 = "", "", IFERROR(REU220 / SUMIFS(Aux_Totales!$N:$N, Aux_Totales!$F:$F, $F224, Aux_Totales!$A:$A,#REF!), 0))</f>
        <v/>
      </c>
      <c r="REV224" s="19" t="str">
        <f>IF(REV220 = "", "", IFERROR(REV220 / SUMIFS(Aux_Totales!$N:$N, Aux_Totales!$F:$F, $F224, Aux_Totales!$A:$A,#REF!), 0))</f>
        <v/>
      </c>
      <c r="REW224" s="19" t="str">
        <f>IF(REW220 = "", "", IFERROR(REW220 / SUMIFS(Aux_Totales!$N:$N, Aux_Totales!$F:$F, $F224, Aux_Totales!$A:$A,#REF!), 0))</f>
        <v/>
      </c>
      <c r="REX224" s="19" t="str">
        <f>IF(REX220 = "", "", IFERROR(REX220 / SUMIFS(Aux_Totales!$N:$N, Aux_Totales!$F:$F, $F224, Aux_Totales!$A:$A,#REF!), 0))</f>
        <v/>
      </c>
      <c r="REY224" s="19" t="str">
        <f>IF(REY220 = "", "", IFERROR(REY220 / SUMIFS(Aux_Totales!$N:$N, Aux_Totales!$F:$F, $F224, Aux_Totales!$A:$A,#REF!), 0))</f>
        <v/>
      </c>
      <c r="REZ224" s="19" t="str">
        <f>IF(REZ220 = "", "", IFERROR(REZ220 / SUMIFS(Aux_Totales!$N:$N, Aux_Totales!$F:$F, $F224, Aux_Totales!$A:$A,#REF!), 0))</f>
        <v/>
      </c>
      <c r="RFA224" s="19" t="str">
        <f>IF(RFA220 = "", "", IFERROR(RFA220 / SUMIFS(Aux_Totales!$N:$N, Aux_Totales!$F:$F, $F224, Aux_Totales!$A:$A,#REF!), 0))</f>
        <v/>
      </c>
      <c r="RFB224" s="19" t="str">
        <f>IF(RFB220 = "", "", IFERROR(RFB220 / SUMIFS(Aux_Totales!$N:$N, Aux_Totales!$F:$F, $F224, Aux_Totales!$A:$A,#REF!), 0))</f>
        <v/>
      </c>
      <c r="RFC224" s="19" t="str">
        <f>IF(RFC220 = "", "", IFERROR(RFC220 / SUMIFS(Aux_Totales!$N:$N, Aux_Totales!$F:$F, $F224, Aux_Totales!$A:$A,#REF!), 0))</f>
        <v/>
      </c>
      <c r="RFD224" s="19" t="str">
        <f>IF(RFD220 = "", "", IFERROR(RFD220 / SUMIFS(Aux_Totales!$N:$N, Aux_Totales!$F:$F, $F224, Aux_Totales!$A:$A,#REF!), 0))</f>
        <v/>
      </c>
      <c r="RFE224" s="19" t="str">
        <f>IF(RFE220 = "", "", IFERROR(RFE220 / SUMIFS(Aux_Totales!$N:$N, Aux_Totales!$F:$F, $F224, Aux_Totales!$A:$A,#REF!), 0))</f>
        <v/>
      </c>
      <c r="RFF224" s="19" t="str">
        <f>IF(RFF220 = "", "", IFERROR(RFF220 / SUMIFS(Aux_Totales!$N:$N, Aux_Totales!$F:$F, $F224, Aux_Totales!$A:$A,#REF!), 0))</f>
        <v/>
      </c>
      <c r="RFG224" s="19" t="str">
        <f>IF(RFG220 = "", "", IFERROR(RFG220 / SUMIFS(Aux_Totales!$N:$N, Aux_Totales!$F:$F, $F224, Aux_Totales!$A:$A,#REF!), 0))</f>
        <v/>
      </c>
      <c r="RFH224" s="19" t="str">
        <f>IF(RFH220 = "", "", IFERROR(RFH220 / SUMIFS(Aux_Totales!$N:$N, Aux_Totales!$F:$F, $F224, Aux_Totales!$A:$A,#REF!), 0))</f>
        <v/>
      </c>
      <c r="RFI224" s="19" t="str">
        <f>IF(RFI220 = "", "", IFERROR(RFI220 / SUMIFS(Aux_Totales!$N:$N, Aux_Totales!$F:$F, $F224, Aux_Totales!$A:$A,#REF!), 0))</f>
        <v/>
      </c>
      <c r="RFJ224" s="19" t="str">
        <f>IF(RFJ220 = "", "", IFERROR(RFJ220 / SUMIFS(Aux_Totales!$N:$N, Aux_Totales!$F:$F, $F224, Aux_Totales!$A:$A,#REF!), 0))</f>
        <v/>
      </c>
      <c r="RFK224" s="19" t="str">
        <f>IF(RFK220 = "", "", IFERROR(RFK220 / SUMIFS(Aux_Totales!$N:$N, Aux_Totales!$F:$F, $F224, Aux_Totales!$A:$A,#REF!), 0))</f>
        <v/>
      </c>
      <c r="RFL224" s="19" t="str">
        <f>IF(RFL220 = "", "", IFERROR(RFL220 / SUMIFS(Aux_Totales!$N:$N, Aux_Totales!$F:$F, $F224, Aux_Totales!$A:$A,#REF!), 0))</f>
        <v/>
      </c>
      <c r="RFM224" s="19" t="str">
        <f>IF(RFM220 = "", "", IFERROR(RFM220 / SUMIFS(Aux_Totales!$N:$N, Aux_Totales!$F:$F, $F224, Aux_Totales!$A:$A,#REF!), 0))</f>
        <v/>
      </c>
      <c r="RFN224" s="19" t="str">
        <f>IF(RFN220 = "", "", IFERROR(RFN220 / SUMIFS(Aux_Totales!$N:$N, Aux_Totales!$F:$F, $F224, Aux_Totales!$A:$A,#REF!), 0))</f>
        <v/>
      </c>
      <c r="RFO224" s="19" t="str">
        <f>IF(RFO220 = "", "", IFERROR(RFO220 / SUMIFS(Aux_Totales!$N:$N, Aux_Totales!$F:$F, $F224, Aux_Totales!$A:$A,#REF!), 0))</f>
        <v/>
      </c>
      <c r="RFP224" s="19" t="str">
        <f>IF(RFP220 = "", "", IFERROR(RFP220 / SUMIFS(Aux_Totales!$N:$N, Aux_Totales!$F:$F, $F224, Aux_Totales!$A:$A,#REF!), 0))</f>
        <v/>
      </c>
      <c r="RFQ224" s="19" t="str">
        <f>IF(RFQ220 = "", "", IFERROR(RFQ220 / SUMIFS(Aux_Totales!$N:$N, Aux_Totales!$F:$F, $F224, Aux_Totales!$A:$A,#REF!), 0))</f>
        <v/>
      </c>
      <c r="RFR224" s="19" t="str">
        <f>IF(RFR220 = "", "", IFERROR(RFR220 / SUMIFS(Aux_Totales!$N:$N, Aux_Totales!$F:$F, $F224, Aux_Totales!$A:$A,#REF!), 0))</f>
        <v/>
      </c>
      <c r="RFS224" s="19" t="str">
        <f>IF(RFS220 = "", "", IFERROR(RFS220 / SUMIFS(Aux_Totales!$N:$N, Aux_Totales!$F:$F, $F224, Aux_Totales!$A:$A,#REF!), 0))</f>
        <v/>
      </c>
      <c r="RFT224" s="19" t="str">
        <f>IF(RFT220 = "", "", IFERROR(RFT220 / SUMIFS(Aux_Totales!$N:$N, Aux_Totales!$F:$F, $F224, Aux_Totales!$A:$A,#REF!), 0))</f>
        <v/>
      </c>
      <c r="RFU224" s="19" t="str">
        <f>IF(RFU220 = "", "", IFERROR(RFU220 / SUMIFS(Aux_Totales!$N:$N, Aux_Totales!$F:$F, $F224, Aux_Totales!$A:$A,#REF!), 0))</f>
        <v/>
      </c>
      <c r="RFV224" s="19" t="str">
        <f>IF(RFV220 = "", "", IFERROR(RFV220 / SUMIFS(Aux_Totales!$N:$N, Aux_Totales!$F:$F, $F224, Aux_Totales!$A:$A,#REF!), 0))</f>
        <v/>
      </c>
      <c r="RFW224" s="19" t="str">
        <f>IF(RFW220 = "", "", IFERROR(RFW220 / SUMIFS(Aux_Totales!$N:$N, Aux_Totales!$F:$F, $F224, Aux_Totales!$A:$A,#REF!), 0))</f>
        <v/>
      </c>
      <c r="RFX224" s="19" t="str">
        <f>IF(RFX220 = "", "", IFERROR(RFX220 / SUMIFS(Aux_Totales!$N:$N, Aux_Totales!$F:$F, $F224, Aux_Totales!$A:$A,#REF!), 0))</f>
        <v/>
      </c>
      <c r="RFY224" s="19" t="str">
        <f>IF(RFY220 = "", "", IFERROR(RFY220 / SUMIFS(Aux_Totales!$N:$N, Aux_Totales!$F:$F, $F224, Aux_Totales!$A:$A,#REF!), 0))</f>
        <v/>
      </c>
      <c r="RFZ224" s="19" t="str">
        <f>IF(RFZ220 = "", "", IFERROR(RFZ220 / SUMIFS(Aux_Totales!$N:$N, Aux_Totales!$F:$F, $F224, Aux_Totales!$A:$A,#REF!), 0))</f>
        <v/>
      </c>
      <c r="RGA224" s="19" t="str">
        <f>IF(RGA220 = "", "", IFERROR(RGA220 / SUMIFS(Aux_Totales!$N:$N, Aux_Totales!$F:$F, $F224, Aux_Totales!$A:$A,#REF!), 0))</f>
        <v/>
      </c>
      <c r="RGB224" s="19" t="str">
        <f>IF(RGB220 = "", "", IFERROR(RGB220 / SUMIFS(Aux_Totales!$N:$N, Aux_Totales!$F:$F, $F224, Aux_Totales!$A:$A,#REF!), 0))</f>
        <v/>
      </c>
      <c r="RGC224" s="19" t="str">
        <f>IF(RGC220 = "", "", IFERROR(RGC220 / SUMIFS(Aux_Totales!$N:$N, Aux_Totales!$F:$F, $F224, Aux_Totales!$A:$A,#REF!), 0))</f>
        <v/>
      </c>
      <c r="RGD224" s="19" t="str">
        <f>IF(RGD220 = "", "", IFERROR(RGD220 / SUMIFS(Aux_Totales!$N:$N, Aux_Totales!$F:$F, $F224, Aux_Totales!$A:$A,#REF!), 0))</f>
        <v/>
      </c>
      <c r="RGE224" s="19" t="str">
        <f>IF(RGE220 = "", "", IFERROR(RGE220 / SUMIFS(Aux_Totales!$N:$N, Aux_Totales!$F:$F, $F224, Aux_Totales!$A:$A,#REF!), 0))</f>
        <v/>
      </c>
      <c r="RGF224" s="19" t="str">
        <f>IF(RGF220 = "", "", IFERROR(RGF220 / SUMIFS(Aux_Totales!$N:$N, Aux_Totales!$F:$F, $F224, Aux_Totales!$A:$A,#REF!), 0))</f>
        <v/>
      </c>
      <c r="RGG224" s="19" t="str">
        <f>IF(RGG220 = "", "", IFERROR(RGG220 / SUMIFS(Aux_Totales!$N:$N, Aux_Totales!$F:$F, $F224, Aux_Totales!$A:$A,#REF!), 0))</f>
        <v/>
      </c>
      <c r="RGH224" s="19" t="str">
        <f>IF(RGH220 = "", "", IFERROR(RGH220 / SUMIFS(Aux_Totales!$N:$N, Aux_Totales!$F:$F, $F224, Aux_Totales!$A:$A,#REF!), 0))</f>
        <v/>
      </c>
      <c r="RGI224" s="19" t="str">
        <f>IF(RGI220 = "", "", IFERROR(RGI220 / SUMIFS(Aux_Totales!$N:$N, Aux_Totales!$F:$F, $F224, Aux_Totales!$A:$A,#REF!), 0))</f>
        <v/>
      </c>
      <c r="RGJ224" s="19" t="str">
        <f>IF(RGJ220 = "", "", IFERROR(RGJ220 / SUMIFS(Aux_Totales!$N:$N, Aux_Totales!$F:$F, $F224, Aux_Totales!$A:$A,#REF!), 0))</f>
        <v/>
      </c>
      <c r="RGK224" s="19" t="str">
        <f>IF(RGK220 = "", "", IFERROR(RGK220 / SUMIFS(Aux_Totales!$N:$N, Aux_Totales!$F:$F, $F224, Aux_Totales!$A:$A,#REF!), 0))</f>
        <v/>
      </c>
      <c r="RGL224" s="19" t="str">
        <f>IF(RGL220 = "", "", IFERROR(RGL220 / SUMIFS(Aux_Totales!$N:$N, Aux_Totales!$F:$F, $F224, Aux_Totales!$A:$A,#REF!), 0))</f>
        <v/>
      </c>
      <c r="RGM224" s="19" t="str">
        <f>IF(RGM220 = "", "", IFERROR(RGM220 / SUMIFS(Aux_Totales!$N:$N, Aux_Totales!$F:$F, $F224, Aux_Totales!$A:$A,#REF!), 0))</f>
        <v/>
      </c>
      <c r="RGN224" s="19" t="str">
        <f>IF(RGN220 = "", "", IFERROR(RGN220 / SUMIFS(Aux_Totales!$N:$N, Aux_Totales!$F:$F, $F224, Aux_Totales!$A:$A,#REF!), 0))</f>
        <v/>
      </c>
      <c r="RGO224" s="19" t="str">
        <f>IF(RGO220 = "", "", IFERROR(RGO220 / SUMIFS(Aux_Totales!$N:$N, Aux_Totales!$F:$F, $F224, Aux_Totales!$A:$A,#REF!), 0))</f>
        <v/>
      </c>
      <c r="RGP224" s="19" t="str">
        <f>IF(RGP220 = "", "", IFERROR(RGP220 / SUMIFS(Aux_Totales!$N:$N, Aux_Totales!$F:$F, $F224, Aux_Totales!$A:$A,#REF!), 0))</f>
        <v/>
      </c>
      <c r="RGQ224" s="19" t="str">
        <f>IF(RGQ220 = "", "", IFERROR(RGQ220 / SUMIFS(Aux_Totales!$N:$N, Aux_Totales!$F:$F, $F224, Aux_Totales!$A:$A,#REF!), 0))</f>
        <v/>
      </c>
      <c r="RGR224" s="19" t="str">
        <f>IF(RGR220 = "", "", IFERROR(RGR220 / SUMIFS(Aux_Totales!$N:$N, Aux_Totales!$F:$F, $F224, Aux_Totales!$A:$A,#REF!), 0))</f>
        <v/>
      </c>
      <c r="RGS224" s="19" t="str">
        <f>IF(RGS220 = "", "", IFERROR(RGS220 / SUMIFS(Aux_Totales!$N:$N, Aux_Totales!$F:$F, $F224, Aux_Totales!$A:$A,#REF!), 0))</f>
        <v/>
      </c>
      <c r="RGT224" s="19" t="str">
        <f>IF(RGT220 = "", "", IFERROR(RGT220 / SUMIFS(Aux_Totales!$N:$N, Aux_Totales!$F:$F, $F224, Aux_Totales!$A:$A,#REF!), 0))</f>
        <v/>
      </c>
      <c r="RGU224" s="19" t="str">
        <f>IF(RGU220 = "", "", IFERROR(RGU220 / SUMIFS(Aux_Totales!$N:$N, Aux_Totales!$F:$F, $F224, Aux_Totales!$A:$A,#REF!), 0))</f>
        <v/>
      </c>
      <c r="RGV224" s="19" t="str">
        <f>IF(RGV220 = "", "", IFERROR(RGV220 / SUMIFS(Aux_Totales!$N:$N, Aux_Totales!$F:$F, $F224, Aux_Totales!$A:$A,#REF!), 0))</f>
        <v/>
      </c>
      <c r="RGW224" s="19" t="str">
        <f>IF(RGW220 = "", "", IFERROR(RGW220 / SUMIFS(Aux_Totales!$N:$N, Aux_Totales!$F:$F, $F224, Aux_Totales!$A:$A,#REF!), 0))</f>
        <v/>
      </c>
      <c r="RGX224" s="19" t="str">
        <f>IF(RGX220 = "", "", IFERROR(RGX220 / SUMIFS(Aux_Totales!$N:$N, Aux_Totales!$F:$F, $F224, Aux_Totales!$A:$A,#REF!), 0))</f>
        <v/>
      </c>
      <c r="RGY224" s="19" t="str">
        <f>IF(RGY220 = "", "", IFERROR(RGY220 / SUMIFS(Aux_Totales!$N:$N, Aux_Totales!$F:$F, $F224, Aux_Totales!$A:$A,#REF!), 0))</f>
        <v/>
      </c>
      <c r="RGZ224" s="19" t="str">
        <f>IF(RGZ220 = "", "", IFERROR(RGZ220 / SUMIFS(Aux_Totales!$N:$N, Aux_Totales!$F:$F, $F224, Aux_Totales!$A:$A,#REF!), 0))</f>
        <v/>
      </c>
      <c r="RHA224" s="19" t="str">
        <f>IF(RHA220 = "", "", IFERROR(RHA220 / SUMIFS(Aux_Totales!$N:$N, Aux_Totales!$F:$F, $F224, Aux_Totales!$A:$A,#REF!), 0))</f>
        <v/>
      </c>
      <c r="RHB224" s="19" t="str">
        <f>IF(RHB220 = "", "", IFERROR(RHB220 / SUMIFS(Aux_Totales!$N:$N, Aux_Totales!$F:$F, $F224, Aux_Totales!$A:$A,#REF!), 0))</f>
        <v/>
      </c>
      <c r="RHC224" s="19" t="str">
        <f>IF(RHC220 = "", "", IFERROR(RHC220 / SUMIFS(Aux_Totales!$N:$N, Aux_Totales!$F:$F, $F224, Aux_Totales!$A:$A,#REF!), 0))</f>
        <v/>
      </c>
      <c r="RHD224" s="19" t="str">
        <f>IF(RHD220 = "", "", IFERROR(RHD220 / SUMIFS(Aux_Totales!$N:$N, Aux_Totales!$F:$F, $F224, Aux_Totales!$A:$A,#REF!), 0))</f>
        <v/>
      </c>
      <c r="RHE224" s="19" t="str">
        <f>IF(RHE220 = "", "", IFERROR(RHE220 / SUMIFS(Aux_Totales!$N:$N, Aux_Totales!$F:$F, $F224, Aux_Totales!$A:$A,#REF!), 0))</f>
        <v/>
      </c>
      <c r="RHF224" s="19" t="str">
        <f>IF(RHF220 = "", "", IFERROR(RHF220 / SUMIFS(Aux_Totales!$N:$N, Aux_Totales!$F:$F, $F224, Aux_Totales!$A:$A,#REF!), 0))</f>
        <v/>
      </c>
      <c r="RHG224" s="19" t="str">
        <f>IF(RHG220 = "", "", IFERROR(RHG220 / SUMIFS(Aux_Totales!$N:$N, Aux_Totales!$F:$F, $F224, Aux_Totales!$A:$A,#REF!), 0))</f>
        <v/>
      </c>
      <c r="RHH224" s="19" t="str">
        <f>IF(RHH220 = "", "", IFERROR(RHH220 / SUMIFS(Aux_Totales!$N:$N, Aux_Totales!$F:$F, $F224, Aux_Totales!$A:$A,#REF!), 0))</f>
        <v/>
      </c>
      <c r="RHI224" s="19" t="str">
        <f>IF(RHI220 = "", "", IFERROR(RHI220 / SUMIFS(Aux_Totales!$N:$N, Aux_Totales!$F:$F, $F224, Aux_Totales!$A:$A,#REF!), 0))</f>
        <v/>
      </c>
      <c r="RHJ224" s="19" t="str">
        <f>IF(RHJ220 = "", "", IFERROR(RHJ220 / SUMIFS(Aux_Totales!$N:$N, Aux_Totales!$F:$F, $F224, Aux_Totales!$A:$A,#REF!), 0))</f>
        <v/>
      </c>
      <c r="RHK224" s="19" t="str">
        <f>IF(RHK220 = "", "", IFERROR(RHK220 / SUMIFS(Aux_Totales!$N:$N, Aux_Totales!$F:$F, $F224, Aux_Totales!$A:$A,#REF!), 0))</f>
        <v/>
      </c>
      <c r="RHL224" s="19" t="str">
        <f>IF(RHL220 = "", "", IFERROR(RHL220 / SUMIFS(Aux_Totales!$N:$N, Aux_Totales!$F:$F, $F224, Aux_Totales!$A:$A,#REF!), 0))</f>
        <v/>
      </c>
      <c r="RHM224" s="19" t="str">
        <f>IF(RHM220 = "", "", IFERROR(RHM220 / SUMIFS(Aux_Totales!$N:$N, Aux_Totales!$F:$F, $F224, Aux_Totales!$A:$A,#REF!), 0))</f>
        <v/>
      </c>
      <c r="RHN224" s="19" t="str">
        <f>IF(RHN220 = "", "", IFERROR(RHN220 / SUMIFS(Aux_Totales!$N:$N, Aux_Totales!$F:$F, $F224, Aux_Totales!$A:$A,#REF!), 0))</f>
        <v/>
      </c>
      <c r="RHO224" s="19" t="str">
        <f>IF(RHO220 = "", "", IFERROR(RHO220 / SUMIFS(Aux_Totales!$N:$N, Aux_Totales!$F:$F, $F224, Aux_Totales!$A:$A,#REF!), 0))</f>
        <v/>
      </c>
      <c r="RHP224" s="19" t="str">
        <f>IF(RHP220 = "", "", IFERROR(RHP220 / SUMIFS(Aux_Totales!$N:$N, Aux_Totales!$F:$F, $F224, Aux_Totales!$A:$A,#REF!), 0))</f>
        <v/>
      </c>
      <c r="RHQ224" s="19" t="str">
        <f>IF(RHQ220 = "", "", IFERROR(RHQ220 / SUMIFS(Aux_Totales!$N:$N, Aux_Totales!$F:$F, $F224, Aux_Totales!$A:$A,#REF!), 0))</f>
        <v/>
      </c>
      <c r="RHR224" s="19" t="str">
        <f>IF(RHR220 = "", "", IFERROR(RHR220 / SUMIFS(Aux_Totales!$N:$N, Aux_Totales!$F:$F, $F224, Aux_Totales!$A:$A,#REF!), 0))</f>
        <v/>
      </c>
      <c r="RHS224" s="19" t="str">
        <f>IF(RHS220 = "", "", IFERROR(RHS220 / SUMIFS(Aux_Totales!$N:$N, Aux_Totales!$F:$F, $F224, Aux_Totales!$A:$A,#REF!), 0))</f>
        <v/>
      </c>
      <c r="RHT224" s="19" t="str">
        <f>IF(RHT220 = "", "", IFERROR(RHT220 / SUMIFS(Aux_Totales!$N:$N, Aux_Totales!$F:$F, $F224, Aux_Totales!$A:$A,#REF!), 0))</f>
        <v/>
      </c>
      <c r="RHU224" s="19" t="str">
        <f>IF(RHU220 = "", "", IFERROR(RHU220 / SUMIFS(Aux_Totales!$N:$N, Aux_Totales!$F:$F, $F224, Aux_Totales!$A:$A,#REF!), 0))</f>
        <v/>
      </c>
      <c r="RHV224" s="19" t="str">
        <f>IF(RHV220 = "", "", IFERROR(RHV220 / SUMIFS(Aux_Totales!$N:$N, Aux_Totales!$F:$F, $F224, Aux_Totales!$A:$A,#REF!), 0))</f>
        <v/>
      </c>
      <c r="RHW224" s="19" t="str">
        <f>IF(RHW220 = "", "", IFERROR(RHW220 / SUMIFS(Aux_Totales!$N:$N, Aux_Totales!$F:$F, $F224, Aux_Totales!$A:$A,#REF!), 0))</f>
        <v/>
      </c>
      <c r="RHX224" s="19" t="str">
        <f>IF(RHX220 = "", "", IFERROR(RHX220 / SUMIFS(Aux_Totales!$N:$N, Aux_Totales!$F:$F, $F224, Aux_Totales!$A:$A,#REF!), 0))</f>
        <v/>
      </c>
      <c r="RHY224" s="19" t="str">
        <f>IF(RHY220 = "", "", IFERROR(RHY220 / SUMIFS(Aux_Totales!$N:$N, Aux_Totales!$F:$F, $F224, Aux_Totales!$A:$A,#REF!), 0))</f>
        <v/>
      </c>
      <c r="RHZ224" s="19" t="str">
        <f>IF(RHZ220 = "", "", IFERROR(RHZ220 / SUMIFS(Aux_Totales!$N:$N, Aux_Totales!$F:$F, $F224, Aux_Totales!$A:$A,#REF!), 0))</f>
        <v/>
      </c>
      <c r="RIA224" s="19" t="str">
        <f>IF(RIA220 = "", "", IFERROR(RIA220 / SUMIFS(Aux_Totales!$N:$N, Aux_Totales!$F:$F, $F224, Aux_Totales!$A:$A,#REF!), 0))</f>
        <v/>
      </c>
      <c r="RIB224" s="19" t="str">
        <f>IF(RIB220 = "", "", IFERROR(RIB220 / SUMIFS(Aux_Totales!$N:$N, Aux_Totales!$F:$F, $F224, Aux_Totales!$A:$A,#REF!), 0))</f>
        <v/>
      </c>
      <c r="RIC224" s="19" t="str">
        <f>IF(RIC220 = "", "", IFERROR(RIC220 / SUMIFS(Aux_Totales!$N:$N, Aux_Totales!$F:$F, $F224, Aux_Totales!$A:$A,#REF!), 0))</f>
        <v/>
      </c>
      <c r="RID224" s="19" t="str">
        <f>IF(RID220 = "", "", IFERROR(RID220 / SUMIFS(Aux_Totales!$N:$N, Aux_Totales!$F:$F, $F224, Aux_Totales!$A:$A,#REF!), 0))</f>
        <v/>
      </c>
      <c r="RIE224" s="19" t="str">
        <f>IF(RIE220 = "", "", IFERROR(RIE220 / SUMIFS(Aux_Totales!$N:$N, Aux_Totales!$F:$F, $F224, Aux_Totales!$A:$A,#REF!), 0))</f>
        <v/>
      </c>
      <c r="RIF224" s="19" t="str">
        <f>IF(RIF220 = "", "", IFERROR(RIF220 / SUMIFS(Aux_Totales!$N:$N, Aux_Totales!$F:$F, $F224, Aux_Totales!$A:$A,#REF!), 0))</f>
        <v/>
      </c>
      <c r="RIG224" s="19" t="str">
        <f>IF(RIG220 = "", "", IFERROR(RIG220 / SUMIFS(Aux_Totales!$N:$N, Aux_Totales!$F:$F, $F224, Aux_Totales!$A:$A,#REF!), 0))</f>
        <v/>
      </c>
      <c r="RIH224" s="19" t="str">
        <f>IF(RIH220 = "", "", IFERROR(RIH220 / SUMIFS(Aux_Totales!$N:$N, Aux_Totales!$F:$F, $F224, Aux_Totales!$A:$A,#REF!), 0))</f>
        <v/>
      </c>
      <c r="RII224" s="19" t="str">
        <f>IF(RII220 = "", "", IFERROR(RII220 / SUMIFS(Aux_Totales!$N:$N, Aux_Totales!$F:$F, $F224, Aux_Totales!$A:$A,#REF!), 0))</f>
        <v/>
      </c>
      <c r="RIJ224" s="19" t="str">
        <f>IF(RIJ220 = "", "", IFERROR(RIJ220 / SUMIFS(Aux_Totales!$N:$N, Aux_Totales!$F:$F, $F224, Aux_Totales!$A:$A,#REF!), 0))</f>
        <v/>
      </c>
      <c r="RIK224" s="19" t="str">
        <f>IF(RIK220 = "", "", IFERROR(RIK220 / SUMIFS(Aux_Totales!$N:$N, Aux_Totales!$F:$F, $F224, Aux_Totales!$A:$A,#REF!), 0))</f>
        <v/>
      </c>
      <c r="RIL224" s="19" t="str">
        <f>IF(RIL220 = "", "", IFERROR(RIL220 / SUMIFS(Aux_Totales!$N:$N, Aux_Totales!$F:$F, $F224, Aux_Totales!$A:$A,#REF!), 0))</f>
        <v/>
      </c>
      <c r="RIM224" s="19" t="str">
        <f>IF(RIM220 = "", "", IFERROR(RIM220 / SUMIFS(Aux_Totales!$N:$N, Aux_Totales!$F:$F, $F224, Aux_Totales!$A:$A,#REF!), 0))</f>
        <v/>
      </c>
      <c r="RIN224" s="19" t="str">
        <f>IF(RIN220 = "", "", IFERROR(RIN220 / SUMIFS(Aux_Totales!$N:$N, Aux_Totales!$F:$F, $F224, Aux_Totales!$A:$A,#REF!), 0))</f>
        <v/>
      </c>
      <c r="RIO224" s="19" t="str">
        <f>IF(RIO220 = "", "", IFERROR(RIO220 / SUMIFS(Aux_Totales!$N:$N, Aux_Totales!$F:$F, $F224, Aux_Totales!$A:$A,#REF!), 0))</f>
        <v/>
      </c>
      <c r="RIP224" s="19" t="str">
        <f>IF(RIP220 = "", "", IFERROR(RIP220 / SUMIFS(Aux_Totales!$N:$N, Aux_Totales!$F:$F, $F224, Aux_Totales!$A:$A,#REF!), 0))</f>
        <v/>
      </c>
      <c r="RIQ224" s="19" t="str">
        <f>IF(RIQ220 = "", "", IFERROR(RIQ220 / SUMIFS(Aux_Totales!$N:$N, Aux_Totales!$F:$F, $F224, Aux_Totales!$A:$A,#REF!), 0))</f>
        <v/>
      </c>
      <c r="RIR224" s="19" t="str">
        <f>IF(RIR220 = "", "", IFERROR(RIR220 / SUMIFS(Aux_Totales!$N:$N, Aux_Totales!$F:$F, $F224, Aux_Totales!$A:$A,#REF!), 0))</f>
        <v/>
      </c>
      <c r="RIS224" s="19" t="str">
        <f>IF(RIS220 = "", "", IFERROR(RIS220 / SUMIFS(Aux_Totales!$N:$N, Aux_Totales!$F:$F, $F224, Aux_Totales!$A:$A,#REF!), 0))</f>
        <v/>
      </c>
      <c r="RIT224" s="19" t="str">
        <f>IF(RIT220 = "", "", IFERROR(RIT220 / SUMIFS(Aux_Totales!$N:$N, Aux_Totales!$F:$F, $F224, Aux_Totales!$A:$A,#REF!), 0))</f>
        <v/>
      </c>
      <c r="RIU224" s="19" t="str">
        <f>IF(RIU220 = "", "", IFERROR(RIU220 / SUMIFS(Aux_Totales!$N:$N, Aux_Totales!$F:$F, $F224, Aux_Totales!$A:$A,#REF!), 0))</f>
        <v/>
      </c>
      <c r="RIV224" s="19" t="str">
        <f>IF(RIV220 = "", "", IFERROR(RIV220 / SUMIFS(Aux_Totales!$N:$N, Aux_Totales!$F:$F, $F224, Aux_Totales!$A:$A,#REF!), 0))</f>
        <v/>
      </c>
      <c r="RIW224" s="19" t="str">
        <f>IF(RIW220 = "", "", IFERROR(RIW220 / SUMIFS(Aux_Totales!$N:$N, Aux_Totales!$F:$F, $F224, Aux_Totales!$A:$A,#REF!), 0))</f>
        <v/>
      </c>
      <c r="RIX224" s="19" t="str">
        <f>IF(RIX220 = "", "", IFERROR(RIX220 / SUMIFS(Aux_Totales!$N:$N, Aux_Totales!$F:$F, $F224, Aux_Totales!$A:$A,#REF!), 0))</f>
        <v/>
      </c>
      <c r="RIY224" s="19" t="str">
        <f>IF(RIY220 = "", "", IFERROR(RIY220 / SUMIFS(Aux_Totales!$N:$N, Aux_Totales!$F:$F, $F224, Aux_Totales!$A:$A,#REF!), 0))</f>
        <v/>
      </c>
      <c r="RIZ224" s="19" t="str">
        <f>IF(RIZ220 = "", "", IFERROR(RIZ220 / SUMIFS(Aux_Totales!$N:$N, Aux_Totales!$F:$F, $F224, Aux_Totales!$A:$A,#REF!), 0))</f>
        <v/>
      </c>
      <c r="RJA224" s="19" t="str">
        <f>IF(RJA220 = "", "", IFERROR(RJA220 / SUMIFS(Aux_Totales!$N:$N, Aux_Totales!$F:$F, $F224, Aux_Totales!$A:$A,#REF!), 0))</f>
        <v/>
      </c>
      <c r="RJB224" s="19" t="str">
        <f>IF(RJB220 = "", "", IFERROR(RJB220 / SUMIFS(Aux_Totales!$N:$N, Aux_Totales!$F:$F, $F224, Aux_Totales!$A:$A,#REF!), 0))</f>
        <v/>
      </c>
      <c r="RJC224" s="19" t="str">
        <f>IF(RJC220 = "", "", IFERROR(RJC220 / SUMIFS(Aux_Totales!$N:$N, Aux_Totales!$F:$F, $F224, Aux_Totales!$A:$A,#REF!), 0))</f>
        <v/>
      </c>
      <c r="RJD224" s="19" t="str">
        <f>IF(RJD220 = "", "", IFERROR(RJD220 / SUMIFS(Aux_Totales!$N:$N, Aux_Totales!$F:$F, $F224, Aux_Totales!$A:$A,#REF!), 0))</f>
        <v/>
      </c>
      <c r="RJE224" s="19" t="str">
        <f>IF(RJE220 = "", "", IFERROR(RJE220 / SUMIFS(Aux_Totales!$N:$N, Aux_Totales!$F:$F, $F224, Aux_Totales!$A:$A,#REF!), 0))</f>
        <v/>
      </c>
      <c r="RJF224" s="19" t="str">
        <f>IF(RJF220 = "", "", IFERROR(RJF220 / SUMIFS(Aux_Totales!$N:$N, Aux_Totales!$F:$F, $F224, Aux_Totales!$A:$A,#REF!), 0))</f>
        <v/>
      </c>
      <c r="RJG224" s="19" t="str">
        <f>IF(RJG220 = "", "", IFERROR(RJG220 / SUMIFS(Aux_Totales!$N:$N, Aux_Totales!$F:$F, $F224, Aux_Totales!$A:$A,#REF!), 0))</f>
        <v/>
      </c>
      <c r="RJH224" s="19" t="str">
        <f>IF(RJH220 = "", "", IFERROR(RJH220 / SUMIFS(Aux_Totales!$N:$N, Aux_Totales!$F:$F, $F224, Aux_Totales!$A:$A,#REF!), 0))</f>
        <v/>
      </c>
      <c r="RJI224" s="19" t="str">
        <f>IF(RJI220 = "", "", IFERROR(RJI220 / SUMIFS(Aux_Totales!$N:$N, Aux_Totales!$F:$F, $F224, Aux_Totales!$A:$A,#REF!), 0))</f>
        <v/>
      </c>
      <c r="RJJ224" s="19" t="str">
        <f>IF(RJJ220 = "", "", IFERROR(RJJ220 / SUMIFS(Aux_Totales!$N:$N, Aux_Totales!$F:$F, $F224, Aux_Totales!$A:$A,#REF!), 0))</f>
        <v/>
      </c>
      <c r="RJK224" s="19" t="str">
        <f>IF(RJK220 = "", "", IFERROR(RJK220 / SUMIFS(Aux_Totales!$N:$N, Aux_Totales!$F:$F, $F224, Aux_Totales!$A:$A,#REF!), 0))</f>
        <v/>
      </c>
      <c r="RJL224" s="19" t="str">
        <f>IF(RJL220 = "", "", IFERROR(RJL220 / SUMIFS(Aux_Totales!$N:$N, Aux_Totales!$F:$F, $F224, Aux_Totales!$A:$A,#REF!), 0))</f>
        <v/>
      </c>
      <c r="RJM224" s="19" t="str">
        <f>IF(RJM220 = "", "", IFERROR(RJM220 / SUMIFS(Aux_Totales!$N:$N, Aux_Totales!$F:$F, $F224, Aux_Totales!$A:$A,#REF!), 0))</f>
        <v/>
      </c>
      <c r="RJN224" s="19" t="str">
        <f>IF(RJN220 = "", "", IFERROR(RJN220 / SUMIFS(Aux_Totales!$N:$N, Aux_Totales!$F:$F, $F224, Aux_Totales!$A:$A,#REF!), 0))</f>
        <v/>
      </c>
      <c r="RJO224" s="19" t="str">
        <f>IF(RJO220 = "", "", IFERROR(RJO220 / SUMIFS(Aux_Totales!$N:$N, Aux_Totales!$F:$F, $F224, Aux_Totales!$A:$A,#REF!), 0))</f>
        <v/>
      </c>
      <c r="RJP224" s="19" t="str">
        <f>IF(RJP220 = "", "", IFERROR(RJP220 / SUMIFS(Aux_Totales!$N:$N, Aux_Totales!$F:$F, $F224, Aux_Totales!$A:$A,#REF!), 0))</f>
        <v/>
      </c>
      <c r="RJQ224" s="19" t="str">
        <f>IF(RJQ220 = "", "", IFERROR(RJQ220 / SUMIFS(Aux_Totales!$N:$N, Aux_Totales!$F:$F, $F224, Aux_Totales!$A:$A,#REF!), 0))</f>
        <v/>
      </c>
      <c r="RJR224" s="19" t="str">
        <f>IF(RJR220 = "", "", IFERROR(RJR220 / SUMIFS(Aux_Totales!$N:$N, Aux_Totales!$F:$F, $F224, Aux_Totales!$A:$A,#REF!), 0))</f>
        <v/>
      </c>
      <c r="RJS224" s="19" t="str">
        <f>IF(RJS220 = "", "", IFERROR(RJS220 / SUMIFS(Aux_Totales!$N:$N, Aux_Totales!$F:$F, $F224, Aux_Totales!$A:$A,#REF!), 0))</f>
        <v/>
      </c>
      <c r="RJT224" s="19" t="str">
        <f>IF(RJT220 = "", "", IFERROR(RJT220 / SUMIFS(Aux_Totales!$N:$N, Aux_Totales!$F:$F, $F224, Aux_Totales!$A:$A,#REF!), 0))</f>
        <v/>
      </c>
      <c r="RJU224" s="19" t="str">
        <f>IF(RJU220 = "", "", IFERROR(RJU220 / SUMIFS(Aux_Totales!$N:$N, Aux_Totales!$F:$F, $F224, Aux_Totales!$A:$A,#REF!), 0))</f>
        <v/>
      </c>
      <c r="RJV224" s="19" t="str">
        <f>IF(RJV220 = "", "", IFERROR(RJV220 / SUMIFS(Aux_Totales!$N:$N, Aux_Totales!$F:$F, $F224, Aux_Totales!$A:$A,#REF!), 0))</f>
        <v/>
      </c>
      <c r="RJW224" s="19" t="str">
        <f>IF(RJW220 = "", "", IFERROR(RJW220 / SUMIFS(Aux_Totales!$N:$N, Aux_Totales!$F:$F, $F224, Aux_Totales!$A:$A,#REF!), 0))</f>
        <v/>
      </c>
      <c r="RJX224" s="19" t="str">
        <f>IF(RJX220 = "", "", IFERROR(RJX220 / SUMIFS(Aux_Totales!$N:$N, Aux_Totales!$F:$F, $F224, Aux_Totales!$A:$A,#REF!), 0))</f>
        <v/>
      </c>
      <c r="RJY224" s="19" t="str">
        <f>IF(RJY220 = "", "", IFERROR(RJY220 / SUMIFS(Aux_Totales!$N:$N, Aux_Totales!$F:$F, $F224, Aux_Totales!$A:$A,#REF!), 0))</f>
        <v/>
      </c>
      <c r="RJZ224" s="19" t="str">
        <f>IF(RJZ220 = "", "", IFERROR(RJZ220 / SUMIFS(Aux_Totales!$N:$N, Aux_Totales!$F:$F, $F224, Aux_Totales!$A:$A,#REF!), 0))</f>
        <v/>
      </c>
      <c r="RKA224" s="19" t="str">
        <f>IF(RKA220 = "", "", IFERROR(RKA220 / SUMIFS(Aux_Totales!$N:$N, Aux_Totales!$F:$F, $F224, Aux_Totales!$A:$A,#REF!), 0))</f>
        <v/>
      </c>
      <c r="RKB224" s="19" t="str">
        <f>IF(RKB220 = "", "", IFERROR(RKB220 / SUMIFS(Aux_Totales!$N:$N, Aux_Totales!$F:$F, $F224, Aux_Totales!$A:$A,#REF!), 0))</f>
        <v/>
      </c>
      <c r="RKC224" s="19" t="str">
        <f>IF(RKC220 = "", "", IFERROR(RKC220 / SUMIFS(Aux_Totales!$N:$N, Aux_Totales!$F:$F, $F224, Aux_Totales!$A:$A,#REF!), 0))</f>
        <v/>
      </c>
      <c r="RKD224" s="19" t="str">
        <f>IF(RKD220 = "", "", IFERROR(RKD220 / SUMIFS(Aux_Totales!$N:$N, Aux_Totales!$F:$F, $F224, Aux_Totales!$A:$A,#REF!), 0))</f>
        <v/>
      </c>
      <c r="RKE224" s="19" t="str">
        <f>IF(RKE220 = "", "", IFERROR(RKE220 / SUMIFS(Aux_Totales!$N:$N, Aux_Totales!$F:$F, $F224, Aux_Totales!$A:$A,#REF!), 0))</f>
        <v/>
      </c>
      <c r="RKF224" s="19" t="str">
        <f>IF(RKF220 = "", "", IFERROR(RKF220 / SUMIFS(Aux_Totales!$N:$N, Aux_Totales!$F:$F, $F224, Aux_Totales!$A:$A,#REF!), 0))</f>
        <v/>
      </c>
      <c r="RKG224" s="19" t="str">
        <f>IF(RKG220 = "", "", IFERROR(RKG220 / SUMIFS(Aux_Totales!$N:$N, Aux_Totales!$F:$F, $F224, Aux_Totales!$A:$A,#REF!), 0))</f>
        <v/>
      </c>
      <c r="RKH224" s="19" t="str">
        <f>IF(RKH220 = "", "", IFERROR(RKH220 / SUMIFS(Aux_Totales!$N:$N, Aux_Totales!$F:$F, $F224, Aux_Totales!$A:$A,#REF!), 0))</f>
        <v/>
      </c>
      <c r="RKI224" s="19" t="str">
        <f>IF(RKI220 = "", "", IFERROR(RKI220 / SUMIFS(Aux_Totales!$N:$N, Aux_Totales!$F:$F, $F224, Aux_Totales!$A:$A,#REF!), 0))</f>
        <v/>
      </c>
      <c r="RKJ224" s="19" t="str">
        <f>IF(RKJ220 = "", "", IFERROR(RKJ220 / SUMIFS(Aux_Totales!$N:$N, Aux_Totales!$F:$F, $F224, Aux_Totales!$A:$A,#REF!), 0))</f>
        <v/>
      </c>
      <c r="RKK224" s="19" t="str">
        <f>IF(RKK220 = "", "", IFERROR(RKK220 / SUMIFS(Aux_Totales!$N:$N, Aux_Totales!$F:$F, $F224, Aux_Totales!$A:$A,#REF!), 0))</f>
        <v/>
      </c>
      <c r="RKL224" s="19" t="str">
        <f>IF(RKL220 = "", "", IFERROR(RKL220 / SUMIFS(Aux_Totales!$N:$N, Aux_Totales!$F:$F, $F224, Aux_Totales!$A:$A,#REF!), 0))</f>
        <v/>
      </c>
      <c r="RKM224" s="19" t="str">
        <f>IF(RKM220 = "", "", IFERROR(RKM220 / SUMIFS(Aux_Totales!$N:$N, Aux_Totales!$F:$F, $F224, Aux_Totales!$A:$A,#REF!), 0))</f>
        <v/>
      </c>
      <c r="RKN224" s="19" t="str">
        <f>IF(RKN220 = "", "", IFERROR(RKN220 / SUMIFS(Aux_Totales!$N:$N, Aux_Totales!$F:$F, $F224, Aux_Totales!$A:$A,#REF!), 0))</f>
        <v/>
      </c>
      <c r="RKO224" s="19" t="str">
        <f>IF(RKO220 = "", "", IFERROR(RKO220 / SUMIFS(Aux_Totales!$N:$N, Aux_Totales!$F:$F, $F224, Aux_Totales!$A:$A,#REF!), 0))</f>
        <v/>
      </c>
      <c r="RKP224" s="19" t="str">
        <f>IF(RKP220 = "", "", IFERROR(RKP220 / SUMIFS(Aux_Totales!$N:$N, Aux_Totales!$F:$F, $F224, Aux_Totales!$A:$A,#REF!), 0))</f>
        <v/>
      </c>
      <c r="RKQ224" s="19" t="str">
        <f>IF(RKQ220 = "", "", IFERROR(RKQ220 / SUMIFS(Aux_Totales!$N:$N, Aux_Totales!$F:$F, $F224, Aux_Totales!$A:$A,#REF!), 0))</f>
        <v/>
      </c>
      <c r="RKR224" s="19" t="str">
        <f>IF(RKR220 = "", "", IFERROR(RKR220 / SUMIFS(Aux_Totales!$N:$N, Aux_Totales!$F:$F, $F224, Aux_Totales!$A:$A,#REF!), 0))</f>
        <v/>
      </c>
      <c r="RKS224" s="19" t="str">
        <f>IF(RKS220 = "", "", IFERROR(RKS220 / SUMIFS(Aux_Totales!$N:$N, Aux_Totales!$F:$F, $F224, Aux_Totales!$A:$A,#REF!), 0))</f>
        <v/>
      </c>
      <c r="RKT224" s="19" t="str">
        <f>IF(RKT220 = "", "", IFERROR(RKT220 / SUMIFS(Aux_Totales!$N:$N, Aux_Totales!$F:$F, $F224, Aux_Totales!$A:$A,#REF!), 0))</f>
        <v/>
      </c>
      <c r="RKU224" s="19" t="str">
        <f>IF(RKU220 = "", "", IFERROR(RKU220 / SUMIFS(Aux_Totales!$N:$N, Aux_Totales!$F:$F, $F224, Aux_Totales!$A:$A,#REF!), 0))</f>
        <v/>
      </c>
      <c r="RKV224" s="19" t="str">
        <f>IF(RKV220 = "", "", IFERROR(RKV220 / SUMIFS(Aux_Totales!$N:$N, Aux_Totales!$F:$F, $F224, Aux_Totales!$A:$A,#REF!), 0))</f>
        <v/>
      </c>
      <c r="RKW224" s="19" t="str">
        <f>IF(RKW220 = "", "", IFERROR(RKW220 / SUMIFS(Aux_Totales!$N:$N, Aux_Totales!$F:$F, $F224, Aux_Totales!$A:$A,#REF!), 0))</f>
        <v/>
      </c>
      <c r="RKX224" s="19" t="str">
        <f>IF(RKX220 = "", "", IFERROR(RKX220 / SUMIFS(Aux_Totales!$N:$N, Aux_Totales!$F:$F, $F224, Aux_Totales!$A:$A,#REF!), 0))</f>
        <v/>
      </c>
      <c r="RKY224" s="19" t="str">
        <f>IF(RKY220 = "", "", IFERROR(RKY220 / SUMIFS(Aux_Totales!$N:$N, Aux_Totales!$F:$F, $F224, Aux_Totales!$A:$A,#REF!), 0))</f>
        <v/>
      </c>
      <c r="RKZ224" s="19" t="str">
        <f>IF(RKZ220 = "", "", IFERROR(RKZ220 / SUMIFS(Aux_Totales!$N:$N, Aux_Totales!$F:$F, $F224, Aux_Totales!$A:$A,#REF!), 0))</f>
        <v/>
      </c>
      <c r="RLA224" s="19" t="str">
        <f>IF(RLA220 = "", "", IFERROR(RLA220 / SUMIFS(Aux_Totales!$N:$N, Aux_Totales!$F:$F, $F224, Aux_Totales!$A:$A,#REF!), 0))</f>
        <v/>
      </c>
      <c r="RLB224" s="19" t="str">
        <f>IF(RLB220 = "", "", IFERROR(RLB220 / SUMIFS(Aux_Totales!$N:$N, Aux_Totales!$F:$F, $F224, Aux_Totales!$A:$A,#REF!), 0))</f>
        <v/>
      </c>
      <c r="RLC224" s="19" t="str">
        <f>IF(RLC220 = "", "", IFERROR(RLC220 / SUMIFS(Aux_Totales!$N:$N, Aux_Totales!$F:$F, $F224, Aux_Totales!$A:$A,#REF!), 0))</f>
        <v/>
      </c>
      <c r="RLD224" s="19" t="str">
        <f>IF(RLD220 = "", "", IFERROR(RLD220 / SUMIFS(Aux_Totales!$N:$N, Aux_Totales!$F:$F, $F224, Aux_Totales!$A:$A,#REF!), 0))</f>
        <v/>
      </c>
      <c r="RLE224" s="19" t="str">
        <f>IF(RLE220 = "", "", IFERROR(RLE220 / SUMIFS(Aux_Totales!$N:$N, Aux_Totales!$F:$F, $F224, Aux_Totales!$A:$A,#REF!), 0))</f>
        <v/>
      </c>
      <c r="RLF224" s="19" t="str">
        <f>IF(RLF220 = "", "", IFERROR(RLF220 / SUMIFS(Aux_Totales!$N:$N, Aux_Totales!$F:$F, $F224, Aux_Totales!$A:$A,#REF!), 0))</f>
        <v/>
      </c>
      <c r="RLG224" s="19" t="str">
        <f>IF(RLG220 = "", "", IFERROR(RLG220 / SUMIFS(Aux_Totales!$N:$N, Aux_Totales!$F:$F, $F224, Aux_Totales!$A:$A,#REF!), 0))</f>
        <v/>
      </c>
      <c r="RLH224" s="19" t="str">
        <f>IF(RLH220 = "", "", IFERROR(RLH220 / SUMIFS(Aux_Totales!$N:$N, Aux_Totales!$F:$F, $F224, Aux_Totales!$A:$A,#REF!), 0))</f>
        <v/>
      </c>
      <c r="RLI224" s="19" t="str">
        <f>IF(RLI220 = "", "", IFERROR(RLI220 / SUMIFS(Aux_Totales!$N:$N, Aux_Totales!$F:$F, $F224, Aux_Totales!$A:$A,#REF!), 0))</f>
        <v/>
      </c>
      <c r="RLJ224" s="19" t="str">
        <f>IF(RLJ220 = "", "", IFERROR(RLJ220 / SUMIFS(Aux_Totales!$N:$N, Aux_Totales!$F:$F, $F224, Aux_Totales!$A:$A,#REF!), 0))</f>
        <v/>
      </c>
      <c r="RLK224" s="19" t="str">
        <f>IF(RLK220 = "", "", IFERROR(RLK220 / SUMIFS(Aux_Totales!$N:$N, Aux_Totales!$F:$F, $F224, Aux_Totales!$A:$A,#REF!), 0))</f>
        <v/>
      </c>
      <c r="RLL224" s="19" t="str">
        <f>IF(RLL220 = "", "", IFERROR(RLL220 / SUMIFS(Aux_Totales!$N:$N, Aux_Totales!$F:$F, $F224, Aux_Totales!$A:$A,#REF!), 0))</f>
        <v/>
      </c>
      <c r="RLM224" s="19" t="str">
        <f>IF(RLM220 = "", "", IFERROR(RLM220 / SUMIFS(Aux_Totales!$N:$N, Aux_Totales!$F:$F, $F224, Aux_Totales!$A:$A,#REF!), 0))</f>
        <v/>
      </c>
      <c r="RLN224" s="19" t="str">
        <f>IF(RLN220 = "", "", IFERROR(RLN220 / SUMIFS(Aux_Totales!$N:$N, Aux_Totales!$F:$F, $F224, Aux_Totales!$A:$A,#REF!), 0))</f>
        <v/>
      </c>
      <c r="RLO224" s="19" t="str">
        <f>IF(RLO220 = "", "", IFERROR(RLO220 / SUMIFS(Aux_Totales!$N:$N, Aux_Totales!$F:$F, $F224, Aux_Totales!$A:$A,#REF!), 0))</f>
        <v/>
      </c>
      <c r="RLP224" s="19" t="str">
        <f>IF(RLP220 = "", "", IFERROR(RLP220 / SUMIFS(Aux_Totales!$N:$N, Aux_Totales!$F:$F, $F224, Aux_Totales!$A:$A,#REF!), 0))</f>
        <v/>
      </c>
      <c r="RLQ224" s="19" t="str">
        <f>IF(RLQ220 = "", "", IFERROR(RLQ220 / SUMIFS(Aux_Totales!$N:$N, Aux_Totales!$F:$F, $F224, Aux_Totales!$A:$A,#REF!), 0))</f>
        <v/>
      </c>
      <c r="RLR224" s="19" t="str">
        <f>IF(RLR220 = "", "", IFERROR(RLR220 / SUMIFS(Aux_Totales!$N:$N, Aux_Totales!$F:$F, $F224, Aux_Totales!$A:$A,#REF!), 0))</f>
        <v/>
      </c>
      <c r="RLS224" s="19" t="str">
        <f>IF(RLS220 = "", "", IFERROR(RLS220 / SUMIFS(Aux_Totales!$N:$N, Aux_Totales!$F:$F, $F224, Aux_Totales!$A:$A,#REF!), 0))</f>
        <v/>
      </c>
      <c r="RLT224" s="19" t="str">
        <f>IF(RLT220 = "", "", IFERROR(RLT220 / SUMIFS(Aux_Totales!$N:$N, Aux_Totales!$F:$F, $F224, Aux_Totales!$A:$A,#REF!), 0))</f>
        <v/>
      </c>
      <c r="RLU224" s="19" t="str">
        <f>IF(RLU220 = "", "", IFERROR(RLU220 / SUMIFS(Aux_Totales!$N:$N, Aux_Totales!$F:$F, $F224, Aux_Totales!$A:$A,#REF!), 0))</f>
        <v/>
      </c>
      <c r="RLV224" s="19" t="str">
        <f>IF(RLV220 = "", "", IFERROR(RLV220 / SUMIFS(Aux_Totales!$N:$N, Aux_Totales!$F:$F, $F224, Aux_Totales!$A:$A,#REF!), 0))</f>
        <v/>
      </c>
      <c r="RLW224" s="19" t="str">
        <f>IF(RLW220 = "", "", IFERROR(RLW220 / SUMIFS(Aux_Totales!$N:$N, Aux_Totales!$F:$F, $F224, Aux_Totales!$A:$A,#REF!), 0))</f>
        <v/>
      </c>
      <c r="RLX224" s="19" t="str">
        <f>IF(RLX220 = "", "", IFERROR(RLX220 / SUMIFS(Aux_Totales!$N:$N, Aux_Totales!$F:$F, $F224, Aux_Totales!$A:$A,#REF!), 0))</f>
        <v/>
      </c>
      <c r="RLY224" s="19" t="str">
        <f>IF(RLY220 = "", "", IFERROR(RLY220 / SUMIFS(Aux_Totales!$N:$N, Aux_Totales!$F:$F, $F224, Aux_Totales!$A:$A,#REF!), 0))</f>
        <v/>
      </c>
      <c r="RLZ224" s="19" t="str">
        <f>IF(RLZ220 = "", "", IFERROR(RLZ220 / SUMIFS(Aux_Totales!$N:$N, Aux_Totales!$F:$F, $F224, Aux_Totales!$A:$A,#REF!), 0))</f>
        <v/>
      </c>
      <c r="RMA224" s="19" t="str">
        <f>IF(RMA220 = "", "", IFERROR(RMA220 / SUMIFS(Aux_Totales!$N:$N, Aux_Totales!$F:$F, $F224, Aux_Totales!$A:$A,#REF!), 0))</f>
        <v/>
      </c>
      <c r="RMB224" s="19" t="str">
        <f>IF(RMB220 = "", "", IFERROR(RMB220 / SUMIFS(Aux_Totales!$N:$N, Aux_Totales!$F:$F, $F224, Aux_Totales!$A:$A,#REF!), 0))</f>
        <v/>
      </c>
      <c r="RMC224" s="19" t="str">
        <f>IF(RMC220 = "", "", IFERROR(RMC220 / SUMIFS(Aux_Totales!$N:$N, Aux_Totales!$F:$F, $F224, Aux_Totales!$A:$A,#REF!), 0))</f>
        <v/>
      </c>
      <c r="RMD224" s="19" t="str">
        <f>IF(RMD220 = "", "", IFERROR(RMD220 / SUMIFS(Aux_Totales!$N:$N, Aux_Totales!$F:$F, $F224, Aux_Totales!$A:$A,#REF!), 0))</f>
        <v/>
      </c>
      <c r="RME224" s="19" t="str">
        <f>IF(RME220 = "", "", IFERROR(RME220 / SUMIFS(Aux_Totales!$N:$N, Aux_Totales!$F:$F, $F224, Aux_Totales!$A:$A,#REF!), 0))</f>
        <v/>
      </c>
      <c r="RMF224" s="19" t="str">
        <f>IF(RMF220 = "", "", IFERROR(RMF220 / SUMIFS(Aux_Totales!$N:$N, Aux_Totales!$F:$F, $F224, Aux_Totales!$A:$A,#REF!), 0))</f>
        <v/>
      </c>
      <c r="RMG224" s="19" t="str">
        <f>IF(RMG220 = "", "", IFERROR(RMG220 / SUMIFS(Aux_Totales!$N:$N, Aux_Totales!$F:$F, $F224, Aux_Totales!$A:$A,#REF!), 0))</f>
        <v/>
      </c>
      <c r="RMH224" s="19" t="str">
        <f>IF(RMH220 = "", "", IFERROR(RMH220 / SUMIFS(Aux_Totales!$N:$N, Aux_Totales!$F:$F, $F224, Aux_Totales!$A:$A,#REF!), 0))</f>
        <v/>
      </c>
      <c r="RMI224" s="19" t="str">
        <f>IF(RMI220 = "", "", IFERROR(RMI220 / SUMIFS(Aux_Totales!$N:$N, Aux_Totales!$F:$F, $F224, Aux_Totales!$A:$A,#REF!), 0))</f>
        <v/>
      </c>
      <c r="RMJ224" s="19" t="str">
        <f>IF(RMJ220 = "", "", IFERROR(RMJ220 / SUMIFS(Aux_Totales!$N:$N, Aux_Totales!$F:$F, $F224, Aux_Totales!$A:$A,#REF!), 0))</f>
        <v/>
      </c>
      <c r="RMK224" s="19" t="str">
        <f>IF(RMK220 = "", "", IFERROR(RMK220 / SUMIFS(Aux_Totales!$N:$N, Aux_Totales!$F:$F, $F224, Aux_Totales!$A:$A,#REF!), 0))</f>
        <v/>
      </c>
      <c r="RML224" s="19" t="str">
        <f>IF(RML220 = "", "", IFERROR(RML220 / SUMIFS(Aux_Totales!$N:$N, Aux_Totales!$F:$F, $F224, Aux_Totales!$A:$A,#REF!), 0))</f>
        <v/>
      </c>
      <c r="RMM224" s="19" t="str">
        <f>IF(RMM220 = "", "", IFERROR(RMM220 / SUMIFS(Aux_Totales!$N:$N, Aux_Totales!$F:$F, $F224, Aux_Totales!$A:$A,#REF!), 0))</f>
        <v/>
      </c>
      <c r="RMN224" s="19" t="str">
        <f>IF(RMN220 = "", "", IFERROR(RMN220 / SUMIFS(Aux_Totales!$N:$N, Aux_Totales!$F:$F, $F224, Aux_Totales!$A:$A,#REF!), 0))</f>
        <v/>
      </c>
      <c r="RMO224" s="19" t="str">
        <f>IF(RMO220 = "", "", IFERROR(RMO220 / SUMIFS(Aux_Totales!$N:$N, Aux_Totales!$F:$F, $F224, Aux_Totales!$A:$A,#REF!), 0))</f>
        <v/>
      </c>
      <c r="RMP224" s="19" t="str">
        <f>IF(RMP220 = "", "", IFERROR(RMP220 / SUMIFS(Aux_Totales!$N:$N, Aux_Totales!$F:$F, $F224, Aux_Totales!$A:$A,#REF!), 0))</f>
        <v/>
      </c>
      <c r="RMQ224" s="19" t="str">
        <f>IF(RMQ220 = "", "", IFERROR(RMQ220 / SUMIFS(Aux_Totales!$N:$N, Aux_Totales!$F:$F, $F224, Aux_Totales!$A:$A,#REF!), 0))</f>
        <v/>
      </c>
      <c r="RMR224" s="19" t="str">
        <f>IF(RMR220 = "", "", IFERROR(RMR220 / SUMIFS(Aux_Totales!$N:$N, Aux_Totales!$F:$F, $F224, Aux_Totales!$A:$A,#REF!), 0))</f>
        <v/>
      </c>
      <c r="RMS224" s="19" t="str">
        <f>IF(RMS220 = "", "", IFERROR(RMS220 / SUMIFS(Aux_Totales!$N:$N, Aux_Totales!$F:$F, $F224, Aux_Totales!$A:$A,#REF!), 0))</f>
        <v/>
      </c>
      <c r="RMT224" s="19" t="str">
        <f>IF(RMT220 = "", "", IFERROR(RMT220 / SUMIFS(Aux_Totales!$N:$N, Aux_Totales!$F:$F, $F224, Aux_Totales!$A:$A,#REF!), 0))</f>
        <v/>
      </c>
      <c r="RMU224" s="19" t="str">
        <f>IF(RMU220 = "", "", IFERROR(RMU220 / SUMIFS(Aux_Totales!$N:$N, Aux_Totales!$F:$F, $F224, Aux_Totales!$A:$A,#REF!), 0))</f>
        <v/>
      </c>
      <c r="RMV224" s="19" t="str">
        <f>IF(RMV220 = "", "", IFERROR(RMV220 / SUMIFS(Aux_Totales!$N:$N, Aux_Totales!$F:$F, $F224, Aux_Totales!$A:$A,#REF!), 0))</f>
        <v/>
      </c>
      <c r="RMW224" s="19" t="str">
        <f>IF(RMW220 = "", "", IFERROR(RMW220 / SUMIFS(Aux_Totales!$N:$N, Aux_Totales!$F:$F, $F224, Aux_Totales!$A:$A,#REF!), 0))</f>
        <v/>
      </c>
      <c r="RMX224" s="19" t="str">
        <f>IF(RMX220 = "", "", IFERROR(RMX220 / SUMIFS(Aux_Totales!$N:$N, Aux_Totales!$F:$F, $F224, Aux_Totales!$A:$A,#REF!), 0))</f>
        <v/>
      </c>
      <c r="RMY224" s="19" t="str">
        <f>IF(RMY220 = "", "", IFERROR(RMY220 / SUMIFS(Aux_Totales!$N:$N, Aux_Totales!$F:$F, $F224, Aux_Totales!$A:$A,#REF!), 0))</f>
        <v/>
      </c>
      <c r="RMZ224" s="19" t="str">
        <f>IF(RMZ220 = "", "", IFERROR(RMZ220 / SUMIFS(Aux_Totales!$N:$N, Aux_Totales!$F:$F, $F224, Aux_Totales!$A:$A,#REF!), 0))</f>
        <v/>
      </c>
      <c r="RNA224" s="19" t="str">
        <f>IF(RNA220 = "", "", IFERROR(RNA220 / SUMIFS(Aux_Totales!$N:$N, Aux_Totales!$F:$F, $F224, Aux_Totales!$A:$A,#REF!), 0))</f>
        <v/>
      </c>
      <c r="RNB224" s="19" t="str">
        <f>IF(RNB220 = "", "", IFERROR(RNB220 / SUMIFS(Aux_Totales!$N:$N, Aux_Totales!$F:$F, $F224, Aux_Totales!$A:$A,#REF!), 0))</f>
        <v/>
      </c>
      <c r="RNC224" s="19" t="str">
        <f>IF(RNC220 = "", "", IFERROR(RNC220 / SUMIFS(Aux_Totales!$N:$N, Aux_Totales!$F:$F, $F224, Aux_Totales!$A:$A,#REF!), 0))</f>
        <v/>
      </c>
      <c r="RND224" s="19" t="str">
        <f>IF(RND220 = "", "", IFERROR(RND220 / SUMIFS(Aux_Totales!$N:$N, Aux_Totales!$F:$F, $F224, Aux_Totales!$A:$A,#REF!), 0))</f>
        <v/>
      </c>
      <c r="RNE224" s="19" t="str">
        <f>IF(RNE220 = "", "", IFERROR(RNE220 / SUMIFS(Aux_Totales!$N:$N, Aux_Totales!$F:$F, $F224, Aux_Totales!$A:$A,#REF!), 0))</f>
        <v/>
      </c>
      <c r="RNF224" s="19" t="str">
        <f>IF(RNF220 = "", "", IFERROR(RNF220 / SUMIFS(Aux_Totales!$N:$N, Aux_Totales!$F:$F, $F224, Aux_Totales!$A:$A,#REF!), 0))</f>
        <v/>
      </c>
      <c r="RNG224" s="19" t="str">
        <f>IF(RNG220 = "", "", IFERROR(RNG220 / SUMIFS(Aux_Totales!$N:$N, Aux_Totales!$F:$F, $F224, Aux_Totales!$A:$A,#REF!), 0))</f>
        <v/>
      </c>
      <c r="RNH224" s="19" t="str">
        <f>IF(RNH220 = "", "", IFERROR(RNH220 / SUMIFS(Aux_Totales!$N:$N, Aux_Totales!$F:$F, $F224, Aux_Totales!$A:$A,#REF!), 0))</f>
        <v/>
      </c>
      <c r="RNI224" s="19" t="str">
        <f>IF(RNI220 = "", "", IFERROR(RNI220 / SUMIFS(Aux_Totales!$N:$N, Aux_Totales!$F:$F, $F224, Aux_Totales!$A:$A,#REF!), 0))</f>
        <v/>
      </c>
      <c r="RNJ224" s="19" t="str">
        <f>IF(RNJ220 = "", "", IFERROR(RNJ220 / SUMIFS(Aux_Totales!$N:$N, Aux_Totales!$F:$F, $F224, Aux_Totales!$A:$A,#REF!), 0))</f>
        <v/>
      </c>
      <c r="RNK224" s="19" t="str">
        <f>IF(RNK220 = "", "", IFERROR(RNK220 / SUMIFS(Aux_Totales!$N:$N, Aux_Totales!$F:$F, $F224, Aux_Totales!$A:$A,#REF!), 0))</f>
        <v/>
      </c>
      <c r="RNL224" s="19" t="str">
        <f>IF(RNL220 = "", "", IFERROR(RNL220 / SUMIFS(Aux_Totales!$N:$N, Aux_Totales!$F:$F, $F224, Aux_Totales!$A:$A,#REF!), 0))</f>
        <v/>
      </c>
      <c r="RNM224" s="19" t="str">
        <f>IF(RNM220 = "", "", IFERROR(RNM220 / SUMIFS(Aux_Totales!$N:$N, Aux_Totales!$F:$F, $F224, Aux_Totales!$A:$A,#REF!), 0))</f>
        <v/>
      </c>
      <c r="RNN224" s="19" t="str">
        <f>IF(RNN220 = "", "", IFERROR(RNN220 / SUMIFS(Aux_Totales!$N:$N, Aux_Totales!$F:$F, $F224, Aux_Totales!$A:$A,#REF!), 0))</f>
        <v/>
      </c>
      <c r="RNO224" s="19" t="str">
        <f>IF(RNO220 = "", "", IFERROR(RNO220 / SUMIFS(Aux_Totales!$N:$N, Aux_Totales!$F:$F, $F224, Aux_Totales!$A:$A,#REF!), 0))</f>
        <v/>
      </c>
      <c r="RNP224" s="19" t="str">
        <f>IF(RNP220 = "", "", IFERROR(RNP220 / SUMIFS(Aux_Totales!$N:$N, Aux_Totales!$F:$F, $F224, Aux_Totales!$A:$A,#REF!), 0))</f>
        <v/>
      </c>
      <c r="RNQ224" s="19" t="str">
        <f>IF(RNQ220 = "", "", IFERROR(RNQ220 / SUMIFS(Aux_Totales!$N:$N, Aux_Totales!$F:$F, $F224, Aux_Totales!$A:$A,#REF!), 0))</f>
        <v/>
      </c>
      <c r="RNR224" s="19" t="str">
        <f>IF(RNR220 = "", "", IFERROR(RNR220 / SUMIFS(Aux_Totales!$N:$N, Aux_Totales!$F:$F, $F224, Aux_Totales!$A:$A,#REF!), 0))</f>
        <v/>
      </c>
      <c r="RNS224" s="19" t="str">
        <f>IF(RNS220 = "", "", IFERROR(RNS220 / SUMIFS(Aux_Totales!$N:$N, Aux_Totales!$F:$F, $F224, Aux_Totales!$A:$A,#REF!), 0))</f>
        <v/>
      </c>
      <c r="RNT224" s="19" t="str">
        <f>IF(RNT220 = "", "", IFERROR(RNT220 / SUMIFS(Aux_Totales!$N:$N, Aux_Totales!$F:$F, $F224, Aux_Totales!$A:$A,#REF!), 0))</f>
        <v/>
      </c>
      <c r="RNU224" s="19" t="str">
        <f>IF(RNU220 = "", "", IFERROR(RNU220 / SUMIFS(Aux_Totales!$N:$N, Aux_Totales!$F:$F, $F224, Aux_Totales!$A:$A,#REF!), 0))</f>
        <v/>
      </c>
      <c r="RNV224" s="19" t="str">
        <f>IF(RNV220 = "", "", IFERROR(RNV220 / SUMIFS(Aux_Totales!$N:$N, Aux_Totales!$F:$F, $F224, Aux_Totales!$A:$A,#REF!), 0))</f>
        <v/>
      </c>
      <c r="RNW224" s="19" t="str">
        <f>IF(RNW220 = "", "", IFERROR(RNW220 / SUMIFS(Aux_Totales!$N:$N, Aux_Totales!$F:$F, $F224, Aux_Totales!$A:$A,#REF!), 0))</f>
        <v/>
      </c>
      <c r="RNX224" s="19" t="str">
        <f>IF(RNX220 = "", "", IFERROR(RNX220 / SUMIFS(Aux_Totales!$N:$N, Aux_Totales!$F:$F, $F224, Aux_Totales!$A:$A,#REF!), 0))</f>
        <v/>
      </c>
      <c r="RNY224" s="19" t="str">
        <f>IF(RNY220 = "", "", IFERROR(RNY220 / SUMIFS(Aux_Totales!$N:$N, Aux_Totales!$F:$F, $F224, Aux_Totales!$A:$A,#REF!), 0))</f>
        <v/>
      </c>
      <c r="RNZ224" s="19" t="str">
        <f>IF(RNZ220 = "", "", IFERROR(RNZ220 / SUMIFS(Aux_Totales!$N:$N, Aux_Totales!$F:$F, $F224, Aux_Totales!$A:$A,#REF!), 0))</f>
        <v/>
      </c>
      <c r="ROA224" s="19" t="str">
        <f>IF(ROA220 = "", "", IFERROR(ROA220 / SUMIFS(Aux_Totales!$N:$N, Aux_Totales!$F:$F, $F224, Aux_Totales!$A:$A,#REF!), 0))</f>
        <v/>
      </c>
      <c r="ROB224" s="19" t="str">
        <f>IF(ROB220 = "", "", IFERROR(ROB220 / SUMIFS(Aux_Totales!$N:$N, Aux_Totales!$F:$F, $F224, Aux_Totales!$A:$A,#REF!), 0))</f>
        <v/>
      </c>
      <c r="ROC224" s="19" t="str">
        <f>IF(ROC220 = "", "", IFERROR(ROC220 / SUMIFS(Aux_Totales!$N:$N, Aux_Totales!$F:$F, $F224, Aux_Totales!$A:$A,#REF!), 0))</f>
        <v/>
      </c>
      <c r="ROD224" s="19" t="str">
        <f>IF(ROD220 = "", "", IFERROR(ROD220 / SUMIFS(Aux_Totales!$N:$N, Aux_Totales!$F:$F, $F224, Aux_Totales!$A:$A,#REF!), 0))</f>
        <v/>
      </c>
      <c r="ROE224" s="19" t="str">
        <f>IF(ROE220 = "", "", IFERROR(ROE220 / SUMIFS(Aux_Totales!$N:$N, Aux_Totales!$F:$F, $F224, Aux_Totales!$A:$A,#REF!), 0))</f>
        <v/>
      </c>
      <c r="ROF224" s="19" t="str">
        <f>IF(ROF220 = "", "", IFERROR(ROF220 / SUMIFS(Aux_Totales!$N:$N, Aux_Totales!$F:$F, $F224, Aux_Totales!$A:$A,#REF!), 0))</f>
        <v/>
      </c>
      <c r="ROG224" s="19" t="str">
        <f>IF(ROG220 = "", "", IFERROR(ROG220 / SUMIFS(Aux_Totales!$N:$N, Aux_Totales!$F:$F, $F224, Aux_Totales!$A:$A,#REF!), 0))</f>
        <v/>
      </c>
      <c r="ROH224" s="19" t="str">
        <f>IF(ROH220 = "", "", IFERROR(ROH220 / SUMIFS(Aux_Totales!$N:$N, Aux_Totales!$F:$F, $F224, Aux_Totales!$A:$A,#REF!), 0))</f>
        <v/>
      </c>
      <c r="ROI224" s="19" t="str">
        <f>IF(ROI220 = "", "", IFERROR(ROI220 / SUMIFS(Aux_Totales!$N:$N, Aux_Totales!$F:$F, $F224, Aux_Totales!$A:$A,#REF!), 0))</f>
        <v/>
      </c>
      <c r="ROJ224" s="19" t="str">
        <f>IF(ROJ220 = "", "", IFERROR(ROJ220 / SUMIFS(Aux_Totales!$N:$N, Aux_Totales!$F:$F, $F224, Aux_Totales!$A:$A,#REF!), 0))</f>
        <v/>
      </c>
      <c r="ROK224" s="19" t="str">
        <f>IF(ROK220 = "", "", IFERROR(ROK220 / SUMIFS(Aux_Totales!$N:$N, Aux_Totales!$F:$F, $F224, Aux_Totales!$A:$A,#REF!), 0))</f>
        <v/>
      </c>
      <c r="ROL224" s="19" t="str">
        <f>IF(ROL220 = "", "", IFERROR(ROL220 / SUMIFS(Aux_Totales!$N:$N, Aux_Totales!$F:$F, $F224, Aux_Totales!$A:$A,#REF!), 0))</f>
        <v/>
      </c>
      <c r="ROM224" s="19" t="str">
        <f>IF(ROM220 = "", "", IFERROR(ROM220 / SUMIFS(Aux_Totales!$N:$N, Aux_Totales!$F:$F, $F224, Aux_Totales!$A:$A,#REF!), 0))</f>
        <v/>
      </c>
      <c r="RON224" s="19" t="str">
        <f>IF(RON220 = "", "", IFERROR(RON220 / SUMIFS(Aux_Totales!$N:$N, Aux_Totales!$F:$F, $F224, Aux_Totales!$A:$A,#REF!), 0))</f>
        <v/>
      </c>
      <c r="ROO224" s="19" t="str">
        <f>IF(ROO220 = "", "", IFERROR(ROO220 / SUMIFS(Aux_Totales!$N:$N, Aux_Totales!$F:$F, $F224, Aux_Totales!$A:$A,#REF!), 0))</f>
        <v/>
      </c>
      <c r="ROP224" s="19" t="str">
        <f>IF(ROP220 = "", "", IFERROR(ROP220 / SUMIFS(Aux_Totales!$N:$N, Aux_Totales!$F:$F, $F224, Aux_Totales!$A:$A,#REF!), 0))</f>
        <v/>
      </c>
      <c r="ROQ224" s="19" t="str">
        <f>IF(ROQ220 = "", "", IFERROR(ROQ220 / SUMIFS(Aux_Totales!$N:$N, Aux_Totales!$F:$F, $F224, Aux_Totales!$A:$A,#REF!), 0))</f>
        <v/>
      </c>
      <c r="ROR224" s="19" t="str">
        <f>IF(ROR220 = "", "", IFERROR(ROR220 / SUMIFS(Aux_Totales!$N:$N, Aux_Totales!$F:$F, $F224, Aux_Totales!$A:$A,#REF!), 0))</f>
        <v/>
      </c>
      <c r="ROS224" s="19" t="str">
        <f>IF(ROS220 = "", "", IFERROR(ROS220 / SUMIFS(Aux_Totales!$N:$N, Aux_Totales!$F:$F, $F224, Aux_Totales!$A:$A,#REF!), 0))</f>
        <v/>
      </c>
      <c r="ROT224" s="19" t="str">
        <f>IF(ROT220 = "", "", IFERROR(ROT220 / SUMIFS(Aux_Totales!$N:$N, Aux_Totales!$F:$F, $F224, Aux_Totales!$A:$A,#REF!), 0))</f>
        <v/>
      </c>
      <c r="ROU224" s="19" t="str">
        <f>IF(ROU220 = "", "", IFERROR(ROU220 / SUMIFS(Aux_Totales!$N:$N, Aux_Totales!$F:$F, $F224, Aux_Totales!$A:$A,#REF!), 0))</f>
        <v/>
      </c>
      <c r="ROV224" s="19" t="str">
        <f>IF(ROV220 = "", "", IFERROR(ROV220 / SUMIFS(Aux_Totales!$N:$N, Aux_Totales!$F:$F, $F224, Aux_Totales!$A:$A,#REF!), 0))</f>
        <v/>
      </c>
      <c r="ROW224" s="19" t="str">
        <f>IF(ROW220 = "", "", IFERROR(ROW220 / SUMIFS(Aux_Totales!$N:$N, Aux_Totales!$F:$F, $F224, Aux_Totales!$A:$A,#REF!), 0))</f>
        <v/>
      </c>
      <c r="ROX224" s="19" t="str">
        <f>IF(ROX220 = "", "", IFERROR(ROX220 / SUMIFS(Aux_Totales!$N:$N, Aux_Totales!$F:$F, $F224, Aux_Totales!$A:$A,#REF!), 0))</f>
        <v/>
      </c>
      <c r="ROY224" s="19" t="str">
        <f>IF(ROY220 = "", "", IFERROR(ROY220 / SUMIFS(Aux_Totales!$N:$N, Aux_Totales!$F:$F, $F224, Aux_Totales!$A:$A,#REF!), 0))</f>
        <v/>
      </c>
      <c r="ROZ224" s="19" t="str">
        <f>IF(ROZ220 = "", "", IFERROR(ROZ220 / SUMIFS(Aux_Totales!$N:$N, Aux_Totales!$F:$F, $F224, Aux_Totales!$A:$A,#REF!), 0))</f>
        <v/>
      </c>
      <c r="RPA224" s="19" t="str">
        <f>IF(RPA220 = "", "", IFERROR(RPA220 / SUMIFS(Aux_Totales!$N:$N, Aux_Totales!$F:$F, $F224, Aux_Totales!$A:$A,#REF!), 0))</f>
        <v/>
      </c>
      <c r="RPB224" s="19" t="str">
        <f>IF(RPB220 = "", "", IFERROR(RPB220 / SUMIFS(Aux_Totales!$N:$N, Aux_Totales!$F:$F, $F224, Aux_Totales!$A:$A,#REF!), 0))</f>
        <v/>
      </c>
      <c r="RPC224" s="19" t="str">
        <f>IF(RPC220 = "", "", IFERROR(RPC220 / SUMIFS(Aux_Totales!$N:$N, Aux_Totales!$F:$F, $F224, Aux_Totales!$A:$A,#REF!), 0))</f>
        <v/>
      </c>
      <c r="RPD224" s="19" t="str">
        <f>IF(RPD220 = "", "", IFERROR(RPD220 / SUMIFS(Aux_Totales!$N:$N, Aux_Totales!$F:$F, $F224, Aux_Totales!$A:$A,#REF!), 0))</f>
        <v/>
      </c>
      <c r="RPE224" s="19" t="str">
        <f>IF(RPE220 = "", "", IFERROR(RPE220 / SUMIFS(Aux_Totales!$N:$N, Aux_Totales!$F:$F, $F224, Aux_Totales!$A:$A,#REF!), 0))</f>
        <v/>
      </c>
      <c r="RPF224" s="19" t="str">
        <f>IF(RPF220 = "", "", IFERROR(RPF220 / SUMIFS(Aux_Totales!$N:$N, Aux_Totales!$F:$F, $F224, Aux_Totales!$A:$A,#REF!), 0))</f>
        <v/>
      </c>
      <c r="RPG224" s="19" t="str">
        <f>IF(RPG220 = "", "", IFERROR(RPG220 / SUMIFS(Aux_Totales!$N:$N, Aux_Totales!$F:$F, $F224, Aux_Totales!$A:$A,#REF!), 0))</f>
        <v/>
      </c>
      <c r="RPH224" s="19" t="str">
        <f>IF(RPH220 = "", "", IFERROR(RPH220 / SUMIFS(Aux_Totales!$N:$N, Aux_Totales!$F:$F, $F224, Aux_Totales!$A:$A,#REF!), 0))</f>
        <v/>
      </c>
      <c r="RPI224" s="19" t="str">
        <f>IF(RPI220 = "", "", IFERROR(RPI220 / SUMIFS(Aux_Totales!$N:$N, Aux_Totales!$F:$F, $F224, Aux_Totales!$A:$A,#REF!), 0))</f>
        <v/>
      </c>
      <c r="RPJ224" s="19" t="str">
        <f>IF(RPJ220 = "", "", IFERROR(RPJ220 / SUMIFS(Aux_Totales!$N:$N, Aux_Totales!$F:$F, $F224, Aux_Totales!$A:$A,#REF!), 0))</f>
        <v/>
      </c>
      <c r="RPK224" s="19" t="str">
        <f>IF(RPK220 = "", "", IFERROR(RPK220 / SUMIFS(Aux_Totales!$N:$N, Aux_Totales!$F:$F, $F224, Aux_Totales!$A:$A,#REF!), 0))</f>
        <v/>
      </c>
      <c r="RPL224" s="19" t="str">
        <f>IF(RPL220 = "", "", IFERROR(RPL220 / SUMIFS(Aux_Totales!$N:$N, Aux_Totales!$F:$F, $F224, Aux_Totales!$A:$A,#REF!), 0))</f>
        <v/>
      </c>
      <c r="RPM224" s="19" t="str">
        <f>IF(RPM220 = "", "", IFERROR(RPM220 / SUMIFS(Aux_Totales!$N:$N, Aux_Totales!$F:$F, $F224, Aux_Totales!$A:$A,#REF!), 0))</f>
        <v/>
      </c>
      <c r="RPN224" s="19" t="str">
        <f>IF(RPN220 = "", "", IFERROR(RPN220 / SUMIFS(Aux_Totales!$N:$N, Aux_Totales!$F:$F, $F224, Aux_Totales!$A:$A,#REF!), 0))</f>
        <v/>
      </c>
      <c r="RPO224" s="19" t="str">
        <f>IF(RPO220 = "", "", IFERROR(RPO220 / SUMIFS(Aux_Totales!$N:$N, Aux_Totales!$F:$F, $F224, Aux_Totales!$A:$A,#REF!), 0))</f>
        <v/>
      </c>
      <c r="RPP224" s="19" t="str">
        <f>IF(RPP220 = "", "", IFERROR(RPP220 / SUMIFS(Aux_Totales!$N:$N, Aux_Totales!$F:$F, $F224, Aux_Totales!$A:$A,#REF!), 0))</f>
        <v/>
      </c>
      <c r="RPQ224" s="19" t="str">
        <f>IF(RPQ220 = "", "", IFERROR(RPQ220 / SUMIFS(Aux_Totales!$N:$N, Aux_Totales!$F:$F, $F224, Aux_Totales!$A:$A,#REF!), 0))</f>
        <v/>
      </c>
      <c r="RPR224" s="19" t="str">
        <f>IF(RPR220 = "", "", IFERROR(RPR220 / SUMIFS(Aux_Totales!$N:$N, Aux_Totales!$F:$F, $F224, Aux_Totales!$A:$A,#REF!), 0))</f>
        <v/>
      </c>
      <c r="RPS224" s="19" t="str">
        <f>IF(RPS220 = "", "", IFERROR(RPS220 / SUMIFS(Aux_Totales!$N:$N, Aux_Totales!$F:$F, $F224, Aux_Totales!$A:$A,#REF!), 0))</f>
        <v/>
      </c>
      <c r="RPT224" s="19" t="str">
        <f>IF(RPT220 = "", "", IFERROR(RPT220 / SUMIFS(Aux_Totales!$N:$N, Aux_Totales!$F:$F, $F224, Aux_Totales!$A:$A,#REF!), 0))</f>
        <v/>
      </c>
      <c r="RPU224" s="19" t="str">
        <f>IF(RPU220 = "", "", IFERROR(RPU220 / SUMIFS(Aux_Totales!$N:$N, Aux_Totales!$F:$F, $F224, Aux_Totales!$A:$A,#REF!), 0))</f>
        <v/>
      </c>
      <c r="RPV224" s="19" t="str">
        <f>IF(RPV220 = "", "", IFERROR(RPV220 / SUMIFS(Aux_Totales!$N:$N, Aux_Totales!$F:$F, $F224, Aux_Totales!$A:$A,#REF!), 0))</f>
        <v/>
      </c>
      <c r="RPW224" s="19" t="str">
        <f>IF(RPW220 = "", "", IFERROR(RPW220 / SUMIFS(Aux_Totales!$N:$N, Aux_Totales!$F:$F, $F224, Aux_Totales!$A:$A,#REF!), 0))</f>
        <v/>
      </c>
      <c r="RPX224" s="19" t="str">
        <f>IF(RPX220 = "", "", IFERROR(RPX220 / SUMIFS(Aux_Totales!$N:$N, Aux_Totales!$F:$F, $F224, Aux_Totales!$A:$A,#REF!), 0))</f>
        <v/>
      </c>
      <c r="RPY224" s="19" t="str">
        <f>IF(RPY220 = "", "", IFERROR(RPY220 / SUMIFS(Aux_Totales!$N:$N, Aux_Totales!$F:$F, $F224, Aux_Totales!$A:$A,#REF!), 0))</f>
        <v/>
      </c>
      <c r="RPZ224" s="19" t="str">
        <f>IF(RPZ220 = "", "", IFERROR(RPZ220 / SUMIFS(Aux_Totales!$N:$N, Aux_Totales!$F:$F, $F224, Aux_Totales!$A:$A,#REF!), 0))</f>
        <v/>
      </c>
      <c r="RQA224" s="19" t="str">
        <f>IF(RQA220 = "", "", IFERROR(RQA220 / SUMIFS(Aux_Totales!$N:$N, Aux_Totales!$F:$F, $F224, Aux_Totales!$A:$A,#REF!), 0))</f>
        <v/>
      </c>
      <c r="RQB224" s="19" t="str">
        <f>IF(RQB220 = "", "", IFERROR(RQB220 / SUMIFS(Aux_Totales!$N:$N, Aux_Totales!$F:$F, $F224, Aux_Totales!$A:$A,#REF!), 0))</f>
        <v/>
      </c>
      <c r="RQC224" s="19" t="str">
        <f>IF(RQC220 = "", "", IFERROR(RQC220 / SUMIFS(Aux_Totales!$N:$N, Aux_Totales!$F:$F, $F224, Aux_Totales!$A:$A,#REF!), 0))</f>
        <v/>
      </c>
      <c r="RQD224" s="19" t="str">
        <f>IF(RQD220 = "", "", IFERROR(RQD220 / SUMIFS(Aux_Totales!$N:$N, Aux_Totales!$F:$F, $F224, Aux_Totales!$A:$A,#REF!), 0))</f>
        <v/>
      </c>
      <c r="RQE224" s="19" t="str">
        <f>IF(RQE220 = "", "", IFERROR(RQE220 / SUMIFS(Aux_Totales!$N:$N, Aux_Totales!$F:$F, $F224, Aux_Totales!$A:$A,#REF!), 0))</f>
        <v/>
      </c>
      <c r="RQF224" s="19" t="str">
        <f>IF(RQF220 = "", "", IFERROR(RQF220 / SUMIFS(Aux_Totales!$N:$N, Aux_Totales!$F:$F, $F224, Aux_Totales!$A:$A,#REF!), 0))</f>
        <v/>
      </c>
      <c r="RQG224" s="19" t="str">
        <f>IF(RQG220 = "", "", IFERROR(RQG220 / SUMIFS(Aux_Totales!$N:$N, Aux_Totales!$F:$F, $F224, Aux_Totales!$A:$A,#REF!), 0))</f>
        <v/>
      </c>
      <c r="RQH224" s="19" t="str">
        <f>IF(RQH220 = "", "", IFERROR(RQH220 / SUMIFS(Aux_Totales!$N:$N, Aux_Totales!$F:$F, $F224, Aux_Totales!$A:$A,#REF!), 0))</f>
        <v/>
      </c>
      <c r="RQI224" s="19" t="str">
        <f>IF(RQI220 = "", "", IFERROR(RQI220 / SUMIFS(Aux_Totales!$N:$N, Aux_Totales!$F:$F, $F224, Aux_Totales!$A:$A,#REF!), 0))</f>
        <v/>
      </c>
      <c r="RQJ224" s="19" t="str">
        <f>IF(RQJ220 = "", "", IFERROR(RQJ220 / SUMIFS(Aux_Totales!$N:$N, Aux_Totales!$F:$F, $F224, Aux_Totales!$A:$A,#REF!), 0))</f>
        <v/>
      </c>
      <c r="RQK224" s="19" t="str">
        <f>IF(RQK220 = "", "", IFERROR(RQK220 / SUMIFS(Aux_Totales!$N:$N, Aux_Totales!$F:$F, $F224, Aux_Totales!$A:$A,#REF!), 0))</f>
        <v/>
      </c>
      <c r="RQL224" s="19" t="str">
        <f>IF(RQL220 = "", "", IFERROR(RQL220 / SUMIFS(Aux_Totales!$N:$N, Aux_Totales!$F:$F, $F224, Aux_Totales!$A:$A,#REF!), 0))</f>
        <v/>
      </c>
      <c r="RQM224" s="19" t="str">
        <f>IF(RQM220 = "", "", IFERROR(RQM220 / SUMIFS(Aux_Totales!$N:$N, Aux_Totales!$F:$F, $F224, Aux_Totales!$A:$A,#REF!), 0))</f>
        <v/>
      </c>
      <c r="RQN224" s="19" t="str">
        <f>IF(RQN220 = "", "", IFERROR(RQN220 / SUMIFS(Aux_Totales!$N:$N, Aux_Totales!$F:$F, $F224, Aux_Totales!$A:$A,#REF!), 0))</f>
        <v/>
      </c>
      <c r="RQO224" s="19" t="str">
        <f>IF(RQO220 = "", "", IFERROR(RQO220 / SUMIFS(Aux_Totales!$N:$N, Aux_Totales!$F:$F, $F224, Aux_Totales!$A:$A,#REF!), 0))</f>
        <v/>
      </c>
      <c r="RQP224" s="19" t="str">
        <f>IF(RQP220 = "", "", IFERROR(RQP220 / SUMIFS(Aux_Totales!$N:$N, Aux_Totales!$F:$F, $F224, Aux_Totales!$A:$A,#REF!), 0))</f>
        <v/>
      </c>
      <c r="RQQ224" s="19" t="str">
        <f>IF(RQQ220 = "", "", IFERROR(RQQ220 / SUMIFS(Aux_Totales!$N:$N, Aux_Totales!$F:$F, $F224, Aux_Totales!$A:$A,#REF!), 0))</f>
        <v/>
      </c>
      <c r="RQR224" s="19" t="str">
        <f>IF(RQR220 = "", "", IFERROR(RQR220 / SUMIFS(Aux_Totales!$N:$N, Aux_Totales!$F:$F, $F224, Aux_Totales!$A:$A,#REF!), 0))</f>
        <v/>
      </c>
      <c r="RQS224" s="19" t="str">
        <f>IF(RQS220 = "", "", IFERROR(RQS220 / SUMIFS(Aux_Totales!$N:$N, Aux_Totales!$F:$F, $F224, Aux_Totales!$A:$A,#REF!), 0))</f>
        <v/>
      </c>
      <c r="RQT224" s="19" t="str">
        <f>IF(RQT220 = "", "", IFERROR(RQT220 / SUMIFS(Aux_Totales!$N:$N, Aux_Totales!$F:$F, $F224, Aux_Totales!$A:$A,#REF!), 0))</f>
        <v/>
      </c>
      <c r="RQU224" s="19" t="str">
        <f>IF(RQU220 = "", "", IFERROR(RQU220 / SUMIFS(Aux_Totales!$N:$N, Aux_Totales!$F:$F, $F224, Aux_Totales!$A:$A,#REF!), 0))</f>
        <v/>
      </c>
      <c r="RQV224" s="19" t="str">
        <f>IF(RQV220 = "", "", IFERROR(RQV220 / SUMIFS(Aux_Totales!$N:$N, Aux_Totales!$F:$F, $F224, Aux_Totales!$A:$A,#REF!), 0))</f>
        <v/>
      </c>
      <c r="RQW224" s="19" t="str">
        <f>IF(RQW220 = "", "", IFERROR(RQW220 / SUMIFS(Aux_Totales!$N:$N, Aux_Totales!$F:$F, $F224, Aux_Totales!$A:$A,#REF!), 0))</f>
        <v/>
      </c>
      <c r="RQX224" s="19" t="str">
        <f>IF(RQX220 = "", "", IFERROR(RQX220 / SUMIFS(Aux_Totales!$N:$N, Aux_Totales!$F:$F, $F224, Aux_Totales!$A:$A,#REF!), 0))</f>
        <v/>
      </c>
      <c r="RQY224" s="19" t="str">
        <f>IF(RQY220 = "", "", IFERROR(RQY220 / SUMIFS(Aux_Totales!$N:$N, Aux_Totales!$F:$F, $F224, Aux_Totales!$A:$A,#REF!), 0))</f>
        <v/>
      </c>
      <c r="RQZ224" s="19" t="str">
        <f>IF(RQZ220 = "", "", IFERROR(RQZ220 / SUMIFS(Aux_Totales!$N:$N, Aux_Totales!$F:$F, $F224, Aux_Totales!$A:$A,#REF!), 0))</f>
        <v/>
      </c>
      <c r="RRA224" s="19" t="str">
        <f>IF(RRA220 = "", "", IFERROR(RRA220 / SUMIFS(Aux_Totales!$N:$N, Aux_Totales!$F:$F, $F224, Aux_Totales!$A:$A,#REF!), 0))</f>
        <v/>
      </c>
      <c r="RRB224" s="19" t="str">
        <f>IF(RRB220 = "", "", IFERROR(RRB220 / SUMIFS(Aux_Totales!$N:$N, Aux_Totales!$F:$F, $F224, Aux_Totales!$A:$A,#REF!), 0))</f>
        <v/>
      </c>
      <c r="RRC224" s="19" t="str">
        <f>IF(RRC220 = "", "", IFERROR(RRC220 / SUMIFS(Aux_Totales!$N:$N, Aux_Totales!$F:$F, $F224, Aux_Totales!$A:$A,#REF!), 0))</f>
        <v/>
      </c>
      <c r="RRD224" s="19" t="str">
        <f>IF(RRD220 = "", "", IFERROR(RRD220 / SUMIFS(Aux_Totales!$N:$N, Aux_Totales!$F:$F, $F224, Aux_Totales!$A:$A,#REF!), 0))</f>
        <v/>
      </c>
      <c r="RRE224" s="19" t="str">
        <f>IF(RRE220 = "", "", IFERROR(RRE220 / SUMIFS(Aux_Totales!$N:$N, Aux_Totales!$F:$F, $F224, Aux_Totales!$A:$A,#REF!), 0))</f>
        <v/>
      </c>
      <c r="RRF224" s="19" t="str">
        <f>IF(RRF220 = "", "", IFERROR(RRF220 / SUMIFS(Aux_Totales!$N:$N, Aux_Totales!$F:$F, $F224, Aux_Totales!$A:$A,#REF!), 0))</f>
        <v/>
      </c>
      <c r="RRG224" s="19" t="str">
        <f>IF(RRG220 = "", "", IFERROR(RRG220 / SUMIFS(Aux_Totales!$N:$N, Aux_Totales!$F:$F, $F224, Aux_Totales!$A:$A,#REF!), 0))</f>
        <v/>
      </c>
      <c r="RRH224" s="19" t="str">
        <f>IF(RRH220 = "", "", IFERROR(RRH220 / SUMIFS(Aux_Totales!$N:$N, Aux_Totales!$F:$F, $F224, Aux_Totales!$A:$A,#REF!), 0))</f>
        <v/>
      </c>
      <c r="RRI224" s="19" t="str">
        <f>IF(RRI220 = "", "", IFERROR(RRI220 / SUMIFS(Aux_Totales!$N:$N, Aux_Totales!$F:$F, $F224, Aux_Totales!$A:$A,#REF!), 0))</f>
        <v/>
      </c>
      <c r="RRJ224" s="19" t="str">
        <f>IF(RRJ220 = "", "", IFERROR(RRJ220 / SUMIFS(Aux_Totales!$N:$N, Aux_Totales!$F:$F, $F224, Aux_Totales!$A:$A,#REF!), 0))</f>
        <v/>
      </c>
      <c r="RRK224" s="19" t="str">
        <f>IF(RRK220 = "", "", IFERROR(RRK220 / SUMIFS(Aux_Totales!$N:$N, Aux_Totales!$F:$F, $F224, Aux_Totales!$A:$A,#REF!), 0))</f>
        <v/>
      </c>
      <c r="RRL224" s="19" t="str">
        <f>IF(RRL220 = "", "", IFERROR(RRL220 / SUMIFS(Aux_Totales!$N:$N, Aux_Totales!$F:$F, $F224, Aux_Totales!$A:$A,#REF!), 0))</f>
        <v/>
      </c>
      <c r="RRM224" s="19" t="str">
        <f>IF(RRM220 = "", "", IFERROR(RRM220 / SUMIFS(Aux_Totales!$N:$N, Aux_Totales!$F:$F, $F224, Aux_Totales!$A:$A,#REF!), 0))</f>
        <v/>
      </c>
      <c r="RRN224" s="19" t="str">
        <f>IF(RRN220 = "", "", IFERROR(RRN220 / SUMIFS(Aux_Totales!$N:$N, Aux_Totales!$F:$F, $F224, Aux_Totales!$A:$A,#REF!), 0))</f>
        <v/>
      </c>
      <c r="RRO224" s="19" t="str">
        <f>IF(RRO220 = "", "", IFERROR(RRO220 / SUMIFS(Aux_Totales!$N:$N, Aux_Totales!$F:$F, $F224, Aux_Totales!$A:$A,#REF!), 0))</f>
        <v/>
      </c>
      <c r="RRP224" s="19" t="str">
        <f>IF(RRP220 = "", "", IFERROR(RRP220 / SUMIFS(Aux_Totales!$N:$N, Aux_Totales!$F:$F, $F224, Aux_Totales!$A:$A,#REF!), 0))</f>
        <v/>
      </c>
      <c r="RRQ224" s="19" t="str">
        <f>IF(RRQ220 = "", "", IFERROR(RRQ220 / SUMIFS(Aux_Totales!$N:$N, Aux_Totales!$F:$F, $F224, Aux_Totales!$A:$A,#REF!), 0))</f>
        <v/>
      </c>
      <c r="RRR224" s="19" t="str">
        <f>IF(RRR220 = "", "", IFERROR(RRR220 / SUMIFS(Aux_Totales!$N:$N, Aux_Totales!$F:$F, $F224, Aux_Totales!$A:$A,#REF!), 0))</f>
        <v/>
      </c>
      <c r="RRS224" s="19" t="str">
        <f>IF(RRS220 = "", "", IFERROR(RRS220 / SUMIFS(Aux_Totales!$N:$N, Aux_Totales!$F:$F, $F224, Aux_Totales!$A:$A,#REF!), 0))</f>
        <v/>
      </c>
      <c r="RRT224" s="19" t="str">
        <f>IF(RRT220 = "", "", IFERROR(RRT220 / SUMIFS(Aux_Totales!$N:$N, Aux_Totales!$F:$F, $F224, Aux_Totales!$A:$A,#REF!), 0))</f>
        <v/>
      </c>
      <c r="RRU224" s="19" t="str">
        <f>IF(RRU220 = "", "", IFERROR(RRU220 / SUMIFS(Aux_Totales!$N:$N, Aux_Totales!$F:$F, $F224, Aux_Totales!$A:$A,#REF!), 0))</f>
        <v/>
      </c>
      <c r="RRV224" s="19" t="str">
        <f>IF(RRV220 = "", "", IFERROR(RRV220 / SUMIFS(Aux_Totales!$N:$N, Aux_Totales!$F:$F, $F224, Aux_Totales!$A:$A,#REF!), 0))</f>
        <v/>
      </c>
      <c r="RRW224" s="19" t="str">
        <f>IF(RRW220 = "", "", IFERROR(RRW220 / SUMIFS(Aux_Totales!$N:$N, Aux_Totales!$F:$F, $F224, Aux_Totales!$A:$A,#REF!), 0))</f>
        <v/>
      </c>
      <c r="RRX224" s="19" t="str">
        <f>IF(RRX220 = "", "", IFERROR(RRX220 / SUMIFS(Aux_Totales!$N:$N, Aux_Totales!$F:$F, $F224, Aux_Totales!$A:$A,#REF!), 0))</f>
        <v/>
      </c>
      <c r="RRY224" s="19" t="str">
        <f>IF(RRY220 = "", "", IFERROR(RRY220 / SUMIFS(Aux_Totales!$N:$N, Aux_Totales!$F:$F, $F224, Aux_Totales!$A:$A,#REF!), 0))</f>
        <v/>
      </c>
      <c r="RRZ224" s="19" t="str">
        <f>IF(RRZ220 = "", "", IFERROR(RRZ220 / SUMIFS(Aux_Totales!$N:$N, Aux_Totales!$F:$F, $F224, Aux_Totales!$A:$A,#REF!), 0))</f>
        <v/>
      </c>
      <c r="RSA224" s="19" t="str">
        <f>IF(RSA220 = "", "", IFERROR(RSA220 / SUMIFS(Aux_Totales!$N:$N, Aux_Totales!$F:$F, $F224, Aux_Totales!$A:$A,#REF!), 0))</f>
        <v/>
      </c>
      <c r="RSB224" s="19" t="str">
        <f>IF(RSB220 = "", "", IFERROR(RSB220 / SUMIFS(Aux_Totales!$N:$N, Aux_Totales!$F:$F, $F224, Aux_Totales!$A:$A,#REF!), 0))</f>
        <v/>
      </c>
      <c r="RSC224" s="19" t="str">
        <f>IF(RSC220 = "", "", IFERROR(RSC220 / SUMIFS(Aux_Totales!$N:$N, Aux_Totales!$F:$F, $F224, Aux_Totales!$A:$A,#REF!), 0))</f>
        <v/>
      </c>
      <c r="RSD224" s="19" t="str">
        <f>IF(RSD220 = "", "", IFERROR(RSD220 / SUMIFS(Aux_Totales!$N:$N, Aux_Totales!$F:$F, $F224, Aux_Totales!$A:$A,#REF!), 0))</f>
        <v/>
      </c>
      <c r="RSE224" s="19" t="str">
        <f>IF(RSE220 = "", "", IFERROR(RSE220 / SUMIFS(Aux_Totales!$N:$N, Aux_Totales!$F:$F, $F224, Aux_Totales!$A:$A,#REF!), 0))</f>
        <v/>
      </c>
      <c r="RSF224" s="19" t="str">
        <f>IF(RSF220 = "", "", IFERROR(RSF220 / SUMIFS(Aux_Totales!$N:$N, Aux_Totales!$F:$F, $F224, Aux_Totales!$A:$A,#REF!), 0))</f>
        <v/>
      </c>
      <c r="RSG224" s="19" t="str">
        <f>IF(RSG220 = "", "", IFERROR(RSG220 / SUMIFS(Aux_Totales!$N:$N, Aux_Totales!$F:$F, $F224, Aux_Totales!$A:$A,#REF!), 0))</f>
        <v/>
      </c>
      <c r="RSH224" s="19" t="str">
        <f>IF(RSH220 = "", "", IFERROR(RSH220 / SUMIFS(Aux_Totales!$N:$N, Aux_Totales!$F:$F, $F224, Aux_Totales!$A:$A,#REF!), 0))</f>
        <v/>
      </c>
      <c r="RSI224" s="19" t="str">
        <f>IF(RSI220 = "", "", IFERROR(RSI220 / SUMIFS(Aux_Totales!$N:$N, Aux_Totales!$F:$F, $F224, Aux_Totales!$A:$A,#REF!), 0))</f>
        <v/>
      </c>
      <c r="RSJ224" s="19" t="str">
        <f>IF(RSJ220 = "", "", IFERROR(RSJ220 / SUMIFS(Aux_Totales!$N:$N, Aux_Totales!$F:$F, $F224, Aux_Totales!$A:$A,#REF!), 0))</f>
        <v/>
      </c>
      <c r="RSK224" s="19" t="str">
        <f>IF(RSK220 = "", "", IFERROR(RSK220 / SUMIFS(Aux_Totales!$N:$N, Aux_Totales!$F:$F, $F224, Aux_Totales!$A:$A,#REF!), 0))</f>
        <v/>
      </c>
      <c r="RSL224" s="19" t="str">
        <f>IF(RSL220 = "", "", IFERROR(RSL220 / SUMIFS(Aux_Totales!$N:$N, Aux_Totales!$F:$F, $F224, Aux_Totales!$A:$A,#REF!), 0))</f>
        <v/>
      </c>
      <c r="RSM224" s="19" t="str">
        <f>IF(RSM220 = "", "", IFERROR(RSM220 / SUMIFS(Aux_Totales!$N:$N, Aux_Totales!$F:$F, $F224, Aux_Totales!$A:$A,#REF!), 0))</f>
        <v/>
      </c>
      <c r="RSN224" s="19" t="str">
        <f>IF(RSN220 = "", "", IFERROR(RSN220 / SUMIFS(Aux_Totales!$N:$N, Aux_Totales!$F:$F, $F224, Aux_Totales!$A:$A,#REF!), 0))</f>
        <v/>
      </c>
      <c r="RSO224" s="19" t="str">
        <f>IF(RSO220 = "", "", IFERROR(RSO220 / SUMIFS(Aux_Totales!$N:$N, Aux_Totales!$F:$F, $F224, Aux_Totales!$A:$A,#REF!), 0))</f>
        <v/>
      </c>
      <c r="RSP224" s="19" t="str">
        <f>IF(RSP220 = "", "", IFERROR(RSP220 / SUMIFS(Aux_Totales!$N:$N, Aux_Totales!$F:$F, $F224, Aux_Totales!$A:$A,#REF!), 0))</f>
        <v/>
      </c>
      <c r="RSQ224" s="19" t="str">
        <f>IF(RSQ220 = "", "", IFERROR(RSQ220 / SUMIFS(Aux_Totales!$N:$N, Aux_Totales!$F:$F, $F224, Aux_Totales!$A:$A,#REF!), 0))</f>
        <v/>
      </c>
      <c r="RSR224" s="19" t="str">
        <f>IF(RSR220 = "", "", IFERROR(RSR220 / SUMIFS(Aux_Totales!$N:$N, Aux_Totales!$F:$F, $F224, Aux_Totales!$A:$A,#REF!), 0))</f>
        <v/>
      </c>
      <c r="RSS224" s="19" t="str">
        <f>IF(RSS220 = "", "", IFERROR(RSS220 / SUMIFS(Aux_Totales!$N:$N, Aux_Totales!$F:$F, $F224, Aux_Totales!$A:$A,#REF!), 0))</f>
        <v/>
      </c>
      <c r="RST224" s="19" t="str">
        <f>IF(RST220 = "", "", IFERROR(RST220 / SUMIFS(Aux_Totales!$N:$N, Aux_Totales!$F:$F, $F224, Aux_Totales!$A:$A,#REF!), 0))</f>
        <v/>
      </c>
      <c r="RSU224" s="19" t="str">
        <f>IF(RSU220 = "", "", IFERROR(RSU220 / SUMIFS(Aux_Totales!$N:$N, Aux_Totales!$F:$F, $F224, Aux_Totales!$A:$A,#REF!), 0))</f>
        <v/>
      </c>
      <c r="RSV224" s="19" t="str">
        <f>IF(RSV220 = "", "", IFERROR(RSV220 / SUMIFS(Aux_Totales!$N:$N, Aux_Totales!$F:$F, $F224, Aux_Totales!$A:$A,#REF!), 0))</f>
        <v/>
      </c>
      <c r="RSW224" s="19" t="str">
        <f>IF(RSW220 = "", "", IFERROR(RSW220 / SUMIFS(Aux_Totales!$N:$N, Aux_Totales!$F:$F, $F224, Aux_Totales!$A:$A,#REF!), 0))</f>
        <v/>
      </c>
      <c r="RSX224" s="19" t="str">
        <f>IF(RSX220 = "", "", IFERROR(RSX220 / SUMIFS(Aux_Totales!$N:$N, Aux_Totales!$F:$F, $F224, Aux_Totales!$A:$A,#REF!), 0))</f>
        <v/>
      </c>
      <c r="RSY224" s="19" t="str">
        <f>IF(RSY220 = "", "", IFERROR(RSY220 / SUMIFS(Aux_Totales!$N:$N, Aux_Totales!$F:$F, $F224, Aux_Totales!$A:$A,#REF!), 0))</f>
        <v/>
      </c>
      <c r="RSZ224" s="19" t="str">
        <f>IF(RSZ220 = "", "", IFERROR(RSZ220 / SUMIFS(Aux_Totales!$N:$N, Aux_Totales!$F:$F, $F224, Aux_Totales!$A:$A,#REF!), 0))</f>
        <v/>
      </c>
      <c r="RTA224" s="19" t="str">
        <f>IF(RTA220 = "", "", IFERROR(RTA220 / SUMIFS(Aux_Totales!$N:$N, Aux_Totales!$F:$F, $F224, Aux_Totales!$A:$A,#REF!), 0))</f>
        <v/>
      </c>
      <c r="RTB224" s="19" t="str">
        <f>IF(RTB220 = "", "", IFERROR(RTB220 / SUMIFS(Aux_Totales!$N:$N, Aux_Totales!$F:$F, $F224, Aux_Totales!$A:$A,#REF!), 0))</f>
        <v/>
      </c>
      <c r="RTC224" s="19" t="str">
        <f>IF(RTC220 = "", "", IFERROR(RTC220 / SUMIFS(Aux_Totales!$N:$N, Aux_Totales!$F:$F, $F224, Aux_Totales!$A:$A,#REF!), 0))</f>
        <v/>
      </c>
      <c r="RTD224" s="19" t="str">
        <f>IF(RTD220 = "", "", IFERROR(RTD220 / SUMIFS(Aux_Totales!$N:$N, Aux_Totales!$F:$F, $F224, Aux_Totales!$A:$A,#REF!), 0))</f>
        <v/>
      </c>
      <c r="RTE224" s="19" t="str">
        <f>IF(RTE220 = "", "", IFERROR(RTE220 / SUMIFS(Aux_Totales!$N:$N, Aux_Totales!$F:$F, $F224, Aux_Totales!$A:$A,#REF!), 0))</f>
        <v/>
      </c>
      <c r="RTF224" s="19" t="str">
        <f>IF(RTF220 = "", "", IFERROR(RTF220 / SUMIFS(Aux_Totales!$N:$N, Aux_Totales!$F:$F, $F224, Aux_Totales!$A:$A,#REF!), 0))</f>
        <v/>
      </c>
      <c r="RTG224" s="19" t="str">
        <f>IF(RTG220 = "", "", IFERROR(RTG220 / SUMIFS(Aux_Totales!$N:$N, Aux_Totales!$F:$F, $F224, Aux_Totales!$A:$A,#REF!), 0))</f>
        <v/>
      </c>
      <c r="RTH224" s="19" t="str">
        <f>IF(RTH220 = "", "", IFERROR(RTH220 / SUMIFS(Aux_Totales!$N:$N, Aux_Totales!$F:$F, $F224, Aux_Totales!$A:$A,#REF!), 0))</f>
        <v/>
      </c>
      <c r="RTI224" s="19" t="str">
        <f>IF(RTI220 = "", "", IFERROR(RTI220 / SUMIFS(Aux_Totales!$N:$N, Aux_Totales!$F:$F, $F224, Aux_Totales!$A:$A,#REF!), 0))</f>
        <v/>
      </c>
      <c r="RTJ224" s="19" t="str">
        <f>IF(RTJ220 = "", "", IFERROR(RTJ220 / SUMIFS(Aux_Totales!$N:$N, Aux_Totales!$F:$F, $F224, Aux_Totales!$A:$A,#REF!), 0))</f>
        <v/>
      </c>
      <c r="RTK224" s="19" t="str">
        <f>IF(RTK220 = "", "", IFERROR(RTK220 / SUMIFS(Aux_Totales!$N:$N, Aux_Totales!$F:$F, $F224, Aux_Totales!$A:$A,#REF!), 0))</f>
        <v/>
      </c>
      <c r="RTL224" s="19" t="str">
        <f>IF(RTL220 = "", "", IFERROR(RTL220 / SUMIFS(Aux_Totales!$N:$N, Aux_Totales!$F:$F, $F224, Aux_Totales!$A:$A,#REF!), 0))</f>
        <v/>
      </c>
      <c r="RTM224" s="19" t="str">
        <f>IF(RTM220 = "", "", IFERROR(RTM220 / SUMIFS(Aux_Totales!$N:$N, Aux_Totales!$F:$F, $F224, Aux_Totales!$A:$A,#REF!), 0))</f>
        <v/>
      </c>
      <c r="RTN224" s="19" t="str">
        <f>IF(RTN220 = "", "", IFERROR(RTN220 / SUMIFS(Aux_Totales!$N:$N, Aux_Totales!$F:$F, $F224, Aux_Totales!$A:$A,#REF!), 0))</f>
        <v/>
      </c>
      <c r="RTO224" s="19" t="str">
        <f>IF(RTO220 = "", "", IFERROR(RTO220 / SUMIFS(Aux_Totales!$N:$N, Aux_Totales!$F:$F, $F224, Aux_Totales!$A:$A,#REF!), 0))</f>
        <v/>
      </c>
      <c r="RTP224" s="19" t="str">
        <f>IF(RTP220 = "", "", IFERROR(RTP220 / SUMIFS(Aux_Totales!$N:$N, Aux_Totales!$F:$F, $F224, Aux_Totales!$A:$A,#REF!), 0))</f>
        <v/>
      </c>
      <c r="RTQ224" s="19" t="str">
        <f>IF(RTQ220 = "", "", IFERROR(RTQ220 / SUMIFS(Aux_Totales!$N:$N, Aux_Totales!$F:$F, $F224, Aux_Totales!$A:$A,#REF!), 0))</f>
        <v/>
      </c>
      <c r="RTR224" s="19" t="str">
        <f>IF(RTR220 = "", "", IFERROR(RTR220 / SUMIFS(Aux_Totales!$N:$N, Aux_Totales!$F:$F, $F224, Aux_Totales!$A:$A,#REF!), 0))</f>
        <v/>
      </c>
      <c r="RTS224" s="19" t="str">
        <f>IF(RTS220 = "", "", IFERROR(RTS220 / SUMIFS(Aux_Totales!$N:$N, Aux_Totales!$F:$F, $F224, Aux_Totales!$A:$A,#REF!), 0))</f>
        <v/>
      </c>
      <c r="RTT224" s="19" t="str">
        <f>IF(RTT220 = "", "", IFERROR(RTT220 / SUMIFS(Aux_Totales!$N:$N, Aux_Totales!$F:$F, $F224, Aux_Totales!$A:$A,#REF!), 0))</f>
        <v/>
      </c>
      <c r="RTU224" s="19" t="str">
        <f>IF(RTU220 = "", "", IFERROR(RTU220 / SUMIFS(Aux_Totales!$N:$N, Aux_Totales!$F:$F, $F224, Aux_Totales!$A:$A,#REF!), 0))</f>
        <v/>
      </c>
      <c r="RTV224" s="19" t="str">
        <f>IF(RTV220 = "", "", IFERROR(RTV220 / SUMIFS(Aux_Totales!$N:$N, Aux_Totales!$F:$F, $F224, Aux_Totales!$A:$A,#REF!), 0))</f>
        <v/>
      </c>
      <c r="RTW224" s="19" t="str">
        <f>IF(RTW220 = "", "", IFERROR(RTW220 / SUMIFS(Aux_Totales!$N:$N, Aux_Totales!$F:$F, $F224, Aux_Totales!$A:$A,#REF!), 0))</f>
        <v/>
      </c>
      <c r="RTX224" s="19" t="str">
        <f>IF(RTX220 = "", "", IFERROR(RTX220 / SUMIFS(Aux_Totales!$N:$N, Aux_Totales!$F:$F, $F224, Aux_Totales!$A:$A,#REF!), 0))</f>
        <v/>
      </c>
      <c r="RTY224" s="19" t="str">
        <f>IF(RTY220 = "", "", IFERROR(RTY220 / SUMIFS(Aux_Totales!$N:$N, Aux_Totales!$F:$F, $F224, Aux_Totales!$A:$A,#REF!), 0))</f>
        <v/>
      </c>
      <c r="RTZ224" s="19" t="str">
        <f>IF(RTZ220 = "", "", IFERROR(RTZ220 / SUMIFS(Aux_Totales!$N:$N, Aux_Totales!$F:$F, $F224, Aux_Totales!$A:$A,#REF!), 0))</f>
        <v/>
      </c>
      <c r="RUA224" s="19" t="str">
        <f>IF(RUA220 = "", "", IFERROR(RUA220 / SUMIFS(Aux_Totales!$N:$N, Aux_Totales!$F:$F, $F224, Aux_Totales!$A:$A,#REF!), 0))</f>
        <v/>
      </c>
      <c r="RUB224" s="19" t="str">
        <f>IF(RUB220 = "", "", IFERROR(RUB220 / SUMIFS(Aux_Totales!$N:$N, Aux_Totales!$F:$F, $F224, Aux_Totales!$A:$A,#REF!), 0))</f>
        <v/>
      </c>
      <c r="RUC224" s="19" t="str">
        <f>IF(RUC220 = "", "", IFERROR(RUC220 / SUMIFS(Aux_Totales!$N:$N, Aux_Totales!$F:$F, $F224, Aux_Totales!$A:$A,#REF!), 0))</f>
        <v/>
      </c>
      <c r="RUD224" s="19" t="str">
        <f>IF(RUD220 = "", "", IFERROR(RUD220 / SUMIFS(Aux_Totales!$N:$N, Aux_Totales!$F:$F, $F224, Aux_Totales!$A:$A,#REF!), 0))</f>
        <v/>
      </c>
      <c r="RUE224" s="19" t="str">
        <f>IF(RUE220 = "", "", IFERROR(RUE220 / SUMIFS(Aux_Totales!$N:$N, Aux_Totales!$F:$F, $F224, Aux_Totales!$A:$A,#REF!), 0))</f>
        <v/>
      </c>
      <c r="RUF224" s="19" t="str">
        <f>IF(RUF220 = "", "", IFERROR(RUF220 / SUMIFS(Aux_Totales!$N:$N, Aux_Totales!$F:$F, $F224, Aux_Totales!$A:$A,#REF!), 0))</f>
        <v/>
      </c>
      <c r="RUG224" s="19" t="str">
        <f>IF(RUG220 = "", "", IFERROR(RUG220 / SUMIFS(Aux_Totales!$N:$N, Aux_Totales!$F:$F, $F224, Aux_Totales!$A:$A,#REF!), 0))</f>
        <v/>
      </c>
      <c r="RUH224" s="19" t="str">
        <f>IF(RUH220 = "", "", IFERROR(RUH220 / SUMIFS(Aux_Totales!$N:$N, Aux_Totales!$F:$F, $F224, Aux_Totales!$A:$A,#REF!), 0))</f>
        <v/>
      </c>
      <c r="RUI224" s="19" t="str">
        <f>IF(RUI220 = "", "", IFERROR(RUI220 / SUMIFS(Aux_Totales!$N:$N, Aux_Totales!$F:$F, $F224, Aux_Totales!$A:$A,#REF!), 0))</f>
        <v/>
      </c>
      <c r="RUJ224" s="19" t="str">
        <f>IF(RUJ220 = "", "", IFERROR(RUJ220 / SUMIFS(Aux_Totales!$N:$N, Aux_Totales!$F:$F, $F224, Aux_Totales!$A:$A,#REF!), 0))</f>
        <v/>
      </c>
      <c r="RUK224" s="19" t="str">
        <f>IF(RUK220 = "", "", IFERROR(RUK220 / SUMIFS(Aux_Totales!$N:$N, Aux_Totales!$F:$F, $F224, Aux_Totales!$A:$A,#REF!), 0))</f>
        <v/>
      </c>
      <c r="RUL224" s="19" t="str">
        <f>IF(RUL220 = "", "", IFERROR(RUL220 / SUMIFS(Aux_Totales!$N:$N, Aux_Totales!$F:$F, $F224, Aux_Totales!$A:$A,#REF!), 0))</f>
        <v/>
      </c>
      <c r="RUM224" s="19" t="str">
        <f>IF(RUM220 = "", "", IFERROR(RUM220 / SUMIFS(Aux_Totales!$N:$N, Aux_Totales!$F:$F, $F224, Aux_Totales!$A:$A,#REF!), 0))</f>
        <v/>
      </c>
      <c r="RUN224" s="19" t="str">
        <f>IF(RUN220 = "", "", IFERROR(RUN220 / SUMIFS(Aux_Totales!$N:$N, Aux_Totales!$F:$F, $F224, Aux_Totales!$A:$A,#REF!), 0))</f>
        <v/>
      </c>
      <c r="RUO224" s="19" t="str">
        <f>IF(RUO220 = "", "", IFERROR(RUO220 / SUMIFS(Aux_Totales!$N:$N, Aux_Totales!$F:$F, $F224, Aux_Totales!$A:$A,#REF!), 0))</f>
        <v/>
      </c>
      <c r="RUP224" s="19" t="str">
        <f>IF(RUP220 = "", "", IFERROR(RUP220 / SUMIFS(Aux_Totales!$N:$N, Aux_Totales!$F:$F, $F224, Aux_Totales!$A:$A,#REF!), 0))</f>
        <v/>
      </c>
      <c r="RUQ224" s="19" t="str">
        <f>IF(RUQ220 = "", "", IFERROR(RUQ220 / SUMIFS(Aux_Totales!$N:$N, Aux_Totales!$F:$F, $F224, Aux_Totales!$A:$A,#REF!), 0))</f>
        <v/>
      </c>
      <c r="RUR224" s="19" t="str">
        <f>IF(RUR220 = "", "", IFERROR(RUR220 / SUMIFS(Aux_Totales!$N:$N, Aux_Totales!$F:$F, $F224, Aux_Totales!$A:$A,#REF!), 0))</f>
        <v/>
      </c>
      <c r="RUS224" s="19" t="str">
        <f>IF(RUS220 = "", "", IFERROR(RUS220 / SUMIFS(Aux_Totales!$N:$N, Aux_Totales!$F:$F, $F224, Aux_Totales!$A:$A,#REF!), 0))</f>
        <v/>
      </c>
      <c r="RUT224" s="19" t="str">
        <f>IF(RUT220 = "", "", IFERROR(RUT220 / SUMIFS(Aux_Totales!$N:$N, Aux_Totales!$F:$F, $F224, Aux_Totales!$A:$A,#REF!), 0))</f>
        <v/>
      </c>
      <c r="RUU224" s="19" t="str">
        <f>IF(RUU220 = "", "", IFERROR(RUU220 / SUMIFS(Aux_Totales!$N:$N, Aux_Totales!$F:$F, $F224, Aux_Totales!$A:$A,#REF!), 0))</f>
        <v/>
      </c>
      <c r="RUV224" s="19" t="str">
        <f>IF(RUV220 = "", "", IFERROR(RUV220 / SUMIFS(Aux_Totales!$N:$N, Aux_Totales!$F:$F, $F224, Aux_Totales!$A:$A,#REF!), 0))</f>
        <v/>
      </c>
      <c r="RUW224" s="19" t="str">
        <f>IF(RUW220 = "", "", IFERROR(RUW220 / SUMIFS(Aux_Totales!$N:$N, Aux_Totales!$F:$F, $F224, Aux_Totales!$A:$A,#REF!), 0))</f>
        <v/>
      </c>
      <c r="RUX224" s="19" t="str">
        <f>IF(RUX220 = "", "", IFERROR(RUX220 / SUMIFS(Aux_Totales!$N:$N, Aux_Totales!$F:$F, $F224, Aux_Totales!$A:$A,#REF!), 0))</f>
        <v/>
      </c>
      <c r="RUY224" s="19" t="str">
        <f>IF(RUY220 = "", "", IFERROR(RUY220 / SUMIFS(Aux_Totales!$N:$N, Aux_Totales!$F:$F, $F224, Aux_Totales!$A:$A,#REF!), 0))</f>
        <v/>
      </c>
      <c r="RUZ224" s="19" t="str">
        <f>IF(RUZ220 = "", "", IFERROR(RUZ220 / SUMIFS(Aux_Totales!$N:$N, Aux_Totales!$F:$F, $F224, Aux_Totales!$A:$A,#REF!), 0))</f>
        <v/>
      </c>
      <c r="RVA224" s="19" t="str">
        <f>IF(RVA220 = "", "", IFERROR(RVA220 / SUMIFS(Aux_Totales!$N:$N, Aux_Totales!$F:$F, $F224, Aux_Totales!$A:$A,#REF!), 0))</f>
        <v/>
      </c>
      <c r="RVB224" s="19" t="str">
        <f>IF(RVB220 = "", "", IFERROR(RVB220 / SUMIFS(Aux_Totales!$N:$N, Aux_Totales!$F:$F, $F224, Aux_Totales!$A:$A,#REF!), 0))</f>
        <v/>
      </c>
      <c r="RVC224" s="19" t="str">
        <f>IF(RVC220 = "", "", IFERROR(RVC220 / SUMIFS(Aux_Totales!$N:$N, Aux_Totales!$F:$F, $F224, Aux_Totales!$A:$A,#REF!), 0))</f>
        <v/>
      </c>
      <c r="RVD224" s="19" t="str">
        <f>IF(RVD220 = "", "", IFERROR(RVD220 / SUMIFS(Aux_Totales!$N:$N, Aux_Totales!$F:$F, $F224, Aux_Totales!$A:$A,#REF!), 0))</f>
        <v/>
      </c>
      <c r="RVE224" s="19" t="str">
        <f>IF(RVE220 = "", "", IFERROR(RVE220 / SUMIFS(Aux_Totales!$N:$N, Aux_Totales!$F:$F, $F224, Aux_Totales!$A:$A,#REF!), 0))</f>
        <v/>
      </c>
      <c r="RVF224" s="19" t="str">
        <f>IF(RVF220 = "", "", IFERROR(RVF220 / SUMIFS(Aux_Totales!$N:$N, Aux_Totales!$F:$F, $F224, Aux_Totales!$A:$A,#REF!), 0))</f>
        <v/>
      </c>
      <c r="RVG224" s="19" t="str">
        <f>IF(RVG220 = "", "", IFERROR(RVG220 / SUMIFS(Aux_Totales!$N:$N, Aux_Totales!$F:$F, $F224, Aux_Totales!$A:$A,#REF!), 0))</f>
        <v/>
      </c>
      <c r="RVH224" s="19" t="str">
        <f>IF(RVH220 = "", "", IFERROR(RVH220 / SUMIFS(Aux_Totales!$N:$N, Aux_Totales!$F:$F, $F224, Aux_Totales!$A:$A,#REF!), 0))</f>
        <v/>
      </c>
      <c r="RVI224" s="19" t="str">
        <f>IF(RVI220 = "", "", IFERROR(RVI220 / SUMIFS(Aux_Totales!$N:$N, Aux_Totales!$F:$F, $F224, Aux_Totales!$A:$A,#REF!), 0))</f>
        <v/>
      </c>
      <c r="RVJ224" s="19" t="str">
        <f>IF(RVJ220 = "", "", IFERROR(RVJ220 / SUMIFS(Aux_Totales!$N:$N, Aux_Totales!$F:$F, $F224, Aux_Totales!$A:$A,#REF!), 0))</f>
        <v/>
      </c>
      <c r="RVK224" s="19" t="str">
        <f>IF(RVK220 = "", "", IFERROR(RVK220 / SUMIFS(Aux_Totales!$N:$N, Aux_Totales!$F:$F, $F224, Aux_Totales!$A:$A,#REF!), 0))</f>
        <v/>
      </c>
      <c r="RVL224" s="19" t="str">
        <f>IF(RVL220 = "", "", IFERROR(RVL220 / SUMIFS(Aux_Totales!$N:$N, Aux_Totales!$F:$F, $F224, Aux_Totales!$A:$A,#REF!), 0))</f>
        <v/>
      </c>
      <c r="RVM224" s="19" t="str">
        <f>IF(RVM220 = "", "", IFERROR(RVM220 / SUMIFS(Aux_Totales!$N:$N, Aux_Totales!$F:$F, $F224, Aux_Totales!$A:$A,#REF!), 0))</f>
        <v/>
      </c>
      <c r="RVN224" s="19" t="str">
        <f>IF(RVN220 = "", "", IFERROR(RVN220 / SUMIFS(Aux_Totales!$N:$N, Aux_Totales!$F:$F, $F224, Aux_Totales!$A:$A,#REF!), 0))</f>
        <v/>
      </c>
      <c r="RVO224" s="19" t="str">
        <f>IF(RVO220 = "", "", IFERROR(RVO220 / SUMIFS(Aux_Totales!$N:$N, Aux_Totales!$F:$F, $F224, Aux_Totales!$A:$A,#REF!), 0))</f>
        <v/>
      </c>
      <c r="RVP224" s="19" t="str">
        <f>IF(RVP220 = "", "", IFERROR(RVP220 / SUMIFS(Aux_Totales!$N:$N, Aux_Totales!$F:$F, $F224, Aux_Totales!$A:$A,#REF!), 0))</f>
        <v/>
      </c>
      <c r="RVQ224" s="19" t="str">
        <f>IF(RVQ220 = "", "", IFERROR(RVQ220 / SUMIFS(Aux_Totales!$N:$N, Aux_Totales!$F:$F, $F224, Aux_Totales!$A:$A,#REF!), 0))</f>
        <v/>
      </c>
      <c r="RVR224" s="19" t="str">
        <f>IF(RVR220 = "", "", IFERROR(RVR220 / SUMIFS(Aux_Totales!$N:$N, Aux_Totales!$F:$F, $F224, Aux_Totales!$A:$A,#REF!), 0))</f>
        <v/>
      </c>
      <c r="RVS224" s="19" t="str">
        <f>IF(RVS220 = "", "", IFERROR(RVS220 / SUMIFS(Aux_Totales!$N:$N, Aux_Totales!$F:$F, $F224, Aux_Totales!$A:$A,#REF!), 0))</f>
        <v/>
      </c>
      <c r="RVT224" s="19" t="str">
        <f>IF(RVT220 = "", "", IFERROR(RVT220 / SUMIFS(Aux_Totales!$N:$N, Aux_Totales!$F:$F, $F224, Aux_Totales!$A:$A,#REF!), 0))</f>
        <v/>
      </c>
      <c r="RVU224" s="19" t="str">
        <f>IF(RVU220 = "", "", IFERROR(RVU220 / SUMIFS(Aux_Totales!$N:$N, Aux_Totales!$F:$F, $F224, Aux_Totales!$A:$A,#REF!), 0))</f>
        <v/>
      </c>
      <c r="RVV224" s="19" t="str">
        <f>IF(RVV220 = "", "", IFERROR(RVV220 / SUMIFS(Aux_Totales!$N:$N, Aux_Totales!$F:$F, $F224, Aux_Totales!$A:$A,#REF!), 0))</f>
        <v/>
      </c>
      <c r="RVW224" s="19" t="str">
        <f>IF(RVW220 = "", "", IFERROR(RVW220 / SUMIFS(Aux_Totales!$N:$N, Aux_Totales!$F:$F, $F224, Aux_Totales!$A:$A,#REF!), 0))</f>
        <v/>
      </c>
      <c r="RVX224" s="19" t="str">
        <f>IF(RVX220 = "", "", IFERROR(RVX220 / SUMIFS(Aux_Totales!$N:$N, Aux_Totales!$F:$F, $F224, Aux_Totales!$A:$A,#REF!), 0))</f>
        <v/>
      </c>
      <c r="RVY224" s="19" t="str">
        <f>IF(RVY220 = "", "", IFERROR(RVY220 / SUMIFS(Aux_Totales!$N:$N, Aux_Totales!$F:$F, $F224, Aux_Totales!$A:$A,#REF!), 0))</f>
        <v/>
      </c>
      <c r="RVZ224" s="19" t="str">
        <f>IF(RVZ220 = "", "", IFERROR(RVZ220 / SUMIFS(Aux_Totales!$N:$N, Aux_Totales!$F:$F, $F224, Aux_Totales!$A:$A,#REF!), 0))</f>
        <v/>
      </c>
      <c r="RWA224" s="19" t="str">
        <f>IF(RWA220 = "", "", IFERROR(RWA220 / SUMIFS(Aux_Totales!$N:$N, Aux_Totales!$F:$F, $F224, Aux_Totales!$A:$A,#REF!), 0))</f>
        <v/>
      </c>
      <c r="RWB224" s="19" t="str">
        <f>IF(RWB220 = "", "", IFERROR(RWB220 / SUMIFS(Aux_Totales!$N:$N, Aux_Totales!$F:$F, $F224, Aux_Totales!$A:$A,#REF!), 0))</f>
        <v/>
      </c>
      <c r="RWC224" s="19" t="str">
        <f>IF(RWC220 = "", "", IFERROR(RWC220 / SUMIFS(Aux_Totales!$N:$N, Aux_Totales!$F:$F, $F224, Aux_Totales!$A:$A,#REF!), 0))</f>
        <v/>
      </c>
      <c r="RWD224" s="19" t="str">
        <f>IF(RWD220 = "", "", IFERROR(RWD220 / SUMIFS(Aux_Totales!$N:$N, Aux_Totales!$F:$F, $F224, Aux_Totales!$A:$A,#REF!), 0))</f>
        <v/>
      </c>
      <c r="RWE224" s="19" t="str">
        <f>IF(RWE220 = "", "", IFERROR(RWE220 / SUMIFS(Aux_Totales!$N:$N, Aux_Totales!$F:$F, $F224, Aux_Totales!$A:$A,#REF!), 0))</f>
        <v/>
      </c>
      <c r="RWF224" s="19" t="str">
        <f>IF(RWF220 = "", "", IFERROR(RWF220 / SUMIFS(Aux_Totales!$N:$N, Aux_Totales!$F:$F, $F224, Aux_Totales!$A:$A,#REF!), 0))</f>
        <v/>
      </c>
      <c r="RWG224" s="19" t="str">
        <f>IF(RWG220 = "", "", IFERROR(RWG220 / SUMIFS(Aux_Totales!$N:$N, Aux_Totales!$F:$F, $F224, Aux_Totales!$A:$A,#REF!), 0))</f>
        <v/>
      </c>
      <c r="RWH224" s="19" t="str">
        <f>IF(RWH220 = "", "", IFERROR(RWH220 / SUMIFS(Aux_Totales!$N:$N, Aux_Totales!$F:$F, $F224, Aux_Totales!$A:$A,#REF!), 0))</f>
        <v/>
      </c>
      <c r="RWI224" s="19" t="str">
        <f>IF(RWI220 = "", "", IFERROR(RWI220 / SUMIFS(Aux_Totales!$N:$N, Aux_Totales!$F:$F, $F224, Aux_Totales!$A:$A,#REF!), 0))</f>
        <v/>
      </c>
      <c r="RWJ224" s="19" t="str">
        <f>IF(RWJ220 = "", "", IFERROR(RWJ220 / SUMIFS(Aux_Totales!$N:$N, Aux_Totales!$F:$F, $F224, Aux_Totales!$A:$A,#REF!), 0))</f>
        <v/>
      </c>
      <c r="RWK224" s="19" t="str">
        <f>IF(RWK220 = "", "", IFERROR(RWK220 / SUMIFS(Aux_Totales!$N:$N, Aux_Totales!$F:$F, $F224, Aux_Totales!$A:$A,#REF!), 0))</f>
        <v/>
      </c>
      <c r="RWL224" s="19" t="str">
        <f>IF(RWL220 = "", "", IFERROR(RWL220 / SUMIFS(Aux_Totales!$N:$N, Aux_Totales!$F:$F, $F224, Aux_Totales!$A:$A,#REF!), 0))</f>
        <v/>
      </c>
      <c r="RWM224" s="19" t="str">
        <f>IF(RWM220 = "", "", IFERROR(RWM220 / SUMIFS(Aux_Totales!$N:$N, Aux_Totales!$F:$F, $F224, Aux_Totales!$A:$A,#REF!), 0))</f>
        <v/>
      </c>
      <c r="RWN224" s="19" t="str">
        <f>IF(RWN220 = "", "", IFERROR(RWN220 / SUMIFS(Aux_Totales!$N:$N, Aux_Totales!$F:$F, $F224, Aux_Totales!$A:$A,#REF!), 0))</f>
        <v/>
      </c>
      <c r="RWO224" s="19" t="str">
        <f>IF(RWO220 = "", "", IFERROR(RWO220 / SUMIFS(Aux_Totales!$N:$N, Aux_Totales!$F:$F, $F224, Aux_Totales!$A:$A,#REF!), 0))</f>
        <v/>
      </c>
      <c r="RWP224" s="19" t="str">
        <f>IF(RWP220 = "", "", IFERROR(RWP220 / SUMIFS(Aux_Totales!$N:$N, Aux_Totales!$F:$F, $F224, Aux_Totales!$A:$A,#REF!), 0))</f>
        <v/>
      </c>
      <c r="RWQ224" s="19" t="str">
        <f>IF(RWQ220 = "", "", IFERROR(RWQ220 / SUMIFS(Aux_Totales!$N:$N, Aux_Totales!$F:$F, $F224, Aux_Totales!$A:$A,#REF!), 0))</f>
        <v/>
      </c>
      <c r="RWR224" s="19" t="str">
        <f>IF(RWR220 = "", "", IFERROR(RWR220 / SUMIFS(Aux_Totales!$N:$N, Aux_Totales!$F:$F, $F224, Aux_Totales!$A:$A,#REF!), 0))</f>
        <v/>
      </c>
      <c r="RWS224" s="19" t="str">
        <f>IF(RWS220 = "", "", IFERROR(RWS220 / SUMIFS(Aux_Totales!$N:$N, Aux_Totales!$F:$F, $F224, Aux_Totales!$A:$A,#REF!), 0))</f>
        <v/>
      </c>
      <c r="RWT224" s="19" t="str">
        <f>IF(RWT220 = "", "", IFERROR(RWT220 / SUMIFS(Aux_Totales!$N:$N, Aux_Totales!$F:$F, $F224, Aux_Totales!$A:$A,#REF!), 0))</f>
        <v/>
      </c>
      <c r="RWU224" s="19" t="str">
        <f>IF(RWU220 = "", "", IFERROR(RWU220 / SUMIFS(Aux_Totales!$N:$N, Aux_Totales!$F:$F, $F224, Aux_Totales!$A:$A,#REF!), 0))</f>
        <v/>
      </c>
      <c r="RWV224" s="19" t="str">
        <f>IF(RWV220 = "", "", IFERROR(RWV220 / SUMIFS(Aux_Totales!$N:$N, Aux_Totales!$F:$F, $F224, Aux_Totales!$A:$A,#REF!), 0))</f>
        <v/>
      </c>
      <c r="RWW224" s="19" t="str">
        <f>IF(RWW220 = "", "", IFERROR(RWW220 / SUMIFS(Aux_Totales!$N:$N, Aux_Totales!$F:$F, $F224, Aux_Totales!$A:$A,#REF!), 0))</f>
        <v/>
      </c>
      <c r="RWX224" s="19" t="str">
        <f>IF(RWX220 = "", "", IFERROR(RWX220 / SUMIFS(Aux_Totales!$N:$N, Aux_Totales!$F:$F, $F224, Aux_Totales!$A:$A,#REF!), 0))</f>
        <v/>
      </c>
      <c r="RWY224" s="19" t="str">
        <f>IF(RWY220 = "", "", IFERROR(RWY220 / SUMIFS(Aux_Totales!$N:$N, Aux_Totales!$F:$F, $F224, Aux_Totales!$A:$A,#REF!), 0))</f>
        <v/>
      </c>
      <c r="RWZ224" s="19" t="str">
        <f>IF(RWZ220 = "", "", IFERROR(RWZ220 / SUMIFS(Aux_Totales!$N:$N, Aux_Totales!$F:$F, $F224, Aux_Totales!$A:$A,#REF!), 0))</f>
        <v/>
      </c>
      <c r="RXA224" s="19" t="str">
        <f>IF(RXA220 = "", "", IFERROR(RXA220 / SUMIFS(Aux_Totales!$N:$N, Aux_Totales!$F:$F, $F224, Aux_Totales!$A:$A,#REF!), 0))</f>
        <v/>
      </c>
      <c r="RXB224" s="19" t="str">
        <f>IF(RXB220 = "", "", IFERROR(RXB220 / SUMIFS(Aux_Totales!$N:$N, Aux_Totales!$F:$F, $F224, Aux_Totales!$A:$A,#REF!), 0))</f>
        <v/>
      </c>
      <c r="RXC224" s="19" t="str">
        <f>IF(RXC220 = "", "", IFERROR(RXC220 / SUMIFS(Aux_Totales!$N:$N, Aux_Totales!$F:$F, $F224, Aux_Totales!$A:$A,#REF!), 0))</f>
        <v/>
      </c>
      <c r="RXD224" s="19" t="str">
        <f>IF(RXD220 = "", "", IFERROR(RXD220 / SUMIFS(Aux_Totales!$N:$N, Aux_Totales!$F:$F, $F224, Aux_Totales!$A:$A,#REF!), 0))</f>
        <v/>
      </c>
      <c r="RXE224" s="19" t="str">
        <f>IF(RXE220 = "", "", IFERROR(RXE220 / SUMIFS(Aux_Totales!$N:$N, Aux_Totales!$F:$F, $F224, Aux_Totales!$A:$A,#REF!), 0))</f>
        <v/>
      </c>
      <c r="RXF224" s="19" t="str">
        <f>IF(RXF220 = "", "", IFERROR(RXF220 / SUMIFS(Aux_Totales!$N:$N, Aux_Totales!$F:$F, $F224, Aux_Totales!$A:$A,#REF!), 0))</f>
        <v/>
      </c>
      <c r="RXG224" s="19" t="str">
        <f>IF(RXG220 = "", "", IFERROR(RXG220 / SUMIFS(Aux_Totales!$N:$N, Aux_Totales!$F:$F, $F224, Aux_Totales!$A:$A,#REF!), 0))</f>
        <v/>
      </c>
      <c r="RXH224" s="19" t="str">
        <f>IF(RXH220 = "", "", IFERROR(RXH220 / SUMIFS(Aux_Totales!$N:$N, Aux_Totales!$F:$F, $F224, Aux_Totales!$A:$A,#REF!), 0))</f>
        <v/>
      </c>
      <c r="RXI224" s="19" t="str">
        <f>IF(RXI220 = "", "", IFERROR(RXI220 / SUMIFS(Aux_Totales!$N:$N, Aux_Totales!$F:$F, $F224, Aux_Totales!$A:$A,#REF!), 0))</f>
        <v/>
      </c>
      <c r="RXJ224" s="19" t="str">
        <f>IF(RXJ220 = "", "", IFERROR(RXJ220 / SUMIFS(Aux_Totales!$N:$N, Aux_Totales!$F:$F, $F224, Aux_Totales!$A:$A,#REF!), 0))</f>
        <v/>
      </c>
      <c r="RXK224" s="19" t="str">
        <f>IF(RXK220 = "", "", IFERROR(RXK220 / SUMIFS(Aux_Totales!$N:$N, Aux_Totales!$F:$F, $F224, Aux_Totales!$A:$A,#REF!), 0))</f>
        <v/>
      </c>
      <c r="RXL224" s="19" t="str">
        <f>IF(RXL220 = "", "", IFERROR(RXL220 / SUMIFS(Aux_Totales!$N:$N, Aux_Totales!$F:$F, $F224, Aux_Totales!$A:$A,#REF!), 0))</f>
        <v/>
      </c>
      <c r="RXM224" s="19" t="str">
        <f>IF(RXM220 = "", "", IFERROR(RXM220 / SUMIFS(Aux_Totales!$N:$N, Aux_Totales!$F:$F, $F224, Aux_Totales!$A:$A,#REF!), 0))</f>
        <v/>
      </c>
      <c r="RXN224" s="19" t="str">
        <f>IF(RXN220 = "", "", IFERROR(RXN220 / SUMIFS(Aux_Totales!$N:$N, Aux_Totales!$F:$F, $F224, Aux_Totales!$A:$A,#REF!), 0))</f>
        <v/>
      </c>
      <c r="RXO224" s="19" t="str">
        <f>IF(RXO220 = "", "", IFERROR(RXO220 / SUMIFS(Aux_Totales!$N:$N, Aux_Totales!$F:$F, $F224, Aux_Totales!$A:$A,#REF!), 0))</f>
        <v/>
      </c>
      <c r="RXP224" s="19" t="str">
        <f>IF(RXP220 = "", "", IFERROR(RXP220 / SUMIFS(Aux_Totales!$N:$N, Aux_Totales!$F:$F, $F224, Aux_Totales!$A:$A,#REF!), 0))</f>
        <v/>
      </c>
      <c r="RXQ224" s="19" t="str">
        <f>IF(RXQ220 = "", "", IFERROR(RXQ220 / SUMIFS(Aux_Totales!$N:$N, Aux_Totales!$F:$F, $F224, Aux_Totales!$A:$A,#REF!), 0))</f>
        <v/>
      </c>
      <c r="RXR224" s="19" t="str">
        <f>IF(RXR220 = "", "", IFERROR(RXR220 / SUMIFS(Aux_Totales!$N:$N, Aux_Totales!$F:$F, $F224, Aux_Totales!$A:$A,#REF!), 0))</f>
        <v/>
      </c>
      <c r="RXS224" s="19" t="str">
        <f>IF(RXS220 = "", "", IFERROR(RXS220 / SUMIFS(Aux_Totales!$N:$N, Aux_Totales!$F:$F, $F224, Aux_Totales!$A:$A,#REF!), 0))</f>
        <v/>
      </c>
      <c r="RXT224" s="19" t="str">
        <f>IF(RXT220 = "", "", IFERROR(RXT220 / SUMIFS(Aux_Totales!$N:$N, Aux_Totales!$F:$F, $F224, Aux_Totales!$A:$A,#REF!), 0))</f>
        <v/>
      </c>
      <c r="RXU224" s="19" t="str">
        <f>IF(RXU220 = "", "", IFERROR(RXU220 / SUMIFS(Aux_Totales!$N:$N, Aux_Totales!$F:$F, $F224, Aux_Totales!$A:$A,#REF!), 0))</f>
        <v/>
      </c>
      <c r="RXV224" s="19" t="str">
        <f>IF(RXV220 = "", "", IFERROR(RXV220 / SUMIFS(Aux_Totales!$N:$N, Aux_Totales!$F:$F, $F224, Aux_Totales!$A:$A,#REF!), 0))</f>
        <v/>
      </c>
      <c r="RXW224" s="19" t="str">
        <f>IF(RXW220 = "", "", IFERROR(RXW220 / SUMIFS(Aux_Totales!$N:$N, Aux_Totales!$F:$F, $F224, Aux_Totales!$A:$A,#REF!), 0))</f>
        <v/>
      </c>
      <c r="RXX224" s="19" t="str">
        <f>IF(RXX220 = "", "", IFERROR(RXX220 / SUMIFS(Aux_Totales!$N:$N, Aux_Totales!$F:$F, $F224, Aux_Totales!$A:$A,#REF!), 0))</f>
        <v/>
      </c>
      <c r="RXY224" s="19" t="str">
        <f>IF(RXY220 = "", "", IFERROR(RXY220 / SUMIFS(Aux_Totales!$N:$N, Aux_Totales!$F:$F, $F224, Aux_Totales!$A:$A,#REF!), 0))</f>
        <v/>
      </c>
      <c r="RXZ224" s="19" t="str">
        <f>IF(RXZ220 = "", "", IFERROR(RXZ220 / SUMIFS(Aux_Totales!$N:$N, Aux_Totales!$F:$F, $F224, Aux_Totales!$A:$A,#REF!), 0))</f>
        <v/>
      </c>
      <c r="RYA224" s="19" t="str">
        <f>IF(RYA220 = "", "", IFERROR(RYA220 / SUMIFS(Aux_Totales!$N:$N, Aux_Totales!$F:$F, $F224, Aux_Totales!$A:$A,#REF!), 0))</f>
        <v/>
      </c>
      <c r="RYB224" s="19" t="str">
        <f>IF(RYB220 = "", "", IFERROR(RYB220 / SUMIFS(Aux_Totales!$N:$N, Aux_Totales!$F:$F, $F224, Aux_Totales!$A:$A,#REF!), 0))</f>
        <v/>
      </c>
      <c r="RYC224" s="19" t="str">
        <f>IF(RYC220 = "", "", IFERROR(RYC220 / SUMIFS(Aux_Totales!$N:$N, Aux_Totales!$F:$F, $F224, Aux_Totales!$A:$A,#REF!), 0))</f>
        <v/>
      </c>
      <c r="RYD224" s="19" t="str">
        <f>IF(RYD220 = "", "", IFERROR(RYD220 / SUMIFS(Aux_Totales!$N:$N, Aux_Totales!$F:$F, $F224, Aux_Totales!$A:$A,#REF!), 0))</f>
        <v/>
      </c>
      <c r="RYE224" s="19" t="str">
        <f>IF(RYE220 = "", "", IFERROR(RYE220 / SUMIFS(Aux_Totales!$N:$N, Aux_Totales!$F:$F, $F224, Aux_Totales!$A:$A,#REF!), 0))</f>
        <v/>
      </c>
      <c r="RYF224" s="19" t="str">
        <f>IF(RYF220 = "", "", IFERROR(RYF220 / SUMIFS(Aux_Totales!$N:$N, Aux_Totales!$F:$F, $F224, Aux_Totales!$A:$A,#REF!), 0))</f>
        <v/>
      </c>
      <c r="RYG224" s="19" t="str">
        <f>IF(RYG220 = "", "", IFERROR(RYG220 / SUMIFS(Aux_Totales!$N:$N, Aux_Totales!$F:$F, $F224, Aux_Totales!$A:$A,#REF!), 0))</f>
        <v/>
      </c>
      <c r="RYH224" s="19" t="str">
        <f>IF(RYH220 = "", "", IFERROR(RYH220 / SUMIFS(Aux_Totales!$N:$N, Aux_Totales!$F:$F, $F224, Aux_Totales!$A:$A,#REF!), 0))</f>
        <v/>
      </c>
      <c r="RYI224" s="19" t="str">
        <f>IF(RYI220 = "", "", IFERROR(RYI220 / SUMIFS(Aux_Totales!$N:$N, Aux_Totales!$F:$F, $F224, Aux_Totales!$A:$A,#REF!), 0))</f>
        <v/>
      </c>
      <c r="RYJ224" s="19" t="str">
        <f>IF(RYJ220 = "", "", IFERROR(RYJ220 / SUMIFS(Aux_Totales!$N:$N, Aux_Totales!$F:$F, $F224, Aux_Totales!$A:$A,#REF!), 0))</f>
        <v/>
      </c>
      <c r="RYK224" s="19" t="str">
        <f>IF(RYK220 = "", "", IFERROR(RYK220 / SUMIFS(Aux_Totales!$N:$N, Aux_Totales!$F:$F, $F224, Aux_Totales!$A:$A,#REF!), 0))</f>
        <v/>
      </c>
      <c r="RYL224" s="19" t="str">
        <f>IF(RYL220 = "", "", IFERROR(RYL220 / SUMIFS(Aux_Totales!$N:$N, Aux_Totales!$F:$F, $F224, Aux_Totales!$A:$A,#REF!), 0))</f>
        <v/>
      </c>
      <c r="RYM224" s="19" t="str">
        <f>IF(RYM220 = "", "", IFERROR(RYM220 / SUMIFS(Aux_Totales!$N:$N, Aux_Totales!$F:$F, $F224, Aux_Totales!$A:$A,#REF!), 0))</f>
        <v/>
      </c>
      <c r="RYN224" s="19" t="str">
        <f>IF(RYN220 = "", "", IFERROR(RYN220 / SUMIFS(Aux_Totales!$N:$N, Aux_Totales!$F:$F, $F224, Aux_Totales!$A:$A,#REF!), 0))</f>
        <v/>
      </c>
      <c r="RYO224" s="19" t="str">
        <f>IF(RYO220 = "", "", IFERROR(RYO220 / SUMIFS(Aux_Totales!$N:$N, Aux_Totales!$F:$F, $F224, Aux_Totales!$A:$A,#REF!), 0))</f>
        <v/>
      </c>
      <c r="RYP224" s="19" t="str">
        <f>IF(RYP220 = "", "", IFERROR(RYP220 / SUMIFS(Aux_Totales!$N:$N, Aux_Totales!$F:$F, $F224, Aux_Totales!$A:$A,#REF!), 0))</f>
        <v/>
      </c>
      <c r="RYQ224" s="19" t="str">
        <f>IF(RYQ220 = "", "", IFERROR(RYQ220 / SUMIFS(Aux_Totales!$N:$N, Aux_Totales!$F:$F, $F224, Aux_Totales!$A:$A,#REF!), 0))</f>
        <v/>
      </c>
      <c r="RYR224" s="19" t="str">
        <f>IF(RYR220 = "", "", IFERROR(RYR220 / SUMIFS(Aux_Totales!$N:$N, Aux_Totales!$F:$F, $F224, Aux_Totales!$A:$A,#REF!), 0))</f>
        <v/>
      </c>
      <c r="RYS224" s="19" t="str">
        <f>IF(RYS220 = "", "", IFERROR(RYS220 / SUMIFS(Aux_Totales!$N:$N, Aux_Totales!$F:$F, $F224, Aux_Totales!$A:$A,#REF!), 0))</f>
        <v/>
      </c>
      <c r="RYT224" s="19" t="str">
        <f>IF(RYT220 = "", "", IFERROR(RYT220 / SUMIFS(Aux_Totales!$N:$N, Aux_Totales!$F:$F, $F224, Aux_Totales!$A:$A,#REF!), 0))</f>
        <v/>
      </c>
      <c r="RYU224" s="19" t="str">
        <f>IF(RYU220 = "", "", IFERROR(RYU220 / SUMIFS(Aux_Totales!$N:$N, Aux_Totales!$F:$F, $F224, Aux_Totales!$A:$A,#REF!), 0))</f>
        <v/>
      </c>
      <c r="RYV224" s="19" t="str">
        <f>IF(RYV220 = "", "", IFERROR(RYV220 / SUMIFS(Aux_Totales!$N:$N, Aux_Totales!$F:$F, $F224, Aux_Totales!$A:$A,#REF!), 0))</f>
        <v/>
      </c>
      <c r="RYW224" s="19" t="str">
        <f>IF(RYW220 = "", "", IFERROR(RYW220 / SUMIFS(Aux_Totales!$N:$N, Aux_Totales!$F:$F, $F224, Aux_Totales!$A:$A,#REF!), 0))</f>
        <v/>
      </c>
      <c r="RYX224" s="19" t="str">
        <f>IF(RYX220 = "", "", IFERROR(RYX220 / SUMIFS(Aux_Totales!$N:$N, Aux_Totales!$F:$F, $F224, Aux_Totales!$A:$A,#REF!), 0))</f>
        <v/>
      </c>
      <c r="RYY224" s="19" t="str">
        <f>IF(RYY220 = "", "", IFERROR(RYY220 / SUMIFS(Aux_Totales!$N:$N, Aux_Totales!$F:$F, $F224, Aux_Totales!$A:$A,#REF!), 0))</f>
        <v/>
      </c>
      <c r="RYZ224" s="19" t="str">
        <f>IF(RYZ220 = "", "", IFERROR(RYZ220 / SUMIFS(Aux_Totales!$N:$N, Aux_Totales!$F:$F, $F224, Aux_Totales!$A:$A,#REF!), 0))</f>
        <v/>
      </c>
      <c r="RZA224" s="19" t="str">
        <f>IF(RZA220 = "", "", IFERROR(RZA220 / SUMIFS(Aux_Totales!$N:$N, Aux_Totales!$F:$F, $F224, Aux_Totales!$A:$A,#REF!), 0))</f>
        <v/>
      </c>
      <c r="RZB224" s="19" t="str">
        <f>IF(RZB220 = "", "", IFERROR(RZB220 / SUMIFS(Aux_Totales!$N:$N, Aux_Totales!$F:$F, $F224, Aux_Totales!$A:$A,#REF!), 0))</f>
        <v/>
      </c>
      <c r="RZC224" s="19" t="str">
        <f>IF(RZC220 = "", "", IFERROR(RZC220 / SUMIFS(Aux_Totales!$N:$N, Aux_Totales!$F:$F, $F224, Aux_Totales!$A:$A,#REF!), 0))</f>
        <v/>
      </c>
      <c r="RZD224" s="19" t="str">
        <f>IF(RZD220 = "", "", IFERROR(RZD220 / SUMIFS(Aux_Totales!$N:$N, Aux_Totales!$F:$F, $F224, Aux_Totales!$A:$A,#REF!), 0))</f>
        <v/>
      </c>
      <c r="RZE224" s="19" t="str">
        <f>IF(RZE220 = "", "", IFERROR(RZE220 / SUMIFS(Aux_Totales!$N:$N, Aux_Totales!$F:$F, $F224, Aux_Totales!$A:$A,#REF!), 0))</f>
        <v/>
      </c>
      <c r="RZF224" s="19" t="str">
        <f>IF(RZF220 = "", "", IFERROR(RZF220 / SUMIFS(Aux_Totales!$N:$N, Aux_Totales!$F:$F, $F224, Aux_Totales!$A:$A,#REF!), 0))</f>
        <v/>
      </c>
      <c r="RZG224" s="19" t="str">
        <f>IF(RZG220 = "", "", IFERROR(RZG220 / SUMIFS(Aux_Totales!$N:$N, Aux_Totales!$F:$F, $F224, Aux_Totales!$A:$A,#REF!), 0))</f>
        <v/>
      </c>
      <c r="RZH224" s="19" t="str">
        <f>IF(RZH220 = "", "", IFERROR(RZH220 / SUMIFS(Aux_Totales!$N:$N, Aux_Totales!$F:$F, $F224, Aux_Totales!$A:$A,#REF!), 0))</f>
        <v/>
      </c>
      <c r="RZI224" s="19" t="str">
        <f>IF(RZI220 = "", "", IFERROR(RZI220 / SUMIFS(Aux_Totales!$N:$N, Aux_Totales!$F:$F, $F224, Aux_Totales!$A:$A,#REF!), 0))</f>
        <v/>
      </c>
      <c r="RZJ224" s="19" t="str">
        <f>IF(RZJ220 = "", "", IFERROR(RZJ220 / SUMIFS(Aux_Totales!$N:$N, Aux_Totales!$F:$F, $F224, Aux_Totales!$A:$A,#REF!), 0))</f>
        <v/>
      </c>
      <c r="RZK224" s="19" t="str">
        <f>IF(RZK220 = "", "", IFERROR(RZK220 / SUMIFS(Aux_Totales!$N:$N, Aux_Totales!$F:$F, $F224, Aux_Totales!$A:$A,#REF!), 0))</f>
        <v/>
      </c>
      <c r="RZL224" s="19" t="str">
        <f>IF(RZL220 = "", "", IFERROR(RZL220 / SUMIFS(Aux_Totales!$N:$N, Aux_Totales!$F:$F, $F224, Aux_Totales!$A:$A,#REF!), 0))</f>
        <v/>
      </c>
      <c r="RZM224" s="19" t="str">
        <f>IF(RZM220 = "", "", IFERROR(RZM220 / SUMIFS(Aux_Totales!$N:$N, Aux_Totales!$F:$F, $F224, Aux_Totales!$A:$A,#REF!), 0))</f>
        <v/>
      </c>
      <c r="RZN224" s="19" t="str">
        <f>IF(RZN220 = "", "", IFERROR(RZN220 / SUMIFS(Aux_Totales!$N:$N, Aux_Totales!$F:$F, $F224, Aux_Totales!$A:$A,#REF!), 0))</f>
        <v/>
      </c>
      <c r="RZO224" s="19" t="str">
        <f>IF(RZO220 = "", "", IFERROR(RZO220 / SUMIFS(Aux_Totales!$N:$N, Aux_Totales!$F:$F, $F224, Aux_Totales!$A:$A,#REF!), 0))</f>
        <v/>
      </c>
      <c r="RZP224" s="19" t="str">
        <f>IF(RZP220 = "", "", IFERROR(RZP220 / SUMIFS(Aux_Totales!$N:$N, Aux_Totales!$F:$F, $F224, Aux_Totales!$A:$A,#REF!), 0))</f>
        <v/>
      </c>
      <c r="RZQ224" s="19" t="str">
        <f>IF(RZQ220 = "", "", IFERROR(RZQ220 / SUMIFS(Aux_Totales!$N:$N, Aux_Totales!$F:$F, $F224, Aux_Totales!$A:$A,#REF!), 0))</f>
        <v/>
      </c>
      <c r="RZR224" s="19" t="str">
        <f>IF(RZR220 = "", "", IFERROR(RZR220 / SUMIFS(Aux_Totales!$N:$N, Aux_Totales!$F:$F, $F224, Aux_Totales!$A:$A,#REF!), 0))</f>
        <v/>
      </c>
      <c r="RZS224" s="19" t="str">
        <f>IF(RZS220 = "", "", IFERROR(RZS220 / SUMIFS(Aux_Totales!$N:$N, Aux_Totales!$F:$F, $F224, Aux_Totales!$A:$A,#REF!), 0))</f>
        <v/>
      </c>
      <c r="RZT224" s="19" t="str">
        <f>IF(RZT220 = "", "", IFERROR(RZT220 / SUMIFS(Aux_Totales!$N:$N, Aux_Totales!$F:$F, $F224, Aux_Totales!$A:$A,#REF!), 0))</f>
        <v/>
      </c>
      <c r="RZU224" s="19" t="str">
        <f>IF(RZU220 = "", "", IFERROR(RZU220 / SUMIFS(Aux_Totales!$N:$N, Aux_Totales!$F:$F, $F224, Aux_Totales!$A:$A,#REF!), 0))</f>
        <v/>
      </c>
      <c r="RZV224" s="19" t="str">
        <f>IF(RZV220 = "", "", IFERROR(RZV220 / SUMIFS(Aux_Totales!$N:$N, Aux_Totales!$F:$F, $F224, Aux_Totales!$A:$A,#REF!), 0))</f>
        <v/>
      </c>
      <c r="RZW224" s="19" t="str">
        <f>IF(RZW220 = "", "", IFERROR(RZW220 / SUMIFS(Aux_Totales!$N:$N, Aux_Totales!$F:$F, $F224, Aux_Totales!$A:$A,#REF!), 0))</f>
        <v/>
      </c>
      <c r="RZX224" s="19" t="str">
        <f>IF(RZX220 = "", "", IFERROR(RZX220 / SUMIFS(Aux_Totales!$N:$N, Aux_Totales!$F:$F, $F224, Aux_Totales!$A:$A,#REF!), 0))</f>
        <v/>
      </c>
      <c r="RZY224" s="19" t="str">
        <f>IF(RZY220 = "", "", IFERROR(RZY220 / SUMIFS(Aux_Totales!$N:$N, Aux_Totales!$F:$F, $F224, Aux_Totales!$A:$A,#REF!), 0))</f>
        <v/>
      </c>
      <c r="RZZ224" s="19" t="str">
        <f>IF(RZZ220 = "", "", IFERROR(RZZ220 / SUMIFS(Aux_Totales!$N:$N, Aux_Totales!$F:$F, $F224, Aux_Totales!$A:$A,#REF!), 0))</f>
        <v/>
      </c>
      <c r="SAA224" s="19" t="str">
        <f>IF(SAA220 = "", "", IFERROR(SAA220 / SUMIFS(Aux_Totales!$N:$N, Aux_Totales!$F:$F, $F224, Aux_Totales!$A:$A,#REF!), 0))</f>
        <v/>
      </c>
      <c r="SAB224" s="19" t="str">
        <f>IF(SAB220 = "", "", IFERROR(SAB220 / SUMIFS(Aux_Totales!$N:$N, Aux_Totales!$F:$F, $F224, Aux_Totales!$A:$A,#REF!), 0))</f>
        <v/>
      </c>
      <c r="SAC224" s="19" t="str">
        <f>IF(SAC220 = "", "", IFERROR(SAC220 / SUMIFS(Aux_Totales!$N:$N, Aux_Totales!$F:$F, $F224, Aux_Totales!$A:$A,#REF!), 0))</f>
        <v/>
      </c>
      <c r="SAD224" s="19" t="str">
        <f>IF(SAD220 = "", "", IFERROR(SAD220 / SUMIFS(Aux_Totales!$N:$N, Aux_Totales!$F:$F, $F224, Aux_Totales!$A:$A,#REF!), 0))</f>
        <v/>
      </c>
      <c r="SAE224" s="19" t="str">
        <f>IF(SAE220 = "", "", IFERROR(SAE220 / SUMIFS(Aux_Totales!$N:$N, Aux_Totales!$F:$F, $F224, Aux_Totales!$A:$A,#REF!), 0))</f>
        <v/>
      </c>
      <c r="SAF224" s="19" t="str">
        <f>IF(SAF220 = "", "", IFERROR(SAF220 / SUMIFS(Aux_Totales!$N:$N, Aux_Totales!$F:$F, $F224, Aux_Totales!$A:$A,#REF!), 0))</f>
        <v/>
      </c>
      <c r="SAG224" s="19" t="str">
        <f>IF(SAG220 = "", "", IFERROR(SAG220 / SUMIFS(Aux_Totales!$N:$N, Aux_Totales!$F:$F, $F224, Aux_Totales!$A:$A,#REF!), 0))</f>
        <v/>
      </c>
      <c r="SAH224" s="19" t="str">
        <f>IF(SAH220 = "", "", IFERROR(SAH220 / SUMIFS(Aux_Totales!$N:$N, Aux_Totales!$F:$F, $F224, Aux_Totales!$A:$A,#REF!), 0))</f>
        <v/>
      </c>
      <c r="SAI224" s="19" t="str">
        <f>IF(SAI220 = "", "", IFERROR(SAI220 / SUMIFS(Aux_Totales!$N:$N, Aux_Totales!$F:$F, $F224, Aux_Totales!$A:$A,#REF!), 0))</f>
        <v/>
      </c>
      <c r="SAJ224" s="19" t="str">
        <f>IF(SAJ220 = "", "", IFERROR(SAJ220 / SUMIFS(Aux_Totales!$N:$N, Aux_Totales!$F:$F, $F224, Aux_Totales!$A:$A,#REF!), 0))</f>
        <v/>
      </c>
      <c r="SAK224" s="19" t="str">
        <f>IF(SAK220 = "", "", IFERROR(SAK220 / SUMIFS(Aux_Totales!$N:$N, Aux_Totales!$F:$F, $F224, Aux_Totales!$A:$A,#REF!), 0))</f>
        <v/>
      </c>
      <c r="SAL224" s="19" t="str">
        <f>IF(SAL220 = "", "", IFERROR(SAL220 / SUMIFS(Aux_Totales!$N:$N, Aux_Totales!$F:$F, $F224, Aux_Totales!$A:$A,#REF!), 0))</f>
        <v/>
      </c>
      <c r="SAM224" s="19" t="str">
        <f>IF(SAM220 = "", "", IFERROR(SAM220 / SUMIFS(Aux_Totales!$N:$N, Aux_Totales!$F:$F, $F224, Aux_Totales!$A:$A,#REF!), 0))</f>
        <v/>
      </c>
      <c r="SAN224" s="19" t="str">
        <f>IF(SAN220 = "", "", IFERROR(SAN220 / SUMIFS(Aux_Totales!$N:$N, Aux_Totales!$F:$F, $F224, Aux_Totales!$A:$A,#REF!), 0))</f>
        <v/>
      </c>
      <c r="SAO224" s="19" t="str">
        <f>IF(SAO220 = "", "", IFERROR(SAO220 / SUMIFS(Aux_Totales!$N:$N, Aux_Totales!$F:$F, $F224, Aux_Totales!$A:$A,#REF!), 0))</f>
        <v/>
      </c>
      <c r="SAP224" s="19" t="str">
        <f>IF(SAP220 = "", "", IFERROR(SAP220 / SUMIFS(Aux_Totales!$N:$N, Aux_Totales!$F:$F, $F224, Aux_Totales!$A:$A,#REF!), 0))</f>
        <v/>
      </c>
      <c r="SAQ224" s="19" t="str">
        <f>IF(SAQ220 = "", "", IFERROR(SAQ220 / SUMIFS(Aux_Totales!$N:$N, Aux_Totales!$F:$F, $F224, Aux_Totales!$A:$A,#REF!), 0))</f>
        <v/>
      </c>
      <c r="SAR224" s="19" t="str">
        <f>IF(SAR220 = "", "", IFERROR(SAR220 / SUMIFS(Aux_Totales!$N:$N, Aux_Totales!$F:$F, $F224, Aux_Totales!$A:$A,#REF!), 0))</f>
        <v/>
      </c>
      <c r="SAS224" s="19" t="str">
        <f>IF(SAS220 = "", "", IFERROR(SAS220 / SUMIFS(Aux_Totales!$N:$N, Aux_Totales!$F:$F, $F224, Aux_Totales!$A:$A,#REF!), 0))</f>
        <v/>
      </c>
      <c r="SAT224" s="19" t="str">
        <f>IF(SAT220 = "", "", IFERROR(SAT220 / SUMIFS(Aux_Totales!$N:$N, Aux_Totales!$F:$F, $F224, Aux_Totales!$A:$A,#REF!), 0))</f>
        <v/>
      </c>
      <c r="SAU224" s="19" t="str">
        <f>IF(SAU220 = "", "", IFERROR(SAU220 / SUMIFS(Aux_Totales!$N:$N, Aux_Totales!$F:$F, $F224, Aux_Totales!$A:$A,#REF!), 0))</f>
        <v/>
      </c>
      <c r="SAV224" s="19" t="str">
        <f>IF(SAV220 = "", "", IFERROR(SAV220 / SUMIFS(Aux_Totales!$N:$N, Aux_Totales!$F:$F, $F224, Aux_Totales!$A:$A,#REF!), 0))</f>
        <v/>
      </c>
      <c r="SAW224" s="19" t="str">
        <f>IF(SAW220 = "", "", IFERROR(SAW220 / SUMIFS(Aux_Totales!$N:$N, Aux_Totales!$F:$F, $F224, Aux_Totales!$A:$A,#REF!), 0))</f>
        <v/>
      </c>
      <c r="SAX224" s="19" t="str">
        <f>IF(SAX220 = "", "", IFERROR(SAX220 / SUMIFS(Aux_Totales!$N:$N, Aux_Totales!$F:$F, $F224, Aux_Totales!$A:$A,#REF!), 0))</f>
        <v/>
      </c>
      <c r="SAY224" s="19" t="str">
        <f>IF(SAY220 = "", "", IFERROR(SAY220 / SUMIFS(Aux_Totales!$N:$N, Aux_Totales!$F:$F, $F224, Aux_Totales!$A:$A,#REF!), 0))</f>
        <v/>
      </c>
      <c r="SAZ224" s="19" t="str">
        <f>IF(SAZ220 = "", "", IFERROR(SAZ220 / SUMIFS(Aux_Totales!$N:$N, Aux_Totales!$F:$F, $F224, Aux_Totales!$A:$A,#REF!), 0))</f>
        <v/>
      </c>
      <c r="SBA224" s="19" t="str">
        <f>IF(SBA220 = "", "", IFERROR(SBA220 / SUMIFS(Aux_Totales!$N:$N, Aux_Totales!$F:$F, $F224, Aux_Totales!$A:$A,#REF!), 0))</f>
        <v/>
      </c>
      <c r="SBB224" s="19" t="str">
        <f>IF(SBB220 = "", "", IFERROR(SBB220 / SUMIFS(Aux_Totales!$N:$N, Aux_Totales!$F:$F, $F224, Aux_Totales!$A:$A,#REF!), 0))</f>
        <v/>
      </c>
      <c r="SBC224" s="19" t="str">
        <f>IF(SBC220 = "", "", IFERROR(SBC220 / SUMIFS(Aux_Totales!$N:$N, Aux_Totales!$F:$F, $F224, Aux_Totales!$A:$A,#REF!), 0))</f>
        <v/>
      </c>
      <c r="SBD224" s="19" t="str">
        <f>IF(SBD220 = "", "", IFERROR(SBD220 / SUMIFS(Aux_Totales!$N:$N, Aux_Totales!$F:$F, $F224, Aux_Totales!$A:$A,#REF!), 0))</f>
        <v/>
      </c>
      <c r="SBE224" s="19" t="str">
        <f>IF(SBE220 = "", "", IFERROR(SBE220 / SUMIFS(Aux_Totales!$N:$N, Aux_Totales!$F:$F, $F224, Aux_Totales!$A:$A,#REF!), 0))</f>
        <v/>
      </c>
      <c r="SBF224" s="19" t="str">
        <f>IF(SBF220 = "", "", IFERROR(SBF220 / SUMIFS(Aux_Totales!$N:$N, Aux_Totales!$F:$F, $F224, Aux_Totales!$A:$A,#REF!), 0))</f>
        <v/>
      </c>
      <c r="SBG224" s="19" t="str">
        <f>IF(SBG220 = "", "", IFERROR(SBG220 / SUMIFS(Aux_Totales!$N:$N, Aux_Totales!$F:$F, $F224, Aux_Totales!$A:$A,#REF!), 0))</f>
        <v/>
      </c>
      <c r="SBH224" s="19" t="str">
        <f>IF(SBH220 = "", "", IFERROR(SBH220 / SUMIFS(Aux_Totales!$N:$N, Aux_Totales!$F:$F, $F224, Aux_Totales!$A:$A,#REF!), 0))</f>
        <v/>
      </c>
      <c r="SBI224" s="19" t="str">
        <f>IF(SBI220 = "", "", IFERROR(SBI220 / SUMIFS(Aux_Totales!$N:$N, Aux_Totales!$F:$F, $F224, Aux_Totales!$A:$A,#REF!), 0))</f>
        <v/>
      </c>
      <c r="SBJ224" s="19" t="str">
        <f>IF(SBJ220 = "", "", IFERROR(SBJ220 / SUMIFS(Aux_Totales!$N:$N, Aux_Totales!$F:$F, $F224, Aux_Totales!$A:$A,#REF!), 0))</f>
        <v/>
      </c>
      <c r="SBK224" s="19" t="str">
        <f>IF(SBK220 = "", "", IFERROR(SBK220 / SUMIFS(Aux_Totales!$N:$N, Aux_Totales!$F:$F, $F224, Aux_Totales!$A:$A,#REF!), 0))</f>
        <v/>
      </c>
      <c r="SBL224" s="19" t="str">
        <f>IF(SBL220 = "", "", IFERROR(SBL220 / SUMIFS(Aux_Totales!$N:$N, Aux_Totales!$F:$F, $F224, Aux_Totales!$A:$A,#REF!), 0))</f>
        <v/>
      </c>
      <c r="SBM224" s="19" t="str">
        <f>IF(SBM220 = "", "", IFERROR(SBM220 / SUMIFS(Aux_Totales!$N:$N, Aux_Totales!$F:$F, $F224, Aux_Totales!$A:$A,#REF!), 0))</f>
        <v/>
      </c>
      <c r="SBN224" s="19" t="str">
        <f>IF(SBN220 = "", "", IFERROR(SBN220 / SUMIFS(Aux_Totales!$N:$N, Aux_Totales!$F:$F, $F224, Aux_Totales!$A:$A,#REF!), 0))</f>
        <v/>
      </c>
      <c r="SBO224" s="19" t="str">
        <f>IF(SBO220 = "", "", IFERROR(SBO220 / SUMIFS(Aux_Totales!$N:$N, Aux_Totales!$F:$F, $F224, Aux_Totales!$A:$A,#REF!), 0))</f>
        <v/>
      </c>
      <c r="SBP224" s="19" t="str">
        <f>IF(SBP220 = "", "", IFERROR(SBP220 / SUMIFS(Aux_Totales!$N:$N, Aux_Totales!$F:$F, $F224, Aux_Totales!$A:$A,#REF!), 0))</f>
        <v/>
      </c>
      <c r="SBQ224" s="19" t="str">
        <f>IF(SBQ220 = "", "", IFERROR(SBQ220 / SUMIFS(Aux_Totales!$N:$N, Aux_Totales!$F:$F, $F224, Aux_Totales!$A:$A,#REF!), 0))</f>
        <v/>
      </c>
      <c r="SBR224" s="19" t="str">
        <f>IF(SBR220 = "", "", IFERROR(SBR220 / SUMIFS(Aux_Totales!$N:$N, Aux_Totales!$F:$F, $F224, Aux_Totales!$A:$A,#REF!), 0))</f>
        <v/>
      </c>
      <c r="SBS224" s="19" t="str">
        <f>IF(SBS220 = "", "", IFERROR(SBS220 / SUMIFS(Aux_Totales!$N:$N, Aux_Totales!$F:$F, $F224, Aux_Totales!$A:$A,#REF!), 0))</f>
        <v/>
      </c>
      <c r="SBT224" s="19" t="str">
        <f>IF(SBT220 = "", "", IFERROR(SBT220 / SUMIFS(Aux_Totales!$N:$N, Aux_Totales!$F:$F, $F224, Aux_Totales!$A:$A,#REF!), 0))</f>
        <v/>
      </c>
      <c r="SBU224" s="19" t="str">
        <f>IF(SBU220 = "", "", IFERROR(SBU220 / SUMIFS(Aux_Totales!$N:$N, Aux_Totales!$F:$F, $F224, Aux_Totales!$A:$A,#REF!), 0))</f>
        <v/>
      </c>
      <c r="SBV224" s="19" t="str">
        <f>IF(SBV220 = "", "", IFERROR(SBV220 / SUMIFS(Aux_Totales!$N:$N, Aux_Totales!$F:$F, $F224, Aux_Totales!$A:$A,#REF!), 0))</f>
        <v/>
      </c>
      <c r="SBW224" s="19" t="str">
        <f>IF(SBW220 = "", "", IFERROR(SBW220 / SUMIFS(Aux_Totales!$N:$N, Aux_Totales!$F:$F, $F224, Aux_Totales!$A:$A,#REF!), 0))</f>
        <v/>
      </c>
      <c r="SBX224" s="19" t="str">
        <f>IF(SBX220 = "", "", IFERROR(SBX220 / SUMIFS(Aux_Totales!$N:$N, Aux_Totales!$F:$F, $F224, Aux_Totales!$A:$A,#REF!), 0))</f>
        <v/>
      </c>
      <c r="SBY224" s="19" t="str">
        <f>IF(SBY220 = "", "", IFERROR(SBY220 / SUMIFS(Aux_Totales!$N:$N, Aux_Totales!$F:$F, $F224, Aux_Totales!$A:$A,#REF!), 0))</f>
        <v/>
      </c>
      <c r="SBZ224" s="19" t="str">
        <f>IF(SBZ220 = "", "", IFERROR(SBZ220 / SUMIFS(Aux_Totales!$N:$N, Aux_Totales!$F:$F, $F224, Aux_Totales!$A:$A,#REF!), 0))</f>
        <v/>
      </c>
      <c r="SCA224" s="19" t="str">
        <f>IF(SCA220 = "", "", IFERROR(SCA220 / SUMIFS(Aux_Totales!$N:$N, Aux_Totales!$F:$F, $F224, Aux_Totales!$A:$A,#REF!), 0))</f>
        <v/>
      </c>
      <c r="SCB224" s="19" t="str">
        <f>IF(SCB220 = "", "", IFERROR(SCB220 / SUMIFS(Aux_Totales!$N:$N, Aux_Totales!$F:$F, $F224, Aux_Totales!$A:$A,#REF!), 0))</f>
        <v/>
      </c>
      <c r="SCC224" s="19" t="str">
        <f>IF(SCC220 = "", "", IFERROR(SCC220 / SUMIFS(Aux_Totales!$N:$N, Aux_Totales!$F:$F, $F224, Aux_Totales!$A:$A,#REF!), 0))</f>
        <v/>
      </c>
      <c r="SCD224" s="19" t="str">
        <f>IF(SCD220 = "", "", IFERROR(SCD220 / SUMIFS(Aux_Totales!$N:$N, Aux_Totales!$F:$F, $F224, Aux_Totales!$A:$A,#REF!), 0))</f>
        <v/>
      </c>
      <c r="SCE224" s="19" t="str">
        <f>IF(SCE220 = "", "", IFERROR(SCE220 / SUMIFS(Aux_Totales!$N:$N, Aux_Totales!$F:$F, $F224, Aux_Totales!$A:$A,#REF!), 0))</f>
        <v/>
      </c>
      <c r="SCF224" s="19" t="str">
        <f>IF(SCF220 = "", "", IFERROR(SCF220 / SUMIFS(Aux_Totales!$N:$N, Aux_Totales!$F:$F, $F224, Aux_Totales!$A:$A,#REF!), 0))</f>
        <v/>
      </c>
      <c r="SCG224" s="19" t="str">
        <f>IF(SCG220 = "", "", IFERROR(SCG220 / SUMIFS(Aux_Totales!$N:$N, Aux_Totales!$F:$F, $F224, Aux_Totales!$A:$A,#REF!), 0))</f>
        <v/>
      </c>
      <c r="SCH224" s="19" t="str">
        <f>IF(SCH220 = "", "", IFERROR(SCH220 / SUMIFS(Aux_Totales!$N:$N, Aux_Totales!$F:$F, $F224, Aux_Totales!$A:$A,#REF!), 0))</f>
        <v/>
      </c>
      <c r="SCI224" s="19" t="str">
        <f>IF(SCI220 = "", "", IFERROR(SCI220 / SUMIFS(Aux_Totales!$N:$N, Aux_Totales!$F:$F, $F224, Aux_Totales!$A:$A,#REF!), 0))</f>
        <v/>
      </c>
      <c r="SCJ224" s="19" t="str">
        <f>IF(SCJ220 = "", "", IFERROR(SCJ220 / SUMIFS(Aux_Totales!$N:$N, Aux_Totales!$F:$F, $F224, Aux_Totales!$A:$A,#REF!), 0))</f>
        <v/>
      </c>
      <c r="SCK224" s="19" t="str">
        <f>IF(SCK220 = "", "", IFERROR(SCK220 / SUMIFS(Aux_Totales!$N:$N, Aux_Totales!$F:$F, $F224, Aux_Totales!$A:$A,#REF!), 0))</f>
        <v/>
      </c>
      <c r="SCL224" s="19" t="str">
        <f>IF(SCL220 = "", "", IFERROR(SCL220 / SUMIFS(Aux_Totales!$N:$N, Aux_Totales!$F:$F, $F224, Aux_Totales!$A:$A,#REF!), 0))</f>
        <v/>
      </c>
      <c r="SCM224" s="19" t="str">
        <f>IF(SCM220 = "", "", IFERROR(SCM220 / SUMIFS(Aux_Totales!$N:$N, Aux_Totales!$F:$F, $F224, Aux_Totales!$A:$A,#REF!), 0))</f>
        <v/>
      </c>
      <c r="SCN224" s="19" t="str">
        <f>IF(SCN220 = "", "", IFERROR(SCN220 / SUMIFS(Aux_Totales!$N:$N, Aux_Totales!$F:$F, $F224, Aux_Totales!$A:$A,#REF!), 0))</f>
        <v/>
      </c>
      <c r="SCO224" s="19" t="str">
        <f>IF(SCO220 = "", "", IFERROR(SCO220 / SUMIFS(Aux_Totales!$N:$N, Aux_Totales!$F:$F, $F224, Aux_Totales!$A:$A,#REF!), 0))</f>
        <v/>
      </c>
      <c r="SCP224" s="19" t="str">
        <f>IF(SCP220 = "", "", IFERROR(SCP220 / SUMIFS(Aux_Totales!$N:$N, Aux_Totales!$F:$F, $F224, Aux_Totales!$A:$A,#REF!), 0))</f>
        <v/>
      </c>
      <c r="SCQ224" s="19" t="str">
        <f>IF(SCQ220 = "", "", IFERROR(SCQ220 / SUMIFS(Aux_Totales!$N:$N, Aux_Totales!$F:$F, $F224, Aux_Totales!$A:$A,#REF!), 0))</f>
        <v/>
      </c>
      <c r="SCR224" s="19" t="str">
        <f>IF(SCR220 = "", "", IFERROR(SCR220 / SUMIFS(Aux_Totales!$N:$N, Aux_Totales!$F:$F, $F224, Aux_Totales!$A:$A,#REF!), 0))</f>
        <v/>
      </c>
      <c r="SCS224" s="19" t="str">
        <f>IF(SCS220 = "", "", IFERROR(SCS220 / SUMIFS(Aux_Totales!$N:$N, Aux_Totales!$F:$F, $F224, Aux_Totales!$A:$A,#REF!), 0))</f>
        <v/>
      </c>
      <c r="SCT224" s="19" t="str">
        <f>IF(SCT220 = "", "", IFERROR(SCT220 / SUMIFS(Aux_Totales!$N:$N, Aux_Totales!$F:$F, $F224, Aux_Totales!$A:$A,#REF!), 0))</f>
        <v/>
      </c>
      <c r="SCU224" s="19" t="str">
        <f>IF(SCU220 = "", "", IFERROR(SCU220 / SUMIFS(Aux_Totales!$N:$N, Aux_Totales!$F:$F, $F224, Aux_Totales!$A:$A,#REF!), 0))</f>
        <v/>
      </c>
      <c r="SCV224" s="19" t="str">
        <f>IF(SCV220 = "", "", IFERROR(SCV220 / SUMIFS(Aux_Totales!$N:$N, Aux_Totales!$F:$F, $F224, Aux_Totales!$A:$A,#REF!), 0))</f>
        <v/>
      </c>
      <c r="SCW224" s="19" t="str">
        <f>IF(SCW220 = "", "", IFERROR(SCW220 / SUMIFS(Aux_Totales!$N:$N, Aux_Totales!$F:$F, $F224, Aux_Totales!$A:$A,#REF!), 0))</f>
        <v/>
      </c>
      <c r="SCX224" s="19" t="str">
        <f>IF(SCX220 = "", "", IFERROR(SCX220 / SUMIFS(Aux_Totales!$N:$N, Aux_Totales!$F:$F, $F224, Aux_Totales!$A:$A,#REF!), 0))</f>
        <v/>
      </c>
      <c r="SCY224" s="19" t="str">
        <f>IF(SCY220 = "", "", IFERROR(SCY220 / SUMIFS(Aux_Totales!$N:$N, Aux_Totales!$F:$F, $F224, Aux_Totales!$A:$A,#REF!), 0))</f>
        <v/>
      </c>
      <c r="SCZ224" s="19" t="str">
        <f>IF(SCZ220 = "", "", IFERROR(SCZ220 / SUMIFS(Aux_Totales!$N:$N, Aux_Totales!$F:$F, $F224, Aux_Totales!$A:$A,#REF!), 0))</f>
        <v/>
      </c>
      <c r="SDA224" s="19" t="str">
        <f>IF(SDA220 = "", "", IFERROR(SDA220 / SUMIFS(Aux_Totales!$N:$N, Aux_Totales!$F:$F, $F224, Aux_Totales!$A:$A,#REF!), 0))</f>
        <v/>
      </c>
      <c r="SDB224" s="19" t="str">
        <f>IF(SDB220 = "", "", IFERROR(SDB220 / SUMIFS(Aux_Totales!$N:$N, Aux_Totales!$F:$F, $F224, Aux_Totales!$A:$A,#REF!), 0))</f>
        <v/>
      </c>
      <c r="SDC224" s="19" t="str">
        <f>IF(SDC220 = "", "", IFERROR(SDC220 / SUMIFS(Aux_Totales!$N:$N, Aux_Totales!$F:$F, $F224, Aux_Totales!$A:$A,#REF!), 0))</f>
        <v/>
      </c>
      <c r="SDD224" s="19" t="str">
        <f>IF(SDD220 = "", "", IFERROR(SDD220 / SUMIFS(Aux_Totales!$N:$N, Aux_Totales!$F:$F, $F224, Aux_Totales!$A:$A,#REF!), 0))</f>
        <v/>
      </c>
      <c r="SDE224" s="19" t="str">
        <f>IF(SDE220 = "", "", IFERROR(SDE220 / SUMIFS(Aux_Totales!$N:$N, Aux_Totales!$F:$F, $F224, Aux_Totales!$A:$A,#REF!), 0))</f>
        <v/>
      </c>
      <c r="SDF224" s="19" t="str">
        <f>IF(SDF220 = "", "", IFERROR(SDF220 / SUMIFS(Aux_Totales!$N:$N, Aux_Totales!$F:$F, $F224, Aux_Totales!$A:$A,#REF!), 0))</f>
        <v/>
      </c>
      <c r="SDG224" s="19" t="str">
        <f>IF(SDG220 = "", "", IFERROR(SDG220 / SUMIFS(Aux_Totales!$N:$N, Aux_Totales!$F:$F, $F224, Aux_Totales!$A:$A,#REF!), 0))</f>
        <v/>
      </c>
      <c r="SDH224" s="19" t="str">
        <f>IF(SDH220 = "", "", IFERROR(SDH220 / SUMIFS(Aux_Totales!$N:$N, Aux_Totales!$F:$F, $F224, Aux_Totales!$A:$A,#REF!), 0))</f>
        <v/>
      </c>
      <c r="SDI224" s="19" t="str">
        <f>IF(SDI220 = "", "", IFERROR(SDI220 / SUMIFS(Aux_Totales!$N:$N, Aux_Totales!$F:$F, $F224, Aux_Totales!$A:$A,#REF!), 0))</f>
        <v/>
      </c>
      <c r="SDJ224" s="19" t="str">
        <f>IF(SDJ220 = "", "", IFERROR(SDJ220 / SUMIFS(Aux_Totales!$N:$N, Aux_Totales!$F:$F, $F224, Aux_Totales!$A:$A,#REF!), 0))</f>
        <v/>
      </c>
      <c r="SDK224" s="19" t="str">
        <f>IF(SDK220 = "", "", IFERROR(SDK220 / SUMIFS(Aux_Totales!$N:$N, Aux_Totales!$F:$F, $F224, Aux_Totales!$A:$A,#REF!), 0))</f>
        <v/>
      </c>
      <c r="SDL224" s="19" t="str">
        <f>IF(SDL220 = "", "", IFERROR(SDL220 / SUMIFS(Aux_Totales!$N:$N, Aux_Totales!$F:$F, $F224, Aux_Totales!$A:$A,#REF!), 0))</f>
        <v/>
      </c>
      <c r="SDM224" s="19" t="str">
        <f>IF(SDM220 = "", "", IFERROR(SDM220 / SUMIFS(Aux_Totales!$N:$N, Aux_Totales!$F:$F, $F224, Aux_Totales!$A:$A,#REF!), 0))</f>
        <v/>
      </c>
      <c r="SDN224" s="19" t="str">
        <f>IF(SDN220 = "", "", IFERROR(SDN220 / SUMIFS(Aux_Totales!$N:$N, Aux_Totales!$F:$F, $F224, Aux_Totales!$A:$A,#REF!), 0))</f>
        <v/>
      </c>
      <c r="SDO224" s="19" t="str">
        <f>IF(SDO220 = "", "", IFERROR(SDO220 / SUMIFS(Aux_Totales!$N:$N, Aux_Totales!$F:$F, $F224, Aux_Totales!$A:$A,#REF!), 0))</f>
        <v/>
      </c>
      <c r="SDP224" s="19" t="str">
        <f>IF(SDP220 = "", "", IFERROR(SDP220 / SUMIFS(Aux_Totales!$N:$N, Aux_Totales!$F:$F, $F224, Aux_Totales!$A:$A,#REF!), 0))</f>
        <v/>
      </c>
      <c r="SDQ224" s="19" t="str">
        <f>IF(SDQ220 = "", "", IFERROR(SDQ220 / SUMIFS(Aux_Totales!$N:$N, Aux_Totales!$F:$F, $F224, Aux_Totales!$A:$A,#REF!), 0))</f>
        <v/>
      </c>
      <c r="SDR224" s="19" t="str">
        <f>IF(SDR220 = "", "", IFERROR(SDR220 / SUMIFS(Aux_Totales!$N:$N, Aux_Totales!$F:$F, $F224, Aux_Totales!$A:$A,#REF!), 0))</f>
        <v/>
      </c>
      <c r="SDS224" s="19" t="str">
        <f>IF(SDS220 = "", "", IFERROR(SDS220 / SUMIFS(Aux_Totales!$N:$N, Aux_Totales!$F:$F, $F224, Aux_Totales!$A:$A,#REF!), 0))</f>
        <v/>
      </c>
      <c r="SDT224" s="19" t="str">
        <f>IF(SDT220 = "", "", IFERROR(SDT220 / SUMIFS(Aux_Totales!$N:$N, Aux_Totales!$F:$F, $F224, Aux_Totales!$A:$A,#REF!), 0))</f>
        <v/>
      </c>
      <c r="SDU224" s="19" t="str">
        <f>IF(SDU220 = "", "", IFERROR(SDU220 / SUMIFS(Aux_Totales!$N:$N, Aux_Totales!$F:$F, $F224, Aux_Totales!$A:$A,#REF!), 0))</f>
        <v/>
      </c>
      <c r="SDV224" s="19" t="str">
        <f>IF(SDV220 = "", "", IFERROR(SDV220 / SUMIFS(Aux_Totales!$N:$N, Aux_Totales!$F:$F, $F224, Aux_Totales!$A:$A,#REF!), 0))</f>
        <v/>
      </c>
      <c r="SDW224" s="19" t="str">
        <f>IF(SDW220 = "", "", IFERROR(SDW220 / SUMIFS(Aux_Totales!$N:$N, Aux_Totales!$F:$F, $F224, Aux_Totales!$A:$A,#REF!), 0))</f>
        <v/>
      </c>
      <c r="SDX224" s="19" t="str">
        <f>IF(SDX220 = "", "", IFERROR(SDX220 / SUMIFS(Aux_Totales!$N:$N, Aux_Totales!$F:$F, $F224, Aux_Totales!$A:$A,#REF!), 0))</f>
        <v/>
      </c>
      <c r="SDY224" s="19" t="str">
        <f>IF(SDY220 = "", "", IFERROR(SDY220 / SUMIFS(Aux_Totales!$N:$N, Aux_Totales!$F:$F, $F224, Aux_Totales!$A:$A,#REF!), 0))</f>
        <v/>
      </c>
      <c r="SDZ224" s="19" t="str">
        <f>IF(SDZ220 = "", "", IFERROR(SDZ220 / SUMIFS(Aux_Totales!$N:$N, Aux_Totales!$F:$F, $F224, Aux_Totales!$A:$A,#REF!), 0))</f>
        <v/>
      </c>
      <c r="SEA224" s="19" t="str">
        <f>IF(SEA220 = "", "", IFERROR(SEA220 / SUMIFS(Aux_Totales!$N:$N, Aux_Totales!$F:$F, $F224, Aux_Totales!$A:$A,#REF!), 0))</f>
        <v/>
      </c>
      <c r="SEB224" s="19" t="str">
        <f>IF(SEB220 = "", "", IFERROR(SEB220 / SUMIFS(Aux_Totales!$N:$N, Aux_Totales!$F:$F, $F224, Aux_Totales!$A:$A,#REF!), 0))</f>
        <v/>
      </c>
      <c r="SEC224" s="19" t="str">
        <f>IF(SEC220 = "", "", IFERROR(SEC220 / SUMIFS(Aux_Totales!$N:$N, Aux_Totales!$F:$F, $F224, Aux_Totales!$A:$A,#REF!), 0))</f>
        <v/>
      </c>
      <c r="SED224" s="19" t="str">
        <f>IF(SED220 = "", "", IFERROR(SED220 / SUMIFS(Aux_Totales!$N:$N, Aux_Totales!$F:$F, $F224, Aux_Totales!$A:$A,#REF!), 0))</f>
        <v/>
      </c>
      <c r="SEE224" s="19" t="str">
        <f>IF(SEE220 = "", "", IFERROR(SEE220 / SUMIFS(Aux_Totales!$N:$N, Aux_Totales!$F:$F, $F224, Aux_Totales!$A:$A,#REF!), 0))</f>
        <v/>
      </c>
      <c r="SEF224" s="19" t="str">
        <f>IF(SEF220 = "", "", IFERROR(SEF220 / SUMIFS(Aux_Totales!$N:$N, Aux_Totales!$F:$F, $F224, Aux_Totales!$A:$A,#REF!), 0))</f>
        <v/>
      </c>
      <c r="SEG224" s="19" t="str">
        <f>IF(SEG220 = "", "", IFERROR(SEG220 / SUMIFS(Aux_Totales!$N:$N, Aux_Totales!$F:$F, $F224, Aux_Totales!$A:$A,#REF!), 0))</f>
        <v/>
      </c>
      <c r="SEH224" s="19" t="str">
        <f>IF(SEH220 = "", "", IFERROR(SEH220 / SUMIFS(Aux_Totales!$N:$N, Aux_Totales!$F:$F, $F224, Aux_Totales!$A:$A,#REF!), 0))</f>
        <v/>
      </c>
      <c r="SEI224" s="19" t="str">
        <f>IF(SEI220 = "", "", IFERROR(SEI220 / SUMIFS(Aux_Totales!$N:$N, Aux_Totales!$F:$F, $F224, Aux_Totales!$A:$A,#REF!), 0))</f>
        <v/>
      </c>
      <c r="SEJ224" s="19" t="str">
        <f>IF(SEJ220 = "", "", IFERROR(SEJ220 / SUMIFS(Aux_Totales!$N:$N, Aux_Totales!$F:$F, $F224, Aux_Totales!$A:$A,#REF!), 0))</f>
        <v/>
      </c>
      <c r="SEK224" s="19" t="str">
        <f>IF(SEK220 = "", "", IFERROR(SEK220 / SUMIFS(Aux_Totales!$N:$N, Aux_Totales!$F:$F, $F224, Aux_Totales!$A:$A,#REF!), 0))</f>
        <v/>
      </c>
      <c r="SEL224" s="19" t="str">
        <f>IF(SEL220 = "", "", IFERROR(SEL220 / SUMIFS(Aux_Totales!$N:$N, Aux_Totales!$F:$F, $F224, Aux_Totales!$A:$A,#REF!), 0))</f>
        <v/>
      </c>
      <c r="SEM224" s="19" t="str">
        <f>IF(SEM220 = "", "", IFERROR(SEM220 / SUMIFS(Aux_Totales!$N:$N, Aux_Totales!$F:$F, $F224, Aux_Totales!$A:$A,#REF!), 0))</f>
        <v/>
      </c>
      <c r="SEN224" s="19" t="str">
        <f>IF(SEN220 = "", "", IFERROR(SEN220 / SUMIFS(Aux_Totales!$N:$N, Aux_Totales!$F:$F, $F224, Aux_Totales!$A:$A,#REF!), 0))</f>
        <v/>
      </c>
      <c r="SEO224" s="19" t="str">
        <f>IF(SEO220 = "", "", IFERROR(SEO220 / SUMIFS(Aux_Totales!$N:$N, Aux_Totales!$F:$F, $F224, Aux_Totales!$A:$A,#REF!), 0))</f>
        <v/>
      </c>
      <c r="SEP224" s="19" t="str">
        <f>IF(SEP220 = "", "", IFERROR(SEP220 / SUMIFS(Aux_Totales!$N:$N, Aux_Totales!$F:$F, $F224, Aux_Totales!$A:$A,#REF!), 0))</f>
        <v/>
      </c>
      <c r="SEQ224" s="19" t="str">
        <f>IF(SEQ220 = "", "", IFERROR(SEQ220 / SUMIFS(Aux_Totales!$N:$N, Aux_Totales!$F:$F, $F224, Aux_Totales!$A:$A,#REF!), 0))</f>
        <v/>
      </c>
      <c r="SER224" s="19" t="str">
        <f>IF(SER220 = "", "", IFERROR(SER220 / SUMIFS(Aux_Totales!$N:$N, Aux_Totales!$F:$F, $F224, Aux_Totales!$A:$A,#REF!), 0))</f>
        <v/>
      </c>
      <c r="SES224" s="19" t="str">
        <f>IF(SES220 = "", "", IFERROR(SES220 / SUMIFS(Aux_Totales!$N:$N, Aux_Totales!$F:$F, $F224, Aux_Totales!$A:$A,#REF!), 0))</f>
        <v/>
      </c>
      <c r="SET224" s="19" t="str">
        <f>IF(SET220 = "", "", IFERROR(SET220 / SUMIFS(Aux_Totales!$N:$N, Aux_Totales!$F:$F, $F224, Aux_Totales!$A:$A,#REF!), 0))</f>
        <v/>
      </c>
      <c r="SEU224" s="19" t="str">
        <f>IF(SEU220 = "", "", IFERROR(SEU220 / SUMIFS(Aux_Totales!$N:$N, Aux_Totales!$F:$F, $F224, Aux_Totales!$A:$A,#REF!), 0))</f>
        <v/>
      </c>
      <c r="SEV224" s="19" t="str">
        <f>IF(SEV220 = "", "", IFERROR(SEV220 / SUMIFS(Aux_Totales!$N:$N, Aux_Totales!$F:$F, $F224, Aux_Totales!$A:$A,#REF!), 0))</f>
        <v/>
      </c>
      <c r="SEW224" s="19" t="str">
        <f>IF(SEW220 = "", "", IFERROR(SEW220 / SUMIFS(Aux_Totales!$N:$N, Aux_Totales!$F:$F, $F224, Aux_Totales!$A:$A,#REF!), 0))</f>
        <v/>
      </c>
      <c r="SEX224" s="19" t="str">
        <f>IF(SEX220 = "", "", IFERROR(SEX220 / SUMIFS(Aux_Totales!$N:$N, Aux_Totales!$F:$F, $F224, Aux_Totales!$A:$A,#REF!), 0))</f>
        <v/>
      </c>
      <c r="SEY224" s="19" t="str">
        <f>IF(SEY220 = "", "", IFERROR(SEY220 / SUMIFS(Aux_Totales!$N:$N, Aux_Totales!$F:$F, $F224, Aux_Totales!$A:$A,#REF!), 0))</f>
        <v/>
      </c>
      <c r="SEZ224" s="19" t="str">
        <f>IF(SEZ220 = "", "", IFERROR(SEZ220 / SUMIFS(Aux_Totales!$N:$N, Aux_Totales!$F:$F, $F224, Aux_Totales!$A:$A,#REF!), 0))</f>
        <v/>
      </c>
      <c r="SFA224" s="19" t="str">
        <f>IF(SFA220 = "", "", IFERROR(SFA220 / SUMIFS(Aux_Totales!$N:$N, Aux_Totales!$F:$F, $F224, Aux_Totales!$A:$A,#REF!), 0))</f>
        <v/>
      </c>
      <c r="SFB224" s="19" t="str">
        <f>IF(SFB220 = "", "", IFERROR(SFB220 / SUMIFS(Aux_Totales!$N:$N, Aux_Totales!$F:$F, $F224, Aux_Totales!$A:$A,#REF!), 0))</f>
        <v/>
      </c>
      <c r="SFC224" s="19" t="str">
        <f>IF(SFC220 = "", "", IFERROR(SFC220 / SUMIFS(Aux_Totales!$N:$N, Aux_Totales!$F:$F, $F224, Aux_Totales!$A:$A,#REF!), 0))</f>
        <v/>
      </c>
      <c r="SFD224" s="19" t="str">
        <f>IF(SFD220 = "", "", IFERROR(SFD220 / SUMIFS(Aux_Totales!$N:$N, Aux_Totales!$F:$F, $F224, Aux_Totales!$A:$A,#REF!), 0))</f>
        <v/>
      </c>
      <c r="SFE224" s="19" t="str">
        <f>IF(SFE220 = "", "", IFERROR(SFE220 / SUMIFS(Aux_Totales!$N:$N, Aux_Totales!$F:$F, $F224, Aux_Totales!$A:$A,#REF!), 0))</f>
        <v/>
      </c>
      <c r="SFF224" s="19" t="str">
        <f>IF(SFF220 = "", "", IFERROR(SFF220 / SUMIFS(Aux_Totales!$N:$N, Aux_Totales!$F:$F, $F224, Aux_Totales!$A:$A,#REF!), 0))</f>
        <v/>
      </c>
      <c r="SFG224" s="19" t="str">
        <f>IF(SFG220 = "", "", IFERROR(SFG220 / SUMIFS(Aux_Totales!$N:$N, Aux_Totales!$F:$F, $F224, Aux_Totales!$A:$A,#REF!), 0))</f>
        <v/>
      </c>
      <c r="SFH224" s="19" t="str">
        <f>IF(SFH220 = "", "", IFERROR(SFH220 / SUMIFS(Aux_Totales!$N:$N, Aux_Totales!$F:$F, $F224, Aux_Totales!$A:$A,#REF!), 0))</f>
        <v/>
      </c>
      <c r="SFI224" s="19" t="str">
        <f>IF(SFI220 = "", "", IFERROR(SFI220 / SUMIFS(Aux_Totales!$N:$N, Aux_Totales!$F:$F, $F224, Aux_Totales!$A:$A,#REF!), 0))</f>
        <v/>
      </c>
      <c r="SFJ224" s="19" t="str">
        <f>IF(SFJ220 = "", "", IFERROR(SFJ220 / SUMIFS(Aux_Totales!$N:$N, Aux_Totales!$F:$F, $F224, Aux_Totales!$A:$A,#REF!), 0))</f>
        <v/>
      </c>
      <c r="SFK224" s="19" t="str">
        <f>IF(SFK220 = "", "", IFERROR(SFK220 / SUMIFS(Aux_Totales!$N:$N, Aux_Totales!$F:$F, $F224, Aux_Totales!$A:$A,#REF!), 0))</f>
        <v/>
      </c>
      <c r="SFL224" s="19" t="str">
        <f>IF(SFL220 = "", "", IFERROR(SFL220 / SUMIFS(Aux_Totales!$N:$N, Aux_Totales!$F:$F, $F224, Aux_Totales!$A:$A,#REF!), 0))</f>
        <v/>
      </c>
      <c r="SFM224" s="19" t="str">
        <f>IF(SFM220 = "", "", IFERROR(SFM220 / SUMIFS(Aux_Totales!$N:$N, Aux_Totales!$F:$F, $F224, Aux_Totales!$A:$A,#REF!), 0))</f>
        <v/>
      </c>
      <c r="SFN224" s="19" t="str">
        <f>IF(SFN220 = "", "", IFERROR(SFN220 / SUMIFS(Aux_Totales!$N:$N, Aux_Totales!$F:$F, $F224, Aux_Totales!$A:$A,#REF!), 0))</f>
        <v/>
      </c>
      <c r="SFO224" s="19" t="str">
        <f>IF(SFO220 = "", "", IFERROR(SFO220 / SUMIFS(Aux_Totales!$N:$N, Aux_Totales!$F:$F, $F224, Aux_Totales!$A:$A,#REF!), 0))</f>
        <v/>
      </c>
      <c r="SFP224" s="19" t="str">
        <f>IF(SFP220 = "", "", IFERROR(SFP220 / SUMIFS(Aux_Totales!$N:$N, Aux_Totales!$F:$F, $F224, Aux_Totales!$A:$A,#REF!), 0))</f>
        <v/>
      </c>
      <c r="SFQ224" s="19" t="str">
        <f>IF(SFQ220 = "", "", IFERROR(SFQ220 / SUMIFS(Aux_Totales!$N:$N, Aux_Totales!$F:$F, $F224, Aux_Totales!$A:$A,#REF!), 0))</f>
        <v/>
      </c>
      <c r="SFR224" s="19" t="str">
        <f>IF(SFR220 = "", "", IFERROR(SFR220 / SUMIFS(Aux_Totales!$N:$N, Aux_Totales!$F:$F, $F224, Aux_Totales!$A:$A,#REF!), 0))</f>
        <v/>
      </c>
      <c r="SFS224" s="19" t="str">
        <f>IF(SFS220 = "", "", IFERROR(SFS220 / SUMIFS(Aux_Totales!$N:$N, Aux_Totales!$F:$F, $F224, Aux_Totales!$A:$A,#REF!), 0))</f>
        <v/>
      </c>
      <c r="SFT224" s="19" t="str">
        <f>IF(SFT220 = "", "", IFERROR(SFT220 / SUMIFS(Aux_Totales!$N:$N, Aux_Totales!$F:$F, $F224, Aux_Totales!$A:$A,#REF!), 0))</f>
        <v/>
      </c>
      <c r="SFU224" s="19" t="str">
        <f>IF(SFU220 = "", "", IFERROR(SFU220 / SUMIFS(Aux_Totales!$N:$N, Aux_Totales!$F:$F, $F224, Aux_Totales!$A:$A,#REF!), 0))</f>
        <v/>
      </c>
      <c r="SFV224" s="19" t="str">
        <f>IF(SFV220 = "", "", IFERROR(SFV220 / SUMIFS(Aux_Totales!$N:$N, Aux_Totales!$F:$F, $F224, Aux_Totales!$A:$A,#REF!), 0))</f>
        <v/>
      </c>
      <c r="SFW224" s="19" t="str">
        <f>IF(SFW220 = "", "", IFERROR(SFW220 / SUMIFS(Aux_Totales!$N:$N, Aux_Totales!$F:$F, $F224, Aux_Totales!$A:$A,#REF!), 0))</f>
        <v/>
      </c>
      <c r="SFX224" s="19" t="str">
        <f>IF(SFX220 = "", "", IFERROR(SFX220 / SUMIFS(Aux_Totales!$N:$N, Aux_Totales!$F:$F, $F224, Aux_Totales!$A:$A,#REF!), 0))</f>
        <v/>
      </c>
      <c r="SFY224" s="19" t="str">
        <f>IF(SFY220 = "", "", IFERROR(SFY220 / SUMIFS(Aux_Totales!$N:$N, Aux_Totales!$F:$F, $F224, Aux_Totales!$A:$A,#REF!), 0))</f>
        <v/>
      </c>
      <c r="SFZ224" s="19" t="str">
        <f>IF(SFZ220 = "", "", IFERROR(SFZ220 / SUMIFS(Aux_Totales!$N:$N, Aux_Totales!$F:$F, $F224, Aux_Totales!$A:$A,#REF!), 0))</f>
        <v/>
      </c>
      <c r="SGA224" s="19" t="str">
        <f>IF(SGA220 = "", "", IFERROR(SGA220 / SUMIFS(Aux_Totales!$N:$N, Aux_Totales!$F:$F, $F224, Aux_Totales!$A:$A,#REF!), 0))</f>
        <v/>
      </c>
      <c r="SGB224" s="19" t="str">
        <f>IF(SGB220 = "", "", IFERROR(SGB220 / SUMIFS(Aux_Totales!$N:$N, Aux_Totales!$F:$F, $F224, Aux_Totales!$A:$A,#REF!), 0))</f>
        <v/>
      </c>
      <c r="SGC224" s="19" t="str">
        <f>IF(SGC220 = "", "", IFERROR(SGC220 / SUMIFS(Aux_Totales!$N:$N, Aux_Totales!$F:$F, $F224, Aux_Totales!$A:$A,#REF!), 0))</f>
        <v/>
      </c>
      <c r="SGD224" s="19" t="str">
        <f>IF(SGD220 = "", "", IFERROR(SGD220 / SUMIFS(Aux_Totales!$N:$N, Aux_Totales!$F:$F, $F224, Aux_Totales!$A:$A,#REF!), 0))</f>
        <v/>
      </c>
      <c r="SGE224" s="19" t="str">
        <f>IF(SGE220 = "", "", IFERROR(SGE220 / SUMIFS(Aux_Totales!$N:$N, Aux_Totales!$F:$F, $F224, Aux_Totales!$A:$A,#REF!), 0))</f>
        <v/>
      </c>
      <c r="SGF224" s="19" t="str">
        <f>IF(SGF220 = "", "", IFERROR(SGF220 / SUMIFS(Aux_Totales!$N:$N, Aux_Totales!$F:$F, $F224, Aux_Totales!$A:$A,#REF!), 0))</f>
        <v/>
      </c>
      <c r="SGG224" s="19" t="str">
        <f>IF(SGG220 = "", "", IFERROR(SGG220 / SUMIFS(Aux_Totales!$N:$N, Aux_Totales!$F:$F, $F224, Aux_Totales!$A:$A,#REF!), 0))</f>
        <v/>
      </c>
      <c r="SGH224" s="19" t="str">
        <f>IF(SGH220 = "", "", IFERROR(SGH220 / SUMIFS(Aux_Totales!$N:$N, Aux_Totales!$F:$F, $F224, Aux_Totales!$A:$A,#REF!), 0))</f>
        <v/>
      </c>
      <c r="SGI224" s="19" t="str">
        <f>IF(SGI220 = "", "", IFERROR(SGI220 / SUMIFS(Aux_Totales!$N:$N, Aux_Totales!$F:$F, $F224, Aux_Totales!$A:$A,#REF!), 0))</f>
        <v/>
      </c>
      <c r="SGJ224" s="19" t="str">
        <f>IF(SGJ220 = "", "", IFERROR(SGJ220 / SUMIFS(Aux_Totales!$N:$N, Aux_Totales!$F:$F, $F224, Aux_Totales!$A:$A,#REF!), 0))</f>
        <v/>
      </c>
      <c r="SGK224" s="19" t="str">
        <f>IF(SGK220 = "", "", IFERROR(SGK220 / SUMIFS(Aux_Totales!$N:$N, Aux_Totales!$F:$F, $F224, Aux_Totales!$A:$A,#REF!), 0))</f>
        <v/>
      </c>
      <c r="SGL224" s="19" t="str">
        <f>IF(SGL220 = "", "", IFERROR(SGL220 / SUMIFS(Aux_Totales!$N:$N, Aux_Totales!$F:$F, $F224, Aux_Totales!$A:$A,#REF!), 0))</f>
        <v/>
      </c>
      <c r="SGM224" s="19" t="str">
        <f>IF(SGM220 = "", "", IFERROR(SGM220 / SUMIFS(Aux_Totales!$N:$N, Aux_Totales!$F:$F, $F224, Aux_Totales!$A:$A,#REF!), 0))</f>
        <v/>
      </c>
      <c r="SGN224" s="19" t="str">
        <f>IF(SGN220 = "", "", IFERROR(SGN220 / SUMIFS(Aux_Totales!$N:$N, Aux_Totales!$F:$F, $F224, Aux_Totales!$A:$A,#REF!), 0))</f>
        <v/>
      </c>
      <c r="SGO224" s="19" t="str">
        <f>IF(SGO220 = "", "", IFERROR(SGO220 / SUMIFS(Aux_Totales!$N:$N, Aux_Totales!$F:$F, $F224, Aux_Totales!$A:$A,#REF!), 0))</f>
        <v/>
      </c>
      <c r="SGP224" s="19" t="str">
        <f>IF(SGP220 = "", "", IFERROR(SGP220 / SUMIFS(Aux_Totales!$N:$N, Aux_Totales!$F:$F, $F224, Aux_Totales!$A:$A,#REF!), 0))</f>
        <v/>
      </c>
      <c r="SGQ224" s="19" t="str">
        <f>IF(SGQ220 = "", "", IFERROR(SGQ220 / SUMIFS(Aux_Totales!$N:$N, Aux_Totales!$F:$F, $F224, Aux_Totales!$A:$A,#REF!), 0))</f>
        <v/>
      </c>
      <c r="SGR224" s="19" t="str">
        <f>IF(SGR220 = "", "", IFERROR(SGR220 / SUMIFS(Aux_Totales!$N:$N, Aux_Totales!$F:$F, $F224, Aux_Totales!$A:$A,#REF!), 0))</f>
        <v/>
      </c>
      <c r="SGS224" s="19" t="str">
        <f>IF(SGS220 = "", "", IFERROR(SGS220 / SUMIFS(Aux_Totales!$N:$N, Aux_Totales!$F:$F, $F224, Aux_Totales!$A:$A,#REF!), 0))</f>
        <v/>
      </c>
      <c r="SGT224" s="19" t="str">
        <f>IF(SGT220 = "", "", IFERROR(SGT220 / SUMIFS(Aux_Totales!$N:$N, Aux_Totales!$F:$F, $F224, Aux_Totales!$A:$A,#REF!), 0))</f>
        <v/>
      </c>
      <c r="SGU224" s="19" t="str">
        <f>IF(SGU220 = "", "", IFERROR(SGU220 / SUMIFS(Aux_Totales!$N:$N, Aux_Totales!$F:$F, $F224, Aux_Totales!$A:$A,#REF!), 0))</f>
        <v/>
      </c>
      <c r="SGV224" s="19" t="str">
        <f>IF(SGV220 = "", "", IFERROR(SGV220 / SUMIFS(Aux_Totales!$N:$N, Aux_Totales!$F:$F, $F224, Aux_Totales!$A:$A,#REF!), 0))</f>
        <v/>
      </c>
      <c r="SGW224" s="19" t="str">
        <f>IF(SGW220 = "", "", IFERROR(SGW220 / SUMIFS(Aux_Totales!$N:$N, Aux_Totales!$F:$F, $F224, Aux_Totales!$A:$A,#REF!), 0))</f>
        <v/>
      </c>
      <c r="SGX224" s="19" t="str">
        <f>IF(SGX220 = "", "", IFERROR(SGX220 / SUMIFS(Aux_Totales!$N:$N, Aux_Totales!$F:$F, $F224, Aux_Totales!$A:$A,#REF!), 0))</f>
        <v/>
      </c>
      <c r="SGY224" s="19" t="str">
        <f>IF(SGY220 = "", "", IFERROR(SGY220 / SUMIFS(Aux_Totales!$N:$N, Aux_Totales!$F:$F, $F224, Aux_Totales!$A:$A,#REF!), 0))</f>
        <v/>
      </c>
      <c r="SGZ224" s="19" t="str">
        <f>IF(SGZ220 = "", "", IFERROR(SGZ220 / SUMIFS(Aux_Totales!$N:$N, Aux_Totales!$F:$F, $F224, Aux_Totales!$A:$A,#REF!), 0))</f>
        <v/>
      </c>
      <c r="SHA224" s="19" t="str">
        <f>IF(SHA220 = "", "", IFERROR(SHA220 / SUMIFS(Aux_Totales!$N:$N, Aux_Totales!$F:$F, $F224, Aux_Totales!$A:$A,#REF!), 0))</f>
        <v/>
      </c>
      <c r="SHB224" s="19" t="str">
        <f>IF(SHB220 = "", "", IFERROR(SHB220 / SUMIFS(Aux_Totales!$N:$N, Aux_Totales!$F:$F, $F224, Aux_Totales!$A:$A,#REF!), 0))</f>
        <v/>
      </c>
      <c r="SHC224" s="19" t="str">
        <f>IF(SHC220 = "", "", IFERROR(SHC220 / SUMIFS(Aux_Totales!$N:$N, Aux_Totales!$F:$F, $F224, Aux_Totales!$A:$A,#REF!), 0))</f>
        <v/>
      </c>
      <c r="SHD224" s="19" t="str">
        <f>IF(SHD220 = "", "", IFERROR(SHD220 / SUMIFS(Aux_Totales!$N:$N, Aux_Totales!$F:$F, $F224, Aux_Totales!$A:$A,#REF!), 0))</f>
        <v/>
      </c>
      <c r="SHE224" s="19" t="str">
        <f>IF(SHE220 = "", "", IFERROR(SHE220 / SUMIFS(Aux_Totales!$N:$N, Aux_Totales!$F:$F, $F224, Aux_Totales!$A:$A,#REF!), 0))</f>
        <v/>
      </c>
      <c r="SHF224" s="19" t="str">
        <f>IF(SHF220 = "", "", IFERROR(SHF220 / SUMIFS(Aux_Totales!$N:$N, Aux_Totales!$F:$F, $F224, Aux_Totales!$A:$A,#REF!), 0))</f>
        <v/>
      </c>
      <c r="SHG224" s="19" t="str">
        <f>IF(SHG220 = "", "", IFERROR(SHG220 / SUMIFS(Aux_Totales!$N:$N, Aux_Totales!$F:$F, $F224, Aux_Totales!$A:$A,#REF!), 0))</f>
        <v/>
      </c>
      <c r="SHH224" s="19" t="str">
        <f>IF(SHH220 = "", "", IFERROR(SHH220 / SUMIFS(Aux_Totales!$N:$N, Aux_Totales!$F:$F, $F224, Aux_Totales!$A:$A,#REF!), 0))</f>
        <v/>
      </c>
      <c r="SHI224" s="19" t="str">
        <f>IF(SHI220 = "", "", IFERROR(SHI220 / SUMIFS(Aux_Totales!$N:$N, Aux_Totales!$F:$F, $F224, Aux_Totales!$A:$A,#REF!), 0))</f>
        <v/>
      </c>
      <c r="SHJ224" s="19" t="str">
        <f>IF(SHJ220 = "", "", IFERROR(SHJ220 / SUMIFS(Aux_Totales!$N:$N, Aux_Totales!$F:$F, $F224, Aux_Totales!$A:$A,#REF!), 0))</f>
        <v/>
      </c>
      <c r="SHK224" s="19" t="str">
        <f>IF(SHK220 = "", "", IFERROR(SHK220 / SUMIFS(Aux_Totales!$N:$N, Aux_Totales!$F:$F, $F224, Aux_Totales!$A:$A,#REF!), 0))</f>
        <v/>
      </c>
      <c r="SHL224" s="19" t="str">
        <f>IF(SHL220 = "", "", IFERROR(SHL220 / SUMIFS(Aux_Totales!$N:$N, Aux_Totales!$F:$F, $F224, Aux_Totales!$A:$A,#REF!), 0))</f>
        <v/>
      </c>
      <c r="SHM224" s="19" t="str">
        <f>IF(SHM220 = "", "", IFERROR(SHM220 / SUMIFS(Aux_Totales!$N:$N, Aux_Totales!$F:$F, $F224, Aux_Totales!$A:$A,#REF!), 0))</f>
        <v/>
      </c>
      <c r="SHN224" s="19" t="str">
        <f>IF(SHN220 = "", "", IFERROR(SHN220 / SUMIFS(Aux_Totales!$N:$N, Aux_Totales!$F:$F, $F224, Aux_Totales!$A:$A,#REF!), 0))</f>
        <v/>
      </c>
      <c r="SHO224" s="19" t="str">
        <f>IF(SHO220 = "", "", IFERROR(SHO220 / SUMIFS(Aux_Totales!$N:$N, Aux_Totales!$F:$F, $F224, Aux_Totales!$A:$A,#REF!), 0))</f>
        <v/>
      </c>
      <c r="SHP224" s="19" t="str">
        <f>IF(SHP220 = "", "", IFERROR(SHP220 / SUMIFS(Aux_Totales!$N:$N, Aux_Totales!$F:$F, $F224, Aux_Totales!$A:$A,#REF!), 0))</f>
        <v/>
      </c>
      <c r="SHQ224" s="19" t="str">
        <f>IF(SHQ220 = "", "", IFERROR(SHQ220 / SUMIFS(Aux_Totales!$N:$N, Aux_Totales!$F:$F, $F224, Aux_Totales!$A:$A,#REF!), 0))</f>
        <v/>
      </c>
      <c r="SHR224" s="19" t="str">
        <f>IF(SHR220 = "", "", IFERROR(SHR220 / SUMIFS(Aux_Totales!$N:$N, Aux_Totales!$F:$F, $F224, Aux_Totales!$A:$A,#REF!), 0))</f>
        <v/>
      </c>
      <c r="SHS224" s="19" t="str">
        <f>IF(SHS220 = "", "", IFERROR(SHS220 / SUMIFS(Aux_Totales!$N:$N, Aux_Totales!$F:$F, $F224, Aux_Totales!$A:$A,#REF!), 0))</f>
        <v/>
      </c>
      <c r="SHT224" s="19" t="str">
        <f>IF(SHT220 = "", "", IFERROR(SHT220 / SUMIFS(Aux_Totales!$N:$N, Aux_Totales!$F:$F, $F224, Aux_Totales!$A:$A,#REF!), 0))</f>
        <v/>
      </c>
      <c r="SHU224" s="19" t="str">
        <f>IF(SHU220 = "", "", IFERROR(SHU220 / SUMIFS(Aux_Totales!$N:$N, Aux_Totales!$F:$F, $F224, Aux_Totales!$A:$A,#REF!), 0))</f>
        <v/>
      </c>
      <c r="SHV224" s="19" t="str">
        <f>IF(SHV220 = "", "", IFERROR(SHV220 / SUMIFS(Aux_Totales!$N:$N, Aux_Totales!$F:$F, $F224, Aux_Totales!$A:$A,#REF!), 0))</f>
        <v/>
      </c>
      <c r="SHW224" s="19" t="str">
        <f>IF(SHW220 = "", "", IFERROR(SHW220 / SUMIFS(Aux_Totales!$N:$N, Aux_Totales!$F:$F, $F224, Aux_Totales!$A:$A,#REF!), 0))</f>
        <v/>
      </c>
      <c r="SHX224" s="19" t="str">
        <f>IF(SHX220 = "", "", IFERROR(SHX220 / SUMIFS(Aux_Totales!$N:$N, Aux_Totales!$F:$F, $F224, Aux_Totales!$A:$A,#REF!), 0))</f>
        <v/>
      </c>
      <c r="SHY224" s="19" t="str">
        <f>IF(SHY220 = "", "", IFERROR(SHY220 / SUMIFS(Aux_Totales!$N:$N, Aux_Totales!$F:$F, $F224, Aux_Totales!$A:$A,#REF!), 0))</f>
        <v/>
      </c>
      <c r="SHZ224" s="19" t="str">
        <f>IF(SHZ220 = "", "", IFERROR(SHZ220 / SUMIFS(Aux_Totales!$N:$N, Aux_Totales!$F:$F, $F224, Aux_Totales!$A:$A,#REF!), 0))</f>
        <v/>
      </c>
      <c r="SIA224" s="19" t="str">
        <f>IF(SIA220 = "", "", IFERROR(SIA220 / SUMIFS(Aux_Totales!$N:$N, Aux_Totales!$F:$F, $F224, Aux_Totales!$A:$A,#REF!), 0))</f>
        <v/>
      </c>
      <c r="SIB224" s="19" t="str">
        <f>IF(SIB220 = "", "", IFERROR(SIB220 / SUMIFS(Aux_Totales!$N:$N, Aux_Totales!$F:$F, $F224, Aux_Totales!$A:$A,#REF!), 0))</f>
        <v/>
      </c>
      <c r="SIC224" s="19" t="str">
        <f>IF(SIC220 = "", "", IFERROR(SIC220 / SUMIFS(Aux_Totales!$N:$N, Aux_Totales!$F:$F, $F224, Aux_Totales!$A:$A,#REF!), 0))</f>
        <v/>
      </c>
      <c r="SID224" s="19" t="str">
        <f>IF(SID220 = "", "", IFERROR(SID220 / SUMIFS(Aux_Totales!$N:$N, Aux_Totales!$F:$F, $F224, Aux_Totales!$A:$A,#REF!), 0))</f>
        <v/>
      </c>
      <c r="SIE224" s="19" t="str">
        <f>IF(SIE220 = "", "", IFERROR(SIE220 / SUMIFS(Aux_Totales!$N:$N, Aux_Totales!$F:$F, $F224, Aux_Totales!$A:$A,#REF!), 0))</f>
        <v/>
      </c>
      <c r="SIF224" s="19" t="str">
        <f>IF(SIF220 = "", "", IFERROR(SIF220 / SUMIFS(Aux_Totales!$N:$N, Aux_Totales!$F:$F, $F224, Aux_Totales!$A:$A,#REF!), 0))</f>
        <v/>
      </c>
      <c r="SIG224" s="19" t="str">
        <f>IF(SIG220 = "", "", IFERROR(SIG220 / SUMIFS(Aux_Totales!$N:$N, Aux_Totales!$F:$F, $F224, Aux_Totales!$A:$A,#REF!), 0))</f>
        <v/>
      </c>
      <c r="SIH224" s="19" t="str">
        <f>IF(SIH220 = "", "", IFERROR(SIH220 / SUMIFS(Aux_Totales!$N:$N, Aux_Totales!$F:$F, $F224, Aux_Totales!$A:$A,#REF!), 0))</f>
        <v/>
      </c>
      <c r="SII224" s="19" t="str">
        <f>IF(SII220 = "", "", IFERROR(SII220 / SUMIFS(Aux_Totales!$N:$N, Aux_Totales!$F:$F, $F224, Aux_Totales!$A:$A,#REF!), 0))</f>
        <v/>
      </c>
      <c r="SIJ224" s="19" t="str">
        <f>IF(SIJ220 = "", "", IFERROR(SIJ220 / SUMIFS(Aux_Totales!$N:$N, Aux_Totales!$F:$F, $F224, Aux_Totales!$A:$A,#REF!), 0))</f>
        <v/>
      </c>
      <c r="SIK224" s="19" t="str">
        <f>IF(SIK220 = "", "", IFERROR(SIK220 / SUMIFS(Aux_Totales!$N:$N, Aux_Totales!$F:$F, $F224, Aux_Totales!$A:$A,#REF!), 0))</f>
        <v/>
      </c>
      <c r="SIL224" s="19" t="str">
        <f>IF(SIL220 = "", "", IFERROR(SIL220 / SUMIFS(Aux_Totales!$N:$N, Aux_Totales!$F:$F, $F224, Aux_Totales!$A:$A,#REF!), 0))</f>
        <v/>
      </c>
      <c r="SIM224" s="19" t="str">
        <f>IF(SIM220 = "", "", IFERROR(SIM220 / SUMIFS(Aux_Totales!$N:$N, Aux_Totales!$F:$F, $F224, Aux_Totales!$A:$A,#REF!), 0))</f>
        <v/>
      </c>
      <c r="SIN224" s="19" t="str">
        <f>IF(SIN220 = "", "", IFERROR(SIN220 / SUMIFS(Aux_Totales!$N:$N, Aux_Totales!$F:$F, $F224, Aux_Totales!$A:$A,#REF!), 0))</f>
        <v/>
      </c>
      <c r="SIO224" s="19" t="str">
        <f>IF(SIO220 = "", "", IFERROR(SIO220 / SUMIFS(Aux_Totales!$N:$N, Aux_Totales!$F:$F, $F224, Aux_Totales!$A:$A,#REF!), 0))</f>
        <v/>
      </c>
      <c r="SIP224" s="19" t="str">
        <f>IF(SIP220 = "", "", IFERROR(SIP220 / SUMIFS(Aux_Totales!$N:$N, Aux_Totales!$F:$F, $F224, Aux_Totales!$A:$A,#REF!), 0))</f>
        <v/>
      </c>
      <c r="SIQ224" s="19" t="str">
        <f>IF(SIQ220 = "", "", IFERROR(SIQ220 / SUMIFS(Aux_Totales!$N:$N, Aux_Totales!$F:$F, $F224, Aux_Totales!$A:$A,#REF!), 0))</f>
        <v/>
      </c>
      <c r="SIR224" s="19" t="str">
        <f>IF(SIR220 = "", "", IFERROR(SIR220 / SUMIFS(Aux_Totales!$N:$N, Aux_Totales!$F:$F, $F224, Aux_Totales!$A:$A,#REF!), 0))</f>
        <v/>
      </c>
      <c r="SIS224" s="19" t="str">
        <f>IF(SIS220 = "", "", IFERROR(SIS220 / SUMIFS(Aux_Totales!$N:$N, Aux_Totales!$F:$F, $F224, Aux_Totales!$A:$A,#REF!), 0))</f>
        <v/>
      </c>
      <c r="SIT224" s="19" t="str">
        <f>IF(SIT220 = "", "", IFERROR(SIT220 / SUMIFS(Aux_Totales!$N:$N, Aux_Totales!$F:$F, $F224, Aux_Totales!$A:$A,#REF!), 0))</f>
        <v/>
      </c>
      <c r="SIU224" s="19" t="str">
        <f>IF(SIU220 = "", "", IFERROR(SIU220 / SUMIFS(Aux_Totales!$N:$N, Aux_Totales!$F:$F, $F224, Aux_Totales!$A:$A,#REF!), 0))</f>
        <v/>
      </c>
      <c r="SIV224" s="19" t="str">
        <f>IF(SIV220 = "", "", IFERROR(SIV220 / SUMIFS(Aux_Totales!$N:$N, Aux_Totales!$F:$F, $F224, Aux_Totales!$A:$A,#REF!), 0))</f>
        <v/>
      </c>
      <c r="SIW224" s="19" t="str">
        <f>IF(SIW220 = "", "", IFERROR(SIW220 / SUMIFS(Aux_Totales!$N:$N, Aux_Totales!$F:$F, $F224, Aux_Totales!$A:$A,#REF!), 0))</f>
        <v/>
      </c>
      <c r="SIX224" s="19" t="str">
        <f>IF(SIX220 = "", "", IFERROR(SIX220 / SUMIFS(Aux_Totales!$N:$N, Aux_Totales!$F:$F, $F224, Aux_Totales!$A:$A,#REF!), 0))</f>
        <v/>
      </c>
      <c r="SIY224" s="19" t="str">
        <f>IF(SIY220 = "", "", IFERROR(SIY220 / SUMIFS(Aux_Totales!$N:$N, Aux_Totales!$F:$F, $F224, Aux_Totales!$A:$A,#REF!), 0))</f>
        <v/>
      </c>
      <c r="SIZ224" s="19" t="str">
        <f>IF(SIZ220 = "", "", IFERROR(SIZ220 / SUMIFS(Aux_Totales!$N:$N, Aux_Totales!$F:$F, $F224, Aux_Totales!$A:$A,#REF!), 0))</f>
        <v/>
      </c>
      <c r="SJA224" s="19" t="str">
        <f>IF(SJA220 = "", "", IFERROR(SJA220 / SUMIFS(Aux_Totales!$N:$N, Aux_Totales!$F:$F, $F224, Aux_Totales!$A:$A,#REF!), 0))</f>
        <v/>
      </c>
      <c r="SJB224" s="19" t="str">
        <f>IF(SJB220 = "", "", IFERROR(SJB220 / SUMIFS(Aux_Totales!$N:$N, Aux_Totales!$F:$F, $F224, Aux_Totales!$A:$A,#REF!), 0))</f>
        <v/>
      </c>
      <c r="SJC224" s="19" t="str">
        <f>IF(SJC220 = "", "", IFERROR(SJC220 / SUMIFS(Aux_Totales!$N:$N, Aux_Totales!$F:$F, $F224, Aux_Totales!$A:$A,#REF!), 0))</f>
        <v/>
      </c>
      <c r="SJD224" s="19" t="str">
        <f>IF(SJD220 = "", "", IFERROR(SJD220 / SUMIFS(Aux_Totales!$N:$N, Aux_Totales!$F:$F, $F224, Aux_Totales!$A:$A,#REF!), 0))</f>
        <v/>
      </c>
      <c r="SJE224" s="19" t="str">
        <f>IF(SJE220 = "", "", IFERROR(SJE220 / SUMIFS(Aux_Totales!$N:$N, Aux_Totales!$F:$F, $F224, Aux_Totales!$A:$A,#REF!), 0))</f>
        <v/>
      </c>
      <c r="SJF224" s="19" t="str">
        <f>IF(SJF220 = "", "", IFERROR(SJF220 / SUMIFS(Aux_Totales!$N:$N, Aux_Totales!$F:$F, $F224, Aux_Totales!$A:$A,#REF!), 0))</f>
        <v/>
      </c>
      <c r="SJG224" s="19" t="str">
        <f>IF(SJG220 = "", "", IFERROR(SJG220 / SUMIFS(Aux_Totales!$N:$N, Aux_Totales!$F:$F, $F224, Aux_Totales!$A:$A,#REF!), 0))</f>
        <v/>
      </c>
      <c r="SJH224" s="19" t="str">
        <f>IF(SJH220 = "", "", IFERROR(SJH220 / SUMIFS(Aux_Totales!$N:$N, Aux_Totales!$F:$F, $F224, Aux_Totales!$A:$A,#REF!), 0))</f>
        <v/>
      </c>
      <c r="SJI224" s="19" t="str">
        <f>IF(SJI220 = "", "", IFERROR(SJI220 / SUMIFS(Aux_Totales!$N:$N, Aux_Totales!$F:$F, $F224, Aux_Totales!$A:$A,#REF!), 0))</f>
        <v/>
      </c>
      <c r="SJJ224" s="19" t="str">
        <f>IF(SJJ220 = "", "", IFERROR(SJJ220 / SUMIFS(Aux_Totales!$N:$N, Aux_Totales!$F:$F, $F224, Aux_Totales!$A:$A,#REF!), 0))</f>
        <v/>
      </c>
      <c r="SJK224" s="19" t="str">
        <f>IF(SJK220 = "", "", IFERROR(SJK220 / SUMIFS(Aux_Totales!$N:$N, Aux_Totales!$F:$F, $F224, Aux_Totales!$A:$A,#REF!), 0))</f>
        <v/>
      </c>
      <c r="SJL224" s="19" t="str">
        <f>IF(SJL220 = "", "", IFERROR(SJL220 / SUMIFS(Aux_Totales!$N:$N, Aux_Totales!$F:$F, $F224, Aux_Totales!$A:$A,#REF!), 0))</f>
        <v/>
      </c>
      <c r="SJM224" s="19" t="str">
        <f>IF(SJM220 = "", "", IFERROR(SJM220 / SUMIFS(Aux_Totales!$N:$N, Aux_Totales!$F:$F, $F224, Aux_Totales!$A:$A,#REF!), 0))</f>
        <v/>
      </c>
      <c r="SJN224" s="19" t="str">
        <f>IF(SJN220 = "", "", IFERROR(SJN220 / SUMIFS(Aux_Totales!$N:$N, Aux_Totales!$F:$F, $F224, Aux_Totales!$A:$A,#REF!), 0))</f>
        <v/>
      </c>
      <c r="SJO224" s="19" t="str">
        <f>IF(SJO220 = "", "", IFERROR(SJO220 / SUMIFS(Aux_Totales!$N:$N, Aux_Totales!$F:$F, $F224, Aux_Totales!$A:$A,#REF!), 0))</f>
        <v/>
      </c>
      <c r="SJP224" s="19" t="str">
        <f>IF(SJP220 = "", "", IFERROR(SJP220 / SUMIFS(Aux_Totales!$N:$N, Aux_Totales!$F:$F, $F224, Aux_Totales!$A:$A,#REF!), 0))</f>
        <v/>
      </c>
      <c r="SJQ224" s="19" t="str">
        <f>IF(SJQ220 = "", "", IFERROR(SJQ220 / SUMIFS(Aux_Totales!$N:$N, Aux_Totales!$F:$F, $F224, Aux_Totales!$A:$A,#REF!), 0))</f>
        <v/>
      </c>
      <c r="SJR224" s="19" t="str">
        <f>IF(SJR220 = "", "", IFERROR(SJR220 / SUMIFS(Aux_Totales!$N:$N, Aux_Totales!$F:$F, $F224, Aux_Totales!$A:$A,#REF!), 0))</f>
        <v/>
      </c>
      <c r="SJS224" s="19" t="str">
        <f>IF(SJS220 = "", "", IFERROR(SJS220 / SUMIFS(Aux_Totales!$N:$N, Aux_Totales!$F:$F, $F224, Aux_Totales!$A:$A,#REF!), 0))</f>
        <v/>
      </c>
      <c r="SJT224" s="19" t="str">
        <f>IF(SJT220 = "", "", IFERROR(SJT220 / SUMIFS(Aux_Totales!$N:$N, Aux_Totales!$F:$F, $F224, Aux_Totales!$A:$A,#REF!), 0))</f>
        <v/>
      </c>
      <c r="SJU224" s="19" t="str">
        <f>IF(SJU220 = "", "", IFERROR(SJU220 / SUMIFS(Aux_Totales!$N:$N, Aux_Totales!$F:$F, $F224, Aux_Totales!$A:$A,#REF!), 0))</f>
        <v/>
      </c>
      <c r="SJV224" s="19" t="str">
        <f>IF(SJV220 = "", "", IFERROR(SJV220 / SUMIFS(Aux_Totales!$N:$N, Aux_Totales!$F:$F, $F224, Aux_Totales!$A:$A,#REF!), 0))</f>
        <v/>
      </c>
      <c r="SJW224" s="19" t="str">
        <f>IF(SJW220 = "", "", IFERROR(SJW220 / SUMIFS(Aux_Totales!$N:$N, Aux_Totales!$F:$F, $F224, Aux_Totales!$A:$A,#REF!), 0))</f>
        <v/>
      </c>
      <c r="SJX224" s="19" t="str">
        <f>IF(SJX220 = "", "", IFERROR(SJX220 / SUMIFS(Aux_Totales!$N:$N, Aux_Totales!$F:$F, $F224, Aux_Totales!$A:$A,#REF!), 0))</f>
        <v/>
      </c>
      <c r="SJY224" s="19" t="str">
        <f>IF(SJY220 = "", "", IFERROR(SJY220 / SUMIFS(Aux_Totales!$N:$N, Aux_Totales!$F:$F, $F224, Aux_Totales!$A:$A,#REF!), 0))</f>
        <v/>
      </c>
      <c r="SJZ224" s="19" t="str">
        <f>IF(SJZ220 = "", "", IFERROR(SJZ220 / SUMIFS(Aux_Totales!$N:$N, Aux_Totales!$F:$F, $F224, Aux_Totales!$A:$A,#REF!), 0))</f>
        <v/>
      </c>
      <c r="SKA224" s="19" t="str">
        <f>IF(SKA220 = "", "", IFERROR(SKA220 / SUMIFS(Aux_Totales!$N:$N, Aux_Totales!$F:$F, $F224, Aux_Totales!$A:$A,#REF!), 0))</f>
        <v/>
      </c>
      <c r="SKB224" s="19" t="str">
        <f>IF(SKB220 = "", "", IFERROR(SKB220 / SUMIFS(Aux_Totales!$N:$N, Aux_Totales!$F:$F, $F224, Aux_Totales!$A:$A,#REF!), 0))</f>
        <v/>
      </c>
      <c r="SKC224" s="19" t="str">
        <f>IF(SKC220 = "", "", IFERROR(SKC220 / SUMIFS(Aux_Totales!$N:$N, Aux_Totales!$F:$F, $F224, Aux_Totales!$A:$A,#REF!), 0))</f>
        <v/>
      </c>
      <c r="SKD224" s="19" t="str">
        <f>IF(SKD220 = "", "", IFERROR(SKD220 / SUMIFS(Aux_Totales!$N:$N, Aux_Totales!$F:$F, $F224, Aux_Totales!$A:$A,#REF!), 0))</f>
        <v/>
      </c>
      <c r="SKE224" s="19" t="str">
        <f>IF(SKE220 = "", "", IFERROR(SKE220 / SUMIFS(Aux_Totales!$N:$N, Aux_Totales!$F:$F, $F224, Aux_Totales!$A:$A,#REF!), 0))</f>
        <v/>
      </c>
      <c r="SKF224" s="19" t="str">
        <f>IF(SKF220 = "", "", IFERROR(SKF220 / SUMIFS(Aux_Totales!$N:$N, Aux_Totales!$F:$F, $F224, Aux_Totales!$A:$A,#REF!), 0))</f>
        <v/>
      </c>
      <c r="SKG224" s="19" t="str">
        <f>IF(SKG220 = "", "", IFERROR(SKG220 / SUMIFS(Aux_Totales!$N:$N, Aux_Totales!$F:$F, $F224, Aux_Totales!$A:$A,#REF!), 0))</f>
        <v/>
      </c>
      <c r="SKH224" s="19" t="str">
        <f>IF(SKH220 = "", "", IFERROR(SKH220 / SUMIFS(Aux_Totales!$N:$N, Aux_Totales!$F:$F, $F224, Aux_Totales!$A:$A,#REF!), 0))</f>
        <v/>
      </c>
      <c r="SKI224" s="19" t="str">
        <f>IF(SKI220 = "", "", IFERROR(SKI220 / SUMIFS(Aux_Totales!$N:$N, Aux_Totales!$F:$F, $F224, Aux_Totales!$A:$A,#REF!), 0))</f>
        <v/>
      </c>
      <c r="SKJ224" s="19" t="str">
        <f>IF(SKJ220 = "", "", IFERROR(SKJ220 / SUMIFS(Aux_Totales!$N:$N, Aux_Totales!$F:$F, $F224, Aux_Totales!$A:$A,#REF!), 0))</f>
        <v/>
      </c>
      <c r="SKK224" s="19" t="str">
        <f>IF(SKK220 = "", "", IFERROR(SKK220 / SUMIFS(Aux_Totales!$N:$N, Aux_Totales!$F:$F, $F224, Aux_Totales!$A:$A,#REF!), 0))</f>
        <v/>
      </c>
      <c r="SKL224" s="19" t="str">
        <f>IF(SKL220 = "", "", IFERROR(SKL220 / SUMIFS(Aux_Totales!$N:$N, Aux_Totales!$F:$F, $F224, Aux_Totales!$A:$A,#REF!), 0))</f>
        <v/>
      </c>
      <c r="SKM224" s="19" t="str">
        <f>IF(SKM220 = "", "", IFERROR(SKM220 / SUMIFS(Aux_Totales!$N:$N, Aux_Totales!$F:$F, $F224, Aux_Totales!$A:$A,#REF!), 0))</f>
        <v/>
      </c>
      <c r="SKN224" s="19" t="str">
        <f>IF(SKN220 = "", "", IFERROR(SKN220 / SUMIFS(Aux_Totales!$N:$N, Aux_Totales!$F:$F, $F224, Aux_Totales!$A:$A,#REF!), 0))</f>
        <v/>
      </c>
      <c r="SKO224" s="19" t="str">
        <f>IF(SKO220 = "", "", IFERROR(SKO220 / SUMIFS(Aux_Totales!$N:$N, Aux_Totales!$F:$F, $F224, Aux_Totales!$A:$A,#REF!), 0))</f>
        <v/>
      </c>
      <c r="SKP224" s="19" t="str">
        <f>IF(SKP220 = "", "", IFERROR(SKP220 / SUMIFS(Aux_Totales!$N:$N, Aux_Totales!$F:$F, $F224, Aux_Totales!$A:$A,#REF!), 0))</f>
        <v/>
      </c>
      <c r="SKQ224" s="19" t="str">
        <f>IF(SKQ220 = "", "", IFERROR(SKQ220 / SUMIFS(Aux_Totales!$N:$N, Aux_Totales!$F:$F, $F224, Aux_Totales!$A:$A,#REF!), 0))</f>
        <v/>
      </c>
      <c r="SKR224" s="19" t="str">
        <f>IF(SKR220 = "", "", IFERROR(SKR220 / SUMIFS(Aux_Totales!$N:$N, Aux_Totales!$F:$F, $F224, Aux_Totales!$A:$A,#REF!), 0))</f>
        <v/>
      </c>
      <c r="SKS224" s="19" t="str">
        <f>IF(SKS220 = "", "", IFERROR(SKS220 / SUMIFS(Aux_Totales!$N:$N, Aux_Totales!$F:$F, $F224, Aux_Totales!$A:$A,#REF!), 0))</f>
        <v/>
      </c>
      <c r="SKT224" s="19" t="str">
        <f>IF(SKT220 = "", "", IFERROR(SKT220 / SUMIFS(Aux_Totales!$N:$N, Aux_Totales!$F:$F, $F224, Aux_Totales!$A:$A,#REF!), 0))</f>
        <v/>
      </c>
      <c r="SKU224" s="19" t="str">
        <f>IF(SKU220 = "", "", IFERROR(SKU220 / SUMIFS(Aux_Totales!$N:$N, Aux_Totales!$F:$F, $F224, Aux_Totales!$A:$A,#REF!), 0))</f>
        <v/>
      </c>
      <c r="SKV224" s="19" t="str">
        <f>IF(SKV220 = "", "", IFERROR(SKV220 / SUMIFS(Aux_Totales!$N:$N, Aux_Totales!$F:$F, $F224, Aux_Totales!$A:$A,#REF!), 0))</f>
        <v/>
      </c>
      <c r="SKW224" s="19" t="str">
        <f>IF(SKW220 = "", "", IFERROR(SKW220 / SUMIFS(Aux_Totales!$N:$N, Aux_Totales!$F:$F, $F224, Aux_Totales!$A:$A,#REF!), 0))</f>
        <v/>
      </c>
      <c r="SKX224" s="19" t="str">
        <f>IF(SKX220 = "", "", IFERROR(SKX220 / SUMIFS(Aux_Totales!$N:$N, Aux_Totales!$F:$F, $F224, Aux_Totales!$A:$A,#REF!), 0))</f>
        <v/>
      </c>
      <c r="SKY224" s="19" t="str">
        <f>IF(SKY220 = "", "", IFERROR(SKY220 / SUMIFS(Aux_Totales!$N:$N, Aux_Totales!$F:$F, $F224, Aux_Totales!$A:$A,#REF!), 0))</f>
        <v/>
      </c>
      <c r="SKZ224" s="19" t="str">
        <f>IF(SKZ220 = "", "", IFERROR(SKZ220 / SUMIFS(Aux_Totales!$N:$N, Aux_Totales!$F:$F, $F224, Aux_Totales!$A:$A,#REF!), 0))</f>
        <v/>
      </c>
      <c r="SLA224" s="19" t="str">
        <f>IF(SLA220 = "", "", IFERROR(SLA220 / SUMIFS(Aux_Totales!$N:$N, Aux_Totales!$F:$F, $F224, Aux_Totales!$A:$A,#REF!), 0))</f>
        <v/>
      </c>
      <c r="SLB224" s="19" t="str">
        <f>IF(SLB220 = "", "", IFERROR(SLB220 / SUMIFS(Aux_Totales!$N:$N, Aux_Totales!$F:$F, $F224, Aux_Totales!$A:$A,#REF!), 0))</f>
        <v/>
      </c>
      <c r="SLC224" s="19" t="str">
        <f>IF(SLC220 = "", "", IFERROR(SLC220 / SUMIFS(Aux_Totales!$N:$N, Aux_Totales!$F:$F, $F224, Aux_Totales!$A:$A,#REF!), 0))</f>
        <v/>
      </c>
      <c r="SLD224" s="19" t="str">
        <f>IF(SLD220 = "", "", IFERROR(SLD220 / SUMIFS(Aux_Totales!$N:$N, Aux_Totales!$F:$F, $F224, Aux_Totales!$A:$A,#REF!), 0))</f>
        <v/>
      </c>
      <c r="SLE224" s="19" t="str">
        <f>IF(SLE220 = "", "", IFERROR(SLE220 / SUMIFS(Aux_Totales!$N:$N, Aux_Totales!$F:$F, $F224, Aux_Totales!$A:$A,#REF!), 0))</f>
        <v/>
      </c>
      <c r="SLF224" s="19" t="str">
        <f>IF(SLF220 = "", "", IFERROR(SLF220 / SUMIFS(Aux_Totales!$N:$N, Aux_Totales!$F:$F, $F224, Aux_Totales!$A:$A,#REF!), 0))</f>
        <v/>
      </c>
      <c r="SLG224" s="19" t="str">
        <f>IF(SLG220 = "", "", IFERROR(SLG220 / SUMIFS(Aux_Totales!$N:$N, Aux_Totales!$F:$F, $F224, Aux_Totales!$A:$A,#REF!), 0))</f>
        <v/>
      </c>
      <c r="SLH224" s="19" t="str">
        <f>IF(SLH220 = "", "", IFERROR(SLH220 / SUMIFS(Aux_Totales!$N:$N, Aux_Totales!$F:$F, $F224, Aux_Totales!$A:$A,#REF!), 0))</f>
        <v/>
      </c>
      <c r="SLI224" s="19" t="str">
        <f>IF(SLI220 = "", "", IFERROR(SLI220 / SUMIFS(Aux_Totales!$N:$N, Aux_Totales!$F:$F, $F224, Aux_Totales!$A:$A,#REF!), 0))</f>
        <v/>
      </c>
      <c r="SLJ224" s="19" t="str">
        <f>IF(SLJ220 = "", "", IFERROR(SLJ220 / SUMIFS(Aux_Totales!$N:$N, Aux_Totales!$F:$F, $F224, Aux_Totales!$A:$A,#REF!), 0))</f>
        <v/>
      </c>
      <c r="SLK224" s="19" t="str">
        <f>IF(SLK220 = "", "", IFERROR(SLK220 / SUMIFS(Aux_Totales!$N:$N, Aux_Totales!$F:$F, $F224, Aux_Totales!$A:$A,#REF!), 0))</f>
        <v/>
      </c>
      <c r="SLL224" s="19" t="str">
        <f>IF(SLL220 = "", "", IFERROR(SLL220 / SUMIFS(Aux_Totales!$N:$N, Aux_Totales!$F:$F, $F224, Aux_Totales!$A:$A,#REF!), 0))</f>
        <v/>
      </c>
      <c r="SLM224" s="19" t="str">
        <f>IF(SLM220 = "", "", IFERROR(SLM220 / SUMIFS(Aux_Totales!$N:$N, Aux_Totales!$F:$F, $F224, Aux_Totales!$A:$A,#REF!), 0))</f>
        <v/>
      </c>
      <c r="SLN224" s="19" t="str">
        <f>IF(SLN220 = "", "", IFERROR(SLN220 / SUMIFS(Aux_Totales!$N:$N, Aux_Totales!$F:$F, $F224, Aux_Totales!$A:$A,#REF!), 0))</f>
        <v/>
      </c>
      <c r="SLO224" s="19" t="str">
        <f>IF(SLO220 = "", "", IFERROR(SLO220 / SUMIFS(Aux_Totales!$N:$N, Aux_Totales!$F:$F, $F224, Aux_Totales!$A:$A,#REF!), 0))</f>
        <v/>
      </c>
      <c r="SLP224" s="19" t="str">
        <f>IF(SLP220 = "", "", IFERROR(SLP220 / SUMIFS(Aux_Totales!$N:$N, Aux_Totales!$F:$F, $F224, Aux_Totales!$A:$A,#REF!), 0))</f>
        <v/>
      </c>
      <c r="SLQ224" s="19" t="str">
        <f>IF(SLQ220 = "", "", IFERROR(SLQ220 / SUMIFS(Aux_Totales!$N:$N, Aux_Totales!$F:$F, $F224, Aux_Totales!$A:$A,#REF!), 0))</f>
        <v/>
      </c>
      <c r="SLR224" s="19" t="str">
        <f>IF(SLR220 = "", "", IFERROR(SLR220 / SUMIFS(Aux_Totales!$N:$N, Aux_Totales!$F:$F, $F224, Aux_Totales!$A:$A,#REF!), 0))</f>
        <v/>
      </c>
      <c r="SLS224" s="19" t="str">
        <f>IF(SLS220 = "", "", IFERROR(SLS220 / SUMIFS(Aux_Totales!$N:$N, Aux_Totales!$F:$F, $F224, Aux_Totales!$A:$A,#REF!), 0))</f>
        <v/>
      </c>
      <c r="SLT224" s="19" t="str">
        <f>IF(SLT220 = "", "", IFERROR(SLT220 / SUMIFS(Aux_Totales!$N:$N, Aux_Totales!$F:$F, $F224, Aux_Totales!$A:$A,#REF!), 0))</f>
        <v/>
      </c>
      <c r="SLU224" s="19" t="str">
        <f>IF(SLU220 = "", "", IFERROR(SLU220 / SUMIFS(Aux_Totales!$N:$N, Aux_Totales!$F:$F, $F224, Aux_Totales!$A:$A,#REF!), 0))</f>
        <v/>
      </c>
      <c r="SLV224" s="19" t="str">
        <f>IF(SLV220 = "", "", IFERROR(SLV220 / SUMIFS(Aux_Totales!$N:$N, Aux_Totales!$F:$F, $F224, Aux_Totales!$A:$A,#REF!), 0))</f>
        <v/>
      </c>
      <c r="SLW224" s="19" t="str">
        <f>IF(SLW220 = "", "", IFERROR(SLW220 / SUMIFS(Aux_Totales!$N:$N, Aux_Totales!$F:$F, $F224, Aux_Totales!$A:$A,#REF!), 0))</f>
        <v/>
      </c>
      <c r="SLX224" s="19" t="str">
        <f>IF(SLX220 = "", "", IFERROR(SLX220 / SUMIFS(Aux_Totales!$N:$N, Aux_Totales!$F:$F, $F224, Aux_Totales!$A:$A,#REF!), 0))</f>
        <v/>
      </c>
      <c r="SLY224" s="19" t="str">
        <f>IF(SLY220 = "", "", IFERROR(SLY220 / SUMIFS(Aux_Totales!$N:$N, Aux_Totales!$F:$F, $F224, Aux_Totales!$A:$A,#REF!), 0))</f>
        <v/>
      </c>
      <c r="SLZ224" s="19" t="str">
        <f>IF(SLZ220 = "", "", IFERROR(SLZ220 / SUMIFS(Aux_Totales!$N:$N, Aux_Totales!$F:$F, $F224, Aux_Totales!$A:$A,#REF!), 0))</f>
        <v/>
      </c>
      <c r="SMA224" s="19" t="str">
        <f>IF(SMA220 = "", "", IFERROR(SMA220 / SUMIFS(Aux_Totales!$N:$N, Aux_Totales!$F:$F, $F224, Aux_Totales!$A:$A,#REF!), 0))</f>
        <v/>
      </c>
      <c r="SMB224" s="19" t="str">
        <f>IF(SMB220 = "", "", IFERROR(SMB220 / SUMIFS(Aux_Totales!$N:$N, Aux_Totales!$F:$F, $F224, Aux_Totales!$A:$A,#REF!), 0))</f>
        <v/>
      </c>
      <c r="SMC224" s="19" t="str">
        <f>IF(SMC220 = "", "", IFERROR(SMC220 / SUMIFS(Aux_Totales!$N:$N, Aux_Totales!$F:$F, $F224, Aux_Totales!$A:$A,#REF!), 0))</f>
        <v/>
      </c>
      <c r="SMD224" s="19" t="str">
        <f>IF(SMD220 = "", "", IFERROR(SMD220 / SUMIFS(Aux_Totales!$N:$N, Aux_Totales!$F:$F, $F224, Aux_Totales!$A:$A,#REF!), 0))</f>
        <v/>
      </c>
      <c r="SME224" s="19" t="str">
        <f>IF(SME220 = "", "", IFERROR(SME220 / SUMIFS(Aux_Totales!$N:$N, Aux_Totales!$F:$F, $F224, Aux_Totales!$A:$A,#REF!), 0))</f>
        <v/>
      </c>
      <c r="SMF224" s="19" t="str">
        <f>IF(SMF220 = "", "", IFERROR(SMF220 / SUMIFS(Aux_Totales!$N:$N, Aux_Totales!$F:$F, $F224, Aux_Totales!$A:$A,#REF!), 0))</f>
        <v/>
      </c>
      <c r="SMG224" s="19" t="str">
        <f>IF(SMG220 = "", "", IFERROR(SMG220 / SUMIFS(Aux_Totales!$N:$N, Aux_Totales!$F:$F, $F224, Aux_Totales!$A:$A,#REF!), 0))</f>
        <v/>
      </c>
      <c r="SMH224" s="19" t="str">
        <f>IF(SMH220 = "", "", IFERROR(SMH220 / SUMIFS(Aux_Totales!$N:$N, Aux_Totales!$F:$F, $F224, Aux_Totales!$A:$A,#REF!), 0))</f>
        <v/>
      </c>
      <c r="SMI224" s="19" t="str">
        <f>IF(SMI220 = "", "", IFERROR(SMI220 / SUMIFS(Aux_Totales!$N:$N, Aux_Totales!$F:$F, $F224, Aux_Totales!$A:$A,#REF!), 0))</f>
        <v/>
      </c>
      <c r="SMJ224" s="19" t="str">
        <f>IF(SMJ220 = "", "", IFERROR(SMJ220 / SUMIFS(Aux_Totales!$N:$N, Aux_Totales!$F:$F, $F224, Aux_Totales!$A:$A,#REF!), 0))</f>
        <v/>
      </c>
      <c r="SMK224" s="19" t="str">
        <f>IF(SMK220 = "", "", IFERROR(SMK220 / SUMIFS(Aux_Totales!$N:$N, Aux_Totales!$F:$F, $F224, Aux_Totales!$A:$A,#REF!), 0))</f>
        <v/>
      </c>
      <c r="SML224" s="19" t="str">
        <f>IF(SML220 = "", "", IFERROR(SML220 / SUMIFS(Aux_Totales!$N:$N, Aux_Totales!$F:$F, $F224, Aux_Totales!$A:$A,#REF!), 0))</f>
        <v/>
      </c>
      <c r="SMM224" s="19" t="str">
        <f>IF(SMM220 = "", "", IFERROR(SMM220 / SUMIFS(Aux_Totales!$N:$N, Aux_Totales!$F:$F, $F224, Aux_Totales!$A:$A,#REF!), 0))</f>
        <v/>
      </c>
      <c r="SMN224" s="19" t="str">
        <f>IF(SMN220 = "", "", IFERROR(SMN220 / SUMIFS(Aux_Totales!$N:$N, Aux_Totales!$F:$F, $F224, Aux_Totales!$A:$A,#REF!), 0))</f>
        <v/>
      </c>
      <c r="SMO224" s="19" t="str">
        <f>IF(SMO220 = "", "", IFERROR(SMO220 / SUMIFS(Aux_Totales!$N:$N, Aux_Totales!$F:$F, $F224, Aux_Totales!$A:$A,#REF!), 0))</f>
        <v/>
      </c>
      <c r="SMP224" s="19" t="str">
        <f>IF(SMP220 = "", "", IFERROR(SMP220 / SUMIFS(Aux_Totales!$N:$N, Aux_Totales!$F:$F, $F224, Aux_Totales!$A:$A,#REF!), 0))</f>
        <v/>
      </c>
      <c r="SMQ224" s="19" t="str">
        <f>IF(SMQ220 = "", "", IFERROR(SMQ220 / SUMIFS(Aux_Totales!$N:$N, Aux_Totales!$F:$F, $F224, Aux_Totales!$A:$A,#REF!), 0))</f>
        <v/>
      </c>
      <c r="SMR224" s="19" t="str">
        <f>IF(SMR220 = "", "", IFERROR(SMR220 / SUMIFS(Aux_Totales!$N:$N, Aux_Totales!$F:$F, $F224, Aux_Totales!$A:$A,#REF!), 0))</f>
        <v/>
      </c>
      <c r="SMS224" s="19" t="str">
        <f>IF(SMS220 = "", "", IFERROR(SMS220 / SUMIFS(Aux_Totales!$N:$N, Aux_Totales!$F:$F, $F224, Aux_Totales!$A:$A,#REF!), 0))</f>
        <v/>
      </c>
      <c r="SMT224" s="19" t="str">
        <f>IF(SMT220 = "", "", IFERROR(SMT220 / SUMIFS(Aux_Totales!$N:$N, Aux_Totales!$F:$F, $F224, Aux_Totales!$A:$A,#REF!), 0))</f>
        <v/>
      </c>
      <c r="SMU224" s="19" t="str">
        <f>IF(SMU220 = "", "", IFERROR(SMU220 / SUMIFS(Aux_Totales!$N:$N, Aux_Totales!$F:$F, $F224, Aux_Totales!$A:$A,#REF!), 0))</f>
        <v/>
      </c>
      <c r="SMV224" s="19" t="str">
        <f>IF(SMV220 = "", "", IFERROR(SMV220 / SUMIFS(Aux_Totales!$N:$N, Aux_Totales!$F:$F, $F224, Aux_Totales!$A:$A,#REF!), 0))</f>
        <v/>
      </c>
      <c r="SMW224" s="19" t="str">
        <f>IF(SMW220 = "", "", IFERROR(SMW220 / SUMIFS(Aux_Totales!$N:$N, Aux_Totales!$F:$F, $F224, Aux_Totales!$A:$A,#REF!), 0))</f>
        <v/>
      </c>
      <c r="SMX224" s="19" t="str">
        <f>IF(SMX220 = "", "", IFERROR(SMX220 / SUMIFS(Aux_Totales!$N:$N, Aux_Totales!$F:$F, $F224, Aux_Totales!$A:$A,#REF!), 0))</f>
        <v/>
      </c>
      <c r="SMY224" s="19" t="str">
        <f>IF(SMY220 = "", "", IFERROR(SMY220 / SUMIFS(Aux_Totales!$N:$N, Aux_Totales!$F:$F, $F224, Aux_Totales!$A:$A,#REF!), 0))</f>
        <v/>
      </c>
      <c r="SMZ224" s="19" t="str">
        <f>IF(SMZ220 = "", "", IFERROR(SMZ220 / SUMIFS(Aux_Totales!$N:$N, Aux_Totales!$F:$F, $F224, Aux_Totales!$A:$A,#REF!), 0))</f>
        <v/>
      </c>
      <c r="SNA224" s="19" t="str">
        <f>IF(SNA220 = "", "", IFERROR(SNA220 / SUMIFS(Aux_Totales!$N:$N, Aux_Totales!$F:$F, $F224, Aux_Totales!$A:$A,#REF!), 0))</f>
        <v/>
      </c>
      <c r="SNB224" s="19" t="str">
        <f>IF(SNB220 = "", "", IFERROR(SNB220 / SUMIFS(Aux_Totales!$N:$N, Aux_Totales!$F:$F, $F224, Aux_Totales!$A:$A,#REF!), 0))</f>
        <v/>
      </c>
      <c r="SNC224" s="19" t="str">
        <f>IF(SNC220 = "", "", IFERROR(SNC220 / SUMIFS(Aux_Totales!$N:$N, Aux_Totales!$F:$F, $F224, Aux_Totales!$A:$A,#REF!), 0))</f>
        <v/>
      </c>
      <c r="SND224" s="19" t="str">
        <f>IF(SND220 = "", "", IFERROR(SND220 / SUMIFS(Aux_Totales!$N:$N, Aux_Totales!$F:$F, $F224, Aux_Totales!$A:$A,#REF!), 0))</f>
        <v/>
      </c>
      <c r="SNE224" s="19" t="str">
        <f>IF(SNE220 = "", "", IFERROR(SNE220 / SUMIFS(Aux_Totales!$N:$N, Aux_Totales!$F:$F, $F224, Aux_Totales!$A:$A,#REF!), 0))</f>
        <v/>
      </c>
      <c r="SNF224" s="19" t="str">
        <f>IF(SNF220 = "", "", IFERROR(SNF220 / SUMIFS(Aux_Totales!$N:$N, Aux_Totales!$F:$F, $F224, Aux_Totales!$A:$A,#REF!), 0))</f>
        <v/>
      </c>
      <c r="SNG224" s="19" t="str">
        <f>IF(SNG220 = "", "", IFERROR(SNG220 / SUMIFS(Aux_Totales!$N:$N, Aux_Totales!$F:$F, $F224, Aux_Totales!$A:$A,#REF!), 0))</f>
        <v/>
      </c>
      <c r="SNH224" s="19" t="str">
        <f>IF(SNH220 = "", "", IFERROR(SNH220 / SUMIFS(Aux_Totales!$N:$N, Aux_Totales!$F:$F, $F224, Aux_Totales!$A:$A,#REF!), 0))</f>
        <v/>
      </c>
      <c r="SNI224" s="19" t="str">
        <f>IF(SNI220 = "", "", IFERROR(SNI220 / SUMIFS(Aux_Totales!$N:$N, Aux_Totales!$F:$F, $F224, Aux_Totales!$A:$A,#REF!), 0))</f>
        <v/>
      </c>
      <c r="SNJ224" s="19" t="str">
        <f>IF(SNJ220 = "", "", IFERROR(SNJ220 / SUMIFS(Aux_Totales!$N:$N, Aux_Totales!$F:$F, $F224, Aux_Totales!$A:$A,#REF!), 0))</f>
        <v/>
      </c>
      <c r="SNK224" s="19" t="str">
        <f>IF(SNK220 = "", "", IFERROR(SNK220 / SUMIFS(Aux_Totales!$N:$N, Aux_Totales!$F:$F, $F224, Aux_Totales!$A:$A,#REF!), 0))</f>
        <v/>
      </c>
      <c r="SNL224" s="19" t="str">
        <f>IF(SNL220 = "", "", IFERROR(SNL220 / SUMIFS(Aux_Totales!$N:$N, Aux_Totales!$F:$F, $F224, Aux_Totales!$A:$A,#REF!), 0))</f>
        <v/>
      </c>
      <c r="SNM224" s="19" t="str">
        <f>IF(SNM220 = "", "", IFERROR(SNM220 / SUMIFS(Aux_Totales!$N:$N, Aux_Totales!$F:$F, $F224, Aux_Totales!$A:$A,#REF!), 0))</f>
        <v/>
      </c>
      <c r="SNN224" s="19" t="str">
        <f>IF(SNN220 = "", "", IFERROR(SNN220 / SUMIFS(Aux_Totales!$N:$N, Aux_Totales!$F:$F, $F224, Aux_Totales!$A:$A,#REF!), 0))</f>
        <v/>
      </c>
      <c r="SNO224" s="19" t="str">
        <f>IF(SNO220 = "", "", IFERROR(SNO220 / SUMIFS(Aux_Totales!$N:$N, Aux_Totales!$F:$F, $F224, Aux_Totales!$A:$A,#REF!), 0))</f>
        <v/>
      </c>
      <c r="SNP224" s="19" t="str">
        <f>IF(SNP220 = "", "", IFERROR(SNP220 / SUMIFS(Aux_Totales!$N:$N, Aux_Totales!$F:$F, $F224, Aux_Totales!$A:$A,#REF!), 0))</f>
        <v/>
      </c>
      <c r="SNQ224" s="19" t="str">
        <f>IF(SNQ220 = "", "", IFERROR(SNQ220 / SUMIFS(Aux_Totales!$N:$N, Aux_Totales!$F:$F, $F224, Aux_Totales!$A:$A,#REF!), 0))</f>
        <v/>
      </c>
      <c r="SNR224" s="19" t="str">
        <f>IF(SNR220 = "", "", IFERROR(SNR220 / SUMIFS(Aux_Totales!$N:$N, Aux_Totales!$F:$F, $F224, Aux_Totales!$A:$A,#REF!), 0))</f>
        <v/>
      </c>
      <c r="SNS224" s="19" t="str">
        <f>IF(SNS220 = "", "", IFERROR(SNS220 / SUMIFS(Aux_Totales!$N:$N, Aux_Totales!$F:$F, $F224, Aux_Totales!$A:$A,#REF!), 0))</f>
        <v/>
      </c>
      <c r="SNT224" s="19" t="str">
        <f>IF(SNT220 = "", "", IFERROR(SNT220 / SUMIFS(Aux_Totales!$N:$N, Aux_Totales!$F:$F, $F224, Aux_Totales!$A:$A,#REF!), 0))</f>
        <v/>
      </c>
      <c r="SNU224" s="19" t="str">
        <f>IF(SNU220 = "", "", IFERROR(SNU220 / SUMIFS(Aux_Totales!$N:$N, Aux_Totales!$F:$F, $F224, Aux_Totales!$A:$A,#REF!), 0))</f>
        <v/>
      </c>
      <c r="SNV224" s="19" t="str">
        <f>IF(SNV220 = "", "", IFERROR(SNV220 / SUMIFS(Aux_Totales!$N:$N, Aux_Totales!$F:$F, $F224, Aux_Totales!$A:$A,#REF!), 0))</f>
        <v/>
      </c>
      <c r="SNW224" s="19" t="str">
        <f>IF(SNW220 = "", "", IFERROR(SNW220 / SUMIFS(Aux_Totales!$N:$N, Aux_Totales!$F:$F, $F224, Aux_Totales!$A:$A,#REF!), 0))</f>
        <v/>
      </c>
      <c r="SNX224" s="19" t="str">
        <f>IF(SNX220 = "", "", IFERROR(SNX220 / SUMIFS(Aux_Totales!$N:$N, Aux_Totales!$F:$F, $F224, Aux_Totales!$A:$A,#REF!), 0))</f>
        <v/>
      </c>
      <c r="SNY224" s="19" t="str">
        <f>IF(SNY220 = "", "", IFERROR(SNY220 / SUMIFS(Aux_Totales!$N:$N, Aux_Totales!$F:$F, $F224, Aux_Totales!$A:$A,#REF!), 0))</f>
        <v/>
      </c>
      <c r="SNZ224" s="19" t="str">
        <f>IF(SNZ220 = "", "", IFERROR(SNZ220 / SUMIFS(Aux_Totales!$N:$N, Aux_Totales!$F:$F, $F224, Aux_Totales!$A:$A,#REF!), 0))</f>
        <v/>
      </c>
      <c r="SOA224" s="19" t="str">
        <f>IF(SOA220 = "", "", IFERROR(SOA220 / SUMIFS(Aux_Totales!$N:$N, Aux_Totales!$F:$F, $F224, Aux_Totales!$A:$A,#REF!), 0))</f>
        <v/>
      </c>
      <c r="SOB224" s="19" t="str">
        <f>IF(SOB220 = "", "", IFERROR(SOB220 / SUMIFS(Aux_Totales!$N:$N, Aux_Totales!$F:$F, $F224, Aux_Totales!$A:$A,#REF!), 0))</f>
        <v/>
      </c>
      <c r="SOC224" s="19" t="str">
        <f>IF(SOC220 = "", "", IFERROR(SOC220 / SUMIFS(Aux_Totales!$N:$N, Aux_Totales!$F:$F, $F224, Aux_Totales!$A:$A,#REF!), 0))</f>
        <v/>
      </c>
      <c r="SOD224" s="19" t="str">
        <f>IF(SOD220 = "", "", IFERROR(SOD220 / SUMIFS(Aux_Totales!$N:$N, Aux_Totales!$F:$F, $F224, Aux_Totales!$A:$A,#REF!), 0))</f>
        <v/>
      </c>
      <c r="SOE224" s="19" t="str">
        <f>IF(SOE220 = "", "", IFERROR(SOE220 / SUMIFS(Aux_Totales!$N:$N, Aux_Totales!$F:$F, $F224, Aux_Totales!$A:$A,#REF!), 0))</f>
        <v/>
      </c>
      <c r="SOF224" s="19" t="str">
        <f>IF(SOF220 = "", "", IFERROR(SOF220 / SUMIFS(Aux_Totales!$N:$N, Aux_Totales!$F:$F, $F224, Aux_Totales!$A:$A,#REF!), 0))</f>
        <v/>
      </c>
      <c r="SOG224" s="19" t="str">
        <f>IF(SOG220 = "", "", IFERROR(SOG220 / SUMIFS(Aux_Totales!$N:$N, Aux_Totales!$F:$F, $F224, Aux_Totales!$A:$A,#REF!), 0))</f>
        <v/>
      </c>
      <c r="SOH224" s="19" t="str">
        <f>IF(SOH220 = "", "", IFERROR(SOH220 / SUMIFS(Aux_Totales!$N:$N, Aux_Totales!$F:$F, $F224, Aux_Totales!$A:$A,#REF!), 0))</f>
        <v/>
      </c>
      <c r="SOI224" s="19" t="str">
        <f>IF(SOI220 = "", "", IFERROR(SOI220 / SUMIFS(Aux_Totales!$N:$N, Aux_Totales!$F:$F, $F224, Aux_Totales!$A:$A,#REF!), 0))</f>
        <v/>
      </c>
      <c r="SOJ224" s="19" t="str">
        <f>IF(SOJ220 = "", "", IFERROR(SOJ220 / SUMIFS(Aux_Totales!$N:$N, Aux_Totales!$F:$F, $F224, Aux_Totales!$A:$A,#REF!), 0))</f>
        <v/>
      </c>
      <c r="SOK224" s="19" t="str">
        <f>IF(SOK220 = "", "", IFERROR(SOK220 / SUMIFS(Aux_Totales!$N:$N, Aux_Totales!$F:$F, $F224, Aux_Totales!$A:$A,#REF!), 0))</f>
        <v/>
      </c>
      <c r="SOL224" s="19" t="str">
        <f>IF(SOL220 = "", "", IFERROR(SOL220 / SUMIFS(Aux_Totales!$N:$N, Aux_Totales!$F:$F, $F224, Aux_Totales!$A:$A,#REF!), 0))</f>
        <v/>
      </c>
      <c r="SOM224" s="19" t="str">
        <f>IF(SOM220 = "", "", IFERROR(SOM220 / SUMIFS(Aux_Totales!$N:$N, Aux_Totales!$F:$F, $F224, Aux_Totales!$A:$A,#REF!), 0))</f>
        <v/>
      </c>
      <c r="SON224" s="19" t="str">
        <f>IF(SON220 = "", "", IFERROR(SON220 / SUMIFS(Aux_Totales!$N:$N, Aux_Totales!$F:$F, $F224, Aux_Totales!$A:$A,#REF!), 0))</f>
        <v/>
      </c>
      <c r="SOO224" s="19" t="str">
        <f>IF(SOO220 = "", "", IFERROR(SOO220 / SUMIFS(Aux_Totales!$N:$N, Aux_Totales!$F:$F, $F224, Aux_Totales!$A:$A,#REF!), 0))</f>
        <v/>
      </c>
      <c r="SOP224" s="19" t="str">
        <f>IF(SOP220 = "", "", IFERROR(SOP220 / SUMIFS(Aux_Totales!$N:$N, Aux_Totales!$F:$F, $F224, Aux_Totales!$A:$A,#REF!), 0))</f>
        <v/>
      </c>
      <c r="SOQ224" s="19" t="str">
        <f>IF(SOQ220 = "", "", IFERROR(SOQ220 / SUMIFS(Aux_Totales!$N:$N, Aux_Totales!$F:$F, $F224, Aux_Totales!$A:$A,#REF!), 0))</f>
        <v/>
      </c>
      <c r="SOR224" s="19" t="str">
        <f>IF(SOR220 = "", "", IFERROR(SOR220 / SUMIFS(Aux_Totales!$N:$N, Aux_Totales!$F:$F, $F224, Aux_Totales!$A:$A,#REF!), 0))</f>
        <v/>
      </c>
      <c r="SOS224" s="19" t="str">
        <f>IF(SOS220 = "", "", IFERROR(SOS220 / SUMIFS(Aux_Totales!$N:$N, Aux_Totales!$F:$F, $F224, Aux_Totales!$A:$A,#REF!), 0))</f>
        <v/>
      </c>
      <c r="SOT224" s="19" t="str">
        <f>IF(SOT220 = "", "", IFERROR(SOT220 / SUMIFS(Aux_Totales!$N:$N, Aux_Totales!$F:$F, $F224, Aux_Totales!$A:$A,#REF!), 0))</f>
        <v/>
      </c>
      <c r="SOU224" s="19" t="str">
        <f>IF(SOU220 = "", "", IFERROR(SOU220 / SUMIFS(Aux_Totales!$N:$N, Aux_Totales!$F:$F, $F224, Aux_Totales!$A:$A,#REF!), 0))</f>
        <v/>
      </c>
      <c r="SOV224" s="19" t="str">
        <f>IF(SOV220 = "", "", IFERROR(SOV220 / SUMIFS(Aux_Totales!$N:$N, Aux_Totales!$F:$F, $F224, Aux_Totales!$A:$A,#REF!), 0))</f>
        <v/>
      </c>
      <c r="SOW224" s="19" t="str">
        <f>IF(SOW220 = "", "", IFERROR(SOW220 / SUMIFS(Aux_Totales!$N:$N, Aux_Totales!$F:$F, $F224, Aux_Totales!$A:$A,#REF!), 0))</f>
        <v/>
      </c>
      <c r="SOX224" s="19" t="str">
        <f>IF(SOX220 = "", "", IFERROR(SOX220 / SUMIFS(Aux_Totales!$N:$N, Aux_Totales!$F:$F, $F224, Aux_Totales!$A:$A,#REF!), 0))</f>
        <v/>
      </c>
      <c r="SOY224" s="19" t="str">
        <f>IF(SOY220 = "", "", IFERROR(SOY220 / SUMIFS(Aux_Totales!$N:$N, Aux_Totales!$F:$F, $F224, Aux_Totales!$A:$A,#REF!), 0))</f>
        <v/>
      </c>
      <c r="SOZ224" s="19" t="str">
        <f>IF(SOZ220 = "", "", IFERROR(SOZ220 / SUMIFS(Aux_Totales!$N:$N, Aux_Totales!$F:$F, $F224, Aux_Totales!$A:$A,#REF!), 0))</f>
        <v/>
      </c>
      <c r="SPA224" s="19" t="str">
        <f>IF(SPA220 = "", "", IFERROR(SPA220 / SUMIFS(Aux_Totales!$N:$N, Aux_Totales!$F:$F, $F224, Aux_Totales!$A:$A,#REF!), 0))</f>
        <v/>
      </c>
      <c r="SPB224" s="19" t="str">
        <f>IF(SPB220 = "", "", IFERROR(SPB220 / SUMIFS(Aux_Totales!$N:$N, Aux_Totales!$F:$F, $F224, Aux_Totales!$A:$A,#REF!), 0))</f>
        <v/>
      </c>
      <c r="SPC224" s="19" t="str">
        <f>IF(SPC220 = "", "", IFERROR(SPC220 / SUMIFS(Aux_Totales!$N:$N, Aux_Totales!$F:$F, $F224, Aux_Totales!$A:$A,#REF!), 0))</f>
        <v/>
      </c>
      <c r="SPD224" s="19" t="str">
        <f>IF(SPD220 = "", "", IFERROR(SPD220 / SUMIFS(Aux_Totales!$N:$N, Aux_Totales!$F:$F, $F224, Aux_Totales!$A:$A,#REF!), 0))</f>
        <v/>
      </c>
      <c r="SPE224" s="19" t="str">
        <f>IF(SPE220 = "", "", IFERROR(SPE220 / SUMIFS(Aux_Totales!$N:$N, Aux_Totales!$F:$F, $F224, Aux_Totales!$A:$A,#REF!), 0))</f>
        <v/>
      </c>
      <c r="SPF224" s="19" t="str">
        <f>IF(SPF220 = "", "", IFERROR(SPF220 / SUMIFS(Aux_Totales!$N:$N, Aux_Totales!$F:$F, $F224, Aux_Totales!$A:$A,#REF!), 0))</f>
        <v/>
      </c>
      <c r="SPG224" s="19" t="str">
        <f>IF(SPG220 = "", "", IFERROR(SPG220 / SUMIFS(Aux_Totales!$N:$N, Aux_Totales!$F:$F, $F224, Aux_Totales!$A:$A,#REF!), 0))</f>
        <v/>
      </c>
      <c r="SPH224" s="19" t="str">
        <f>IF(SPH220 = "", "", IFERROR(SPH220 / SUMIFS(Aux_Totales!$N:$N, Aux_Totales!$F:$F, $F224, Aux_Totales!$A:$A,#REF!), 0))</f>
        <v/>
      </c>
      <c r="SPI224" s="19" t="str">
        <f>IF(SPI220 = "", "", IFERROR(SPI220 / SUMIFS(Aux_Totales!$N:$N, Aux_Totales!$F:$F, $F224, Aux_Totales!$A:$A,#REF!), 0))</f>
        <v/>
      </c>
      <c r="SPJ224" s="19" t="str">
        <f>IF(SPJ220 = "", "", IFERROR(SPJ220 / SUMIFS(Aux_Totales!$N:$N, Aux_Totales!$F:$F, $F224, Aux_Totales!$A:$A,#REF!), 0))</f>
        <v/>
      </c>
      <c r="SPK224" s="19" t="str">
        <f>IF(SPK220 = "", "", IFERROR(SPK220 / SUMIFS(Aux_Totales!$N:$N, Aux_Totales!$F:$F, $F224, Aux_Totales!$A:$A,#REF!), 0))</f>
        <v/>
      </c>
      <c r="SPL224" s="19" t="str">
        <f>IF(SPL220 = "", "", IFERROR(SPL220 / SUMIFS(Aux_Totales!$N:$N, Aux_Totales!$F:$F, $F224, Aux_Totales!$A:$A,#REF!), 0))</f>
        <v/>
      </c>
      <c r="SPM224" s="19" t="str">
        <f>IF(SPM220 = "", "", IFERROR(SPM220 / SUMIFS(Aux_Totales!$N:$N, Aux_Totales!$F:$F, $F224, Aux_Totales!$A:$A,#REF!), 0))</f>
        <v/>
      </c>
      <c r="SPN224" s="19" t="str">
        <f>IF(SPN220 = "", "", IFERROR(SPN220 / SUMIFS(Aux_Totales!$N:$N, Aux_Totales!$F:$F, $F224, Aux_Totales!$A:$A,#REF!), 0))</f>
        <v/>
      </c>
      <c r="SPO224" s="19" t="str">
        <f>IF(SPO220 = "", "", IFERROR(SPO220 / SUMIFS(Aux_Totales!$N:$N, Aux_Totales!$F:$F, $F224, Aux_Totales!$A:$A,#REF!), 0))</f>
        <v/>
      </c>
      <c r="SPP224" s="19" t="str">
        <f>IF(SPP220 = "", "", IFERROR(SPP220 / SUMIFS(Aux_Totales!$N:$N, Aux_Totales!$F:$F, $F224, Aux_Totales!$A:$A,#REF!), 0))</f>
        <v/>
      </c>
      <c r="SPQ224" s="19" t="str">
        <f>IF(SPQ220 = "", "", IFERROR(SPQ220 / SUMIFS(Aux_Totales!$N:$N, Aux_Totales!$F:$F, $F224, Aux_Totales!$A:$A,#REF!), 0))</f>
        <v/>
      </c>
      <c r="SPR224" s="19" t="str">
        <f>IF(SPR220 = "", "", IFERROR(SPR220 / SUMIFS(Aux_Totales!$N:$N, Aux_Totales!$F:$F, $F224, Aux_Totales!$A:$A,#REF!), 0))</f>
        <v/>
      </c>
      <c r="SPS224" s="19" t="str">
        <f>IF(SPS220 = "", "", IFERROR(SPS220 / SUMIFS(Aux_Totales!$N:$N, Aux_Totales!$F:$F, $F224, Aux_Totales!$A:$A,#REF!), 0))</f>
        <v/>
      </c>
      <c r="SPT224" s="19" t="str">
        <f>IF(SPT220 = "", "", IFERROR(SPT220 / SUMIFS(Aux_Totales!$N:$N, Aux_Totales!$F:$F, $F224, Aux_Totales!$A:$A,#REF!), 0))</f>
        <v/>
      </c>
      <c r="SPU224" s="19" t="str">
        <f>IF(SPU220 = "", "", IFERROR(SPU220 / SUMIFS(Aux_Totales!$N:$N, Aux_Totales!$F:$F, $F224, Aux_Totales!$A:$A,#REF!), 0))</f>
        <v/>
      </c>
      <c r="SPV224" s="19" t="str">
        <f>IF(SPV220 = "", "", IFERROR(SPV220 / SUMIFS(Aux_Totales!$N:$N, Aux_Totales!$F:$F, $F224, Aux_Totales!$A:$A,#REF!), 0))</f>
        <v/>
      </c>
      <c r="SPW224" s="19" t="str">
        <f>IF(SPW220 = "", "", IFERROR(SPW220 / SUMIFS(Aux_Totales!$N:$N, Aux_Totales!$F:$F, $F224, Aux_Totales!$A:$A,#REF!), 0))</f>
        <v/>
      </c>
      <c r="SPX224" s="19" t="str">
        <f>IF(SPX220 = "", "", IFERROR(SPX220 / SUMIFS(Aux_Totales!$N:$N, Aux_Totales!$F:$F, $F224, Aux_Totales!$A:$A,#REF!), 0))</f>
        <v/>
      </c>
      <c r="SPY224" s="19" t="str">
        <f>IF(SPY220 = "", "", IFERROR(SPY220 / SUMIFS(Aux_Totales!$N:$N, Aux_Totales!$F:$F, $F224, Aux_Totales!$A:$A,#REF!), 0))</f>
        <v/>
      </c>
      <c r="SPZ224" s="19" t="str">
        <f>IF(SPZ220 = "", "", IFERROR(SPZ220 / SUMIFS(Aux_Totales!$N:$N, Aux_Totales!$F:$F, $F224, Aux_Totales!$A:$A,#REF!), 0))</f>
        <v/>
      </c>
      <c r="SQA224" s="19" t="str">
        <f>IF(SQA220 = "", "", IFERROR(SQA220 / SUMIFS(Aux_Totales!$N:$N, Aux_Totales!$F:$F, $F224, Aux_Totales!$A:$A,#REF!), 0))</f>
        <v/>
      </c>
      <c r="SQB224" s="19" t="str">
        <f>IF(SQB220 = "", "", IFERROR(SQB220 / SUMIFS(Aux_Totales!$N:$N, Aux_Totales!$F:$F, $F224, Aux_Totales!$A:$A,#REF!), 0))</f>
        <v/>
      </c>
      <c r="SQC224" s="19" t="str">
        <f>IF(SQC220 = "", "", IFERROR(SQC220 / SUMIFS(Aux_Totales!$N:$N, Aux_Totales!$F:$F, $F224, Aux_Totales!$A:$A,#REF!), 0))</f>
        <v/>
      </c>
      <c r="SQD224" s="19" t="str">
        <f>IF(SQD220 = "", "", IFERROR(SQD220 / SUMIFS(Aux_Totales!$N:$N, Aux_Totales!$F:$F, $F224, Aux_Totales!$A:$A,#REF!), 0))</f>
        <v/>
      </c>
      <c r="SQE224" s="19" t="str">
        <f>IF(SQE220 = "", "", IFERROR(SQE220 / SUMIFS(Aux_Totales!$N:$N, Aux_Totales!$F:$F, $F224, Aux_Totales!$A:$A,#REF!), 0))</f>
        <v/>
      </c>
      <c r="SQF224" s="19" t="str">
        <f>IF(SQF220 = "", "", IFERROR(SQF220 / SUMIFS(Aux_Totales!$N:$N, Aux_Totales!$F:$F, $F224, Aux_Totales!$A:$A,#REF!), 0))</f>
        <v/>
      </c>
      <c r="SQG224" s="19" t="str">
        <f>IF(SQG220 = "", "", IFERROR(SQG220 / SUMIFS(Aux_Totales!$N:$N, Aux_Totales!$F:$F, $F224, Aux_Totales!$A:$A,#REF!), 0))</f>
        <v/>
      </c>
      <c r="SQH224" s="19" t="str">
        <f>IF(SQH220 = "", "", IFERROR(SQH220 / SUMIFS(Aux_Totales!$N:$N, Aux_Totales!$F:$F, $F224, Aux_Totales!$A:$A,#REF!), 0))</f>
        <v/>
      </c>
      <c r="SQI224" s="19" t="str">
        <f>IF(SQI220 = "", "", IFERROR(SQI220 / SUMIFS(Aux_Totales!$N:$N, Aux_Totales!$F:$F, $F224, Aux_Totales!$A:$A,#REF!), 0))</f>
        <v/>
      </c>
      <c r="SQJ224" s="19" t="str">
        <f>IF(SQJ220 = "", "", IFERROR(SQJ220 / SUMIFS(Aux_Totales!$N:$N, Aux_Totales!$F:$F, $F224, Aux_Totales!$A:$A,#REF!), 0))</f>
        <v/>
      </c>
      <c r="SQK224" s="19" t="str">
        <f>IF(SQK220 = "", "", IFERROR(SQK220 / SUMIFS(Aux_Totales!$N:$N, Aux_Totales!$F:$F, $F224, Aux_Totales!$A:$A,#REF!), 0))</f>
        <v/>
      </c>
      <c r="SQL224" s="19" t="str">
        <f>IF(SQL220 = "", "", IFERROR(SQL220 / SUMIFS(Aux_Totales!$N:$N, Aux_Totales!$F:$F, $F224, Aux_Totales!$A:$A,#REF!), 0))</f>
        <v/>
      </c>
      <c r="SQM224" s="19" t="str">
        <f>IF(SQM220 = "", "", IFERROR(SQM220 / SUMIFS(Aux_Totales!$N:$N, Aux_Totales!$F:$F, $F224, Aux_Totales!$A:$A,#REF!), 0))</f>
        <v/>
      </c>
      <c r="SQN224" s="19" t="str">
        <f>IF(SQN220 = "", "", IFERROR(SQN220 / SUMIFS(Aux_Totales!$N:$N, Aux_Totales!$F:$F, $F224, Aux_Totales!$A:$A,#REF!), 0))</f>
        <v/>
      </c>
      <c r="SQO224" s="19" t="str">
        <f>IF(SQO220 = "", "", IFERROR(SQO220 / SUMIFS(Aux_Totales!$N:$N, Aux_Totales!$F:$F, $F224, Aux_Totales!$A:$A,#REF!), 0))</f>
        <v/>
      </c>
      <c r="SQP224" s="19" t="str">
        <f>IF(SQP220 = "", "", IFERROR(SQP220 / SUMIFS(Aux_Totales!$N:$N, Aux_Totales!$F:$F, $F224, Aux_Totales!$A:$A,#REF!), 0))</f>
        <v/>
      </c>
      <c r="SQQ224" s="19" t="str">
        <f>IF(SQQ220 = "", "", IFERROR(SQQ220 / SUMIFS(Aux_Totales!$N:$N, Aux_Totales!$F:$F, $F224, Aux_Totales!$A:$A,#REF!), 0))</f>
        <v/>
      </c>
      <c r="SQR224" s="19" t="str">
        <f>IF(SQR220 = "", "", IFERROR(SQR220 / SUMIFS(Aux_Totales!$N:$N, Aux_Totales!$F:$F, $F224, Aux_Totales!$A:$A,#REF!), 0))</f>
        <v/>
      </c>
      <c r="SQS224" s="19" t="str">
        <f>IF(SQS220 = "", "", IFERROR(SQS220 / SUMIFS(Aux_Totales!$N:$N, Aux_Totales!$F:$F, $F224, Aux_Totales!$A:$A,#REF!), 0))</f>
        <v/>
      </c>
      <c r="SQT224" s="19" t="str">
        <f>IF(SQT220 = "", "", IFERROR(SQT220 / SUMIFS(Aux_Totales!$N:$N, Aux_Totales!$F:$F, $F224, Aux_Totales!$A:$A,#REF!), 0))</f>
        <v/>
      </c>
      <c r="SQU224" s="19" t="str">
        <f>IF(SQU220 = "", "", IFERROR(SQU220 / SUMIFS(Aux_Totales!$N:$N, Aux_Totales!$F:$F, $F224, Aux_Totales!$A:$A,#REF!), 0))</f>
        <v/>
      </c>
      <c r="SQV224" s="19" t="str">
        <f>IF(SQV220 = "", "", IFERROR(SQV220 / SUMIFS(Aux_Totales!$N:$N, Aux_Totales!$F:$F, $F224, Aux_Totales!$A:$A,#REF!), 0))</f>
        <v/>
      </c>
      <c r="SQW224" s="19" t="str">
        <f>IF(SQW220 = "", "", IFERROR(SQW220 / SUMIFS(Aux_Totales!$N:$N, Aux_Totales!$F:$F, $F224, Aux_Totales!$A:$A,#REF!), 0))</f>
        <v/>
      </c>
      <c r="SQX224" s="19" t="str">
        <f>IF(SQX220 = "", "", IFERROR(SQX220 / SUMIFS(Aux_Totales!$N:$N, Aux_Totales!$F:$F, $F224, Aux_Totales!$A:$A,#REF!), 0))</f>
        <v/>
      </c>
      <c r="SQY224" s="19" t="str">
        <f>IF(SQY220 = "", "", IFERROR(SQY220 / SUMIFS(Aux_Totales!$N:$N, Aux_Totales!$F:$F, $F224, Aux_Totales!$A:$A,#REF!), 0))</f>
        <v/>
      </c>
      <c r="SQZ224" s="19" t="str">
        <f>IF(SQZ220 = "", "", IFERROR(SQZ220 / SUMIFS(Aux_Totales!$N:$N, Aux_Totales!$F:$F, $F224, Aux_Totales!$A:$A,#REF!), 0))</f>
        <v/>
      </c>
      <c r="SRA224" s="19" t="str">
        <f>IF(SRA220 = "", "", IFERROR(SRA220 / SUMIFS(Aux_Totales!$N:$N, Aux_Totales!$F:$F, $F224, Aux_Totales!$A:$A,#REF!), 0))</f>
        <v/>
      </c>
      <c r="SRB224" s="19" t="str">
        <f>IF(SRB220 = "", "", IFERROR(SRB220 / SUMIFS(Aux_Totales!$N:$N, Aux_Totales!$F:$F, $F224, Aux_Totales!$A:$A,#REF!), 0))</f>
        <v/>
      </c>
      <c r="SRC224" s="19" t="str">
        <f>IF(SRC220 = "", "", IFERROR(SRC220 / SUMIFS(Aux_Totales!$N:$N, Aux_Totales!$F:$F, $F224, Aux_Totales!$A:$A,#REF!), 0))</f>
        <v/>
      </c>
      <c r="SRD224" s="19" t="str">
        <f>IF(SRD220 = "", "", IFERROR(SRD220 / SUMIFS(Aux_Totales!$N:$N, Aux_Totales!$F:$F, $F224, Aux_Totales!$A:$A,#REF!), 0))</f>
        <v/>
      </c>
      <c r="SRE224" s="19" t="str">
        <f>IF(SRE220 = "", "", IFERROR(SRE220 / SUMIFS(Aux_Totales!$N:$N, Aux_Totales!$F:$F, $F224, Aux_Totales!$A:$A,#REF!), 0))</f>
        <v/>
      </c>
      <c r="SRF224" s="19" t="str">
        <f>IF(SRF220 = "", "", IFERROR(SRF220 / SUMIFS(Aux_Totales!$N:$N, Aux_Totales!$F:$F, $F224, Aux_Totales!$A:$A,#REF!), 0))</f>
        <v/>
      </c>
      <c r="SRG224" s="19" t="str">
        <f>IF(SRG220 = "", "", IFERROR(SRG220 / SUMIFS(Aux_Totales!$N:$N, Aux_Totales!$F:$F, $F224, Aux_Totales!$A:$A,#REF!), 0))</f>
        <v/>
      </c>
      <c r="SRH224" s="19" t="str">
        <f>IF(SRH220 = "", "", IFERROR(SRH220 / SUMIFS(Aux_Totales!$N:$N, Aux_Totales!$F:$F, $F224, Aux_Totales!$A:$A,#REF!), 0))</f>
        <v/>
      </c>
      <c r="SRI224" s="19" t="str">
        <f>IF(SRI220 = "", "", IFERROR(SRI220 / SUMIFS(Aux_Totales!$N:$N, Aux_Totales!$F:$F, $F224, Aux_Totales!$A:$A,#REF!), 0))</f>
        <v/>
      </c>
      <c r="SRJ224" s="19" t="str">
        <f>IF(SRJ220 = "", "", IFERROR(SRJ220 / SUMIFS(Aux_Totales!$N:$N, Aux_Totales!$F:$F, $F224, Aux_Totales!$A:$A,#REF!), 0))</f>
        <v/>
      </c>
      <c r="SRK224" s="19" t="str">
        <f>IF(SRK220 = "", "", IFERROR(SRK220 / SUMIFS(Aux_Totales!$N:$N, Aux_Totales!$F:$F, $F224, Aux_Totales!$A:$A,#REF!), 0))</f>
        <v/>
      </c>
      <c r="SRL224" s="19" t="str">
        <f>IF(SRL220 = "", "", IFERROR(SRL220 / SUMIFS(Aux_Totales!$N:$N, Aux_Totales!$F:$F, $F224, Aux_Totales!$A:$A,#REF!), 0))</f>
        <v/>
      </c>
      <c r="SRM224" s="19" t="str">
        <f>IF(SRM220 = "", "", IFERROR(SRM220 / SUMIFS(Aux_Totales!$N:$N, Aux_Totales!$F:$F, $F224, Aux_Totales!$A:$A,#REF!), 0))</f>
        <v/>
      </c>
      <c r="SRN224" s="19" t="str">
        <f>IF(SRN220 = "", "", IFERROR(SRN220 / SUMIFS(Aux_Totales!$N:$N, Aux_Totales!$F:$F, $F224, Aux_Totales!$A:$A,#REF!), 0))</f>
        <v/>
      </c>
      <c r="SRO224" s="19" t="str">
        <f>IF(SRO220 = "", "", IFERROR(SRO220 / SUMIFS(Aux_Totales!$N:$N, Aux_Totales!$F:$F, $F224, Aux_Totales!$A:$A,#REF!), 0))</f>
        <v/>
      </c>
      <c r="SRP224" s="19" t="str">
        <f>IF(SRP220 = "", "", IFERROR(SRP220 / SUMIFS(Aux_Totales!$N:$N, Aux_Totales!$F:$F, $F224, Aux_Totales!$A:$A,#REF!), 0))</f>
        <v/>
      </c>
      <c r="SRQ224" s="19" t="str">
        <f>IF(SRQ220 = "", "", IFERROR(SRQ220 / SUMIFS(Aux_Totales!$N:$N, Aux_Totales!$F:$F, $F224, Aux_Totales!$A:$A,#REF!), 0))</f>
        <v/>
      </c>
      <c r="SRR224" s="19" t="str">
        <f>IF(SRR220 = "", "", IFERROR(SRR220 / SUMIFS(Aux_Totales!$N:$N, Aux_Totales!$F:$F, $F224, Aux_Totales!$A:$A,#REF!), 0))</f>
        <v/>
      </c>
      <c r="SRS224" s="19" t="str">
        <f>IF(SRS220 = "", "", IFERROR(SRS220 / SUMIFS(Aux_Totales!$N:$N, Aux_Totales!$F:$F, $F224, Aux_Totales!$A:$A,#REF!), 0))</f>
        <v/>
      </c>
      <c r="SRT224" s="19" t="str">
        <f>IF(SRT220 = "", "", IFERROR(SRT220 / SUMIFS(Aux_Totales!$N:$N, Aux_Totales!$F:$F, $F224, Aux_Totales!$A:$A,#REF!), 0))</f>
        <v/>
      </c>
      <c r="SRU224" s="19" t="str">
        <f>IF(SRU220 = "", "", IFERROR(SRU220 / SUMIFS(Aux_Totales!$N:$N, Aux_Totales!$F:$F, $F224, Aux_Totales!$A:$A,#REF!), 0))</f>
        <v/>
      </c>
      <c r="SRV224" s="19" t="str">
        <f>IF(SRV220 = "", "", IFERROR(SRV220 / SUMIFS(Aux_Totales!$N:$N, Aux_Totales!$F:$F, $F224, Aux_Totales!$A:$A,#REF!), 0))</f>
        <v/>
      </c>
      <c r="SRW224" s="19" t="str">
        <f>IF(SRW220 = "", "", IFERROR(SRW220 / SUMIFS(Aux_Totales!$N:$N, Aux_Totales!$F:$F, $F224, Aux_Totales!$A:$A,#REF!), 0))</f>
        <v/>
      </c>
      <c r="SRX224" s="19" t="str">
        <f>IF(SRX220 = "", "", IFERROR(SRX220 / SUMIFS(Aux_Totales!$N:$N, Aux_Totales!$F:$F, $F224, Aux_Totales!$A:$A,#REF!), 0))</f>
        <v/>
      </c>
      <c r="SRY224" s="19" t="str">
        <f>IF(SRY220 = "", "", IFERROR(SRY220 / SUMIFS(Aux_Totales!$N:$N, Aux_Totales!$F:$F, $F224, Aux_Totales!$A:$A,#REF!), 0))</f>
        <v/>
      </c>
      <c r="SRZ224" s="19" t="str">
        <f>IF(SRZ220 = "", "", IFERROR(SRZ220 / SUMIFS(Aux_Totales!$N:$N, Aux_Totales!$F:$F, $F224, Aux_Totales!$A:$A,#REF!), 0))</f>
        <v/>
      </c>
      <c r="SSA224" s="19" t="str">
        <f>IF(SSA220 = "", "", IFERROR(SSA220 / SUMIFS(Aux_Totales!$N:$N, Aux_Totales!$F:$F, $F224, Aux_Totales!$A:$A,#REF!), 0))</f>
        <v/>
      </c>
      <c r="SSB224" s="19" t="str">
        <f>IF(SSB220 = "", "", IFERROR(SSB220 / SUMIFS(Aux_Totales!$N:$N, Aux_Totales!$F:$F, $F224, Aux_Totales!$A:$A,#REF!), 0))</f>
        <v/>
      </c>
      <c r="SSC224" s="19" t="str">
        <f>IF(SSC220 = "", "", IFERROR(SSC220 / SUMIFS(Aux_Totales!$N:$N, Aux_Totales!$F:$F, $F224, Aux_Totales!$A:$A,#REF!), 0))</f>
        <v/>
      </c>
      <c r="SSD224" s="19" t="str">
        <f>IF(SSD220 = "", "", IFERROR(SSD220 / SUMIFS(Aux_Totales!$N:$N, Aux_Totales!$F:$F, $F224, Aux_Totales!$A:$A,#REF!), 0))</f>
        <v/>
      </c>
      <c r="SSE224" s="19" t="str">
        <f>IF(SSE220 = "", "", IFERROR(SSE220 / SUMIFS(Aux_Totales!$N:$N, Aux_Totales!$F:$F, $F224, Aux_Totales!$A:$A,#REF!), 0))</f>
        <v/>
      </c>
      <c r="SSF224" s="19" t="str">
        <f>IF(SSF220 = "", "", IFERROR(SSF220 / SUMIFS(Aux_Totales!$N:$N, Aux_Totales!$F:$F, $F224, Aux_Totales!$A:$A,#REF!), 0))</f>
        <v/>
      </c>
      <c r="SSG224" s="19" t="str">
        <f>IF(SSG220 = "", "", IFERROR(SSG220 / SUMIFS(Aux_Totales!$N:$N, Aux_Totales!$F:$F, $F224, Aux_Totales!$A:$A,#REF!), 0))</f>
        <v/>
      </c>
      <c r="SSH224" s="19" t="str">
        <f>IF(SSH220 = "", "", IFERROR(SSH220 / SUMIFS(Aux_Totales!$N:$N, Aux_Totales!$F:$F, $F224, Aux_Totales!$A:$A,#REF!), 0))</f>
        <v/>
      </c>
      <c r="SSI224" s="19" t="str">
        <f>IF(SSI220 = "", "", IFERROR(SSI220 / SUMIFS(Aux_Totales!$N:$N, Aux_Totales!$F:$F, $F224, Aux_Totales!$A:$A,#REF!), 0))</f>
        <v/>
      </c>
      <c r="SSJ224" s="19" t="str">
        <f>IF(SSJ220 = "", "", IFERROR(SSJ220 / SUMIFS(Aux_Totales!$N:$N, Aux_Totales!$F:$F, $F224, Aux_Totales!$A:$A,#REF!), 0))</f>
        <v/>
      </c>
      <c r="SSK224" s="19" t="str">
        <f>IF(SSK220 = "", "", IFERROR(SSK220 / SUMIFS(Aux_Totales!$N:$N, Aux_Totales!$F:$F, $F224, Aux_Totales!$A:$A,#REF!), 0))</f>
        <v/>
      </c>
      <c r="SSL224" s="19" t="str">
        <f>IF(SSL220 = "", "", IFERROR(SSL220 / SUMIFS(Aux_Totales!$N:$N, Aux_Totales!$F:$F, $F224, Aux_Totales!$A:$A,#REF!), 0))</f>
        <v/>
      </c>
      <c r="SSM224" s="19" t="str">
        <f>IF(SSM220 = "", "", IFERROR(SSM220 / SUMIFS(Aux_Totales!$N:$N, Aux_Totales!$F:$F, $F224, Aux_Totales!$A:$A,#REF!), 0))</f>
        <v/>
      </c>
      <c r="SSN224" s="19" t="str">
        <f>IF(SSN220 = "", "", IFERROR(SSN220 / SUMIFS(Aux_Totales!$N:$N, Aux_Totales!$F:$F, $F224, Aux_Totales!$A:$A,#REF!), 0))</f>
        <v/>
      </c>
      <c r="SSO224" s="19" t="str">
        <f>IF(SSO220 = "", "", IFERROR(SSO220 / SUMIFS(Aux_Totales!$N:$N, Aux_Totales!$F:$F, $F224, Aux_Totales!$A:$A,#REF!), 0))</f>
        <v/>
      </c>
      <c r="SSP224" s="19" t="str">
        <f>IF(SSP220 = "", "", IFERROR(SSP220 / SUMIFS(Aux_Totales!$N:$N, Aux_Totales!$F:$F, $F224, Aux_Totales!$A:$A,#REF!), 0))</f>
        <v/>
      </c>
      <c r="SSQ224" s="19" t="str">
        <f>IF(SSQ220 = "", "", IFERROR(SSQ220 / SUMIFS(Aux_Totales!$N:$N, Aux_Totales!$F:$F, $F224, Aux_Totales!$A:$A,#REF!), 0))</f>
        <v/>
      </c>
      <c r="SSR224" s="19" t="str">
        <f>IF(SSR220 = "", "", IFERROR(SSR220 / SUMIFS(Aux_Totales!$N:$N, Aux_Totales!$F:$F, $F224, Aux_Totales!$A:$A,#REF!), 0))</f>
        <v/>
      </c>
      <c r="SSS224" s="19" t="str">
        <f>IF(SSS220 = "", "", IFERROR(SSS220 / SUMIFS(Aux_Totales!$N:$N, Aux_Totales!$F:$F, $F224, Aux_Totales!$A:$A,#REF!), 0))</f>
        <v/>
      </c>
      <c r="SST224" s="19" t="str">
        <f>IF(SST220 = "", "", IFERROR(SST220 / SUMIFS(Aux_Totales!$N:$N, Aux_Totales!$F:$F, $F224, Aux_Totales!$A:$A,#REF!), 0))</f>
        <v/>
      </c>
      <c r="SSU224" s="19" t="str">
        <f>IF(SSU220 = "", "", IFERROR(SSU220 / SUMIFS(Aux_Totales!$N:$N, Aux_Totales!$F:$F, $F224, Aux_Totales!$A:$A,#REF!), 0))</f>
        <v/>
      </c>
      <c r="SSV224" s="19" t="str">
        <f>IF(SSV220 = "", "", IFERROR(SSV220 / SUMIFS(Aux_Totales!$N:$N, Aux_Totales!$F:$F, $F224, Aux_Totales!$A:$A,#REF!), 0))</f>
        <v/>
      </c>
      <c r="SSW224" s="19" t="str">
        <f>IF(SSW220 = "", "", IFERROR(SSW220 / SUMIFS(Aux_Totales!$N:$N, Aux_Totales!$F:$F, $F224, Aux_Totales!$A:$A,#REF!), 0))</f>
        <v/>
      </c>
      <c r="SSX224" s="19" t="str">
        <f>IF(SSX220 = "", "", IFERROR(SSX220 / SUMIFS(Aux_Totales!$N:$N, Aux_Totales!$F:$F, $F224, Aux_Totales!$A:$A,#REF!), 0))</f>
        <v/>
      </c>
      <c r="SSY224" s="19" t="str">
        <f>IF(SSY220 = "", "", IFERROR(SSY220 / SUMIFS(Aux_Totales!$N:$N, Aux_Totales!$F:$F, $F224, Aux_Totales!$A:$A,#REF!), 0))</f>
        <v/>
      </c>
      <c r="SSZ224" s="19" t="str">
        <f>IF(SSZ220 = "", "", IFERROR(SSZ220 / SUMIFS(Aux_Totales!$N:$N, Aux_Totales!$F:$F, $F224, Aux_Totales!$A:$A,#REF!), 0))</f>
        <v/>
      </c>
      <c r="STA224" s="19" t="str">
        <f>IF(STA220 = "", "", IFERROR(STA220 / SUMIFS(Aux_Totales!$N:$N, Aux_Totales!$F:$F, $F224, Aux_Totales!$A:$A,#REF!), 0))</f>
        <v/>
      </c>
      <c r="STB224" s="19" t="str">
        <f>IF(STB220 = "", "", IFERROR(STB220 / SUMIFS(Aux_Totales!$N:$N, Aux_Totales!$F:$F, $F224, Aux_Totales!$A:$A,#REF!), 0))</f>
        <v/>
      </c>
      <c r="STC224" s="19" t="str">
        <f>IF(STC220 = "", "", IFERROR(STC220 / SUMIFS(Aux_Totales!$N:$N, Aux_Totales!$F:$F, $F224, Aux_Totales!$A:$A,#REF!), 0))</f>
        <v/>
      </c>
      <c r="STD224" s="19" t="str">
        <f>IF(STD220 = "", "", IFERROR(STD220 / SUMIFS(Aux_Totales!$N:$N, Aux_Totales!$F:$F, $F224, Aux_Totales!$A:$A,#REF!), 0))</f>
        <v/>
      </c>
      <c r="STE224" s="19" t="str">
        <f>IF(STE220 = "", "", IFERROR(STE220 / SUMIFS(Aux_Totales!$N:$N, Aux_Totales!$F:$F, $F224, Aux_Totales!$A:$A,#REF!), 0))</f>
        <v/>
      </c>
      <c r="STF224" s="19" t="str">
        <f>IF(STF220 = "", "", IFERROR(STF220 / SUMIFS(Aux_Totales!$N:$N, Aux_Totales!$F:$F, $F224, Aux_Totales!$A:$A,#REF!), 0))</f>
        <v/>
      </c>
      <c r="STG224" s="19" t="str">
        <f>IF(STG220 = "", "", IFERROR(STG220 / SUMIFS(Aux_Totales!$N:$N, Aux_Totales!$F:$F, $F224, Aux_Totales!$A:$A,#REF!), 0))</f>
        <v/>
      </c>
      <c r="STH224" s="19" t="str">
        <f>IF(STH220 = "", "", IFERROR(STH220 / SUMIFS(Aux_Totales!$N:$N, Aux_Totales!$F:$F, $F224, Aux_Totales!$A:$A,#REF!), 0))</f>
        <v/>
      </c>
      <c r="STI224" s="19" t="str">
        <f>IF(STI220 = "", "", IFERROR(STI220 / SUMIFS(Aux_Totales!$N:$N, Aux_Totales!$F:$F, $F224, Aux_Totales!$A:$A,#REF!), 0))</f>
        <v/>
      </c>
      <c r="STJ224" s="19" t="str">
        <f>IF(STJ220 = "", "", IFERROR(STJ220 / SUMIFS(Aux_Totales!$N:$N, Aux_Totales!$F:$F, $F224, Aux_Totales!$A:$A,#REF!), 0))</f>
        <v/>
      </c>
      <c r="STK224" s="19" t="str">
        <f>IF(STK220 = "", "", IFERROR(STK220 / SUMIFS(Aux_Totales!$N:$N, Aux_Totales!$F:$F, $F224, Aux_Totales!$A:$A,#REF!), 0))</f>
        <v/>
      </c>
      <c r="STL224" s="19" t="str">
        <f>IF(STL220 = "", "", IFERROR(STL220 / SUMIFS(Aux_Totales!$N:$N, Aux_Totales!$F:$F, $F224, Aux_Totales!$A:$A,#REF!), 0))</f>
        <v/>
      </c>
      <c r="STM224" s="19" t="str">
        <f>IF(STM220 = "", "", IFERROR(STM220 / SUMIFS(Aux_Totales!$N:$N, Aux_Totales!$F:$F, $F224, Aux_Totales!$A:$A,#REF!), 0))</f>
        <v/>
      </c>
      <c r="STN224" s="19" t="str">
        <f>IF(STN220 = "", "", IFERROR(STN220 / SUMIFS(Aux_Totales!$N:$N, Aux_Totales!$F:$F, $F224, Aux_Totales!$A:$A,#REF!), 0))</f>
        <v/>
      </c>
      <c r="STO224" s="19" t="str">
        <f>IF(STO220 = "", "", IFERROR(STO220 / SUMIFS(Aux_Totales!$N:$N, Aux_Totales!$F:$F, $F224, Aux_Totales!$A:$A,#REF!), 0))</f>
        <v/>
      </c>
      <c r="STP224" s="19" t="str">
        <f>IF(STP220 = "", "", IFERROR(STP220 / SUMIFS(Aux_Totales!$N:$N, Aux_Totales!$F:$F, $F224, Aux_Totales!$A:$A,#REF!), 0))</f>
        <v/>
      </c>
      <c r="STQ224" s="19" t="str">
        <f>IF(STQ220 = "", "", IFERROR(STQ220 / SUMIFS(Aux_Totales!$N:$N, Aux_Totales!$F:$F, $F224, Aux_Totales!$A:$A,#REF!), 0))</f>
        <v/>
      </c>
      <c r="STR224" s="19" t="str">
        <f>IF(STR220 = "", "", IFERROR(STR220 / SUMIFS(Aux_Totales!$N:$N, Aux_Totales!$F:$F, $F224, Aux_Totales!$A:$A,#REF!), 0))</f>
        <v/>
      </c>
      <c r="STS224" s="19" t="str">
        <f>IF(STS220 = "", "", IFERROR(STS220 / SUMIFS(Aux_Totales!$N:$N, Aux_Totales!$F:$F, $F224, Aux_Totales!$A:$A,#REF!), 0))</f>
        <v/>
      </c>
      <c r="STT224" s="19" t="str">
        <f>IF(STT220 = "", "", IFERROR(STT220 / SUMIFS(Aux_Totales!$N:$N, Aux_Totales!$F:$F, $F224, Aux_Totales!$A:$A,#REF!), 0))</f>
        <v/>
      </c>
      <c r="STU224" s="19" t="str">
        <f>IF(STU220 = "", "", IFERROR(STU220 / SUMIFS(Aux_Totales!$N:$N, Aux_Totales!$F:$F, $F224, Aux_Totales!$A:$A,#REF!), 0))</f>
        <v/>
      </c>
      <c r="STV224" s="19" t="str">
        <f>IF(STV220 = "", "", IFERROR(STV220 / SUMIFS(Aux_Totales!$N:$N, Aux_Totales!$F:$F, $F224, Aux_Totales!$A:$A,#REF!), 0))</f>
        <v/>
      </c>
      <c r="STW224" s="19" t="str">
        <f>IF(STW220 = "", "", IFERROR(STW220 / SUMIFS(Aux_Totales!$N:$N, Aux_Totales!$F:$F, $F224, Aux_Totales!$A:$A,#REF!), 0))</f>
        <v/>
      </c>
      <c r="STX224" s="19" t="str">
        <f>IF(STX220 = "", "", IFERROR(STX220 / SUMIFS(Aux_Totales!$N:$N, Aux_Totales!$F:$F, $F224, Aux_Totales!$A:$A,#REF!), 0))</f>
        <v/>
      </c>
      <c r="STY224" s="19" t="str">
        <f>IF(STY220 = "", "", IFERROR(STY220 / SUMIFS(Aux_Totales!$N:$N, Aux_Totales!$F:$F, $F224, Aux_Totales!$A:$A,#REF!), 0))</f>
        <v/>
      </c>
      <c r="STZ224" s="19" t="str">
        <f>IF(STZ220 = "", "", IFERROR(STZ220 / SUMIFS(Aux_Totales!$N:$N, Aux_Totales!$F:$F, $F224, Aux_Totales!$A:$A,#REF!), 0))</f>
        <v/>
      </c>
      <c r="SUA224" s="19" t="str">
        <f>IF(SUA220 = "", "", IFERROR(SUA220 / SUMIFS(Aux_Totales!$N:$N, Aux_Totales!$F:$F, $F224, Aux_Totales!$A:$A,#REF!), 0))</f>
        <v/>
      </c>
      <c r="SUB224" s="19" t="str">
        <f>IF(SUB220 = "", "", IFERROR(SUB220 / SUMIFS(Aux_Totales!$N:$N, Aux_Totales!$F:$F, $F224, Aux_Totales!$A:$A,#REF!), 0))</f>
        <v/>
      </c>
      <c r="SUC224" s="19" t="str">
        <f>IF(SUC220 = "", "", IFERROR(SUC220 / SUMIFS(Aux_Totales!$N:$N, Aux_Totales!$F:$F, $F224, Aux_Totales!$A:$A,#REF!), 0))</f>
        <v/>
      </c>
      <c r="SUD224" s="19" t="str">
        <f>IF(SUD220 = "", "", IFERROR(SUD220 / SUMIFS(Aux_Totales!$N:$N, Aux_Totales!$F:$F, $F224, Aux_Totales!$A:$A,#REF!), 0))</f>
        <v/>
      </c>
      <c r="SUE224" s="19" t="str">
        <f>IF(SUE220 = "", "", IFERROR(SUE220 / SUMIFS(Aux_Totales!$N:$N, Aux_Totales!$F:$F, $F224, Aux_Totales!$A:$A,#REF!), 0))</f>
        <v/>
      </c>
      <c r="SUF224" s="19" t="str">
        <f>IF(SUF220 = "", "", IFERROR(SUF220 / SUMIFS(Aux_Totales!$N:$N, Aux_Totales!$F:$F, $F224, Aux_Totales!$A:$A,#REF!), 0))</f>
        <v/>
      </c>
      <c r="SUG224" s="19" t="str">
        <f>IF(SUG220 = "", "", IFERROR(SUG220 / SUMIFS(Aux_Totales!$N:$N, Aux_Totales!$F:$F, $F224, Aux_Totales!$A:$A,#REF!), 0))</f>
        <v/>
      </c>
      <c r="SUH224" s="19" t="str">
        <f>IF(SUH220 = "", "", IFERROR(SUH220 / SUMIFS(Aux_Totales!$N:$N, Aux_Totales!$F:$F, $F224, Aux_Totales!$A:$A,#REF!), 0))</f>
        <v/>
      </c>
      <c r="SUI224" s="19" t="str">
        <f>IF(SUI220 = "", "", IFERROR(SUI220 / SUMIFS(Aux_Totales!$N:$N, Aux_Totales!$F:$F, $F224, Aux_Totales!$A:$A,#REF!), 0))</f>
        <v/>
      </c>
      <c r="SUJ224" s="19" t="str">
        <f>IF(SUJ220 = "", "", IFERROR(SUJ220 / SUMIFS(Aux_Totales!$N:$N, Aux_Totales!$F:$F, $F224, Aux_Totales!$A:$A,#REF!), 0))</f>
        <v/>
      </c>
      <c r="SUK224" s="19" t="str">
        <f>IF(SUK220 = "", "", IFERROR(SUK220 / SUMIFS(Aux_Totales!$N:$N, Aux_Totales!$F:$F, $F224, Aux_Totales!$A:$A,#REF!), 0))</f>
        <v/>
      </c>
      <c r="SUL224" s="19" t="str">
        <f>IF(SUL220 = "", "", IFERROR(SUL220 / SUMIFS(Aux_Totales!$N:$N, Aux_Totales!$F:$F, $F224, Aux_Totales!$A:$A,#REF!), 0))</f>
        <v/>
      </c>
      <c r="SUM224" s="19" t="str">
        <f>IF(SUM220 = "", "", IFERROR(SUM220 / SUMIFS(Aux_Totales!$N:$N, Aux_Totales!$F:$F, $F224, Aux_Totales!$A:$A,#REF!), 0))</f>
        <v/>
      </c>
      <c r="SUN224" s="19" t="str">
        <f>IF(SUN220 = "", "", IFERROR(SUN220 / SUMIFS(Aux_Totales!$N:$N, Aux_Totales!$F:$F, $F224, Aux_Totales!$A:$A,#REF!), 0))</f>
        <v/>
      </c>
      <c r="SUO224" s="19" t="str">
        <f>IF(SUO220 = "", "", IFERROR(SUO220 / SUMIFS(Aux_Totales!$N:$N, Aux_Totales!$F:$F, $F224, Aux_Totales!$A:$A,#REF!), 0))</f>
        <v/>
      </c>
      <c r="SUP224" s="19" t="str">
        <f>IF(SUP220 = "", "", IFERROR(SUP220 / SUMIFS(Aux_Totales!$N:$N, Aux_Totales!$F:$F, $F224, Aux_Totales!$A:$A,#REF!), 0))</f>
        <v/>
      </c>
      <c r="SUQ224" s="19" t="str">
        <f>IF(SUQ220 = "", "", IFERROR(SUQ220 / SUMIFS(Aux_Totales!$N:$N, Aux_Totales!$F:$F, $F224, Aux_Totales!$A:$A,#REF!), 0))</f>
        <v/>
      </c>
      <c r="SUR224" s="19" t="str">
        <f>IF(SUR220 = "", "", IFERROR(SUR220 / SUMIFS(Aux_Totales!$N:$N, Aux_Totales!$F:$F, $F224, Aux_Totales!$A:$A,#REF!), 0))</f>
        <v/>
      </c>
      <c r="SUS224" s="19" t="str">
        <f>IF(SUS220 = "", "", IFERROR(SUS220 / SUMIFS(Aux_Totales!$N:$N, Aux_Totales!$F:$F, $F224, Aux_Totales!$A:$A,#REF!), 0))</f>
        <v/>
      </c>
      <c r="SUT224" s="19" t="str">
        <f>IF(SUT220 = "", "", IFERROR(SUT220 / SUMIFS(Aux_Totales!$N:$N, Aux_Totales!$F:$F, $F224, Aux_Totales!$A:$A,#REF!), 0))</f>
        <v/>
      </c>
      <c r="SUU224" s="19" t="str">
        <f>IF(SUU220 = "", "", IFERROR(SUU220 / SUMIFS(Aux_Totales!$N:$N, Aux_Totales!$F:$F, $F224, Aux_Totales!$A:$A,#REF!), 0))</f>
        <v/>
      </c>
      <c r="SUV224" s="19" t="str">
        <f>IF(SUV220 = "", "", IFERROR(SUV220 / SUMIFS(Aux_Totales!$N:$N, Aux_Totales!$F:$F, $F224, Aux_Totales!$A:$A,#REF!), 0))</f>
        <v/>
      </c>
      <c r="SUW224" s="19" t="str">
        <f>IF(SUW220 = "", "", IFERROR(SUW220 / SUMIFS(Aux_Totales!$N:$N, Aux_Totales!$F:$F, $F224, Aux_Totales!$A:$A,#REF!), 0))</f>
        <v/>
      </c>
      <c r="SUX224" s="19" t="str">
        <f>IF(SUX220 = "", "", IFERROR(SUX220 / SUMIFS(Aux_Totales!$N:$N, Aux_Totales!$F:$F, $F224, Aux_Totales!$A:$A,#REF!), 0))</f>
        <v/>
      </c>
      <c r="SUY224" s="19" t="str">
        <f>IF(SUY220 = "", "", IFERROR(SUY220 / SUMIFS(Aux_Totales!$N:$N, Aux_Totales!$F:$F, $F224, Aux_Totales!$A:$A,#REF!), 0))</f>
        <v/>
      </c>
      <c r="SUZ224" s="19" t="str">
        <f>IF(SUZ220 = "", "", IFERROR(SUZ220 / SUMIFS(Aux_Totales!$N:$N, Aux_Totales!$F:$F, $F224, Aux_Totales!$A:$A,#REF!), 0))</f>
        <v/>
      </c>
      <c r="SVA224" s="19" t="str">
        <f>IF(SVA220 = "", "", IFERROR(SVA220 / SUMIFS(Aux_Totales!$N:$N, Aux_Totales!$F:$F, $F224, Aux_Totales!$A:$A,#REF!), 0))</f>
        <v/>
      </c>
      <c r="SVB224" s="19" t="str">
        <f>IF(SVB220 = "", "", IFERROR(SVB220 / SUMIFS(Aux_Totales!$N:$N, Aux_Totales!$F:$F, $F224, Aux_Totales!$A:$A,#REF!), 0))</f>
        <v/>
      </c>
      <c r="SVC224" s="19" t="str">
        <f>IF(SVC220 = "", "", IFERROR(SVC220 / SUMIFS(Aux_Totales!$N:$N, Aux_Totales!$F:$F, $F224, Aux_Totales!$A:$A,#REF!), 0))</f>
        <v/>
      </c>
      <c r="SVD224" s="19" t="str">
        <f>IF(SVD220 = "", "", IFERROR(SVD220 / SUMIFS(Aux_Totales!$N:$N, Aux_Totales!$F:$F, $F224, Aux_Totales!$A:$A,#REF!), 0))</f>
        <v/>
      </c>
      <c r="SVE224" s="19" t="str">
        <f>IF(SVE220 = "", "", IFERROR(SVE220 / SUMIFS(Aux_Totales!$N:$N, Aux_Totales!$F:$F, $F224, Aux_Totales!$A:$A,#REF!), 0))</f>
        <v/>
      </c>
      <c r="SVF224" s="19" t="str">
        <f>IF(SVF220 = "", "", IFERROR(SVF220 / SUMIFS(Aux_Totales!$N:$N, Aux_Totales!$F:$F, $F224, Aux_Totales!$A:$A,#REF!), 0))</f>
        <v/>
      </c>
      <c r="SVG224" s="19" t="str">
        <f>IF(SVG220 = "", "", IFERROR(SVG220 / SUMIFS(Aux_Totales!$N:$N, Aux_Totales!$F:$F, $F224, Aux_Totales!$A:$A,#REF!), 0))</f>
        <v/>
      </c>
      <c r="SVH224" s="19" t="str">
        <f>IF(SVH220 = "", "", IFERROR(SVH220 / SUMIFS(Aux_Totales!$N:$N, Aux_Totales!$F:$F, $F224, Aux_Totales!$A:$A,#REF!), 0))</f>
        <v/>
      </c>
      <c r="SVI224" s="19" t="str">
        <f>IF(SVI220 = "", "", IFERROR(SVI220 / SUMIFS(Aux_Totales!$N:$N, Aux_Totales!$F:$F, $F224, Aux_Totales!$A:$A,#REF!), 0))</f>
        <v/>
      </c>
      <c r="SVJ224" s="19" t="str">
        <f>IF(SVJ220 = "", "", IFERROR(SVJ220 / SUMIFS(Aux_Totales!$N:$N, Aux_Totales!$F:$F, $F224, Aux_Totales!$A:$A,#REF!), 0))</f>
        <v/>
      </c>
      <c r="SVK224" s="19" t="str">
        <f>IF(SVK220 = "", "", IFERROR(SVK220 / SUMIFS(Aux_Totales!$N:$N, Aux_Totales!$F:$F, $F224, Aux_Totales!$A:$A,#REF!), 0))</f>
        <v/>
      </c>
      <c r="SVL224" s="19" t="str">
        <f>IF(SVL220 = "", "", IFERROR(SVL220 / SUMIFS(Aux_Totales!$N:$N, Aux_Totales!$F:$F, $F224, Aux_Totales!$A:$A,#REF!), 0))</f>
        <v/>
      </c>
      <c r="SVM224" s="19" t="str">
        <f>IF(SVM220 = "", "", IFERROR(SVM220 / SUMIFS(Aux_Totales!$N:$N, Aux_Totales!$F:$F, $F224, Aux_Totales!$A:$A,#REF!), 0))</f>
        <v/>
      </c>
      <c r="SVN224" s="19" t="str">
        <f>IF(SVN220 = "", "", IFERROR(SVN220 / SUMIFS(Aux_Totales!$N:$N, Aux_Totales!$F:$F, $F224, Aux_Totales!$A:$A,#REF!), 0))</f>
        <v/>
      </c>
      <c r="SVO224" s="19" t="str">
        <f>IF(SVO220 = "", "", IFERROR(SVO220 / SUMIFS(Aux_Totales!$N:$N, Aux_Totales!$F:$F, $F224, Aux_Totales!$A:$A,#REF!), 0))</f>
        <v/>
      </c>
      <c r="SVP224" s="19" t="str">
        <f>IF(SVP220 = "", "", IFERROR(SVP220 / SUMIFS(Aux_Totales!$N:$N, Aux_Totales!$F:$F, $F224, Aux_Totales!$A:$A,#REF!), 0))</f>
        <v/>
      </c>
      <c r="SVQ224" s="19" t="str">
        <f>IF(SVQ220 = "", "", IFERROR(SVQ220 / SUMIFS(Aux_Totales!$N:$N, Aux_Totales!$F:$F, $F224, Aux_Totales!$A:$A,#REF!), 0))</f>
        <v/>
      </c>
      <c r="SVR224" s="19" t="str">
        <f>IF(SVR220 = "", "", IFERROR(SVR220 / SUMIFS(Aux_Totales!$N:$N, Aux_Totales!$F:$F, $F224, Aux_Totales!$A:$A,#REF!), 0))</f>
        <v/>
      </c>
      <c r="SVS224" s="19" t="str">
        <f>IF(SVS220 = "", "", IFERROR(SVS220 / SUMIFS(Aux_Totales!$N:$N, Aux_Totales!$F:$F, $F224, Aux_Totales!$A:$A,#REF!), 0))</f>
        <v/>
      </c>
      <c r="SVT224" s="19" t="str">
        <f>IF(SVT220 = "", "", IFERROR(SVT220 / SUMIFS(Aux_Totales!$N:$N, Aux_Totales!$F:$F, $F224, Aux_Totales!$A:$A,#REF!), 0))</f>
        <v/>
      </c>
      <c r="SVU224" s="19" t="str">
        <f>IF(SVU220 = "", "", IFERROR(SVU220 / SUMIFS(Aux_Totales!$N:$N, Aux_Totales!$F:$F, $F224, Aux_Totales!$A:$A,#REF!), 0))</f>
        <v/>
      </c>
      <c r="SVV224" s="19" t="str">
        <f>IF(SVV220 = "", "", IFERROR(SVV220 / SUMIFS(Aux_Totales!$N:$N, Aux_Totales!$F:$F, $F224, Aux_Totales!$A:$A,#REF!), 0))</f>
        <v/>
      </c>
      <c r="SVW224" s="19" t="str">
        <f>IF(SVW220 = "", "", IFERROR(SVW220 / SUMIFS(Aux_Totales!$N:$N, Aux_Totales!$F:$F, $F224, Aux_Totales!$A:$A,#REF!), 0))</f>
        <v/>
      </c>
      <c r="SVX224" s="19" t="str">
        <f>IF(SVX220 = "", "", IFERROR(SVX220 / SUMIFS(Aux_Totales!$N:$N, Aux_Totales!$F:$F, $F224, Aux_Totales!$A:$A,#REF!), 0))</f>
        <v/>
      </c>
      <c r="SVY224" s="19" t="str">
        <f>IF(SVY220 = "", "", IFERROR(SVY220 / SUMIFS(Aux_Totales!$N:$N, Aux_Totales!$F:$F, $F224, Aux_Totales!$A:$A,#REF!), 0))</f>
        <v/>
      </c>
      <c r="SVZ224" s="19" t="str">
        <f>IF(SVZ220 = "", "", IFERROR(SVZ220 / SUMIFS(Aux_Totales!$N:$N, Aux_Totales!$F:$F, $F224, Aux_Totales!$A:$A,#REF!), 0))</f>
        <v/>
      </c>
      <c r="SWA224" s="19" t="str">
        <f>IF(SWA220 = "", "", IFERROR(SWA220 / SUMIFS(Aux_Totales!$N:$N, Aux_Totales!$F:$F, $F224, Aux_Totales!$A:$A,#REF!), 0))</f>
        <v/>
      </c>
      <c r="SWB224" s="19" t="str">
        <f>IF(SWB220 = "", "", IFERROR(SWB220 / SUMIFS(Aux_Totales!$N:$N, Aux_Totales!$F:$F, $F224, Aux_Totales!$A:$A,#REF!), 0))</f>
        <v/>
      </c>
      <c r="SWC224" s="19" t="str">
        <f>IF(SWC220 = "", "", IFERROR(SWC220 / SUMIFS(Aux_Totales!$N:$N, Aux_Totales!$F:$F, $F224, Aux_Totales!$A:$A,#REF!), 0))</f>
        <v/>
      </c>
      <c r="SWD224" s="19" t="str">
        <f>IF(SWD220 = "", "", IFERROR(SWD220 / SUMIFS(Aux_Totales!$N:$N, Aux_Totales!$F:$F, $F224, Aux_Totales!$A:$A,#REF!), 0))</f>
        <v/>
      </c>
      <c r="SWE224" s="19" t="str">
        <f>IF(SWE220 = "", "", IFERROR(SWE220 / SUMIFS(Aux_Totales!$N:$N, Aux_Totales!$F:$F, $F224, Aux_Totales!$A:$A,#REF!), 0))</f>
        <v/>
      </c>
      <c r="SWF224" s="19" t="str">
        <f>IF(SWF220 = "", "", IFERROR(SWF220 / SUMIFS(Aux_Totales!$N:$N, Aux_Totales!$F:$F, $F224, Aux_Totales!$A:$A,#REF!), 0))</f>
        <v/>
      </c>
      <c r="SWG224" s="19" t="str">
        <f>IF(SWG220 = "", "", IFERROR(SWG220 / SUMIFS(Aux_Totales!$N:$N, Aux_Totales!$F:$F, $F224, Aux_Totales!$A:$A,#REF!), 0))</f>
        <v/>
      </c>
      <c r="SWH224" s="19" t="str">
        <f>IF(SWH220 = "", "", IFERROR(SWH220 / SUMIFS(Aux_Totales!$N:$N, Aux_Totales!$F:$F, $F224, Aux_Totales!$A:$A,#REF!), 0))</f>
        <v/>
      </c>
      <c r="SWI224" s="19" t="str">
        <f>IF(SWI220 = "", "", IFERROR(SWI220 / SUMIFS(Aux_Totales!$N:$N, Aux_Totales!$F:$F, $F224, Aux_Totales!$A:$A,#REF!), 0))</f>
        <v/>
      </c>
      <c r="SWJ224" s="19" t="str">
        <f>IF(SWJ220 = "", "", IFERROR(SWJ220 / SUMIFS(Aux_Totales!$N:$N, Aux_Totales!$F:$F, $F224, Aux_Totales!$A:$A,#REF!), 0))</f>
        <v/>
      </c>
      <c r="SWK224" s="19" t="str">
        <f>IF(SWK220 = "", "", IFERROR(SWK220 / SUMIFS(Aux_Totales!$N:$N, Aux_Totales!$F:$F, $F224, Aux_Totales!$A:$A,#REF!), 0))</f>
        <v/>
      </c>
      <c r="SWL224" s="19" t="str">
        <f>IF(SWL220 = "", "", IFERROR(SWL220 / SUMIFS(Aux_Totales!$N:$N, Aux_Totales!$F:$F, $F224, Aux_Totales!$A:$A,#REF!), 0))</f>
        <v/>
      </c>
      <c r="SWM224" s="19" t="str">
        <f>IF(SWM220 = "", "", IFERROR(SWM220 / SUMIFS(Aux_Totales!$N:$N, Aux_Totales!$F:$F, $F224, Aux_Totales!$A:$A,#REF!), 0))</f>
        <v/>
      </c>
      <c r="SWN224" s="19" t="str">
        <f>IF(SWN220 = "", "", IFERROR(SWN220 / SUMIFS(Aux_Totales!$N:$N, Aux_Totales!$F:$F, $F224, Aux_Totales!$A:$A,#REF!), 0))</f>
        <v/>
      </c>
      <c r="SWO224" s="19" t="str">
        <f>IF(SWO220 = "", "", IFERROR(SWO220 / SUMIFS(Aux_Totales!$N:$N, Aux_Totales!$F:$F, $F224, Aux_Totales!$A:$A,#REF!), 0))</f>
        <v/>
      </c>
      <c r="SWP224" s="19" t="str">
        <f>IF(SWP220 = "", "", IFERROR(SWP220 / SUMIFS(Aux_Totales!$N:$N, Aux_Totales!$F:$F, $F224, Aux_Totales!$A:$A,#REF!), 0))</f>
        <v/>
      </c>
      <c r="SWQ224" s="19" t="str">
        <f>IF(SWQ220 = "", "", IFERROR(SWQ220 / SUMIFS(Aux_Totales!$N:$N, Aux_Totales!$F:$F, $F224, Aux_Totales!$A:$A,#REF!), 0))</f>
        <v/>
      </c>
      <c r="SWR224" s="19" t="str">
        <f>IF(SWR220 = "", "", IFERROR(SWR220 / SUMIFS(Aux_Totales!$N:$N, Aux_Totales!$F:$F, $F224, Aux_Totales!$A:$A,#REF!), 0))</f>
        <v/>
      </c>
      <c r="SWS224" s="19" t="str">
        <f>IF(SWS220 = "", "", IFERROR(SWS220 / SUMIFS(Aux_Totales!$N:$N, Aux_Totales!$F:$F, $F224, Aux_Totales!$A:$A,#REF!), 0))</f>
        <v/>
      </c>
      <c r="SWT224" s="19" t="str">
        <f>IF(SWT220 = "", "", IFERROR(SWT220 / SUMIFS(Aux_Totales!$N:$N, Aux_Totales!$F:$F, $F224, Aux_Totales!$A:$A,#REF!), 0))</f>
        <v/>
      </c>
      <c r="SWU224" s="19" t="str">
        <f>IF(SWU220 = "", "", IFERROR(SWU220 / SUMIFS(Aux_Totales!$N:$N, Aux_Totales!$F:$F, $F224, Aux_Totales!$A:$A,#REF!), 0))</f>
        <v/>
      </c>
      <c r="SWV224" s="19" t="str">
        <f>IF(SWV220 = "", "", IFERROR(SWV220 / SUMIFS(Aux_Totales!$N:$N, Aux_Totales!$F:$F, $F224, Aux_Totales!$A:$A,#REF!), 0))</f>
        <v/>
      </c>
      <c r="SWW224" s="19" t="str">
        <f>IF(SWW220 = "", "", IFERROR(SWW220 / SUMIFS(Aux_Totales!$N:$N, Aux_Totales!$F:$F, $F224, Aux_Totales!$A:$A,#REF!), 0))</f>
        <v/>
      </c>
      <c r="SWX224" s="19" t="str">
        <f>IF(SWX220 = "", "", IFERROR(SWX220 / SUMIFS(Aux_Totales!$N:$N, Aux_Totales!$F:$F, $F224, Aux_Totales!$A:$A,#REF!), 0))</f>
        <v/>
      </c>
      <c r="SWY224" s="19" t="str">
        <f>IF(SWY220 = "", "", IFERROR(SWY220 / SUMIFS(Aux_Totales!$N:$N, Aux_Totales!$F:$F, $F224, Aux_Totales!$A:$A,#REF!), 0))</f>
        <v/>
      </c>
      <c r="SWZ224" s="19" t="str">
        <f>IF(SWZ220 = "", "", IFERROR(SWZ220 / SUMIFS(Aux_Totales!$N:$N, Aux_Totales!$F:$F, $F224, Aux_Totales!$A:$A,#REF!), 0))</f>
        <v/>
      </c>
      <c r="SXA224" s="19" t="str">
        <f>IF(SXA220 = "", "", IFERROR(SXA220 / SUMIFS(Aux_Totales!$N:$N, Aux_Totales!$F:$F, $F224, Aux_Totales!$A:$A,#REF!), 0))</f>
        <v/>
      </c>
      <c r="SXB224" s="19" t="str">
        <f>IF(SXB220 = "", "", IFERROR(SXB220 / SUMIFS(Aux_Totales!$N:$N, Aux_Totales!$F:$F, $F224, Aux_Totales!$A:$A,#REF!), 0))</f>
        <v/>
      </c>
      <c r="SXC224" s="19" t="str">
        <f>IF(SXC220 = "", "", IFERROR(SXC220 / SUMIFS(Aux_Totales!$N:$N, Aux_Totales!$F:$F, $F224, Aux_Totales!$A:$A,#REF!), 0))</f>
        <v/>
      </c>
      <c r="SXD224" s="19" t="str">
        <f>IF(SXD220 = "", "", IFERROR(SXD220 / SUMIFS(Aux_Totales!$N:$N, Aux_Totales!$F:$F, $F224, Aux_Totales!$A:$A,#REF!), 0))</f>
        <v/>
      </c>
      <c r="SXE224" s="19" t="str">
        <f>IF(SXE220 = "", "", IFERROR(SXE220 / SUMIFS(Aux_Totales!$N:$N, Aux_Totales!$F:$F, $F224, Aux_Totales!$A:$A,#REF!), 0))</f>
        <v/>
      </c>
      <c r="SXF224" s="19" t="str">
        <f>IF(SXF220 = "", "", IFERROR(SXF220 / SUMIFS(Aux_Totales!$N:$N, Aux_Totales!$F:$F, $F224, Aux_Totales!$A:$A,#REF!), 0))</f>
        <v/>
      </c>
      <c r="SXG224" s="19" t="str">
        <f>IF(SXG220 = "", "", IFERROR(SXG220 / SUMIFS(Aux_Totales!$N:$N, Aux_Totales!$F:$F, $F224, Aux_Totales!$A:$A,#REF!), 0))</f>
        <v/>
      </c>
      <c r="SXH224" s="19" t="str">
        <f>IF(SXH220 = "", "", IFERROR(SXH220 / SUMIFS(Aux_Totales!$N:$N, Aux_Totales!$F:$F, $F224, Aux_Totales!$A:$A,#REF!), 0))</f>
        <v/>
      </c>
      <c r="SXI224" s="19" t="str">
        <f>IF(SXI220 = "", "", IFERROR(SXI220 / SUMIFS(Aux_Totales!$N:$N, Aux_Totales!$F:$F, $F224, Aux_Totales!$A:$A,#REF!), 0))</f>
        <v/>
      </c>
      <c r="SXJ224" s="19" t="str">
        <f>IF(SXJ220 = "", "", IFERROR(SXJ220 / SUMIFS(Aux_Totales!$N:$N, Aux_Totales!$F:$F, $F224, Aux_Totales!$A:$A,#REF!), 0))</f>
        <v/>
      </c>
      <c r="SXK224" s="19" t="str">
        <f>IF(SXK220 = "", "", IFERROR(SXK220 / SUMIFS(Aux_Totales!$N:$N, Aux_Totales!$F:$F, $F224, Aux_Totales!$A:$A,#REF!), 0))</f>
        <v/>
      </c>
      <c r="SXL224" s="19" t="str">
        <f>IF(SXL220 = "", "", IFERROR(SXL220 / SUMIFS(Aux_Totales!$N:$N, Aux_Totales!$F:$F, $F224, Aux_Totales!$A:$A,#REF!), 0))</f>
        <v/>
      </c>
      <c r="SXM224" s="19" t="str">
        <f>IF(SXM220 = "", "", IFERROR(SXM220 / SUMIFS(Aux_Totales!$N:$N, Aux_Totales!$F:$F, $F224, Aux_Totales!$A:$A,#REF!), 0))</f>
        <v/>
      </c>
      <c r="SXN224" s="19" t="str">
        <f>IF(SXN220 = "", "", IFERROR(SXN220 / SUMIFS(Aux_Totales!$N:$N, Aux_Totales!$F:$F, $F224, Aux_Totales!$A:$A,#REF!), 0))</f>
        <v/>
      </c>
      <c r="SXO224" s="19" t="str">
        <f>IF(SXO220 = "", "", IFERROR(SXO220 / SUMIFS(Aux_Totales!$N:$N, Aux_Totales!$F:$F, $F224, Aux_Totales!$A:$A,#REF!), 0))</f>
        <v/>
      </c>
      <c r="SXP224" s="19" t="str">
        <f>IF(SXP220 = "", "", IFERROR(SXP220 / SUMIFS(Aux_Totales!$N:$N, Aux_Totales!$F:$F, $F224, Aux_Totales!$A:$A,#REF!), 0))</f>
        <v/>
      </c>
      <c r="SXQ224" s="19" t="str">
        <f>IF(SXQ220 = "", "", IFERROR(SXQ220 / SUMIFS(Aux_Totales!$N:$N, Aux_Totales!$F:$F, $F224, Aux_Totales!$A:$A,#REF!), 0))</f>
        <v/>
      </c>
      <c r="SXR224" s="19" t="str">
        <f>IF(SXR220 = "", "", IFERROR(SXR220 / SUMIFS(Aux_Totales!$N:$N, Aux_Totales!$F:$F, $F224, Aux_Totales!$A:$A,#REF!), 0))</f>
        <v/>
      </c>
      <c r="SXS224" s="19" t="str">
        <f>IF(SXS220 = "", "", IFERROR(SXS220 / SUMIFS(Aux_Totales!$N:$N, Aux_Totales!$F:$F, $F224, Aux_Totales!$A:$A,#REF!), 0))</f>
        <v/>
      </c>
      <c r="SXT224" s="19" t="str">
        <f>IF(SXT220 = "", "", IFERROR(SXT220 / SUMIFS(Aux_Totales!$N:$N, Aux_Totales!$F:$F, $F224, Aux_Totales!$A:$A,#REF!), 0))</f>
        <v/>
      </c>
      <c r="SXU224" s="19" t="str">
        <f>IF(SXU220 = "", "", IFERROR(SXU220 / SUMIFS(Aux_Totales!$N:$N, Aux_Totales!$F:$F, $F224, Aux_Totales!$A:$A,#REF!), 0))</f>
        <v/>
      </c>
      <c r="SXV224" s="19" t="str">
        <f>IF(SXV220 = "", "", IFERROR(SXV220 / SUMIFS(Aux_Totales!$N:$N, Aux_Totales!$F:$F, $F224, Aux_Totales!$A:$A,#REF!), 0))</f>
        <v/>
      </c>
      <c r="SXW224" s="19" t="str">
        <f>IF(SXW220 = "", "", IFERROR(SXW220 / SUMIFS(Aux_Totales!$N:$N, Aux_Totales!$F:$F, $F224, Aux_Totales!$A:$A,#REF!), 0))</f>
        <v/>
      </c>
      <c r="SXX224" s="19" t="str">
        <f>IF(SXX220 = "", "", IFERROR(SXX220 / SUMIFS(Aux_Totales!$N:$N, Aux_Totales!$F:$F, $F224, Aux_Totales!$A:$A,#REF!), 0))</f>
        <v/>
      </c>
      <c r="SXY224" s="19" t="str">
        <f>IF(SXY220 = "", "", IFERROR(SXY220 / SUMIFS(Aux_Totales!$N:$N, Aux_Totales!$F:$F, $F224, Aux_Totales!$A:$A,#REF!), 0))</f>
        <v/>
      </c>
      <c r="SXZ224" s="19" t="str">
        <f>IF(SXZ220 = "", "", IFERROR(SXZ220 / SUMIFS(Aux_Totales!$N:$N, Aux_Totales!$F:$F, $F224, Aux_Totales!$A:$A,#REF!), 0))</f>
        <v/>
      </c>
      <c r="SYA224" s="19" t="str">
        <f>IF(SYA220 = "", "", IFERROR(SYA220 / SUMIFS(Aux_Totales!$N:$N, Aux_Totales!$F:$F, $F224, Aux_Totales!$A:$A,#REF!), 0))</f>
        <v/>
      </c>
      <c r="SYB224" s="19" t="str">
        <f>IF(SYB220 = "", "", IFERROR(SYB220 / SUMIFS(Aux_Totales!$N:$N, Aux_Totales!$F:$F, $F224, Aux_Totales!$A:$A,#REF!), 0))</f>
        <v/>
      </c>
      <c r="SYC224" s="19" t="str">
        <f>IF(SYC220 = "", "", IFERROR(SYC220 / SUMIFS(Aux_Totales!$N:$N, Aux_Totales!$F:$F, $F224, Aux_Totales!$A:$A,#REF!), 0))</f>
        <v/>
      </c>
      <c r="SYD224" s="19" t="str">
        <f>IF(SYD220 = "", "", IFERROR(SYD220 / SUMIFS(Aux_Totales!$N:$N, Aux_Totales!$F:$F, $F224, Aux_Totales!$A:$A,#REF!), 0))</f>
        <v/>
      </c>
      <c r="SYE224" s="19" t="str">
        <f>IF(SYE220 = "", "", IFERROR(SYE220 / SUMIFS(Aux_Totales!$N:$N, Aux_Totales!$F:$F, $F224, Aux_Totales!$A:$A,#REF!), 0))</f>
        <v/>
      </c>
      <c r="SYF224" s="19" t="str">
        <f>IF(SYF220 = "", "", IFERROR(SYF220 / SUMIFS(Aux_Totales!$N:$N, Aux_Totales!$F:$F, $F224, Aux_Totales!$A:$A,#REF!), 0))</f>
        <v/>
      </c>
      <c r="SYG224" s="19" t="str">
        <f>IF(SYG220 = "", "", IFERROR(SYG220 / SUMIFS(Aux_Totales!$N:$N, Aux_Totales!$F:$F, $F224, Aux_Totales!$A:$A,#REF!), 0))</f>
        <v/>
      </c>
      <c r="SYH224" s="19" t="str">
        <f>IF(SYH220 = "", "", IFERROR(SYH220 / SUMIFS(Aux_Totales!$N:$N, Aux_Totales!$F:$F, $F224, Aux_Totales!$A:$A,#REF!), 0))</f>
        <v/>
      </c>
      <c r="SYI224" s="19" t="str">
        <f>IF(SYI220 = "", "", IFERROR(SYI220 / SUMIFS(Aux_Totales!$N:$N, Aux_Totales!$F:$F, $F224, Aux_Totales!$A:$A,#REF!), 0))</f>
        <v/>
      </c>
      <c r="SYJ224" s="19" t="str">
        <f>IF(SYJ220 = "", "", IFERROR(SYJ220 / SUMIFS(Aux_Totales!$N:$N, Aux_Totales!$F:$F, $F224, Aux_Totales!$A:$A,#REF!), 0))</f>
        <v/>
      </c>
      <c r="SYK224" s="19" t="str">
        <f>IF(SYK220 = "", "", IFERROR(SYK220 / SUMIFS(Aux_Totales!$N:$N, Aux_Totales!$F:$F, $F224, Aux_Totales!$A:$A,#REF!), 0))</f>
        <v/>
      </c>
      <c r="SYL224" s="19" t="str">
        <f>IF(SYL220 = "", "", IFERROR(SYL220 / SUMIFS(Aux_Totales!$N:$N, Aux_Totales!$F:$F, $F224, Aux_Totales!$A:$A,#REF!), 0))</f>
        <v/>
      </c>
      <c r="SYM224" s="19" t="str">
        <f>IF(SYM220 = "", "", IFERROR(SYM220 / SUMIFS(Aux_Totales!$N:$N, Aux_Totales!$F:$F, $F224, Aux_Totales!$A:$A,#REF!), 0))</f>
        <v/>
      </c>
      <c r="SYN224" s="19" t="str">
        <f>IF(SYN220 = "", "", IFERROR(SYN220 / SUMIFS(Aux_Totales!$N:$N, Aux_Totales!$F:$F, $F224, Aux_Totales!$A:$A,#REF!), 0))</f>
        <v/>
      </c>
      <c r="SYO224" s="19" t="str">
        <f>IF(SYO220 = "", "", IFERROR(SYO220 / SUMIFS(Aux_Totales!$N:$N, Aux_Totales!$F:$F, $F224, Aux_Totales!$A:$A,#REF!), 0))</f>
        <v/>
      </c>
      <c r="SYP224" s="19" t="str">
        <f>IF(SYP220 = "", "", IFERROR(SYP220 / SUMIFS(Aux_Totales!$N:$N, Aux_Totales!$F:$F, $F224, Aux_Totales!$A:$A,#REF!), 0))</f>
        <v/>
      </c>
      <c r="SYQ224" s="19" t="str">
        <f>IF(SYQ220 = "", "", IFERROR(SYQ220 / SUMIFS(Aux_Totales!$N:$N, Aux_Totales!$F:$F, $F224, Aux_Totales!$A:$A,#REF!), 0))</f>
        <v/>
      </c>
      <c r="SYR224" s="19" t="str">
        <f>IF(SYR220 = "", "", IFERROR(SYR220 / SUMIFS(Aux_Totales!$N:$N, Aux_Totales!$F:$F, $F224, Aux_Totales!$A:$A,#REF!), 0))</f>
        <v/>
      </c>
      <c r="SYS224" s="19" t="str">
        <f>IF(SYS220 = "", "", IFERROR(SYS220 / SUMIFS(Aux_Totales!$N:$N, Aux_Totales!$F:$F, $F224, Aux_Totales!$A:$A,#REF!), 0))</f>
        <v/>
      </c>
      <c r="SYT224" s="19" t="str">
        <f>IF(SYT220 = "", "", IFERROR(SYT220 / SUMIFS(Aux_Totales!$N:$N, Aux_Totales!$F:$F, $F224, Aux_Totales!$A:$A,#REF!), 0))</f>
        <v/>
      </c>
      <c r="SYU224" s="19" t="str">
        <f>IF(SYU220 = "", "", IFERROR(SYU220 / SUMIFS(Aux_Totales!$N:$N, Aux_Totales!$F:$F, $F224, Aux_Totales!$A:$A,#REF!), 0))</f>
        <v/>
      </c>
      <c r="SYV224" s="19" t="str">
        <f>IF(SYV220 = "", "", IFERROR(SYV220 / SUMIFS(Aux_Totales!$N:$N, Aux_Totales!$F:$F, $F224, Aux_Totales!$A:$A,#REF!), 0))</f>
        <v/>
      </c>
      <c r="SYW224" s="19" t="str">
        <f>IF(SYW220 = "", "", IFERROR(SYW220 / SUMIFS(Aux_Totales!$N:$N, Aux_Totales!$F:$F, $F224, Aux_Totales!$A:$A,#REF!), 0))</f>
        <v/>
      </c>
      <c r="SYX224" s="19" t="str">
        <f>IF(SYX220 = "", "", IFERROR(SYX220 / SUMIFS(Aux_Totales!$N:$N, Aux_Totales!$F:$F, $F224, Aux_Totales!$A:$A,#REF!), 0))</f>
        <v/>
      </c>
      <c r="SYY224" s="19" t="str">
        <f>IF(SYY220 = "", "", IFERROR(SYY220 / SUMIFS(Aux_Totales!$N:$N, Aux_Totales!$F:$F, $F224, Aux_Totales!$A:$A,#REF!), 0))</f>
        <v/>
      </c>
      <c r="SYZ224" s="19" t="str">
        <f>IF(SYZ220 = "", "", IFERROR(SYZ220 / SUMIFS(Aux_Totales!$N:$N, Aux_Totales!$F:$F, $F224, Aux_Totales!$A:$A,#REF!), 0))</f>
        <v/>
      </c>
      <c r="SZA224" s="19" t="str">
        <f>IF(SZA220 = "", "", IFERROR(SZA220 / SUMIFS(Aux_Totales!$N:$N, Aux_Totales!$F:$F, $F224, Aux_Totales!$A:$A,#REF!), 0))</f>
        <v/>
      </c>
      <c r="SZB224" s="19" t="str">
        <f>IF(SZB220 = "", "", IFERROR(SZB220 / SUMIFS(Aux_Totales!$N:$N, Aux_Totales!$F:$F, $F224, Aux_Totales!$A:$A,#REF!), 0))</f>
        <v/>
      </c>
      <c r="SZC224" s="19" t="str">
        <f>IF(SZC220 = "", "", IFERROR(SZC220 / SUMIFS(Aux_Totales!$N:$N, Aux_Totales!$F:$F, $F224, Aux_Totales!$A:$A,#REF!), 0))</f>
        <v/>
      </c>
      <c r="SZD224" s="19" t="str">
        <f>IF(SZD220 = "", "", IFERROR(SZD220 / SUMIFS(Aux_Totales!$N:$N, Aux_Totales!$F:$F, $F224, Aux_Totales!$A:$A,#REF!), 0))</f>
        <v/>
      </c>
      <c r="SZE224" s="19" t="str">
        <f>IF(SZE220 = "", "", IFERROR(SZE220 / SUMIFS(Aux_Totales!$N:$N, Aux_Totales!$F:$F, $F224, Aux_Totales!$A:$A,#REF!), 0))</f>
        <v/>
      </c>
      <c r="SZF224" s="19" t="str">
        <f>IF(SZF220 = "", "", IFERROR(SZF220 / SUMIFS(Aux_Totales!$N:$N, Aux_Totales!$F:$F, $F224, Aux_Totales!$A:$A,#REF!), 0))</f>
        <v/>
      </c>
      <c r="SZG224" s="19" t="str">
        <f>IF(SZG220 = "", "", IFERROR(SZG220 / SUMIFS(Aux_Totales!$N:$N, Aux_Totales!$F:$F, $F224, Aux_Totales!$A:$A,#REF!), 0))</f>
        <v/>
      </c>
      <c r="SZH224" s="19" t="str">
        <f>IF(SZH220 = "", "", IFERROR(SZH220 / SUMIFS(Aux_Totales!$N:$N, Aux_Totales!$F:$F, $F224, Aux_Totales!$A:$A,#REF!), 0))</f>
        <v/>
      </c>
      <c r="SZI224" s="19" t="str">
        <f>IF(SZI220 = "", "", IFERROR(SZI220 / SUMIFS(Aux_Totales!$N:$N, Aux_Totales!$F:$F, $F224, Aux_Totales!$A:$A,#REF!), 0))</f>
        <v/>
      </c>
      <c r="SZJ224" s="19" t="str">
        <f>IF(SZJ220 = "", "", IFERROR(SZJ220 / SUMIFS(Aux_Totales!$N:$N, Aux_Totales!$F:$F, $F224, Aux_Totales!$A:$A,#REF!), 0))</f>
        <v/>
      </c>
      <c r="SZK224" s="19" t="str">
        <f>IF(SZK220 = "", "", IFERROR(SZK220 / SUMIFS(Aux_Totales!$N:$N, Aux_Totales!$F:$F, $F224, Aux_Totales!$A:$A,#REF!), 0))</f>
        <v/>
      </c>
      <c r="SZL224" s="19" t="str">
        <f>IF(SZL220 = "", "", IFERROR(SZL220 / SUMIFS(Aux_Totales!$N:$N, Aux_Totales!$F:$F, $F224, Aux_Totales!$A:$A,#REF!), 0))</f>
        <v/>
      </c>
      <c r="SZM224" s="19" t="str">
        <f>IF(SZM220 = "", "", IFERROR(SZM220 / SUMIFS(Aux_Totales!$N:$N, Aux_Totales!$F:$F, $F224, Aux_Totales!$A:$A,#REF!), 0))</f>
        <v/>
      </c>
      <c r="SZN224" s="19" t="str">
        <f>IF(SZN220 = "", "", IFERROR(SZN220 / SUMIFS(Aux_Totales!$N:$N, Aux_Totales!$F:$F, $F224, Aux_Totales!$A:$A,#REF!), 0))</f>
        <v/>
      </c>
      <c r="SZO224" s="19" t="str">
        <f>IF(SZO220 = "", "", IFERROR(SZO220 / SUMIFS(Aux_Totales!$N:$N, Aux_Totales!$F:$F, $F224, Aux_Totales!$A:$A,#REF!), 0))</f>
        <v/>
      </c>
      <c r="SZP224" s="19" t="str">
        <f>IF(SZP220 = "", "", IFERROR(SZP220 / SUMIFS(Aux_Totales!$N:$N, Aux_Totales!$F:$F, $F224, Aux_Totales!$A:$A,#REF!), 0))</f>
        <v/>
      </c>
      <c r="SZQ224" s="19" t="str">
        <f>IF(SZQ220 = "", "", IFERROR(SZQ220 / SUMIFS(Aux_Totales!$N:$N, Aux_Totales!$F:$F, $F224, Aux_Totales!$A:$A,#REF!), 0))</f>
        <v/>
      </c>
      <c r="SZR224" s="19" t="str">
        <f>IF(SZR220 = "", "", IFERROR(SZR220 / SUMIFS(Aux_Totales!$N:$N, Aux_Totales!$F:$F, $F224, Aux_Totales!$A:$A,#REF!), 0))</f>
        <v/>
      </c>
      <c r="SZS224" s="19" t="str">
        <f>IF(SZS220 = "", "", IFERROR(SZS220 / SUMIFS(Aux_Totales!$N:$N, Aux_Totales!$F:$F, $F224, Aux_Totales!$A:$A,#REF!), 0))</f>
        <v/>
      </c>
      <c r="SZT224" s="19" t="str">
        <f>IF(SZT220 = "", "", IFERROR(SZT220 / SUMIFS(Aux_Totales!$N:$N, Aux_Totales!$F:$F, $F224, Aux_Totales!$A:$A,#REF!), 0))</f>
        <v/>
      </c>
      <c r="SZU224" s="19" t="str">
        <f>IF(SZU220 = "", "", IFERROR(SZU220 / SUMIFS(Aux_Totales!$N:$N, Aux_Totales!$F:$F, $F224, Aux_Totales!$A:$A,#REF!), 0))</f>
        <v/>
      </c>
      <c r="SZV224" s="19" t="str">
        <f>IF(SZV220 = "", "", IFERROR(SZV220 / SUMIFS(Aux_Totales!$N:$N, Aux_Totales!$F:$F, $F224, Aux_Totales!$A:$A,#REF!), 0))</f>
        <v/>
      </c>
      <c r="SZW224" s="19" t="str">
        <f>IF(SZW220 = "", "", IFERROR(SZW220 / SUMIFS(Aux_Totales!$N:$N, Aux_Totales!$F:$F, $F224, Aux_Totales!$A:$A,#REF!), 0))</f>
        <v/>
      </c>
      <c r="SZX224" s="19" t="str">
        <f>IF(SZX220 = "", "", IFERROR(SZX220 / SUMIFS(Aux_Totales!$N:$N, Aux_Totales!$F:$F, $F224, Aux_Totales!$A:$A,#REF!), 0))</f>
        <v/>
      </c>
      <c r="SZY224" s="19" t="str">
        <f>IF(SZY220 = "", "", IFERROR(SZY220 / SUMIFS(Aux_Totales!$N:$N, Aux_Totales!$F:$F, $F224, Aux_Totales!$A:$A,#REF!), 0))</f>
        <v/>
      </c>
      <c r="SZZ224" s="19" t="str">
        <f>IF(SZZ220 = "", "", IFERROR(SZZ220 / SUMIFS(Aux_Totales!$N:$N, Aux_Totales!$F:$F, $F224, Aux_Totales!$A:$A,#REF!), 0))</f>
        <v/>
      </c>
      <c r="TAA224" s="19" t="str">
        <f>IF(TAA220 = "", "", IFERROR(TAA220 / SUMIFS(Aux_Totales!$N:$N, Aux_Totales!$F:$F, $F224, Aux_Totales!$A:$A,#REF!), 0))</f>
        <v/>
      </c>
      <c r="TAB224" s="19" t="str">
        <f>IF(TAB220 = "", "", IFERROR(TAB220 / SUMIFS(Aux_Totales!$N:$N, Aux_Totales!$F:$F, $F224, Aux_Totales!$A:$A,#REF!), 0))</f>
        <v/>
      </c>
      <c r="TAC224" s="19" t="str">
        <f>IF(TAC220 = "", "", IFERROR(TAC220 / SUMIFS(Aux_Totales!$N:$N, Aux_Totales!$F:$F, $F224, Aux_Totales!$A:$A,#REF!), 0))</f>
        <v/>
      </c>
      <c r="TAD224" s="19" t="str">
        <f>IF(TAD220 = "", "", IFERROR(TAD220 / SUMIFS(Aux_Totales!$N:$N, Aux_Totales!$F:$F, $F224, Aux_Totales!$A:$A,#REF!), 0))</f>
        <v/>
      </c>
      <c r="TAE224" s="19" t="str">
        <f>IF(TAE220 = "", "", IFERROR(TAE220 / SUMIFS(Aux_Totales!$N:$N, Aux_Totales!$F:$F, $F224, Aux_Totales!$A:$A,#REF!), 0))</f>
        <v/>
      </c>
      <c r="TAF224" s="19" t="str">
        <f>IF(TAF220 = "", "", IFERROR(TAF220 / SUMIFS(Aux_Totales!$N:$N, Aux_Totales!$F:$F, $F224, Aux_Totales!$A:$A,#REF!), 0))</f>
        <v/>
      </c>
      <c r="TAG224" s="19" t="str">
        <f>IF(TAG220 = "", "", IFERROR(TAG220 / SUMIFS(Aux_Totales!$N:$N, Aux_Totales!$F:$F, $F224, Aux_Totales!$A:$A,#REF!), 0))</f>
        <v/>
      </c>
      <c r="TAH224" s="19" t="str">
        <f>IF(TAH220 = "", "", IFERROR(TAH220 / SUMIFS(Aux_Totales!$N:$N, Aux_Totales!$F:$F, $F224, Aux_Totales!$A:$A,#REF!), 0))</f>
        <v/>
      </c>
      <c r="TAI224" s="19" t="str">
        <f>IF(TAI220 = "", "", IFERROR(TAI220 / SUMIFS(Aux_Totales!$N:$N, Aux_Totales!$F:$F, $F224, Aux_Totales!$A:$A,#REF!), 0))</f>
        <v/>
      </c>
      <c r="TAJ224" s="19" t="str">
        <f>IF(TAJ220 = "", "", IFERROR(TAJ220 / SUMIFS(Aux_Totales!$N:$N, Aux_Totales!$F:$F, $F224, Aux_Totales!$A:$A,#REF!), 0))</f>
        <v/>
      </c>
      <c r="TAK224" s="19" t="str">
        <f>IF(TAK220 = "", "", IFERROR(TAK220 / SUMIFS(Aux_Totales!$N:$N, Aux_Totales!$F:$F, $F224, Aux_Totales!$A:$A,#REF!), 0))</f>
        <v/>
      </c>
      <c r="TAL224" s="19" t="str">
        <f>IF(TAL220 = "", "", IFERROR(TAL220 / SUMIFS(Aux_Totales!$N:$N, Aux_Totales!$F:$F, $F224, Aux_Totales!$A:$A,#REF!), 0))</f>
        <v/>
      </c>
      <c r="TAM224" s="19" t="str">
        <f>IF(TAM220 = "", "", IFERROR(TAM220 / SUMIFS(Aux_Totales!$N:$N, Aux_Totales!$F:$F, $F224, Aux_Totales!$A:$A,#REF!), 0))</f>
        <v/>
      </c>
      <c r="TAN224" s="19" t="str">
        <f>IF(TAN220 = "", "", IFERROR(TAN220 / SUMIFS(Aux_Totales!$N:$N, Aux_Totales!$F:$F, $F224, Aux_Totales!$A:$A,#REF!), 0))</f>
        <v/>
      </c>
      <c r="TAO224" s="19" t="str">
        <f>IF(TAO220 = "", "", IFERROR(TAO220 / SUMIFS(Aux_Totales!$N:$N, Aux_Totales!$F:$F, $F224, Aux_Totales!$A:$A,#REF!), 0))</f>
        <v/>
      </c>
      <c r="TAP224" s="19" t="str">
        <f>IF(TAP220 = "", "", IFERROR(TAP220 / SUMIFS(Aux_Totales!$N:$N, Aux_Totales!$F:$F, $F224, Aux_Totales!$A:$A,#REF!), 0))</f>
        <v/>
      </c>
      <c r="TAQ224" s="19" t="str">
        <f>IF(TAQ220 = "", "", IFERROR(TAQ220 / SUMIFS(Aux_Totales!$N:$N, Aux_Totales!$F:$F, $F224, Aux_Totales!$A:$A,#REF!), 0))</f>
        <v/>
      </c>
      <c r="TAR224" s="19" t="str">
        <f>IF(TAR220 = "", "", IFERROR(TAR220 / SUMIFS(Aux_Totales!$N:$N, Aux_Totales!$F:$F, $F224, Aux_Totales!$A:$A,#REF!), 0))</f>
        <v/>
      </c>
      <c r="TAS224" s="19" t="str">
        <f>IF(TAS220 = "", "", IFERROR(TAS220 / SUMIFS(Aux_Totales!$N:$N, Aux_Totales!$F:$F, $F224, Aux_Totales!$A:$A,#REF!), 0))</f>
        <v/>
      </c>
      <c r="TAT224" s="19" t="str">
        <f>IF(TAT220 = "", "", IFERROR(TAT220 / SUMIFS(Aux_Totales!$N:$N, Aux_Totales!$F:$F, $F224, Aux_Totales!$A:$A,#REF!), 0))</f>
        <v/>
      </c>
      <c r="TAU224" s="19" t="str">
        <f>IF(TAU220 = "", "", IFERROR(TAU220 / SUMIFS(Aux_Totales!$N:$N, Aux_Totales!$F:$F, $F224, Aux_Totales!$A:$A,#REF!), 0))</f>
        <v/>
      </c>
      <c r="TAV224" s="19" t="str">
        <f>IF(TAV220 = "", "", IFERROR(TAV220 / SUMIFS(Aux_Totales!$N:$N, Aux_Totales!$F:$F, $F224, Aux_Totales!$A:$A,#REF!), 0))</f>
        <v/>
      </c>
      <c r="TAW224" s="19" t="str">
        <f>IF(TAW220 = "", "", IFERROR(TAW220 / SUMIFS(Aux_Totales!$N:$N, Aux_Totales!$F:$F, $F224, Aux_Totales!$A:$A,#REF!), 0))</f>
        <v/>
      </c>
      <c r="TAX224" s="19" t="str">
        <f>IF(TAX220 = "", "", IFERROR(TAX220 / SUMIFS(Aux_Totales!$N:$N, Aux_Totales!$F:$F, $F224, Aux_Totales!$A:$A,#REF!), 0))</f>
        <v/>
      </c>
      <c r="TAY224" s="19" t="str">
        <f>IF(TAY220 = "", "", IFERROR(TAY220 / SUMIFS(Aux_Totales!$N:$N, Aux_Totales!$F:$F, $F224, Aux_Totales!$A:$A,#REF!), 0))</f>
        <v/>
      </c>
      <c r="TAZ224" s="19" t="str">
        <f>IF(TAZ220 = "", "", IFERROR(TAZ220 / SUMIFS(Aux_Totales!$N:$N, Aux_Totales!$F:$F, $F224, Aux_Totales!$A:$A,#REF!), 0))</f>
        <v/>
      </c>
      <c r="TBA224" s="19" t="str">
        <f>IF(TBA220 = "", "", IFERROR(TBA220 / SUMIFS(Aux_Totales!$N:$N, Aux_Totales!$F:$F, $F224, Aux_Totales!$A:$A,#REF!), 0))</f>
        <v/>
      </c>
      <c r="TBB224" s="19" t="str">
        <f>IF(TBB220 = "", "", IFERROR(TBB220 / SUMIFS(Aux_Totales!$N:$N, Aux_Totales!$F:$F, $F224, Aux_Totales!$A:$A,#REF!), 0))</f>
        <v/>
      </c>
      <c r="TBC224" s="19" t="str">
        <f>IF(TBC220 = "", "", IFERROR(TBC220 / SUMIFS(Aux_Totales!$N:$N, Aux_Totales!$F:$F, $F224, Aux_Totales!$A:$A,#REF!), 0))</f>
        <v/>
      </c>
      <c r="TBD224" s="19" t="str">
        <f>IF(TBD220 = "", "", IFERROR(TBD220 / SUMIFS(Aux_Totales!$N:$N, Aux_Totales!$F:$F, $F224, Aux_Totales!$A:$A,#REF!), 0))</f>
        <v/>
      </c>
      <c r="TBE224" s="19" t="str">
        <f>IF(TBE220 = "", "", IFERROR(TBE220 / SUMIFS(Aux_Totales!$N:$N, Aux_Totales!$F:$F, $F224, Aux_Totales!$A:$A,#REF!), 0))</f>
        <v/>
      </c>
      <c r="TBF224" s="19" t="str">
        <f>IF(TBF220 = "", "", IFERROR(TBF220 / SUMIFS(Aux_Totales!$N:$N, Aux_Totales!$F:$F, $F224, Aux_Totales!$A:$A,#REF!), 0))</f>
        <v/>
      </c>
      <c r="TBG224" s="19" t="str">
        <f>IF(TBG220 = "", "", IFERROR(TBG220 / SUMIFS(Aux_Totales!$N:$N, Aux_Totales!$F:$F, $F224, Aux_Totales!$A:$A,#REF!), 0))</f>
        <v/>
      </c>
      <c r="TBH224" s="19" t="str">
        <f>IF(TBH220 = "", "", IFERROR(TBH220 / SUMIFS(Aux_Totales!$N:$N, Aux_Totales!$F:$F, $F224, Aux_Totales!$A:$A,#REF!), 0))</f>
        <v/>
      </c>
      <c r="TBI224" s="19" t="str">
        <f>IF(TBI220 = "", "", IFERROR(TBI220 / SUMIFS(Aux_Totales!$N:$N, Aux_Totales!$F:$F, $F224, Aux_Totales!$A:$A,#REF!), 0))</f>
        <v/>
      </c>
      <c r="TBJ224" s="19" t="str">
        <f>IF(TBJ220 = "", "", IFERROR(TBJ220 / SUMIFS(Aux_Totales!$N:$N, Aux_Totales!$F:$F, $F224, Aux_Totales!$A:$A,#REF!), 0))</f>
        <v/>
      </c>
      <c r="TBK224" s="19" t="str">
        <f>IF(TBK220 = "", "", IFERROR(TBK220 / SUMIFS(Aux_Totales!$N:$N, Aux_Totales!$F:$F, $F224, Aux_Totales!$A:$A,#REF!), 0))</f>
        <v/>
      </c>
      <c r="TBL224" s="19" t="str">
        <f>IF(TBL220 = "", "", IFERROR(TBL220 / SUMIFS(Aux_Totales!$N:$N, Aux_Totales!$F:$F, $F224, Aux_Totales!$A:$A,#REF!), 0))</f>
        <v/>
      </c>
      <c r="TBM224" s="19" t="str">
        <f>IF(TBM220 = "", "", IFERROR(TBM220 / SUMIFS(Aux_Totales!$N:$N, Aux_Totales!$F:$F, $F224, Aux_Totales!$A:$A,#REF!), 0))</f>
        <v/>
      </c>
      <c r="TBN224" s="19" t="str">
        <f>IF(TBN220 = "", "", IFERROR(TBN220 / SUMIFS(Aux_Totales!$N:$N, Aux_Totales!$F:$F, $F224, Aux_Totales!$A:$A,#REF!), 0))</f>
        <v/>
      </c>
      <c r="TBO224" s="19" t="str">
        <f>IF(TBO220 = "", "", IFERROR(TBO220 / SUMIFS(Aux_Totales!$N:$N, Aux_Totales!$F:$F, $F224, Aux_Totales!$A:$A,#REF!), 0))</f>
        <v/>
      </c>
      <c r="TBP224" s="19" t="str">
        <f>IF(TBP220 = "", "", IFERROR(TBP220 / SUMIFS(Aux_Totales!$N:$N, Aux_Totales!$F:$F, $F224, Aux_Totales!$A:$A,#REF!), 0))</f>
        <v/>
      </c>
      <c r="TBQ224" s="19" t="str">
        <f>IF(TBQ220 = "", "", IFERROR(TBQ220 / SUMIFS(Aux_Totales!$N:$N, Aux_Totales!$F:$F, $F224, Aux_Totales!$A:$A,#REF!), 0))</f>
        <v/>
      </c>
      <c r="TBR224" s="19" t="str">
        <f>IF(TBR220 = "", "", IFERROR(TBR220 / SUMIFS(Aux_Totales!$N:$N, Aux_Totales!$F:$F, $F224, Aux_Totales!$A:$A,#REF!), 0))</f>
        <v/>
      </c>
      <c r="TBS224" s="19" t="str">
        <f>IF(TBS220 = "", "", IFERROR(TBS220 / SUMIFS(Aux_Totales!$N:$N, Aux_Totales!$F:$F, $F224, Aux_Totales!$A:$A,#REF!), 0))</f>
        <v/>
      </c>
      <c r="TBT224" s="19" t="str">
        <f>IF(TBT220 = "", "", IFERROR(TBT220 / SUMIFS(Aux_Totales!$N:$N, Aux_Totales!$F:$F, $F224, Aux_Totales!$A:$A,#REF!), 0))</f>
        <v/>
      </c>
      <c r="TBU224" s="19" t="str">
        <f>IF(TBU220 = "", "", IFERROR(TBU220 / SUMIFS(Aux_Totales!$N:$N, Aux_Totales!$F:$F, $F224, Aux_Totales!$A:$A,#REF!), 0))</f>
        <v/>
      </c>
      <c r="TBV224" s="19" t="str">
        <f>IF(TBV220 = "", "", IFERROR(TBV220 / SUMIFS(Aux_Totales!$N:$N, Aux_Totales!$F:$F, $F224, Aux_Totales!$A:$A,#REF!), 0))</f>
        <v/>
      </c>
      <c r="TBW224" s="19" t="str">
        <f>IF(TBW220 = "", "", IFERROR(TBW220 / SUMIFS(Aux_Totales!$N:$N, Aux_Totales!$F:$F, $F224, Aux_Totales!$A:$A,#REF!), 0))</f>
        <v/>
      </c>
      <c r="TBX224" s="19" t="str">
        <f>IF(TBX220 = "", "", IFERROR(TBX220 / SUMIFS(Aux_Totales!$N:$N, Aux_Totales!$F:$F, $F224, Aux_Totales!$A:$A,#REF!), 0))</f>
        <v/>
      </c>
      <c r="TBY224" s="19" t="str">
        <f>IF(TBY220 = "", "", IFERROR(TBY220 / SUMIFS(Aux_Totales!$N:$N, Aux_Totales!$F:$F, $F224, Aux_Totales!$A:$A,#REF!), 0))</f>
        <v/>
      </c>
      <c r="TBZ224" s="19" t="str">
        <f>IF(TBZ220 = "", "", IFERROR(TBZ220 / SUMIFS(Aux_Totales!$N:$N, Aux_Totales!$F:$F, $F224, Aux_Totales!$A:$A,#REF!), 0))</f>
        <v/>
      </c>
      <c r="TCA224" s="19" t="str">
        <f>IF(TCA220 = "", "", IFERROR(TCA220 / SUMIFS(Aux_Totales!$N:$N, Aux_Totales!$F:$F, $F224, Aux_Totales!$A:$A,#REF!), 0))</f>
        <v/>
      </c>
      <c r="TCB224" s="19" t="str">
        <f>IF(TCB220 = "", "", IFERROR(TCB220 / SUMIFS(Aux_Totales!$N:$N, Aux_Totales!$F:$F, $F224, Aux_Totales!$A:$A,#REF!), 0))</f>
        <v/>
      </c>
      <c r="TCC224" s="19" t="str">
        <f>IF(TCC220 = "", "", IFERROR(TCC220 / SUMIFS(Aux_Totales!$N:$N, Aux_Totales!$F:$F, $F224, Aux_Totales!$A:$A,#REF!), 0))</f>
        <v/>
      </c>
      <c r="TCD224" s="19" t="str">
        <f>IF(TCD220 = "", "", IFERROR(TCD220 / SUMIFS(Aux_Totales!$N:$N, Aux_Totales!$F:$F, $F224, Aux_Totales!$A:$A,#REF!), 0))</f>
        <v/>
      </c>
      <c r="TCE224" s="19" t="str">
        <f>IF(TCE220 = "", "", IFERROR(TCE220 / SUMIFS(Aux_Totales!$N:$N, Aux_Totales!$F:$F, $F224, Aux_Totales!$A:$A,#REF!), 0))</f>
        <v/>
      </c>
      <c r="TCF224" s="19" t="str">
        <f>IF(TCF220 = "", "", IFERROR(TCF220 / SUMIFS(Aux_Totales!$N:$N, Aux_Totales!$F:$F, $F224, Aux_Totales!$A:$A,#REF!), 0))</f>
        <v/>
      </c>
      <c r="TCG224" s="19" t="str">
        <f>IF(TCG220 = "", "", IFERROR(TCG220 / SUMIFS(Aux_Totales!$N:$N, Aux_Totales!$F:$F, $F224, Aux_Totales!$A:$A,#REF!), 0))</f>
        <v/>
      </c>
      <c r="TCH224" s="19" t="str">
        <f>IF(TCH220 = "", "", IFERROR(TCH220 / SUMIFS(Aux_Totales!$N:$N, Aux_Totales!$F:$F, $F224, Aux_Totales!$A:$A,#REF!), 0))</f>
        <v/>
      </c>
      <c r="TCI224" s="19" t="str">
        <f>IF(TCI220 = "", "", IFERROR(TCI220 / SUMIFS(Aux_Totales!$N:$N, Aux_Totales!$F:$F, $F224, Aux_Totales!$A:$A,#REF!), 0))</f>
        <v/>
      </c>
      <c r="TCJ224" s="19" t="str">
        <f>IF(TCJ220 = "", "", IFERROR(TCJ220 / SUMIFS(Aux_Totales!$N:$N, Aux_Totales!$F:$F, $F224, Aux_Totales!$A:$A,#REF!), 0))</f>
        <v/>
      </c>
      <c r="TCK224" s="19" t="str">
        <f>IF(TCK220 = "", "", IFERROR(TCK220 / SUMIFS(Aux_Totales!$N:$N, Aux_Totales!$F:$F, $F224, Aux_Totales!$A:$A,#REF!), 0))</f>
        <v/>
      </c>
      <c r="TCL224" s="19" t="str">
        <f>IF(TCL220 = "", "", IFERROR(TCL220 / SUMIFS(Aux_Totales!$N:$N, Aux_Totales!$F:$F, $F224, Aux_Totales!$A:$A,#REF!), 0))</f>
        <v/>
      </c>
      <c r="TCM224" s="19" t="str">
        <f>IF(TCM220 = "", "", IFERROR(TCM220 / SUMIFS(Aux_Totales!$N:$N, Aux_Totales!$F:$F, $F224, Aux_Totales!$A:$A,#REF!), 0))</f>
        <v/>
      </c>
      <c r="TCN224" s="19" t="str">
        <f>IF(TCN220 = "", "", IFERROR(TCN220 / SUMIFS(Aux_Totales!$N:$N, Aux_Totales!$F:$F, $F224, Aux_Totales!$A:$A,#REF!), 0))</f>
        <v/>
      </c>
      <c r="TCO224" s="19" t="str">
        <f>IF(TCO220 = "", "", IFERROR(TCO220 / SUMIFS(Aux_Totales!$N:$N, Aux_Totales!$F:$F, $F224, Aux_Totales!$A:$A,#REF!), 0))</f>
        <v/>
      </c>
      <c r="TCP224" s="19" t="str">
        <f>IF(TCP220 = "", "", IFERROR(TCP220 / SUMIFS(Aux_Totales!$N:$N, Aux_Totales!$F:$F, $F224, Aux_Totales!$A:$A,#REF!), 0))</f>
        <v/>
      </c>
      <c r="TCQ224" s="19" t="str">
        <f>IF(TCQ220 = "", "", IFERROR(TCQ220 / SUMIFS(Aux_Totales!$N:$N, Aux_Totales!$F:$F, $F224, Aux_Totales!$A:$A,#REF!), 0))</f>
        <v/>
      </c>
      <c r="TCR224" s="19" t="str">
        <f>IF(TCR220 = "", "", IFERROR(TCR220 / SUMIFS(Aux_Totales!$N:$N, Aux_Totales!$F:$F, $F224, Aux_Totales!$A:$A,#REF!), 0))</f>
        <v/>
      </c>
      <c r="TCS224" s="19" t="str">
        <f>IF(TCS220 = "", "", IFERROR(TCS220 / SUMIFS(Aux_Totales!$N:$N, Aux_Totales!$F:$F, $F224, Aux_Totales!$A:$A,#REF!), 0))</f>
        <v/>
      </c>
      <c r="TCT224" s="19" t="str">
        <f>IF(TCT220 = "", "", IFERROR(TCT220 / SUMIFS(Aux_Totales!$N:$N, Aux_Totales!$F:$F, $F224, Aux_Totales!$A:$A,#REF!), 0))</f>
        <v/>
      </c>
      <c r="TCU224" s="19" t="str">
        <f>IF(TCU220 = "", "", IFERROR(TCU220 / SUMIFS(Aux_Totales!$N:$N, Aux_Totales!$F:$F, $F224, Aux_Totales!$A:$A,#REF!), 0))</f>
        <v/>
      </c>
      <c r="TCV224" s="19" t="str">
        <f>IF(TCV220 = "", "", IFERROR(TCV220 / SUMIFS(Aux_Totales!$N:$N, Aux_Totales!$F:$F, $F224, Aux_Totales!$A:$A,#REF!), 0))</f>
        <v/>
      </c>
      <c r="TCW224" s="19" t="str">
        <f>IF(TCW220 = "", "", IFERROR(TCW220 / SUMIFS(Aux_Totales!$N:$N, Aux_Totales!$F:$F, $F224, Aux_Totales!$A:$A,#REF!), 0))</f>
        <v/>
      </c>
      <c r="TCX224" s="19" t="str">
        <f>IF(TCX220 = "", "", IFERROR(TCX220 / SUMIFS(Aux_Totales!$N:$N, Aux_Totales!$F:$F, $F224, Aux_Totales!$A:$A,#REF!), 0))</f>
        <v/>
      </c>
      <c r="TCY224" s="19" t="str">
        <f>IF(TCY220 = "", "", IFERROR(TCY220 / SUMIFS(Aux_Totales!$N:$N, Aux_Totales!$F:$F, $F224, Aux_Totales!$A:$A,#REF!), 0))</f>
        <v/>
      </c>
      <c r="TCZ224" s="19" t="str">
        <f>IF(TCZ220 = "", "", IFERROR(TCZ220 / SUMIFS(Aux_Totales!$N:$N, Aux_Totales!$F:$F, $F224, Aux_Totales!$A:$A,#REF!), 0))</f>
        <v/>
      </c>
      <c r="TDA224" s="19" t="str">
        <f>IF(TDA220 = "", "", IFERROR(TDA220 / SUMIFS(Aux_Totales!$N:$N, Aux_Totales!$F:$F, $F224, Aux_Totales!$A:$A,#REF!), 0))</f>
        <v/>
      </c>
      <c r="TDB224" s="19" t="str">
        <f>IF(TDB220 = "", "", IFERROR(TDB220 / SUMIFS(Aux_Totales!$N:$N, Aux_Totales!$F:$F, $F224, Aux_Totales!$A:$A,#REF!), 0))</f>
        <v/>
      </c>
      <c r="TDC224" s="19" t="str">
        <f>IF(TDC220 = "", "", IFERROR(TDC220 / SUMIFS(Aux_Totales!$N:$N, Aux_Totales!$F:$F, $F224, Aux_Totales!$A:$A,#REF!), 0))</f>
        <v/>
      </c>
      <c r="TDD224" s="19" t="str">
        <f>IF(TDD220 = "", "", IFERROR(TDD220 / SUMIFS(Aux_Totales!$N:$N, Aux_Totales!$F:$F, $F224, Aux_Totales!$A:$A,#REF!), 0))</f>
        <v/>
      </c>
      <c r="TDE224" s="19" t="str">
        <f>IF(TDE220 = "", "", IFERROR(TDE220 / SUMIFS(Aux_Totales!$N:$N, Aux_Totales!$F:$F, $F224, Aux_Totales!$A:$A,#REF!), 0))</f>
        <v/>
      </c>
      <c r="TDF224" s="19" t="str">
        <f>IF(TDF220 = "", "", IFERROR(TDF220 / SUMIFS(Aux_Totales!$N:$N, Aux_Totales!$F:$F, $F224, Aux_Totales!$A:$A,#REF!), 0))</f>
        <v/>
      </c>
      <c r="TDG224" s="19" t="str">
        <f>IF(TDG220 = "", "", IFERROR(TDG220 / SUMIFS(Aux_Totales!$N:$N, Aux_Totales!$F:$F, $F224, Aux_Totales!$A:$A,#REF!), 0))</f>
        <v/>
      </c>
      <c r="TDH224" s="19" t="str">
        <f>IF(TDH220 = "", "", IFERROR(TDH220 / SUMIFS(Aux_Totales!$N:$N, Aux_Totales!$F:$F, $F224, Aux_Totales!$A:$A,#REF!), 0))</f>
        <v/>
      </c>
      <c r="TDI224" s="19" t="str">
        <f>IF(TDI220 = "", "", IFERROR(TDI220 / SUMIFS(Aux_Totales!$N:$N, Aux_Totales!$F:$F, $F224, Aux_Totales!$A:$A,#REF!), 0))</f>
        <v/>
      </c>
      <c r="TDJ224" s="19" t="str">
        <f>IF(TDJ220 = "", "", IFERROR(TDJ220 / SUMIFS(Aux_Totales!$N:$N, Aux_Totales!$F:$F, $F224, Aux_Totales!$A:$A,#REF!), 0))</f>
        <v/>
      </c>
      <c r="TDK224" s="19" t="str">
        <f>IF(TDK220 = "", "", IFERROR(TDK220 / SUMIFS(Aux_Totales!$N:$N, Aux_Totales!$F:$F, $F224, Aux_Totales!$A:$A,#REF!), 0))</f>
        <v/>
      </c>
      <c r="TDL224" s="19" t="str">
        <f>IF(TDL220 = "", "", IFERROR(TDL220 / SUMIFS(Aux_Totales!$N:$N, Aux_Totales!$F:$F, $F224, Aux_Totales!$A:$A,#REF!), 0))</f>
        <v/>
      </c>
      <c r="TDM224" s="19" t="str">
        <f>IF(TDM220 = "", "", IFERROR(TDM220 / SUMIFS(Aux_Totales!$N:$N, Aux_Totales!$F:$F, $F224, Aux_Totales!$A:$A,#REF!), 0))</f>
        <v/>
      </c>
      <c r="TDN224" s="19" t="str">
        <f>IF(TDN220 = "", "", IFERROR(TDN220 / SUMIFS(Aux_Totales!$N:$N, Aux_Totales!$F:$F, $F224, Aux_Totales!$A:$A,#REF!), 0))</f>
        <v/>
      </c>
      <c r="TDO224" s="19" t="str">
        <f>IF(TDO220 = "", "", IFERROR(TDO220 / SUMIFS(Aux_Totales!$N:$N, Aux_Totales!$F:$F, $F224, Aux_Totales!$A:$A,#REF!), 0))</f>
        <v/>
      </c>
      <c r="TDP224" s="19" t="str">
        <f>IF(TDP220 = "", "", IFERROR(TDP220 / SUMIFS(Aux_Totales!$N:$N, Aux_Totales!$F:$F, $F224, Aux_Totales!$A:$A,#REF!), 0))</f>
        <v/>
      </c>
      <c r="TDQ224" s="19" t="str">
        <f>IF(TDQ220 = "", "", IFERROR(TDQ220 / SUMIFS(Aux_Totales!$N:$N, Aux_Totales!$F:$F, $F224, Aux_Totales!$A:$A,#REF!), 0))</f>
        <v/>
      </c>
      <c r="TDR224" s="19" t="str">
        <f>IF(TDR220 = "", "", IFERROR(TDR220 / SUMIFS(Aux_Totales!$N:$N, Aux_Totales!$F:$F, $F224, Aux_Totales!$A:$A,#REF!), 0))</f>
        <v/>
      </c>
      <c r="TDS224" s="19" t="str">
        <f>IF(TDS220 = "", "", IFERROR(TDS220 / SUMIFS(Aux_Totales!$N:$N, Aux_Totales!$F:$F, $F224, Aux_Totales!$A:$A,#REF!), 0))</f>
        <v/>
      </c>
      <c r="TDT224" s="19" t="str">
        <f>IF(TDT220 = "", "", IFERROR(TDT220 / SUMIFS(Aux_Totales!$N:$N, Aux_Totales!$F:$F, $F224, Aux_Totales!$A:$A,#REF!), 0))</f>
        <v/>
      </c>
      <c r="TDU224" s="19" t="str">
        <f>IF(TDU220 = "", "", IFERROR(TDU220 / SUMIFS(Aux_Totales!$N:$N, Aux_Totales!$F:$F, $F224, Aux_Totales!$A:$A,#REF!), 0))</f>
        <v/>
      </c>
      <c r="TDV224" s="19" t="str">
        <f>IF(TDV220 = "", "", IFERROR(TDV220 / SUMIFS(Aux_Totales!$N:$N, Aux_Totales!$F:$F, $F224, Aux_Totales!$A:$A,#REF!), 0))</f>
        <v/>
      </c>
      <c r="TDW224" s="19" t="str">
        <f>IF(TDW220 = "", "", IFERROR(TDW220 / SUMIFS(Aux_Totales!$N:$N, Aux_Totales!$F:$F, $F224, Aux_Totales!$A:$A,#REF!), 0))</f>
        <v/>
      </c>
      <c r="TDX224" s="19" t="str">
        <f>IF(TDX220 = "", "", IFERROR(TDX220 / SUMIFS(Aux_Totales!$N:$N, Aux_Totales!$F:$F, $F224, Aux_Totales!$A:$A,#REF!), 0))</f>
        <v/>
      </c>
      <c r="TDY224" s="19" t="str">
        <f>IF(TDY220 = "", "", IFERROR(TDY220 / SUMIFS(Aux_Totales!$N:$N, Aux_Totales!$F:$F, $F224, Aux_Totales!$A:$A,#REF!), 0))</f>
        <v/>
      </c>
      <c r="TDZ224" s="19" t="str">
        <f>IF(TDZ220 = "", "", IFERROR(TDZ220 / SUMIFS(Aux_Totales!$N:$N, Aux_Totales!$F:$F, $F224, Aux_Totales!$A:$A,#REF!), 0))</f>
        <v/>
      </c>
      <c r="TEA224" s="19" t="str">
        <f>IF(TEA220 = "", "", IFERROR(TEA220 / SUMIFS(Aux_Totales!$N:$N, Aux_Totales!$F:$F, $F224, Aux_Totales!$A:$A,#REF!), 0))</f>
        <v/>
      </c>
      <c r="TEB224" s="19" t="str">
        <f>IF(TEB220 = "", "", IFERROR(TEB220 / SUMIFS(Aux_Totales!$N:$N, Aux_Totales!$F:$F, $F224, Aux_Totales!$A:$A,#REF!), 0))</f>
        <v/>
      </c>
      <c r="TEC224" s="19" t="str">
        <f>IF(TEC220 = "", "", IFERROR(TEC220 / SUMIFS(Aux_Totales!$N:$N, Aux_Totales!$F:$F, $F224, Aux_Totales!$A:$A,#REF!), 0))</f>
        <v/>
      </c>
      <c r="TED224" s="19" t="str">
        <f>IF(TED220 = "", "", IFERROR(TED220 / SUMIFS(Aux_Totales!$N:$N, Aux_Totales!$F:$F, $F224, Aux_Totales!$A:$A,#REF!), 0))</f>
        <v/>
      </c>
      <c r="TEE224" s="19" t="str">
        <f>IF(TEE220 = "", "", IFERROR(TEE220 / SUMIFS(Aux_Totales!$N:$N, Aux_Totales!$F:$F, $F224, Aux_Totales!$A:$A,#REF!), 0))</f>
        <v/>
      </c>
      <c r="TEF224" s="19" t="str">
        <f>IF(TEF220 = "", "", IFERROR(TEF220 / SUMIFS(Aux_Totales!$N:$N, Aux_Totales!$F:$F, $F224, Aux_Totales!$A:$A,#REF!), 0))</f>
        <v/>
      </c>
      <c r="TEG224" s="19" t="str">
        <f>IF(TEG220 = "", "", IFERROR(TEG220 / SUMIFS(Aux_Totales!$N:$N, Aux_Totales!$F:$F, $F224, Aux_Totales!$A:$A,#REF!), 0))</f>
        <v/>
      </c>
      <c r="TEH224" s="19" t="str">
        <f>IF(TEH220 = "", "", IFERROR(TEH220 / SUMIFS(Aux_Totales!$N:$N, Aux_Totales!$F:$F, $F224, Aux_Totales!$A:$A,#REF!), 0))</f>
        <v/>
      </c>
      <c r="TEI224" s="19" t="str">
        <f>IF(TEI220 = "", "", IFERROR(TEI220 / SUMIFS(Aux_Totales!$N:$N, Aux_Totales!$F:$F, $F224, Aux_Totales!$A:$A,#REF!), 0))</f>
        <v/>
      </c>
      <c r="TEJ224" s="19" t="str">
        <f>IF(TEJ220 = "", "", IFERROR(TEJ220 / SUMIFS(Aux_Totales!$N:$N, Aux_Totales!$F:$F, $F224, Aux_Totales!$A:$A,#REF!), 0))</f>
        <v/>
      </c>
      <c r="TEK224" s="19" t="str">
        <f>IF(TEK220 = "", "", IFERROR(TEK220 / SUMIFS(Aux_Totales!$N:$N, Aux_Totales!$F:$F, $F224, Aux_Totales!$A:$A,#REF!), 0))</f>
        <v/>
      </c>
      <c r="TEL224" s="19" t="str">
        <f>IF(TEL220 = "", "", IFERROR(TEL220 / SUMIFS(Aux_Totales!$N:$N, Aux_Totales!$F:$F, $F224, Aux_Totales!$A:$A,#REF!), 0))</f>
        <v/>
      </c>
      <c r="TEM224" s="19" t="str">
        <f>IF(TEM220 = "", "", IFERROR(TEM220 / SUMIFS(Aux_Totales!$N:$N, Aux_Totales!$F:$F, $F224, Aux_Totales!$A:$A,#REF!), 0))</f>
        <v/>
      </c>
      <c r="TEN224" s="19" t="str">
        <f>IF(TEN220 = "", "", IFERROR(TEN220 / SUMIFS(Aux_Totales!$N:$N, Aux_Totales!$F:$F, $F224, Aux_Totales!$A:$A,#REF!), 0))</f>
        <v/>
      </c>
      <c r="TEO224" s="19" t="str">
        <f>IF(TEO220 = "", "", IFERROR(TEO220 / SUMIFS(Aux_Totales!$N:$N, Aux_Totales!$F:$F, $F224, Aux_Totales!$A:$A,#REF!), 0))</f>
        <v/>
      </c>
      <c r="TEP224" s="19" t="str">
        <f>IF(TEP220 = "", "", IFERROR(TEP220 / SUMIFS(Aux_Totales!$N:$N, Aux_Totales!$F:$F, $F224, Aux_Totales!$A:$A,#REF!), 0))</f>
        <v/>
      </c>
      <c r="TEQ224" s="19" t="str">
        <f>IF(TEQ220 = "", "", IFERROR(TEQ220 / SUMIFS(Aux_Totales!$N:$N, Aux_Totales!$F:$F, $F224, Aux_Totales!$A:$A,#REF!), 0))</f>
        <v/>
      </c>
      <c r="TER224" s="19" t="str">
        <f>IF(TER220 = "", "", IFERROR(TER220 / SUMIFS(Aux_Totales!$N:$N, Aux_Totales!$F:$F, $F224, Aux_Totales!$A:$A,#REF!), 0))</f>
        <v/>
      </c>
      <c r="TES224" s="19" t="str">
        <f>IF(TES220 = "", "", IFERROR(TES220 / SUMIFS(Aux_Totales!$N:$N, Aux_Totales!$F:$F, $F224, Aux_Totales!$A:$A,#REF!), 0))</f>
        <v/>
      </c>
      <c r="TET224" s="19" t="str">
        <f>IF(TET220 = "", "", IFERROR(TET220 / SUMIFS(Aux_Totales!$N:$N, Aux_Totales!$F:$F, $F224, Aux_Totales!$A:$A,#REF!), 0))</f>
        <v/>
      </c>
      <c r="TEU224" s="19" t="str">
        <f>IF(TEU220 = "", "", IFERROR(TEU220 / SUMIFS(Aux_Totales!$N:$N, Aux_Totales!$F:$F, $F224, Aux_Totales!$A:$A,#REF!), 0))</f>
        <v/>
      </c>
      <c r="TEV224" s="19" t="str">
        <f>IF(TEV220 = "", "", IFERROR(TEV220 / SUMIFS(Aux_Totales!$N:$N, Aux_Totales!$F:$F, $F224, Aux_Totales!$A:$A,#REF!), 0))</f>
        <v/>
      </c>
      <c r="TEW224" s="19" t="str">
        <f>IF(TEW220 = "", "", IFERROR(TEW220 / SUMIFS(Aux_Totales!$N:$N, Aux_Totales!$F:$F, $F224, Aux_Totales!$A:$A,#REF!), 0))</f>
        <v/>
      </c>
      <c r="TEX224" s="19" t="str">
        <f>IF(TEX220 = "", "", IFERROR(TEX220 / SUMIFS(Aux_Totales!$N:$N, Aux_Totales!$F:$F, $F224, Aux_Totales!$A:$A,#REF!), 0))</f>
        <v/>
      </c>
      <c r="TEY224" s="19" t="str">
        <f>IF(TEY220 = "", "", IFERROR(TEY220 / SUMIFS(Aux_Totales!$N:$N, Aux_Totales!$F:$F, $F224, Aux_Totales!$A:$A,#REF!), 0))</f>
        <v/>
      </c>
      <c r="TEZ224" s="19" t="str">
        <f>IF(TEZ220 = "", "", IFERROR(TEZ220 / SUMIFS(Aux_Totales!$N:$N, Aux_Totales!$F:$F, $F224, Aux_Totales!$A:$A,#REF!), 0))</f>
        <v/>
      </c>
      <c r="TFA224" s="19" t="str">
        <f>IF(TFA220 = "", "", IFERROR(TFA220 / SUMIFS(Aux_Totales!$N:$N, Aux_Totales!$F:$F, $F224, Aux_Totales!$A:$A,#REF!), 0))</f>
        <v/>
      </c>
      <c r="TFB224" s="19" t="str">
        <f>IF(TFB220 = "", "", IFERROR(TFB220 / SUMIFS(Aux_Totales!$N:$N, Aux_Totales!$F:$F, $F224, Aux_Totales!$A:$A,#REF!), 0))</f>
        <v/>
      </c>
      <c r="TFC224" s="19" t="str">
        <f>IF(TFC220 = "", "", IFERROR(TFC220 / SUMIFS(Aux_Totales!$N:$N, Aux_Totales!$F:$F, $F224, Aux_Totales!$A:$A,#REF!), 0))</f>
        <v/>
      </c>
      <c r="TFD224" s="19" t="str">
        <f>IF(TFD220 = "", "", IFERROR(TFD220 / SUMIFS(Aux_Totales!$N:$N, Aux_Totales!$F:$F, $F224, Aux_Totales!$A:$A,#REF!), 0))</f>
        <v/>
      </c>
      <c r="TFE224" s="19" t="str">
        <f>IF(TFE220 = "", "", IFERROR(TFE220 / SUMIFS(Aux_Totales!$N:$N, Aux_Totales!$F:$F, $F224, Aux_Totales!$A:$A,#REF!), 0))</f>
        <v/>
      </c>
      <c r="TFF224" s="19" t="str">
        <f>IF(TFF220 = "", "", IFERROR(TFF220 / SUMIFS(Aux_Totales!$N:$N, Aux_Totales!$F:$F, $F224, Aux_Totales!$A:$A,#REF!), 0))</f>
        <v/>
      </c>
      <c r="TFG224" s="19" t="str">
        <f>IF(TFG220 = "", "", IFERROR(TFG220 / SUMIFS(Aux_Totales!$N:$N, Aux_Totales!$F:$F, $F224, Aux_Totales!$A:$A,#REF!), 0))</f>
        <v/>
      </c>
      <c r="TFH224" s="19" t="str">
        <f>IF(TFH220 = "", "", IFERROR(TFH220 / SUMIFS(Aux_Totales!$N:$N, Aux_Totales!$F:$F, $F224, Aux_Totales!$A:$A,#REF!), 0))</f>
        <v/>
      </c>
      <c r="TFI224" s="19" t="str">
        <f>IF(TFI220 = "", "", IFERROR(TFI220 / SUMIFS(Aux_Totales!$N:$N, Aux_Totales!$F:$F, $F224, Aux_Totales!$A:$A,#REF!), 0))</f>
        <v/>
      </c>
      <c r="TFJ224" s="19" t="str">
        <f>IF(TFJ220 = "", "", IFERROR(TFJ220 / SUMIFS(Aux_Totales!$N:$N, Aux_Totales!$F:$F, $F224, Aux_Totales!$A:$A,#REF!), 0))</f>
        <v/>
      </c>
      <c r="TFK224" s="19" t="str">
        <f>IF(TFK220 = "", "", IFERROR(TFK220 / SUMIFS(Aux_Totales!$N:$N, Aux_Totales!$F:$F, $F224, Aux_Totales!$A:$A,#REF!), 0))</f>
        <v/>
      </c>
      <c r="TFL224" s="19" t="str">
        <f>IF(TFL220 = "", "", IFERROR(TFL220 / SUMIFS(Aux_Totales!$N:$N, Aux_Totales!$F:$F, $F224, Aux_Totales!$A:$A,#REF!), 0))</f>
        <v/>
      </c>
      <c r="TFM224" s="19" t="str">
        <f>IF(TFM220 = "", "", IFERROR(TFM220 / SUMIFS(Aux_Totales!$N:$N, Aux_Totales!$F:$F, $F224, Aux_Totales!$A:$A,#REF!), 0))</f>
        <v/>
      </c>
      <c r="TFN224" s="19" t="str">
        <f>IF(TFN220 = "", "", IFERROR(TFN220 / SUMIFS(Aux_Totales!$N:$N, Aux_Totales!$F:$F, $F224, Aux_Totales!$A:$A,#REF!), 0))</f>
        <v/>
      </c>
      <c r="TFO224" s="19" t="str">
        <f>IF(TFO220 = "", "", IFERROR(TFO220 / SUMIFS(Aux_Totales!$N:$N, Aux_Totales!$F:$F, $F224, Aux_Totales!$A:$A,#REF!), 0))</f>
        <v/>
      </c>
      <c r="TFP224" s="19" t="str">
        <f>IF(TFP220 = "", "", IFERROR(TFP220 / SUMIFS(Aux_Totales!$N:$N, Aux_Totales!$F:$F, $F224, Aux_Totales!$A:$A,#REF!), 0))</f>
        <v/>
      </c>
      <c r="TFQ224" s="19" t="str">
        <f>IF(TFQ220 = "", "", IFERROR(TFQ220 / SUMIFS(Aux_Totales!$N:$N, Aux_Totales!$F:$F, $F224, Aux_Totales!$A:$A,#REF!), 0))</f>
        <v/>
      </c>
      <c r="TFR224" s="19" t="str">
        <f>IF(TFR220 = "", "", IFERROR(TFR220 / SUMIFS(Aux_Totales!$N:$N, Aux_Totales!$F:$F, $F224, Aux_Totales!$A:$A,#REF!), 0))</f>
        <v/>
      </c>
      <c r="TFS224" s="19" t="str">
        <f>IF(TFS220 = "", "", IFERROR(TFS220 / SUMIFS(Aux_Totales!$N:$N, Aux_Totales!$F:$F, $F224, Aux_Totales!$A:$A,#REF!), 0))</f>
        <v/>
      </c>
      <c r="TFT224" s="19" t="str">
        <f>IF(TFT220 = "", "", IFERROR(TFT220 / SUMIFS(Aux_Totales!$N:$N, Aux_Totales!$F:$F, $F224, Aux_Totales!$A:$A,#REF!), 0))</f>
        <v/>
      </c>
      <c r="TFU224" s="19" t="str">
        <f>IF(TFU220 = "", "", IFERROR(TFU220 / SUMIFS(Aux_Totales!$N:$N, Aux_Totales!$F:$F, $F224, Aux_Totales!$A:$A,#REF!), 0))</f>
        <v/>
      </c>
      <c r="TFV224" s="19" t="str">
        <f>IF(TFV220 = "", "", IFERROR(TFV220 / SUMIFS(Aux_Totales!$N:$N, Aux_Totales!$F:$F, $F224, Aux_Totales!$A:$A,#REF!), 0))</f>
        <v/>
      </c>
      <c r="TFW224" s="19" t="str">
        <f>IF(TFW220 = "", "", IFERROR(TFW220 / SUMIFS(Aux_Totales!$N:$N, Aux_Totales!$F:$F, $F224, Aux_Totales!$A:$A,#REF!), 0))</f>
        <v/>
      </c>
      <c r="TFX224" s="19" t="str">
        <f>IF(TFX220 = "", "", IFERROR(TFX220 / SUMIFS(Aux_Totales!$N:$N, Aux_Totales!$F:$F, $F224, Aux_Totales!$A:$A,#REF!), 0))</f>
        <v/>
      </c>
      <c r="TFY224" s="19" t="str">
        <f>IF(TFY220 = "", "", IFERROR(TFY220 / SUMIFS(Aux_Totales!$N:$N, Aux_Totales!$F:$F, $F224, Aux_Totales!$A:$A,#REF!), 0))</f>
        <v/>
      </c>
      <c r="TFZ224" s="19" t="str">
        <f>IF(TFZ220 = "", "", IFERROR(TFZ220 / SUMIFS(Aux_Totales!$N:$N, Aux_Totales!$F:$F, $F224, Aux_Totales!$A:$A,#REF!), 0))</f>
        <v/>
      </c>
      <c r="TGA224" s="19" t="str">
        <f>IF(TGA220 = "", "", IFERROR(TGA220 / SUMIFS(Aux_Totales!$N:$N, Aux_Totales!$F:$F, $F224, Aux_Totales!$A:$A,#REF!), 0))</f>
        <v/>
      </c>
      <c r="TGB224" s="19" t="str">
        <f>IF(TGB220 = "", "", IFERROR(TGB220 / SUMIFS(Aux_Totales!$N:$N, Aux_Totales!$F:$F, $F224, Aux_Totales!$A:$A,#REF!), 0))</f>
        <v/>
      </c>
      <c r="TGC224" s="19" t="str">
        <f>IF(TGC220 = "", "", IFERROR(TGC220 / SUMIFS(Aux_Totales!$N:$N, Aux_Totales!$F:$F, $F224, Aux_Totales!$A:$A,#REF!), 0))</f>
        <v/>
      </c>
      <c r="TGD224" s="19" t="str">
        <f>IF(TGD220 = "", "", IFERROR(TGD220 / SUMIFS(Aux_Totales!$N:$N, Aux_Totales!$F:$F, $F224, Aux_Totales!$A:$A,#REF!), 0))</f>
        <v/>
      </c>
      <c r="TGE224" s="19" t="str">
        <f>IF(TGE220 = "", "", IFERROR(TGE220 / SUMIFS(Aux_Totales!$N:$N, Aux_Totales!$F:$F, $F224, Aux_Totales!$A:$A,#REF!), 0))</f>
        <v/>
      </c>
      <c r="TGF224" s="19" t="str">
        <f>IF(TGF220 = "", "", IFERROR(TGF220 / SUMIFS(Aux_Totales!$N:$N, Aux_Totales!$F:$F, $F224, Aux_Totales!$A:$A,#REF!), 0))</f>
        <v/>
      </c>
      <c r="TGG224" s="19" t="str">
        <f>IF(TGG220 = "", "", IFERROR(TGG220 / SUMIFS(Aux_Totales!$N:$N, Aux_Totales!$F:$F, $F224, Aux_Totales!$A:$A,#REF!), 0))</f>
        <v/>
      </c>
      <c r="TGH224" s="19" t="str">
        <f>IF(TGH220 = "", "", IFERROR(TGH220 / SUMIFS(Aux_Totales!$N:$N, Aux_Totales!$F:$F, $F224, Aux_Totales!$A:$A,#REF!), 0))</f>
        <v/>
      </c>
      <c r="TGI224" s="19" t="str">
        <f>IF(TGI220 = "", "", IFERROR(TGI220 / SUMIFS(Aux_Totales!$N:$N, Aux_Totales!$F:$F, $F224, Aux_Totales!$A:$A,#REF!), 0))</f>
        <v/>
      </c>
      <c r="TGJ224" s="19" t="str">
        <f>IF(TGJ220 = "", "", IFERROR(TGJ220 / SUMIFS(Aux_Totales!$N:$N, Aux_Totales!$F:$F, $F224, Aux_Totales!$A:$A,#REF!), 0))</f>
        <v/>
      </c>
      <c r="TGK224" s="19" t="str">
        <f>IF(TGK220 = "", "", IFERROR(TGK220 / SUMIFS(Aux_Totales!$N:$N, Aux_Totales!$F:$F, $F224, Aux_Totales!$A:$A,#REF!), 0))</f>
        <v/>
      </c>
      <c r="TGL224" s="19" t="str">
        <f>IF(TGL220 = "", "", IFERROR(TGL220 / SUMIFS(Aux_Totales!$N:$N, Aux_Totales!$F:$F, $F224, Aux_Totales!$A:$A,#REF!), 0))</f>
        <v/>
      </c>
      <c r="TGM224" s="19" t="str">
        <f>IF(TGM220 = "", "", IFERROR(TGM220 / SUMIFS(Aux_Totales!$N:$N, Aux_Totales!$F:$F, $F224, Aux_Totales!$A:$A,#REF!), 0))</f>
        <v/>
      </c>
      <c r="TGN224" s="19" t="str">
        <f>IF(TGN220 = "", "", IFERROR(TGN220 / SUMIFS(Aux_Totales!$N:$N, Aux_Totales!$F:$F, $F224, Aux_Totales!$A:$A,#REF!), 0))</f>
        <v/>
      </c>
      <c r="TGO224" s="19" t="str">
        <f>IF(TGO220 = "", "", IFERROR(TGO220 / SUMIFS(Aux_Totales!$N:$N, Aux_Totales!$F:$F, $F224, Aux_Totales!$A:$A,#REF!), 0))</f>
        <v/>
      </c>
      <c r="TGP224" s="19" t="str">
        <f>IF(TGP220 = "", "", IFERROR(TGP220 / SUMIFS(Aux_Totales!$N:$N, Aux_Totales!$F:$F, $F224, Aux_Totales!$A:$A,#REF!), 0))</f>
        <v/>
      </c>
      <c r="TGQ224" s="19" t="str">
        <f>IF(TGQ220 = "", "", IFERROR(TGQ220 / SUMIFS(Aux_Totales!$N:$N, Aux_Totales!$F:$F, $F224, Aux_Totales!$A:$A,#REF!), 0))</f>
        <v/>
      </c>
      <c r="TGR224" s="19" t="str">
        <f>IF(TGR220 = "", "", IFERROR(TGR220 / SUMIFS(Aux_Totales!$N:$N, Aux_Totales!$F:$F, $F224, Aux_Totales!$A:$A,#REF!), 0))</f>
        <v/>
      </c>
      <c r="TGS224" s="19" t="str">
        <f>IF(TGS220 = "", "", IFERROR(TGS220 / SUMIFS(Aux_Totales!$N:$N, Aux_Totales!$F:$F, $F224, Aux_Totales!$A:$A,#REF!), 0))</f>
        <v/>
      </c>
      <c r="TGT224" s="19" t="str">
        <f>IF(TGT220 = "", "", IFERROR(TGT220 / SUMIFS(Aux_Totales!$N:$N, Aux_Totales!$F:$F, $F224, Aux_Totales!$A:$A,#REF!), 0))</f>
        <v/>
      </c>
      <c r="TGU224" s="19" t="str">
        <f>IF(TGU220 = "", "", IFERROR(TGU220 / SUMIFS(Aux_Totales!$N:$N, Aux_Totales!$F:$F, $F224, Aux_Totales!$A:$A,#REF!), 0))</f>
        <v/>
      </c>
      <c r="TGV224" s="19" t="str">
        <f>IF(TGV220 = "", "", IFERROR(TGV220 / SUMIFS(Aux_Totales!$N:$N, Aux_Totales!$F:$F, $F224, Aux_Totales!$A:$A,#REF!), 0))</f>
        <v/>
      </c>
      <c r="TGW224" s="19" t="str">
        <f>IF(TGW220 = "", "", IFERROR(TGW220 / SUMIFS(Aux_Totales!$N:$N, Aux_Totales!$F:$F, $F224, Aux_Totales!$A:$A,#REF!), 0))</f>
        <v/>
      </c>
      <c r="TGX224" s="19" t="str">
        <f>IF(TGX220 = "", "", IFERROR(TGX220 / SUMIFS(Aux_Totales!$N:$N, Aux_Totales!$F:$F, $F224, Aux_Totales!$A:$A,#REF!), 0))</f>
        <v/>
      </c>
      <c r="TGY224" s="19" t="str">
        <f>IF(TGY220 = "", "", IFERROR(TGY220 / SUMIFS(Aux_Totales!$N:$N, Aux_Totales!$F:$F, $F224, Aux_Totales!$A:$A,#REF!), 0))</f>
        <v/>
      </c>
      <c r="TGZ224" s="19" t="str">
        <f>IF(TGZ220 = "", "", IFERROR(TGZ220 / SUMIFS(Aux_Totales!$N:$N, Aux_Totales!$F:$F, $F224, Aux_Totales!$A:$A,#REF!), 0))</f>
        <v/>
      </c>
      <c r="THA224" s="19" t="str">
        <f>IF(THA220 = "", "", IFERROR(THA220 / SUMIFS(Aux_Totales!$N:$N, Aux_Totales!$F:$F, $F224, Aux_Totales!$A:$A,#REF!), 0))</f>
        <v/>
      </c>
      <c r="THB224" s="19" t="str">
        <f>IF(THB220 = "", "", IFERROR(THB220 / SUMIFS(Aux_Totales!$N:$N, Aux_Totales!$F:$F, $F224, Aux_Totales!$A:$A,#REF!), 0))</f>
        <v/>
      </c>
      <c r="THC224" s="19" t="str">
        <f>IF(THC220 = "", "", IFERROR(THC220 / SUMIFS(Aux_Totales!$N:$N, Aux_Totales!$F:$F, $F224, Aux_Totales!$A:$A,#REF!), 0))</f>
        <v/>
      </c>
      <c r="THD224" s="19" t="str">
        <f>IF(THD220 = "", "", IFERROR(THD220 / SUMIFS(Aux_Totales!$N:$N, Aux_Totales!$F:$F, $F224, Aux_Totales!$A:$A,#REF!), 0))</f>
        <v/>
      </c>
      <c r="THE224" s="19" t="str">
        <f>IF(THE220 = "", "", IFERROR(THE220 / SUMIFS(Aux_Totales!$N:$N, Aux_Totales!$F:$F, $F224, Aux_Totales!$A:$A,#REF!), 0))</f>
        <v/>
      </c>
      <c r="THF224" s="19" t="str">
        <f>IF(THF220 = "", "", IFERROR(THF220 / SUMIFS(Aux_Totales!$N:$N, Aux_Totales!$F:$F, $F224, Aux_Totales!$A:$A,#REF!), 0))</f>
        <v/>
      </c>
      <c r="THG224" s="19" t="str">
        <f>IF(THG220 = "", "", IFERROR(THG220 / SUMIFS(Aux_Totales!$N:$N, Aux_Totales!$F:$F, $F224, Aux_Totales!$A:$A,#REF!), 0))</f>
        <v/>
      </c>
      <c r="THH224" s="19" t="str">
        <f>IF(THH220 = "", "", IFERROR(THH220 / SUMIFS(Aux_Totales!$N:$N, Aux_Totales!$F:$F, $F224, Aux_Totales!$A:$A,#REF!), 0))</f>
        <v/>
      </c>
      <c r="THI224" s="19" t="str">
        <f>IF(THI220 = "", "", IFERROR(THI220 / SUMIFS(Aux_Totales!$N:$N, Aux_Totales!$F:$F, $F224, Aux_Totales!$A:$A,#REF!), 0))</f>
        <v/>
      </c>
      <c r="THJ224" s="19" t="str">
        <f>IF(THJ220 = "", "", IFERROR(THJ220 / SUMIFS(Aux_Totales!$N:$N, Aux_Totales!$F:$F, $F224, Aux_Totales!$A:$A,#REF!), 0))</f>
        <v/>
      </c>
      <c r="THK224" s="19" t="str">
        <f>IF(THK220 = "", "", IFERROR(THK220 / SUMIFS(Aux_Totales!$N:$N, Aux_Totales!$F:$F, $F224, Aux_Totales!$A:$A,#REF!), 0))</f>
        <v/>
      </c>
      <c r="THL224" s="19" t="str">
        <f>IF(THL220 = "", "", IFERROR(THL220 / SUMIFS(Aux_Totales!$N:$N, Aux_Totales!$F:$F, $F224, Aux_Totales!$A:$A,#REF!), 0))</f>
        <v/>
      </c>
      <c r="THM224" s="19" t="str">
        <f>IF(THM220 = "", "", IFERROR(THM220 / SUMIFS(Aux_Totales!$N:$N, Aux_Totales!$F:$F, $F224, Aux_Totales!$A:$A,#REF!), 0))</f>
        <v/>
      </c>
      <c r="THN224" s="19" t="str">
        <f>IF(THN220 = "", "", IFERROR(THN220 / SUMIFS(Aux_Totales!$N:$N, Aux_Totales!$F:$F, $F224, Aux_Totales!$A:$A,#REF!), 0))</f>
        <v/>
      </c>
      <c r="THO224" s="19" t="str">
        <f>IF(THO220 = "", "", IFERROR(THO220 / SUMIFS(Aux_Totales!$N:$N, Aux_Totales!$F:$F, $F224, Aux_Totales!$A:$A,#REF!), 0))</f>
        <v/>
      </c>
      <c r="THP224" s="19" t="str">
        <f>IF(THP220 = "", "", IFERROR(THP220 / SUMIFS(Aux_Totales!$N:$N, Aux_Totales!$F:$F, $F224, Aux_Totales!$A:$A,#REF!), 0))</f>
        <v/>
      </c>
      <c r="THQ224" s="19" t="str">
        <f>IF(THQ220 = "", "", IFERROR(THQ220 / SUMIFS(Aux_Totales!$N:$N, Aux_Totales!$F:$F, $F224, Aux_Totales!$A:$A,#REF!), 0))</f>
        <v/>
      </c>
      <c r="THR224" s="19" t="str">
        <f>IF(THR220 = "", "", IFERROR(THR220 / SUMIFS(Aux_Totales!$N:$N, Aux_Totales!$F:$F, $F224, Aux_Totales!$A:$A,#REF!), 0))</f>
        <v/>
      </c>
      <c r="THS224" s="19" t="str">
        <f>IF(THS220 = "", "", IFERROR(THS220 / SUMIFS(Aux_Totales!$N:$N, Aux_Totales!$F:$F, $F224, Aux_Totales!$A:$A,#REF!), 0))</f>
        <v/>
      </c>
      <c r="THT224" s="19" t="str">
        <f>IF(THT220 = "", "", IFERROR(THT220 / SUMIFS(Aux_Totales!$N:$N, Aux_Totales!$F:$F, $F224, Aux_Totales!$A:$A,#REF!), 0))</f>
        <v/>
      </c>
      <c r="THU224" s="19" t="str">
        <f>IF(THU220 = "", "", IFERROR(THU220 / SUMIFS(Aux_Totales!$N:$N, Aux_Totales!$F:$F, $F224, Aux_Totales!$A:$A,#REF!), 0))</f>
        <v/>
      </c>
      <c r="THV224" s="19" t="str">
        <f>IF(THV220 = "", "", IFERROR(THV220 / SUMIFS(Aux_Totales!$N:$N, Aux_Totales!$F:$F, $F224, Aux_Totales!$A:$A,#REF!), 0))</f>
        <v/>
      </c>
      <c r="THW224" s="19" t="str">
        <f>IF(THW220 = "", "", IFERROR(THW220 / SUMIFS(Aux_Totales!$N:$N, Aux_Totales!$F:$F, $F224, Aux_Totales!$A:$A,#REF!), 0))</f>
        <v/>
      </c>
      <c r="THX224" s="19" t="str">
        <f>IF(THX220 = "", "", IFERROR(THX220 / SUMIFS(Aux_Totales!$N:$N, Aux_Totales!$F:$F, $F224, Aux_Totales!$A:$A,#REF!), 0))</f>
        <v/>
      </c>
      <c r="THY224" s="19" t="str">
        <f>IF(THY220 = "", "", IFERROR(THY220 / SUMIFS(Aux_Totales!$N:$N, Aux_Totales!$F:$F, $F224, Aux_Totales!$A:$A,#REF!), 0))</f>
        <v/>
      </c>
      <c r="THZ224" s="19" t="str">
        <f>IF(THZ220 = "", "", IFERROR(THZ220 / SUMIFS(Aux_Totales!$N:$N, Aux_Totales!$F:$F, $F224, Aux_Totales!$A:$A,#REF!), 0))</f>
        <v/>
      </c>
      <c r="TIA224" s="19" t="str">
        <f>IF(TIA220 = "", "", IFERROR(TIA220 / SUMIFS(Aux_Totales!$N:$N, Aux_Totales!$F:$F, $F224, Aux_Totales!$A:$A,#REF!), 0))</f>
        <v/>
      </c>
      <c r="TIB224" s="19" t="str">
        <f>IF(TIB220 = "", "", IFERROR(TIB220 / SUMIFS(Aux_Totales!$N:$N, Aux_Totales!$F:$F, $F224, Aux_Totales!$A:$A,#REF!), 0))</f>
        <v/>
      </c>
      <c r="TIC224" s="19" t="str">
        <f>IF(TIC220 = "", "", IFERROR(TIC220 / SUMIFS(Aux_Totales!$N:$N, Aux_Totales!$F:$F, $F224, Aux_Totales!$A:$A,#REF!), 0))</f>
        <v/>
      </c>
      <c r="TID224" s="19" t="str">
        <f>IF(TID220 = "", "", IFERROR(TID220 / SUMIFS(Aux_Totales!$N:$N, Aux_Totales!$F:$F, $F224, Aux_Totales!$A:$A,#REF!), 0))</f>
        <v/>
      </c>
      <c r="TIE224" s="19" t="str">
        <f>IF(TIE220 = "", "", IFERROR(TIE220 / SUMIFS(Aux_Totales!$N:$N, Aux_Totales!$F:$F, $F224, Aux_Totales!$A:$A,#REF!), 0))</f>
        <v/>
      </c>
      <c r="TIF224" s="19" t="str">
        <f>IF(TIF220 = "", "", IFERROR(TIF220 / SUMIFS(Aux_Totales!$N:$N, Aux_Totales!$F:$F, $F224, Aux_Totales!$A:$A,#REF!), 0))</f>
        <v/>
      </c>
      <c r="TIG224" s="19" t="str">
        <f>IF(TIG220 = "", "", IFERROR(TIG220 / SUMIFS(Aux_Totales!$N:$N, Aux_Totales!$F:$F, $F224, Aux_Totales!$A:$A,#REF!), 0))</f>
        <v/>
      </c>
      <c r="TIH224" s="19" t="str">
        <f>IF(TIH220 = "", "", IFERROR(TIH220 / SUMIFS(Aux_Totales!$N:$N, Aux_Totales!$F:$F, $F224, Aux_Totales!$A:$A,#REF!), 0))</f>
        <v/>
      </c>
      <c r="TII224" s="19" t="str">
        <f>IF(TII220 = "", "", IFERROR(TII220 / SUMIFS(Aux_Totales!$N:$N, Aux_Totales!$F:$F, $F224, Aux_Totales!$A:$A,#REF!), 0))</f>
        <v/>
      </c>
      <c r="TIJ224" s="19" t="str">
        <f>IF(TIJ220 = "", "", IFERROR(TIJ220 / SUMIFS(Aux_Totales!$N:$N, Aux_Totales!$F:$F, $F224, Aux_Totales!$A:$A,#REF!), 0))</f>
        <v/>
      </c>
      <c r="TIK224" s="19" t="str">
        <f>IF(TIK220 = "", "", IFERROR(TIK220 / SUMIFS(Aux_Totales!$N:$N, Aux_Totales!$F:$F, $F224, Aux_Totales!$A:$A,#REF!), 0))</f>
        <v/>
      </c>
      <c r="TIL224" s="19" t="str">
        <f>IF(TIL220 = "", "", IFERROR(TIL220 / SUMIFS(Aux_Totales!$N:$N, Aux_Totales!$F:$F, $F224, Aux_Totales!$A:$A,#REF!), 0))</f>
        <v/>
      </c>
      <c r="TIM224" s="19" t="str">
        <f>IF(TIM220 = "", "", IFERROR(TIM220 / SUMIFS(Aux_Totales!$N:$N, Aux_Totales!$F:$F, $F224, Aux_Totales!$A:$A,#REF!), 0))</f>
        <v/>
      </c>
      <c r="TIN224" s="19" t="str">
        <f>IF(TIN220 = "", "", IFERROR(TIN220 / SUMIFS(Aux_Totales!$N:$N, Aux_Totales!$F:$F, $F224, Aux_Totales!$A:$A,#REF!), 0))</f>
        <v/>
      </c>
      <c r="TIO224" s="19" t="str">
        <f>IF(TIO220 = "", "", IFERROR(TIO220 / SUMIFS(Aux_Totales!$N:$N, Aux_Totales!$F:$F, $F224, Aux_Totales!$A:$A,#REF!), 0))</f>
        <v/>
      </c>
      <c r="TIP224" s="19" t="str">
        <f>IF(TIP220 = "", "", IFERROR(TIP220 / SUMIFS(Aux_Totales!$N:$N, Aux_Totales!$F:$F, $F224, Aux_Totales!$A:$A,#REF!), 0))</f>
        <v/>
      </c>
      <c r="TIQ224" s="19" t="str">
        <f>IF(TIQ220 = "", "", IFERROR(TIQ220 / SUMIFS(Aux_Totales!$N:$N, Aux_Totales!$F:$F, $F224, Aux_Totales!$A:$A,#REF!), 0))</f>
        <v/>
      </c>
      <c r="TIR224" s="19" t="str">
        <f>IF(TIR220 = "", "", IFERROR(TIR220 / SUMIFS(Aux_Totales!$N:$N, Aux_Totales!$F:$F, $F224, Aux_Totales!$A:$A,#REF!), 0))</f>
        <v/>
      </c>
      <c r="TIS224" s="19" t="str">
        <f>IF(TIS220 = "", "", IFERROR(TIS220 / SUMIFS(Aux_Totales!$N:$N, Aux_Totales!$F:$F, $F224, Aux_Totales!$A:$A,#REF!), 0))</f>
        <v/>
      </c>
      <c r="TIT224" s="19" t="str">
        <f>IF(TIT220 = "", "", IFERROR(TIT220 / SUMIFS(Aux_Totales!$N:$N, Aux_Totales!$F:$F, $F224, Aux_Totales!$A:$A,#REF!), 0))</f>
        <v/>
      </c>
      <c r="TIU224" s="19" t="str">
        <f>IF(TIU220 = "", "", IFERROR(TIU220 / SUMIFS(Aux_Totales!$N:$N, Aux_Totales!$F:$F, $F224, Aux_Totales!$A:$A,#REF!), 0))</f>
        <v/>
      </c>
      <c r="TIV224" s="19" t="str">
        <f>IF(TIV220 = "", "", IFERROR(TIV220 / SUMIFS(Aux_Totales!$N:$N, Aux_Totales!$F:$F, $F224, Aux_Totales!$A:$A,#REF!), 0))</f>
        <v/>
      </c>
      <c r="TIW224" s="19" t="str">
        <f>IF(TIW220 = "", "", IFERROR(TIW220 / SUMIFS(Aux_Totales!$N:$N, Aux_Totales!$F:$F, $F224, Aux_Totales!$A:$A,#REF!), 0))</f>
        <v/>
      </c>
      <c r="TIX224" s="19" t="str">
        <f>IF(TIX220 = "", "", IFERROR(TIX220 / SUMIFS(Aux_Totales!$N:$N, Aux_Totales!$F:$F, $F224, Aux_Totales!$A:$A,#REF!), 0))</f>
        <v/>
      </c>
      <c r="TIY224" s="19" t="str">
        <f>IF(TIY220 = "", "", IFERROR(TIY220 / SUMIFS(Aux_Totales!$N:$N, Aux_Totales!$F:$F, $F224, Aux_Totales!$A:$A,#REF!), 0))</f>
        <v/>
      </c>
      <c r="TIZ224" s="19" t="str">
        <f>IF(TIZ220 = "", "", IFERROR(TIZ220 / SUMIFS(Aux_Totales!$N:$N, Aux_Totales!$F:$F, $F224, Aux_Totales!$A:$A,#REF!), 0))</f>
        <v/>
      </c>
      <c r="TJA224" s="19" t="str">
        <f>IF(TJA220 = "", "", IFERROR(TJA220 / SUMIFS(Aux_Totales!$N:$N, Aux_Totales!$F:$F, $F224, Aux_Totales!$A:$A,#REF!), 0))</f>
        <v/>
      </c>
      <c r="TJB224" s="19" t="str">
        <f>IF(TJB220 = "", "", IFERROR(TJB220 / SUMIFS(Aux_Totales!$N:$N, Aux_Totales!$F:$F, $F224, Aux_Totales!$A:$A,#REF!), 0))</f>
        <v/>
      </c>
      <c r="TJC224" s="19" t="str">
        <f>IF(TJC220 = "", "", IFERROR(TJC220 / SUMIFS(Aux_Totales!$N:$N, Aux_Totales!$F:$F, $F224, Aux_Totales!$A:$A,#REF!), 0))</f>
        <v/>
      </c>
      <c r="TJD224" s="19" t="str">
        <f>IF(TJD220 = "", "", IFERROR(TJD220 / SUMIFS(Aux_Totales!$N:$N, Aux_Totales!$F:$F, $F224, Aux_Totales!$A:$A,#REF!), 0))</f>
        <v/>
      </c>
      <c r="TJE224" s="19" t="str">
        <f>IF(TJE220 = "", "", IFERROR(TJE220 / SUMIFS(Aux_Totales!$N:$N, Aux_Totales!$F:$F, $F224, Aux_Totales!$A:$A,#REF!), 0))</f>
        <v/>
      </c>
      <c r="TJF224" s="19" t="str">
        <f>IF(TJF220 = "", "", IFERROR(TJF220 / SUMIFS(Aux_Totales!$N:$N, Aux_Totales!$F:$F, $F224, Aux_Totales!$A:$A,#REF!), 0))</f>
        <v/>
      </c>
      <c r="TJG224" s="19" t="str">
        <f>IF(TJG220 = "", "", IFERROR(TJG220 / SUMIFS(Aux_Totales!$N:$N, Aux_Totales!$F:$F, $F224, Aux_Totales!$A:$A,#REF!), 0))</f>
        <v/>
      </c>
      <c r="TJH224" s="19" t="str">
        <f>IF(TJH220 = "", "", IFERROR(TJH220 / SUMIFS(Aux_Totales!$N:$N, Aux_Totales!$F:$F, $F224, Aux_Totales!$A:$A,#REF!), 0))</f>
        <v/>
      </c>
      <c r="TJI224" s="19" t="str">
        <f>IF(TJI220 = "", "", IFERROR(TJI220 / SUMIFS(Aux_Totales!$N:$N, Aux_Totales!$F:$F, $F224, Aux_Totales!$A:$A,#REF!), 0))</f>
        <v/>
      </c>
      <c r="TJJ224" s="19" t="str">
        <f>IF(TJJ220 = "", "", IFERROR(TJJ220 / SUMIFS(Aux_Totales!$N:$N, Aux_Totales!$F:$F, $F224, Aux_Totales!$A:$A,#REF!), 0))</f>
        <v/>
      </c>
      <c r="TJK224" s="19" t="str">
        <f>IF(TJK220 = "", "", IFERROR(TJK220 / SUMIFS(Aux_Totales!$N:$N, Aux_Totales!$F:$F, $F224, Aux_Totales!$A:$A,#REF!), 0))</f>
        <v/>
      </c>
      <c r="TJL224" s="19" t="str">
        <f>IF(TJL220 = "", "", IFERROR(TJL220 / SUMIFS(Aux_Totales!$N:$N, Aux_Totales!$F:$F, $F224, Aux_Totales!$A:$A,#REF!), 0))</f>
        <v/>
      </c>
      <c r="TJM224" s="19" t="str">
        <f>IF(TJM220 = "", "", IFERROR(TJM220 / SUMIFS(Aux_Totales!$N:$N, Aux_Totales!$F:$F, $F224, Aux_Totales!$A:$A,#REF!), 0))</f>
        <v/>
      </c>
      <c r="TJN224" s="19" t="str">
        <f>IF(TJN220 = "", "", IFERROR(TJN220 / SUMIFS(Aux_Totales!$N:$N, Aux_Totales!$F:$F, $F224, Aux_Totales!$A:$A,#REF!), 0))</f>
        <v/>
      </c>
      <c r="TJO224" s="19" t="str">
        <f>IF(TJO220 = "", "", IFERROR(TJO220 / SUMIFS(Aux_Totales!$N:$N, Aux_Totales!$F:$F, $F224, Aux_Totales!$A:$A,#REF!), 0))</f>
        <v/>
      </c>
      <c r="TJP224" s="19" t="str">
        <f>IF(TJP220 = "", "", IFERROR(TJP220 / SUMIFS(Aux_Totales!$N:$N, Aux_Totales!$F:$F, $F224, Aux_Totales!$A:$A,#REF!), 0))</f>
        <v/>
      </c>
      <c r="TJQ224" s="19" t="str">
        <f>IF(TJQ220 = "", "", IFERROR(TJQ220 / SUMIFS(Aux_Totales!$N:$N, Aux_Totales!$F:$F, $F224, Aux_Totales!$A:$A,#REF!), 0))</f>
        <v/>
      </c>
      <c r="TJR224" s="19" t="str">
        <f>IF(TJR220 = "", "", IFERROR(TJR220 / SUMIFS(Aux_Totales!$N:$N, Aux_Totales!$F:$F, $F224, Aux_Totales!$A:$A,#REF!), 0))</f>
        <v/>
      </c>
      <c r="TJS224" s="19" t="str">
        <f>IF(TJS220 = "", "", IFERROR(TJS220 / SUMIFS(Aux_Totales!$N:$N, Aux_Totales!$F:$F, $F224, Aux_Totales!$A:$A,#REF!), 0))</f>
        <v/>
      </c>
      <c r="TJT224" s="19" t="str">
        <f>IF(TJT220 = "", "", IFERROR(TJT220 / SUMIFS(Aux_Totales!$N:$N, Aux_Totales!$F:$F, $F224, Aux_Totales!$A:$A,#REF!), 0))</f>
        <v/>
      </c>
      <c r="TJU224" s="19" t="str">
        <f>IF(TJU220 = "", "", IFERROR(TJU220 / SUMIFS(Aux_Totales!$N:$N, Aux_Totales!$F:$F, $F224, Aux_Totales!$A:$A,#REF!), 0))</f>
        <v/>
      </c>
      <c r="TJV224" s="19" t="str">
        <f>IF(TJV220 = "", "", IFERROR(TJV220 / SUMIFS(Aux_Totales!$N:$N, Aux_Totales!$F:$F, $F224, Aux_Totales!$A:$A,#REF!), 0))</f>
        <v/>
      </c>
      <c r="TJW224" s="19" t="str">
        <f>IF(TJW220 = "", "", IFERROR(TJW220 / SUMIFS(Aux_Totales!$N:$N, Aux_Totales!$F:$F, $F224, Aux_Totales!$A:$A,#REF!), 0))</f>
        <v/>
      </c>
      <c r="TJX224" s="19" t="str">
        <f>IF(TJX220 = "", "", IFERROR(TJX220 / SUMIFS(Aux_Totales!$N:$N, Aux_Totales!$F:$F, $F224, Aux_Totales!$A:$A,#REF!), 0))</f>
        <v/>
      </c>
      <c r="TJY224" s="19" t="str">
        <f>IF(TJY220 = "", "", IFERROR(TJY220 / SUMIFS(Aux_Totales!$N:$N, Aux_Totales!$F:$F, $F224, Aux_Totales!$A:$A,#REF!), 0))</f>
        <v/>
      </c>
      <c r="TJZ224" s="19" t="str">
        <f>IF(TJZ220 = "", "", IFERROR(TJZ220 / SUMIFS(Aux_Totales!$N:$N, Aux_Totales!$F:$F, $F224, Aux_Totales!$A:$A,#REF!), 0))</f>
        <v/>
      </c>
      <c r="TKA224" s="19" t="str">
        <f>IF(TKA220 = "", "", IFERROR(TKA220 / SUMIFS(Aux_Totales!$N:$N, Aux_Totales!$F:$F, $F224, Aux_Totales!$A:$A,#REF!), 0))</f>
        <v/>
      </c>
      <c r="TKB224" s="19" t="str">
        <f>IF(TKB220 = "", "", IFERROR(TKB220 / SUMIFS(Aux_Totales!$N:$N, Aux_Totales!$F:$F, $F224, Aux_Totales!$A:$A,#REF!), 0))</f>
        <v/>
      </c>
      <c r="TKC224" s="19" t="str">
        <f>IF(TKC220 = "", "", IFERROR(TKC220 / SUMIFS(Aux_Totales!$N:$N, Aux_Totales!$F:$F, $F224, Aux_Totales!$A:$A,#REF!), 0))</f>
        <v/>
      </c>
      <c r="TKD224" s="19" t="str">
        <f>IF(TKD220 = "", "", IFERROR(TKD220 / SUMIFS(Aux_Totales!$N:$N, Aux_Totales!$F:$F, $F224, Aux_Totales!$A:$A,#REF!), 0))</f>
        <v/>
      </c>
      <c r="TKE224" s="19" t="str">
        <f>IF(TKE220 = "", "", IFERROR(TKE220 / SUMIFS(Aux_Totales!$N:$N, Aux_Totales!$F:$F, $F224, Aux_Totales!$A:$A,#REF!), 0))</f>
        <v/>
      </c>
      <c r="TKF224" s="19" t="str">
        <f>IF(TKF220 = "", "", IFERROR(TKF220 / SUMIFS(Aux_Totales!$N:$N, Aux_Totales!$F:$F, $F224, Aux_Totales!$A:$A,#REF!), 0))</f>
        <v/>
      </c>
      <c r="TKG224" s="19" t="str">
        <f>IF(TKG220 = "", "", IFERROR(TKG220 / SUMIFS(Aux_Totales!$N:$N, Aux_Totales!$F:$F, $F224, Aux_Totales!$A:$A,#REF!), 0))</f>
        <v/>
      </c>
      <c r="TKH224" s="19" t="str">
        <f>IF(TKH220 = "", "", IFERROR(TKH220 / SUMIFS(Aux_Totales!$N:$N, Aux_Totales!$F:$F, $F224, Aux_Totales!$A:$A,#REF!), 0))</f>
        <v/>
      </c>
      <c r="TKI224" s="19" t="str">
        <f>IF(TKI220 = "", "", IFERROR(TKI220 / SUMIFS(Aux_Totales!$N:$N, Aux_Totales!$F:$F, $F224, Aux_Totales!$A:$A,#REF!), 0))</f>
        <v/>
      </c>
      <c r="TKJ224" s="19" t="str">
        <f>IF(TKJ220 = "", "", IFERROR(TKJ220 / SUMIFS(Aux_Totales!$N:$N, Aux_Totales!$F:$F, $F224, Aux_Totales!$A:$A,#REF!), 0))</f>
        <v/>
      </c>
      <c r="TKK224" s="19" t="str">
        <f>IF(TKK220 = "", "", IFERROR(TKK220 / SUMIFS(Aux_Totales!$N:$N, Aux_Totales!$F:$F, $F224, Aux_Totales!$A:$A,#REF!), 0))</f>
        <v/>
      </c>
      <c r="TKL224" s="19" t="str">
        <f>IF(TKL220 = "", "", IFERROR(TKL220 / SUMIFS(Aux_Totales!$N:$N, Aux_Totales!$F:$F, $F224, Aux_Totales!$A:$A,#REF!), 0))</f>
        <v/>
      </c>
      <c r="TKM224" s="19" t="str">
        <f>IF(TKM220 = "", "", IFERROR(TKM220 / SUMIFS(Aux_Totales!$N:$N, Aux_Totales!$F:$F, $F224, Aux_Totales!$A:$A,#REF!), 0))</f>
        <v/>
      </c>
      <c r="TKN224" s="19" t="str">
        <f>IF(TKN220 = "", "", IFERROR(TKN220 / SUMIFS(Aux_Totales!$N:$N, Aux_Totales!$F:$F, $F224, Aux_Totales!$A:$A,#REF!), 0))</f>
        <v/>
      </c>
      <c r="TKO224" s="19" t="str">
        <f>IF(TKO220 = "", "", IFERROR(TKO220 / SUMIFS(Aux_Totales!$N:$N, Aux_Totales!$F:$F, $F224, Aux_Totales!$A:$A,#REF!), 0))</f>
        <v/>
      </c>
      <c r="TKP224" s="19" t="str">
        <f>IF(TKP220 = "", "", IFERROR(TKP220 / SUMIFS(Aux_Totales!$N:$N, Aux_Totales!$F:$F, $F224, Aux_Totales!$A:$A,#REF!), 0))</f>
        <v/>
      </c>
      <c r="TKQ224" s="19" t="str">
        <f>IF(TKQ220 = "", "", IFERROR(TKQ220 / SUMIFS(Aux_Totales!$N:$N, Aux_Totales!$F:$F, $F224, Aux_Totales!$A:$A,#REF!), 0))</f>
        <v/>
      </c>
      <c r="TKR224" s="19" t="str">
        <f>IF(TKR220 = "", "", IFERROR(TKR220 / SUMIFS(Aux_Totales!$N:$N, Aux_Totales!$F:$F, $F224, Aux_Totales!$A:$A,#REF!), 0))</f>
        <v/>
      </c>
      <c r="TKS224" s="19" t="str">
        <f>IF(TKS220 = "", "", IFERROR(TKS220 / SUMIFS(Aux_Totales!$N:$N, Aux_Totales!$F:$F, $F224, Aux_Totales!$A:$A,#REF!), 0))</f>
        <v/>
      </c>
      <c r="TKT224" s="19" t="str">
        <f>IF(TKT220 = "", "", IFERROR(TKT220 / SUMIFS(Aux_Totales!$N:$N, Aux_Totales!$F:$F, $F224, Aux_Totales!$A:$A,#REF!), 0))</f>
        <v/>
      </c>
      <c r="TKU224" s="19" t="str">
        <f>IF(TKU220 = "", "", IFERROR(TKU220 / SUMIFS(Aux_Totales!$N:$N, Aux_Totales!$F:$F, $F224, Aux_Totales!$A:$A,#REF!), 0))</f>
        <v/>
      </c>
      <c r="TKV224" s="19" t="str">
        <f>IF(TKV220 = "", "", IFERROR(TKV220 / SUMIFS(Aux_Totales!$N:$N, Aux_Totales!$F:$F, $F224, Aux_Totales!$A:$A,#REF!), 0))</f>
        <v/>
      </c>
      <c r="TKW224" s="19" t="str">
        <f>IF(TKW220 = "", "", IFERROR(TKW220 / SUMIFS(Aux_Totales!$N:$N, Aux_Totales!$F:$F, $F224, Aux_Totales!$A:$A,#REF!), 0))</f>
        <v/>
      </c>
      <c r="TKX224" s="19" t="str">
        <f>IF(TKX220 = "", "", IFERROR(TKX220 / SUMIFS(Aux_Totales!$N:$N, Aux_Totales!$F:$F, $F224, Aux_Totales!$A:$A,#REF!), 0))</f>
        <v/>
      </c>
      <c r="TKY224" s="19" t="str">
        <f>IF(TKY220 = "", "", IFERROR(TKY220 / SUMIFS(Aux_Totales!$N:$N, Aux_Totales!$F:$F, $F224, Aux_Totales!$A:$A,#REF!), 0))</f>
        <v/>
      </c>
      <c r="TKZ224" s="19" t="str">
        <f>IF(TKZ220 = "", "", IFERROR(TKZ220 / SUMIFS(Aux_Totales!$N:$N, Aux_Totales!$F:$F, $F224, Aux_Totales!$A:$A,#REF!), 0))</f>
        <v/>
      </c>
      <c r="TLA224" s="19" t="str">
        <f>IF(TLA220 = "", "", IFERROR(TLA220 / SUMIFS(Aux_Totales!$N:$N, Aux_Totales!$F:$F, $F224, Aux_Totales!$A:$A,#REF!), 0))</f>
        <v/>
      </c>
      <c r="TLB224" s="19" t="str">
        <f>IF(TLB220 = "", "", IFERROR(TLB220 / SUMIFS(Aux_Totales!$N:$N, Aux_Totales!$F:$F, $F224, Aux_Totales!$A:$A,#REF!), 0))</f>
        <v/>
      </c>
      <c r="TLC224" s="19" t="str">
        <f>IF(TLC220 = "", "", IFERROR(TLC220 / SUMIFS(Aux_Totales!$N:$N, Aux_Totales!$F:$F, $F224, Aux_Totales!$A:$A,#REF!), 0))</f>
        <v/>
      </c>
      <c r="TLD224" s="19" t="str">
        <f>IF(TLD220 = "", "", IFERROR(TLD220 / SUMIFS(Aux_Totales!$N:$N, Aux_Totales!$F:$F, $F224, Aux_Totales!$A:$A,#REF!), 0))</f>
        <v/>
      </c>
      <c r="TLE224" s="19" t="str">
        <f>IF(TLE220 = "", "", IFERROR(TLE220 / SUMIFS(Aux_Totales!$N:$N, Aux_Totales!$F:$F, $F224, Aux_Totales!$A:$A,#REF!), 0))</f>
        <v/>
      </c>
      <c r="TLF224" s="19" t="str">
        <f>IF(TLF220 = "", "", IFERROR(TLF220 / SUMIFS(Aux_Totales!$N:$N, Aux_Totales!$F:$F, $F224, Aux_Totales!$A:$A,#REF!), 0))</f>
        <v/>
      </c>
      <c r="TLG224" s="19" t="str">
        <f>IF(TLG220 = "", "", IFERROR(TLG220 / SUMIFS(Aux_Totales!$N:$N, Aux_Totales!$F:$F, $F224, Aux_Totales!$A:$A,#REF!), 0))</f>
        <v/>
      </c>
      <c r="TLH224" s="19" t="str">
        <f>IF(TLH220 = "", "", IFERROR(TLH220 / SUMIFS(Aux_Totales!$N:$N, Aux_Totales!$F:$F, $F224, Aux_Totales!$A:$A,#REF!), 0))</f>
        <v/>
      </c>
      <c r="TLI224" s="19" t="str">
        <f>IF(TLI220 = "", "", IFERROR(TLI220 / SUMIFS(Aux_Totales!$N:$N, Aux_Totales!$F:$F, $F224, Aux_Totales!$A:$A,#REF!), 0))</f>
        <v/>
      </c>
      <c r="TLJ224" s="19" t="str">
        <f>IF(TLJ220 = "", "", IFERROR(TLJ220 / SUMIFS(Aux_Totales!$N:$N, Aux_Totales!$F:$F, $F224, Aux_Totales!$A:$A,#REF!), 0))</f>
        <v/>
      </c>
      <c r="TLK224" s="19" t="str">
        <f>IF(TLK220 = "", "", IFERROR(TLK220 / SUMIFS(Aux_Totales!$N:$N, Aux_Totales!$F:$F, $F224, Aux_Totales!$A:$A,#REF!), 0))</f>
        <v/>
      </c>
      <c r="TLL224" s="19" t="str">
        <f>IF(TLL220 = "", "", IFERROR(TLL220 / SUMIFS(Aux_Totales!$N:$N, Aux_Totales!$F:$F, $F224, Aux_Totales!$A:$A,#REF!), 0))</f>
        <v/>
      </c>
      <c r="TLM224" s="19" t="str">
        <f>IF(TLM220 = "", "", IFERROR(TLM220 / SUMIFS(Aux_Totales!$N:$N, Aux_Totales!$F:$F, $F224, Aux_Totales!$A:$A,#REF!), 0))</f>
        <v/>
      </c>
      <c r="TLN224" s="19" t="str">
        <f>IF(TLN220 = "", "", IFERROR(TLN220 / SUMIFS(Aux_Totales!$N:$N, Aux_Totales!$F:$F, $F224, Aux_Totales!$A:$A,#REF!), 0))</f>
        <v/>
      </c>
      <c r="TLO224" s="19" t="str">
        <f>IF(TLO220 = "", "", IFERROR(TLO220 / SUMIFS(Aux_Totales!$N:$N, Aux_Totales!$F:$F, $F224, Aux_Totales!$A:$A,#REF!), 0))</f>
        <v/>
      </c>
      <c r="TLP224" s="19" t="str">
        <f>IF(TLP220 = "", "", IFERROR(TLP220 / SUMIFS(Aux_Totales!$N:$N, Aux_Totales!$F:$F, $F224, Aux_Totales!$A:$A,#REF!), 0))</f>
        <v/>
      </c>
      <c r="TLQ224" s="19" t="str">
        <f>IF(TLQ220 = "", "", IFERROR(TLQ220 / SUMIFS(Aux_Totales!$N:$N, Aux_Totales!$F:$F, $F224, Aux_Totales!$A:$A,#REF!), 0))</f>
        <v/>
      </c>
      <c r="TLR224" s="19" t="str">
        <f>IF(TLR220 = "", "", IFERROR(TLR220 / SUMIFS(Aux_Totales!$N:$N, Aux_Totales!$F:$F, $F224, Aux_Totales!$A:$A,#REF!), 0))</f>
        <v/>
      </c>
      <c r="TLS224" s="19" t="str">
        <f>IF(TLS220 = "", "", IFERROR(TLS220 / SUMIFS(Aux_Totales!$N:$N, Aux_Totales!$F:$F, $F224, Aux_Totales!$A:$A,#REF!), 0))</f>
        <v/>
      </c>
      <c r="TLT224" s="19" t="str">
        <f>IF(TLT220 = "", "", IFERROR(TLT220 / SUMIFS(Aux_Totales!$N:$N, Aux_Totales!$F:$F, $F224, Aux_Totales!$A:$A,#REF!), 0))</f>
        <v/>
      </c>
      <c r="TLU224" s="19" t="str">
        <f>IF(TLU220 = "", "", IFERROR(TLU220 / SUMIFS(Aux_Totales!$N:$N, Aux_Totales!$F:$F, $F224, Aux_Totales!$A:$A,#REF!), 0))</f>
        <v/>
      </c>
      <c r="TLV224" s="19" t="str">
        <f>IF(TLV220 = "", "", IFERROR(TLV220 / SUMIFS(Aux_Totales!$N:$N, Aux_Totales!$F:$F, $F224, Aux_Totales!$A:$A,#REF!), 0))</f>
        <v/>
      </c>
      <c r="TLW224" s="19" t="str">
        <f>IF(TLW220 = "", "", IFERROR(TLW220 / SUMIFS(Aux_Totales!$N:$N, Aux_Totales!$F:$F, $F224, Aux_Totales!$A:$A,#REF!), 0))</f>
        <v/>
      </c>
      <c r="TLX224" s="19" t="str">
        <f>IF(TLX220 = "", "", IFERROR(TLX220 / SUMIFS(Aux_Totales!$N:$N, Aux_Totales!$F:$F, $F224, Aux_Totales!$A:$A,#REF!), 0))</f>
        <v/>
      </c>
      <c r="TLY224" s="19" t="str">
        <f>IF(TLY220 = "", "", IFERROR(TLY220 / SUMIFS(Aux_Totales!$N:$N, Aux_Totales!$F:$F, $F224, Aux_Totales!$A:$A,#REF!), 0))</f>
        <v/>
      </c>
      <c r="TLZ224" s="19" t="str">
        <f>IF(TLZ220 = "", "", IFERROR(TLZ220 / SUMIFS(Aux_Totales!$N:$N, Aux_Totales!$F:$F, $F224, Aux_Totales!$A:$A,#REF!), 0))</f>
        <v/>
      </c>
      <c r="TMA224" s="19" t="str">
        <f>IF(TMA220 = "", "", IFERROR(TMA220 / SUMIFS(Aux_Totales!$N:$N, Aux_Totales!$F:$F, $F224, Aux_Totales!$A:$A,#REF!), 0))</f>
        <v/>
      </c>
      <c r="TMB224" s="19" t="str">
        <f>IF(TMB220 = "", "", IFERROR(TMB220 / SUMIFS(Aux_Totales!$N:$N, Aux_Totales!$F:$F, $F224, Aux_Totales!$A:$A,#REF!), 0))</f>
        <v/>
      </c>
      <c r="TMC224" s="19" t="str">
        <f>IF(TMC220 = "", "", IFERROR(TMC220 / SUMIFS(Aux_Totales!$N:$N, Aux_Totales!$F:$F, $F224, Aux_Totales!$A:$A,#REF!), 0))</f>
        <v/>
      </c>
      <c r="TMD224" s="19" t="str">
        <f>IF(TMD220 = "", "", IFERROR(TMD220 / SUMIFS(Aux_Totales!$N:$N, Aux_Totales!$F:$F, $F224, Aux_Totales!$A:$A,#REF!), 0))</f>
        <v/>
      </c>
      <c r="TME224" s="19" t="str">
        <f>IF(TME220 = "", "", IFERROR(TME220 / SUMIFS(Aux_Totales!$N:$N, Aux_Totales!$F:$F, $F224, Aux_Totales!$A:$A,#REF!), 0))</f>
        <v/>
      </c>
      <c r="TMF224" s="19" t="str">
        <f>IF(TMF220 = "", "", IFERROR(TMF220 / SUMIFS(Aux_Totales!$N:$N, Aux_Totales!$F:$F, $F224, Aux_Totales!$A:$A,#REF!), 0))</f>
        <v/>
      </c>
      <c r="TMG224" s="19" t="str">
        <f>IF(TMG220 = "", "", IFERROR(TMG220 / SUMIFS(Aux_Totales!$N:$N, Aux_Totales!$F:$F, $F224, Aux_Totales!$A:$A,#REF!), 0))</f>
        <v/>
      </c>
      <c r="TMH224" s="19" t="str">
        <f>IF(TMH220 = "", "", IFERROR(TMH220 / SUMIFS(Aux_Totales!$N:$N, Aux_Totales!$F:$F, $F224, Aux_Totales!$A:$A,#REF!), 0))</f>
        <v/>
      </c>
      <c r="TMI224" s="19" t="str">
        <f>IF(TMI220 = "", "", IFERROR(TMI220 / SUMIFS(Aux_Totales!$N:$N, Aux_Totales!$F:$F, $F224, Aux_Totales!$A:$A,#REF!), 0))</f>
        <v/>
      </c>
      <c r="TMJ224" s="19" t="str">
        <f>IF(TMJ220 = "", "", IFERROR(TMJ220 / SUMIFS(Aux_Totales!$N:$N, Aux_Totales!$F:$F, $F224, Aux_Totales!$A:$A,#REF!), 0))</f>
        <v/>
      </c>
      <c r="TMK224" s="19" t="str">
        <f>IF(TMK220 = "", "", IFERROR(TMK220 / SUMIFS(Aux_Totales!$N:$N, Aux_Totales!$F:$F, $F224, Aux_Totales!$A:$A,#REF!), 0))</f>
        <v/>
      </c>
      <c r="TML224" s="19" t="str">
        <f>IF(TML220 = "", "", IFERROR(TML220 / SUMIFS(Aux_Totales!$N:$N, Aux_Totales!$F:$F, $F224, Aux_Totales!$A:$A,#REF!), 0))</f>
        <v/>
      </c>
      <c r="TMM224" s="19" t="str">
        <f>IF(TMM220 = "", "", IFERROR(TMM220 / SUMIFS(Aux_Totales!$N:$N, Aux_Totales!$F:$F, $F224, Aux_Totales!$A:$A,#REF!), 0))</f>
        <v/>
      </c>
      <c r="TMN224" s="19" t="str">
        <f>IF(TMN220 = "", "", IFERROR(TMN220 / SUMIFS(Aux_Totales!$N:$N, Aux_Totales!$F:$F, $F224, Aux_Totales!$A:$A,#REF!), 0))</f>
        <v/>
      </c>
      <c r="TMO224" s="19" t="str">
        <f>IF(TMO220 = "", "", IFERROR(TMO220 / SUMIFS(Aux_Totales!$N:$N, Aux_Totales!$F:$F, $F224, Aux_Totales!$A:$A,#REF!), 0))</f>
        <v/>
      </c>
      <c r="TMP224" s="19" t="str">
        <f>IF(TMP220 = "", "", IFERROR(TMP220 / SUMIFS(Aux_Totales!$N:$N, Aux_Totales!$F:$F, $F224, Aux_Totales!$A:$A,#REF!), 0))</f>
        <v/>
      </c>
      <c r="TMQ224" s="19" t="str">
        <f>IF(TMQ220 = "", "", IFERROR(TMQ220 / SUMIFS(Aux_Totales!$N:$N, Aux_Totales!$F:$F, $F224, Aux_Totales!$A:$A,#REF!), 0))</f>
        <v/>
      </c>
      <c r="TMR224" s="19" t="str">
        <f>IF(TMR220 = "", "", IFERROR(TMR220 / SUMIFS(Aux_Totales!$N:$N, Aux_Totales!$F:$F, $F224, Aux_Totales!$A:$A,#REF!), 0))</f>
        <v/>
      </c>
      <c r="TMS224" s="19" t="str">
        <f>IF(TMS220 = "", "", IFERROR(TMS220 / SUMIFS(Aux_Totales!$N:$N, Aux_Totales!$F:$F, $F224, Aux_Totales!$A:$A,#REF!), 0))</f>
        <v/>
      </c>
      <c r="TMT224" s="19" t="str">
        <f>IF(TMT220 = "", "", IFERROR(TMT220 / SUMIFS(Aux_Totales!$N:$N, Aux_Totales!$F:$F, $F224, Aux_Totales!$A:$A,#REF!), 0))</f>
        <v/>
      </c>
      <c r="TMU224" s="19" t="str">
        <f>IF(TMU220 = "", "", IFERROR(TMU220 / SUMIFS(Aux_Totales!$N:$N, Aux_Totales!$F:$F, $F224, Aux_Totales!$A:$A,#REF!), 0))</f>
        <v/>
      </c>
      <c r="TMV224" s="19" t="str">
        <f>IF(TMV220 = "", "", IFERROR(TMV220 / SUMIFS(Aux_Totales!$N:$N, Aux_Totales!$F:$F, $F224, Aux_Totales!$A:$A,#REF!), 0))</f>
        <v/>
      </c>
      <c r="TMW224" s="19" t="str">
        <f>IF(TMW220 = "", "", IFERROR(TMW220 / SUMIFS(Aux_Totales!$N:$N, Aux_Totales!$F:$F, $F224, Aux_Totales!$A:$A,#REF!), 0))</f>
        <v/>
      </c>
      <c r="TMX224" s="19" t="str">
        <f>IF(TMX220 = "", "", IFERROR(TMX220 / SUMIFS(Aux_Totales!$N:$N, Aux_Totales!$F:$F, $F224, Aux_Totales!$A:$A,#REF!), 0))</f>
        <v/>
      </c>
      <c r="TMY224" s="19" t="str">
        <f>IF(TMY220 = "", "", IFERROR(TMY220 / SUMIFS(Aux_Totales!$N:$N, Aux_Totales!$F:$F, $F224, Aux_Totales!$A:$A,#REF!), 0))</f>
        <v/>
      </c>
      <c r="TMZ224" s="19" t="str">
        <f>IF(TMZ220 = "", "", IFERROR(TMZ220 / SUMIFS(Aux_Totales!$N:$N, Aux_Totales!$F:$F, $F224, Aux_Totales!$A:$A,#REF!), 0))</f>
        <v/>
      </c>
      <c r="TNA224" s="19" t="str">
        <f>IF(TNA220 = "", "", IFERROR(TNA220 / SUMIFS(Aux_Totales!$N:$N, Aux_Totales!$F:$F, $F224, Aux_Totales!$A:$A,#REF!), 0))</f>
        <v/>
      </c>
      <c r="TNB224" s="19" t="str">
        <f>IF(TNB220 = "", "", IFERROR(TNB220 / SUMIFS(Aux_Totales!$N:$N, Aux_Totales!$F:$F, $F224, Aux_Totales!$A:$A,#REF!), 0))</f>
        <v/>
      </c>
      <c r="TNC224" s="19" t="str">
        <f>IF(TNC220 = "", "", IFERROR(TNC220 / SUMIFS(Aux_Totales!$N:$N, Aux_Totales!$F:$F, $F224, Aux_Totales!$A:$A,#REF!), 0))</f>
        <v/>
      </c>
      <c r="TND224" s="19" t="str">
        <f>IF(TND220 = "", "", IFERROR(TND220 / SUMIFS(Aux_Totales!$N:$N, Aux_Totales!$F:$F, $F224, Aux_Totales!$A:$A,#REF!), 0))</f>
        <v/>
      </c>
      <c r="TNE224" s="19" t="str">
        <f>IF(TNE220 = "", "", IFERROR(TNE220 / SUMIFS(Aux_Totales!$N:$N, Aux_Totales!$F:$F, $F224, Aux_Totales!$A:$A,#REF!), 0))</f>
        <v/>
      </c>
      <c r="TNF224" s="19" t="str">
        <f>IF(TNF220 = "", "", IFERROR(TNF220 / SUMIFS(Aux_Totales!$N:$N, Aux_Totales!$F:$F, $F224, Aux_Totales!$A:$A,#REF!), 0))</f>
        <v/>
      </c>
      <c r="TNG224" s="19" t="str">
        <f>IF(TNG220 = "", "", IFERROR(TNG220 / SUMIFS(Aux_Totales!$N:$N, Aux_Totales!$F:$F, $F224, Aux_Totales!$A:$A,#REF!), 0))</f>
        <v/>
      </c>
      <c r="TNH224" s="19" t="str">
        <f>IF(TNH220 = "", "", IFERROR(TNH220 / SUMIFS(Aux_Totales!$N:$N, Aux_Totales!$F:$F, $F224, Aux_Totales!$A:$A,#REF!), 0))</f>
        <v/>
      </c>
      <c r="TNI224" s="19" t="str">
        <f>IF(TNI220 = "", "", IFERROR(TNI220 / SUMIFS(Aux_Totales!$N:$N, Aux_Totales!$F:$F, $F224, Aux_Totales!$A:$A,#REF!), 0))</f>
        <v/>
      </c>
      <c r="TNJ224" s="19" t="str">
        <f>IF(TNJ220 = "", "", IFERROR(TNJ220 / SUMIFS(Aux_Totales!$N:$N, Aux_Totales!$F:$F, $F224, Aux_Totales!$A:$A,#REF!), 0))</f>
        <v/>
      </c>
      <c r="TNK224" s="19" t="str">
        <f>IF(TNK220 = "", "", IFERROR(TNK220 / SUMIFS(Aux_Totales!$N:$N, Aux_Totales!$F:$F, $F224, Aux_Totales!$A:$A,#REF!), 0))</f>
        <v/>
      </c>
      <c r="TNL224" s="19" t="str">
        <f>IF(TNL220 = "", "", IFERROR(TNL220 / SUMIFS(Aux_Totales!$N:$N, Aux_Totales!$F:$F, $F224, Aux_Totales!$A:$A,#REF!), 0))</f>
        <v/>
      </c>
      <c r="TNM224" s="19" t="str">
        <f>IF(TNM220 = "", "", IFERROR(TNM220 / SUMIFS(Aux_Totales!$N:$N, Aux_Totales!$F:$F, $F224, Aux_Totales!$A:$A,#REF!), 0))</f>
        <v/>
      </c>
      <c r="TNN224" s="19" t="str">
        <f>IF(TNN220 = "", "", IFERROR(TNN220 / SUMIFS(Aux_Totales!$N:$N, Aux_Totales!$F:$F, $F224, Aux_Totales!$A:$A,#REF!), 0))</f>
        <v/>
      </c>
      <c r="TNO224" s="19" t="str">
        <f>IF(TNO220 = "", "", IFERROR(TNO220 / SUMIFS(Aux_Totales!$N:$N, Aux_Totales!$F:$F, $F224, Aux_Totales!$A:$A,#REF!), 0))</f>
        <v/>
      </c>
      <c r="TNP224" s="19" t="str">
        <f>IF(TNP220 = "", "", IFERROR(TNP220 / SUMIFS(Aux_Totales!$N:$N, Aux_Totales!$F:$F, $F224, Aux_Totales!$A:$A,#REF!), 0))</f>
        <v/>
      </c>
      <c r="TNQ224" s="19" t="str">
        <f>IF(TNQ220 = "", "", IFERROR(TNQ220 / SUMIFS(Aux_Totales!$N:$N, Aux_Totales!$F:$F, $F224, Aux_Totales!$A:$A,#REF!), 0))</f>
        <v/>
      </c>
      <c r="TNR224" s="19" t="str">
        <f>IF(TNR220 = "", "", IFERROR(TNR220 / SUMIFS(Aux_Totales!$N:$N, Aux_Totales!$F:$F, $F224, Aux_Totales!$A:$A,#REF!), 0))</f>
        <v/>
      </c>
      <c r="TNS224" s="19" t="str">
        <f>IF(TNS220 = "", "", IFERROR(TNS220 / SUMIFS(Aux_Totales!$N:$N, Aux_Totales!$F:$F, $F224, Aux_Totales!$A:$A,#REF!), 0))</f>
        <v/>
      </c>
      <c r="TNT224" s="19" t="str">
        <f>IF(TNT220 = "", "", IFERROR(TNT220 / SUMIFS(Aux_Totales!$N:$N, Aux_Totales!$F:$F, $F224, Aux_Totales!$A:$A,#REF!), 0))</f>
        <v/>
      </c>
      <c r="TNU224" s="19" t="str">
        <f>IF(TNU220 = "", "", IFERROR(TNU220 / SUMIFS(Aux_Totales!$N:$N, Aux_Totales!$F:$F, $F224, Aux_Totales!$A:$A,#REF!), 0))</f>
        <v/>
      </c>
      <c r="TNV224" s="19" t="str">
        <f>IF(TNV220 = "", "", IFERROR(TNV220 / SUMIFS(Aux_Totales!$N:$N, Aux_Totales!$F:$F, $F224, Aux_Totales!$A:$A,#REF!), 0))</f>
        <v/>
      </c>
      <c r="TNW224" s="19" t="str">
        <f>IF(TNW220 = "", "", IFERROR(TNW220 / SUMIFS(Aux_Totales!$N:$N, Aux_Totales!$F:$F, $F224, Aux_Totales!$A:$A,#REF!), 0))</f>
        <v/>
      </c>
      <c r="TNX224" s="19" t="str">
        <f>IF(TNX220 = "", "", IFERROR(TNX220 / SUMIFS(Aux_Totales!$N:$N, Aux_Totales!$F:$F, $F224, Aux_Totales!$A:$A,#REF!), 0))</f>
        <v/>
      </c>
      <c r="TNY224" s="19" t="str">
        <f>IF(TNY220 = "", "", IFERROR(TNY220 / SUMIFS(Aux_Totales!$N:$N, Aux_Totales!$F:$F, $F224, Aux_Totales!$A:$A,#REF!), 0))</f>
        <v/>
      </c>
      <c r="TNZ224" s="19" t="str">
        <f>IF(TNZ220 = "", "", IFERROR(TNZ220 / SUMIFS(Aux_Totales!$N:$N, Aux_Totales!$F:$F, $F224, Aux_Totales!$A:$A,#REF!), 0))</f>
        <v/>
      </c>
      <c r="TOA224" s="19" t="str">
        <f>IF(TOA220 = "", "", IFERROR(TOA220 / SUMIFS(Aux_Totales!$N:$N, Aux_Totales!$F:$F, $F224, Aux_Totales!$A:$A,#REF!), 0))</f>
        <v/>
      </c>
      <c r="TOB224" s="19" t="str">
        <f>IF(TOB220 = "", "", IFERROR(TOB220 / SUMIFS(Aux_Totales!$N:$N, Aux_Totales!$F:$F, $F224, Aux_Totales!$A:$A,#REF!), 0))</f>
        <v/>
      </c>
      <c r="TOC224" s="19" t="str">
        <f>IF(TOC220 = "", "", IFERROR(TOC220 / SUMIFS(Aux_Totales!$N:$N, Aux_Totales!$F:$F, $F224, Aux_Totales!$A:$A,#REF!), 0))</f>
        <v/>
      </c>
      <c r="TOD224" s="19" t="str">
        <f>IF(TOD220 = "", "", IFERROR(TOD220 / SUMIFS(Aux_Totales!$N:$N, Aux_Totales!$F:$F, $F224, Aux_Totales!$A:$A,#REF!), 0))</f>
        <v/>
      </c>
      <c r="TOE224" s="19" t="str">
        <f>IF(TOE220 = "", "", IFERROR(TOE220 / SUMIFS(Aux_Totales!$N:$N, Aux_Totales!$F:$F, $F224, Aux_Totales!$A:$A,#REF!), 0))</f>
        <v/>
      </c>
      <c r="TOF224" s="19" t="str">
        <f>IF(TOF220 = "", "", IFERROR(TOF220 / SUMIFS(Aux_Totales!$N:$N, Aux_Totales!$F:$F, $F224, Aux_Totales!$A:$A,#REF!), 0))</f>
        <v/>
      </c>
      <c r="TOG224" s="19" t="str">
        <f>IF(TOG220 = "", "", IFERROR(TOG220 / SUMIFS(Aux_Totales!$N:$N, Aux_Totales!$F:$F, $F224, Aux_Totales!$A:$A,#REF!), 0))</f>
        <v/>
      </c>
      <c r="TOH224" s="19" t="str">
        <f>IF(TOH220 = "", "", IFERROR(TOH220 / SUMIFS(Aux_Totales!$N:$N, Aux_Totales!$F:$F, $F224, Aux_Totales!$A:$A,#REF!), 0))</f>
        <v/>
      </c>
      <c r="TOI224" s="19" t="str">
        <f>IF(TOI220 = "", "", IFERROR(TOI220 / SUMIFS(Aux_Totales!$N:$N, Aux_Totales!$F:$F, $F224, Aux_Totales!$A:$A,#REF!), 0))</f>
        <v/>
      </c>
      <c r="TOJ224" s="19" t="str">
        <f>IF(TOJ220 = "", "", IFERROR(TOJ220 / SUMIFS(Aux_Totales!$N:$N, Aux_Totales!$F:$F, $F224, Aux_Totales!$A:$A,#REF!), 0))</f>
        <v/>
      </c>
      <c r="TOK224" s="19" t="str">
        <f>IF(TOK220 = "", "", IFERROR(TOK220 / SUMIFS(Aux_Totales!$N:$N, Aux_Totales!$F:$F, $F224, Aux_Totales!$A:$A,#REF!), 0))</f>
        <v/>
      </c>
      <c r="TOL224" s="19" t="str">
        <f>IF(TOL220 = "", "", IFERROR(TOL220 / SUMIFS(Aux_Totales!$N:$N, Aux_Totales!$F:$F, $F224, Aux_Totales!$A:$A,#REF!), 0))</f>
        <v/>
      </c>
      <c r="TOM224" s="19" t="str">
        <f>IF(TOM220 = "", "", IFERROR(TOM220 / SUMIFS(Aux_Totales!$N:$N, Aux_Totales!$F:$F, $F224, Aux_Totales!$A:$A,#REF!), 0))</f>
        <v/>
      </c>
      <c r="TON224" s="19" t="str">
        <f>IF(TON220 = "", "", IFERROR(TON220 / SUMIFS(Aux_Totales!$N:$N, Aux_Totales!$F:$F, $F224, Aux_Totales!$A:$A,#REF!), 0))</f>
        <v/>
      </c>
      <c r="TOO224" s="19" t="str">
        <f>IF(TOO220 = "", "", IFERROR(TOO220 / SUMIFS(Aux_Totales!$N:$N, Aux_Totales!$F:$F, $F224, Aux_Totales!$A:$A,#REF!), 0))</f>
        <v/>
      </c>
      <c r="TOP224" s="19" t="str">
        <f>IF(TOP220 = "", "", IFERROR(TOP220 / SUMIFS(Aux_Totales!$N:$N, Aux_Totales!$F:$F, $F224, Aux_Totales!$A:$A,#REF!), 0))</f>
        <v/>
      </c>
      <c r="TOQ224" s="19" t="str">
        <f>IF(TOQ220 = "", "", IFERROR(TOQ220 / SUMIFS(Aux_Totales!$N:$N, Aux_Totales!$F:$F, $F224, Aux_Totales!$A:$A,#REF!), 0))</f>
        <v/>
      </c>
      <c r="TOR224" s="19" t="str">
        <f>IF(TOR220 = "", "", IFERROR(TOR220 / SUMIFS(Aux_Totales!$N:$N, Aux_Totales!$F:$F, $F224, Aux_Totales!$A:$A,#REF!), 0))</f>
        <v/>
      </c>
      <c r="TOS224" s="19" t="str">
        <f>IF(TOS220 = "", "", IFERROR(TOS220 / SUMIFS(Aux_Totales!$N:$N, Aux_Totales!$F:$F, $F224, Aux_Totales!$A:$A,#REF!), 0))</f>
        <v/>
      </c>
      <c r="TOT224" s="19" t="str">
        <f>IF(TOT220 = "", "", IFERROR(TOT220 / SUMIFS(Aux_Totales!$N:$N, Aux_Totales!$F:$F, $F224, Aux_Totales!$A:$A,#REF!), 0))</f>
        <v/>
      </c>
      <c r="TOU224" s="19" t="str">
        <f>IF(TOU220 = "", "", IFERROR(TOU220 / SUMIFS(Aux_Totales!$N:$N, Aux_Totales!$F:$F, $F224, Aux_Totales!$A:$A,#REF!), 0))</f>
        <v/>
      </c>
      <c r="TOV224" s="19" t="str">
        <f>IF(TOV220 = "", "", IFERROR(TOV220 / SUMIFS(Aux_Totales!$N:$N, Aux_Totales!$F:$F, $F224, Aux_Totales!$A:$A,#REF!), 0))</f>
        <v/>
      </c>
      <c r="TOW224" s="19" t="str">
        <f>IF(TOW220 = "", "", IFERROR(TOW220 / SUMIFS(Aux_Totales!$N:$N, Aux_Totales!$F:$F, $F224, Aux_Totales!$A:$A,#REF!), 0))</f>
        <v/>
      </c>
      <c r="TOX224" s="19" t="str">
        <f>IF(TOX220 = "", "", IFERROR(TOX220 / SUMIFS(Aux_Totales!$N:$N, Aux_Totales!$F:$F, $F224, Aux_Totales!$A:$A,#REF!), 0))</f>
        <v/>
      </c>
      <c r="TOY224" s="19" t="str">
        <f>IF(TOY220 = "", "", IFERROR(TOY220 / SUMIFS(Aux_Totales!$N:$N, Aux_Totales!$F:$F, $F224, Aux_Totales!$A:$A,#REF!), 0))</f>
        <v/>
      </c>
      <c r="TOZ224" s="19" t="str">
        <f>IF(TOZ220 = "", "", IFERROR(TOZ220 / SUMIFS(Aux_Totales!$N:$N, Aux_Totales!$F:$F, $F224, Aux_Totales!$A:$A,#REF!), 0))</f>
        <v/>
      </c>
      <c r="TPA224" s="19" t="str">
        <f>IF(TPA220 = "", "", IFERROR(TPA220 / SUMIFS(Aux_Totales!$N:$N, Aux_Totales!$F:$F, $F224, Aux_Totales!$A:$A,#REF!), 0))</f>
        <v/>
      </c>
      <c r="TPB224" s="19" t="str">
        <f>IF(TPB220 = "", "", IFERROR(TPB220 / SUMIFS(Aux_Totales!$N:$N, Aux_Totales!$F:$F, $F224, Aux_Totales!$A:$A,#REF!), 0))</f>
        <v/>
      </c>
      <c r="TPC224" s="19" t="str">
        <f>IF(TPC220 = "", "", IFERROR(TPC220 / SUMIFS(Aux_Totales!$N:$N, Aux_Totales!$F:$F, $F224, Aux_Totales!$A:$A,#REF!), 0))</f>
        <v/>
      </c>
      <c r="TPD224" s="19" t="str">
        <f>IF(TPD220 = "", "", IFERROR(TPD220 / SUMIFS(Aux_Totales!$N:$N, Aux_Totales!$F:$F, $F224, Aux_Totales!$A:$A,#REF!), 0))</f>
        <v/>
      </c>
      <c r="TPE224" s="19" t="str">
        <f>IF(TPE220 = "", "", IFERROR(TPE220 / SUMIFS(Aux_Totales!$N:$N, Aux_Totales!$F:$F, $F224, Aux_Totales!$A:$A,#REF!), 0))</f>
        <v/>
      </c>
      <c r="TPF224" s="19" t="str">
        <f>IF(TPF220 = "", "", IFERROR(TPF220 / SUMIFS(Aux_Totales!$N:$N, Aux_Totales!$F:$F, $F224, Aux_Totales!$A:$A,#REF!), 0))</f>
        <v/>
      </c>
      <c r="TPG224" s="19" t="str">
        <f>IF(TPG220 = "", "", IFERROR(TPG220 / SUMIFS(Aux_Totales!$N:$N, Aux_Totales!$F:$F, $F224, Aux_Totales!$A:$A,#REF!), 0))</f>
        <v/>
      </c>
      <c r="TPH224" s="19" t="str">
        <f>IF(TPH220 = "", "", IFERROR(TPH220 / SUMIFS(Aux_Totales!$N:$N, Aux_Totales!$F:$F, $F224, Aux_Totales!$A:$A,#REF!), 0))</f>
        <v/>
      </c>
      <c r="TPI224" s="19" t="str">
        <f>IF(TPI220 = "", "", IFERROR(TPI220 / SUMIFS(Aux_Totales!$N:$N, Aux_Totales!$F:$F, $F224, Aux_Totales!$A:$A,#REF!), 0))</f>
        <v/>
      </c>
      <c r="TPJ224" s="19" t="str">
        <f>IF(TPJ220 = "", "", IFERROR(TPJ220 / SUMIFS(Aux_Totales!$N:$N, Aux_Totales!$F:$F, $F224, Aux_Totales!$A:$A,#REF!), 0))</f>
        <v/>
      </c>
      <c r="TPK224" s="19" t="str">
        <f>IF(TPK220 = "", "", IFERROR(TPK220 / SUMIFS(Aux_Totales!$N:$N, Aux_Totales!$F:$F, $F224, Aux_Totales!$A:$A,#REF!), 0))</f>
        <v/>
      </c>
      <c r="TPL224" s="19" t="str">
        <f>IF(TPL220 = "", "", IFERROR(TPL220 / SUMIFS(Aux_Totales!$N:$N, Aux_Totales!$F:$F, $F224, Aux_Totales!$A:$A,#REF!), 0))</f>
        <v/>
      </c>
      <c r="TPM224" s="19" t="str">
        <f>IF(TPM220 = "", "", IFERROR(TPM220 / SUMIFS(Aux_Totales!$N:$N, Aux_Totales!$F:$F, $F224, Aux_Totales!$A:$A,#REF!), 0))</f>
        <v/>
      </c>
      <c r="TPN224" s="19" t="str">
        <f>IF(TPN220 = "", "", IFERROR(TPN220 / SUMIFS(Aux_Totales!$N:$N, Aux_Totales!$F:$F, $F224, Aux_Totales!$A:$A,#REF!), 0))</f>
        <v/>
      </c>
      <c r="TPO224" s="19" t="str">
        <f>IF(TPO220 = "", "", IFERROR(TPO220 / SUMIFS(Aux_Totales!$N:$N, Aux_Totales!$F:$F, $F224, Aux_Totales!$A:$A,#REF!), 0))</f>
        <v/>
      </c>
      <c r="TPP224" s="19" t="str">
        <f>IF(TPP220 = "", "", IFERROR(TPP220 / SUMIFS(Aux_Totales!$N:$N, Aux_Totales!$F:$F, $F224, Aux_Totales!$A:$A,#REF!), 0))</f>
        <v/>
      </c>
      <c r="TPQ224" s="19" t="str">
        <f>IF(TPQ220 = "", "", IFERROR(TPQ220 / SUMIFS(Aux_Totales!$N:$N, Aux_Totales!$F:$F, $F224, Aux_Totales!$A:$A,#REF!), 0))</f>
        <v/>
      </c>
      <c r="TPR224" s="19" t="str">
        <f>IF(TPR220 = "", "", IFERROR(TPR220 / SUMIFS(Aux_Totales!$N:$N, Aux_Totales!$F:$F, $F224, Aux_Totales!$A:$A,#REF!), 0))</f>
        <v/>
      </c>
      <c r="TPS224" s="19" t="str">
        <f>IF(TPS220 = "", "", IFERROR(TPS220 / SUMIFS(Aux_Totales!$N:$N, Aux_Totales!$F:$F, $F224, Aux_Totales!$A:$A,#REF!), 0))</f>
        <v/>
      </c>
      <c r="TPT224" s="19" t="str">
        <f>IF(TPT220 = "", "", IFERROR(TPT220 / SUMIFS(Aux_Totales!$N:$N, Aux_Totales!$F:$F, $F224, Aux_Totales!$A:$A,#REF!), 0))</f>
        <v/>
      </c>
      <c r="TPU224" s="19" t="str">
        <f>IF(TPU220 = "", "", IFERROR(TPU220 / SUMIFS(Aux_Totales!$N:$N, Aux_Totales!$F:$F, $F224, Aux_Totales!$A:$A,#REF!), 0))</f>
        <v/>
      </c>
      <c r="TPV224" s="19" t="str">
        <f>IF(TPV220 = "", "", IFERROR(TPV220 / SUMIFS(Aux_Totales!$N:$N, Aux_Totales!$F:$F, $F224, Aux_Totales!$A:$A,#REF!), 0))</f>
        <v/>
      </c>
      <c r="TPW224" s="19" t="str">
        <f>IF(TPW220 = "", "", IFERROR(TPW220 / SUMIFS(Aux_Totales!$N:$N, Aux_Totales!$F:$F, $F224, Aux_Totales!$A:$A,#REF!), 0))</f>
        <v/>
      </c>
      <c r="TPX224" s="19" t="str">
        <f>IF(TPX220 = "", "", IFERROR(TPX220 / SUMIFS(Aux_Totales!$N:$N, Aux_Totales!$F:$F, $F224, Aux_Totales!$A:$A,#REF!), 0))</f>
        <v/>
      </c>
      <c r="TPY224" s="19" t="str">
        <f>IF(TPY220 = "", "", IFERROR(TPY220 / SUMIFS(Aux_Totales!$N:$N, Aux_Totales!$F:$F, $F224, Aux_Totales!$A:$A,#REF!), 0))</f>
        <v/>
      </c>
      <c r="TPZ224" s="19" t="str">
        <f>IF(TPZ220 = "", "", IFERROR(TPZ220 / SUMIFS(Aux_Totales!$N:$N, Aux_Totales!$F:$F, $F224, Aux_Totales!$A:$A,#REF!), 0))</f>
        <v/>
      </c>
      <c r="TQA224" s="19" t="str">
        <f>IF(TQA220 = "", "", IFERROR(TQA220 / SUMIFS(Aux_Totales!$N:$N, Aux_Totales!$F:$F, $F224, Aux_Totales!$A:$A,#REF!), 0))</f>
        <v/>
      </c>
      <c r="TQB224" s="19" t="str">
        <f>IF(TQB220 = "", "", IFERROR(TQB220 / SUMIFS(Aux_Totales!$N:$N, Aux_Totales!$F:$F, $F224, Aux_Totales!$A:$A,#REF!), 0))</f>
        <v/>
      </c>
      <c r="TQC224" s="19" t="str">
        <f>IF(TQC220 = "", "", IFERROR(TQC220 / SUMIFS(Aux_Totales!$N:$N, Aux_Totales!$F:$F, $F224, Aux_Totales!$A:$A,#REF!), 0))</f>
        <v/>
      </c>
      <c r="TQD224" s="19" t="str">
        <f>IF(TQD220 = "", "", IFERROR(TQD220 / SUMIFS(Aux_Totales!$N:$N, Aux_Totales!$F:$F, $F224, Aux_Totales!$A:$A,#REF!), 0))</f>
        <v/>
      </c>
      <c r="TQE224" s="19" t="str">
        <f>IF(TQE220 = "", "", IFERROR(TQE220 / SUMIFS(Aux_Totales!$N:$N, Aux_Totales!$F:$F, $F224, Aux_Totales!$A:$A,#REF!), 0))</f>
        <v/>
      </c>
      <c r="TQF224" s="19" t="str">
        <f>IF(TQF220 = "", "", IFERROR(TQF220 / SUMIFS(Aux_Totales!$N:$N, Aux_Totales!$F:$F, $F224, Aux_Totales!$A:$A,#REF!), 0))</f>
        <v/>
      </c>
      <c r="TQG224" s="19" t="str">
        <f>IF(TQG220 = "", "", IFERROR(TQG220 / SUMIFS(Aux_Totales!$N:$N, Aux_Totales!$F:$F, $F224, Aux_Totales!$A:$A,#REF!), 0))</f>
        <v/>
      </c>
      <c r="TQH224" s="19" t="str">
        <f>IF(TQH220 = "", "", IFERROR(TQH220 / SUMIFS(Aux_Totales!$N:$N, Aux_Totales!$F:$F, $F224, Aux_Totales!$A:$A,#REF!), 0))</f>
        <v/>
      </c>
      <c r="TQI224" s="19" t="str">
        <f>IF(TQI220 = "", "", IFERROR(TQI220 / SUMIFS(Aux_Totales!$N:$N, Aux_Totales!$F:$F, $F224, Aux_Totales!$A:$A,#REF!), 0))</f>
        <v/>
      </c>
      <c r="TQJ224" s="19" t="str">
        <f>IF(TQJ220 = "", "", IFERROR(TQJ220 / SUMIFS(Aux_Totales!$N:$N, Aux_Totales!$F:$F, $F224, Aux_Totales!$A:$A,#REF!), 0))</f>
        <v/>
      </c>
      <c r="TQK224" s="19" t="str">
        <f>IF(TQK220 = "", "", IFERROR(TQK220 / SUMIFS(Aux_Totales!$N:$N, Aux_Totales!$F:$F, $F224, Aux_Totales!$A:$A,#REF!), 0))</f>
        <v/>
      </c>
      <c r="TQL224" s="19" t="str">
        <f>IF(TQL220 = "", "", IFERROR(TQL220 / SUMIFS(Aux_Totales!$N:$N, Aux_Totales!$F:$F, $F224, Aux_Totales!$A:$A,#REF!), 0))</f>
        <v/>
      </c>
      <c r="TQM224" s="19" t="str">
        <f>IF(TQM220 = "", "", IFERROR(TQM220 / SUMIFS(Aux_Totales!$N:$N, Aux_Totales!$F:$F, $F224, Aux_Totales!$A:$A,#REF!), 0))</f>
        <v/>
      </c>
      <c r="TQN224" s="19" t="str">
        <f>IF(TQN220 = "", "", IFERROR(TQN220 / SUMIFS(Aux_Totales!$N:$N, Aux_Totales!$F:$F, $F224, Aux_Totales!$A:$A,#REF!), 0))</f>
        <v/>
      </c>
      <c r="TQO224" s="19" t="str">
        <f>IF(TQO220 = "", "", IFERROR(TQO220 / SUMIFS(Aux_Totales!$N:$N, Aux_Totales!$F:$F, $F224, Aux_Totales!$A:$A,#REF!), 0))</f>
        <v/>
      </c>
      <c r="TQP224" s="19" t="str">
        <f>IF(TQP220 = "", "", IFERROR(TQP220 / SUMIFS(Aux_Totales!$N:$N, Aux_Totales!$F:$F, $F224, Aux_Totales!$A:$A,#REF!), 0))</f>
        <v/>
      </c>
      <c r="TQQ224" s="19" t="str">
        <f>IF(TQQ220 = "", "", IFERROR(TQQ220 / SUMIFS(Aux_Totales!$N:$N, Aux_Totales!$F:$F, $F224, Aux_Totales!$A:$A,#REF!), 0))</f>
        <v/>
      </c>
      <c r="TQR224" s="19" t="str">
        <f>IF(TQR220 = "", "", IFERROR(TQR220 / SUMIFS(Aux_Totales!$N:$N, Aux_Totales!$F:$F, $F224, Aux_Totales!$A:$A,#REF!), 0))</f>
        <v/>
      </c>
      <c r="TQS224" s="19" t="str">
        <f>IF(TQS220 = "", "", IFERROR(TQS220 / SUMIFS(Aux_Totales!$N:$N, Aux_Totales!$F:$F, $F224, Aux_Totales!$A:$A,#REF!), 0))</f>
        <v/>
      </c>
      <c r="TQT224" s="19" t="str">
        <f>IF(TQT220 = "", "", IFERROR(TQT220 / SUMIFS(Aux_Totales!$N:$N, Aux_Totales!$F:$F, $F224, Aux_Totales!$A:$A,#REF!), 0))</f>
        <v/>
      </c>
      <c r="TQU224" s="19" t="str">
        <f>IF(TQU220 = "", "", IFERROR(TQU220 / SUMIFS(Aux_Totales!$N:$N, Aux_Totales!$F:$F, $F224, Aux_Totales!$A:$A,#REF!), 0))</f>
        <v/>
      </c>
      <c r="TQV224" s="19" t="str">
        <f>IF(TQV220 = "", "", IFERROR(TQV220 / SUMIFS(Aux_Totales!$N:$N, Aux_Totales!$F:$F, $F224, Aux_Totales!$A:$A,#REF!), 0))</f>
        <v/>
      </c>
      <c r="TQW224" s="19" t="str">
        <f>IF(TQW220 = "", "", IFERROR(TQW220 / SUMIFS(Aux_Totales!$N:$N, Aux_Totales!$F:$F, $F224, Aux_Totales!$A:$A,#REF!), 0))</f>
        <v/>
      </c>
      <c r="TQX224" s="19" t="str">
        <f>IF(TQX220 = "", "", IFERROR(TQX220 / SUMIFS(Aux_Totales!$N:$N, Aux_Totales!$F:$F, $F224, Aux_Totales!$A:$A,#REF!), 0))</f>
        <v/>
      </c>
      <c r="TQY224" s="19" t="str">
        <f>IF(TQY220 = "", "", IFERROR(TQY220 / SUMIFS(Aux_Totales!$N:$N, Aux_Totales!$F:$F, $F224, Aux_Totales!$A:$A,#REF!), 0))</f>
        <v/>
      </c>
      <c r="TQZ224" s="19" t="str">
        <f>IF(TQZ220 = "", "", IFERROR(TQZ220 / SUMIFS(Aux_Totales!$N:$N, Aux_Totales!$F:$F, $F224, Aux_Totales!$A:$A,#REF!), 0))</f>
        <v/>
      </c>
      <c r="TRA224" s="19" t="str">
        <f>IF(TRA220 = "", "", IFERROR(TRA220 / SUMIFS(Aux_Totales!$N:$N, Aux_Totales!$F:$F, $F224, Aux_Totales!$A:$A,#REF!), 0))</f>
        <v/>
      </c>
      <c r="TRB224" s="19" t="str">
        <f>IF(TRB220 = "", "", IFERROR(TRB220 / SUMIFS(Aux_Totales!$N:$N, Aux_Totales!$F:$F, $F224, Aux_Totales!$A:$A,#REF!), 0))</f>
        <v/>
      </c>
      <c r="TRC224" s="19" t="str">
        <f>IF(TRC220 = "", "", IFERROR(TRC220 / SUMIFS(Aux_Totales!$N:$N, Aux_Totales!$F:$F, $F224, Aux_Totales!$A:$A,#REF!), 0))</f>
        <v/>
      </c>
      <c r="TRD224" s="19" t="str">
        <f>IF(TRD220 = "", "", IFERROR(TRD220 / SUMIFS(Aux_Totales!$N:$N, Aux_Totales!$F:$F, $F224, Aux_Totales!$A:$A,#REF!), 0))</f>
        <v/>
      </c>
      <c r="TRE224" s="19" t="str">
        <f>IF(TRE220 = "", "", IFERROR(TRE220 / SUMIFS(Aux_Totales!$N:$N, Aux_Totales!$F:$F, $F224, Aux_Totales!$A:$A,#REF!), 0))</f>
        <v/>
      </c>
      <c r="TRF224" s="19" t="str">
        <f>IF(TRF220 = "", "", IFERROR(TRF220 / SUMIFS(Aux_Totales!$N:$N, Aux_Totales!$F:$F, $F224, Aux_Totales!$A:$A,#REF!), 0))</f>
        <v/>
      </c>
      <c r="TRG224" s="19" t="str">
        <f>IF(TRG220 = "", "", IFERROR(TRG220 / SUMIFS(Aux_Totales!$N:$N, Aux_Totales!$F:$F, $F224, Aux_Totales!$A:$A,#REF!), 0))</f>
        <v/>
      </c>
      <c r="TRH224" s="19" t="str">
        <f>IF(TRH220 = "", "", IFERROR(TRH220 / SUMIFS(Aux_Totales!$N:$N, Aux_Totales!$F:$F, $F224, Aux_Totales!$A:$A,#REF!), 0))</f>
        <v/>
      </c>
      <c r="TRI224" s="19" t="str">
        <f>IF(TRI220 = "", "", IFERROR(TRI220 / SUMIFS(Aux_Totales!$N:$N, Aux_Totales!$F:$F, $F224, Aux_Totales!$A:$A,#REF!), 0))</f>
        <v/>
      </c>
      <c r="TRJ224" s="19" t="str">
        <f>IF(TRJ220 = "", "", IFERROR(TRJ220 / SUMIFS(Aux_Totales!$N:$N, Aux_Totales!$F:$F, $F224, Aux_Totales!$A:$A,#REF!), 0))</f>
        <v/>
      </c>
      <c r="TRK224" s="19" t="str">
        <f>IF(TRK220 = "", "", IFERROR(TRK220 / SUMIFS(Aux_Totales!$N:$N, Aux_Totales!$F:$F, $F224, Aux_Totales!$A:$A,#REF!), 0))</f>
        <v/>
      </c>
      <c r="TRL224" s="19" t="str">
        <f>IF(TRL220 = "", "", IFERROR(TRL220 / SUMIFS(Aux_Totales!$N:$N, Aux_Totales!$F:$F, $F224, Aux_Totales!$A:$A,#REF!), 0))</f>
        <v/>
      </c>
      <c r="TRM224" s="19" t="str">
        <f>IF(TRM220 = "", "", IFERROR(TRM220 / SUMIFS(Aux_Totales!$N:$N, Aux_Totales!$F:$F, $F224, Aux_Totales!$A:$A,#REF!), 0))</f>
        <v/>
      </c>
      <c r="TRN224" s="19" t="str">
        <f>IF(TRN220 = "", "", IFERROR(TRN220 / SUMIFS(Aux_Totales!$N:$N, Aux_Totales!$F:$F, $F224, Aux_Totales!$A:$A,#REF!), 0))</f>
        <v/>
      </c>
      <c r="TRO224" s="19" t="str">
        <f>IF(TRO220 = "", "", IFERROR(TRO220 / SUMIFS(Aux_Totales!$N:$N, Aux_Totales!$F:$F, $F224, Aux_Totales!$A:$A,#REF!), 0))</f>
        <v/>
      </c>
      <c r="TRP224" s="19" t="str">
        <f>IF(TRP220 = "", "", IFERROR(TRP220 / SUMIFS(Aux_Totales!$N:$N, Aux_Totales!$F:$F, $F224, Aux_Totales!$A:$A,#REF!), 0))</f>
        <v/>
      </c>
      <c r="TRQ224" s="19" t="str">
        <f>IF(TRQ220 = "", "", IFERROR(TRQ220 / SUMIFS(Aux_Totales!$N:$N, Aux_Totales!$F:$F, $F224, Aux_Totales!$A:$A,#REF!), 0))</f>
        <v/>
      </c>
      <c r="TRR224" s="19" t="str">
        <f>IF(TRR220 = "", "", IFERROR(TRR220 / SUMIFS(Aux_Totales!$N:$N, Aux_Totales!$F:$F, $F224, Aux_Totales!$A:$A,#REF!), 0))</f>
        <v/>
      </c>
      <c r="TRS224" s="19" t="str">
        <f>IF(TRS220 = "", "", IFERROR(TRS220 / SUMIFS(Aux_Totales!$N:$N, Aux_Totales!$F:$F, $F224, Aux_Totales!$A:$A,#REF!), 0))</f>
        <v/>
      </c>
      <c r="TRT224" s="19" t="str">
        <f>IF(TRT220 = "", "", IFERROR(TRT220 / SUMIFS(Aux_Totales!$N:$N, Aux_Totales!$F:$F, $F224, Aux_Totales!$A:$A,#REF!), 0))</f>
        <v/>
      </c>
      <c r="TRU224" s="19" t="str">
        <f>IF(TRU220 = "", "", IFERROR(TRU220 / SUMIFS(Aux_Totales!$N:$N, Aux_Totales!$F:$F, $F224, Aux_Totales!$A:$A,#REF!), 0))</f>
        <v/>
      </c>
      <c r="TRV224" s="19" t="str">
        <f>IF(TRV220 = "", "", IFERROR(TRV220 / SUMIFS(Aux_Totales!$N:$N, Aux_Totales!$F:$F, $F224, Aux_Totales!$A:$A,#REF!), 0))</f>
        <v/>
      </c>
      <c r="TRW224" s="19" t="str">
        <f>IF(TRW220 = "", "", IFERROR(TRW220 / SUMIFS(Aux_Totales!$N:$N, Aux_Totales!$F:$F, $F224, Aux_Totales!$A:$A,#REF!), 0))</f>
        <v/>
      </c>
      <c r="TRX224" s="19" t="str">
        <f>IF(TRX220 = "", "", IFERROR(TRX220 / SUMIFS(Aux_Totales!$N:$N, Aux_Totales!$F:$F, $F224, Aux_Totales!$A:$A,#REF!), 0))</f>
        <v/>
      </c>
      <c r="TRY224" s="19" t="str">
        <f>IF(TRY220 = "", "", IFERROR(TRY220 / SUMIFS(Aux_Totales!$N:$N, Aux_Totales!$F:$F, $F224, Aux_Totales!$A:$A,#REF!), 0))</f>
        <v/>
      </c>
      <c r="TRZ224" s="19" t="str">
        <f>IF(TRZ220 = "", "", IFERROR(TRZ220 / SUMIFS(Aux_Totales!$N:$N, Aux_Totales!$F:$F, $F224, Aux_Totales!$A:$A,#REF!), 0))</f>
        <v/>
      </c>
      <c r="TSA224" s="19" t="str">
        <f>IF(TSA220 = "", "", IFERROR(TSA220 / SUMIFS(Aux_Totales!$N:$N, Aux_Totales!$F:$F, $F224, Aux_Totales!$A:$A,#REF!), 0))</f>
        <v/>
      </c>
      <c r="TSB224" s="19" t="str">
        <f>IF(TSB220 = "", "", IFERROR(TSB220 / SUMIFS(Aux_Totales!$N:$N, Aux_Totales!$F:$F, $F224, Aux_Totales!$A:$A,#REF!), 0))</f>
        <v/>
      </c>
      <c r="TSC224" s="19" t="str">
        <f>IF(TSC220 = "", "", IFERROR(TSC220 / SUMIFS(Aux_Totales!$N:$N, Aux_Totales!$F:$F, $F224, Aux_Totales!$A:$A,#REF!), 0))</f>
        <v/>
      </c>
      <c r="TSD224" s="19" t="str">
        <f>IF(TSD220 = "", "", IFERROR(TSD220 / SUMIFS(Aux_Totales!$N:$N, Aux_Totales!$F:$F, $F224, Aux_Totales!$A:$A,#REF!), 0))</f>
        <v/>
      </c>
      <c r="TSE224" s="19" t="str">
        <f>IF(TSE220 = "", "", IFERROR(TSE220 / SUMIFS(Aux_Totales!$N:$N, Aux_Totales!$F:$F, $F224, Aux_Totales!$A:$A,#REF!), 0))</f>
        <v/>
      </c>
      <c r="TSF224" s="19" t="str">
        <f>IF(TSF220 = "", "", IFERROR(TSF220 / SUMIFS(Aux_Totales!$N:$N, Aux_Totales!$F:$F, $F224, Aux_Totales!$A:$A,#REF!), 0))</f>
        <v/>
      </c>
      <c r="TSG224" s="19" t="str">
        <f>IF(TSG220 = "", "", IFERROR(TSG220 / SUMIFS(Aux_Totales!$N:$N, Aux_Totales!$F:$F, $F224, Aux_Totales!$A:$A,#REF!), 0))</f>
        <v/>
      </c>
      <c r="TSH224" s="19" t="str">
        <f>IF(TSH220 = "", "", IFERROR(TSH220 / SUMIFS(Aux_Totales!$N:$N, Aux_Totales!$F:$F, $F224, Aux_Totales!$A:$A,#REF!), 0))</f>
        <v/>
      </c>
      <c r="TSI224" s="19" t="str">
        <f>IF(TSI220 = "", "", IFERROR(TSI220 / SUMIFS(Aux_Totales!$N:$N, Aux_Totales!$F:$F, $F224, Aux_Totales!$A:$A,#REF!), 0))</f>
        <v/>
      </c>
      <c r="TSJ224" s="19" t="str">
        <f>IF(TSJ220 = "", "", IFERROR(TSJ220 / SUMIFS(Aux_Totales!$N:$N, Aux_Totales!$F:$F, $F224, Aux_Totales!$A:$A,#REF!), 0))</f>
        <v/>
      </c>
      <c r="TSK224" s="19" t="str">
        <f>IF(TSK220 = "", "", IFERROR(TSK220 / SUMIFS(Aux_Totales!$N:$N, Aux_Totales!$F:$F, $F224, Aux_Totales!$A:$A,#REF!), 0))</f>
        <v/>
      </c>
      <c r="TSL224" s="19" t="str">
        <f>IF(TSL220 = "", "", IFERROR(TSL220 / SUMIFS(Aux_Totales!$N:$N, Aux_Totales!$F:$F, $F224, Aux_Totales!$A:$A,#REF!), 0))</f>
        <v/>
      </c>
      <c r="TSM224" s="19" t="str">
        <f>IF(TSM220 = "", "", IFERROR(TSM220 / SUMIFS(Aux_Totales!$N:$N, Aux_Totales!$F:$F, $F224, Aux_Totales!$A:$A,#REF!), 0))</f>
        <v/>
      </c>
      <c r="TSN224" s="19" t="str">
        <f>IF(TSN220 = "", "", IFERROR(TSN220 / SUMIFS(Aux_Totales!$N:$N, Aux_Totales!$F:$F, $F224, Aux_Totales!$A:$A,#REF!), 0))</f>
        <v/>
      </c>
      <c r="TSO224" s="19" t="str">
        <f>IF(TSO220 = "", "", IFERROR(TSO220 / SUMIFS(Aux_Totales!$N:$N, Aux_Totales!$F:$F, $F224, Aux_Totales!$A:$A,#REF!), 0))</f>
        <v/>
      </c>
      <c r="TSP224" s="19" t="str">
        <f>IF(TSP220 = "", "", IFERROR(TSP220 / SUMIFS(Aux_Totales!$N:$N, Aux_Totales!$F:$F, $F224, Aux_Totales!$A:$A,#REF!), 0))</f>
        <v/>
      </c>
      <c r="TSQ224" s="19" t="str">
        <f>IF(TSQ220 = "", "", IFERROR(TSQ220 / SUMIFS(Aux_Totales!$N:$N, Aux_Totales!$F:$F, $F224, Aux_Totales!$A:$A,#REF!), 0))</f>
        <v/>
      </c>
      <c r="TSR224" s="19" t="str">
        <f>IF(TSR220 = "", "", IFERROR(TSR220 / SUMIFS(Aux_Totales!$N:$N, Aux_Totales!$F:$F, $F224, Aux_Totales!$A:$A,#REF!), 0))</f>
        <v/>
      </c>
      <c r="TSS224" s="19" t="str">
        <f>IF(TSS220 = "", "", IFERROR(TSS220 / SUMIFS(Aux_Totales!$N:$N, Aux_Totales!$F:$F, $F224, Aux_Totales!$A:$A,#REF!), 0))</f>
        <v/>
      </c>
      <c r="TST224" s="19" t="str">
        <f>IF(TST220 = "", "", IFERROR(TST220 / SUMIFS(Aux_Totales!$N:$N, Aux_Totales!$F:$F, $F224, Aux_Totales!$A:$A,#REF!), 0))</f>
        <v/>
      </c>
      <c r="TSU224" s="19" t="str">
        <f>IF(TSU220 = "", "", IFERROR(TSU220 / SUMIFS(Aux_Totales!$N:$N, Aux_Totales!$F:$F, $F224, Aux_Totales!$A:$A,#REF!), 0))</f>
        <v/>
      </c>
      <c r="TSV224" s="19" t="str">
        <f>IF(TSV220 = "", "", IFERROR(TSV220 / SUMIFS(Aux_Totales!$N:$N, Aux_Totales!$F:$F, $F224, Aux_Totales!$A:$A,#REF!), 0))</f>
        <v/>
      </c>
      <c r="TSW224" s="19" t="str">
        <f>IF(TSW220 = "", "", IFERROR(TSW220 / SUMIFS(Aux_Totales!$N:$N, Aux_Totales!$F:$F, $F224, Aux_Totales!$A:$A,#REF!), 0))</f>
        <v/>
      </c>
      <c r="TSX224" s="19" t="str">
        <f>IF(TSX220 = "", "", IFERROR(TSX220 / SUMIFS(Aux_Totales!$N:$N, Aux_Totales!$F:$F, $F224, Aux_Totales!$A:$A,#REF!), 0))</f>
        <v/>
      </c>
      <c r="TSY224" s="19" t="str">
        <f>IF(TSY220 = "", "", IFERROR(TSY220 / SUMIFS(Aux_Totales!$N:$N, Aux_Totales!$F:$F, $F224, Aux_Totales!$A:$A,#REF!), 0))</f>
        <v/>
      </c>
      <c r="TSZ224" s="19" t="str">
        <f>IF(TSZ220 = "", "", IFERROR(TSZ220 / SUMIFS(Aux_Totales!$N:$N, Aux_Totales!$F:$F, $F224, Aux_Totales!$A:$A,#REF!), 0))</f>
        <v/>
      </c>
      <c r="TTA224" s="19" t="str">
        <f>IF(TTA220 = "", "", IFERROR(TTA220 / SUMIFS(Aux_Totales!$N:$N, Aux_Totales!$F:$F, $F224, Aux_Totales!$A:$A,#REF!), 0))</f>
        <v/>
      </c>
      <c r="TTB224" s="19" t="str">
        <f>IF(TTB220 = "", "", IFERROR(TTB220 / SUMIFS(Aux_Totales!$N:$N, Aux_Totales!$F:$F, $F224, Aux_Totales!$A:$A,#REF!), 0))</f>
        <v/>
      </c>
      <c r="TTC224" s="19" t="str">
        <f>IF(TTC220 = "", "", IFERROR(TTC220 / SUMIFS(Aux_Totales!$N:$N, Aux_Totales!$F:$F, $F224, Aux_Totales!$A:$A,#REF!), 0))</f>
        <v/>
      </c>
      <c r="TTD224" s="19" t="str">
        <f>IF(TTD220 = "", "", IFERROR(TTD220 / SUMIFS(Aux_Totales!$N:$N, Aux_Totales!$F:$F, $F224, Aux_Totales!$A:$A,#REF!), 0))</f>
        <v/>
      </c>
      <c r="TTE224" s="19" t="str">
        <f>IF(TTE220 = "", "", IFERROR(TTE220 / SUMIFS(Aux_Totales!$N:$N, Aux_Totales!$F:$F, $F224, Aux_Totales!$A:$A,#REF!), 0))</f>
        <v/>
      </c>
      <c r="TTF224" s="19" t="str">
        <f>IF(TTF220 = "", "", IFERROR(TTF220 / SUMIFS(Aux_Totales!$N:$N, Aux_Totales!$F:$F, $F224, Aux_Totales!$A:$A,#REF!), 0))</f>
        <v/>
      </c>
      <c r="TTG224" s="19" t="str">
        <f>IF(TTG220 = "", "", IFERROR(TTG220 / SUMIFS(Aux_Totales!$N:$N, Aux_Totales!$F:$F, $F224, Aux_Totales!$A:$A,#REF!), 0))</f>
        <v/>
      </c>
      <c r="TTH224" s="19" t="str">
        <f>IF(TTH220 = "", "", IFERROR(TTH220 / SUMIFS(Aux_Totales!$N:$N, Aux_Totales!$F:$F, $F224, Aux_Totales!$A:$A,#REF!), 0))</f>
        <v/>
      </c>
      <c r="TTI224" s="19" t="str">
        <f>IF(TTI220 = "", "", IFERROR(TTI220 / SUMIFS(Aux_Totales!$N:$N, Aux_Totales!$F:$F, $F224, Aux_Totales!$A:$A,#REF!), 0))</f>
        <v/>
      </c>
      <c r="TTJ224" s="19" t="str">
        <f>IF(TTJ220 = "", "", IFERROR(TTJ220 / SUMIFS(Aux_Totales!$N:$N, Aux_Totales!$F:$F, $F224, Aux_Totales!$A:$A,#REF!), 0))</f>
        <v/>
      </c>
      <c r="TTK224" s="19" t="str">
        <f>IF(TTK220 = "", "", IFERROR(TTK220 / SUMIFS(Aux_Totales!$N:$N, Aux_Totales!$F:$F, $F224, Aux_Totales!$A:$A,#REF!), 0))</f>
        <v/>
      </c>
      <c r="TTL224" s="19" t="str">
        <f>IF(TTL220 = "", "", IFERROR(TTL220 / SUMIFS(Aux_Totales!$N:$N, Aux_Totales!$F:$F, $F224, Aux_Totales!$A:$A,#REF!), 0))</f>
        <v/>
      </c>
      <c r="TTM224" s="19" t="str">
        <f>IF(TTM220 = "", "", IFERROR(TTM220 / SUMIFS(Aux_Totales!$N:$N, Aux_Totales!$F:$F, $F224, Aux_Totales!$A:$A,#REF!), 0))</f>
        <v/>
      </c>
      <c r="TTN224" s="19" t="str">
        <f>IF(TTN220 = "", "", IFERROR(TTN220 / SUMIFS(Aux_Totales!$N:$N, Aux_Totales!$F:$F, $F224, Aux_Totales!$A:$A,#REF!), 0))</f>
        <v/>
      </c>
      <c r="TTO224" s="19" t="str">
        <f>IF(TTO220 = "", "", IFERROR(TTO220 / SUMIFS(Aux_Totales!$N:$N, Aux_Totales!$F:$F, $F224, Aux_Totales!$A:$A,#REF!), 0))</f>
        <v/>
      </c>
      <c r="TTP224" s="19" t="str">
        <f>IF(TTP220 = "", "", IFERROR(TTP220 / SUMIFS(Aux_Totales!$N:$N, Aux_Totales!$F:$F, $F224, Aux_Totales!$A:$A,#REF!), 0))</f>
        <v/>
      </c>
      <c r="TTQ224" s="19" t="str">
        <f>IF(TTQ220 = "", "", IFERROR(TTQ220 / SUMIFS(Aux_Totales!$N:$N, Aux_Totales!$F:$F, $F224, Aux_Totales!$A:$A,#REF!), 0))</f>
        <v/>
      </c>
      <c r="TTR224" s="19" t="str">
        <f>IF(TTR220 = "", "", IFERROR(TTR220 / SUMIFS(Aux_Totales!$N:$N, Aux_Totales!$F:$F, $F224, Aux_Totales!$A:$A,#REF!), 0))</f>
        <v/>
      </c>
      <c r="TTS224" s="19" t="str">
        <f>IF(TTS220 = "", "", IFERROR(TTS220 / SUMIFS(Aux_Totales!$N:$N, Aux_Totales!$F:$F, $F224, Aux_Totales!$A:$A,#REF!), 0))</f>
        <v/>
      </c>
      <c r="TTT224" s="19" t="str">
        <f>IF(TTT220 = "", "", IFERROR(TTT220 / SUMIFS(Aux_Totales!$N:$N, Aux_Totales!$F:$F, $F224, Aux_Totales!$A:$A,#REF!), 0))</f>
        <v/>
      </c>
      <c r="TTU224" s="19" t="str">
        <f>IF(TTU220 = "", "", IFERROR(TTU220 / SUMIFS(Aux_Totales!$N:$N, Aux_Totales!$F:$F, $F224, Aux_Totales!$A:$A,#REF!), 0))</f>
        <v/>
      </c>
      <c r="TTV224" s="19" t="str">
        <f>IF(TTV220 = "", "", IFERROR(TTV220 / SUMIFS(Aux_Totales!$N:$N, Aux_Totales!$F:$F, $F224, Aux_Totales!$A:$A,#REF!), 0))</f>
        <v/>
      </c>
      <c r="TTW224" s="19" t="str">
        <f>IF(TTW220 = "", "", IFERROR(TTW220 / SUMIFS(Aux_Totales!$N:$N, Aux_Totales!$F:$F, $F224, Aux_Totales!$A:$A,#REF!), 0))</f>
        <v/>
      </c>
      <c r="TTX224" s="19" t="str">
        <f>IF(TTX220 = "", "", IFERROR(TTX220 / SUMIFS(Aux_Totales!$N:$N, Aux_Totales!$F:$F, $F224, Aux_Totales!$A:$A,#REF!), 0))</f>
        <v/>
      </c>
      <c r="TTY224" s="19" t="str">
        <f>IF(TTY220 = "", "", IFERROR(TTY220 / SUMIFS(Aux_Totales!$N:$N, Aux_Totales!$F:$F, $F224, Aux_Totales!$A:$A,#REF!), 0))</f>
        <v/>
      </c>
      <c r="TTZ224" s="19" t="str">
        <f>IF(TTZ220 = "", "", IFERROR(TTZ220 / SUMIFS(Aux_Totales!$N:$N, Aux_Totales!$F:$F, $F224, Aux_Totales!$A:$A,#REF!), 0))</f>
        <v/>
      </c>
      <c r="TUA224" s="19" t="str">
        <f>IF(TUA220 = "", "", IFERROR(TUA220 / SUMIFS(Aux_Totales!$N:$N, Aux_Totales!$F:$F, $F224, Aux_Totales!$A:$A,#REF!), 0))</f>
        <v/>
      </c>
      <c r="TUB224" s="19" t="str">
        <f>IF(TUB220 = "", "", IFERROR(TUB220 / SUMIFS(Aux_Totales!$N:$N, Aux_Totales!$F:$F, $F224, Aux_Totales!$A:$A,#REF!), 0))</f>
        <v/>
      </c>
      <c r="TUC224" s="19" t="str">
        <f>IF(TUC220 = "", "", IFERROR(TUC220 / SUMIFS(Aux_Totales!$N:$N, Aux_Totales!$F:$F, $F224, Aux_Totales!$A:$A,#REF!), 0))</f>
        <v/>
      </c>
      <c r="TUD224" s="19" t="str">
        <f>IF(TUD220 = "", "", IFERROR(TUD220 / SUMIFS(Aux_Totales!$N:$N, Aux_Totales!$F:$F, $F224, Aux_Totales!$A:$A,#REF!), 0))</f>
        <v/>
      </c>
      <c r="TUE224" s="19" t="str">
        <f>IF(TUE220 = "", "", IFERROR(TUE220 / SUMIFS(Aux_Totales!$N:$N, Aux_Totales!$F:$F, $F224, Aux_Totales!$A:$A,#REF!), 0))</f>
        <v/>
      </c>
      <c r="TUF224" s="19" t="str">
        <f>IF(TUF220 = "", "", IFERROR(TUF220 / SUMIFS(Aux_Totales!$N:$N, Aux_Totales!$F:$F, $F224, Aux_Totales!$A:$A,#REF!), 0))</f>
        <v/>
      </c>
      <c r="TUG224" s="19" t="str">
        <f>IF(TUG220 = "", "", IFERROR(TUG220 / SUMIFS(Aux_Totales!$N:$N, Aux_Totales!$F:$F, $F224, Aux_Totales!$A:$A,#REF!), 0))</f>
        <v/>
      </c>
      <c r="TUH224" s="19" t="str">
        <f>IF(TUH220 = "", "", IFERROR(TUH220 / SUMIFS(Aux_Totales!$N:$N, Aux_Totales!$F:$F, $F224, Aux_Totales!$A:$A,#REF!), 0))</f>
        <v/>
      </c>
      <c r="TUI224" s="19" t="str">
        <f>IF(TUI220 = "", "", IFERROR(TUI220 / SUMIFS(Aux_Totales!$N:$N, Aux_Totales!$F:$F, $F224, Aux_Totales!$A:$A,#REF!), 0))</f>
        <v/>
      </c>
      <c r="TUJ224" s="19" t="str">
        <f>IF(TUJ220 = "", "", IFERROR(TUJ220 / SUMIFS(Aux_Totales!$N:$N, Aux_Totales!$F:$F, $F224, Aux_Totales!$A:$A,#REF!), 0))</f>
        <v/>
      </c>
      <c r="TUK224" s="19" t="str">
        <f>IF(TUK220 = "", "", IFERROR(TUK220 / SUMIFS(Aux_Totales!$N:$N, Aux_Totales!$F:$F, $F224, Aux_Totales!$A:$A,#REF!), 0))</f>
        <v/>
      </c>
      <c r="TUL224" s="19" t="str">
        <f>IF(TUL220 = "", "", IFERROR(TUL220 / SUMIFS(Aux_Totales!$N:$N, Aux_Totales!$F:$F, $F224, Aux_Totales!$A:$A,#REF!), 0))</f>
        <v/>
      </c>
      <c r="TUM224" s="19" t="str">
        <f>IF(TUM220 = "", "", IFERROR(TUM220 / SUMIFS(Aux_Totales!$N:$N, Aux_Totales!$F:$F, $F224, Aux_Totales!$A:$A,#REF!), 0))</f>
        <v/>
      </c>
      <c r="TUN224" s="19" t="str">
        <f>IF(TUN220 = "", "", IFERROR(TUN220 / SUMIFS(Aux_Totales!$N:$N, Aux_Totales!$F:$F, $F224, Aux_Totales!$A:$A,#REF!), 0))</f>
        <v/>
      </c>
      <c r="TUO224" s="19" t="str">
        <f>IF(TUO220 = "", "", IFERROR(TUO220 / SUMIFS(Aux_Totales!$N:$N, Aux_Totales!$F:$F, $F224, Aux_Totales!$A:$A,#REF!), 0))</f>
        <v/>
      </c>
      <c r="TUP224" s="19" t="str">
        <f>IF(TUP220 = "", "", IFERROR(TUP220 / SUMIFS(Aux_Totales!$N:$N, Aux_Totales!$F:$F, $F224, Aux_Totales!$A:$A,#REF!), 0))</f>
        <v/>
      </c>
      <c r="TUQ224" s="19" t="str">
        <f>IF(TUQ220 = "", "", IFERROR(TUQ220 / SUMIFS(Aux_Totales!$N:$N, Aux_Totales!$F:$F, $F224, Aux_Totales!$A:$A,#REF!), 0))</f>
        <v/>
      </c>
      <c r="TUR224" s="19" t="str">
        <f>IF(TUR220 = "", "", IFERROR(TUR220 / SUMIFS(Aux_Totales!$N:$N, Aux_Totales!$F:$F, $F224, Aux_Totales!$A:$A,#REF!), 0))</f>
        <v/>
      </c>
      <c r="TUS224" s="19" t="str">
        <f>IF(TUS220 = "", "", IFERROR(TUS220 / SUMIFS(Aux_Totales!$N:$N, Aux_Totales!$F:$F, $F224, Aux_Totales!$A:$A,#REF!), 0))</f>
        <v/>
      </c>
      <c r="TUT224" s="19" t="str">
        <f>IF(TUT220 = "", "", IFERROR(TUT220 / SUMIFS(Aux_Totales!$N:$N, Aux_Totales!$F:$F, $F224, Aux_Totales!$A:$A,#REF!), 0))</f>
        <v/>
      </c>
      <c r="TUU224" s="19" t="str">
        <f>IF(TUU220 = "", "", IFERROR(TUU220 / SUMIFS(Aux_Totales!$N:$N, Aux_Totales!$F:$F, $F224, Aux_Totales!$A:$A,#REF!), 0))</f>
        <v/>
      </c>
      <c r="TUV224" s="19" t="str">
        <f>IF(TUV220 = "", "", IFERROR(TUV220 / SUMIFS(Aux_Totales!$N:$N, Aux_Totales!$F:$F, $F224, Aux_Totales!$A:$A,#REF!), 0))</f>
        <v/>
      </c>
      <c r="TUW224" s="19" t="str">
        <f>IF(TUW220 = "", "", IFERROR(TUW220 / SUMIFS(Aux_Totales!$N:$N, Aux_Totales!$F:$F, $F224, Aux_Totales!$A:$A,#REF!), 0))</f>
        <v/>
      </c>
      <c r="TUX224" s="19" t="str">
        <f>IF(TUX220 = "", "", IFERROR(TUX220 / SUMIFS(Aux_Totales!$N:$N, Aux_Totales!$F:$F, $F224, Aux_Totales!$A:$A,#REF!), 0))</f>
        <v/>
      </c>
      <c r="TUY224" s="19" t="str">
        <f>IF(TUY220 = "", "", IFERROR(TUY220 / SUMIFS(Aux_Totales!$N:$N, Aux_Totales!$F:$F, $F224, Aux_Totales!$A:$A,#REF!), 0))</f>
        <v/>
      </c>
      <c r="TUZ224" s="19" t="str">
        <f>IF(TUZ220 = "", "", IFERROR(TUZ220 / SUMIFS(Aux_Totales!$N:$N, Aux_Totales!$F:$F, $F224, Aux_Totales!$A:$A,#REF!), 0))</f>
        <v/>
      </c>
      <c r="TVA224" s="19" t="str">
        <f>IF(TVA220 = "", "", IFERROR(TVA220 / SUMIFS(Aux_Totales!$N:$N, Aux_Totales!$F:$F, $F224, Aux_Totales!$A:$A,#REF!), 0))</f>
        <v/>
      </c>
      <c r="TVB224" s="19" t="str">
        <f>IF(TVB220 = "", "", IFERROR(TVB220 / SUMIFS(Aux_Totales!$N:$N, Aux_Totales!$F:$F, $F224, Aux_Totales!$A:$A,#REF!), 0))</f>
        <v/>
      </c>
      <c r="TVC224" s="19" t="str">
        <f>IF(TVC220 = "", "", IFERROR(TVC220 / SUMIFS(Aux_Totales!$N:$N, Aux_Totales!$F:$F, $F224, Aux_Totales!$A:$A,#REF!), 0))</f>
        <v/>
      </c>
      <c r="TVD224" s="19" t="str">
        <f>IF(TVD220 = "", "", IFERROR(TVD220 / SUMIFS(Aux_Totales!$N:$N, Aux_Totales!$F:$F, $F224, Aux_Totales!$A:$A,#REF!), 0))</f>
        <v/>
      </c>
      <c r="TVE224" s="19" t="str">
        <f>IF(TVE220 = "", "", IFERROR(TVE220 / SUMIFS(Aux_Totales!$N:$N, Aux_Totales!$F:$F, $F224, Aux_Totales!$A:$A,#REF!), 0))</f>
        <v/>
      </c>
      <c r="TVF224" s="19" t="str">
        <f>IF(TVF220 = "", "", IFERROR(TVF220 / SUMIFS(Aux_Totales!$N:$N, Aux_Totales!$F:$F, $F224, Aux_Totales!$A:$A,#REF!), 0))</f>
        <v/>
      </c>
      <c r="TVG224" s="19" t="str">
        <f>IF(TVG220 = "", "", IFERROR(TVG220 / SUMIFS(Aux_Totales!$N:$N, Aux_Totales!$F:$F, $F224, Aux_Totales!$A:$A,#REF!), 0))</f>
        <v/>
      </c>
      <c r="TVH224" s="19" t="str">
        <f>IF(TVH220 = "", "", IFERROR(TVH220 / SUMIFS(Aux_Totales!$N:$N, Aux_Totales!$F:$F, $F224, Aux_Totales!$A:$A,#REF!), 0))</f>
        <v/>
      </c>
      <c r="TVI224" s="19" t="str">
        <f>IF(TVI220 = "", "", IFERROR(TVI220 / SUMIFS(Aux_Totales!$N:$N, Aux_Totales!$F:$F, $F224, Aux_Totales!$A:$A,#REF!), 0))</f>
        <v/>
      </c>
      <c r="TVJ224" s="19" t="str">
        <f>IF(TVJ220 = "", "", IFERROR(TVJ220 / SUMIFS(Aux_Totales!$N:$N, Aux_Totales!$F:$F, $F224, Aux_Totales!$A:$A,#REF!), 0))</f>
        <v/>
      </c>
      <c r="TVK224" s="19" t="str">
        <f>IF(TVK220 = "", "", IFERROR(TVK220 / SUMIFS(Aux_Totales!$N:$N, Aux_Totales!$F:$F, $F224, Aux_Totales!$A:$A,#REF!), 0))</f>
        <v/>
      </c>
      <c r="TVL224" s="19" t="str">
        <f>IF(TVL220 = "", "", IFERROR(TVL220 / SUMIFS(Aux_Totales!$N:$N, Aux_Totales!$F:$F, $F224, Aux_Totales!$A:$A,#REF!), 0))</f>
        <v/>
      </c>
      <c r="TVM224" s="19" t="str">
        <f>IF(TVM220 = "", "", IFERROR(TVM220 / SUMIFS(Aux_Totales!$N:$N, Aux_Totales!$F:$F, $F224, Aux_Totales!$A:$A,#REF!), 0))</f>
        <v/>
      </c>
      <c r="TVN224" s="19" t="str">
        <f>IF(TVN220 = "", "", IFERROR(TVN220 / SUMIFS(Aux_Totales!$N:$N, Aux_Totales!$F:$F, $F224, Aux_Totales!$A:$A,#REF!), 0))</f>
        <v/>
      </c>
      <c r="TVO224" s="19" t="str">
        <f>IF(TVO220 = "", "", IFERROR(TVO220 / SUMIFS(Aux_Totales!$N:$N, Aux_Totales!$F:$F, $F224, Aux_Totales!$A:$A,#REF!), 0))</f>
        <v/>
      </c>
      <c r="TVP224" s="19" t="str">
        <f>IF(TVP220 = "", "", IFERROR(TVP220 / SUMIFS(Aux_Totales!$N:$N, Aux_Totales!$F:$F, $F224, Aux_Totales!$A:$A,#REF!), 0))</f>
        <v/>
      </c>
      <c r="TVQ224" s="19" t="str">
        <f>IF(TVQ220 = "", "", IFERROR(TVQ220 / SUMIFS(Aux_Totales!$N:$N, Aux_Totales!$F:$F, $F224, Aux_Totales!$A:$A,#REF!), 0))</f>
        <v/>
      </c>
      <c r="TVR224" s="19" t="str">
        <f>IF(TVR220 = "", "", IFERROR(TVR220 / SUMIFS(Aux_Totales!$N:$N, Aux_Totales!$F:$F, $F224, Aux_Totales!$A:$A,#REF!), 0))</f>
        <v/>
      </c>
      <c r="TVS224" s="19" t="str">
        <f>IF(TVS220 = "", "", IFERROR(TVS220 / SUMIFS(Aux_Totales!$N:$N, Aux_Totales!$F:$F, $F224, Aux_Totales!$A:$A,#REF!), 0))</f>
        <v/>
      </c>
      <c r="TVT224" s="19" t="str">
        <f>IF(TVT220 = "", "", IFERROR(TVT220 / SUMIFS(Aux_Totales!$N:$N, Aux_Totales!$F:$F, $F224, Aux_Totales!$A:$A,#REF!), 0))</f>
        <v/>
      </c>
      <c r="TVU224" s="19" t="str">
        <f>IF(TVU220 = "", "", IFERROR(TVU220 / SUMIFS(Aux_Totales!$N:$N, Aux_Totales!$F:$F, $F224, Aux_Totales!$A:$A,#REF!), 0))</f>
        <v/>
      </c>
      <c r="TVV224" s="19" t="str">
        <f>IF(TVV220 = "", "", IFERROR(TVV220 / SUMIFS(Aux_Totales!$N:$N, Aux_Totales!$F:$F, $F224, Aux_Totales!$A:$A,#REF!), 0))</f>
        <v/>
      </c>
      <c r="TVW224" s="19" t="str">
        <f>IF(TVW220 = "", "", IFERROR(TVW220 / SUMIFS(Aux_Totales!$N:$N, Aux_Totales!$F:$F, $F224, Aux_Totales!$A:$A,#REF!), 0))</f>
        <v/>
      </c>
      <c r="TVX224" s="19" t="str">
        <f>IF(TVX220 = "", "", IFERROR(TVX220 / SUMIFS(Aux_Totales!$N:$N, Aux_Totales!$F:$F, $F224, Aux_Totales!$A:$A,#REF!), 0))</f>
        <v/>
      </c>
      <c r="TVY224" s="19" t="str">
        <f>IF(TVY220 = "", "", IFERROR(TVY220 / SUMIFS(Aux_Totales!$N:$N, Aux_Totales!$F:$F, $F224, Aux_Totales!$A:$A,#REF!), 0))</f>
        <v/>
      </c>
      <c r="TVZ224" s="19" t="str">
        <f>IF(TVZ220 = "", "", IFERROR(TVZ220 / SUMIFS(Aux_Totales!$N:$N, Aux_Totales!$F:$F, $F224, Aux_Totales!$A:$A,#REF!), 0))</f>
        <v/>
      </c>
      <c r="TWA224" s="19" t="str">
        <f>IF(TWA220 = "", "", IFERROR(TWA220 / SUMIFS(Aux_Totales!$N:$N, Aux_Totales!$F:$F, $F224, Aux_Totales!$A:$A,#REF!), 0))</f>
        <v/>
      </c>
      <c r="TWB224" s="19" t="str">
        <f>IF(TWB220 = "", "", IFERROR(TWB220 / SUMIFS(Aux_Totales!$N:$N, Aux_Totales!$F:$F, $F224, Aux_Totales!$A:$A,#REF!), 0))</f>
        <v/>
      </c>
      <c r="TWC224" s="19" t="str">
        <f>IF(TWC220 = "", "", IFERROR(TWC220 / SUMIFS(Aux_Totales!$N:$N, Aux_Totales!$F:$F, $F224, Aux_Totales!$A:$A,#REF!), 0))</f>
        <v/>
      </c>
      <c r="TWD224" s="19" t="str">
        <f>IF(TWD220 = "", "", IFERROR(TWD220 / SUMIFS(Aux_Totales!$N:$N, Aux_Totales!$F:$F, $F224, Aux_Totales!$A:$A,#REF!), 0))</f>
        <v/>
      </c>
      <c r="TWE224" s="19" t="str">
        <f>IF(TWE220 = "", "", IFERROR(TWE220 / SUMIFS(Aux_Totales!$N:$N, Aux_Totales!$F:$F, $F224, Aux_Totales!$A:$A,#REF!), 0))</f>
        <v/>
      </c>
      <c r="TWF224" s="19" t="str">
        <f>IF(TWF220 = "", "", IFERROR(TWF220 / SUMIFS(Aux_Totales!$N:$N, Aux_Totales!$F:$F, $F224, Aux_Totales!$A:$A,#REF!), 0))</f>
        <v/>
      </c>
      <c r="TWG224" s="19" t="str">
        <f>IF(TWG220 = "", "", IFERROR(TWG220 / SUMIFS(Aux_Totales!$N:$N, Aux_Totales!$F:$F, $F224, Aux_Totales!$A:$A,#REF!), 0))</f>
        <v/>
      </c>
      <c r="TWH224" s="19" t="str">
        <f>IF(TWH220 = "", "", IFERROR(TWH220 / SUMIFS(Aux_Totales!$N:$N, Aux_Totales!$F:$F, $F224, Aux_Totales!$A:$A,#REF!), 0))</f>
        <v/>
      </c>
      <c r="TWI224" s="19" t="str">
        <f>IF(TWI220 = "", "", IFERROR(TWI220 / SUMIFS(Aux_Totales!$N:$N, Aux_Totales!$F:$F, $F224, Aux_Totales!$A:$A,#REF!), 0))</f>
        <v/>
      </c>
      <c r="TWJ224" s="19" t="str">
        <f>IF(TWJ220 = "", "", IFERROR(TWJ220 / SUMIFS(Aux_Totales!$N:$N, Aux_Totales!$F:$F, $F224, Aux_Totales!$A:$A,#REF!), 0))</f>
        <v/>
      </c>
      <c r="TWK224" s="19" t="str">
        <f>IF(TWK220 = "", "", IFERROR(TWK220 / SUMIFS(Aux_Totales!$N:$N, Aux_Totales!$F:$F, $F224, Aux_Totales!$A:$A,#REF!), 0))</f>
        <v/>
      </c>
      <c r="TWL224" s="19" t="str">
        <f>IF(TWL220 = "", "", IFERROR(TWL220 / SUMIFS(Aux_Totales!$N:$N, Aux_Totales!$F:$F, $F224, Aux_Totales!$A:$A,#REF!), 0))</f>
        <v/>
      </c>
      <c r="TWM224" s="19" t="str">
        <f>IF(TWM220 = "", "", IFERROR(TWM220 / SUMIFS(Aux_Totales!$N:$N, Aux_Totales!$F:$F, $F224, Aux_Totales!$A:$A,#REF!), 0))</f>
        <v/>
      </c>
      <c r="TWN224" s="19" t="str">
        <f>IF(TWN220 = "", "", IFERROR(TWN220 / SUMIFS(Aux_Totales!$N:$N, Aux_Totales!$F:$F, $F224, Aux_Totales!$A:$A,#REF!), 0))</f>
        <v/>
      </c>
      <c r="TWO224" s="19" t="str">
        <f>IF(TWO220 = "", "", IFERROR(TWO220 / SUMIFS(Aux_Totales!$N:$N, Aux_Totales!$F:$F, $F224, Aux_Totales!$A:$A,#REF!), 0))</f>
        <v/>
      </c>
      <c r="TWP224" s="19" t="str">
        <f>IF(TWP220 = "", "", IFERROR(TWP220 / SUMIFS(Aux_Totales!$N:$N, Aux_Totales!$F:$F, $F224, Aux_Totales!$A:$A,#REF!), 0))</f>
        <v/>
      </c>
      <c r="TWQ224" s="19" t="str">
        <f>IF(TWQ220 = "", "", IFERROR(TWQ220 / SUMIFS(Aux_Totales!$N:$N, Aux_Totales!$F:$F, $F224, Aux_Totales!$A:$A,#REF!), 0))</f>
        <v/>
      </c>
      <c r="TWR224" s="19" t="str">
        <f>IF(TWR220 = "", "", IFERROR(TWR220 / SUMIFS(Aux_Totales!$N:$N, Aux_Totales!$F:$F, $F224, Aux_Totales!$A:$A,#REF!), 0))</f>
        <v/>
      </c>
      <c r="TWS224" s="19" t="str">
        <f>IF(TWS220 = "", "", IFERROR(TWS220 / SUMIFS(Aux_Totales!$N:$N, Aux_Totales!$F:$F, $F224, Aux_Totales!$A:$A,#REF!), 0))</f>
        <v/>
      </c>
      <c r="TWT224" s="19" t="str">
        <f>IF(TWT220 = "", "", IFERROR(TWT220 / SUMIFS(Aux_Totales!$N:$N, Aux_Totales!$F:$F, $F224, Aux_Totales!$A:$A,#REF!), 0))</f>
        <v/>
      </c>
      <c r="TWU224" s="19" t="str">
        <f>IF(TWU220 = "", "", IFERROR(TWU220 / SUMIFS(Aux_Totales!$N:$N, Aux_Totales!$F:$F, $F224, Aux_Totales!$A:$A,#REF!), 0))</f>
        <v/>
      </c>
      <c r="TWV224" s="19" t="str">
        <f>IF(TWV220 = "", "", IFERROR(TWV220 / SUMIFS(Aux_Totales!$N:$N, Aux_Totales!$F:$F, $F224, Aux_Totales!$A:$A,#REF!), 0))</f>
        <v/>
      </c>
      <c r="TWW224" s="19" t="str">
        <f>IF(TWW220 = "", "", IFERROR(TWW220 / SUMIFS(Aux_Totales!$N:$N, Aux_Totales!$F:$F, $F224, Aux_Totales!$A:$A,#REF!), 0))</f>
        <v/>
      </c>
      <c r="TWX224" s="19" t="str">
        <f>IF(TWX220 = "", "", IFERROR(TWX220 / SUMIFS(Aux_Totales!$N:$N, Aux_Totales!$F:$F, $F224, Aux_Totales!$A:$A,#REF!), 0))</f>
        <v/>
      </c>
      <c r="TWY224" s="19" t="str">
        <f>IF(TWY220 = "", "", IFERROR(TWY220 / SUMIFS(Aux_Totales!$N:$N, Aux_Totales!$F:$F, $F224, Aux_Totales!$A:$A,#REF!), 0))</f>
        <v/>
      </c>
      <c r="TWZ224" s="19" t="str">
        <f>IF(TWZ220 = "", "", IFERROR(TWZ220 / SUMIFS(Aux_Totales!$N:$N, Aux_Totales!$F:$F, $F224, Aux_Totales!$A:$A,#REF!), 0))</f>
        <v/>
      </c>
      <c r="TXA224" s="19" t="str">
        <f>IF(TXA220 = "", "", IFERROR(TXA220 / SUMIFS(Aux_Totales!$N:$N, Aux_Totales!$F:$F, $F224, Aux_Totales!$A:$A,#REF!), 0))</f>
        <v/>
      </c>
      <c r="TXB224" s="19" t="str">
        <f>IF(TXB220 = "", "", IFERROR(TXB220 / SUMIFS(Aux_Totales!$N:$N, Aux_Totales!$F:$F, $F224, Aux_Totales!$A:$A,#REF!), 0))</f>
        <v/>
      </c>
      <c r="TXC224" s="19" t="str">
        <f>IF(TXC220 = "", "", IFERROR(TXC220 / SUMIFS(Aux_Totales!$N:$N, Aux_Totales!$F:$F, $F224, Aux_Totales!$A:$A,#REF!), 0))</f>
        <v/>
      </c>
      <c r="TXD224" s="19" t="str">
        <f>IF(TXD220 = "", "", IFERROR(TXD220 / SUMIFS(Aux_Totales!$N:$N, Aux_Totales!$F:$F, $F224, Aux_Totales!$A:$A,#REF!), 0))</f>
        <v/>
      </c>
      <c r="TXE224" s="19" t="str">
        <f>IF(TXE220 = "", "", IFERROR(TXE220 / SUMIFS(Aux_Totales!$N:$N, Aux_Totales!$F:$F, $F224, Aux_Totales!$A:$A,#REF!), 0))</f>
        <v/>
      </c>
      <c r="TXF224" s="19" t="str">
        <f>IF(TXF220 = "", "", IFERROR(TXF220 / SUMIFS(Aux_Totales!$N:$N, Aux_Totales!$F:$F, $F224, Aux_Totales!$A:$A,#REF!), 0))</f>
        <v/>
      </c>
      <c r="TXG224" s="19" t="str">
        <f>IF(TXG220 = "", "", IFERROR(TXG220 / SUMIFS(Aux_Totales!$N:$N, Aux_Totales!$F:$F, $F224, Aux_Totales!$A:$A,#REF!), 0))</f>
        <v/>
      </c>
      <c r="TXH224" s="19" t="str">
        <f>IF(TXH220 = "", "", IFERROR(TXH220 / SUMIFS(Aux_Totales!$N:$N, Aux_Totales!$F:$F, $F224, Aux_Totales!$A:$A,#REF!), 0))</f>
        <v/>
      </c>
      <c r="TXI224" s="19" t="str">
        <f>IF(TXI220 = "", "", IFERROR(TXI220 / SUMIFS(Aux_Totales!$N:$N, Aux_Totales!$F:$F, $F224, Aux_Totales!$A:$A,#REF!), 0))</f>
        <v/>
      </c>
      <c r="TXJ224" s="19" t="str">
        <f>IF(TXJ220 = "", "", IFERROR(TXJ220 / SUMIFS(Aux_Totales!$N:$N, Aux_Totales!$F:$F, $F224, Aux_Totales!$A:$A,#REF!), 0))</f>
        <v/>
      </c>
      <c r="TXK224" s="19" t="str">
        <f>IF(TXK220 = "", "", IFERROR(TXK220 / SUMIFS(Aux_Totales!$N:$N, Aux_Totales!$F:$F, $F224, Aux_Totales!$A:$A,#REF!), 0))</f>
        <v/>
      </c>
      <c r="TXL224" s="19" t="str">
        <f>IF(TXL220 = "", "", IFERROR(TXL220 / SUMIFS(Aux_Totales!$N:$N, Aux_Totales!$F:$F, $F224, Aux_Totales!$A:$A,#REF!), 0))</f>
        <v/>
      </c>
      <c r="TXM224" s="19" t="str">
        <f>IF(TXM220 = "", "", IFERROR(TXM220 / SUMIFS(Aux_Totales!$N:$N, Aux_Totales!$F:$F, $F224, Aux_Totales!$A:$A,#REF!), 0))</f>
        <v/>
      </c>
      <c r="TXN224" s="19" t="str">
        <f>IF(TXN220 = "", "", IFERROR(TXN220 / SUMIFS(Aux_Totales!$N:$N, Aux_Totales!$F:$F, $F224, Aux_Totales!$A:$A,#REF!), 0))</f>
        <v/>
      </c>
      <c r="TXO224" s="19" t="str">
        <f>IF(TXO220 = "", "", IFERROR(TXO220 / SUMIFS(Aux_Totales!$N:$N, Aux_Totales!$F:$F, $F224, Aux_Totales!$A:$A,#REF!), 0))</f>
        <v/>
      </c>
      <c r="TXP224" s="19" t="str">
        <f>IF(TXP220 = "", "", IFERROR(TXP220 / SUMIFS(Aux_Totales!$N:$N, Aux_Totales!$F:$F, $F224, Aux_Totales!$A:$A,#REF!), 0))</f>
        <v/>
      </c>
      <c r="TXQ224" s="19" t="str">
        <f>IF(TXQ220 = "", "", IFERROR(TXQ220 / SUMIFS(Aux_Totales!$N:$N, Aux_Totales!$F:$F, $F224, Aux_Totales!$A:$A,#REF!), 0))</f>
        <v/>
      </c>
      <c r="TXR224" s="19" t="str">
        <f>IF(TXR220 = "", "", IFERROR(TXR220 / SUMIFS(Aux_Totales!$N:$N, Aux_Totales!$F:$F, $F224, Aux_Totales!$A:$A,#REF!), 0))</f>
        <v/>
      </c>
      <c r="TXS224" s="19" t="str">
        <f>IF(TXS220 = "", "", IFERROR(TXS220 / SUMIFS(Aux_Totales!$N:$N, Aux_Totales!$F:$F, $F224, Aux_Totales!$A:$A,#REF!), 0))</f>
        <v/>
      </c>
      <c r="TXT224" s="19" t="str">
        <f>IF(TXT220 = "", "", IFERROR(TXT220 / SUMIFS(Aux_Totales!$N:$N, Aux_Totales!$F:$F, $F224, Aux_Totales!$A:$A,#REF!), 0))</f>
        <v/>
      </c>
      <c r="TXU224" s="19" t="str">
        <f>IF(TXU220 = "", "", IFERROR(TXU220 / SUMIFS(Aux_Totales!$N:$N, Aux_Totales!$F:$F, $F224, Aux_Totales!$A:$A,#REF!), 0))</f>
        <v/>
      </c>
      <c r="TXV224" s="19" t="str">
        <f>IF(TXV220 = "", "", IFERROR(TXV220 / SUMIFS(Aux_Totales!$N:$N, Aux_Totales!$F:$F, $F224, Aux_Totales!$A:$A,#REF!), 0))</f>
        <v/>
      </c>
      <c r="TXW224" s="19" t="str">
        <f>IF(TXW220 = "", "", IFERROR(TXW220 / SUMIFS(Aux_Totales!$N:$N, Aux_Totales!$F:$F, $F224, Aux_Totales!$A:$A,#REF!), 0))</f>
        <v/>
      </c>
      <c r="TXX224" s="19" t="str">
        <f>IF(TXX220 = "", "", IFERROR(TXX220 / SUMIFS(Aux_Totales!$N:$N, Aux_Totales!$F:$F, $F224, Aux_Totales!$A:$A,#REF!), 0))</f>
        <v/>
      </c>
      <c r="TXY224" s="19" t="str">
        <f>IF(TXY220 = "", "", IFERROR(TXY220 / SUMIFS(Aux_Totales!$N:$N, Aux_Totales!$F:$F, $F224, Aux_Totales!$A:$A,#REF!), 0))</f>
        <v/>
      </c>
      <c r="TXZ224" s="19" t="str">
        <f>IF(TXZ220 = "", "", IFERROR(TXZ220 / SUMIFS(Aux_Totales!$N:$N, Aux_Totales!$F:$F, $F224, Aux_Totales!$A:$A,#REF!), 0))</f>
        <v/>
      </c>
      <c r="TYA224" s="19" t="str">
        <f>IF(TYA220 = "", "", IFERROR(TYA220 / SUMIFS(Aux_Totales!$N:$N, Aux_Totales!$F:$F, $F224, Aux_Totales!$A:$A,#REF!), 0))</f>
        <v/>
      </c>
      <c r="TYB224" s="19" t="str">
        <f>IF(TYB220 = "", "", IFERROR(TYB220 / SUMIFS(Aux_Totales!$N:$N, Aux_Totales!$F:$F, $F224, Aux_Totales!$A:$A,#REF!), 0))</f>
        <v/>
      </c>
      <c r="TYC224" s="19" t="str">
        <f>IF(TYC220 = "", "", IFERROR(TYC220 / SUMIFS(Aux_Totales!$N:$N, Aux_Totales!$F:$F, $F224, Aux_Totales!$A:$A,#REF!), 0))</f>
        <v/>
      </c>
      <c r="TYD224" s="19" t="str">
        <f>IF(TYD220 = "", "", IFERROR(TYD220 / SUMIFS(Aux_Totales!$N:$N, Aux_Totales!$F:$F, $F224, Aux_Totales!$A:$A,#REF!), 0))</f>
        <v/>
      </c>
      <c r="TYE224" s="19" t="str">
        <f>IF(TYE220 = "", "", IFERROR(TYE220 / SUMIFS(Aux_Totales!$N:$N, Aux_Totales!$F:$F, $F224, Aux_Totales!$A:$A,#REF!), 0))</f>
        <v/>
      </c>
      <c r="TYF224" s="19" t="str">
        <f>IF(TYF220 = "", "", IFERROR(TYF220 / SUMIFS(Aux_Totales!$N:$N, Aux_Totales!$F:$F, $F224, Aux_Totales!$A:$A,#REF!), 0))</f>
        <v/>
      </c>
      <c r="TYG224" s="19" t="str">
        <f>IF(TYG220 = "", "", IFERROR(TYG220 / SUMIFS(Aux_Totales!$N:$N, Aux_Totales!$F:$F, $F224, Aux_Totales!$A:$A,#REF!), 0))</f>
        <v/>
      </c>
      <c r="TYH224" s="19" t="str">
        <f>IF(TYH220 = "", "", IFERROR(TYH220 / SUMIFS(Aux_Totales!$N:$N, Aux_Totales!$F:$F, $F224, Aux_Totales!$A:$A,#REF!), 0))</f>
        <v/>
      </c>
      <c r="TYI224" s="19" t="str">
        <f>IF(TYI220 = "", "", IFERROR(TYI220 / SUMIFS(Aux_Totales!$N:$N, Aux_Totales!$F:$F, $F224, Aux_Totales!$A:$A,#REF!), 0))</f>
        <v/>
      </c>
      <c r="TYJ224" s="19" t="str">
        <f>IF(TYJ220 = "", "", IFERROR(TYJ220 / SUMIFS(Aux_Totales!$N:$N, Aux_Totales!$F:$F, $F224, Aux_Totales!$A:$A,#REF!), 0))</f>
        <v/>
      </c>
      <c r="TYK224" s="19" t="str">
        <f>IF(TYK220 = "", "", IFERROR(TYK220 / SUMIFS(Aux_Totales!$N:$N, Aux_Totales!$F:$F, $F224, Aux_Totales!$A:$A,#REF!), 0))</f>
        <v/>
      </c>
      <c r="TYL224" s="19" t="str">
        <f>IF(TYL220 = "", "", IFERROR(TYL220 / SUMIFS(Aux_Totales!$N:$N, Aux_Totales!$F:$F, $F224, Aux_Totales!$A:$A,#REF!), 0))</f>
        <v/>
      </c>
      <c r="TYM224" s="19" t="str">
        <f>IF(TYM220 = "", "", IFERROR(TYM220 / SUMIFS(Aux_Totales!$N:$N, Aux_Totales!$F:$F, $F224, Aux_Totales!$A:$A,#REF!), 0))</f>
        <v/>
      </c>
      <c r="TYN224" s="19" t="str">
        <f>IF(TYN220 = "", "", IFERROR(TYN220 / SUMIFS(Aux_Totales!$N:$N, Aux_Totales!$F:$F, $F224, Aux_Totales!$A:$A,#REF!), 0))</f>
        <v/>
      </c>
      <c r="TYO224" s="19" t="str">
        <f>IF(TYO220 = "", "", IFERROR(TYO220 / SUMIFS(Aux_Totales!$N:$N, Aux_Totales!$F:$F, $F224, Aux_Totales!$A:$A,#REF!), 0))</f>
        <v/>
      </c>
      <c r="TYP224" s="19" t="str">
        <f>IF(TYP220 = "", "", IFERROR(TYP220 / SUMIFS(Aux_Totales!$N:$N, Aux_Totales!$F:$F, $F224, Aux_Totales!$A:$A,#REF!), 0))</f>
        <v/>
      </c>
      <c r="TYQ224" s="19" t="str">
        <f>IF(TYQ220 = "", "", IFERROR(TYQ220 / SUMIFS(Aux_Totales!$N:$N, Aux_Totales!$F:$F, $F224, Aux_Totales!$A:$A,#REF!), 0))</f>
        <v/>
      </c>
      <c r="TYR224" s="19" t="str">
        <f>IF(TYR220 = "", "", IFERROR(TYR220 / SUMIFS(Aux_Totales!$N:$N, Aux_Totales!$F:$F, $F224, Aux_Totales!$A:$A,#REF!), 0))</f>
        <v/>
      </c>
      <c r="TYS224" s="19" t="str">
        <f>IF(TYS220 = "", "", IFERROR(TYS220 / SUMIFS(Aux_Totales!$N:$N, Aux_Totales!$F:$F, $F224, Aux_Totales!$A:$A,#REF!), 0))</f>
        <v/>
      </c>
      <c r="TYT224" s="19" t="str">
        <f>IF(TYT220 = "", "", IFERROR(TYT220 / SUMIFS(Aux_Totales!$N:$N, Aux_Totales!$F:$F, $F224, Aux_Totales!$A:$A,#REF!), 0))</f>
        <v/>
      </c>
      <c r="TYU224" s="19" t="str">
        <f>IF(TYU220 = "", "", IFERROR(TYU220 / SUMIFS(Aux_Totales!$N:$N, Aux_Totales!$F:$F, $F224, Aux_Totales!$A:$A,#REF!), 0))</f>
        <v/>
      </c>
      <c r="TYV224" s="19" t="str">
        <f>IF(TYV220 = "", "", IFERROR(TYV220 / SUMIFS(Aux_Totales!$N:$N, Aux_Totales!$F:$F, $F224, Aux_Totales!$A:$A,#REF!), 0))</f>
        <v/>
      </c>
      <c r="TYW224" s="19" t="str">
        <f>IF(TYW220 = "", "", IFERROR(TYW220 / SUMIFS(Aux_Totales!$N:$N, Aux_Totales!$F:$F, $F224, Aux_Totales!$A:$A,#REF!), 0))</f>
        <v/>
      </c>
      <c r="TYX224" s="19" t="str">
        <f>IF(TYX220 = "", "", IFERROR(TYX220 / SUMIFS(Aux_Totales!$N:$N, Aux_Totales!$F:$F, $F224, Aux_Totales!$A:$A,#REF!), 0))</f>
        <v/>
      </c>
      <c r="TYY224" s="19" t="str">
        <f>IF(TYY220 = "", "", IFERROR(TYY220 / SUMIFS(Aux_Totales!$N:$N, Aux_Totales!$F:$F, $F224, Aux_Totales!$A:$A,#REF!), 0))</f>
        <v/>
      </c>
      <c r="TYZ224" s="19" t="str">
        <f>IF(TYZ220 = "", "", IFERROR(TYZ220 / SUMIFS(Aux_Totales!$N:$N, Aux_Totales!$F:$F, $F224, Aux_Totales!$A:$A,#REF!), 0))</f>
        <v/>
      </c>
      <c r="TZA224" s="19" t="str">
        <f>IF(TZA220 = "", "", IFERROR(TZA220 / SUMIFS(Aux_Totales!$N:$N, Aux_Totales!$F:$F, $F224, Aux_Totales!$A:$A,#REF!), 0))</f>
        <v/>
      </c>
      <c r="TZB224" s="19" t="str">
        <f>IF(TZB220 = "", "", IFERROR(TZB220 / SUMIFS(Aux_Totales!$N:$N, Aux_Totales!$F:$F, $F224, Aux_Totales!$A:$A,#REF!), 0))</f>
        <v/>
      </c>
      <c r="TZC224" s="19" t="str">
        <f>IF(TZC220 = "", "", IFERROR(TZC220 / SUMIFS(Aux_Totales!$N:$N, Aux_Totales!$F:$F, $F224, Aux_Totales!$A:$A,#REF!), 0))</f>
        <v/>
      </c>
      <c r="TZD224" s="19" t="str">
        <f>IF(TZD220 = "", "", IFERROR(TZD220 / SUMIFS(Aux_Totales!$N:$N, Aux_Totales!$F:$F, $F224, Aux_Totales!$A:$A,#REF!), 0))</f>
        <v/>
      </c>
      <c r="TZE224" s="19" t="str">
        <f>IF(TZE220 = "", "", IFERROR(TZE220 / SUMIFS(Aux_Totales!$N:$N, Aux_Totales!$F:$F, $F224, Aux_Totales!$A:$A,#REF!), 0))</f>
        <v/>
      </c>
      <c r="TZF224" s="19" t="str">
        <f>IF(TZF220 = "", "", IFERROR(TZF220 / SUMIFS(Aux_Totales!$N:$N, Aux_Totales!$F:$F, $F224, Aux_Totales!$A:$A,#REF!), 0))</f>
        <v/>
      </c>
      <c r="TZG224" s="19" t="str">
        <f>IF(TZG220 = "", "", IFERROR(TZG220 / SUMIFS(Aux_Totales!$N:$N, Aux_Totales!$F:$F, $F224, Aux_Totales!$A:$A,#REF!), 0))</f>
        <v/>
      </c>
      <c r="TZH224" s="19" t="str">
        <f>IF(TZH220 = "", "", IFERROR(TZH220 / SUMIFS(Aux_Totales!$N:$N, Aux_Totales!$F:$F, $F224, Aux_Totales!$A:$A,#REF!), 0))</f>
        <v/>
      </c>
      <c r="TZI224" s="19" t="str">
        <f>IF(TZI220 = "", "", IFERROR(TZI220 / SUMIFS(Aux_Totales!$N:$N, Aux_Totales!$F:$F, $F224, Aux_Totales!$A:$A,#REF!), 0))</f>
        <v/>
      </c>
      <c r="TZJ224" s="19" t="str">
        <f>IF(TZJ220 = "", "", IFERROR(TZJ220 / SUMIFS(Aux_Totales!$N:$N, Aux_Totales!$F:$F, $F224, Aux_Totales!$A:$A,#REF!), 0))</f>
        <v/>
      </c>
      <c r="TZK224" s="19" t="str">
        <f>IF(TZK220 = "", "", IFERROR(TZK220 / SUMIFS(Aux_Totales!$N:$N, Aux_Totales!$F:$F, $F224, Aux_Totales!$A:$A,#REF!), 0))</f>
        <v/>
      </c>
      <c r="TZL224" s="19" t="str">
        <f>IF(TZL220 = "", "", IFERROR(TZL220 / SUMIFS(Aux_Totales!$N:$N, Aux_Totales!$F:$F, $F224, Aux_Totales!$A:$A,#REF!), 0))</f>
        <v/>
      </c>
      <c r="TZM224" s="19" t="str">
        <f>IF(TZM220 = "", "", IFERROR(TZM220 / SUMIFS(Aux_Totales!$N:$N, Aux_Totales!$F:$F, $F224, Aux_Totales!$A:$A,#REF!), 0))</f>
        <v/>
      </c>
      <c r="TZN224" s="19" t="str">
        <f>IF(TZN220 = "", "", IFERROR(TZN220 / SUMIFS(Aux_Totales!$N:$N, Aux_Totales!$F:$F, $F224, Aux_Totales!$A:$A,#REF!), 0))</f>
        <v/>
      </c>
      <c r="TZO224" s="19" t="str">
        <f>IF(TZO220 = "", "", IFERROR(TZO220 / SUMIFS(Aux_Totales!$N:$N, Aux_Totales!$F:$F, $F224, Aux_Totales!$A:$A,#REF!), 0))</f>
        <v/>
      </c>
      <c r="TZP224" s="19" t="str">
        <f>IF(TZP220 = "", "", IFERROR(TZP220 / SUMIFS(Aux_Totales!$N:$N, Aux_Totales!$F:$F, $F224, Aux_Totales!$A:$A,#REF!), 0))</f>
        <v/>
      </c>
      <c r="TZQ224" s="19" t="str">
        <f>IF(TZQ220 = "", "", IFERROR(TZQ220 / SUMIFS(Aux_Totales!$N:$N, Aux_Totales!$F:$F, $F224, Aux_Totales!$A:$A,#REF!), 0))</f>
        <v/>
      </c>
      <c r="TZR224" s="19" t="str">
        <f>IF(TZR220 = "", "", IFERROR(TZR220 / SUMIFS(Aux_Totales!$N:$N, Aux_Totales!$F:$F, $F224, Aux_Totales!$A:$A,#REF!), 0))</f>
        <v/>
      </c>
      <c r="TZS224" s="19" t="str">
        <f>IF(TZS220 = "", "", IFERROR(TZS220 / SUMIFS(Aux_Totales!$N:$N, Aux_Totales!$F:$F, $F224, Aux_Totales!$A:$A,#REF!), 0))</f>
        <v/>
      </c>
      <c r="TZT224" s="19" t="str">
        <f>IF(TZT220 = "", "", IFERROR(TZT220 / SUMIFS(Aux_Totales!$N:$N, Aux_Totales!$F:$F, $F224, Aux_Totales!$A:$A,#REF!), 0))</f>
        <v/>
      </c>
      <c r="TZU224" s="19" t="str">
        <f>IF(TZU220 = "", "", IFERROR(TZU220 / SUMIFS(Aux_Totales!$N:$N, Aux_Totales!$F:$F, $F224, Aux_Totales!$A:$A,#REF!), 0))</f>
        <v/>
      </c>
      <c r="TZV224" s="19" t="str">
        <f>IF(TZV220 = "", "", IFERROR(TZV220 / SUMIFS(Aux_Totales!$N:$N, Aux_Totales!$F:$F, $F224, Aux_Totales!$A:$A,#REF!), 0))</f>
        <v/>
      </c>
      <c r="TZW224" s="19" t="str">
        <f>IF(TZW220 = "", "", IFERROR(TZW220 / SUMIFS(Aux_Totales!$N:$N, Aux_Totales!$F:$F, $F224, Aux_Totales!$A:$A,#REF!), 0))</f>
        <v/>
      </c>
      <c r="TZX224" s="19" t="str">
        <f>IF(TZX220 = "", "", IFERROR(TZX220 / SUMIFS(Aux_Totales!$N:$N, Aux_Totales!$F:$F, $F224, Aux_Totales!$A:$A,#REF!), 0))</f>
        <v/>
      </c>
      <c r="TZY224" s="19" t="str">
        <f>IF(TZY220 = "", "", IFERROR(TZY220 / SUMIFS(Aux_Totales!$N:$N, Aux_Totales!$F:$F, $F224, Aux_Totales!$A:$A,#REF!), 0))</f>
        <v/>
      </c>
      <c r="TZZ224" s="19" t="str">
        <f>IF(TZZ220 = "", "", IFERROR(TZZ220 / SUMIFS(Aux_Totales!$N:$N, Aux_Totales!$F:$F, $F224, Aux_Totales!$A:$A,#REF!), 0))</f>
        <v/>
      </c>
      <c r="UAA224" s="19" t="str">
        <f>IF(UAA220 = "", "", IFERROR(UAA220 / SUMIFS(Aux_Totales!$N:$N, Aux_Totales!$F:$F, $F224, Aux_Totales!$A:$A,#REF!), 0))</f>
        <v/>
      </c>
      <c r="UAB224" s="19" t="str">
        <f>IF(UAB220 = "", "", IFERROR(UAB220 / SUMIFS(Aux_Totales!$N:$N, Aux_Totales!$F:$F, $F224, Aux_Totales!$A:$A,#REF!), 0))</f>
        <v/>
      </c>
      <c r="UAC224" s="19" t="str">
        <f>IF(UAC220 = "", "", IFERROR(UAC220 / SUMIFS(Aux_Totales!$N:$N, Aux_Totales!$F:$F, $F224, Aux_Totales!$A:$A,#REF!), 0))</f>
        <v/>
      </c>
      <c r="UAD224" s="19" t="str">
        <f>IF(UAD220 = "", "", IFERROR(UAD220 / SUMIFS(Aux_Totales!$N:$N, Aux_Totales!$F:$F, $F224, Aux_Totales!$A:$A,#REF!), 0))</f>
        <v/>
      </c>
      <c r="UAE224" s="19" t="str">
        <f>IF(UAE220 = "", "", IFERROR(UAE220 / SUMIFS(Aux_Totales!$N:$N, Aux_Totales!$F:$F, $F224, Aux_Totales!$A:$A,#REF!), 0))</f>
        <v/>
      </c>
      <c r="UAF224" s="19" t="str">
        <f>IF(UAF220 = "", "", IFERROR(UAF220 / SUMIFS(Aux_Totales!$N:$N, Aux_Totales!$F:$F, $F224, Aux_Totales!$A:$A,#REF!), 0))</f>
        <v/>
      </c>
      <c r="UAG224" s="19" t="str">
        <f>IF(UAG220 = "", "", IFERROR(UAG220 / SUMIFS(Aux_Totales!$N:$N, Aux_Totales!$F:$F, $F224, Aux_Totales!$A:$A,#REF!), 0))</f>
        <v/>
      </c>
      <c r="UAH224" s="19" t="str">
        <f>IF(UAH220 = "", "", IFERROR(UAH220 / SUMIFS(Aux_Totales!$N:$N, Aux_Totales!$F:$F, $F224, Aux_Totales!$A:$A,#REF!), 0))</f>
        <v/>
      </c>
      <c r="UAI224" s="19" t="str">
        <f>IF(UAI220 = "", "", IFERROR(UAI220 / SUMIFS(Aux_Totales!$N:$N, Aux_Totales!$F:$F, $F224, Aux_Totales!$A:$A,#REF!), 0))</f>
        <v/>
      </c>
      <c r="UAJ224" s="19" t="str">
        <f>IF(UAJ220 = "", "", IFERROR(UAJ220 / SUMIFS(Aux_Totales!$N:$N, Aux_Totales!$F:$F, $F224, Aux_Totales!$A:$A,#REF!), 0))</f>
        <v/>
      </c>
      <c r="UAK224" s="19" t="str">
        <f>IF(UAK220 = "", "", IFERROR(UAK220 / SUMIFS(Aux_Totales!$N:$N, Aux_Totales!$F:$F, $F224, Aux_Totales!$A:$A,#REF!), 0))</f>
        <v/>
      </c>
      <c r="UAL224" s="19" t="str">
        <f>IF(UAL220 = "", "", IFERROR(UAL220 / SUMIFS(Aux_Totales!$N:$N, Aux_Totales!$F:$F, $F224, Aux_Totales!$A:$A,#REF!), 0))</f>
        <v/>
      </c>
      <c r="UAM224" s="19" t="str">
        <f>IF(UAM220 = "", "", IFERROR(UAM220 / SUMIFS(Aux_Totales!$N:$N, Aux_Totales!$F:$F, $F224, Aux_Totales!$A:$A,#REF!), 0))</f>
        <v/>
      </c>
      <c r="UAN224" s="19" t="str">
        <f>IF(UAN220 = "", "", IFERROR(UAN220 / SUMIFS(Aux_Totales!$N:$N, Aux_Totales!$F:$F, $F224, Aux_Totales!$A:$A,#REF!), 0))</f>
        <v/>
      </c>
      <c r="UAO224" s="19" t="str">
        <f>IF(UAO220 = "", "", IFERROR(UAO220 / SUMIFS(Aux_Totales!$N:$N, Aux_Totales!$F:$F, $F224, Aux_Totales!$A:$A,#REF!), 0))</f>
        <v/>
      </c>
      <c r="UAP224" s="19" t="str">
        <f>IF(UAP220 = "", "", IFERROR(UAP220 / SUMIFS(Aux_Totales!$N:$N, Aux_Totales!$F:$F, $F224, Aux_Totales!$A:$A,#REF!), 0))</f>
        <v/>
      </c>
      <c r="UAQ224" s="19" t="str">
        <f>IF(UAQ220 = "", "", IFERROR(UAQ220 / SUMIFS(Aux_Totales!$N:$N, Aux_Totales!$F:$F, $F224, Aux_Totales!$A:$A,#REF!), 0))</f>
        <v/>
      </c>
      <c r="UAR224" s="19" t="str">
        <f>IF(UAR220 = "", "", IFERROR(UAR220 / SUMIFS(Aux_Totales!$N:$N, Aux_Totales!$F:$F, $F224, Aux_Totales!$A:$A,#REF!), 0))</f>
        <v/>
      </c>
      <c r="UAS224" s="19" t="str">
        <f>IF(UAS220 = "", "", IFERROR(UAS220 / SUMIFS(Aux_Totales!$N:$N, Aux_Totales!$F:$F, $F224, Aux_Totales!$A:$A,#REF!), 0))</f>
        <v/>
      </c>
      <c r="UAT224" s="19" t="str">
        <f>IF(UAT220 = "", "", IFERROR(UAT220 / SUMIFS(Aux_Totales!$N:$N, Aux_Totales!$F:$F, $F224, Aux_Totales!$A:$A,#REF!), 0))</f>
        <v/>
      </c>
      <c r="UAU224" s="19" t="str">
        <f>IF(UAU220 = "", "", IFERROR(UAU220 / SUMIFS(Aux_Totales!$N:$N, Aux_Totales!$F:$F, $F224, Aux_Totales!$A:$A,#REF!), 0))</f>
        <v/>
      </c>
      <c r="UAV224" s="19" t="str">
        <f>IF(UAV220 = "", "", IFERROR(UAV220 / SUMIFS(Aux_Totales!$N:$N, Aux_Totales!$F:$F, $F224, Aux_Totales!$A:$A,#REF!), 0))</f>
        <v/>
      </c>
      <c r="UAW224" s="19" t="str">
        <f>IF(UAW220 = "", "", IFERROR(UAW220 / SUMIFS(Aux_Totales!$N:$N, Aux_Totales!$F:$F, $F224, Aux_Totales!$A:$A,#REF!), 0))</f>
        <v/>
      </c>
      <c r="UAX224" s="19" t="str">
        <f>IF(UAX220 = "", "", IFERROR(UAX220 / SUMIFS(Aux_Totales!$N:$N, Aux_Totales!$F:$F, $F224, Aux_Totales!$A:$A,#REF!), 0))</f>
        <v/>
      </c>
      <c r="UAY224" s="19" t="str">
        <f>IF(UAY220 = "", "", IFERROR(UAY220 / SUMIFS(Aux_Totales!$N:$N, Aux_Totales!$F:$F, $F224, Aux_Totales!$A:$A,#REF!), 0))</f>
        <v/>
      </c>
      <c r="UAZ224" s="19" t="str">
        <f>IF(UAZ220 = "", "", IFERROR(UAZ220 / SUMIFS(Aux_Totales!$N:$N, Aux_Totales!$F:$F, $F224, Aux_Totales!$A:$A,#REF!), 0))</f>
        <v/>
      </c>
      <c r="UBA224" s="19" t="str">
        <f>IF(UBA220 = "", "", IFERROR(UBA220 / SUMIFS(Aux_Totales!$N:$N, Aux_Totales!$F:$F, $F224, Aux_Totales!$A:$A,#REF!), 0))</f>
        <v/>
      </c>
      <c r="UBB224" s="19" t="str">
        <f>IF(UBB220 = "", "", IFERROR(UBB220 / SUMIFS(Aux_Totales!$N:$N, Aux_Totales!$F:$F, $F224, Aux_Totales!$A:$A,#REF!), 0))</f>
        <v/>
      </c>
      <c r="UBC224" s="19" t="str">
        <f>IF(UBC220 = "", "", IFERROR(UBC220 / SUMIFS(Aux_Totales!$N:$N, Aux_Totales!$F:$F, $F224, Aux_Totales!$A:$A,#REF!), 0))</f>
        <v/>
      </c>
      <c r="UBD224" s="19" t="str">
        <f>IF(UBD220 = "", "", IFERROR(UBD220 / SUMIFS(Aux_Totales!$N:$N, Aux_Totales!$F:$F, $F224, Aux_Totales!$A:$A,#REF!), 0))</f>
        <v/>
      </c>
      <c r="UBE224" s="19" t="str">
        <f>IF(UBE220 = "", "", IFERROR(UBE220 / SUMIFS(Aux_Totales!$N:$N, Aux_Totales!$F:$F, $F224, Aux_Totales!$A:$A,#REF!), 0))</f>
        <v/>
      </c>
      <c r="UBF224" s="19" t="str">
        <f>IF(UBF220 = "", "", IFERROR(UBF220 / SUMIFS(Aux_Totales!$N:$N, Aux_Totales!$F:$F, $F224, Aux_Totales!$A:$A,#REF!), 0))</f>
        <v/>
      </c>
      <c r="UBG224" s="19" t="str">
        <f>IF(UBG220 = "", "", IFERROR(UBG220 / SUMIFS(Aux_Totales!$N:$N, Aux_Totales!$F:$F, $F224, Aux_Totales!$A:$A,#REF!), 0))</f>
        <v/>
      </c>
      <c r="UBH224" s="19" t="str">
        <f>IF(UBH220 = "", "", IFERROR(UBH220 / SUMIFS(Aux_Totales!$N:$N, Aux_Totales!$F:$F, $F224, Aux_Totales!$A:$A,#REF!), 0))</f>
        <v/>
      </c>
      <c r="UBI224" s="19" t="str">
        <f>IF(UBI220 = "", "", IFERROR(UBI220 / SUMIFS(Aux_Totales!$N:$N, Aux_Totales!$F:$F, $F224, Aux_Totales!$A:$A,#REF!), 0))</f>
        <v/>
      </c>
      <c r="UBJ224" s="19" t="str">
        <f>IF(UBJ220 = "", "", IFERROR(UBJ220 / SUMIFS(Aux_Totales!$N:$N, Aux_Totales!$F:$F, $F224, Aux_Totales!$A:$A,#REF!), 0))</f>
        <v/>
      </c>
      <c r="UBK224" s="19" t="str">
        <f>IF(UBK220 = "", "", IFERROR(UBK220 / SUMIFS(Aux_Totales!$N:$N, Aux_Totales!$F:$F, $F224, Aux_Totales!$A:$A,#REF!), 0))</f>
        <v/>
      </c>
      <c r="UBL224" s="19" t="str">
        <f>IF(UBL220 = "", "", IFERROR(UBL220 / SUMIFS(Aux_Totales!$N:$N, Aux_Totales!$F:$F, $F224, Aux_Totales!$A:$A,#REF!), 0))</f>
        <v/>
      </c>
      <c r="UBM224" s="19" t="str">
        <f>IF(UBM220 = "", "", IFERROR(UBM220 / SUMIFS(Aux_Totales!$N:$N, Aux_Totales!$F:$F, $F224, Aux_Totales!$A:$A,#REF!), 0))</f>
        <v/>
      </c>
      <c r="UBN224" s="19" t="str">
        <f>IF(UBN220 = "", "", IFERROR(UBN220 / SUMIFS(Aux_Totales!$N:$N, Aux_Totales!$F:$F, $F224, Aux_Totales!$A:$A,#REF!), 0))</f>
        <v/>
      </c>
      <c r="UBO224" s="19" t="str">
        <f>IF(UBO220 = "", "", IFERROR(UBO220 / SUMIFS(Aux_Totales!$N:$N, Aux_Totales!$F:$F, $F224, Aux_Totales!$A:$A,#REF!), 0))</f>
        <v/>
      </c>
      <c r="UBP224" s="19" t="str">
        <f>IF(UBP220 = "", "", IFERROR(UBP220 / SUMIFS(Aux_Totales!$N:$N, Aux_Totales!$F:$F, $F224, Aux_Totales!$A:$A,#REF!), 0))</f>
        <v/>
      </c>
      <c r="UBQ224" s="19" t="str">
        <f>IF(UBQ220 = "", "", IFERROR(UBQ220 / SUMIFS(Aux_Totales!$N:$N, Aux_Totales!$F:$F, $F224, Aux_Totales!$A:$A,#REF!), 0))</f>
        <v/>
      </c>
      <c r="UBR224" s="19" t="str">
        <f>IF(UBR220 = "", "", IFERROR(UBR220 / SUMIFS(Aux_Totales!$N:$N, Aux_Totales!$F:$F, $F224, Aux_Totales!$A:$A,#REF!), 0))</f>
        <v/>
      </c>
      <c r="UBS224" s="19" t="str">
        <f>IF(UBS220 = "", "", IFERROR(UBS220 / SUMIFS(Aux_Totales!$N:$N, Aux_Totales!$F:$F, $F224, Aux_Totales!$A:$A,#REF!), 0))</f>
        <v/>
      </c>
      <c r="UBT224" s="19" t="str">
        <f>IF(UBT220 = "", "", IFERROR(UBT220 / SUMIFS(Aux_Totales!$N:$N, Aux_Totales!$F:$F, $F224, Aux_Totales!$A:$A,#REF!), 0))</f>
        <v/>
      </c>
      <c r="UBU224" s="19" t="str">
        <f>IF(UBU220 = "", "", IFERROR(UBU220 / SUMIFS(Aux_Totales!$N:$N, Aux_Totales!$F:$F, $F224, Aux_Totales!$A:$A,#REF!), 0))</f>
        <v/>
      </c>
      <c r="UBV224" s="19" t="str">
        <f>IF(UBV220 = "", "", IFERROR(UBV220 / SUMIFS(Aux_Totales!$N:$N, Aux_Totales!$F:$F, $F224, Aux_Totales!$A:$A,#REF!), 0))</f>
        <v/>
      </c>
      <c r="UBW224" s="19" t="str">
        <f>IF(UBW220 = "", "", IFERROR(UBW220 / SUMIFS(Aux_Totales!$N:$N, Aux_Totales!$F:$F, $F224, Aux_Totales!$A:$A,#REF!), 0))</f>
        <v/>
      </c>
      <c r="UBX224" s="19" t="str">
        <f>IF(UBX220 = "", "", IFERROR(UBX220 / SUMIFS(Aux_Totales!$N:$N, Aux_Totales!$F:$F, $F224, Aux_Totales!$A:$A,#REF!), 0))</f>
        <v/>
      </c>
      <c r="UBY224" s="19" t="str">
        <f>IF(UBY220 = "", "", IFERROR(UBY220 / SUMIFS(Aux_Totales!$N:$N, Aux_Totales!$F:$F, $F224, Aux_Totales!$A:$A,#REF!), 0))</f>
        <v/>
      </c>
      <c r="UBZ224" s="19" t="str">
        <f>IF(UBZ220 = "", "", IFERROR(UBZ220 / SUMIFS(Aux_Totales!$N:$N, Aux_Totales!$F:$F, $F224, Aux_Totales!$A:$A,#REF!), 0))</f>
        <v/>
      </c>
      <c r="UCA224" s="19" t="str">
        <f>IF(UCA220 = "", "", IFERROR(UCA220 / SUMIFS(Aux_Totales!$N:$N, Aux_Totales!$F:$F, $F224, Aux_Totales!$A:$A,#REF!), 0))</f>
        <v/>
      </c>
      <c r="UCB224" s="19" t="str">
        <f>IF(UCB220 = "", "", IFERROR(UCB220 / SUMIFS(Aux_Totales!$N:$N, Aux_Totales!$F:$F, $F224, Aux_Totales!$A:$A,#REF!), 0))</f>
        <v/>
      </c>
      <c r="UCC224" s="19" t="str">
        <f>IF(UCC220 = "", "", IFERROR(UCC220 / SUMIFS(Aux_Totales!$N:$N, Aux_Totales!$F:$F, $F224, Aux_Totales!$A:$A,#REF!), 0))</f>
        <v/>
      </c>
      <c r="UCD224" s="19" t="str">
        <f>IF(UCD220 = "", "", IFERROR(UCD220 / SUMIFS(Aux_Totales!$N:$N, Aux_Totales!$F:$F, $F224, Aux_Totales!$A:$A,#REF!), 0))</f>
        <v/>
      </c>
      <c r="UCE224" s="19" t="str">
        <f>IF(UCE220 = "", "", IFERROR(UCE220 / SUMIFS(Aux_Totales!$N:$N, Aux_Totales!$F:$F, $F224, Aux_Totales!$A:$A,#REF!), 0))</f>
        <v/>
      </c>
      <c r="UCF224" s="19" t="str">
        <f>IF(UCF220 = "", "", IFERROR(UCF220 / SUMIFS(Aux_Totales!$N:$N, Aux_Totales!$F:$F, $F224, Aux_Totales!$A:$A,#REF!), 0))</f>
        <v/>
      </c>
      <c r="UCG224" s="19" t="str">
        <f>IF(UCG220 = "", "", IFERROR(UCG220 / SUMIFS(Aux_Totales!$N:$N, Aux_Totales!$F:$F, $F224, Aux_Totales!$A:$A,#REF!), 0))</f>
        <v/>
      </c>
      <c r="UCH224" s="19" t="str">
        <f>IF(UCH220 = "", "", IFERROR(UCH220 / SUMIFS(Aux_Totales!$N:$N, Aux_Totales!$F:$F, $F224, Aux_Totales!$A:$A,#REF!), 0))</f>
        <v/>
      </c>
      <c r="UCI224" s="19" t="str">
        <f>IF(UCI220 = "", "", IFERROR(UCI220 / SUMIFS(Aux_Totales!$N:$N, Aux_Totales!$F:$F, $F224, Aux_Totales!$A:$A,#REF!), 0))</f>
        <v/>
      </c>
      <c r="UCJ224" s="19" t="str">
        <f>IF(UCJ220 = "", "", IFERROR(UCJ220 / SUMIFS(Aux_Totales!$N:$N, Aux_Totales!$F:$F, $F224, Aux_Totales!$A:$A,#REF!), 0))</f>
        <v/>
      </c>
      <c r="UCK224" s="19" t="str">
        <f>IF(UCK220 = "", "", IFERROR(UCK220 / SUMIFS(Aux_Totales!$N:$N, Aux_Totales!$F:$F, $F224, Aux_Totales!$A:$A,#REF!), 0))</f>
        <v/>
      </c>
      <c r="UCL224" s="19" t="str">
        <f>IF(UCL220 = "", "", IFERROR(UCL220 / SUMIFS(Aux_Totales!$N:$N, Aux_Totales!$F:$F, $F224, Aux_Totales!$A:$A,#REF!), 0))</f>
        <v/>
      </c>
      <c r="UCM224" s="19" t="str">
        <f>IF(UCM220 = "", "", IFERROR(UCM220 / SUMIFS(Aux_Totales!$N:$N, Aux_Totales!$F:$F, $F224, Aux_Totales!$A:$A,#REF!), 0))</f>
        <v/>
      </c>
      <c r="UCN224" s="19" t="str">
        <f>IF(UCN220 = "", "", IFERROR(UCN220 / SUMIFS(Aux_Totales!$N:$N, Aux_Totales!$F:$F, $F224, Aux_Totales!$A:$A,#REF!), 0))</f>
        <v/>
      </c>
      <c r="UCO224" s="19" t="str">
        <f>IF(UCO220 = "", "", IFERROR(UCO220 / SUMIFS(Aux_Totales!$N:$N, Aux_Totales!$F:$F, $F224, Aux_Totales!$A:$A,#REF!), 0))</f>
        <v/>
      </c>
      <c r="UCP224" s="19" t="str">
        <f>IF(UCP220 = "", "", IFERROR(UCP220 / SUMIFS(Aux_Totales!$N:$N, Aux_Totales!$F:$F, $F224, Aux_Totales!$A:$A,#REF!), 0))</f>
        <v/>
      </c>
      <c r="UCQ224" s="19" t="str">
        <f>IF(UCQ220 = "", "", IFERROR(UCQ220 / SUMIFS(Aux_Totales!$N:$N, Aux_Totales!$F:$F, $F224, Aux_Totales!$A:$A,#REF!), 0))</f>
        <v/>
      </c>
      <c r="UCR224" s="19" t="str">
        <f>IF(UCR220 = "", "", IFERROR(UCR220 / SUMIFS(Aux_Totales!$N:$N, Aux_Totales!$F:$F, $F224, Aux_Totales!$A:$A,#REF!), 0))</f>
        <v/>
      </c>
      <c r="UCS224" s="19" t="str">
        <f>IF(UCS220 = "", "", IFERROR(UCS220 / SUMIFS(Aux_Totales!$N:$N, Aux_Totales!$F:$F, $F224, Aux_Totales!$A:$A,#REF!), 0))</f>
        <v/>
      </c>
      <c r="UCT224" s="19" t="str">
        <f>IF(UCT220 = "", "", IFERROR(UCT220 / SUMIFS(Aux_Totales!$N:$N, Aux_Totales!$F:$F, $F224, Aux_Totales!$A:$A,#REF!), 0))</f>
        <v/>
      </c>
      <c r="UCU224" s="19" t="str">
        <f>IF(UCU220 = "", "", IFERROR(UCU220 / SUMIFS(Aux_Totales!$N:$N, Aux_Totales!$F:$F, $F224, Aux_Totales!$A:$A,#REF!), 0))</f>
        <v/>
      </c>
      <c r="UCV224" s="19" t="str">
        <f>IF(UCV220 = "", "", IFERROR(UCV220 / SUMIFS(Aux_Totales!$N:$N, Aux_Totales!$F:$F, $F224, Aux_Totales!$A:$A,#REF!), 0))</f>
        <v/>
      </c>
      <c r="UCW224" s="19" t="str">
        <f>IF(UCW220 = "", "", IFERROR(UCW220 / SUMIFS(Aux_Totales!$N:$N, Aux_Totales!$F:$F, $F224, Aux_Totales!$A:$A,#REF!), 0))</f>
        <v/>
      </c>
      <c r="UCX224" s="19" t="str">
        <f>IF(UCX220 = "", "", IFERROR(UCX220 / SUMIFS(Aux_Totales!$N:$N, Aux_Totales!$F:$F, $F224, Aux_Totales!$A:$A,#REF!), 0))</f>
        <v/>
      </c>
      <c r="UCY224" s="19" t="str">
        <f>IF(UCY220 = "", "", IFERROR(UCY220 / SUMIFS(Aux_Totales!$N:$N, Aux_Totales!$F:$F, $F224, Aux_Totales!$A:$A,#REF!), 0))</f>
        <v/>
      </c>
      <c r="UCZ224" s="19" t="str">
        <f>IF(UCZ220 = "", "", IFERROR(UCZ220 / SUMIFS(Aux_Totales!$N:$N, Aux_Totales!$F:$F, $F224, Aux_Totales!$A:$A,#REF!), 0))</f>
        <v/>
      </c>
      <c r="UDA224" s="19" t="str">
        <f>IF(UDA220 = "", "", IFERROR(UDA220 / SUMIFS(Aux_Totales!$N:$N, Aux_Totales!$F:$F, $F224, Aux_Totales!$A:$A,#REF!), 0))</f>
        <v/>
      </c>
      <c r="UDB224" s="19" t="str">
        <f>IF(UDB220 = "", "", IFERROR(UDB220 / SUMIFS(Aux_Totales!$N:$N, Aux_Totales!$F:$F, $F224, Aux_Totales!$A:$A,#REF!), 0))</f>
        <v/>
      </c>
      <c r="UDC224" s="19" t="str">
        <f>IF(UDC220 = "", "", IFERROR(UDC220 / SUMIFS(Aux_Totales!$N:$N, Aux_Totales!$F:$F, $F224, Aux_Totales!$A:$A,#REF!), 0))</f>
        <v/>
      </c>
      <c r="UDD224" s="19" t="str">
        <f>IF(UDD220 = "", "", IFERROR(UDD220 / SUMIFS(Aux_Totales!$N:$N, Aux_Totales!$F:$F, $F224, Aux_Totales!$A:$A,#REF!), 0))</f>
        <v/>
      </c>
      <c r="UDE224" s="19" t="str">
        <f>IF(UDE220 = "", "", IFERROR(UDE220 / SUMIFS(Aux_Totales!$N:$N, Aux_Totales!$F:$F, $F224, Aux_Totales!$A:$A,#REF!), 0))</f>
        <v/>
      </c>
      <c r="UDF224" s="19" t="str">
        <f>IF(UDF220 = "", "", IFERROR(UDF220 / SUMIFS(Aux_Totales!$N:$N, Aux_Totales!$F:$F, $F224, Aux_Totales!$A:$A,#REF!), 0))</f>
        <v/>
      </c>
      <c r="UDG224" s="19" t="str">
        <f>IF(UDG220 = "", "", IFERROR(UDG220 / SUMIFS(Aux_Totales!$N:$N, Aux_Totales!$F:$F, $F224, Aux_Totales!$A:$A,#REF!), 0))</f>
        <v/>
      </c>
      <c r="UDH224" s="19" t="str">
        <f>IF(UDH220 = "", "", IFERROR(UDH220 / SUMIFS(Aux_Totales!$N:$N, Aux_Totales!$F:$F, $F224, Aux_Totales!$A:$A,#REF!), 0))</f>
        <v/>
      </c>
      <c r="UDI224" s="19" t="str">
        <f>IF(UDI220 = "", "", IFERROR(UDI220 / SUMIFS(Aux_Totales!$N:$N, Aux_Totales!$F:$F, $F224, Aux_Totales!$A:$A,#REF!), 0))</f>
        <v/>
      </c>
      <c r="UDJ224" s="19" t="str">
        <f>IF(UDJ220 = "", "", IFERROR(UDJ220 / SUMIFS(Aux_Totales!$N:$N, Aux_Totales!$F:$F, $F224, Aux_Totales!$A:$A,#REF!), 0))</f>
        <v/>
      </c>
      <c r="UDK224" s="19" t="str">
        <f>IF(UDK220 = "", "", IFERROR(UDK220 / SUMIFS(Aux_Totales!$N:$N, Aux_Totales!$F:$F, $F224, Aux_Totales!$A:$A,#REF!), 0))</f>
        <v/>
      </c>
      <c r="UDL224" s="19" t="str">
        <f>IF(UDL220 = "", "", IFERROR(UDL220 / SUMIFS(Aux_Totales!$N:$N, Aux_Totales!$F:$F, $F224, Aux_Totales!$A:$A,#REF!), 0))</f>
        <v/>
      </c>
      <c r="UDM224" s="19" t="str">
        <f>IF(UDM220 = "", "", IFERROR(UDM220 / SUMIFS(Aux_Totales!$N:$N, Aux_Totales!$F:$F, $F224, Aux_Totales!$A:$A,#REF!), 0))</f>
        <v/>
      </c>
      <c r="UDN224" s="19" t="str">
        <f>IF(UDN220 = "", "", IFERROR(UDN220 / SUMIFS(Aux_Totales!$N:$N, Aux_Totales!$F:$F, $F224, Aux_Totales!$A:$A,#REF!), 0))</f>
        <v/>
      </c>
      <c r="UDO224" s="19" t="str">
        <f>IF(UDO220 = "", "", IFERROR(UDO220 / SUMIFS(Aux_Totales!$N:$N, Aux_Totales!$F:$F, $F224, Aux_Totales!$A:$A,#REF!), 0))</f>
        <v/>
      </c>
      <c r="UDP224" s="19" t="str">
        <f>IF(UDP220 = "", "", IFERROR(UDP220 / SUMIFS(Aux_Totales!$N:$N, Aux_Totales!$F:$F, $F224, Aux_Totales!$A:$A,#REF!), 0))</f>
        <v/>
      </c>
      <c r="UDQ224" s="19" t="str">
        <f>IF(UDQ220 = "", "", IFERROR(UDQ220 / SUMIFS(Aux_Totales!$N:$N, Aux_Totales!$F:$F, $F224, Aux_Totales!$A:$A,#REF!), 0))</f>
        <v/>
      </c>
      <c r="UDR224" s="19" t="str">
        <f>IF(UDR220 = "", "", IFERROR(UDR220 / SUMIFS(Aux_Totales!$N:$N, Aux_Totales!$F:$F, $F224, Aux_Totales!$A:$A,#REF!), 0))</f>
        <v/>
      </c>
      <c r="UDS224" s="19" t="str">
        <f>IF(UDS220 = "", "", IFERROR(UDS220 / SUMIFS(Aux_Totales!$N:$N, Aux_Totales!$F:$F, $F224, Aux_Totales!$A:$A,#REF!), 0))</f>
        <v/>
      </c>
      <c r="UDT224" s="19" t="str">
        <f>IF(UDT220 = "", "", IFERROR(UDT220 / SUMIFS(Aux_Totales!$N:$N, Aux_Totales!$F:$F, $F224, Aux_Totales!$A:$A,#REF!), 0))</f>
        <v/>
      </c>
      <c r="UDU224" s="19" t="str">
        <f>IF(UDU220 = "", "", IFERROR(UDU220 / SUMIFS(Aux_Totales!$N:$N, Aux_Totales!$F:$F, $F224, Aux_Totales!$A:$A,#REF!), 0))</f>
        <v/>
      </c>
      <c r="UDV224" s="19" t="str">
        <f>IF(UDV220 = "", "", IFERROR(UDV220 / SUMIFS(Aux_Totales!$N:$N, Aux_Totales!$F:$F, $F224, Aux_Totales!$A:$A,#REF!), 0))</f>
        <v/>
      </c>
      <c r="UDW224" s="19" t="str">
        <f>IF(UDW220 = "", "", IFERROR(UDW220 / SUMIFS(Aux_Totales!$N:$N, Aux_Totales!$F:$F, $F224, Aux_Totales!$A:$A,#REF!), 0))</f>
        <v/>
      </c>
      <c r="UDX224" s="19" t="str">
        <f>IF(UDX220 = "", "", IFERROR(UDX220 / SUMIFS(Aux_Totales!$N:$N, Aux_Totales!$F:$F, $F224, Aux_Totales!$A:$A,#REF!), 0))</f>
        <v/>
      </c>
      <c r="UDY224" s="19" t="str">
        <f>IF(UDY220 = "", "", IFERROR(UDY220 / SUMIFS(Aux_Totales!$N:$N, Aux_Totales!$F:$F, $F224, Aux_Totales!$A:$A,#REF!), 0))</f>
        <v/>
      </c>
      <c r="UDZ224" s="19" t="str">
        <f>IF(UDZ220 = "", "", IFERROR(UDZ220 / SUMIFS(Aux_Totales!$N:$N, Aux_Totales!$F:$F, $F224, Aux_Totales!$A:$A,#REF!), 0))</f>
        <v/>
      </c>
      <c r="UEA224" s="19" t="str">
        <f>IF(UEA220 = "", "", IFERROR(UEA220 / SUMIFS(Aux_Totales!$N:$N, Aux_Totales!$F:$F, $F224, Aux_Totales!$A:$A,#REF!), 0))</f>
        <v/>
      </c>
      <c r="UEB224" s="19" t="str">
        <f>IF(UEB220 = "", "", IFERROR(UEB220 / SUMIFS(Aux_Totales!$N:$N, Aux_Totales!$F:$F, $F224, Aux_Totales!$A:$A,#REF!), 0))</f>
        <v/>
      </c>
      <c r="UEC224" s="19" t="str">
        <f>IF(UEC220 = "", "", IFERROR(UEC220 / SUMIFS(Aux_Totales!$N:$N, Aux_Totales!$F:$F, $F224, Aux_Totales!$A:$A,#REF!), 0))</f>
        <v/>
      </c>
      <c r="UED224" s="19" t="str">
        <f>IF(UED220 = "", "", IFERROR(UED220 / SUMIFS(Aux_Totales!$N:$N, Aux_Totales!$F:$F, $F224, Aux_Totales!$A:$A,#REF!), 0))</f>
        <v/>
      </c>
      <c r="UEE224" s="19" t="str">
        <f>IF(UEE220 = "", "", IFERROR(UEE220 / SUMIFS(Aux_Totales!$N:$N, Aux_Totales!$F:$F, $F224, Aux_Totales!$A:$A,#REF!), 0))</f>
        <v/>
      </c>
      <c r="UEF224" s="19" t="str">
        <f>IF(UEF220 = "", "", IFERROR(UEF220 / SUMIFS(Aux_Totales!$N:$N, Aux_Totales!$F:$F, $F224, Aux_Totales!$A:$A,#REF!), 0))</f>
        <v/>
      </c>
      <c r="UEG224" s="19" t="str">
        <f>IF(UEG220 = "", "", IFERROR(UEG220 / SUMIFS(Aux_Totales!$N:$N, Aux_Totales!$F:$F, $F224, Aux_Totales!$A:$A,#REF!), 0))</f>
        <v/>
      </c>
      <c r="UEH224" s="19" t="str">
        <f>IF(UEH220 = "", "", IFERROR(UEH220 / SUMIFS(Aux_Totales!$N:$N, Aux_Totales!$F:$F, $F224, Aux_Totales!$A:$A,#REF!), 0))</f>
        <v/>
      </c>
      <c r="UEI224" s="19" t="str">
        <f>IF(UEI220 = "", "", IFERROR(UEI220 / SUMIFS(Aux_Totales!$N:$N, Aux_Totales!$F:$F, $F224, Aux_Totales!$A:$A,#REF!), 0))</f>
        <v/>
      </c>
      <c r="UEJ224" s="19" t="str">
        <f>IF(UEJ220 = "", "", IFERROR(UEJ220 / SUMIFS(Aux_Totales!$N:$N, Aux_Totales!$F:$F, $F224, Aux_Totales!$A:$A,#REF!), 0))</f>
        <v/>
      </c>
      <c r="UEK224" s="19" t="str">
        <f>IF(UEK220 = "", "", IFERROR(UEK220 / SUMIFS(Aux_Totales!$N:$N, Aux_Totales!$F:$F, $F224, Aux_Totales!$A:$A,#REF!), 0))</f>
        <v/>
      </c>
      <c r="UEL224" s="19" t="str">
        <f>IF(UEL220 = "", "", IFERROR(UEL220 / SUMIFS(Aux_Totales!$N:$N, Aux_Totales!$F:$F, $F224, Aux_Totales!$A:$A,#REF!), 0))</f>
        <v/>
      </c>
      <c r="UEM224" s="19" t="str">
        <f>IF(UEM220 = "", "", IFERROR(UEM220 / SUMIFS(Aux_Totales!$N:$N, Aux_Totales!$F:$F, $F224, Aux_Totales!$A:$A,#REF!), 0))</f>
        <v/>
      </c>
      <c r="UEN224" s="19" t="str">
        <f>IF(UEN220 = "", "", IFERROR(UEN220 / SUMIFS(Aux_Totales!$N:$N, Aux_Totales!$F:$F, $F224, Aux_Totales!$A:$A,#REF!), 0))</f>
        <v/>
      </c>
      <c r="UEO224" s="19" t="str">
        <f>IF(UEO220 = "", "", IFERROR(UEO220 / SUMIFS(Aux_Totales!$N:$N, Aux_Totales!$F:$F, $F224, Aux_Totales!$A:$A,#REF!), 0))</f>
        <v/>
      </c>
      <c r="UEP224" s="19" t="str">
        <f>IF(UEP220 = "", "", IFERROR(UEP220 / SUMIFS(Aux_Totales!$N:$N, Aux_Totales!$F:$F, $F224, Aux_Totales!$A:$A,#REF!), 0))</f>
        <v/>
      </c>
      <c r="UEQ224" s="19" t="str">
        <f>IF(UEQ220 = "", "", IFERROR(UEQ220 / SUMIFS(Aux_Totales!$N:$N, Aux_Totales!$F:$F, $F224, Aux_Totales!$A:$A,#REF!), 0))</f>
        <v/>
      </c>
      <c r="UER224" s="19" t="str">
        <f>IF(UER220 = "", "", IFERROR(UER220 / SUMIFS(Aux_Totales!$N:$N, Aux_Totales!$F:$F, $F224, Aux_Totales!$A:$A,#REF!), 0))</f>
        <v/>
      </c>
      <c r="UES224" s="19" t="str">
        <f>IF(UES220 = "", "", IFERROR(UES220 / SUMIFS(Aux_Totales!$N:$N, Aux_Totales!$F:$F, $F224, Aux_Totales!$A:$A,#REF!), 0))</f>
        <v/>
      </c>
      <c r="UET224" s="19" t="str">
        <f>IF(UET220 = "", "", IFERROR(UET220 / SUMIFS(Aux_Totales!$N:$N, Aux_Totales!$F:$F, $F224, Aux_Totales!$A:$A,#REF!), 0))</f>
        <v/>
      </c>
      <c r="UEU224" s="19" t="str">
        <f>IF(UEU220 = "", "", IFERROR(UEU220 / SUMIFS(Aux_Totales!$N:$N, Aux_Totales!$F:$F, $F224, Aux_Totales!$A:$A,#REF!), 0))</f>
        <v/>
      </c>
      <c r="UEV224" s="19" t="str">
        <f>IF(UEV220 = "", "", IFERROR(UEV220 / SUMIFS(Aux_Totales!$N:$N, Aux_Totales!$F:$F, $F224, Aux_Totales!$A:$A,#REF!), 0))</f>
        <v/>
      </c>
      <c r="UEW224" s="19" t="str">
        <f>IF(UEW220 = "", "", IFERROR(UEW220 / SUMIFS(Aux_Totales!$N:$N, Aux_Totales!$F:$F, $F224, Aux_Totales!$A:$A,#REF!), 0))</f>
        <v/>
      </c>
      <c r="UEX224" s="19" t="str">
        <f>IF(UEX220 = "", "", IFERROR(UEX220 / SUMIFS(Aux_Totales!$N:$N, Aux_Totales!$F:$F, $F224, Aux_Totales!$A:$A,#REF!), 0))</f>
        <v/>
      </c>
      <c r="UEY224" s="19" t="str">
        <f>IF(UEY220 = "", "", IFERROR(UEY220 / SUMIFS(Aux_Totales!$N:$N, Aux_Totales!$F:$F, $F224, Aux_Totales!$A:$A,#REF!), 0))</f>
        <v/>
      </c>
      <c r="UEZ224" s="19" t="str">
        <f>IF(UEZ220 = "", "", IFERROR(UEZ220 / SUMIFS(Aux_Totales!$N:$N, Aux_Totales!$F:$F, $F224, Aux_Totales!$A:$A,#REF!), 0))</f>
        <v/>
      </c>
      <c r="UFA224" s="19" t="str">
        <f>IF(UFA220 = "", "", IFERROR(UFA220 / SUMIFS(Aux_Totales!$N:$N, Aux_Totales!$F:$F, $F224, Aux_Totales!$A:$A,#REF!), 0))</f>
        <v/>
      </c>
      <c r="UFB224" s="19" t="str">
        <f>IF(UFB220 = "", "", IFERROR(UFB220 / SUMIFS(Aux_Totales!$N:$N, Aux_Totales!$F:$F, $F224, Aux_Totales!$A:$A,#REF!), 0))</f>
        <v/>
      </c>
      <c r="UFC224" s="19" t="str">
        <f>IF(UFC220 = "", "", IFERROR(UFC220 / SUMIFS(Aux_Totales!$N:$N, Aux_Totales!$F:$F, $F224, Aux_Totales!$A:$A,#REF!), 0))</f>
        <v/>
      </c>
      <c r="UFD224" s="19" t="str">
        <f>IF(UFD220 = "", "", IFERROR(UFD220 / SUMIFS(Aux_Totales!$N:$N, Aux_Totales!$F:$F, $F224, Aux_Totales!$A:$A,#REF!), 0))</f>
        <v/>
      </c>
      <c r="UFE224" s="19" t="str">
        <f>IF(UFE220 = "", "", IFERROR(UFE220 / SUMIFS(Aux_Totales!$N:$N, Aux_Totales!$F:$F, $F224, Aux_Totales!$A:$A,#REF!), 0))</f>
        <v/>
      </c>
      <c r="UFF224" s="19" t="str">
        <f>IF(UFF220 = "", "", IFERROR(UFF220 / SUMIFS(Aux_Totales!$N:$N, Aux_Totales!$F:$F, $F224, Aux_Totales!$A:$A,#REF!), 0))</f>
        <v/>
      </c>
      <c r="UFG224" s="19" t="str">
        <f>IF(UFG220 = "", "", IFERROR(UFG220 / SUMIFS(Aux_Totales!$N:$N, Aux_Totales!$F:$F, $F224, Aux_Totales!$A:$A,#REF!), 0))</f>
        <v/>
      </c>
      <c r="UFH224" s="19" t="str">
        <f>IF(UFH220 = "", "", IFERROR(UFH220 / SUMIFS(Aux_Totales!$N:$N, Aux_Totales!$F:$F, $F224, Aux_Totales!$A:$A,#REF!), 0))</f>
        <v/>
      </c>
      <c r="UFI224" s="19" t="str">
        <f>IF(UFI220 = "", "", IFERROR(UFI220 / SUMIFS(Aux_Totales!$N:$N, Aux_Totales!$F:$F, $F224, Aux_Totales!$A:$A,#REF!), 0))</f>
        <v/>
      </c>
      <c r="UFJ224" s="19" t="str">
        <f>IF(UFJ220 = "", "", IFERROR(UFJ220 / SUMIFS(Aux_Totales!$N:$N, Aux_Totales!$F:$F, $F224, Aux_Totales!$A:$A,#REF!), 0))</f>
        <v/>
      </c>
      <c r="UFK224" s="19" t="str">
        <f>IF(UFK220 = "", "", IFERROR(UFK220 / SUMIFS(Aux_Totales!$N:$N, Aux_Totales!$F:$F, $F224, Aux_Totales!$A:$A,#REF!), 0))</f>
        <v/>
      </c>
      <c r="UFL224" s="19" t="str">
        <f>IF(UFL220 = "", "", IFERROR(UFL220 / SUMIFS(Aux_Totales!$N:$N, Aux_Totales!$F:$F, $F224, Aux_Totales!$A:$A,#REF!), 0))</f>
        <v/>
      </c>
      <c r="UFM224" s="19" t="str">
        <f>IF(UFM220 = "", "", IFERROR(UFM220 / SUMIFS(Aux_Totales!$N:$N, Aux_Totales!$F:$F, $F224, Aux_Totales!$A:$A,#REF!), 0))</f>
        <v/>
      </c>
      <c r="UFN224" s="19" t="str">
        <f>IF(UFN220 = "", "", IFERROR(UFN220 / SUMIFS(Aux_Totales!$N:$N, Aux_Totales!$F:$F, $F224, Aux_Totales!$A:$A,#REF!), 0))</f>
        <v/>
      </c>
      <c r="UFO224" s="19" t="str">
        <f>IF(UFO220 = "", "", IFERROR(UFO220 / SUMIFS(Aux_Totales!$N:$N, Aux_Totales!$F:$F, $F224, Aux_Totales!$A:$A,#REF!), 0))</f>
        <v/>
      </c>
      <c r="UFP224" s="19" t="str">
        <f>IF(UFP220 = "", "", IFERROR(UFP220 / SUMIFS(Aux_Totales!$N:$N, Aux_Totales!$F:$F, $F224, Aux_Totales!$A:$A,#REF!), 0))</f>
        <v/>
      </c>
      <c r="UFQ224" s="19" t="str">
        <f>IF(UFQ220 = "", "", IFERROR(UFQ220 / SUMIFS(Aux_Totales!$N:$N, Aux_Totales!$F:$F, $F224, Aux_Totales!$A:$A,#REF!), 0))</f>
        <v/>
      </c>
      <c r="UFR224" s="19" t="str">
        <f>IF(UFR220 = "", "", IFERROR(UFR220 / SUMIFS(Aux_Totales!$N:$N, Aux_Totales!$F:$F, $F224, Aux_Totales!$A:$A,#REF!), 0))</f>
        <v/>
      </c>
      <c r="UFS224" s="19" t="str">
        <f>IF(UFS220 = "", "", IFERROR(UFS220 / SUMIFS(Aux_Totales!$N:$N, Aux_Totales!$F:$F, $F224, Aux_Totales!$A:$A,#REF!), 0))</f>
        <v/>
      </c>
      <c r="UFT224" s="19" t="str">
        <f>IF(UFT220 = "", "", IFERROR(UFT220 / SUMIFS(Aux_Totales!$N:$N, Aux_Totales!$F:$F, $F224, Aux_Totales!$A:$A,#REF!), 0))</f>
        <v/>
      </c>
      <c r="UFU224" s="19" t="str">
        <f>IF(UFU220 = "", "", IFERROR(UFU220 / SUMIFS(Aux_Totales!$N:$N, Aux_Totales!$F:$F, $F224, Aux_Totales!$A:$A,#REF!), 0))</f>
        <v/>
      </c>
      <c r="UFV224" s="19" t="str">
        <f>IF(UFV220 = "", "", IFERROR(UFV220 / SUMIFS(Aux_Totales!$N:$N, Aux_Totales!$F:$F, $F224, Aux_Totales!$A:$A,#REF!), 0))</f>
        <v/>
      </c>
      <c r="UFW224" s="19" t="str">
        <f>IF(UFW220 = "", "", IFERROR(UFW220 / SUMIFS(Aux_Totales!$N:$N, Aux_Totales!$F:$F, $F224, Aux_Totales!$A:$A,#REF!), 0))</f>
        <v/>
      </c>
      <c r="UFX224" s="19" t="str">
        <f>IF(UFX220 = "", "", IFERROR(UFX220 / SUMIFS(Aux_Totales!$N:$N, Aux_Totales!$F:$F, $F224, Aux_Totales!$A:$A,#REF!), 0))</f>
        <v/>
      </c>
      <c r="UFY224" s="19" t="str">
        <f>IF(UFY220 = "", "", IFERROR(UFY220 / SUMIFS(Aux_Totales!$N:$N, Aux_Totales!$F:$F, $F224, Aux_Totales!$A:$A,#REF!), 0))</f>
        <v/>
      </c>
      <c r="UFZ224" s="19" t="str">
        <f>IF(UFZ220 = "", "", IFERROR(UFZ220 / SUMIFS(Aux_Totales!$N:$N, Aux_Totales!$F:$F, $F224, Aux_Totales!$A:$A,#REF!), 0))</f>
        <v/>
      </c>
      <c r="UGA224" s="19" t="str">
        <f>IF(UGA220 = "", "", IFERROR(UGA220 / SUMIFS(Aux_Totales!$N:$N, Aux_Totales!$F:$F, $F224, Aux_Totales!$A:$A,#REF!), 0))</f>
        <v/>
      </c>
      <c r="UGB224" s="19" t="str">
        <f>IF(UGB220 = "", "", IFERROR(UGB220 / SUMIFS(Aux_Totales!$N:$N, Aux_Totales!$F:$F, $F224, Aux_Totales!$A:$A,#REF!), 0))</f>
        <v/>
      </c>
      <c r="UGC224" s="19" t="str">
        <f>IF(UGC220 = "", "", IFERROR(UGC220 / SUMIFS(Aux_Totales!$N:$N, Aux_Totales!$F:$F, $F224, Aux_Totales!$A:$A,#REF!), 0))</f>
        <v/>
      </c>
      <c r="UGD224" s="19" t="str">
        <f>IF(UGD220 = "", "", IFERROR(UGD220 / SUMIFS(Aux_Totales!$N:$N, Aux_Totales!$F:$F, $F224, Aux_Totales!$A:$A,#REF!), 0))</f>
        <v/>
      </c>
      <c r="UGE224" s="19" t="str">
        <f>IF(UGE220 = "", "", IFERROR(UGE220 / SUMIFS(Aux_Totales!$N:$N, Aux_Totales!$F:$F, $F224, Aux_Totales!$A:$A,#REF!), 0))</f>
        <v/>
      </c>
      <c r="UGF224" s="19" t="str">
        <f>IF(UGF220 = "", "", IFERROR(UGF220 / SUMIFS(Aux_Totales!$N:$N, Aux_Totales!$F:$F, $F224, Aux_Totales!$A:$A,#REF!), 0))</f>
        <v/>
      </c>
      <c r="UGG224" s="19" t="str">
        <f>IF(UGG220 = "", "", IFERROR(UGG220 / SUMIFS(Aux_Totales!$N:$N, Aux_Totales!$F:$F, $F224, Aux_Totales!$A:$A,#REF!), 0))</f>
        <v/>
      </c>
      <c r="UGH224" s="19" t="str">
        <f>IF(UGH220 = "", "", IFERROR(UGH220 / SUMIFS(Aux_Totales!$N:$N, Aux_Totales!$F:$F, $F224, Aux_Totales!$A:$A,#REF!), 0))</f>
        <v/>
      </c>
      <c r="UGI224" s="19" t="str">
        <f>IF(UGI220 = "", "", IFERROR(UGI220 / SUMIFS(Aux_Totales!$N:$N, Aux_Totales!$F:$F, $F224, Aux_Totales!$A:$A,#REF!), 0))</f>
        <v/>
      </c>
      <c r="UGJ224" s="19" t="str">
        <f>IF(UGJ220 = "", "", IFERROR(UGJ220 / SUMIFS(Aux_Totales!$N:$N, Aux_Totales!$F:$F, $F224, Aux_Totales!$A:$A,#REF!), 0))</f>
        <v/>
      </c>
      <c r="UGK224" s="19" t="str">
        <f>IF(UGK220 = "", "", IFERROR(UGK220 / SUMIFS(Aux_Totales!$N:$N, Aux_Totales!$F:$F, $F224, Aux_Totales!$A:$A,#REF!), 0))</f>
        <v/>
      </c>
      <c r="UGL224" s="19" t="str">
        <f>IF(UGL220 = "", "", IFERROR(UGL220 / SUMIFS(Aux_Totales!$N:$N, Aux_Totales!$F:$F, $F224, Aux_Totales!$A:$A,#REF!), 0))</f>
        <v/>
      </c>
      <c r="UGM224" s="19" t="str">
        <f>IF(UGM220 = "", "", IFERROR(UGM220 / SUMIFS(Aux_Totales!$N:$N, Aux_Totales!$F:$F, $F224, Aux_Totales!$A:$A,#REF!), 0))</f>
        <v/>
      </c>
      <c r="UGN224" s="19" t="str">
        <f>IF(UGN220 = "", "", IFERROR(UGN220 / SUMIFS(Aux_Totales!$N:$N, Aux_Totales!$F:$F, $F224, Aux_Totales!$A:$A,#REF!), 0))</f>
        <v/>
      </c>
      <c r="UGO224" s="19" t="str">
        <f>IF(UGO220 = "", "", IFERROR(UGO220 / SUMIFS(Aux_Totales!$N:$N, Aux_Totales!$F:$F, $F224, Aux_Totales!$A:$A,#REF!), 0))</f>
        <v/>
      </c>
      <c r="UGP224" s="19" t="str">
        <f>IF(UGP220 = "", "", IFERROR(UGP220 / SUMIFS(Aux_Totales!$N:$N, Aux_Totales!$F:$F, $F224, Aux_Totales!$A:$A,#REF!), 0))</f>
        <v/>
      </c>
      <c r="UGQ224" s="19" t="str">
        <f>IF(UGQ220 = "", "", IFERROR(UGQ220 / SUMIFS(Aux_Totales!$N:$N, Aux_Totales!$F:$F, $F224, Aux_Totales!$A:$A,#REF!), 0))</f>
        <v/>
      </c>
      <c r="UGR224" s="19" t="str">
        <f>IF(UGR220 = "", "", IFERROR(UGR220 / SUMIFS(Aux_Totales!$N:$N, Aux_Totales!$F:$F, $F224, Aux_Totales!$A:$A,#REF!), 0))</f>
        <v/>
      </c>
      <c r="UGS224" s="19" t="str">
        <f>IF(UGS220 = "", "", IFERROR(UGS220 / SUMIFS(Aux_Totales!$N:$N, Aux_Totales!$F:$F, $F224, Aux_Totales!$A:$A,#REF!), 0))</f>
        <v/>
      </c>
      <c r="UGT224" s="19" t="str">
        <f>IF(UGT220 = "", "", IFERROR(UGT220 / SUMIFS(Aux_Totales!$N:$N, Aux_Totales!$F:$F, $F224, Aux_Totales!$A:$A,#REF!), 0))</f>
        <v/>
      </c>
      <c r="UGU224" s="19" t="str">
        <f>IF(UGU220 = "", "", IFERROR(UGU220 / SUMIFS(Aux_Totales!$N:$N, Aux_Totales!$F:$F, $F224, Aux_Totales!$A:$A,#REF!), 0))</f>
        <v/>
      </c>
      <c r="UGV224" s="19" t="str">
        <f>IF(UGV220 = "", "", IFERROR(UGV220 / SUMIFS(Aux_Totales!$N:$N, Aux_Totales!$F:$F, $F224, Aux_Totales!$A:$A,#REF!), 0))</f>
        <v/>
      </c>
      <c r="UGW224" s="19" t="str">
        <f>IF(UGW220 = "", "", IFERROR(UGW220 / SUMIFS(Aux_Totales!$N:$N, Aux_Totales!$F:$F, $F224, Aux_Totales!$A:$A,#REF!), 0))</f>
        <v/>
      </c>
      <c r="UGX224" s="19" t="str">
        <f>IF(UGX220 = "", "", IFERROR(UGX220 / SUMIFS(Aux_Totales!$N:$N, Aux_Totales!$F:$F, $F224, Aux_Totales!$A:$A,#REF!), 0))</f>
        <v/>
      </c>
      <c r="UGY224" s="19" t="str">
        <f>IF(UGY220 = "", "", IFERROR(UGY220 / SUMIFS(Aux_Totales!$N:$N, Aux_Totales!$F:$F, $F224, Aux_Totales!$A:$A,#REF!), 0))</f>
        <v/>
      </c>
      <c r="UGZ224" s="19" t="str">
        <f>IF(UGZ220 = "", "", IFERROR(UGZ220 / SUMIFS(Aux_Totales!$N:$N, Aux_Totales!$F:$F, $F224, Aux_Totales!$A:$A,#REF!), 0))</f>
        <v/>
      </c>
      <c r="UHA224" s="19" t="str">
        <f>IF(UHA220 = "", "", IFERROR(UHA220 / SUMIFS(Aux_Totales!$N:$N, Aux_Totales!$F:$F, $F224, Aux_Totales!$A:$A,#REF!), 0))</f>
        <v/>
      </c>
      <c r="UHB224" s="19" t="str">
        <f>IF(UHB220 = "", "", IFERROR(UHB220 / SUMIFS(Aux_Totales!$N:$N, Aux_Totales!$F:$F, $F224, Aux_Totales!$A:$A,#REF!), 0))</f>
        <v/>
      </c>
      <c r="UHC224" s="19" t="str">
        <f>IF(UHC220 = "", "", IFERROR(UHC220 / SUMIFS(Aux_Totales!$N:$N, Aux_Totales!$F:$F, $F224, Aux_Totales!$A:$A,#REF!), 0))</f>
        <v/>
      </c>
      <c r="UHD224" s="19" t="str">
        <f>IF(UHD220 = "", "", IFERROR(UHD220 / SUMIFS(Aux_Totales!$N:$N, Aux_Totales!$F:$F, $F224, Aux_Totales!$A:$A,#REF!), 0))</f>
        <v/>
      </c>
      <c r="UHE224" s="19" t="str">
        <f>IF(UHE220 = "", "", IFERROR(UHE220 / SUMIFS(Aux_Totales!$N:$N, Aux_Totales!$F:$F, $F224, Aux_Totales!$A:$A,#REF!), 0))</f>
        <v/>
      </c>
      <c r="UHF224" s="19" t="str">
        <f>IF(UHF220 = "", "", IFERROR(UHF220 / SUMIFS(Aux_Totales!$N:$N, Aux_Totales!$F:$F, $F224, Aux_Totales!$A:$A,#REF!), 0))</f>
        <v/>
      </c>
      <c r="UHG224" s="19" t="str">
        <f>IF(UHG220 = "", "", IFERROR(UHG220 / SUMIFS(Aux_Totales!$N:$N, Aux_Totales!$F:$F, $F224, Aux_Totales!$A:$A,#REF!), 0))</f>
        <v/>
      </c>
      <c r="UHH224" s="19" t="str">
        <f>IF(UHH220 = "", "", IFERROR(UHH220 / SUMIFS(Aux_Totales!$N:$N, Aux_Totales!$F:$F, $F224, Aux_Totales!$A:$A,#REF!), 0))</f>
        <v/>
      </c>
      <c r="UHI224" s="19" t="str">
        <f>IF(UHI220 = "", "", IFERROR(UHI220 / SUMIFS(Aux_Totales!$N:$N, Aux_Totales!$F:$F, $F224, Aux_Totales!$A:$A,#REF!), 0))</f>
        <v/>
      </c>
      <c r="UHJ224" s="19" t="str">
        <f>IF(UHJ220 = "", "", IFERROR(UHJ220 / SUMIFS(Aux_Totales!$N:$N, Aux_Totales!$F:$F, $F224, Aux_Totales!$A:$A,#REF!), 0))</f>
        <v/>
      </c>
      <c r="UHK224" s="19" t="str">
        <f>IF(UHK220 = "", "", IFERROR(UHK220 / SUMIFS(Aux_Totales!$N:$N, Aux_Totales!$F:$F, $F224, Aux_Totales!$A:$A,#REF!), 0))</f>
        <v/>
      </c>
      <c r="UHL224" s="19" t="str">
        <f>IF(UHL220 = "", "", IFERROR(UHL220 / SUMIFS(Aux_Totales!$N:$N, Aux_Totales!$F:$F, $F224, Aux_Totales!$A:$A,#REF!), 0))</f>
        <v/>
      </c>
      <c r="UHM224" s="19" t="str">
        <f>IF(UHM220 = "", "", IFERROR(UHM220 / SUMIFS(Aux_Totales!$N:$N, Aux_Totales!$F:$F, $F224, Aux_Totales!$A:$A,#REF!), 0))</f>
        <v/>
      </c>
      <c r="UHN224" s="19" t="str">
        <f>IF(UHN220 = "", "", IFERROR(UHN220 / SUMIFS(Aux_Totales!$N:$N, Aux_Totales!$F:$F, $F224, Aux_Totales!$A:$A,#REF!), 0))</f>
        <v/>
      </c>
      <c r="UHO224" s="19" t="str">
        <f>IF(UHO220 = "", "", IFERROR(UHO220 / SUMIFS(Aux_Totales!$N:$N, Aux_Totales!$F:$F, $F224, Aux_Totales!$A:$A,#REF!), 0))</f>
        <v/>
      </c>
      <c r="UHP224" s="19" t="str">
        <f>IF(UHP220 = "", "", IFERROR(UHP220 / SUMIFS(Aux_Totales!$N:$N, Aux_Totales!$F:$F, $F224, Aux_Totales!$A:$A,#REF!), 0))</f>
        <v/>
      </c>
      <c r="UHQ224" s="19" t="str">
        <f>IF(UHQ220 = "", "", IFERROR(UHQ220 / SUMIFS(Aux_Totales!$N:$N, Aux_Totales!$F:$F, $F224, Aux_Totales!$A:$A,#REF!), 0))</f>
        <v/>
      </c>
      <c r="UHR224" s="19" t="str">
        <f>IF(UHR220 = "", "", IFERROR(UHR220 / SUMIFS(Aux_Totales!$N:$N, Aux_Totales!$F:$F, $F224, Aux_Totales!$A:$A,#REF!), 0))</f>
        <v/>
      </c>
      <c r="UHS224" s="19" t="str">
        <f>IF(UHS220 = "", "", IFERROR(UHS220 / SUMIFS(Aux_Totales!$N:$N, Aux_Totales!$F:$F, $F224, Aux_Totales!$A:$A,#REF!), 0))</f>
        <v/>
      </c>
      <c r="UHT224" s="19" t="str">
        <f>IF(UHT220 = "", "", IFERROR(UHT220 / SUMIFS(Aux_Totales!$N:$N, Aux_Totales!$F:$F, $F224, Aux_Totales!$A:$A,#REF!), 0))</f>
        <v/>
      </c>
      <c r="UHU224" s="19" t="str">
        <f>IF(UHU220 = "", "", IFERROR(UHU220 / SUMIFS(Aux_Totales!$N:$N, Aux_Totales!$F:$F, $F224, Aux_Totales!$A:$A,#REF!), 0))</f>
        <v/>
      </c>
      <c r="UHV224" s="19" t="str">
        <f>IF(UHV220 = "", "", IFERROR(UHV220 / SUMIFS(Aux_Totales!$N:$N, Aux_Totales!$F:$F, $F224, Aux_Totales!$A:$A,#REF!), 0))</f>
        <v/>
      </c>
      <c r="UHW224" s="19" t="str">
        <f>IF(UHW220 = "", "", IFERROR(UHW220 / SUMIFS(Aux_Totales!$N:$N, Aux_Totales!$F:$F, $F224, Aux_Totales!$A:$A,#REF!), 0))</f>
        <v/>
      </c>
      <c r="UHX224" s="19" t="str">
        <f>IF(UHX220 = "", "", IFERROR(UHX220 / SUMIFS(Aux_Totales!$N:$N, Aux_Totales!$F:$F, $F224, Aux_Totales!$A:$A,#REF!), 0))</f>
        <v/>
      </c>
      <c r="UHY224" s="19" t="str">
        <f>IF(UHY220 = "", "", IFERROR(UHY220 / SUMIFS(Aux_Totales!$N:$N, Aux_Totales!$F:$F, $F224, Aux_Totales!$A:$A,#REF!), 0))</f>
        <v/>
      </c>
      <c r="UHZ224" s="19" t="str">
        <f>IF(UHZ220 = "", "", IFERROR(UHZ220 / SUMIFS(Aux_Totales!$N:$N, Aux_Totales!$F:$F, $F224, Aux_Totales!$A:$A,#REF!), 0))</f>
        <v/>
      </c>
      <c r="UIA224" s="19" t="str">
        <f>IF(UIA220 = "", "", IFERROR(UIA220 / SUMIFS(Aux_Totales!$N:$N, Aux_Totales!$F:$F, $F224, Aux_Totales!$A:$A,#REF!), 0))</f>
        <v/>
      </c>
      <c r="UIB224" s="19" t="str">
        <f>IF(UIB220 = "", "", IFERROR(UIB220 / SUMIFS(Aux_Totales!$N:$N, Aux_Totales!$F:$F, $F224, Aux_Totales!$A:$A,#REF!), 0))</f>
        <v/>
      </c>
      <c r="UIC224" s="19" t="str">
        <f>IF(UIC220 = "", "", IFERROR(UIC220 / SUMIFS(Aux_Totales!$N:$N, Aux_Totales!$F:$F, $F224, Aux_Totales!$A:$A,#REF!), 0))</f>
        <v/>
      </c>
      <c r="UID224" s="19" t="str">
        <f>IF(UID220 = "", "", IFERROR(UID220 / SUMIFS(Aux_Totales!$N:$N, Aux_Totales!$F:$F, $F224, Aux_Totales!$A:$A,#REF!), 0))</f>
        <v/>
      </c>
      <c r="UIE224" s="19" t="str">
        <f>IF(UIE220 = "", "", IFERROR(UIE220 / SUMIFS(Aux_Totales!$N:$N, Aux_Totales!$F:$F, $F224, Aux_Totales!$A:$A,#REF!), 0))</f>
        <v/>
      </c>
      <c r="UIF224" s="19" t="str">
        <f>IF(UIF220 = "", "", IFERROR(UIF220 / SUMIFS(Aux_Totales!$N:$N, Aux_Totales!$F:$F, $F224, Aux_Totales!$A:$A,#REF!), 0))</f>
        <v/>
      </c>
      <c r="UIG224" s="19" t="str">
        <f>IF(UIG220 = "", "", IFERROR(UIG220 / SUMIFS(Aux_Totales!$N:$N, Aux_Totales!$F:$F, $F224, Aux_Totales!$A:$A,#REF!), 0))</f>
        <v/>
      </c>
      <c r="UIH224" s="19" t="str">
        <f>IF(UIH220 = "", "", IFERROR(UIH220 / SUMIFS(Aux_Totales!$N:$N, Aux_Totales!$F:$F, $F224, Aux_Totales!$A:$A,#REF!), 0))</f>
        <v/>
      </c>
      <c r="UII224" s="19" t="str">
        <f>IF(UII220 = "", "", IFERROR(UII220 / SUMIFS(Aux_Totales!$N:$N, Aux_Totales!$F:$F, $F224, Aux_Totales!$A:$A,#REF!), 0))</f>
        <v/>
      </c>
      <c r="UIJ224" s="19" t="str">
        <f>IF(UIJ220 = "", "", IFERROR(UIJ220 / SUMIFS(Aux_Totales!$N:$N, Aux_Totales!$F:$F, $F224, Aux_Totales!$A:$A,#REF!), 0))</f>
        <v/>
      </c>
      <c r="UIK224" s="19" t="str">
        <f>IF(UIK220 = "", "", IFERROR(UIK220 / SUMIFS(Aux_Totales!$N:$N, Aux_Totales!$F:$F, $F224, Aux_Totales!$A:$A,#REF!), 0))</f>
        <v/>
      </c>
      <c r="UIL224" s="19" t="str">
        <f>IF(UIL220 = "", "", IFERROR(UIL220 / SUMIFS(Aux_Totales!$N:$N, Aux_Totales!$F:$F, $F224, Aux_Totales!$A:$A,#REF!), 0))</f>
        <v/>
      </c>
      <c r="UIM224" s="19" t="str">
        <f>IF(UIM220 = "", "", IFERROR(UIM220 / SUMIFS(Aux_Totales!$N:$N, Aux_Totales!$F:$F, $F224, Aux_Totales!$A:$A,#REF!), 0))</f>
        <v/>
      </c>
      <c r="UIN224" s="19" t="str">
        <f>IF(UIN220 = "", "", IFERROR(UIN220 / SUMIFS(Aux_Totales!$N:$N, Aux_Totales!$F:$F, $F224, Aux_Totales!$A:$A,#REF!), 0))</f>
        <v/>
      </c>
      <c r="UIO224" s="19" t="str">
        <f>IF(UIO220 = "", "", IFERROR(UIO220 / SUMIFS(Aux_Totales!$N:$N, Aux_Totales!$F:$F, $F224, Aux_Totales!$A:$A,#REF!), 0))</f>
        <v/>
      </c>
      <c r="UIP224" s="19" t="str">
        <f>IF(UIP220 = "", "", IFERROR(UIP220 / SUMIFS(Aux_Totales!$N:$N, Aux_Totales!$F:$F, $F224, Aux_Totales!$A:$A,#REF!), 0))</f>
        <v/>
      </c>
      <c r="UIQ224" s="19" t="str">
        <f>IF(UIQ220 = "", "", IFERROR(UIQ220 / SUMIFS(Aux_Totales!$N:$N, Aux_Totales!$F:$F, $F224, Aux_Totales!$A:$A,#REF!), 0))</f>
        <v/>
      </c>
      <c r="UIR224" s="19" t="str">
        <f>IF(UIR220 = "", "", IFERROR(UIR220 / SUMIFS(Aux_Totales!$N:$N, Aux_Totales!$F:$F, $F224, Aux_Totales!$A:$A,#REF!), 0))</f>
        <v/>
      </c>
      <c r="UIS224" s="19" t="str">
        <f>IF(UIS220 = "", "", IFERROR(UIS220 / SUMIFS(Aux_Totales!$N:$N, Aux_Totales!$F:$F, $F224, Aux_Totales!$A:$A,#REF!), 0))</f>
        <v/>
      </c>
      <c r="UIT224" s="19" t="str">
        <f>IF(UIT220 = "", "", IFERROR(UIT220 / SUMIFS(Aux_Totales!$N:$N, Aux_Totales!$F:$F, $F224, Aux_Totales!$A:$A,#REF!), 0))</f>
        <v/>
      </c>
      <c r="UIU224" s="19" t="str">
        <f>IF(UIU220 = "", "", IFERROR(UIU220 / SUMIFS(Aux_Totales!$N:$N, Aux_Totales!$F:$F, $F224, Aux_Totales!$A:$A,#REF!), 0))</f>
        <v/>
      </c>
      <c r="UIV224" s="19" t="str">
        <f>IF(UIV220 = "", "", IFERROR(UIV220 / SUMIFS(Aux_Totales!$N:$N, Aux_Totales!$F:$F, $F224, Aux_Totales!$A:$A,#REF!), 0))</f>
        <v/>
      </c>
      <c r="UIW224" s="19" t="str">
        <f>IF(UIW220 = "", "", IFERROR(UIW220 / SUMIFS(Aux_Totales!$N:$N, Aux_Totales!$F:$F, $F224, Aux_Totales!$A:$A,#REF!), 0))</f>
        <v/>
      </c>
      <c r="UIX224" s="19" t="str">
        <f>IF(UIX220 = "", "", IFERROR(UIX220 / SUMIFS(Aux_Totales!$N:$N, Aux_Totales!$F:$F, $F224, Aux_Totales!$A:$A,#REF!), 0))</f>
        <v/>
      </c>
      <c r="UIY224" s="19" t="str">
        <f>IF(UIY220 = "", "", IFERROR(UIY220 / SUMIFS(Aux_Totales!$N:$N, Aux_Totales!$F:$F, $F224, Aux_Totales!$A:$A,#REF!), 0))</f>
        <v/>
      </c>
      <c r="UIZ224" s="19" t="str">
        <f>IF(UIZ220 = "", "", IFERROR(UIZ220 / SUMIFS(Aux_Totales!$N:$N, Aux_Totales!$F:$F, $F224, Aux_Totales!$A:$A,#REF!), 0))</f>
        <v/>
      </c>
      <c r="UJA224" s="19" t="str">
        <f>IF(UJA220 = "", "", IFERROR(UJA220 / SUMIFS(Aux_Totales!$N:$N, Aux_Totales!$F:$F, $F224, Aux_Totales!$A:$A,#REF!), 0))</f>
        <v/>
      </c>
      <c r="UJB224" s="19" t="str">
        <f>IF(UJB220 = "", "", IFERROR(UJB220 / SUMIFS(Aux_Totales!$N:$N, Aux_Totales!$F:$F, $F224, Aux_Totales!$A:$A,#REF!), 0))</f>
        <v/>
      </c>
      <c r="UJC224" s="19" t="str">
        <f>IF(UJC220 = "", "", IFERROR(UJC220 / SUMIFS(Aux_Totales!$N:$N, Aux_Totales!$F:$F, $F224, Aux_Totales!$A:$A,#REF!), 0))</f>
        <v/>
      </c>
      <c r="UJD224" s="19" t="str">
        <f>IF(UJD220 = "", "", IFERROR(UJD220 / SUMIFS(Aux_Totales!$N:$N, Aux_Totales!$F:$F, $F224, Aux_Totales!$A:$A,#REF!), 0))</f>
        <v/>
      </c>
      <c r="UJE224" s="19" t="str">
        <f>IF(UJE220 = "", "", IFERROR(UJE220 / SUMIFS(Aux_Totales!$N:$N, Aux_Totales!$F:$F, $F224, Aux_Totales!$A:$A,#REF!), 0))</f>
        <v/>
      </c>
      <c r="UJF224" s="19" t="str">
        <f>IF(UJF220 = "", "", IFERROR(UJF220 / SUMIFS(Aux_Totales!$N:$N, Aux_Totales!$F:$F, $F224, Aux_Totales!$A:$A,#REF!), 0))</f>
        <v/>
      </c>
      <c r="UJG224" s="19" t="str">
        <f>IF(UJG220 = "", "", IFERROR(UJG220 / SUMIFS(Aux_Totales!$N:$N, Aux_Totales!$F:$F, $F224, Aux_Totales!$A:$A,#REF!), 0))</f>
        <v/>
      </c>
      <c r="UJH224" s="19" t="str">
        <f>IF(UJH220 = "", "", IFERROR(UJH220 / SUMIFS(Aux_Totales!$N:$N, Aux_Totales!$F:$F, $F224, Aux_Totales!$A:$A,#REF!), 0))</f>
        <v/>
      </c>
      <c r="UJI224" s="19" t="str">
        <f>IF(UJI220 = "", "", IFERROR(UJI220 / SUMIFS(Aux_Totales!$N:$N, Aux_Totales!$F:$F, $F224, Aux_Totales!$A:$A,#REF!), 0))</f>
        <v/>
      </c>
      <c r="UJJ224" s="19" t="str">
        <f>IF(UJJ220 = "", "", IFERROR(UJJ220 / SUMIFS(Aux_Totales!$N:$N, Aux_Totales!$F:$F, $F224, Aux_Totales!$A:$A,#REF!), 0))</f>
        <v/>
      </c>
      <c r="UJK224" s="19" t="str">
        <f>IF(UJK220 = "", "", IFERROR(UJK220 / SUMIFS(Aux_Totales!$N:$N, Aux_Totales!$F:$F, $F224, Aux_Totales!$A:$A,#REF!), 0))</f>
        <v/>
      </c>
      <c r="UJL224" s="19" t="str">
        <f>IF(UJL220 = "", "", IFERROR(UJL220 / SUMIFS(Aux_Totales!$N:$N, Aux_Totales!$F:$F, $F224, Aux_Totales!$A:$A,#REF!), 0))</f>
        <v/>
      </c>
      <c r="UJM224" s="19" t="str">
        <f>IF(UJM220 = "", "", IFERROR(UJM220 / SUMIFS(Aux_Totales!$N:$N, Aux_Totales!$F:$F, $F224, Aux_Totales!$A:$A,#REF!), 0))</f>
        <v/>
      </c>
      <c r="UJN224" s="19" t="str">
        <f>IF(UJN220 = "", "", IFERROR(UJN220 / SUMIFS(Aux_Totales!$N:$N, Aux_Totales!$F:$F, $F224, Aux_Totales!$A:$A,#REF!), 0))</f>
        <v/>
      </c>
      <c r="UJO224" s="19" t="str">
        <f>IF(UJO220 = "", "", IFERROR(UJO220 / SUMIFS(Aux_Totales!$N:$N, Aux_Totales!$F:$F, $F224, Aux_Totales!$A:$A,#REF!), 0))</f>
        <v/>
      </c>
      <c r="UJP224" s="19" t="str">
        <f>IF(UJP220 = "", "", IFERROR(UJP220 / SUMIFS(Aux_Totales!$N:$N, Aux_Totales!$F:$F, $F224, Aux_Totales!$A:$A,#REF!), 0))</f>
        <v/>
      </c>
      <c r="UJQ224" s="19" t="str">
        <f>IF(UJQ220 = "", "", IFERROR(UJQ220 / SUMIFS(Aux_Totales!$N:$N, Aux_Totales!$F:$F, $F224, Aux_Totales!$A:$A,#REF!), 0))</f>
        <v/>
      </c>
      <c r="UJR224" s="19" t="str">
        <f>IF(UJR220 = "", "", IFERROR(UJR220 / SUMIFS(Aux_Totales!$N:$N, Aux_Totales!$F:$F, $F224, Aux_Totales!$A:$A,#REF!), 0))</f>
        <v/>
      </c>
      <c r="UJS224" s="19" t="str">
        <f>IF(UJS220 = "", "", IFERROR(UJS220 / SUMIFS(Aux_Totales!$N:$N, Aux_Totales!$F:$F, $F224, Aux_Totales!$A:$A,#REF!), 0))</f>
        <v/>
      </c>
      <c r="UJT224" s="19" t="str">
        <f>IF(UJT220 = "", "", IFERROR(UJT220 / SUMIFS(Aux_Totales!$N:$N, Aux_Totales!$F:$F, $F224, Aux_Totales!$A:$A,#REF!), 0))</f>
        <v/>
      </c>
      <c r="UJU224" s="19" t="str">
        <f>IF(UJU220 = "", "", IFERROR(UJU220 / SUMIFS(Aux_Totales!$N:$N, Aux_Totales!$F:$F, $F224, Aux_Totales!$A:$A,#REF!), 0))</f>
        <v/>
      </c>
      <c r="UJV224" s="19" t="str">
        <f>IF(UJV220 = "", "", IFERROR(UJV220 / SUMIFS(Aux_Totales!$N:$N, Aux_Totales!$F:$F, $F224, Aux_Totales!$A:$A,#REF!), 0))</f>
        <v/>
      </c>
      <c r="UJW224" s="19" t="str">
        <f>IF(UJW220 = "", "", IFERROR(UJW220 / SUMIFS(Aux_Totales!$N:$N, Aux_Totales!$F:$F, $F224, Aux_Totales!$A:$A,#REF!), 0))</f>
        <v/>
      </c>
      <c r="UJX224" s="19" t="str">
        <f>IF(UJX220 = "", "", IFERROR(UJX220 / SUMIFS(Aux_Totales!$N:$N, Aux_Totales!$F:$F, $F224, Aux_Totales!$A:$A,#REF!), 0))</f>
        <v/>
      </c>
      <c r="UJY224" s="19" t="str">
        <f>IF(UJY220 = "", "", IFERROR(UJY220 / SUMIFS(Aux_Totales!$N:$N, Aux_Totales!$F:$F, $F224, Aux_Totales!$A:$A,#REF!), 0))</f>
        <v/>
      </c>
      <c r="UJZ224" s="19" t="str">
        <f>IF(UJZ220 = "", "", IFERROR(UJZ220 / SUMIFS(Aux_Totales!$N:$N, Aux_Totales!$F:$F, $F224, Aux_Totales!$A:$A,#REF!), 0))</f>
        <v/>
      </c>
      <c r="UKA224" s="19" t="str">
        <f>IF(UKA220 = "", "", IFERROR(UKA220 / SUMIFS(Aux_Totales!$N:$N, Aux_Totales!$F:$F, $F224, Aux_Totales!$A:$A,#REF!), 0))</f>
        <v/>
      </c>
      <c r="UKB224" s="19" t="str">
        <f>IF(UKB220 = "", "", IFERROR(UKB220 / SUMIFS(Aux_Totales!$N:$N, Aux_Totales!$F:$F, $F224, Aux_Totales!$A:$A,#REF!), 0))</f>
        <v/>
      </c>
      <c r="UKC224" s="19" t="str">
        <f>IF(UKC220 = "", "", IFERROR(UKC220 / SUMIFS(Aux_Totales!$N:$N, Aux_Totales!$F:$F, $F224, Aux_Totales!$A:$A,#REF!), 0))</f>
        <v/>
      </c>
      <c r="UKD224" s="19" t="str">
        <f>IF(UKD220 = "", "", IFERROR(UKD220 / SUMIFS(Aux_Totales!$N:$N, Aux_Totales!$F:$F, $F224, Aux_Totales!$A:$A,#REF!), 0))</f>
        <v/>
      </c>
      <c r="UKE224" s="19" t="str">
        <f>IF(UKE220 = "", "", IFERROR(UKE220 / SUMIFS(Aux_Totales!$N:$N, Aux_Totales!$F:$F, $F224, Aux_Totales!$A:$A,#REF!), 0))</f>
        <v/>
      </c>
      <c r="UKF224" s="19" t="str">
        <f>IF(UKF220 = "", "", IFERROR(UKF220 / SUMIFS(Aux_Totales!$N:$N, Aux_Totales!$F:$F, $F224, Aux_Totales!$A:$A,#REF!), 0))</f>
        <v/>
      </c>
      <c r="UKG224" s="19" t="str">
        <f>IF(UKG220 = "", "", IFERROR(UKG220 / SUMIFS(Aux_Totales!$N:$N, Aux_Totales!$F:$F, $F224, Aux_Totales!$A:$A,#REF!), 0))</f>
        <v/>
      </c>
      <c r="UKH224" s="19" t="str">
        <f>IF(UKH220 = "", "", IFERROR(UKH220 / SUMIFS(Aux_Totales!$N:$N, Aux_Totales!$F:$F, $F224, Aux_Totales!$A:$A,#REF!), 0))</f>
        <v/>
      </c>
      <c r="UKI224" s="19" t="str">
        <f>IF(UKI220 = "", "", IFERROR(UKI220 / SUMIFS(Aux_Totales!$N:$N, Aux_Totales!$F:$F, $F224, Aux_Totales!$A:$A,#REF!), 0))</f>
        <v/>
      </c>
      <c r="UKJ224" s="19" t="str">
        <f>IF(UKJ220 = "", "", IFERROR(UKJ220 / SUMIFS(Aux_Totales!$N:$N, Aux_Totales!$F:$F, $F224, Aux_Totales!$A:$A,#REF!), 0))</f>
        <v/>
      </c>
      <c r="UKK224" s="19" t="str">
        <f>IF(UKK220 = "", "", IFERROR(UKK220 / SUMIFS(Aux_Totales!$N:$N, Aux_Totales!$F:$F, $F224, Aux_Totales!$A:$A,#REF!), 0))</f>
        <v/>
      </c>
      <c r="UKL224" s="19" t="str">
        <f>IF(UKL220 = "", "", IFERROR(UKL220 / SUMIFS(Aux_Totales!$N:$N, Aux_Totales!$F:$F, $F224, Aux_Totales!$A:$A,#REF!), 0))</f>
        <v/>
      </c>
      <c r="UKM224" s="19" t="str">
        <f>IF(UKM220 = "", "", IFERROR(UKM220 / SUMIFS(Aux_Totales!$N:$N, Aux_Totales!$F:$F, $F224, Aux_Totales!$A:$A,#REF!), 0))</f>
        <v/>
      </c>
      <c r="UKN224" s="19" t="str">
        <f>IF(UKN220 = "", "", IFERROR(UKN220 / SUMIFS(Aux_Totales!$N:$N, Aux_Totales!$F:$F, $F224, Aux_Totales!$A:$A,#REF!), 0))</f>
        <v/>
      </c>
      <c r="UKO224" s="19" t="str">
        <f>IF(UKO220 = "", "", IFERROR(UKO220 / SUMIFS(Aux_Totales!$N:$N, Aux_Totales!$F:$F, $F224, Aux_Totales!$A:$A,#REF!), 0))</f>
        <v/>
      </c>
      <c r="UKP224" s="19" t="str">
        <f>IF(UKP220 = "", "", IFERROR(UKP220 / SUMIFS(Aux_Totales!$N:$N, Aux_Totales!$F:$F, $F224, Aux_Totales!$A:$A,#REF!), 0))</f>
        <v/>
      </c>
      <c r="UKQ224" s="19" t="str">
        <f>IF(UKQ220 = "", "", IFERROR(UKQ220 / SUMIFS(Aux_Totales!$N:$N, Aux_Totales!$F:$F, $F224, Aux_Totales!$A:$A,#REF!), 0))</f>
        <v/>
      </c>
      <c r="UKR224" s="19" t="str">
        <f>IF(UKR220 = "", "", IFERROR(UKR220 / SUMIFS(Aux_Totales!$N:$N, Aux_Totales!$F:$F, $F224, Aux_Totales!$A:$A,#REF!), 0))</f>
        <v/>
      </c>
      <c r="UKS224" s="19" t="str">
        <f>IF(UKS220 = "", "", IFERROR(UKS220 / SUMIFS(Aux_Totales!$N:$N, Aux_Totales!$F:$F, $F224, Aux_Totales!$A:$A,#REF!), 0))</f>
        <v/>
      </c>
      <c r="UKT224" s="19" t="str">
        <f>IF(UKT220 = "", "", IFERROR(UKT220 / SUMIFS(Aux_Totales!$N:$N, Aux_Totales!$F:$F, $F224, Aux_Totales!$A:$A,#REF!), 0))</f>
        <v/>
      </c>
      <c r="UKU224" s="19" t="str">
        <f>IF(UKU220 = "", "", IFERROR(UKU220 / SUMIFS(Aux_Totales!$N:$N, Aux_Totales!$F:$F, $F224, Aux_Totales!$A:$A,#REF!), 0))</f>
        <v/>
      </c>
      <c r="UKV224" s="19" t="str">
        <f>IF(UKV220 = "", "", IFERROR(UKV220 / SUMIFS(Aux_Totales!$N:$N, Aux_Totales!$F:$F, $F224, Aux_Totales!$A:$A,#REF!), 0))</f>
        <v/>
      </c>
      <c r="UKW224" s="19" t="str">
        <f>IF(UKW220 = "", "", IFERROR(UKW220 / SUMIFS(Aux_Totales!$N:$N, Aux_Totales!$F:$F, $F224, Aux_Totales!$A:$A,#REF!), 0))</f>
        <v/>
      </c>
      <c r="UKX224" s="19" t="str">
        <f>IF(UKX220 = "", "", IFERROR(UKX220 / SUMIFS(Aux_Totales!$N:$N, Aux_Totales!$F:$F, $F224, Aux_Totales!$A:$A,#REF!), 0))</f>
        <v/>
      </c>
      <c r="UKY224" s="19" t="str">
        <f>IF(UKY220 = "", "", IFERROR(UKY220 / SUMIFS(Aux_Totales!$N:$N, Aux_Totales!$F:$F, $F224, Aux_Totales!$A:$A,#REF!), 0))</f>
        <v/>
      </c>
      <c r="UKZ224" s="19" t="str">
        <f>IF(UKZ220 = "", "", IFERROR(UKZ220 / SUMIFS(Aux_Totales!$N:$N, Aux_Totales!$F:$F, $F224, Aux_Totales!$A:$A,#REF!), 0))</f>
        <v/>
      </c>
      <c r="ULA224" s="19" t="str">
        <f>IF(ULA220 = "", "", IFERROR(ULA220 / SUMIFS(Aux_Totales!$N:$N, Aux_Totales!$F:$F, $F224, Aux_Totales!$A:$A,#REF!), 0))</f>
        <v/>
      </c>
      <c r="ULB224" s="19" t="str">
        <f>IF(ULB220 = "", "", IFERROR(ULB220 / SUMIFS(Aux_Totales!$N:$N, Aux_Totales!$F:$F, $F224, Aux_Totales!$A:$A,#REF!), 0))</f>
        <v/>
      </c>
      <c r="ULC224" s="19" t="str">
        <f>IF(ULC220 = "", "", IFERROR(ULC220 / SUMIFS(Aux_Totales!$N:$N, Aux_Totales!$F:$F, $F224, Aux_Totales!$A:$A,#REF!), 0))</f>
        <v/>
      </c>
      <c r="ULD224" s="19" t="str">
        <f>IF(ULD220 = "", "", IFERROR(ULD220 / SUMIFS(Aux_Totales!$N:$N, Aux_Totales!$F:$F, $F224, Aux_Totales!$A:$A,#REF!), 0))</f>
        <v/>
      </c>
      <c r="ULE224" s="19" t="str">
        <f>IF(ULE220 = "", "", IFERROR(ULE220 / SUMIFS(Aux_Totales!$N:$N, Aux_Totales!$F:$F, $F224, Aux_Totales!$A:$A,#REF!), 0))</f>
        <v/>
      </c>
      <c r="ULF224" s="19" t="str">
        <f>IF(ULF220 = "", "", IFERROR(ULF220 / SUMIFS(Aux_Totales!$N:$N, Aux_Totales!$F:$F, $F224, Aux_Totales!$A:$A,#REF!), 0))</f>
        <v/>
      </c>
      <c r="ULG224" s="19" t="str">
        <f>IF(ULG220 = "", "", IFERROR(ULG220 / SUMIFS(Aux_Totales!$N:$N, Aux_Totales!$F:$F, $F224, Aux_Totales!$A:$A,#REF!), 0))</f>
        <v/>
      </c>
      <c r="ULH224" s="19" t="str">
        <f>IF(ULH220 = "", "", IFERROR(ULH220 / SUMIFS(Aux_Totales!$N:$N, Aux_Totales!$F:$F, $F224, Aux_Totales!$A:$A,#REF!), 0))</f>
        <v/>
      </c>
      <c r="ULI224" s="19" t="str">
        <f>IF(ULI220 = "", "", IFERROR(ULI220 / SUMIFS(Aux_Totales!$N:$N, Aux_Totales!$F:$F, $F224, Aux_Totales!$A:$A,#REF!), 0))</f>
        <v/>
      </c>
      <c r="ULJ224" s="19" t="str">
        <f>IF(ULJ220 = "", "", IFERROR(ULJ220 / SUMIFS(Aux_Totales!$N:$N, Aux_Totales!$F:$F, $F224, Aux_Totales!$A:$A,#REF!), 0))</f>
        <v/>
      </c>
      <c r="ULK224" s="19" t="str">
        <f>IF(ULK220 = "", "", IFERROR(ULK220 / SUMIFS(Aux_Totales!$N:$N, Aux_Totales!$F:$F, $F224, Aux_Totales!$A:$A,#REF!), 0))</f>
        <v/>
      </c>
      <c r="ULL224" s="19" t="str">
        <f>IF(ULL220 = "", "", IFERROR(ULL220 / SUMIFS(Aux_Totales!$N:$N, Aux_Totales!$F:$F, $F224, Aux_Totales!$A:$A,#REF!), 0))</f>
        <v/>
      </c>
      <c r="ULM224" s="19" t="str">
        <f>IF(ULM220 = "", "", IFERROR(ULM220 / SUMIFS(Aux_Totales!$N:$N, Aux_Totales!$F:$F, $F224, Aux_Totales!$A:$A,#REF!), 0))</f>
        <v/>
      </c>
      <c r="ULN224" s="19" t="str">
        <f>IF(ULN220 = "", "", IFERROR(ULN220 / SUMIFS(Aux_Totales!$N:$N, Aux_Totales!$F:$F, $F224, Aux_Totales!$A:$A,#REF!), 0))</f>
        <v/>
      </c>
      <c r="ULO224" s="19" t="str">
        <f>IF(ULO220 = "", "", IFERROR(ULO220 / SUMIFS(Aux_Totales!$N:$N, Aux_Totales!$F:$F, $F224, Aux_Totales!$A:$A,#REF!), 0))</f>
        <v/>
      </c>
      <c r="ULP224" s="19" t="str">
        <f>IF(ULP220 = "", "", IFERROR(ULP220 / SUMIFS(Aux_Totales!$N:$N, Aux_Totales!$F:$F, $F224, Aux_Totales!$A:$A,#REF!), 0))</f>
        <v/>
      </c>
      <c r="ULQ224" s="19" t="str">
        <f>IF(ULQ220 = "", "", IFERROR(ULQ220 / SUMIFS(Aux_Totales!$N:$N, Aux_Totales!$F:$F, $F224, Aux_Totales!$A:$A,#REF!), 0))</f>
        <v/>
      </c>
      <c r="ULR224" s="19" t="str">
        <f>IF(ULR220 = "", "", IFERROR(ULR220 / SUMIFS(Aux_Totales!$N:$N, Aux_Totales!$F:$F, $F224, Aux_Totales!$A:$A,#REF!), 0))</f>
        <v/>
      </c>
      <c r="ULS224" s="19" t="str">
        <f>IF(ULS220 = "", "", IFERROR(ULS220 / SUMIFS(Aux_Totales!$N:$N, Aux_Totales!$F:$F, $F224, Aux_Totales!$A:$A,#REF!), 0))</f>
        <v/>
      </c>
      <c r="ULT224" s="19" t="str">
        <f>IF(ULT220 = "", "", IFERROR(ULT220 / SUMIFS(Aux_Totales!$N:$N, Aux_Totales!$F:$F, $F224, Aux_Totales!$A:$A,#REF!), 0))</f>
        <v/>
      </c>
      <c r="ULU224" s="19" t="str">
        <f>IF(ULU220 = "", "", IFERROR(ULU220 / SUMIFS(Aux_Totales!$N:$N, Aux_Totales!$F:$F, $F224, Aux_Totales!$A:$A,#REF!), 0))</f>
        <v/>
      </c>
      <c r="ULV224" s="19" t="str">
        <f>IF(ULV220 = "", "", IFERROR(ULV220 / SUMIFS(Aux_Totales!$N:$N, Aux_Totales!$F:$F, $F224, Aux_Totales!$A:$A,#REF!), 0))</f>
        <v/>
      </c>
      <c r="ULW224" s="19" t="str">
        <f>IF(ULW220 = "", "", IFERROR(ULW220 / SUMIFS(Aux_Totales!$N:$N, Aux_Totales!$F:$F, $F224, Aux_Totales!$A:$A,#REF!), 0))</f>
        <v/>
      </c>
      <c r="ULX224" s="19" t="str">
        <f>IF(ULX220 = "", "", IFERROR(ULX220 / SUMIFS(Aux_Totales!$N:$N, Aux_Totales!$F:$F, $F224, Aux_Totales!$A:$A,#REF!), 0))</f>
        <v/>
      </c>
      <c r="ULY224" s="19" t="str">
        <f>IF(ULY220 = "", "", IFERROR(ULY220 / SUMIFS(Aux_Totales!$N:$N, Aux_Totales!$F:$F, $F224, Aux_Totales!$A:$A,#REF!), 0))</f>
        <v/>
      </c>
      <c r="ULZ224" s="19" t="str">
        <f>IF(ULZ220 = "", "", IFERROR(ULZ220 / SUMIFS(Aux_Totales!$N:$N, Aux_Totales!$F:$F, $F224, Aux_Totales!$A:$A,#REF!), 0))</f>
        <v/>
      </c>
      <c r="UMA224" s="19" t="str">
        <f>IF(UMA220 = "", "", IFERROR(UMA220 / SUMIFS(Aux_Totales!$N:$N, Aux_Totales!$F:$F, $F224, Aux_Totales!$A:$A,#REF!), 0))</f>
        <v/>
      </c>
      <c r="UMB224" s="19" t="str">
        <f>IF(UMB220 = "", "", IFERROR(UMB220 / SUMIFS(Aux_Totales!$N:$N, Aux_Totales!$F:$F, $F224, Aux_Totales!$A:$A,#REF!), 0))</f>
        <v/>
      </c>
      <c r="UMC224" s="19" t="str">
        <f>IF(UMC220 = "", "", IFERROR(UMC220 / SUMIFS(Aux_Totales!$N:$N, Aux_Totales!$F:$F, $F224, Aux_Totales!$A:$A,#REF!), 0))</f>
        <v/>
      </c>
      <c r="UMD224" s="19" t="str">
        <f>IF(UMD220 = "", "", IFERROR(UMD220 / SUMIFS(Aux_Totales!$N:$N, Aux_Totales!$F:$F, $F224, Aux_Totales!$A:$A,#REF!), 0))</f>
        <v/>
      </c>
      <c r="UME224" s="19" t="str">
        <f>IF(UME220 = "", "", IFERROR(UME220 / SUMIFS(Aux_Totales!$N:$N, Aux_Totales!$F:$F, $F224, Aux_Totales!$A:$A,#REF!), 0))</f>
        <v/>
      </c>
      <c r="UMF224" s="19" t="str">
        <f>IF(UMF220 = "", "", IFERROR(UMF220 / SUMIFS(Aux_Totales!$N:$N, Aux_Totales!$F:$F, $F224, Aux_Totales!$A:$A,#REF!), 0))</f>
        <v/>
      </c>
      <c r="UMG224" s="19" t="str">
        <f>IF(UMG220 = "", "", IFERROR(UMG220 / SUMIFS(Aux_Totales!$N:$N, Aux_Totales!$F:$F, $F224, Aux_Totales!$A:$A,#REF!), 0))</f>
        <v/>
      </c>
      <c r="UMH224" s="19" t="str">
        <f>IF(UMH220 = "", "", IFERROR(UMH220 / SUMIFS(Aux_Totales!$N:$N, Aux_Totales!$F:$F, $F224, Aux_Totales!$A:$A,#REF!), 0))</f>
        <v/>
      </c>
      <c r="UMI224" s="19" t="str">
        <f>IF(UMI220 = "", "", IFERROR(UMI220 / SUMIFS(Aux_Totales!$N:$N, Aux_Totales!$F:$F, $F224, Aux_Totales!$A:$A,#REF!), 0))</f>
        <v/>
      </c>
      <c r="UMJ224" s="19" t="str">
        <f>IF(UMJ220 = "", "", IFERROR(UMJ220 / SUMIFS(Aux_Totales!$N:$N, Aux_Totales!$F:$F, $F224, Aux_Totales!$A:$A,#REF!), 0))</f>
        <v/>
      </c>
      <c r="UMK224" s="19" t="str">
        <f>IF(UMK220 = "", "", IFERROR(UMK220 / SUMIFS(Aux_Totales!$N:$N, Aux_Totales!$F:$F, $F224, Aux_Totales!$A:$A,#REF!), 0))</f>
        <v/>
      </c>
      <c r="UML224" s="19" t="str">
        <f>IF(UML220 = "", "", IFERROR(UML220 / SUMIFS(Aux_Totales!$N:$N, Aux_Totales!$F:$F, $F224, Aux_Totales!$A:$A,#REF!), 0))</f>
        <v/>
      </c>
      <c r="UMM224" s="19" t="str">
        <f>IF(UMM220 = "", "", IFERROR(UMM220 / SUMIFS(Aux_Totales!$N:$N, Aux_Totales!$F:$F, $F224, Aux_Totales!$A:$A,#REF!), 0))</f>
        <v/>
      </c>
      <c r="UMN224" s="19" t="str">
        <f>IF(UMN220 = "", "", IFERROR(UMN220 / SUMIFS(Aux_Totales!$N:$N, Aux_Totales!$F:$F, $F224, Aux_Totales!$A:$A,#REF!), 0))</f>
        <v/>
      </c>
      <c r="UMO224" s="19" t="str">
        <f>IF(UMO220 = "", "", IFERROR(UMO220 / SUMIFS(Aux_Totales!$N:$N, Aux_Totales!$F:$F, $F224, Aux_Totales!$A:$A,#REF!), 0))</f>
        <v/>
      </c>
      <c r="UMP224" s="19" t="str">
        <f>IF(UMP220 = "", "", IFERROR(UMP220 / SUMIFS(Aux_Totales!$N:$N, Aux_Totales!$F:$F, $F224, Aux_Totales!$A:$A,#REF!), 0))</f>
        <v/>
      </c>
      <c r="UMQ224" s="19" t="str">
        <f>IF(UMQ220 = "", "", IFERROR(UMQ220 / SUMIFS(Aux_Totales!$N:$N, Aux_Totales!$F:$F, $F224, Aux_Totales!$A:$A,#REF!), 0))</f>
        <v/>
      </c>
      <c r="UMR224" s="19" t="str">
        <f>IF(UMR220 = "", "", IFERROR(UMR220 / SUMIFS(Aux_Totales!$N:$N, Aux_Totales!$F:$F, $F224, Aux_Totales!$A:$A,#REF!), 0))</f>
        <v/>
      </c>
      <c r="UMS224" s="19" t="str">
        <f>IF(UMS220 = "", "", IFERROR(UMS220 / SUMIFS(Aux_Totales!$N:$N, Aux_Totales!$F:$F, $F224, Aux_Totales!$A:$A,#REF!), 0))</f>
        <v/>
      </c>
      <c r="UMT224" s="19" t="str">
        <f>IF(UMT220 = "", "", IFERROR(UMT220 / SUMIFS(Aux_Totales!$N:$N, Aux_Totales!$F:$F, $F224, Aux_Totales!$A:$A,#REF!), 0))</f>
        <v/>
      </c>
      <c r="UMU224" s="19" t="str">
        <f>IF(UMU220 = "", "", IFERROR(UMU220 / SUMIFS(Aux_Totales!$N:$N, Aux_Totales!$F:$F, $F224, Aux_Totales!$A:$A,#REF!), 0))</f>
        <v/>
      </c>
      <c r="UMV224" s="19" t="str">
        <f>IF(UMV220 = "", "", IFERROR(UMV220 / SUMIFS(Aux_Totales!$N:$N, Aux_Totales!$F:$F, $F224, Aux_Totales!$A:$A,#REF!), 0))</f>
        <v/>
      </c>
      <c r="UMW224" s="19" t="str">
        <f>IF(UMW220 = "", "", IFERROR(UMW220 / SUMIFS(Aux_Totales!$N:$N, Aux_Totales!$F:$F, $F224, Aux_Totales!$A:$A,#REF!), 0))</f>
        <v/>
      </c>
      <c r="UMX224" s="19" t="str">
        <f>IF(UMX220 = "", "", IFERROR(UMX220 / SUMIFS(Aux_Totales!$N:$N, Aux_Totales!$F:$F, $F224, Aux_Totales!$A:$A,#REF!), 0))</f>
        <v/>
      </c>
      <c r="UMY224" s="19" t="str">
        <f>IF(UMY220 = "", "", IFERROR(UMY220 / SUMIFS(Aux_Totales!$N:$N, Aux_Totales!$F:$F, $F224, Aux_Totales!$A:$A,#REF!), 0))</f>
        <v/>
      </c>
      <c r="UMZ224" s="19" t="str">
        <f>IF(UMZ220 = "", "", IFERROR(UMZ220 / SUMIFS(Aux_Totales!$N:$N, Aux_Totales!$F:$F, $F224, Aux_Totales!$A:$A,#REF!), 0))</f>
        <v/>
      </c>
      <c r="UNA224" s="19" t="str">
        <f>IF(UNA220 = "", "", IFERROR(UNA220 / SUMIFS(Aux_Totales!$N:$N, Aux_Totales!$F:$F, $F224, Aux_Totales!$A:$A,#REF!), 0))</f>
        <v/>
      </c>
      <c r="UNB224" s="19" t="str">
        <f>IF(UNB220 = "", "", IFERROR(UNB220 / SUMIFS(Aux_Totales!$N:$N, Aux_Totales!$F:$F, $F224, Aux_Totales!$A:$A,#REF!), 0))</f>
        <v/>
      </c>
      <c r="UNC224" s="19" t="str">
        <f>IF(UNC220 = "", "", IFERROR(UNC220 / SUMIFS(Aux_Totales!$N:$N, Aux_Totales!$F:$F, $F224, Aux_Totales!$A:$A,#REF!), 0))</f>
        <v/>
      </c>
      <c r="UND224" s="19" t="str">
        <f>IF(UND220 = "", "", IFERROR(UND220 / SUMIFS(Aux_Totales!$N:$N, Aux_Totales!$F:$F, $F224, Aux_Totales!$A:$A,#REF!), 0))</f>
        <v/>
      </c>
      <c r="UNE224" s="19" t="str">
        <f>IF(UNE220 = "", "", IFERROR(UNE220 / SUMIFS(Aux_Totales!$N:$N, Aux_Totales!$F:$F, $F224, Aux_Totales!$A:$A,#REF!), 0))</f>
        <v/>
      </c>
      <c r="UNF224" s="19" t="str">
        <f>IF(UNF220 = "", "", IFERROR(UNF220 / SUMIFS(Aux_Totales!$N:$N, Aux_Totales!$F:$F, $F224, Aux_Totales!$A:$A,#REF!), 0))</f>
        <v/>
      </c>
      <c r="UNG224" s="19" t="str">
        <f>IF(UNG220 = "", "", IFERROR(UNG220 / SUMIFS(Aux_Totales!$N:$N, Aux_Totales!$F:$F, $F224, Aux_Totales!$A:$A,#REF!), 0))</f>
        <v/>
      </c>
      <c r="UNH224" s="19" t="str">
        <f>IF(UNH220 = "", "", IFERROR(UNH220 / SUMIFS(Aux_Totales!$N:$N, Aux_Totales!$F:$F, $F224, Aux_Totales!$A:$A,#REF!), 0))</f>
        <v/>
      </c>
      <c r="UNI224" s="19" t="str">
        <f>IF(UNI220 = "", "", IFERROR(UNI220 / SUMIFS(Aux_Totales!$N:$N, Aux_Totales!$F:$F, $F224, Aux_Totales!$A:$A,#REF!), 0))</f>
        <v/>
      </c>
      <c r="UNJ224" s="19" t="str">
        <f>IF(UNJ220 = "", "", IFERROR(UNJ220 / SUMIFS(Aux_Totales!$N:$N, Aux_Totales!$F:$F, $F224, Aux_Totales!$A:$A,#REF!), 0))</f>
        <v/>
      </c>
      <c r="UNK224" s="19" t="str">
        <f>IF(UNK220 = "", "", IFERROR(UNK220 / SUMIFS(Aux_Totales!$N:$N, Aux_Totales!$F:$F, $F224, Aux_Totales!$A:$A,#REF!), 0))</f>
        <v/>
      </c>
      <c r="UNL224" s="19" t="str">
        <f>IF(UNL220 = "", "", IFERROR(UNL220 / SUMIFS(Aux_Totales!$N:$N, Aux_Totales!$F:$F, $F224, Aux_Totales!$A:$A,#REF!), 0))</f>
        <v/>
      </c>
      <c r="UNM224" s="19" t="str">
        <f>IF(UNM220 = "", "", IFERROR(UNM220 / SUMIFS(Aux_Totales!$N:$N, Aux_Totales!$F:$F, $F224, Aux_Totales!$A:$A,#REF!), 0))</f>
        <v/>
      </c>
      <c r="UNN224" s="19" t="str">
        <f>IF(UNN220 = "", "", IFERROR(UNN220 / SUMIFS(Aux_Totales!$N:$N, Aux_Totales!$F:$F, $F224, Aux_Totales!$A:$A,#REF!), 0))</f>
        <v/>
      </c>
      <c r="UNO224" s="19" t="str">
        <f>IF(UNO220 = "", "", IFERROR(UNO220 / SUMIFS(Aux_Totales!$N:$N, Aux_Totales!$F:$F, $F224, Aux_Totales!$A:$A,#REF!), 0))</f>
        <v/>
      </c>
      <c r="UNP224" s="19" t="str">
        <f>IF(UNP220 = "", "", IFERROR(UNP220 / SUMIFS(Aux_Totales!$N:$N, Aux_Totales!$F:$F, $F224, Aux_Totales!$A:$A,#REF!), 0))</f>
        <v/>
      </c>
      <c r="UNQ224" s="19" t="str">
        <f>IF(UNQ220 = "", "", IFERROR(UNQ220 / SUMIFS(Aux_Totales!$N:$N, Aux_Totales!$F:$F, $F224, Aux_Totales!$A:$A,#REF!), 0))</f>
        <v/>
      </c>
      <c r="UNR224" s="19" t="str">
        <f>IF(UNR220 = "", "", IFERROR(UNR220 / SUMIFS(Aux_Totales!$N:$N, Aux_Totales!$F:$F, $F224, Aux_Totales!$A:$A,#REF!), 0))</f>
        <v/>
      </c>
      <c r="UNS224" s="19" t="str">
        <f>IF(UNS220 = "", "", IFERROR(UNS220 / SUMIFS(Aux_Totales!$N:$N, Aux_Totales!$F:$F, $F224, Aux_Totales!$A:$A,#REF!), 0))</f>
        <v/>
      </c>
      <c r="UNT224" s="19" t="str">
        <f>IF(UNT220 = "", "", IFERROR(UNT220 / SUMIFS(Aux_Totales!$N:$N, Aux_Totales!$F:$F, $F224, Aux_Totales!$A:$A,#REF!), 0))</f>
        <v/>
      </c>
      <c r="UNU224" s="19" t="str">
        <f>IF(UNU220 = "", "", IFERROR(UNU220 / SUMIFS(Aux_Totales!$N:$N, Aux_Totales!$F:$F, $F224, Aux_Totales!$A:$A,#REF!), 0))</f>
        <v/>
      </c>
      <c r="UNV224" s="19" t="str">
        <f>IF(UNV220 = "", "", IFERROR(UNV220 / SUMIFS(Aux_Totales!$N:$N, Aux_Totales!$F:$F, $F224, Aux_Totales!$A:$A,#REF!), 0))</f>
        <v/>
      </c>
      <c r="UNW224" s="19" t="str">
        <f>IF(UNW220 = "", "", IFERROR(UNW220 / SUMIFS(Aux_Totales!$N:$N, Aux_Totales!$F:$F, $F224, Aux_Totales!$A:$A,#REF!), 0))</f>
        <v/>
      </c>
      <c r="UNX224" s="19" t="str">
        <f>IF(UNX220 = "", "", IFERROR(UNX220 / SUMIFS(Aux_Totales!$N:$N, Aux_Totales!$F:$F, $F224, Aux_Totales!$A:$A,#REF!), 0))</f>
        <v/>
      </c>
      <c r="UNY224" s="19" t="str">
        <f>IF(UNY220 = "", "", IFERROR(UNY220 / SUMIFS(Aux_Totales!$N:$N, Aux_Totales!$F:$F, $F224, Aux_Totales!$A:$A,#REF!), 0))</f>
        <v/>
      </c>
      <c r="UNZ224" s="19" t="str">
        <f>IF(UNZ220 = "", "", IFERROR(UNZ220 / SUMIFS(Aux_Totales!$N:$N, Aux_Totales!$F:$F, $F224, Aux_Totales!$A:$A,#REF!), 0))</f>
        <v/>
      </c>
      <c r="UOA224" s="19" t="str">
        <f>IF(UOA220 = "", "", IFERROR(UOA220 / SUMIFS(Aux_Totales!$N:$N, Aux_Totales!$F:$F, $F224, Aux_Totales!$A:$A,#REF!), 0))</f>
        <v/>
      </c>
      <c r="UOB224" s="19" t="str">
        <f>IF(UOB220 = "", "", IFERROR(UOB220 / SUMIFS(Aux_Totales!$N:$N, Aux_Totales!$F:$F, $F224, Aux_Totales!$A:$A,#REF!), 0))</f>
        <v/>
      </c>
      <c r="UOC224" s="19" t="str">
        <f>IF(UOC220 = "", "", IFERROR(UOC220 / SUMIFS(Aux_Totales!$N:$N, Aux_Totales!$F:$F, $F224, Aux_Totales!$A:$A,#REF!), 0))</f>
        <v/>
      </c>
      <c r="UOD224" s="19" t="str">
        <f>IF(UOD220 = "", "", IFERROR(UOD220 / SUMIFS(Aux_Totales!$N:$N, Aux_Totales!$F:$F, $F224, Aux_Totales!$A:$A,#REF!), 0))</f>
        <v/>
      </c>
      <c r="UOE224" s="19" t="str">
        <f>IF(UOE220 = "", "", IFERROR(UOE220 / SUMIFS(Aux_Totales!$N:$N, Aux_Totales!$F:$F, $F224, Aux_Totales!$A:$A,#REF!), 0))</f>
        <v/>
      </c>
      <c r="UOF224" s="19" t="str">
        <f>IF(UOF220 = "", "", IFERROR(UOF220 / SUMIFS(Aux_Totales!$N:$N, Aux_Totales!$F:$F, $F224, Aux_Totales!$A:$A,#REF!), 0))</f>
        <v/>
      </c>
      <c r="UOG224" s="19" t="str">
        <f>IF(UOG220 = "", "", IFERROR(UOG220 / SUMIFS(Aux_Totales!$N:$N, Aux_Totales!$F:$F, $F224, Aux_Totales!$A:$A,#REF!), 0))</f>
        <v/>
      </c>
      <c r="UOH224" s="19" t="str">
        <f>IF(UOH220 = "", "", IFERROR(UOH220 / SUMIFS(Aux_Totales!$N:$N, Aux_Totales!$F:$F, $F224, Aux_Totales!$A:$A,#REF!), 0))</f>
        <v/>
      </c>
      <c r="UOI224" s="19" t="str">
        <f>IF(UOI220 = "", "", IFERROR(UOI220 / SUMIFS(Aux_Totales!$N:$N, Aux_Totales!$F:$F, $F224, Aux_Totales!$A:$A,#REF!), 0))</f>
        <v/>
      </c>
      <c r="UOJ224" s="19" t="str">
        <f>IF(UOJ220 = "", "", IFERROR(UOJ220 / SUMIFS(Aux_Totales!$N:$N, Aux_Totales!$F:$F, $F224, Aux_Totales!$A:$A,#REF!), 0))</f>
        <v/>
      </c>
      <c r="UOK224" s="19" t="str">
        <f>IF(UOK220 = "", "", IFERROR(UOK220 / SUMIFS(Aux_Totales!$N:$N, Aux_Totales!$F:$F, $F224, Aux_Totales!$A:$A,#REF!), 0))</f>
        <v/>
      </c>
      <c r="UOL224" s="19" t="str">
        <f>IF(UOL220 = "", "", IFERROR(UOL220 / SUMIFS(Aux_Totales!$N:$N, Aux_Totales!$F:$F, $F224, Aux_Totales!$A:$A,#REF!), 0))</f>
        <v/>
      </c>
      <c r="UOM224" s="19" t="str">
        <f>IF(UOM220 = "", "", IFERROR(UOM220 / SUMIFS(Aux_Totales!$N:$N, Aux_Totales!$F:$F, $F224, Aux_Totales!$A:$A,#REF!), 0))</f>
        <v/>
      </c>
      <c r="UON224" s="19" t="str">
        <f>IF(UON220 = "", "", IFERROR(UON220 / SUMIFS(Aux_Totales!$N:$N, Aux_Totales!$F:$F, $F224, Aux_Totales!$A:$A,#REF!), 0))</f>
        <v/>
      </c>
      <c r="UOO224" s="19" t="str">
        <f>IF(UOO220 = "", "", IFERROR(UOO220 / SUMIFS(Aux_Totales!$N:$N, Aux_Totales!$F:$F, $F224, Aux_Totales!$A:$A,#REF!), 0))</f>
        <v/>
      </c>
      <c r="UOP224" s="19" t="str">
        <f>IF(UOP220 = "", "", IFERROR(UOP220 / SUMIFS(Aux_Totales!$N:$N, Aux_Totales!$F:$F, $F224, Aux_Totales!$A:$A,#REF!), 0))</f>
        <v/>
      </c>
      <c r="UOQ224" s="19" t="str">
        <f>IF(UOQ220 = "", "", IFERROR(UOQ220 / SUMIFS(Aux_Totales!$N:$N, Aux_Totales!$F:$F, $F224, Aux_Totales!$A:$A,#REF!), 0))</f>
        <v/>
      </c>
      <c r="UOR224" s="19" t="str">
        <f>IF(UOR220 = "", "", IFERROR(UOR220 / SUMIFS(Aux_Totales!$N:$N, Aux_Totales!$F:$F, $F224, Aux_Totales!$A:$A,#REF!), 0))</f>
        <v/>
      </c>
      <c r="UOS224" s="19" t="str">
        <f>IF(UOS220 = "", "", IFERROR(UOS220 / SUMIFS(Aux_Totales!$N:$N, Aux_Totales!$F:$F, $F224, Aux_Totales!$A:$A,#REF!), 0))</f>
        <v/>
      </c>
      <c r="UOT224" s="19" t="str">
        <f>IF(UOT220 = "", "", IFERROR(UOT220 / SUMIFS(Aux_Totales!$N:$N, Aux_Totales!$F:$F, $F224, Aux_Totales!$A:$A,#REF!), 0))</f>
        <v/>
      </c>
      <c r="UOU224" s="19" t="str">
        <f>IF(UOU220 = "", "", IFERROR(UOU220 / SUMIFS(Aux_Totales!$N:$N, Aux_Totales!$F:$F, $F224, Aux_Totales!$A:$A,#REF!), 0))</f>
        <v/>
      </c>
      <c r="UOV224" s="19" t="str">
        <f>IF(UOV220 = "", "", IFERROR(UOV220 / SUMIFS(Aux_Totales!$N:$N, Aux_Totales!$F:$F, $F224, Aux_Totales!$A:$A,#REF!), 0))</f>
        <v/>
      </c>
      <c r="UOW224" s="19" t="str">
        <f>IF(UOW220 = "", "", IFERROR(UOW220 / SUMIFS(Aux_Totales!$N:$N, Aux_Totales!$F:$F, $F224, Aux_Totales!$A:$A,#REF!), 0))</f>
        <v/>
      </c>
      <c r="UOX224" s="19" t="str">
        <f>IF(UOX220 = "", "", IFERROR(UOX220 / SUMIFS(Aux_Totales!$N:$N, Aux_Totales!$F:$F, $F224, Aux_Totales!$A:$A,#REF!), 0))</f>
        <v/>
      </c>
      <c r="UOY224" s="19" t="str">
        <f>IF(UOY220 = "", "", IFERROR(UOY220 / SUMIFS(Aux_Totales!$N:$N, Aux_Totales!$F:$F, $F224, Aux_Totales!$A:$A,#REF!), 0))</f>
        <v/>
      </c>
      <c r="UOZ224" s="19" t="str">
        <f>IF(UOZ220 = "", "", IFERROR(UOZ220 / SUMIFS(Aux_Totales!$N:$N, Aux_Totales!$F:$F, $F224, Aux_Totales!$A:$A,#REF!), 0))</f>
        <v/>
      </c>
      <c r="UPA224" s="19" t="str">
        <f>IF(UPA220 = "", "", IFERROR(UPA220 / SUMIFS(Aux_Totales!$N:$N, Aux_Totales!$F:$F, $F224, Aux_Totales!$A:$A,#REF!), 0))</f>
        <v/>
      </c>
      <c r="UPB224" s="19" t="str">
        <f>IF(UPB220 = "", "", IFERROR(UPB220 / SUMIFS(Aux_Totales!$N:$N, Aux_Totales!$F:$F, $F224, Aux_Totales!$A:$A,#REF!), 0))</f>
        <v/>
      </c>
      <c r="UPC224" s="19" t="str">
        <f>IF(UPC220 = "", "", IFERROR(UPC220 / SUMIFS(Aux_Totales!$N:$N, Aux_Totales!$F:$F, $F224, Aux_Totales!$A:$A,#REF!), 0))</f>
        <v/>
      </c>
      <c r="UPD224" s="19" t="str">
        <f>IF(UPD220 = "", "", IFERROR(UPD220 / SUMIFS(Aux_Totales!$N:$N, Aux_Totales!$F:$F, $F224, Aux_Totales!$A:$A,#REF!), 0))</f>
        <v/>
      </c>
      <c r="UPE224" s="19" t="str">
        <f>IF(UPE220 = "", "", IFERROR(UPE220 / SUMIFS(Aux_Totales!$N:$N, Aux_Totales!$F:$F, $F224, Aux_Totales!$A:$A,#REF!), 0))</f>
        <v/>
      </c>
      <c r="UPF224" s="19" t="str">
        <f>IF(UPF220 = "", "", IFERROR(UPF220 / SUMIFS(Aux_Totales!$N:$N, Aux_Totales!$F:$F, $F224, Aux_Totales!$A:$A,#REF!), 0))</f>
        <v/>
      </c>
      <c r="UPG224" s="19" t="str">
        <f>IF(UPG220 = "", "", IFERROR(UPG220 / SUMIFS(Aux_Totales!$N:$N, Aux_Totales!$F:$F, $F224, Aux_Totales!$A:$A,#REF!), 0))</f>
        <v/>
      </c>
      <c r="UPH224" s="19" t="str">
        <f>IF(UPH220 = "", "", IFERROR(UPH220 / SUMIFS(Aux_Totales!$N:$N, Aux_Totales!$F:$F, $F224, Aux_Totales!$A:$A,#REF!), 0))</f>
        <v/>
      </c>
      <c r="UPI224" s="19" t="str">
        <f>IF(UPI220 = "", "", IFERROR(UPI220 / SUMIFS(Aux_Totales!$N:$N, Aux_Totales!$F:$F, $F224, Aux_Totales!$A:$A,#REF!), 0))</f>
        <v/>
      </c>
      <c r="UPJ224" s="19" t="str">
        <f>IF(UPJ220 = "", "", IFERROR(UPJ220 / SUMIFS(Aux_Totales!$N:$N, Aux_Totales!$F:$F, $F224, Aux_Totales!$A:$A,#REF!), 0))</f>
        <v/>
      </c>
      <c r="UPK224" s="19" t="str">
        <f>IF(UPK220 = "", "", IFERROR(UPK220 / SUMIFS(Aux_Totales!$N:$N, Aux_Totales!$F:$F, $F224, Aux_Totales!$A:$A,#REF!), 0))</f>
        <v/>
      </c>
      <c r="UPL224" s="19" t="str">
        <f>IF(UPL220 = "", "", IFERROR(UPL220 / SUMIFS(Aux_Totales!$N:$N, Aux_Totales!$F:$F, $F224, Aux_Totales!$A:$A,#REF!), 0))</f>
        <v/>
      </c>
      <c r="UPM224" s="19" t="str">
        <f>IF(UPM220 = "", "", IFERROR(UPM220 / SUMIFS(Aux_Totales!$N:$N, Aux_Totales!$F:$F, $F224, Aux_Totales!$A:$A,#REF!), 0))</f>
        <v/>
      </c>
      <c r="UPN224" s="19" t="str">
        <f>IF(UPN220 = "", "", IFERROR(UPN220 / SUMIFS(Aux_Totales!$N:$N, Aux_Totales!$F:$F, $F224, Aux_Totales!$A:$A,#REF!), 0))</f>
        <v/>
      </c>
      <c r="UPO224" s="19" t="str">
        <f>IF(UPO220 = "", "", IFERROR(UPO220 / SUMIFS(Aux_Totales!$N:$N, Aux_Totales!$F:$F, $F224, Aux_Totales!$A:$A,#REF!), 0))</f>
        <v/>
      </c>
      <c r="UPP224" s="19" t="str">
        <f>IF(UPP220 = "", "", IFERROR(UPP220 / SUMIFS(Aux_Totales!$N:$N, Aux_Totales!$F:$F, $F224, Aux_Totales!$A:$A,#REF!), 0))</f>
        <v/>
      </c>
      <c r="UPQ224" s="19" t="str">
        <f>IF(UPQ220 = "", "", IFERROR(UPQ220 / SUMIFS(Aux_Totales!$N:$N, Aux_Totales!$F:$F, $F224, Aux_Totales!$A:$A,#REF!), 0))</f>
        <v/>
      </c>
      <c r="UPR224" s="19" t="str">
        <f>IF(UPR220 = "", "", IFERROR(UPR220 / SUMIFS(Aux_Totales!$N:$N, Aux_Totales!$F:$F, $F224, Aux_Totales!$A:$A,#REF!), 0))</f>
        <v/>
      </c>
      <c r="UPS224" s="19" t="str">
        <f>IF(UPS220 = "", "", IFERROR(UPS220 / SUMIFS(Aux_Totales!$N:$N, Aux_Totales!$F:$F, $F224, Aux_Totales!$A:$A,#REF!), 0))</f>
        <v/>
      </c>
      <c r="UPT224" s="19" t="str">
        <f>IF(UPT220 = "", "", IFERROR(UPT220 / SUMIFS(Aux_Totales!$N:$N, Aux_Totales!$F:$F, $F224, Aux_Totales!$A:$A,#REF!), 0))</f>
        <v/>
      </c>
      <c r="UPU224" s="19" t="str">
        <f>IF(UPU220 = "", "", IFERROR(UPU220 / SUMIFS(Aux_Totales!$N:$N, Aux_Totales!$F:$F, $F224, Aux_Totales!$A:$A,#REF!), 0))</f>
        <v/>
      </c>
      <c r="UPV224" s="19" t="str">
        <f>IF(UPV220 = "", "", IFERROR(UPV220 / SUMIFS(Aux_Totales!$N:$N, Aux_Totales!$F:$F, $F224, Aux_Totales!$A:$A,#REF!), 0))</f>
        <v/>
      </c>
      <c r="UPW224" s="19" t="str">
        <f>IF(UPW220 = "", "", IFERROR(UPW220 / SUMIFS(Aux_Totales!$N:$N, Aux_Totales!$F:$F, $F224, Aux_Totales!$A:$A,#REF!), 0))</f>
        <v/>
      </c>
      <c r="UPX224" s="19" t="str">
        <f>IF(UPX220 = "", "", IFERROR(UPX220 / SUMIFS(Aux_Totales!$N:$N, Aux_Totales!$F:$F, $F224, Aux_Totales!$A:$A,#REF!), 0))</f>
        <v/>
      </c>
      <c r="UPY224" s="19" t="str">
        <f>IF(UPY220 = "", "", IFERROR(UPY220 / SUMIFS(Aux_Totales!$N:$N, Aux_Totales!$F:$F, $F224, Aux_Totales!$A:$A,#REF!), 0))</f>
        <v/>
      </c>
      <c r="UPZ224" s="19" t="str">
        <f>IF(UPZ220 = "", "", IFERROR(UPZ220 / SUMIFS(Aux_Totales!$N:$N, Aux_Totales!$F:$F, $F224, Aux_Totales!$A:$A,#REF!), 0))</f>
        <v/>
      </c>
      <c r="UQA224" s="19" t="str">
        <f>IF(UQA220 = "", "", IFERROR(UQA220 / SUMIFS(Aux_Totales!$N:$N, Aux_Totales!$F:$F, $F224, Aux_Totales!$A:$A,#REF!), 0))</f>
        <v/>
      </c>
      <c r="UQB224" s="19" t="str">
        <f>IF(UQB220 = "", "", IFERROR(UQB220 / SUMIFS(Aux_Totales!$N:$N, Aux_Totales!$F:$F, $F224, Aux_Totales!$A:$A,#REF!), 0))</f>
        <v/>
      </c>
      <c r="UQC224" s="19" t="str">
        <f>IF(UQC220 = "", "", IFERROR(UQC220 / SUMIFS(Aux_Totales!$N:$N, Aux_Totales!$F:$F, $F224, Aux_Totales!$A:$A,#REF!), 0))</f>
        <v/>
      </c>
      <c r="UQD224" s="19" t="str">
        <f>IF(UQD220 = "", "", IFERROR(UQD220 / SUMIFS(Aux_Totales!$N:$N, Aux_Totales!$F:$F, $F224, Aux_Totales!$A:$A,#REF!), 0))</f>
        <v/>
      </c>
      <c r="UQE224" s="19" t="str">
        <f>IF(UQE220 = "", "", IFERROR(UQE220 / SUMIFS(Aux_Totales!$N:$N, Aux_Totales!$F:$F, $F224, Aux_Totales!$A:$A,#REF!), 0))</f>
        <v/>
      </c>
      <c r="UQF224" s="19" t="str">
        <f>IF(UQF220 = "", "", IFERROR(UQF220 / SUMIFS(Aux_Totales!$N:$N, Aux_Totales!$F:$F, $F224, Aux_Totales!$A:$A,#REF!), 0))</f>
        <v/>
      </c>
      <c r="UQG224" s="19" t="str">
        <f>IF(UQG220 = "", "", IFERROR(UQG220 / SUMIFS(Aux_Totales!$N:$N, Aux_Totales!$F:$F, $F224, Aux_Totales!$A:$A,#REF!), 0))</f>
        <v/>
      </c>
      <c r="UQH224" s="19" t="str">
        <f>IF(UQH220 = "", "", IFERROR(UQH220 / SUMIFS(Aux_Totales!$N:$N, Aux_Totales!$F:$F, $F224, Aux_Totales!$A:$A,#REF!), 0))</f>
        <v/>
      </c>
      <c r="UQI224" s="19" t="str">
        <f>IF(UQI220 = "", "", IFERROR(UQI220 / SUMIFS(Aux_Totales!$N:$N, Aux_Totales!$F:$F, $F224, Aux_Totales!$A:$A,#REF!), 0))</f>
        <v/>
      </c>
      <c r="UQJ224" s="19" t="str">
        <f>IF(UQJ220 = "", "", IFERROR(UQJ220 / SUMIFS(Aux_Totales!$N:$N, Aux_Totales!$F:$F, $F224, Aux_Totales!$A:$A,#REF!), 0))</f>
        <v/>
      </c>
      <c r="UQK224" s="19" t="str">
        <f>IF(UQK220 = "", "", IFERROR(UQK220 / SUMIFS(Aux_Totales!$N:$N, Aux_Totales!$F:$F, $F224, Aux_Totales!$A:$A,#REF!), 0))</f>
        <v/>
      </c>
      <c r="UQL224" s="19" t="str">
        <f>IF(UQL220 = "", "", IFERROR(UQL220 / SUMIFS(Aux_Totales!$N:$N, Aux_Totales!$F:$F, $F224, Aux_Totales!$A:$A,#REF!), 0))</f>
        <v/>
      </c>
      <c r="UQM224" s="19" t="str">
        <f>IF(UQM220 = "", "", IFERROR(UQM220 / SUMIFS(Aux_Totales!$N:$N, Aux_Totales!$F:$F, $F224, Aux_Totales!$A:$A,#REF!), 0))</f>
        <v/>
      </c>
      <c r="UQN224" s="19" t="str">
        <f>IF(UQN220 = "", "", IFERROR(UQN220 / SUMIFS(Aux_Totales!$N:$N, Aux_Totales!$F:$F, $F224, Aux_Totales!$A:$A,#REF!), 0))</f>
        <v/>
      </c>
      <c r="UQO224" s="19" t="str">
        <f>IF(UQO220 = "", "", IFERROR(UQO220 / SUMIFS(Aux_Totales!$N:$N, Aux_Totales!$F:$F, $F224, Aux_Totales!$A:$A,#REF!), 0))</f>
        <v/>
      </c>
      <c r="UQP224" s="19" t="str">
        <f>IF(UQP220 = "", "", IFERROR(UQP220 / SUMIFS(Aux_Totales!$N:$N, Aux_Totales!$F:$F, $F224, Aux_Totales!$A:$A,#REF!), 0))</f>
        <v/>
      </c>
      <c r="UQQ224" s="19" t="str">
        <f>IF(UQQ220 = "", "", IFERROR(UQQ220 / SUMIFS(Aux_Totales!$N:$N, Aux_Totales!$F:$F, $F224, Aux_Totales!$A:$A,#REF!), 0))</f>
        <v/>
      </c>
      <c r="UQR224" s="19" t="str">
        <f>IF(UQR220 = "", "", IFERROR(UQR220 / SUMIFS(Aux_Totales!$N:$N, Aux_Totales!$F:$F, $F224, Aux_Totales!$A:$A,#REF!), 0))</f>
        <v/>
      </c>
      <c r="UQS224" s="19" t="str">
        <f>IF(UQS220 = "", "", IFERROR(UQS220 / SUMIFS(Aux_Totales!$N:$N, Aux_Totales!$F:$F, $F224, Aux_Totales!$A:$A,#REF!), 0))</f>
        <v/>
      </c>
      <c r="UQT224" s="19" t="str">
        <f>IF(UQT220 = "", "", IFERROR(UQT220 / SUMIFS(Aux_Totales!$N:$N, Aux_Totales!$F:$F, $F224, Aux_Totales!$A:$A,#REF!), 0))</f>
        <v/>
      </c>
      <c r="UQU224" s="19" t="str">
        <f>IF(UQU220 = "", "", IFERROR(UQU220 / SUMIFS(Aux_Totales!$N:$N, Aux_Totales!$F:$F, $F224, Aux_Totales!$A:$A,#REF!), 0))</f>
        <v/>
      </c>
      <c r="UQV224" s="19" t="str">
        <f>IF(UQV220 = "", "", IFERROR(UQV220 / SUMIFS(Aux_Totales!$N:$N, Aux_Totales!$F:$F, $F224, Aux_Totales!$A:$A,#REF!), 0))</f>
        <v/>
      </c>
      <c r="UQW224" s="19" t="str">
        <f>IF(UQW220 = "", "", IFERROR(UQW220 / SUMIFS(Aux_Totales!$N:$N, Aux_Totales!$F:$F, $F224, Aux_Totales!$A:$A,#REF!), 0))</f>
        <v/>
      </c>
      <c r="UQX224" s="19" t="str">
        <f>IF(UQX220 = "", "", IFERROR(UQX220 / SUMIFS(Aux_Totales!$N:$N, Aux_Totales!$F:$F, $F224, Aux_Totales!$A:$A,#REF!), 0))</f>
        <v/>
      </c>
      <c r="UQY224" s="19" t="str">
        <f>IF(UQY220 = "", "", IFERROR(UQY220 / SUMIFS(Aux_Totales!$N:$N, Aux_Totales!$F:$F, $F224, Aux_Totales!$A:$A,#REF!), 0))</f>
        <v/>
      </c>
      <c r="UQZ224" s="19" t="str">
        <f>IF(UQZ220 = "", "", IFERROR(UQZ220 / SUMIFS(Aux_Totales!$N:$N, Aux_Totales!$F:$F, $F224, Aux_Totales!$A:$A,#REF!), 0))</f>
        <v/>
      </c>
      <c r="URA224" s="19" t="str">
        <f>IF(URA220 = "", "", IFERROR(URA220 / SUMIFS(Aux_Totales!$N:$N, Aux_Totales!$F:$F, $F224, Aux_Totales!$A:$A,#REF!), 0))</f>
        <v/>
      </c>
      <c r="URB224" s="19" t="str">
        <f>IF(URB220 = "", "", IFERROR(URB220 / SUMIFS(Aux_Totales!$N:$N, Aux_Totales!$F:$F, $F224, Aux_Totales!$A:$A,#REF!), 0))</f>
        <v/>
      </c>
      <c r="URC224" s="19" t="str">
        <f>IF(URC220 = "", "", IFERROR(URC220 / SUMIFS(Aux_Totales!$N:$N, Aux_Totales!$F:$F, $F224, Aux_Totales!$A:$A,#REF!), 0))</f>
        <v/>
      </c>
      <c r="URD224" s="19" t="str">
        <f>IF(URD220 = "", "", IFERROR(URD220 / SUMIFS(Aux_Totales!$N:$N, Aux_Totales!$F:$F, $F224, Aux_Totales!$A:$A,#REF!), 0))</f>
        <v/>
      </c>
      <c r="URE224" s="19" t="str">
        <f>IF(URE220 = "", "", IFERROR(URE220 / SUMIFS(Aux_Totales!$N:$N, Aux_Totales!$F:$F, $F224, Aux_Totales!$A:$A,#REF!), 0))</f>
        <v/>
      </c>
      <c r="URF224" s="19" t="str">
        <f>IF(URF220 = "", "", IFERROR(URF220 / SUMIFS(Aux_Totales!$N:$N, Aux_Totales!$F:$F, $F224, Aux_Totales!$A:$A,#REF!), 0))</f>
        <v/>
      </c>
      <c r="URG224" s="19" t="str">
        <f>IF(URG220 = "", "", IFERROR(URG220 / SUMIFS(Aux_Totales!$N:$N, Aux_Totales!$F:$F, $F224, Aux_Totales!$A:$A,#REF!), 0))</f>
        <v/>
      </c>
      <c r="URH224" s="19" t="str">
        <f>IF(URH220 = "", "", IFERROR(URH220 / SUMIFS(Aux_Totales!$N:$N, Aux_Totales!$F:$F, $F224, Aux_Totales!$A:$A,#REF!), 0))</f>
        <v/>
      </c>
      <c r="URI224" s="19" t="str">
        <f>IF(URI220 = "", "", IFERROR(URI220 / SUMIFS(Aux_Totales!$N:$N, Aux_Totales!$F:$F, $F224, Aux_Totales!$A:$A,#REF!), 0))</f>
        <v/>
      </c>
      <c r="URJ224" s="19" t="str">
        <f>IF(URJ220 = "", "", IFERROR(URJ220 / SUMIFS(Aux_Totales!$N:$N, Aux_Totales!$F:$F, $F224, Aux_Totales!$A:$A,#REF!), 0))</f>
        <v/>
      </c>
      <c r="URK224" s="19" t="str">
        <f>IF(URK220 = "", "", IFERROR(URK220 / SUMIFS(Aux_Totales!$N:$N, Aux_Totales!$F:$F, $F224, Aux_Totales!$A:$A,#REF!), 0))</f>
        <v/>
      </c>
      <c r="URL224" s="19" t="str">
        <f>IF(URL220 = "", "", IFERROR(URL220 / SUMIFS(Aux_Totales!$N:$N, Aux_Totales!$F:$F, $F224, Aux_Totales!$A:$A,#REF!), 0))</f>
        <v/>
      </c>
      <c r="URM224" s="19" t="str">
        <f>IF(URM220 = "", "", IFERROR(URM220 / SUMIFS(Aux_Totales!$N:$N, Aux_Totales!$F:$F, $F224, Aux_Totales!$A:$A,#REF!), 0))</f>
        <v/>
      </c>
      <c r="URN224" s="19" t="str">
        <f>IF(URN220 = "", "", IFERROR(URN220 / SUMIFS(Aux_Totales!$N:$N, Aux_Totales!$F:$F, $F224, Aux_Totales!$A:$A,#REF!), 0))</f>
        <v/>
      </c>
      <c r="URO224" s="19" t="str">
        <f>IF(URO220 = "", "", IFERROR(URO220 / SUMIFS(Aux_Totales!$N:$N, Aux_Totales!$F:$F, $F224, Aux_Totales!$A:$A,#REF!), 0))</f>
        <v/>
      </c>
      <c r="URP224" s="19" t="str">
        <f>IF(URP220 = "", "", IFERROR(URP220 / SUMIFS(Aux_Totales!$N:$N, Aux_Totales!$F:$F, $F224, Aux_Totales!$A:$A,#REF!), 0))</f>
        <v/>
      </c>
      <c r="URQ224" s="19" t="str">
        <f>IF(URQ220 = "", "", IFERROR(URQ220 / SUMIFS(Aux_Totales!$N:$N, Aux_Totales!$F:$F, $F224, Aux_Totales!$A:$A,#REF!), 0))</f>
        <v/>
      </c>
      <c r="URR224" s="19" t="str">
        <f>IF(URR220 = "", "", IFERROR(URR220 / SUMIFS(Aux_Totales!$N:$N, Aux_Totales!$F:$F, $F224, Aux_Totales!$A:$A,#REF!), 0))</f>
        <v/>
      </c>
      <c r="URS224" s="19" t="str">
        <f>IF(URS220 = "", "", IFERROR(URS220 / SUMIFS(Aux_Totales!$N:$N, Aux_Totales!$F:$F, $F224, Aux_Totales!$A:$A,#REF!), 0))</f>
        <v/>
      </c>
      <c r="URT224" s="19" t="str">
        <f>IF(URT220 = "", "", IFERROR(URT220 / SUMIFS(Aux_Totales!$N:$N, Aux_Totales!$F:$F, $F224, Aux_Totales!$A:$A,#REF!), 0))</f>
        <v/>
      </c>
      <c r="URU224" s="19" t="str">
        <f>IF(URU220 = "", "", IFERROR(URU220 / SUMIFS(Aux_Totales!$N:$N, Aux_Totales!$F:$F, $F224, Aux_Totales!$A:$A,#REF!), 0))</f>
        <v/>
      </c>
      <c r="URV224" s="19" t="str">
        <f>IF(URV220 = "", "", IFERROR(URV220 / SUMIFS(Aux_Totales!$N:$N, Aux_Totales!$F:$F, $F224, Aux_Totales!$A:$A,#REF!), 0))</f>
        <v/>
      </c>
      <c r="URW224" s="19" t="str">
        <f>IF(URW220 = "", "", IFERROR(URW220 / SUMIFS(Aux_Totales!$N:$N, Aux_Totales!$F:$F, $F224, Aux_Totales!$A:$A,#REF!), 0))</f>
        <v/>
      </c>
      <c r="URX224" s="19" t="str">
        <f>IF(URX220 = "", "", IFERROR(URX220 / SUMIFS(Aux_Totales!$N:$N, Aux_Totales!$F:$F, $F224, Aux_Totales!$A:$A,#REF!), 0))</f>
        <v/>
      </c>
      <c r="URY224" s="19" t="str">
        <f>IF(URY220 = "", "", IFERROR(URY220 / SUMIFS(Aux_Totales!$N:$N, Aux_Totales!$F:$F, $F224, Aux_Totales!$A:$A,#REF!), 0))</f>
        <v/>
      </c>
      <c r="URZ224" s="19" t="str">
        <f>IF(URZ220 = "", "", IFERROR(URZ220 / SUMIFS(Aux_Totales!$N:$N, Aux_Totales!$F:$F, $F224, Aux_Totales!$A:$A,#REF!), 0))</f>
        <v/>
      </c>
      <c r="USA224" s="19" t="str">
        <f>IF(USA220 = "", "", IFERROR(USA220 / SUMIFS(Aux_Totales!$N:$N, Aux_Totales!$F:$F, $F224, Aux_Totales!$A:$A,#REF!), 0))</f>
        <v/>
      </c>
      <c r="USB224" s="19" t="str">
        <f>IF(USB220 = "", "", IFERROR(USB220 / SUMIFS(Aux_Totales!$N:$N, Aux_Totales!$F:$F, $F224, Aux_Totales!$A:$A,#REF!), 0))</f>
        <v/>
      </c>
      <c r="USC224" s="19" t="str">
        <f>IF(USC220 = "", "", IFERROR(USC220 / SUMIFS(Aux_Totales!$N:$N, Aux_Totales!$F:$F, $F224, Aux_Totales!$A:$A,#REF!), 0))</f>
        <v/>
      </c>
      <c r="USD224" s="19" t="str">
        <f>IF(USD220 = "", "", IFERROR(USD220 / SUMIFS(Aux_Totales!$N:$N, Aux_Totales!$F:$F, $F224, Aux_Totales!$A:$A,#REF!), 0))</f>
        <v/>
      </c>
      <c r="USE224" s="19" t="str">
        <f>IF(USE220 = "", "", IFERROR(USE220 / SUMIFS(Aux_Totales!$N:$N, Aux_Totales!$F:$F, $F224, Aux_Totales!$A:$A,#REF!), 0))</f>
        <v/>
      </c>
      <c r="USF224" s="19" t="str">
        <f>IF(USF220 = "", "", IFERROR(USF220 / SUMIFS(Aux_Totales!$N:$N, Aux_Totales!$F:$F, $F224, Aux_Totales!$A:$A,#REF!), 0))</f>
        <v/>
      </c>
      <c r="USG224" s="19" t="str">
        <f>IF(USG220 = "", "", IFERROR(USG220 / SUMIFS(Aux_Totales!$N:$N, Aux_Totales!$F:$F, $F224, Aux_Totales!$A:$A,#REF!), 0))</f>
        <v/>
      </c>
      <c r="USH224" s="19" t="str">
        <f>IF(USH220 = "", "", IFERROR(USH220 / SUMIFS(Aux_Totales!$N:$N, Aux_Totales!$F:$F, $F224, Aux_Totales!$A:$A,#REF!), 0))</f>
        <v/>
      </c>
      <c r="USI224" s="19" t="str">
        <f>IF(USI220 = "", "", IFERROR(USI220 / SUMIFS(Aux_Totales!$N:$N, Aux_Totales!$F:$F, $F224, Aux_Totales!$A:$A,#REF!), 0))</f>
        <v/>
      </c>
      <c r="USJ224" s="19" t="str">
        <f>IF(USJ220 = "", "", IFERROR(USJ220 / SUMIFS(Aux_Totales!$N:$N, Aux_Totales!$F:$F, $F224, Aux_Totales!$A:$A,#REF!), 0))</f>
        <v/>
      </c>
      <c r="USK224" s="19" t="str">
        <f>IF(USK220 = "", "", IFERROR(USK220 / SUMIFS(Aux_Totales!$N:$N, Aux_Totales!$F:$F, $F224, Aux_Totales!$A:$A,#REF!), 0))</f>
        <v/>
      </c>
      <c r="USL224" s="19" t="str">
        <f>IF(USL220 = "", "", IFERROR(USL220 / SUMIFS(Aux_Totales!$N:$N, Aux_Totales!$F:$F, $F224, Aux_Totales!$A:$A,#REF!), 0))</f>
        <v/>
      </c>
      <c r="USM224" s="19" t="str">
        <f>IF(USM220 = "", "", IFERROR(USM220 / SUMIFS(Aux_Totales!$N:$N, Aux_Totales!$F:$F, $F224, Aux_Totales!$A:$A,#REF!), 0))</f>
        <v/>
      </c>
      <c r="USN224" s="19" t="str">
        <f>IF(USN220 = "", "", IFERROR(USN220 / SUMIFS(Aux_Totales!$N:$N, Aux_Totales!$F:$F, $F224, Aux_Totales!$A:$A,#REF!), 0))</f>
        <v/>
      </c>
      <c r="USO224" s="19" t="str">
        <f>IF(USO220 = "", "", IFERROR(USO220 / SUMIFS(Aux_Totales!$N:$N, Aux_Totales!$F:$F, $F224, Aux_Totales!$A:$A,#REF!), 0))</f>
        <v/>
      </c>
      <c r="USP224" s="19" t="str">
        <f>IF(USP220 = "", "", IFERROR(USP220 / SUMIFS(Aux_Totales!$N:$N, Aux_Totales!$F:$F, $F224, Aux_Totales!$A:$A,#REF!), 0))</f>
        <v/>
      </c>
      <c r="USQ224" s="19" t="str">
        <f>IF(USQ220 = "", "", IFERROR(USQ220 / SUMIFS(Aux_Totales!$N:$N, Aux_Totales!$F:$F, $F224, Aux_Totales!$A:$A,#REF!), 0))</f>
        <v/>
      </c>
      <c r="USR224" s="19" t="str">
        <f>IF(USR220 = "", "", IFERROR(USR220 / SUMIFS(Aux_Totales!$N:$N, Aux_Totales!$F:$F, $F224, Aux_Totales!$A:$A,#REF!), 0))</f>
        <v/>
      </c>
      <c r="USS224" s="19" t="str">
        <f>IF(USS220 = "", "", IFERROR(USS220 / SUMIFS(Aux_Totales!$N:$N, Aux_Totales!$F:$F, $F224, Aux_Totales!$A:$A,#REF!), 0))</f>
        <v/>
      </c>
      <c r="UST224" s="19" t="str">
        <f>IF(UST220 = "", "", IFERROR(UST220 / SUMIFS(Aux_Totales!$N:$N, Aux_Totales!$F:$F, $F224, Aux_Totales!$A:$A,#REF!), 0))</f>
        <v/>
      </c>
      <c r="USU224" s="19" t="str">
        <f>IF(USU220 = "", "", IFERROR(USU220 / SUMIFS(Aux_Totales!$N:$N, Aux_Totales!$F:$F, $F224, Aux_Totales!$A:$A,#REF!), 0))</f>
        <v/>
      </c>
      <c r="USV224" s="19" t="str">
        <f>IF(USV220 = "", "", IFERROR(USV220 / SUMIFS(Aux_Totales!$N:$N, Aux_Totales!$F:$F, $F224, Aux_Totales!$A:$A,#REF!), 0))</f>
        <v/>
      </c>
      <c r="USW224" s="19" t="str">
        <f>IF(USW220 = "", "", IFERROR(USW220 / SUMIFS(Aux_Totales!$N:$N, Aux_Totales!$F:$F, $F224, Aux_Totales!$A:$A,#REF!), 0))</f>
        <v/>
      </c>
      <c r="USX224" s="19" t="str">
        <f>IF(USX220 = "", "", IFERROR(USX220 / SUMIFS(Aux_Totales!$N:$N, Aux_Totales!$F:$F, $F224, Aux_Totales!$A:$A,#REF!), 0))</f>
        <v/>
      </c>
      <c r="USY224" s="19" t="str">
        <f>IF(USY220 = "", "", IFERROR(USY220 / SUMIFS(Aux_Totales!$N:$N, Aux_Totales!$F:$F, $F224, Aux_Totales!$A:$A,#REF!), 0))</f>
        <v/>
      </c>
      <c r="USZ224" s="19" t="str">
        <f>IF(USZ220 = "", "", IFERROR(USZ220 / SUMIFS(Aux_Totales!$N:$N, Aux_Totales!$F:$F, $F224, Aux_Totales!$A:$A,#REF!), 0))</f>
        <v/>
      </c>
      <c r="UTA224" s="19" t="str">
        <f>IF(UTA220 = "", "", IFERROR(UTA220 / SUMIFS(Aux_Totales!$N:$N, Aux_Totales!$F:$F, $F224, Aux_Totales!$A:$A,#REF!), 0))</f>
        <v/>
      </c>
      <c r="UTB224" s="19" t="str">
        <f>IF(UTB220 = "", "", IFERROR(UTB220 / SUMIFS(Aux_Totales!$N:$N, Aux_Totales!$F:$F, $F224, Aux_Totales!$A:$A,#REF!), 0))</f>
        <v/>
      </c>
      <c r="UTC224" s="19" t="str">
        <f>IF(UTC220 = "", "", IFERROR(UTC220 / SUMIFS(Aux_Totales!$N:$N, Aux_Totales!$F:$F, $F224, Aux_Totales!$A:$A,#REF!), 0))</f>
        <v/>
      </c>
      <c r="UTD224" s="19" t="str">
        <f>IF(UTD220 = "", "", IFERROR(UTD220 / SUMIFS(Aux_Totales!$N:$N, Aux_Totales!$F:$F, $F224, Aux_Totales!$A:$A,#REF!), 0))</f>
        <v/>
      </c>
      <c r="UTE224" s="19" t="str">
        <f>IF(UTE220 = "", "", IFERROR(UTE220 / SUMIFS(Aux_Totales!$N:$N, Aux_Totales!$F:$F, $F224, Aux_Totales!$A:$A,#REF!), 0))</f>
        <v/>
      </c>
      <c r="UTF224" s="19" t="str">
        <f>IF(UTF220 = "", "", IFERROR(UTF220 / SUMIFS(Aux_Totales!$N:$N, Aux_Totales!$F:$F, $F224, Aux_Totales!$A:$A,#REF!), 0))</f>
        <v/>
      </c>
      <c r="UTG224" s="19" t="str">
        <f>IF(UTG220 = "", "", IFERROR(UTG220 / SUMIFS(Aux_Totales!$N:$N, Aux_Totales!$F:$F, $F224, Aux_Totales!$A:$A,#REF!), 0))</f>
        <v/>
      </c>
      <c r="UTH224" s="19" t="str">
        <f>IF(UTH220 = "", "", IFERROR(UTH220 / SUMIFS(Aux_Totales!$N:$N, Aux_Totales!$F:$F, $F224, Aux_Totales!$A:$A,#REF!), 0))</f>
        <v/>
      </c>
      <c r="UTI224" s="19" t="str">
        <f>IF(UTI220 = "", "", IFERROR(UTI220 / SUMIFS(Aux_Totales!$N:$N, Aux_Totales!$F:$F, $F224, Aux_Totales!$A:$A,#REF!), 0))</f>
        <v/>
      </c>
      <c r="UTJ224" s="19" t="str">
        <f>IF(UTJ220 = "", "", IFERROR(UTJ220 / SUMIFS(Aux_Totales!$N:$N, Aux_Totales!$F:$F, $F224, Aux_Totales!$A:$A,#REF!), 0))</f>
        <v/>
      </c>
      <c r="UTK224" s="19" t="str">
        <f>IF(UTK220 = "", "", IFERROR(UTK220 / SUMIFS(Aux_Totales!$N:$N, Aux_Totales!$F:$F, $F224, Aux_Totales!$A:$A,#REF!), 0))</f>
        <v/>
      </c>
      <c r="UTL224" s="19" t="str">
        <f>IF(UTL220 = "", "", IFERROR(UTL220 / SUMIFS(Aux_Totales!$N:$N, Aux_Totales!$F:$F, $F224, Aux_Totales!$A:$A,#REF!), 0))</f>
        <v/>
      </c>
      <c r="UTM224" s="19" t="str">
        <f>IF(UTM220 = "", "", IFERROR(UTM220 / SUMIFS(Aux_Totales!$N:$N, Aux_Totales!$F:$F, $F224, Aux_Totales!$A:$A,#REF!), 0))</f>
        <v/>
      </c>
      <c r="UTN224" s="19" t="str">
        <f>IF(UTN220 = "", "", IFERROR(UTN220 / SUMIFS(Aux_Totales!$N:$N, Aux_Totales!$F:$F, $F224, Aux_Totales!$A:$A,#REF!), 0))</f>
        <v/>
      </c>
      <c r="UTO224" s="19" t="str">
        <f>IF(UTO220 = "", "", IFERROR(UTO220 / SUMIFS(Aux_Totales!$N:$N, Aux_Totales!$F:$F, $F224, Aux_Totales!$A:$A,#REF!), 0))</f>
        <v/>
      </c>
      <c r="UTP224" s="19" t="str">
        <f>IF(UTP220 = "", "", IFERROR(UTP220 / SUMIFS(Aux_Totales!$N:$N, Aux_Totales!$F:$F, $F224, Aux_Totales!$A:$A,#REF!), 0))</f>
        <v/>
      </c>
      <c r="UTQ224" s="19" t="str">
        <f>IF(UTQ220 = "", "", IFERROR(UTQ220 / SUMIFS(Aux_Totales!$N:$N, Aux_Totales!$F:$F, $F224, Aux_Totales!$A:$A,#REF!), 0))</f>
        <v/>
      </c>
      <c r="UTR224" s="19" t="str">
        <f>IF(UTR220 = "", "", IFERROR(UTR220 / SUMIFS(Aux_Totales!$N:$N, Aux_Totales!$F:$F, $F224, Aux_Totales!$A:$A,#REF!), 0))</f>
        <v/>
      </c>
      <c r="UTS224" s="19" t="str">
        <f>IF(UTS220 = "", "", IFERROR(UTS220 / SUMIFS(Aux_Totales!$N:$N, Aux_Totales!$F:$F, $F224, Aux_Totales!$A:$A,#REF!), 0))</f>
        <v/>
      </c>
      <c r="UTT224" s="19" t="str">
        <f>IF(UTT220 = "", "", IFERROR(UTT220 / SUMIFS(Aux_Totales!$N:$N, Aux_Totales!$F:$F, $F224, Aux_Totales!$A:$A,#REF!), 0))</f>
        <v/>
      </c>
      <c r="UTU224" s="19" t="str">
        <f>IF(UTU220 = "", "", IFERROR(UTU220 / SUMIFS(Aux_Totales!$N:$N, Aux_Totales!$F:$F, $F224, Aux_Totales!$A:$A,#REF!), 0))</f>
        <v/>
      </c>
      <c r="UTV224" s="19" t="str">
        <f>IF(UTV220 = "", "", IFERROR(UTV220 / SUMIFS(Aux_Totales!$N:$N, Aux_Totales!$F:$F, $F224, Aux_Totales!$A:$A,#REF!), 0))</f>
        <v/>
      </c>
      <c r="UTW224" s="19" t="str">
        <f>IF(UTW220 = "", "", IFERROR(UTW220 / SUMIFS(Aux_Totales!$N:$N, Aux_Totales!$F:$F, $F224, Aux_Totales!$A:$A,#REF!), 0))</f>
        <v/>
      </c>
      <c r="UTX224" s="19" t="str">
        <f>IF(UTX220 = "", "", IFERROR(UTX220 / SUMIFS(Aux_Totales!$N:$N, Aux_Totales!$F:$F, $F224, Aux_Totales!$A:$A,#REF!), 0))</f>
        <v/>
      </c>
      <c r="UTY224" s="19" t="str">
        <f>IF(UTY220 = "", "", IFERROR(UTY220 / SUMIFS(Aux_Totales!$N:$N, Aux_Totales!$F:$F, $F224, Aux_Totales!$A:$A,#REF!), 0))</f>
        <v/>
      </c>
      <c r="UTZ224" s="19" t="str">
        <f>IF(UTZ220 = "", "", IFERROR(UTZ220 / SUMIFS(Aux_Totales!$N:$N, Aux_Totales!$F:$F, $F224, Aux_Totales!$A:$A,#REF!), 0))</f>
        <v/>
      </c>
      <c r="UUA224" s="19" t="str">
        <f>IF(UUA220 = "", "", IFERROR(UUA220 / SUMIFS(Aux_Totales!$N:$N, Aux_Totales!$F:$F, $F224, Aux_Totales!$A:$A,#REF!), 0))</f>
        <v/>
      </c>
      <c r="UUB224" s="19" t="str">
        <f>IF(UUB220 = "", "", IFERROR(UUB220 / SUMIFS(Aux_Totales!$N:$N, Aux_Totales!$F:$F, $F224, Aux_Totales!$A:$A,#REF!), 0))</f>
        <v/>
      </c>
      <c r="UUC224" s="19" t="str">
        <f>IF(UUC220 = "", "", IFERROR(UUC220 / SUMIFS(Aux_Totales!$N:$N, Aux_Totales!$F:$F, $F224, Aux_Totales!$A:$A,#REF!), 0))</f>
        <v/>
      </c>
      <c r="UUD224" s="19" t="str">
        <f>IF(UUD220 = "", "", IFERROR(UUD220 / SUMIFS(Aux_Totales!$N:$N, Aux_Totales!$F:$F, $F224, Aux_Totales!$A:$A,#REF!), 0))</f>
        <v/>
      </c>
      <c r="UUE224" s="19" t="str">
        <f>IF(UUE220 = "", "", IFERROR(UUE220 / SUMIFS(Aux_Totales!$N:$N, Aux_Totales!$F:$F, $F224, Aux_Totales!$A:$A,#REF!), 0))</f>
        <v/>
      </c>
      <c r="UUF224" s="19" t="str">
        <f>IF(UUF220 = "", "", IFERROR(UUF220 / SUMIFS(Aux_Totales!$N:$N, Aux_Totales!$F:$F, $F224, Aux_Totales!$A:$A,#REF!), 0))</f>
        <v/>
      </c>
      <c r="UUG224" s="19" t="str">
        <f>IF(UUG220 = "", "", IFERROR(UUG220 / SUMIFS(Aux_Totales!$N:$N, Aux_Totales!$F:$F, $F224, Aux_Totales!$A:$A,#REF!), 0))</f>
        <v/>
      </c>
      <c r="UUH224" s="19" t="str">
        <f>IF(UUH220 = "", "", IFERROR(UUH220 / SUMIFS(Aux_Totales!$N:$N, Aux_Totales!$F:$F, $F224, Aux_Totales!$A:$A,#REF!), 0))</f>
        <v/>
      </c>
      <c r="UUI224" s="19" t="str">
        <f>IF(UUI220 = "", "", IFERROR(UUI220 / SUMIFS(Aux_Totales!$N:$N, Aux_Totales!$F:$F, $F224, Aux_Totales!$A:$A,#REF!), 0))</f>
        <v/>
      </c>
      <c r="UUJ224" s="19" t="str">
        <f>IF(UUJ220 = "", "", IFERROR(UUJ220 / SUMIFS(Aux_Totales!$N:$N, Aux_Totales!$F:$F, $F224, Aux_Totales!$A:$A,#REF!), 0))</f>
        <v/>
      </c>
      <c r="UUK224" s="19" t="str">
        <f>IF(UUK220 = "", "", IFERROR(UUK220 / SUMIFS(Aux_Totales!$N:$N, Aux_Totales!$F:$F, $F224, Aux_Totales!$A:$A,#REF!), 0))</f>
        <v/>
      </c>
      <c r="UUL224" s="19" t="str">
        <f>IF(UUL220 = "", "", IFERROR(UUL220 / SUMIFS(Aux_Totales!$N:$N, Aux_Totales!$F:$F, $F224, Aux_Totales!$A:$A,#REF!), 0))</f>
        <v/>
      </c>
      <c r="UUM224" s="19" t="str">
        <f>IF(UUM220 = "", "", IFERROR(UUM220 / SUMIFS(Aux_Totales!$N:$N, Aux_Totales!$F:$F, $F224, Aux_Totales!$A:$A,#REF!), 0))</f>
        <v/>
      </c>
      <c r="UUN224" s="19" t="str">
        <f>IF(UUN220 = "", "", IFERROR(UUN220 / SUMIFS(Aux_Totales!$N:$N, Aux_Totales!$F:$F, $F224, Aux_Totales!$A:$A,#REF!), 0))</f>
        <v/>
      </c>
      <c r="UUO224" s="19" t="str">
        <f>IF(UUO220 = "", "", IFERROR(UUO220 / SUMIFS(Aux_Totales!$N:$N, Aux_Totales!$F:$F, $F224, Aux_Totales!$A:$A,#REF!), 0))</f>
        <v/>
      </c>
      <c r="UUP224" s="19" t="str">
        <f>IF(UUP220 = "", "", IFERROR(UUP220 / SUMIFS(Aux_Totales!$N:$N, Aux_Totales!$F:$F, $F224, Aux_Totales!$A:$A,#REF!), 0))</f>
        <v/>
      </c>
      <c r="UUQ224" s="19" t="str">
        <f>IF(UUQ220 = "", "", IFERROR(UUQ220 / SUMIFS(Aux_Totales!$N:$N, Aux_Totales!$F:$F, $F224, Aux_Totales!$A:$A,#REF!), 0))</f>
        <v/>
      </c>
      <c r="UUR224" s="19" t="str">
        <f>IF(UUR220 = "", "", IFERROR(UUR220 / SUMIFS(Aux_Totales!$N:$N, Aux_Totales!$F:$F, $F224, Aux_Totales!$A:$A,#REF!), 0))</f>
        <v/>
      </c>
      <c r="UUS224" s="19" t="str">
        <f>IF(UUS220 = "", "", IFERROR(UUS220 / SUMIFS(Aux_Totales!$N:$N, Aux_Totales!$F:$F, $F224, Aux_Totales!$A:$A,#REF!), 0))</f>
        <v/>
      </c>
      <c r="UUT224" s="19" t="str">
        <f>IF(UUT220 = "", "", IFERROR(UUT220 / SUMIFS(Aux_Totales!$N:$N, Aux_Totales!$F:$F, $F224, Aux_Totales!$A:$A,#REF!), 0))</f>
        <v/>
      </c>
      <c r="UUU224" s="19" t="str">
        <f>IF(UUU220 = "", "", IFERROR(UUU220 / SUMIFS(Aux_Totales!$N:$N, Aux_Totales!$F:$F, $F224, Aux_Totales!$A:$A,#REF!), 0))</f>
        <v/>
      </c>
      <c r="UUV224" s="19" t="str">
        <f>IF(UUV220 = "", "", IFERROR(UUV220 / SUMIFS(Aux_Totales!$N:$N, Aux_Totales!$F:$F, $F224, Aux_Totales!$A:$A,#REF!), 0))</f>
        <v/>
      </c>
      <c r="UUW224" s="19" t="str">
        <f>IF(UUW220 = "", "", IFERROR(UUW220 / SUMIFS(Aux_Totales!$N:$N, Aux_Totales!$F:$F, $F224, Aux_Totales!$A:$A,#REF!), 0))</f>
        <v/>
      </c>
      <c r="UUX224" s="19" t="str">
        <f>IF(UUX220 = "", "", IFERROR(UUX220 / SUMIFS(Aux_Totales!$N:$N, Aux_Totales!$F:$F, $F224, Aux_Totales!$A:$A,#REF!), 0))</f>
        <v/>
      </c>
      <c r="UUY224" s="19" t="str">
        <f>IF(UUY220 = "", "", IFERROR(UUY220 / SUMIFS(Aux_Totales!$N:$N, Aux_Totales!$F:$F, $F224, Aux_Totales!$A:$A,#REF!), 0))</f>
        <v/>
      </c>
      <c r="UUZ224" s="19" t="str">
        <f>IF(UUZ220 = "", "", IFERROR(UUZ220 / SUMIFS(Aux_Totales!$N:$N, Aux_Totales!$F:$F, $F224, Aux_Totales!$A:$A,#REF!), 0))</f>
        <v/>
      </c>
      <c r="UVA224" s="19" t="str">
        <f>IF(UVA220 = "", "", IFERROR(UVA220 / SUMIFS(Aux_Totales!$N:$N, Aux_Totales!$F:$F, $F224, Aux_Totales!$A:$A,#REF!), 0))</f>
        <v/>
      </c>
      <c r="UVB224" s="19" t="str">
        <f>IF(UVB220 = "", "", IFERROR(UVB220 / SUMIFS(Aux_Totales!$N:$N, Aux_Totales!$F:$F, $F224, Aux_Totales!$A:$A,#REF!), 0))</f>
        <v/>
      </c>
      <c r="UVC224" s="19" t="str">
        <f>IF(UVC220 = "", "", IFERROR(UVC220 / SUMIFS(Aux_Totales!$N:$N, Aux_Totales!$F:$F, $F224, Aux_Totales!$A:$A,#REF!), 0))</f>
        <v/>
      </c>
      <c r="UVD224" s="19" t="str">
        <f>IF(UVD220 = "", "", IFERROR(UVD220 / SUMIFS(Aux_Totales!$N:$N, Aux_Totales!$F:$F, $F224, Aux_Totales!$A:$A,#REF!), 0))</f>
        <v/>
      </c>
      <c r="UVE224" s="19" t="str">
        <f>IF(UVE220 = "", "", IFERROR(UVE220 / SUMIFS(Aux_Totales!$N:$N, Aux_Totales!$F:$F, $F224, Aux_Totales!$A:$A,#REF!), 0))</f>
        <v/>
      </c>
      <c r="UVF224" s="19" t="str">
        <f>IF(UVF220 = "", "", IFERROR(UVF220 / SUMIFS(Aux_Totales!$N:$N, Aux_Totales!$F:$F, $F224, Aux_Totales!$A:$A,#REF!), 0))</f>
        <v/>
      </c>
      <c r="UVG224" s="19" t="str">
        <f>IF(UVG220 = "", "", IFERROR(UVG220 / SUMIFS(Aux_Totales!$N:$N, Aux_Totales!$F:$F, $F224, Aux_Totales!$A:$A,#REF!), 0))</f>
        <v/>
      </c>
      <c r="UVH224" s="19" t="str">
        <f>IF(UVH220 = "", "", IFERROR(UVH220 / SUMIFS(Aux_Totales!$N:$N, Aux_Totales!$F:$F, $F224, Aux_Totales!$A:$A,#REF!), 0))</f>
        <v/>
      </c>
      <c r="UVI224" s="19" t="str">
        <f>IF(UVI220 = "", "", IFERROR(UVI220 / SUMIFS(Aux_Totales!$N:$N, Aux_Totales!$F:$F, $F224, Aux_Totales!$A:$A,#REF!), 0))</f>
        <v/>
      </c>
      <c r="UVJ224" s="19" t="str">
        <f>IF(UVJ220 = "", "", IFERROR(UVJ220 / SUMIFS(Aux_Totales!$N:$N, Aux_Totales!$F:$F, $F224, Aux_Totales!$A:$A,#REF!), 0))</f>
        <v/>
      </c>
      <c r="UVK224" s="19" t="str">
        <f>IF(UVK220 = "", "", IFERROR(UVK220 / SUMIFS(Aux_Totales!$N:$N, Aux_Totales!$F:$F, $F224, Aux_Totales!$A:$A,#REF!), 0))</f>
        <v/>
      </c>
      <c r="UVL224" s="19" t="str">
        <f>IF(UVL220 = "", "", IFERROR(UVL220 / SUMIFS(Aux_Totales!$N:$N, Aux_Totales!$F:$F, $F224, Aux_Totales!$A:$A,#REF!), 0))</f>
        <v/>
      </c>
      <c r="UVM224" s="19" t="str">
        <f>IF(UVM220 = "", "", IFERROR(UVM220 / SUMIFS(Aux_Totales!$N:$N, Aux_Totales!$F:$F, $F224, Aux_Totales!$A:$A,#REF!), 0))</f>
        <v/>
      </c>
      <c r="UVN224" s="19" t="str">
        <f>IF(UVN220 = "", "", IFERROR(UVN220 / SUMIFS(Aux_Totales!$N:$N, Aux_Totales!$F:$F, $F224, Aux_Totales!$A:$A,#REF!), 0))</f>
        <v/>
      </c>
      <c r="UVO224" s="19" t="str">
        <f>IF(UVO220 = "", "", IFERROR(UVO220 / SUMIFS(Aux_Totales!$N:$N, Aux_Totales!$F:$F, $F224, Aux_Totales!$A:$A,#REF!), 0))</f>
        <v/>
      </c>
      <c r="UVP224" s="19" t="str">
        <f>IF(UVP220 = "", "", IFERROR(UVP220 / SUMIFS(Aux_Totales!$N:$N, Aux_Totales!$F:$F, $F224, Aux_Totales!$A:$A,#REF!), 0))</f>
        <v/>
      </c>
      <c r="UVQ224" s="19" t="str">
        <f>IF(UVQ220 = "", "", IFERROR(UVQ220 / SUMIFS(Aux_Totales!$N:$N, Aux_Totales!$F:$F, $F224, Aux_Totales!$A:$A,#REF!), 0))</f>
        <v/>
      </c>
      <c r="UVR224" s="19" t="str">
        <f>IF(UVR220 = "", "", IFERROR(UVR220 / SUMIFS(Aux_Totales!$N:$N, Aux_Totales!$F:$F, $F224, Aux_Totales!$A:$A,#REF!), 0))</f>
        <v/>
      </c>
      <c r="UVS224" s="19" t="str">
        <f>IF(UVS220 = "", "", IFERROR(UVS220 / SUMIFS(Aux_Totales!$N:$N, Aux_Totales!$F:$F, $F224, Aux_Totales!$A:$A,#REF!), 0))</f>
        <v/>
      </c>
      <c r="UVT224" s="19" t="str">
        <f>IF(UVT220 = "", "", IFERROR(UVT220 / SUMIFS(Aux_Totales!$N:$N, Aux_Totales!$F:$F, $F224, Aux_Totales!$A:$A,#REF!), 0))</f>
        <v/>
      </c>
      <c r="UVU224" s="19" t="str">
        <f>IF(UVU220 = "", "", IFERROR(UVU220 / SUMIFS(Aux_Totales!$N:$N, Aux_Totales!$F:$F, $F224, Aux_Totales!$A:$A,#REF!), 0))</f>
        <v/>
      </c>
      <c r="UVV224" s="19" t="str">
        <f>IF(UVV220 = "", "", IFERROR(UVV220 / SUMIFS(Aux_Totales!$N:$N, Aux_Totales!$F:$F, $F224, Aux_Totales!$A:$A,#REF!), 0))</f>
        <v/>
      </c>
      <c r="UVW224" s="19" t="str">
        <f>IF(UVW220 = "", "", IFERROR(UVW220 / SUMIFS(Aux_Totales!$N:$N, Aux_Totales!$F:$F, $F224, Aux_Totales!$A:$A,#REF!), 0))</f>
        <v/>
      </c>
      <c r="UVX224" s="19" t="str">
        <f>IF(UVX220 = "", "", IFERROR(UVX220 / SUMIFS(Aux_Totales!$N:$N, Aux_Totales!$F:$F, $F224, Aux_Totales!$A:$A,#REF!), 0))</f>
        <v/>
      </c>
      <c r="UVY224" s="19" t="str">
        <f>IF(UVY220 = "", "", IFERROR(UVY220 / SUMIFS(Aux_Totales!$N:$N, Aux_Totales!$F:$F, $F224, Aux_Totales!$A:$A,#REF!), 0))</f>
        <v/>
      </c>
      <c r="UVZ224" s="19" t="str">
        <f>IF(UVZ220 = "", "", IFERROR(UVZ220 / SUMIFS(Aux_Totales!$N:$N, Aux_Totales!$F:$F, $F224, Aux_Totales!$A:$A,#REF!), 0))</f>
        <v/>
      </c>
      <c r="UWA224" s="19" t="str">
        <f>IF(UWA220 = "", "", IFERROR(UWA220 / SUMIFS(Aux_Totales!$N:$N, Aux_Totales!$F:$F, $F224, Aux_Totales!$A:$A,#REF!), 0))</f>
        <v/>
      </c>
      <c r="UWB224" s="19" t="str">
        <f>IF(UWB220 = "", "", IFERROR(UWB220 / SUMIFS(Aux_Totales!$N:$N, Aux_Totales!$F:$F, $F224, Aux_Totales!$A:$A,#REF!), 0))</f>
        <v/>
      </c>
      <c r="UWC224" s="19" t="str">
        <f>IF(UWC220 = "", "", IFERROR(UWC220 / SUMIFS(Aux_Totales!$N:$N, Aux_Totales!$F:$F, $F224, Aux_Totales!$A:$A,#REF!), 0))</f>
        <v/>
      </c>
      <c r="UWD224" s="19" t="str">
        <f>IF(UWD220 = "", "", IFERROR(UWD220 / SUMIFS(Aux_Totales!$N:$N, Aux_Totales!$F:$F, $F224, Aux_Totales!$A:$A,#REF!), 0))</f>
        <v/>
      </c>
      <c r="UWE224" s="19" t="str">
        <f>IF(UWE220 = "", "", IFERROR(UWE220 / SUMIFS(Aux_Totales!$N:$N, Aux_Totales!$F:$F, $F224, Aux_Totales!$A:$A,#REF!), 0))</f>
        <v/>
      </c>
      <c r="UWF224" s="19" t="str">
        <f>IF(UWF220 = "", "", IFERROR(UWF220 / SUMIFS(Aux_Totales!$N:$N, Aux_Totales!$F:$F, $F224, Aux_Totales!$A:$A,#REF!), 0))</f>
        <v/>
      </c>
      <c r="UWG224" s="19" t="str">
        <f>IF(UWG220 = "", "", IFERROR(UWG220 / SUMIFS(Aux_Totales!$N:$N, Aux_Totales!$F:$F, $F224, Aux_Totales!$A:$A,#REF!), 0))</f>
        <v/>
      </c>
      <c r="UWH224" s="19" t="str">
        <f>IF(UWH220 = "", "", IFERROR(UWH220 / SUMIFS(Aux_Totales!$N:$N, Aux_Totales!$F:$F, $F224, Aux_Totales!$A:$A,#REF!), 0))</f>
        <v/>
      </c>
      <c r="UWI224" s="19" t="str">
        <f>IF(UWI220 = "", "", IFERROR(UWI220 / SUMIFS(Aux_Totales!$N:$N, Aux_Totales!$F:$F, $F224, Aux_Totales!$A:$A,#REF!), 0))</f>
        <v/>
      </c>
      <c r="UWJ224" s="19" t="str">
        <f>IF(UWJ220 = "", "", IFERROR(UWJ220 / SUMIFS(Aux_Totales!$N:$N, Aux_Totales!$F:$F, $F224, Aux_Totales!$A:$A,#REF!), 0))</f>
        <v/>
      </c>
      <c r="UWK224" s="19" t="str">
        <f>IF(UWK220 = "", "", IFERROR(UWK220 / SUMIFS(Aux_Totales!$N:$N, Aux_Totales!$F:$F, $F224, Aux_Totales!$A:$A,#REF!), 0))</f>
        <v/>
      </c>
      <c r="UWL224" s="19" t="str">
        <f>IF(UWL220 = "", "", IFERROR(UWL220 / SUMIFS(Aux_Totales!$N:$N, Aux_Totales!$F:$F, $F224, Aux_Totales!$A:$A,#REF!), 0))</f>
        <v/>
      </c>
      <c r="UWM224" s="19" t="str">
        <f>IF(UWM220 = "", "", IFERROR(UWM220 / SUMIFS(Aux_Totales!$N:$N, Aux_Totales!$F:$F, $F224, Aux_Totales!$A:$A,#REF!), 0))</f>
        <v/>
      </c>
      <c r="UWN224" s="19" t="str">
        <f>IF(UWN220 = "", "", IFERROR(UWN220 / SUMIFS(Aux_Totales!$N:$N, Aux_Totales!$F:$F, $F224, Aux_Totales!$A:$A,#REF!), 0))</f>
        <v/>
      </c>
      <c r="UWO224" s="19" t="str">
        <f>IF(UWO220 = "", "", IFERROR(UWO220 / SUMIFS(Aux_Totales!$N:$N, Aux_Totales!$F:$F, $F224, Aux_Totales!$A:$A,#REF!), 0))</f>
        <v/>
      </c>
      <c r="UWP224" s="19" t="str">
        <f>IF(UWP220 = "", "", IFERROR(UWP220 / SUMIFS(Aux_Totales!$N:$N, Aux_Totales!$F:$F, $F224, Aux_Totales!$A:$A,#REF!), 0))</f>
        <v/>
      </c>
      <c r="UWQ224" s="19" t="str">
        <f>IF(UWQ220 = "", "", IFERROR(UWQ220 / SUMIFS(Aux_Totales!$N:$N, Aux_Totales!$F:$F, $F224, Aux_Totales!$A:$A,#REF!), 0))</f>
        <v/>
      </c>
      <c r="UWR224" s="19" t="str">
        <f>IF(UWR220 = "", "", IFERROR(UWR220 / SUMIFS(Aux_Totales!$N:$N, Aux_Totales!$F:$F, $F224, Aux_Totales!$A:$A,#REF!), 0))</f>
        <v/>
      </c>
      <c r="UWS224" s="19" t="str">
        <f>IF(UWS220 = "", "", IFERROR(UWS220 / SUMIFS(Aux_Totales!$N:$N, Aux_Totales!$F:$F, $F224, Aux_Totales!$A:$A,#REF!), 0))</f>
        <v/>
      </c>
      <c r="UWT224" s="19" t="str">
        <f>IF(UWT220 = "", "", IFERROR(UWT220 / SUMIFS(Aux_Totales!$N:$N, Aux_Totales!$F:$F, $F224, Aux_Totales!$A:$A,#REF!), 0))</f>
        <v/>
      </c>
      <c r="UWU224" s="19" t="str">
        <f>IF(UWU220 = "", "", IFERROR(UWU220 / SUMIFS(Aux_Totales!$N:$N, Aux_Totales!$F:$F, $F224, Aux_Totales!$A:$A,#REF!), 0))</f>
        <v/>
      </c>
      <c r="UWV224" s="19" t="str">
        <f>IF(UWV220 = "", "", IFERROR(UWV220 / SUMIFS(Aux_Totales!$N:$N, Aux_Totales!$F:$F, $F224, Aux_Totales!$A:$A,#REF!), 0))</f>
        <v/>
      </c>
      <c r="UWW224" s="19" t="str">
        <f>IF(UWW220 = "", "", IFERROR(UWW220 / SUMIFS(Aux_Totales!$N:$N, Aux_Totales!$F:$F, $F224, Aux_Totales!$A:$A,#REF!), 0))</f>
        <v/>
      </c>
      <c r="UWX224" s="19" t="str">
        <f>IF(UWX220 = "", "", IFERROR(UWX220 / SUMIFS(Aux_Totales!$N:$N, Aux_Totales!$F:$F, $F224, Aux_Totales!$A:$A,#REF!), 0))</f>
        <v/>
      </c>
      <c r="UWY224" s="19" t="str">
        <f>IF(UWY220 = "", "", IFERROR(UWY220 / SUMIFS(Aux_Totales!$N:$N, Aux_Totales!$F:$F, $F224, Aux_Totales!$A:$A,#REF!), 0))</f>
        <v/>
      </c>
      <c r="UWZ224" s="19" t="str">
        <f>IF(UWZ220 = "", "", IFERROR(UWZ220 / SUMIFS(Aux_Totales!$N:$N, Aux_Totales!$F:$F, $F224, Aux_Totales!$A:$A,#REF!), 0))</f>
        <v/>
      </c>
      <c r="UXA224" s="19" t="str">
        <f>IF(UXA220 = "", "", IFERROR(UXA220 / SUMIFS(Aux_Totales!$N:$N, Aux_Totales!$F:$F, $F224, Aux_Totales!$A:$A,#REF!), 0))</f>
        <v/>
      </c>
      <c r="UXB224" s="19" t="str">
        <f>IF(UXB220 = "", "", IFERROR(UXB220 / SUMIFS(Aux_Totales!$N:$N, Aux_Totales!$F:$F, $F224, Aux_Totales!$A:$A,#REF!), 0))</f>
        <v/>
      </c>
      <c r="UXC224" s="19" t="str">
        <f>IF(UXC220 = "", "", IFERROR(UXC220 / SUMIFS(Aux_Totales!$N:$N, Aux_Totales!$F:$F, $F224, Aux_Totales!$A:$A,#REF!), 0))</f>
        <v/>
      </c>
      <c r="UXD224" s="19" t="str">
        <f>IF(UXD220 = "", "", IFERROR(UXD220 / SUMIFS(Aux_Totales!$N:$N, Aux_Totales!$F:$F, $F224, Aux_Totales!$A:$A,#REF!), 0))</f>
        <v/>
      </c>
      <c r="UXE224" s="19" t="str">
        <f>IF(UXE220 = "", "", IFERROR(UXE220 / SUMIFS(Aux_Totales!$N:$N, Aux_Totales!$F:$F, $F224, Aux_Totales!$A:$A,#REF!), 0))</f>
        <v/>
      </c>
      <c r="UXF224" s="19" t="str">
        <f>IF(UXF220 = "", "", IFERROR(UXF220 / SUMIFS(Aux_Totales!$N:$N, Aux_Totales!$F:$F, $F224, Aux_Totales!$A:$A,#REF!), 0))</f>
        <v/>
      </c>
      <c r="UXG224" s="19" t="str">
        <f>IF(UXG220 = "", "", IFERROR(UXG220 / SUMIFS(Aux_Totales!$N:$N, Aux_Totales!$F:$F, $F224, Aux_Totales!$A:$A,#REF!), 0))</f>
        <v/>
      </c>
      <c r="UXH224" s="19" t="str">
        <f>IF(UXH220 = "", "", IFERROR(UXH220 / SUMIFS(Aux_Totales!$N:$N, Aux_Totales!$F:$F, $F224, Aux_Totales!$A:$A,#REF!), 0))</f>
        <v/>
      </c>
      <c r="UXI224" s="19" t="str">
        <f>IF(UXI220 = "", "", IFERROR(UXI220 / SUMIFS(Aux_Totales!$N:$N, Aux_Totales!$F:$F, $F224, Aux_Totales!$A:$A,#REF!), 0))</f>
        <v/>
      </c>
      <c r="UXJ224" s="19" t="str">
        <f>IF(UXJ220 = "", "", IFERROR(UXJ220 / SUMIFS(Aux_Totales!$N:$N, Aux_Totales!$F:$F, $F224, Aux_Totales!$A:$A,#REF!), 0))</f>
        <v/>
      </c>
      <c r="UXK224" s="19" t="str">
        <f>IF(UXK220 = "", "", IFERROR(UXK220 / SUMIFS(Aux_Totales!$N:$N, Aux_Totales!$F:$F, $F224, Aux_Totales!$A:$A,#REF!), 0))</f>
        <v/>
      </c>
      <c r="UXL224" s="19" t="str">
        <f>IF(UXL220 = "", "", IFERROR(UXL220 / SUMIFS(Aux_Totales!$N:$N, Aux_Totales!$F:$F, $F224, Aux_Totales!$A:$A,#REF!), 0))</f>
        <v/>
      </c>
      <c r="UXM224" s="19" t="str">
        <f>IF(UXM220 = "", "", IFERROR(UXM220 / SUMIFS(Aux_Totales!$N:$N, Aux_Totales!$F:$F, $F224, Aux_Totales!$A:$A,#REF!), 0))</f>
        <v/>
      </c>
      <c r="UXN224" s="19" t="str">
        <f>IF(UXN220 = "", "", IFERROR(UXN220 / SUMIFS(Aux_Totales!$N:$N, Aux_Totales!$F:$F, $F224, Aux_Totales!$A:$A,#REF!), 0))</f>
        <v/>
      </c>
      <c r="UXO224" s="19" t="str">
        <f>IF(UXO220 = "", "", IFERROR(UXO220 / SUMIFS(Aux_Totales!$N:$N, Aux_Totales!$F:$F, $F224, Aux_Totales!$A:$A,#REF!), 0))</f>
        <v/>
      </c>
      <c r="UXP224" s="19" t="str">
        <f>IF(UXP220 = "", "", IFERROR(UXP220 / SUMIFS(Aux_Totales!$N:$N, Aux_Totales!$F:$F, $F224, Aux_Totales!$A:$A,#REF!), 0))</f>
        <v/>
      </c>
      <c r="UXQ224" s="19" t="str">
        <f>IF(UXQ220 = "", "", IFERROR(UXQ220 / SUMIFS(Aux_Totales!$N:$N, Aux_Totales!$F:$F, $F224, Aux_Totales!$A:$A,#REF!), 0))</f>
        <v/>
      </c>
      <c r="UXR224" s="19" t="str">
        <f>IF(UXR220 = "", "", IFERROR(UXR220 / SUMIFS(Aux_Totales!$N:$N, Aux_Totales!$F:$F, $F224, Aux_Totales!$A:$A,#REF!), 0))</f>
        <v/>
      </c>
      <c r="UXS224" s="19" t="str">
        <f>IF(UXS220 = "", "", IFERROR(UXS220 / SUMIFS(Aux_Totales!$N:$N, Aux_Totales!$F:$F, $F224, Aux_Totales!$A:$A,#REF!), 0))</f>
        <v/>
      </c>
      <c r="UXT224" s="19" t="str">
        <f>IF(UXT220 = "", "", IFERROR(UXT220 / SUMIFS(Aux_Totales!$N:$N, Aux_Totales!$F:$F, $F224, Aux_Totales!$A:$A,#REF!), 0))</f>
        <v/>
      </c>
      <c r="UXU224" s="19" t="str">
        <f>IF(UXU220 = "", "", IFERROR(UXU220 / SUMIFS(Aux_Totales!$N:$N, Aux_Totales!$F:$F, $F224, Aux_Totales!$A:$A,#REF!), 0))</f>
        <v/>
      </c>
      <c r="UXV224" s="19" t="str">
        <f>IF(UXV220 = "", "", IFERROR(UXV220 / SUMIFS(Aux_Totales!$N:$N, Aux_Totales!$F:$F, $F224, Aux_Totales!$A:$A,#REF!), 0))</f>
        <v/>
      </c>
      <c r="UXW224" s="19" t="str">
        <f>IF(UXW220 = "", "", IFERROR(UXW220 / SUMIFS(Aux_Totales!$N:$N, Aux_Totales!$F:$F, $F224, Aux_Totales!$A:$A,#REF!), 0))</f>
        <v/>
      </c>
      <c r="UXX224" s="19" t="str">
        <f>IF(UXX220 = "", "", IFERROR(UXX220 / SUMIFS(Aux_Totales!$N:$N, Aux_Totales!$F:$F, $F224, Aux_Totales!$A:$A,#REF!), 0))</f>
        <v/>
      </c>
      <c r="UXY224" s="19" t="str">
        <f>IF(UXY220 = "", "", IFERROR(UXY220 / SUMIFS(Aux_Totales!$N:$N, Aux_Totales!$F:$F, $F224, Aux_Totales!$A:$A,#REF!), 0))</f>
        <v/>
      </c>
      <c r="UXZ224" s="19" t="str">
        <f>IF(UXZ220 = "", "", IFERROR(UXZ220 / SUMIFS(Aux_Totales!$N:$N, Aux_Totales!$F:$F, $F224, Aux_Totales!$A:$A,#REF!), 0))</f>
        <v/>
      </c>
      <c r="UYA224" s="19" t="str">
        <f>IF(UYA220 = "", "", IFERROR(UYA220 / SUMIFS(Aux_Totales!$N:$N, Aux_Totales!$F:$F, $F224, Aux_Totales!$A:$A,#REF!), 0))</f>
        <v/>
      </c>
      <c r="UYB224" s="19" t="str">
        <f>IF(UYB220 = "", "", IFERROR(UYB220 / SUMIFS(Aux_Totales!$N:$N, Aux_Totales!$F:$F, $F224, Aux_Totales!$A:$A,#REF!), 0))</f>
        <v/>
      </c>
      <c r="UYC224" s="19" t="str">
        <f>IF(UYC220 = "", "", IFERROR(UYC220 / SUMIFS(Aux_Totales!$N:$N, Aux_Totales!$F:$F, $F224, Aux_Totales!$A:$A,#REF!), 0))</f>
        <v/>
      </c>
      <c r="UYD224" s="19" t="str">
        <f>IF(UYD220 = "", "", IFERROR(UYD220 / SUMIFS(Aux_Totales!$N:$N, Aux_Totales!$F:$F, $F224, Aux_Totales!$A:$A,#REF!), 0))</f>
        <v/>
      </c>
      <c r="UYE224" s="19" t="str">
        <f>IF(UYE220 = "", "", IFERROR(UYE220 / SUMIFS(Aux_Totales!$N:$N, Aux_Totales!$F:$F, $F224, Aux_Totales!$A:$A,#REF!), 0))</f>
        <v/>
      </c>
      <c r="UYF224" s="19" t="str">
        <f>IF(UYF220 = "", "", IFERROR(UYF220 / SUMIFS(Aux_Totales!$N:$N, Aux_Totales!$F:$F, $F224, Aux_Totales!$A:$A,#REF!), 0))</f>
        <v/>
      </c>
      <c r="UYG224" s="19" t="str">
        <f>IF(UYG220 = "", "", IFERROR(UYG220 / SUMIFS(Aux_Totales!$N:$N, Aux_Totales!$F:$F, $F224, Aux_Totales!$A:$A,#REF!), 0))</f>
        <v/>
      </c>
      <c r="UYH224" s="19" t="str">
        <f>IF(UYH220 = "", "", IFERROR(UYH220 / SUMIFS(Aux_Totales!$N:$N, Aux_Totales!$F:$F, $F224, Aux_Totales!$A:$A,#REF!), 0))</f>
        <v/>
      </c>
      <c r="UYI224" s="19" t="str">
        <f>IF(UYI220 = "", "", IFERROR(UYI220 / SUMIFS(Aux_Totales!$N:$N, Aux_Totales!$F:$F, $F224, Aux_Totales!$A:$A,#REF!), 0))</f>
        <v/>
      </c>
      <c r="UYJ224" s="19" t="str">
        <f>IF(UYJ220 = "", "", IFERROR(UYJ220 / SUMIFS(Aux_Totales!$N:$N, Aux_Totales!$F:$F, $F224, Aux_Totales!$A:$A,#REF!), 0))</f>
        <v/>
      </c>
      <c r="UYK224" s="19" t="str">
        <f>IF(UYK220 = "", "", IFERROR(UYK220 / SUMIFS(Aux_Totales!$N:$N, Aux_Totales!$F:$F, $F224, Aux_Totales!$A:$A,#REF!), 0))</f>
        <v/>
      </c>
      <c r="UYL224" s="19" t="str">
        <f>IF(UYL220 = "", "", IFERROR(UYL220 / SUMIFS(Aux_Totales!$N:$N, Aux_Totales!$F:$F, $F224, Aux_Totales!$A:$A,#REF!), 0))</f>
        <v/>
      </c>
      <c r="UYM224" s="19" t="str">
        <f>IF(UYM220 = "", "", IFERROR(UYM220 / SUMIFS(Aux_Totales!$N:$N, Aux_Totales!$F:$F, $F224, Aux_Totales!$A:$A,#REF!), 0))</f>
        <v/>
      </c>
      <c r="UYN224" s="19" t="str">
        <f>IF(UYN220 = "", "", IFERROR(UYN220 / SUMIFS(Aux_Totales!$N:$N, Aux_Totales!$F:$F, $F224, Aux_Totales!$A:$A,#REF!), 0))</f>
        <v/>
      </c>
      <c r="UYO224" s="19" t="str">
        <f>IF(UYO220 = "", "", IFERROR(UYO220 / SUMIFS(Aux_Totales!$N:$N, Aux_Totales!$F:$F, $F224, Aux_Totales!$A:$A,#REF!), 0))</f>
        <v/>
      </c>
      <c r="UYP224" s="19" t="str">
        <f>IF(UYP220 = "", "", IFERROR(UYP220 / SUMIFS(Aux_Totales!$N:$N, Aux_Totales!$F:$F, $F224, Aux_Totales!$A:$A,#REF!), 0))</f>
        <v/>
      </c>
      <c r="UYQ224" s="19" t="str">
        <f>IF(UYQ220 = "", "", IFERROR(UYQ220 / SUMIFS(Aux_Totales!$N:$N, Aux_Totales!$F:$F, $F224, Aux_Totales!$A:$A,#REF!), 0))</f>
        <v/>
      </c>
      <c r="UYR224" s="19" t="str">
        <f>IF(UYR220 = "", "", IFERROR(UYR220 / SUMIFS(Aux_Totales!$N:$N, Aux_Totales!$F:$F, $F224, Aux_Totales!$A:$A,#REF!), 0))</f>
        <v/>
      </c>
      <c r="UYS224" s="19" t="str">
        <f>IF(UYS220 = "", "", IFERROR(UYS220 / SUMIFS(Aux_Totales!$N:$N, Aux_Totales!$F:$F, $F224, Aux_Totales!$A:$A,#REF!), 0))</f>
        <v/>
      </c>
      <c r="UYT224" s="19" t="str">
        <f>IF(UYT220 = "", "", IFERROR(UYT220 / SUMIFS(Aux_Totales!$N:$N, Aux_Totales!$F:$F, $F224, Aux_Totales!$A:$A,#REF!), 0))</f>
        <v/>
      </c>
      <c r="UYU224" s="19" t="str">
        <f>IF(UYU220 = "", "", IFERROR(UYU220 / SUMIFS(Aux_Totales!$N:$N, Aux_Totales!$F:$F, $F224, Aux_Totales!$A:$A,#REF!), 0))</f>
        <v/>
      </c>
      <c r="UYV224" s="19" t="str">
        <f>IF(UYV220 = "", "", IFERROR(UYV220 / SUMIFS(Aux_Totales!$N:$N, Aux_Totales!$F:$F, $F224, Aux_Totales!$A:$A,#REF!), 0))</f>
        <v/>
      </c>
      <c r="UYW224" s="19" t="str">
        <f>IF(UYW220 = "", "", IFERROR(UYW220 / SUMIFS(Aux_Totales!$N:$N, Aux_Totales!$F:$F, $F224, Aux_Totales!$A:$A,#REF!), 0))</f>
        <v/>
      </c>
      <c r="UYX224" s="19" t="str">
        <f>IF(UYX220 = "", "", IFERROR(UYX220 / SUMIFS(Aux_Totales!$N:$N, Aux_Totales!$F:$F, $F224, Aux_Totales!$A:$A,#REF!), 0))</f>
        <v/>
      </c>
      <c r="UYY224" s="19" t="str">
        <f>IF(UYY220 = "", "", IFERROR(UYY220 / SUMIFS(Aux_Totales!$N:$N, Aux_Totales!$F:$F, $F224, Aux_Totales!$A:$A,#REF!), 0))</f>
        <v/>
      </c>
      <c r="UYZ224" s="19" t="str">
        <f>IF(UYZ220 = "", "", IFERROR(UYZ220 / SUMIFS(Aux_Totales!$N:$N, Aux_Totales!$F:$F, $F224, Aux_Totales!$A:$A,#REF!), 0))</f>
        <v/>
      </c>
      <c r="UZA224" s="19" t="str">
        <f>IF(UZA220 = "", "", IFERROR(UZA220 / SUMIFS(Aux_Totales!$N:$N, Aux_Totales!$F:$F, $F224, Aux_Totales!$A:$A,#REF!), 0))</f>
        <v/>
      </c>
      <c r="UZB224" s="19" t="str">
        <f>IF(UZB220 = "", "", IFERROR(UZB220 / SUMIFS(Aux_Totales!$N:$N, Aux_Totales!$F:$F, $F224, Aux_Totales!$A:$A,#REF!), 0))</f>
        <v/>
      </c>
      <c r="UZC224" s="19" t="str">
        <f>IF(UZC220 = "", "", IFERROR(UZC220 / SUMIFS(Aux_Totales!$N:$N, Aux_Totales!$F:$F, $F224, Aux_Totales!$A:$A,#REF!), 0))</f>
        <v/>
      </c>
      <c r="UZD224" s="19" t="str">
        <f>IF(UZD220 = "", "", IFERROR(UZD220 / SUMIFS(Aux_Totales!$N:$N, Aux_Totales!$F:$F, $F224, Aux_Totales!$A:$A,#REF!), 0))</f>
        <v/>
      </c>
      <c r="UZE224" s="19" t="str">
        <f>IF(UZE220 = "", "", IFERROR(UZE220 / SUMIFS(Aux_Totales!$N:$N, Aux_Totales!$F:$F, $F224, Aux_Totales!$A:$A,#REF!), 0))</f>
        <v/>
      </c>
      <c r="UZF224" s="19" t="str">
        <f>IF(UZF220 = "", "", IFERROR(UZF220 / SUMIFS(Aux_Totales!$N:$N, Aux_Totales!$F:$F, $F224, Aux_Totales!$A:$A,#REF!), 0))</f>
        <v/>
      </c>
      <c r="UZG224" s="19" t="str">
        <f>IF(UZG220 = "", "", IFERROR(UZG220 / SUMIFS(Aux_Totales!$N:$N, Aux_Totales!$F:$F, $F224, Aux_Totales!$A:$A,#REF!), 0))</f>
        <v/>
      </c>
      <c r="UZH224" s="19" t="str">
        <f>IF(UZH220 = "", "", IFERROR(UZH220 / SUMIFS(Aux_Totales!$N:$N, Aux_Totales!$F:$F, $F224, Aux_Totales!$A:$A,#REF!), 0))</f>
        <v/>
      </c>
      <c r="UZI224" s="19" t="str">
        <f>IF(UZI220 = "", "", IFERROR(UZI220 / SUMIFS(Aux_Totales!$N:$N, Aux_Totales!$F:$F, $F224, Aux_Totales!$A:$A,#REF!), 0))</f>
        <v/>
      </c>
      <c r="UZJ224" s="19" t="str">
        <f>IF(UZJ220 = "", "", IFERROR(UZJ220 / SUMIFS(Aux_Totales!$N:$N, Aux_Totales!$F:$F, $F224, Aux_Totales!$A:$A,#REF!), 0))</f>
        <v/>
      </c>
      <c r="UZK224" s="19" t="str">
        <f>IF(UZK220 = "", "", IFERROR(UZK220 / SUMIFS(Aux_Totales!$N:$N, Aux_Totales!$F:$F, $F224, Aux_Totales!$A:$A,#REF!), 0))</f>
        <v/>
      </c>
      <c r="UZL224" s="19" t="str">
        <f>IF(UZL220 = "", "", IFERROR(UZL220 / SUMIFS(Aux_Totales!$N:$N, Aux_Totales!$F:$F, $F224, Aux_Totales!$A:$A,#REF!), 0))</f>
        <v/>
      </c>
      <c r="UZM224" s="19" t="str">
        <f>IF(UZM220 = "", "", IFERROR(UZM220 / SUMIFS(Aux_Totales!$N:$N, Aux_Totales!$F:$F, $F224, Aux_Totales!$A:$A,#REF!), 0))</f>
        <v/>
      </c>
      <c r="UZN224" s="19" t="str">
        <f>IF(UZN220 = "", "", IFERROR(UZN220 / SUMIFS(Aux_Totales!$N:$N, Aux_Totales!$F:$F, $F224, Aux_Totales!$A:$A,#REF!), 0))</f>
        <v/>
      </c>
      <c r="UZO224" s="19" t="str">
        <f>IF(UZO220 = "", "", IFERROR(UZO220 / SUMIFS(Aux_Totales!$N:$N, Aux_Totales!$F:$F, $F224, Aux_Totales!$A:$A,#REF!), 0))</f>
        <v/>
      </c>
      <c r="UZP224" s="19" t="str">
        <f>IF(UZP220 = "", "", IFERROR(UZP220 / SUMIFS(Aux_Totales!$N:$N, Aux_Totales!$F:$F, $F224, Aux_Totales!$A:$A,#REF!), 0))</f>
        <v/>
      </c>
      <c r="UZQ224" s="19" t="str">
        <f>IF(UZQ220 = "", "", IFERROR(UZQ220 / SUMIFS(Aux_Totales!$N:$N, Aux_Totales!$F:$F, $F224, Aux_Totales!$A:$A,#REF!), 0))</f>
        <v/>
      </c>
      <c r="UZR224" s="19" t="str">
        <f>IF(UZR220 = "", "", IFERROR(UZR220 / SUMIFS(Aux_Totales!$N:$N, Aux_Totales!$F:$F, $F224, Aux_Totales!$A:$A,#REF!), 0))</f>
        <v/>
      </c>
      <c r="UZS224" s="19" t="str">
        <f>IF(UZS220 = "", "", IFERROR(UZS220 / SUMIFS(Aux_Totales!$N:$N, Aux_Totales!$F:$F, $F224, Aux_Totales!$A:$A,#REF!), 0))</f>
        <v/>
      </c>
      <c r="UZT224" s="19" t="str">
        <f>IF(UZT220 = "", "", IFERROR(UZT220 / SUMIFS(Aux_Totales!$N:$N, Aux_Totales!$F:$F, $F224, Aux_Totales!$A:$A,#REF!), 0))</f>
        <v/>
      </c>
      <c r="UZU224" s="19" t="str">
        <f>IF(UZU220 = "", "", IFERROR(UZU220 / SUMIFS(Aux_Totales!$N:$N, Aux_Totales!$F:$F, $F224, Aux_Totales!$A:$A,#REF!), 0))</f>
        <v/>
      </c>
      <c r="UZV224" s="19" t="str">
        <f>IF(UZV220 = "", "", IFERROR(UZV220 / SUMIFS(Aux_Totales!$N:$N, Aux_Totales!$F:$F, $F224, Aux_Totales!$A:$A,#REF!), 0))</f>
        <v/>
      </c>
      <c r="UZW224" s="19" t="str">
        <f>IF(UZW220 = "", "", IFERROR(UZW220 / SUMIFS(Aux_Totales!$N:$N, Aux_Totales!$F:$F, $F224, Aux_Totales!$A:$A,#REF!), 0))</f>
        <v/>
      </c>
      <c r="UZX224" s="19" t="str">
        <f>IF(UZX220 = "", "", IFERROR(UZX220 / SUMIFS(Aux_Totales!$N:$N, Aux_Totales!$F:$F, $F224, Aux_Totales!$A:$A,#REF!), 0))</f>
        <v/>
      </c>
      <c r="UZY224" s="19" t="str">
        <f>IF(UZY220 = "", "", IFERROR(UZY220 / SUMIFS(Aux_Totales!$N:$N, Aux_Totales!$F:$F, $F224, Aux_Totales!$A:$A,#REF!), 0))</f>
        <v/>
      </c>
      <c r="UZZ224" s="19" t="str">
        <f>IF(UZZ220 = "", "", IFERROR(UZZ220 / SUMIFS(Aux_Totales!$N:$N, Aux_Totales!$F:$F, $F224, Aux_Totales!$A:$A,#REF!), 0))</f>
        <v/>
      </c>
      <c r="VAA224" s="19" t="str">
        <f>IF(VAA220 = "", "", IFERROR(VAA220 / SUMIFS(Aux_Totales!$N:$N, Aux_Totales!$F:$F, $F224, Aux_Totales!$A:$A,#REF!), 0))</f>
        <v/>
      </c>
      <c r="VAB224" s="19" t="str">
        <f>IF(VAB220 = "", "", IFERROR(VAB220 / SUMIFS(Aux_Totales!$N:$N, Aux_Totales!$F:$F, $F224, Aux_Totales!$A:$A,#REF!), 0))</f>
        <v/>
      </c>
      <c r="VAC224" s="19" t="str">
        <f>IF(VAC220 = "", "", IFERROR(VAC220 / SUMIFS(Aux_Totales!$N:$N, Aux_Totales!$F:$F, $F224, Aux_Totales!$A:$A,#REF!), 0))</f>
        <v/>
      </c>
      <c r="VAD224" s="19" t="str">
        <f>IF(VAD220 = "", "", IFERROR(VAD220 / SUMIFS(Aux_Totales!$N:$N, Aux_Totales!$F:$F, $F224, Aux_Totales!$A:$A,#REF!), 0))</f>
        <v/>
      </c>
      <c r="VAE224" s="19" t="str">
        <f>IF(VAE220 = "", "", IFERROR(VAE220 / SUMIFS(Aux_Totales!$N:$N, Aux_Totales!$F:$F, $F224, Aux_Totales!$A:$A,#REF!), 0))</f>
        <v/>
      </c>
      <c r="VAF224" s="19" t="str">
        <f>IF(VAF220 = "", "", IFERROR(VAF220 / SUMIFS(Aux_Totales!$N:$N, Aux_Totales!$F:$F, $F224, Aux_Totales!$A:$A,#REF!), 0))</f>
        <v/>
      </c>
      <c r="VAG224" s="19" t="str">
        <f>IF(VAG220 = "", "", IFERROR(VAG220 / SUMIFS(Aux_Totales!$N:$N, Aux_Totales!$F:$F, $F224, Aux_Totales!$A:$A,#REF!), 0))</f>
        <v/>
      </c>
      <c r="VAH224" s="19" t="str">
        <f>IF(VAH220 = "", "", IFERROR(VAH220 / SUMIFS(Aux_Totales!$N:$N, Aux_Totales!$F:$F, $F224, Aux_Totales!$A:$A,#REF!), 0))</f>
        <v/>
      </c>
      <c r="VAI224" s="19" t="str">
        <f>IF(VAI220 = "", "", IFERROR(VAI220 / SUMIFS(Aux_Totales!$N:$N, Aux_Totales!$F:$F, $F224, Aux_Totales!$A:$A,#REF!), 0))</f>
        <v/>
      </c>
      <c r="VAJ224" s="19" t="str">
        <f>IF(VAJ220 = "", "", IFERROR(VAJ220 / SUMIFS(Aux_Totales!$N:$N, Aux_Totales!$F:$F, $F224, Aux_Totales!$A:$A,#REF!), 0))</f>
        <v/>
      </c>
      <c r="VAK224" s="19" t="str">
        <f>IF(VAK220 = "", "", IFERROR(VAK220 / SUMIFS(Aux_Totales!$N:$N, Aux_Totales!$F:$F, $F224, Aux_Totales!$A:$A,#REF!), 0))</f>
        <v/>
      </c>
      <c r="VAL224" s="19" t="str">
        <f>IF(VAL220 = "", "", IFERROR(VAL220 / SUMIFS(Aux_Totales!$N:$N, Aux_Totales!$F:$F, $F224, Aux_Totales!$A:$A,#REF!), 0))</f>
        <v/>
      </c>
      <c r="VAM224" s="19" t="str">
        <f>IF(VAM220 = "", "", IFERROR(VAM220 / SUMIFS(Aux_Totales!$N:$N, Aux_Totales!$F:$F, $F224, Aux_Totales!$A:$A,#REF!), 0))</f>
        <v/>
      </c>
      <c r="VAN224" s="19" t="str">
        <f>IF(VAN220 = "", "", IFERROR(VAN220 / SUMIFS(Aux_Totales!$N:$N, Aux_Totales!$F:$F, $F224, Aux_Totales!$A:$A,#REF!), 0))</f>
        <v/>
      </c>
      <c r="VAO224" s="19" t="str">
        <f>IF(VAO220 = "", "", IFERROR(VAO220 / SUMIFS(Aux_Totales!$N:$N, Aux_Totales!$F:$F, $F224, Aux_Totales!$A:$A,#REF!), 0))</f>
        <v/>
      </c>
      <c r="VAP224" s="19" t="str">
        <f>IF(VAP220 = "", "", IFERROR(VAP220 / SUMIFS(Aux_Totales!$N:$N, Aux_Totales!$F:$F, $F224, Aux_Totales!$A:$A,#REF!), 0))</f>
        <v/>
      </c>
      <c r="VAQ224" s="19" t="str">
        <f>IF(VAQ220 = "", "", IFERROR(VAQ220 / SUMIFS(Aux_Totales!$N:$N, Aux_Totales!$F:$F, $F224, Aux_Totales!$A:$A,#REF!), 0))</f>
        <v/>
      </c>
      <c r="VAR224" s="19" t="str">
        <f>IF(VAR220 = "", "", IFERROR(VAR220 / SUMIFS(Aux_Totales!$N:$N, Aux_Totales!$F:$F, $F224, Aux_Totales!$A:$A,#REF!), 0))</f>
        <v/>
      </c>
      <c r="VAS224" s="19" t="str">
        <f>IF(VAS220 = "", "", IFERROR(VAS220 / SUMIFS(Aux_Totales!$N:$N, Aux_Totales!$F:$F, $F224, Aux_Totales!$A:$A,#REF!), 0))</f>
        <v/>
      </c>
      <c r="VAT224" s="19" t="str">
        <f>IF(VAT220 = "", "", IFERROR(VAT220 / SUMIFS(Aux_Totales!$N:$N, Aux_Totales!$F:$F, $F224, Aux_Totales!$A:$A,#REF!), 0))</f>
        <v/>
      </c>
      <c r="VAU224" s="19" t="str">
        <f>IF(VAU220 = "", "", IFERROR(VAU220 / SUMIFS(Aux_Totales!$N:$N, Aux_Totales!$F:$F, $F224, Aux_Totales!$A:$A,#REF!), 0))</f>
        <v/>
      </c>
      <c r="VAV224" s="19" t="str">
        <f>IF(VAV220 = "", "", IFERROR(VAV220 / SUMIFS(Aux_Totales!$N:$N, Aux_Totales!$F:$F, $F224, Aux_Totales!$A:$A,#REF!), 0))</f>
        <v/>
      </c>
      <c r="VAW224" s="19" t="str">
        <f>IF(VAW220 = "", "", IFERROR(VAW220 / SUMIFS(Aux_Totales!$N:$N, Aux_Totales!$F:$F, $F224, Aux_Totales!$A:$A,#REF!), 0))</f>
        <v/>
      </c>
      <c r="VAX224" s="19" t="str">
        <f>IF(VAX220 = "", "", IFERROR(VAX220 / SUMIFS(Aux_Totales!$N:$N, Aux_Totales!$F:$F, $F224, Aux_Totales!$A:$A,#REF!), 0))</f>
        <v/>
      </c>
      <c r="VAY224" s="19" t="str">
        <f>IF(VAY220 = "", "", IFERROR(VAY220 / SUMIFS(Aux_Totales!$N:$N, Aux_Totales!$F:$F, $F224, Aux_Totales!$A:$A,#REF!), 0))</f>
        <v/>
      </c>
      <c r="VAZ224" s="19" t="str">
        <f>IF(VAZ220 = "", "", IFERROR(VAZ220 / SUMIFS(Aux_Totales!$N:$N, Aux_Totales!$F:$F, $F224, Aux_Totales!$A:$A,#REF!), 0))</f>
        <v/>
      </c>
      <c r="VBA224" s="19" t="str">
        <f>IF(VBA220 = "", "", IFERROR(VBA220 / SUMIFS(Aux_Totales!$N:$N, Aux_Totales!$F:$F, $F224, Aux_Totales!$A:$A,#REF!), 0))</f>
        <v/>
      </c>
      <c r="VBB224" s="19" t="str">
        <f>IF(VBB220 = "", "", IFERROR(VBB220 / SUMIFS(Aux_Totales!$N:$N, Aux_Totales!$F:$F, $F224, Aux_Totales!$A:$A,#REF!), 0))</f>
        <v/>
      </c>
      <c r="VBC224" s="19" t="str">
        <f>IF(VBC220 = "", "", IFERROR(VBC220 / SUMIFS(Aux_Totales!$N:$N, Aux_Totales!$F:$F, $F224, Aux_Totales!$A:$A,#REF!), 0))</f>
        <v/>
      </c>
      <c r="VBD224" s="19" t="str">
        <f>IF(VBD220 = "", "", IFERROR(VBD220 / SUMIFS(Aux_Totales!$N:$N, Aux_Totales!$F:$F, $F224, Aux_Totales!$A:$A,#REF!), 0))</f>
        <v/>
      </c>
      <c r="VBE224" s="19" t="str">
        <f>IF(VBE220 = "", "", IFERROR(VBE220 / SUMIFS(Aux_Totales!$N:$N, Aux_Totales!$F:$F, $F224, Aux_Totales!$A:$A,#REF!), 0))</f>
        <v/>
      </c>
      <c r="VBF224" s="19" t="str">
        <f>IF(VBF220 = "", "", IFERROR(VBF220 / SUMIFS(Aux_Totales!$N:$N, Aux_Totales!$F:$F, $F224, Aux_Totales!$A:$A,#REF!), 0))</f>
        <v/>
      </c>
      <c r="VBG224" s="19" t="str">
        <f>IF(VBG220 = "", "", IFERROR(VBG220 / SUMIFS(Aux_Totales!$N:$N, Aux_Totales!$F:$F, $F224, Aux_Totales!$A:$A,#REF!), 0))</f>
        <v/>
      </c>
      <c r="VBH224" s="19" t="str">
        <f>IF(VBH220 = "", "", IFERROR(VBH220 / SUMIFS(Aux_Totales!$N:$N, Aux_Totales!$F:$F, $F224, Aux_Totales!$A:$A,#REF!), 0))</f>
        <v/>
      </c>
      <c r="VBI224" s="19" t="str">
        <f>IF(VBI220 = "", "", IFERROR(VBI220 / SUMIFS(Aux_Totales!$N:$N, Aux_Totales!$F:$F, $F224, Aux_Totales!$A:$A,#REF!), 0))</f>
        <v/>
      </c>
      <c r="VBJ224" s="19" t="str">
        <f>IF(VBJ220 = "", "", IFERROR(VBJ220 / SUMIFS(Aux_Totales!$N:$N, Aux_Totales!$F:$F, $F224, Aux_Totales!$A:$A,#REF!), 0))</f>
        <v/>
      </c>
      <c r="VBK224" s="19" t="str">
        <f>IF(VBK220 = "", "", IFERROR(VBK220 / SUMIFS(Aux_Totales!$N:$N, Aux_Totales!$F:$F, $F224, Aux_Totales!$A:$A,#REF!), 0))</f>
        <v/>
      </c>
      <c r="VBL224" s="19" t="str">
        <f>IF(VBL220 = "", "", IFERROR(VBL220 / SUMIFS(Aux_Totales!$N:$N, Aux_Totales!$F:$F, $F224, Aux_Totales!$A:$A,#REF!), 0))</f>
        <v/>
      </c>
      <c r="VBM224" s="19" t="str">
        <f>IF(VBM220 = "", "", IFERROR(VBM220 / SUMIFS(Aux_Totales!$N:$N, Aux_Totales!$F:$F, $F224, Aux_Totales!$A:$A,#REF!), 0))</f>
        <v/>
      </c>
      <c r="VBN224" s="19" t="str">
        <f>IF(VBN220 = "", "", IFERROR(VBN220 / SUMIFS(Aux_Totales!$N:$N, Aux_Totales!$F:$F, $F224, Aux_Totales!$A:$A,#REF!), 0))</f>
        <v/>
      </c>
      <c r="VBO224" s="19" t="str">
        <f>IF(VBO220 = "", "", IFERROR(VBO220 / SUMIFS(Aux_Totales!$N:$N, Aux_Totales!$F:$F, $F224, Aux_Totales!$A:$A,#REF!), 0))</f>
        <v/>
      </c>
      <c r="VBP224" s="19" t="str">
        <f>IF(VBP220 = "", "", IFERROR(VBP220 / SUMIFS(Aux_Totales!$N:$N, Aux_Totales!$F:$F, $F224, Aux_Totales!$A:$A,#REF!), 0))</f>
        <v/>
      </c>
      <c r="VBQ224" s="19" t="str">
        <f>IF(VBQ220 = "", "", IFERROR(VBQ220 / SUMIFS(Aux_Totales!$N:$N, Aux_Totales!$F:$F, $F224, Aux_Totales!$A:$A,#REF!), 0))</f>
        <v/>
      </c>
      <c r="VBR224" s="19" t="str">
        <f>IF(VBR220 = "", "", IFERROR(VBR220 / SUMIFS(Aux_Totales!$N:$N, Aux_Totales!$F:$F, $F224, Aux_Totales!$A:$A,#REF!), 0))</f>
        <v/>
      </c>
      <c r="VBS224" s="19" t="str">
        <f>IF(VBS220 = "", "", IFERROR(VBS220 / SUMIFS(Aux_Totales!$N:$N, Aux_Totales!$F:$F, $F224, Aux_Totales!$A:$A,#REF!), 0))</f>
        <v/>
      </c>
      <c r="VBT224" s="19" t="str">
        <f>IF(VBT220 = "", "", IFERROR(VBT220 / SUMIFS(Aux_Totales!$N:$N, Aux_Totales!$F:$F, $F224, Aux_Totales!$A:$A,#REF!), 0))</f>
        <v/>
      </c>
      <c r="VBU224" s="19" t="str">
        <f>IF(VBU220 = "", "", IFERROR(VBU220 / SUMIFS(Aux_Totales!$N:$N, Aux_Totales!$F:$F, $F224, Aux_Totales!$A:$A,#REF!), 0))</f>
        <v/>
      </c>
      <c r="VBV224" s="19" t="str">
        <f>IF(VBV220 = "", "", IFERROR(VBV220 / SUMIFS(Aux_Totales!$N:$N, Aux_Totales!$F:$F, $F224, Aux_Totales!$A:$A,#REF!), 0))</f>
        <v/>
      </c>
      <c r="VBW224" s="19" t="str">
        <f>IF(VBW220 = "", "", IFERROR(VBW220 / SUMIFS(Aux_Totales!$N:$N, Aux_Totales!$F:$F, $F224, Aux_Totales!$A:$A,#REF!), 0))</f>
        <v/>
      </c>
      <c r="VBX224" s="19" t="str">
        <f>IF(VBX220 = "", "", IFERROR(VBX220 / SUMIFS(Aux_Totales!$N:$N, Aux_Totales!$F:$F, $F224, Aux_Totales!$A:$A,#REF!), 0))</f>
        <v/>
      </c>
      <c r="VBY224" s="19" t="str">
        <f>IF(VBY220 = "", "", IFERROR(VBY220 / SUMIFS(Aux_Totales!$N:$N, Aux_Totales!$F:$F, $F224, Aux_Totales!$A:$A,#REF!), 0))</f>
        <v/>
      </c>
      <c r="VBZ224" s="19" t="str">
        <f>IF(VBZ220 = "", "", IFERROR(VBZ220 / SUMIFS(Aux_Totales!$N:$N, Aux_Totales!$F:$F, $F224, Aux_Totales!$A:$A,#REF!), 0))</f>
        <v/>
      </c>
      <c r="VCA224" s="19" t="str">
        <f>IF(VCA220 = "", "", IFERROR(VCA220 / SUMIFS(Aux_Totales!$N:$N, Aux_Totales!$F:$F, $F224, Aux_Totales!$A:$A,#REF!), 0))</f>
        <v/>
      </c>
      <c r="VCB224" s="19" t="str">
        <f>IF(VCB220 = "", "", IFERROR(VCB220 / SUMIFS(Aux_Totales!$N:$N, Aux_Totales!$F:$F, $F224, Aux_Totales!$A:$A,#REF!), 0))</f>
        <v/>
      </c>
      <c r="VCC224" s="19" t="str">
        <f>IF(VCC220 = "", "", IFERROR(VCC220 / SUMIFS(Aux_Totales!$N:$N, Aux_Totales!$F:$F, $F224, Aux_Totales!$A:$A,#REF!), 0))</f>
        <v/>
      </c>
      <c r="VCD224" s="19" t="str">
        <f>IF(VCD220 = "", "", IFERROR(VCD220 / SUMIFS(Aux_Totales!$N:$N, Aux_Totales!$F:$F, $F224, Aux_Totales!$A:$A,#REF!), 0))</f>
        <v/>
      </c>
      <c r="VCE224" s="19" t="str">
        <f>IF(VCE220 = "", "", IFERROR(VCE220 / SUMIFS(Aux_Totales!$N:$N, Aux_Totales!$F:$F, $F224, Aux_Totales!$A:$A,#REF!), 0))</f>
        <v/>
      </c>
      <c r="VCF224" s="19" t="str">
        <f>IF(VCF220 = "", "", IFERROR(VCF220 / SUMIFS(Aux_Totales!$N:$N, Aux_Totales!$F:$F, $F224, Aux_Totales!$A:$A,#REF!), 0))</f>
        <v/>
      </c>
      <c r="VCG224" s="19" t="str">
        <f>IF(VCG220 = "", "", IFERROR(VCG220 / SUMIFS(Aux_Totales!$N:$N, Aux_Totales!$F:$F, $F224, Aux_Totales!$A:$A,#REF!), 0))</f>
        <v/>
      </c>
      <c r="VCH224" s="19" t="str">
        <f>IF(VCH220 = "", "", IFERROR(VCH220 / SUMIFS(Aux_Totales!$N:$N, Aux_Totales!$F:$F, $F224, Aux_Totales!$A:$A,#REF!), 0))</f>
        <v/>
      </c>
      <c r="VCI224" s="19" t="str">
        <f>IF(VCI220 = "", "", IFERROR(VCI220 / SUMIFS(Aux_Totales!$N:$N, Aux_Totales!$F:$F, $F224, Aux_Totales!$A:$A,#REF!), 0))</f>
        <v/>
      </c>
      <c r="VCJ224" s="19" t="str">
        <f>IF(VCJ220 = "", "", IFERROR(VCJ220 / SUMIFS(Aux_Totales!$N:$N, Aux_Totales!$F:$F, $F224, Aux_Totales!$A:$A,#REF!), 0))</f>
        <v/>
      </c>
      <c r="VCK224" s="19" t="str">
        <f>IF(VCK220 = "", "", IFERROR(VCK220 / SUMIFS(Aux_Totales!$N:$N, Aux_Totales!$F:$F, $F224, Aux_Totales!$A:$A,#REF!), 0))</f>
        <v/>
      </c>
      <c r="VCL224" s="19" t="str">
        <f>IF(VCL220 = "", "", IFERROR(VCL220 / SUMIFS(Aux_Totales!$N:$N, Aux_Totales!$F:$F, $F224, Aux_Totales!$A:$A,#REF!), 0))</f>
        <v/>
      </c>
      <c r="VCM224" s="19" t="str">
        <f>IF(VCM220 = "", "", IFERROR(VCM220 / SUMIFS(Aux_Totales!$N:$N, Aux_Totales!$F:$F, $F224, Aux_Totales!$A:$A,#REF!), 0))</f>
        <v/>
      </c>
      <c r="VCN224" s="19" t="str">
        <f>IF(VCN220 = "", "", IFERROR(VCN220 / SUMIFS(Aux_Totales!$N:$N, Aux_Totales!$F:$F, $F224, Aux_Totales!$A:$A,#REF!), 0))</f>
        <v/>
      </c>
      <c r="VCO224" s="19" t="str">
        <f>IF(VCO220 = "", "", IFERROR(VCO220 / SUMIFS(Aux_Totales!$N:$N, Aux_Totales!$F:$F, $F224, Aux_Totales!$A:$A,#REF!), 0))</f>
        <v/>
      </c>
      <c r="VCP224" s="19" t="str">
        <f>IF(VCP220 = "", "", IFERROR(VCP220 / SUMIFS(Aux_Totales!$N:$N, Aux_Totales!$F:$F, $F224, Aux_Totales!$A:$A,#REF!), 0))</f>
        <v/>
      </c>
      <c r="VCQ224" s="19" t="str">
        <f>IF(VCQ220 = "", "", IFERROR(VCQ220 / SUMIFS(Aux_Totales!$N:$N, Aux_Totales!$F:$F, $F224, Aux_Totales!$A:$A,#REF!), 0))</f>
        <v/>
      </c>
      <c r="VCR224" s="19" t="str">
        <f>IF(VCR220 = "", "", IFERROR(VCR220 / SUMIFS(Aux_Totales!$N:$N, Aux_Totales!$F:$F, $F224, Aux_Totales!$A:$A,#REF!), 0))</f>
        <v/>
      </c>
      <c r="VCS224" s="19" t="str">
        <f>IF(VCS220 = "", "", IFERROR(VCS220 / SUMIFS(Aux_Totales!$N:$N, Aux_Totales!$F:$F, $F224, Aux_Totales!$A:$A,#REF!), 0))</f>
        <v/>
      </c>
      <c r="VCT224" s="19" t="str">
        <f>IF(VCT220 = "", "", IFERROR(VCT220 / SUMIFS(Aux_Totales!$N:$N, Aux_Totales!$F:$F, $F224, Aux_Totales!$A:$A,#REF!), 0))</f>
        <v/>
      </c>
      <c r="VCU224" s="19" t="str">
        <f>IF(VCU220 = "", "", IFERROR(VCU220 / SUMIFS(Aux_Totales!$N:$N, Aux_Totales!$F:$F, $F224, Aux_Totales!$A:$A,#REF!), 0))</f>
        <v/>
      </c>
      <c r="VCV224" s="19" t="str">
        <f>IF(VCV220 = "", "", IFERROR(VCV220 / SUMIFS(Aux_Totales!$N:$N, Aux_Totales!$F:$F, $F224, Aux_Totales!$A:$A,#REF!), 0))</f>
        <v/>
      </c>
      <c r="VCW224" s="19" t="str">
        <f>IF(VCW220 = "", "", IFERROR(VCW220 / SUMIFS(Aux_Totales!$N:$N, Aux_Totales!$F:$F, $F224, Aux_Totales!$A:$A,#REF!), 0))</f>
        <v/>
      </c>
      <c r="VCX224" s="19" t="str">
        <f>IF(VCX220 = "", "", IFERROR(VCX220 / SUMIFS(Aux_Totales!$N:$N, Aux_Totales!$F:$F, $F224, Aux_Totales!$A:$A,#REF!), 0))</f>
        <v/>
      </c>
      <c r="VCY224" s="19" t="str">
        <f>IF(VCY220 = "", "", IFERROR(VCY220 / SUMIFS(Aux_Totales!$N:$N, Aux_Totales!$F:$F, $F224, Aux_Totales!$A:$A,#REF!), 0))</f>
        <v/>
      </c>
      <c r="VCZ224" s="19" t="str">
        <f>IF(VCZ220 = "", "", IFERROR(VCZ220 / SUMIFS(Aux_Totales!$N:$N, Aux_Totales!$F:$F, $F224, Aux_Totales!$A:$A,#REF!), 0))</f>
        <v/>
      </c>
      <c r="VDA224" s="19" t="str">
        <f>IF(VDA220 = "", "", IFERROR(VDA220 / SUMIFS(Aux_Totales!$N:$N, Aux_Totales!$F:$F, $F224, Aux_Totales!$A:$A,#REF!), 0))</f>
        <v/>
      </c>
      <c r="VDB224" s="19" t="str">
        <f>IF(VDB220 = "", "", IFERROR(VDB220 / SUMIFS(Aux_Totales!$N:$N, Aux_Totales!$F:$F, $F224, Aux_Totales!$A:$A,#REF!), 0))</f>
        <v/>
      </c>
      <c r="VDC224" s="19" t="str">
        <f>IF(VDC220 = "", "", IFERROR(VDC220 / SUMIFS(Aux_Totales!$N:$N, Aux_Totales!$F:$F, $F224, Aux_Totales!$A:$A,#REF!), 0))</f>
        <v/>
      </c>
      <c r="VDD224" s="19" t="str">
        <f>IF(VDD220 = "", "", IFERROR(VDD220 / SUMIFS(Aux_Totales!$N:$N, Aux_Totales!$F:$F, $F224, Aux_Totales!$A:$A,#REF!), 0))</f>
        <v/>
      </c>
      <c r="VDE224" s="19" t="str">
        <f>IF(VDE220 = "", "", IFERROR(VDE220 / SUMIFS(Aux_Totales!$N:$N, Aux_Totales!$F:$F, $F224, Aux_Totales!$A:$A,#REF!), 0))</f>
        <v/>
      </c>
      <c r="VDF224" s="19" t="str">
        <f>IF(VDF220 = "", "", IFERROR(VDF220 / SUMIFS(Aux_Totales!$N:$N, Aux_Totales!$F:$F, $F224, Aux_Totales!$A:$A,#REF!), 0))</f>
        <v/>
      </c>
      <c r="VDG224" s="19" t="str">
        <f>IF(VDG220 = "", "", IFERROR(VDG220 / SUMIFS(Aux_Totales!$N:$N, Aux_Totales!$F:$F, $F224, Aux_Totales!$A:$A,#REF!), 0))</f>
        <v/>
      </c>
      <c r="VDH224" s="19" t="str">
        <f>IF(VDH220 = "", "", IFERROR(VDH220 / SUMIFS(Aux_Totales!$N:$N, Aux_Totales!$F:$F, $F224, Aux_Totales!$A:$A,#REF!), 0))</f>
        <v/>
      </c>
      <c r="VDI224" s="19" t="str">
        <f>IF(VDI220 = "", "", IFERROR(VDI220 / SUMIFS(Aux_Totales!$N:$N, Aux_Totales!$F:$F, $F224, Aux_Totales!$A:$A,#REF!), 0))</f>
        <v/>
      </c>
      <c r="VDJ224" s="19" t="str">
        <f>IF(VDJ220 = "", "", IFERROR(VDJ220 / SUMIFS(Aux_Totales!$N:$N, Aux_Totales!$F:$F, $F224, Aux_Totales!$A:$A,#REF!), 0))</f>
        <v/>
      </c>
      <c r="VDK224" s="19" t="str">
        <f>IF(VDK220 = "", "", IFERROR(VDK220 / SUMIFS(Aux_Totales!$N:$N, Aux_Totales!$F:$F, $F224, Aux_Totales!$A:$A,#REF!), 0))</f>
        <v/>
      </c>
      <c r="VDL224" s="19" t="str">
        <f>IF(VDL220 = "", "", IFERROR(VDL220 / SUMIFS(Aux_Totales!$N:$N, Aux_Totales!$F:$F, $F224, Aux_Totales!$A:$A,#REF!), 0))</f>
        <v/>
      </c>
      <c r="VDM224" s="19" t="str">
        <f>IF(VDM220 = "", "", IFERROR(VDM220 / SUMIFS(Aux_Totales!$N:$N, Aux_Totales!$F:$F, $F224, Aux_Totales!$A:$A,#REF!), 0))</f>
        <v/>
      </c>
      <c r="VDN224" s="19" t="str">
        <f>IF(VDN220 = "", "", IFERROR(VDN220 / SUMIFS(Aux_Totales!$N:$N, Aux_Totales!$F:$F, $F224, Aux_Totales!$A:$A,#REF!), 0))</f>
        <v/>
      </c>
      <c r="VDO224" s="19" t="str">
        <f>IF(VDO220 = "", "", IFERROR(VDO220 / SUMIFS(Aux_Totales!$N:$N, Aux_Totales!$F:$F, $F224, Aux_Totales!$A:$A,#REF!), 0))</f>
        <v/>
      </c>
      <c r="VDP224" s="19" t="str">
        <f>IF(VDP220 = "", "", IFERROR(VDP220 / SUMIFS(Aux_Totales!$N:$N, Aux_Totales!$F:$F, $F224, Aux_Totales!$A:$A,#REF!), 0))</f>
        <v/>
      </c>
      <c r="VDQ224" s="19" t="str">
        <f>IF(VDQ220 = "", "", IFERROR(VDQ220 / SUMIFS(Aux_Totales!$N:$N, Aux_Totales!$F:$F, $F224, Aux_Totales!$A:$A,#REF!), 0))</f>
        <v/>
      </c>
      <c r="VDR224" s="19" t="str">
        <f>IF(VDR220 = "", "", IFERROR(VDR220 / SUMIFS(Aux_Totales!$N:$N, Aux_Totales!$F:$F, $F224, Aux_Totales!$A:$A,#REF!), 0))</f>
        <v/>
      </c>
      <c r="VDS224" s="19" t="str">
        <f>IF(VDS220 = "", "", IFERROR(VDS220 / SUMIFS(Aux_Totales!$N:$N, Aux_Totales!$F:$F, $F224, Aux_Totales!$A:$A,#REF!), 0))</f>
        <v/>
      </c>
      <c r="VDT224" s="19" t="str">
        <f>IF(VDT220 = "", "", IFERROR(VDT220 / SUMIFS(Aux_Totales!$N:$N, Aux_Totales!$F:$F, $F224, Aux_Totales!$A:$A,#REF!), 0))</f>
        <v/>
      </c>
      <c r="VDU224" s="19" t="str">
        <f>IF(VDU220 = "", "", IFERROR(VDU220 / SUMIFS(Aux_Totales!$N:$N, Aux_Totales!$F:$F, $F224, Aux_Totales!$A:$A,#REF!), 0))</f>
        <v/>
      </c>
      <c r="VDV224" s="19" t="str">
        <f>IF(VDV220 = "", "", IFERROR(VDV220 / SUMIFS(Aux_Totales!$N:$N, Aux_Totales!$F:$F, $F224, Aux_Totales!$A:$A,#REF!), 0))</f>
        <v/>
      </c>
      <c r="VDW224" s="19" t="str">
        <f>IF(VDW220 = "", "", IFERROR(VDW220 / SUMIFS(Aux_Totales!$N:$N, Aux_Totales!$F:$F, $F224, Aux_Totales!$A:$A,#REF!), 0))</f>
        <v/>
      </c>
      <c r="VDX224" s="19" t="str">
        <f>IF(VDX220 = "", "", IFERROR(VDX220 / SUMIFS(Aux_Totales!$N:$N, Aux_Totales!$F:$F, $F224, Aux_Totales!$A:$A,#REF!), 0))</f>
        <v/>
      </c>
      <c r="VDY224" s="19" t="str">
        <f>IF(VDY220 = "", "", IFERROR(VDY220 / SUMIFS(Aux_Totales!$N:$N, Aux_Totales!$F:$F, $F224, Aux_Totales!$A:$A,#REF!), 0))</f>
        <v/>
      </c>
      <c r="VDZ224" s="19" t="str">
        <f>IF(VDZ220 = "", "", IFERROR(VDZ220 / SUMIFS(Aux_Totales!$N:$N, Aux_Totales!$F:$F, $F224, Aux_Totales!$A:$A,#REF!), 0))</f>
        <v/>
      </c>
      <c r="VEA224" s="19" t="str">
        <f>IF(VEA220 = "", "", IFERROR(VEA220 / SUMIFS(Aux_Totales!$N:$N, Aux_Totales!$F:$F, $F224, Aux_Totales!$A:$A,#REF!), 0))</f>
        <v/>
      </c>
      <c r="VEB224" s="19" t="str">
        <f>IF(VEB220 = "", "", IFERROR(VEB220 / SUMIFS(Aux_Totales!$N:$N, Aux_Totales!$F:$F, $F224, Aux_Totales!$A:$A,#REF!), 0))</f>
        <v/>
      </c>
      <c r="VEC224" s="19" t="str">
        <f>IF(VEC220 = "", "", IFERROR(VEC220 / SUMIFS(Aux_Totales!$N:$N, Aux_Totales!$F:$F, $F224, Aux_Totales!$A:$A,#REF!), 0))</f>
        <v/>
      </c>
      <c r="VED224" s="19" t="str">
        <f>IF(VED220 = "", "", IFERROR(VED220 / SUMIFS(Aux_Totales!$N:$N, Aux_Totales!$F:$F, $F224, Aux_Totales!$A:$A,#REF!), 0))</f>
        <v/>
      </c>
      <c r="VEE224" s="19" t="str">
        <f>IF(VEE220 = "", "", IFERROR(VEE220 / SUMIFS(Aux_Totales!$N:$N, Aux_Totales!$F:$F, $F224, Aux_Totales!$A:$A,#REF!), 0))</f>
        <v/>
      </c>
      <c r="VEF224" s="19" t="str">
        <f>IF(VEF220 = "", "", IFERROR(VEF220 / SUMIFS(Aux_Totales!$N:$N, Aux_Totales!$F:$F, $F224, Aux_Totales!$A:$A,#REF!), 0))</f>
        <v/>
      </c>
      <c r="VEG224" s="19" t="str">
        <f>IF(VEG220 = "", "", IFERROR(VEG220 / SUMIFS(Aux_Totales!$N:$N, Aux_Totales!$F:$F, $F224, Aux_Totales!$A:$A,#REF!), 0))</f>
        <v/>
      </c>
      <c r="VEH224" s="19" t="str">
        <f>IF(VEH220 = "", "", IFERROR(VEH220 / SUMIFS(Aux_Totales!$N:$N, Aux_Totales!$F:$F, $F224, Aux_Totales!$A:$A,#REF!), 0))</f>
        <v/>
      </c>
      <c r="VEI224" s="19" t="str">
        <f>IF(VEI220 = "", "", IFERROR(VEI220 / SUMIFS(Aux_Totales!$N:$N, Aux_Totales!$F:$F, $F224, Aux_Totales!$A:$A,#REF!), 0))</f>
        <v/>
      </c>
      <c r="VEJ224" s="19" t="str">
        <f>IF(VEJ220 = "", "", IFERROR(VEJ220 / SUMIFS(Aux_Totales!$N:$N, Aux_Totales!$F:$F, $F224, Aux_Totales!$A:$A,#REF!), 0))</f>
        <v/>
      </c>
      <c r="VEK224" s="19" t="str">
        <f>IF(VEK220 = "", "", IFERROR(VEK220 / SUMIFS(Aux_Totales!$N:$N, Aux_Totales!$F:$F, $F224, Aux_Totales!$A:$A,#REF!), 0))</f>
        <v/>
      </c>
      <c r="VEL224" s="19" t="str">
        <f>IF(VEL220 = "", "", IFERROR(VEL220 / SUMIFS(Aux_Totales!$N:$N, Aux_Totales!$F:$F, $F224, Aux_Totales!$A:$A,#REF!), 0))</f>
        <v/>
      </c>
      <c r="VEM224" s="19" t="str">
        <f>IF(VEM220 = "", "", IFERROR(VEM220 / SUMIFS(Aux_Totales!$N:$N, Aux_Totales!$F:$F, $F224, Aux_Totales!$A:$A,#REF!), 0))</f>
        <v/>
      </c>
      <c r="VEN224" s="19" t="str">
        <f>IF(VEN220 = "", "", IFERROR(VEN220 / SUMIFS(Aux_Totales!$N:$N, Aux_Totales!$F:$F, $F224, Aux_Totales!$A:$A,#REF!), 0))</f>
        <v/>
      </c>
      <c r="VEO224" s="19" t="str">
        <f>IF(VEO220 = "", "", IFERROR(VEO220 / SUMIFS(Aux_Totales!$N:$N, Aux_Totales!$F:$F, $F224, Aux_Totales!$A:$A,#REF!), 0))</f>
        <v/>
      </c>
      <c r="VEP224" s="19" t="str">
        <f>IF(VEP220 = "", "", IFERROR(VEP220 / SUMIFS(Aux_Totales!$N:$N, Aux_Totales!$F:$F, $F224, Aux_Totales!$A:$A,#REF!), 0))</f>
        <v/>
      </c>
      <c r="VEQ224" s="19" t="str">
        <f>IF(VEQ220 = "", "", IFERROR(VEQ220 / SUMIFS(Aux_Totales!$N:$N, Aux_Totales!$F:$F, $F224, Aux_Totales!$A:$A,#REF!), 0))</f>
        <v/>
      </c>
      <c r="VER224" s="19" t="str">
        <f>IF(VER220 = "", "", IFERROR(VER220 / SUMIFS(Aux_Totales!$N:$N, Aux_Totales!$F:$F, $F224, Aux_Totales!$A:$A,#REF!), 0))</f>
        <v/>
      </c>
      <c r="VES224" s="19" t="str">
        <f>IF(VES220 = "", "", IFERROR(VES220 / SUMIFS(Aux_Totales!$N:$N, Aux_Totales!$F:$F, $F224, Aux_Totales!$A:$A,#REF!), 0))</f>
        <v/>
      </c>
      <c r="VET224" s="19" t="str">
        <f>IF(VET220 = "", "", IFERROR(VET220 / SUMIFS(Aux_Totales!$N:$N, Aux_Totales!$F:$F, $F224, Aux_Totales!$A:$A,#REF!), 0))</f>
        <v/>
      </c>
      <c r="VEU224" s="19" t="str">
        <f>IF(VEU220 = "", "", IFERROR(VEU220 / SUMIFS(Aux_Totales!$N:$N, Aux_Totales!$F:$F, $F224, Aux_Totales!$A:$A,#REF!), 0))</f>
        <v/>
      </c>
      <c r="VEV224" s="19" t="str">
        <f>IF(VEV220 = "", "", IFERROR(VEV220 / SUMIFS(Aux_Totales!$N:$N, Aux_Totales!$F:$F, $F224, Aux_Totales!$A:$A,#REF!), 0))</f>
        <v/>
      </c>
      <c r="VEW224" s="19" t="str">
        <f>IF(VEW220 = "", "", IFERROR(VEW220 / SUMIFS(Aux_Totales!$N:$N, Aux_Totales!$F:$F, $F224, Aux_Totales!$A:$A,#REF!), 0))</f>
        <v/>
      </c>
      <c r="VEX224" s="19" t="str">
        <f>IF(VEX220 = "", "", IFERROR(VEX220 / SUMIFS(Aux_Totales!$N:$N, Aux_Totales!$F:$F, $F224, Aux_Totales!$A:$A,#REF!), 0))</f>
        <v/>
      </c>
      <c r="VEY224" s="19" t="str">
        <f>IF(VEY220 = "", "", IFERROR(VEY220 / SUMIFS(Aux_Totales!$N:$N, Aux_Totales!$F:$F, $F224, Aux_Totales!$A:$A,#REF!), 0))</f>
        <v/>
      </c>
      <c r="VEZ224" s="19" t="str">
        <f>IF(VEZ220 = "", "", IFERROR(VEZ220 / SUMIFS(Aux_Totales!$N:$N, Aux_Totales!$F:$F, $F224, Aux_Totales!$A:$A,#REF!), 0))</f>
        <v/>
      </c>
      <c r="VFA224" s="19" t="str">
        <f>IF(VFA220 = "", "", IFERROR(VFA220 / SUMIFS(Aux_Totales!$N:$N, Aux_Totales!$F:$F, $F224, Aux_Totales!$A:$A,#REF!), 0))</f>
        <v/>
      </c>
      <c r="VFB224" s="19" t="str">
        <f>IF(VFB220 = "", "", IFERROR(VFB220 / SUMIFS(Aux_Totales!$N:$N, Aux_Totales!$F:$F, $F224, Aux_Totales!$A:$A,#REF!), 0))</f>
        <v/>
      </c>
      <c r="VFC224" s="19" t="str">
        <f>IF(VFC220 = "", "", IFERROR(VFC220 / SUMIFS(Aux_Totales!$N:$N, Aux_Totales!$F:$F, $F224, Aux_Totales!$A:$A,#REF!), 0))</f>
        <v/>
      </c>
      <c r="VFD224" s="19" t="str">
        <f>IF(VFD220 = "", "", IFERROR(VFD220 / SUMIFS(Aux_Totales!$N:$N, Aux_Totales!$F:$F, $F224, Aux_Totales!$A:$A,#REF!), 0))</f>
        <v/>
      </c>
      <c r="VFE224" s="19" t="str">
        <f>IF(VFE220 = "", "", IFERROR(VFE220 / SUMIFS(Aux_Totales!$N:$N, Aux_Totales!$F:$F, $F224, Aux_Totales!$A:$A,#REF!), 0))</f>
        <v/>
      </c>
      <c r="VFF224" s="19" t="str">
        <f>IF(VFF220 = "", "", IFERROR(VFF220 / SUMIFS(Aux_Totales!$N:$N, Aux_Totales!$F:$F, $F224, Aux_Totales!$A:$A,#REF!), 0))</f>
        <v/>
      </c>
      <c r="VFG224" s="19" t="str">
        <f>IF(VFG220 = "", "", IFERROR(VFG220 / SUMIFS(Aux_Totales!$N:$N, Aux_Totales!$F:$F, $F224, Aux_Totales!$A:$A,#REF!), 0))</f>
        <v/>
      </c>
      <c r="VFH224" s="19" t="str">
        <f>IF(VFH220 = "", "", IFERROR(VFH220 / SUMIFS(Aux_Totales!$N:$N, Aux_Totales!$F:$F, $F224, Aux_Totales!$A:$A,#REF!), 0))</f>
        <v/>
      </c>
      <c r="VFI224" s="19" t="str">
        <f>IF(VFI220 = "", "", IFERROR(VFI220 / SUMIFS(Aux_Totales!$N:$N, Aux_Totales!$F:$F, $F224, Aux_Totales!$A:$A,#REF!), 0))</f>
        <v/>
      </c>
      <c r="VFJ224" s="19" t="str">
        <f>IF(VFJ220 = "", "", IFERROR(VFJ220 / SUMIFS(Aux_Totales!$N:$N, Aux_Totales!$F:$F, $F224, Aux_Totales!$A:$A,#REF!), 0))</f>
        <v/>
      </c>
      <c r="VFK224" s="19" t="str">
        <f>IF(VFK220 = "", "", IFERROR(VFK220 / SUMIFS(Aux_Totales!$N:$N, Aux_Totales!$F:$F, $F224, Aux_Totales!$A:$A,#REF!), 0))</f>
        <v/>
      </c>
      <c r="VFL224" s="19" t="str">
        <f>IF(VFL220 = "", "", IFERROR(VFL220 / SUMIFS(Aux_Totales!$N:$N, Aux_Totales!$F:$F, $F224, Aux_Totales!$A:$A,#REF!), 0))</f>
        <v/>
      </c>
      <c r="VFM224" s="19" t="str">
        <f>IF(VFM220 = "", "", IFERROR(VFM220 / SUMIFS(Aux_Totales!$N:$N, Aux_Totales!$F:$F, $F224, Aux_Totales!$A:$A,#REF!), 0))</f>
        <v/>
      </c>
      <c r="VFN224" s="19" t="str">
        <f>IF(VFN220 = "", "", IFERROR(VFN220 / SUMIFS(Aux_Totales!$N:$N, Aux_Totales!$F:$F, $F224, Aux_Totales!$A:$A,#REF!), 0))</f>
        <v/>
      </c>
      <c r="VFO224" s="19" t="str">
        <f>IF(VFO220 = "", "", IFERROR(VFO220 / SUMIFS(Aux_Totales!$N:$N, Aux_Totales!$F:$F, $F224, Aux_Totales!$A:$A,#REF!), 0))</f>
        <v/>
      </c>
      <c r="VFP224" s="19" t="str">
        <f>IF(VFP220 = "", "", IFERROR(VFP220 / SUMIFS(Aux_Totales!$N:$N, Aux_Totales!$F:$F, $F224, Aux_Totales!$A:$A,#REF!), 0))</f>
        <v/>
      </c>
      <c r="VFQ224" s="19" t="str">
        <f>IF(VFQ220 = "", "", IFERROR(VFQ220 / SUMIFS(Aux_Totales!$N:$N, Aux_Totales!$F:$F, $F224, Aux_Totales!$A:$A,#REF!), 0))</f>
        <v/>
      </c>
      <c r="VFR224" s="19" t="str">
        <f>IF(VFR220 = "", "", IFERROR(VFR220 / SUMIFS(Aux_Totales!$N:$N, Aux_Totales!$F:$F, $F224, Aux_Totales!$A:$A,#REF!), 0))</f>
        <v/>
      </c>
      <c r="VFS224" s="19" t="str">
        <f>IF(VFS220 = "", "", IFERROR(VFS220 / SUMIFS(Aux_Totales!$N:$N, Aux_Totales!$F:$F, $F224, Aux_Totales!$A:$A,#REF!), 0))</f>
        <v/>
      </c>
      <c r="VFT224" s="19" t="str">
        <f>IF(VFT220 = "", "", IFERROR(VFT220 / SUMIFS(Aux_Totales!$N:$N, Aux_Totales!$F:$F, $F224, Aux_Totales!$A:$A,#REF!), 0))</f>
        <v/>
      </c>
      <c r="VFU224" s="19" t="str">
        <f>IF(VFU220 = "", "", IFERROR(VFU220 / SUMIFS(Aux_Totales!$N:$N, Aux_Totales!$F:$F, $F224, Aux_Totales!$A:$A,#REF!), 0))</f>
        <v/>
      </c>
      <c r="VFV224" s="19" t="str">
        <f>IF(VFV220 = "", "", IFERROR(VFV220 / SUMIFS(Aux_Totales!$N:$N, Aux_Totales!$F:$F, $F224, Aux_Totales!$A:$A,#REF!), 0))</f>
        <v/>
      </c>
      <c r="VFW224" s="19" t="str">
        <f>IF(VFW220 = "", "", IFERROR(VFW220 / SUMIFS(Aux_Totales!$N:$N, Aux_Totales!$F:$F, $F224, Aux_Totales!$A:$A,#REF!), 0))</f>
        <v/>
      </c>
      <c r="VFX224" s="19" t="str">
        <f>IF(VFX220 = "", "", IFERROR(VFX220 / SUMIFS(Aux_Totales!$N:$N, Aux_Totales!$F:$F, $F224, Aux_Totales!$A:$A,#REF!), 0))</f>
        <v/>
      </c>
      <c r="VFY224" s="19" t="str">
        <f>IF(VFY220 = "", "", IFERROR(VFY220 / SUMIFS(Aux_Totales!$N:$N, Aux_Totales!$F:$F, $F224, Aux_Totales!$A:$A,#REF!), 0))</f>
        <v/>
      </c>
      <c r="VFZ224" s="19" t="str">
        <f>IF(VFZ220 = "", "", IFERROR(VFZ220 / SUMIFS(Aux_Totales!$N:$N, Aux_Totales!$F:$F, $F224, Aux_Totales!$A:$A,#REF!), 0))</f>
        <v/>
      </c>
      <c r="VGA224" s="19" t="str">
        <f>IF(VGA220 = "", "", IFERROR(VGA220 / SUMIFS(Aux_Totales!$N:$N, Aux_Totales!$F:$F, $F224, Aux_Totales!$A:$A,#REF!), 0))</f>
        <v/>
      </c>
      <c r="VGB224" s="19" t="str">
        <f>IF(VGB220 = "", "", IFERROR(VGB220 / SUMIFS(Aux_Totales!$N:$N, Aux_Totales!$F:$F, $F224, Aux_Totales!$A:$A,#REF!), 0))</f>
        <v/>
      </c>
      <c r="VGC224" s="19" t="str">
        <f>IF(VGC220 = "", "", IFERROR(VGC220 / SUMIFS(Aux_Totales!$N:$N, Aux_Totales!$F:$F, $F224, Aux_Totales!$A:$A,#REF!), 0))</f>
        <v/>
      </c>
      <c r="VGD224" s="19" t="str">
        <f>IF(VGD220 = "", "", IFERROR(VGD220 / SUMIFS(Aux_Totales!$N:$N, Aux_Totales!$F:$F, $F224, Aux_Totales!$A:$A,#REF!), 0))</f>
        <v/>
      </c>
      <c r="VGE224" s="19" t="str">
        <f>IF(VGE220 = "", "", IFERROR(VGE220 / SUMIFS(Aux_Totales!$N:$N, Aux_Totales!$F:$F, $F224, Aux_Totales!$A:$A,#REF!), 0))</f>
        <v/>
      </c>
      <c r="VGF224" s="19" t="str">
        <f>IF(VGF220 = "", "", IFERROR(VGF220 / SUMIFS(Aux_Totales!$N:$N, Aux_Totales!$F:$F, $F224, Aux_Totales!$A:$A,#REF!), 0))</f>
        <v/>
      </c>
      <c r="VGG224" s="19" t="str">
        <f>IF(VGG220 = "", "", IFERROR(VGG220 / SUMIFS(Aux_Totales!$N:$N, Aux_Totales!$F:$F, $F224, Aux_Totales!$A:$A,#REF!), 0))</f>
        <v/>
      </c>
      <c r="VGH224" s="19" t="str">
        <f>IF(VGH220 = "", "", IFERROR(VGH220 / SUMIFS(Aux_Totales!$N:$N, Aux_Totales!$F:$F, $F224, Aux_Totales!$A:$A,#REF!), 0))</f>
        <v/>
      </c>
      <c r="VGI224" s="19" t="str">
        <f>IF(VGI220 = "", "", IFERROR(VGI220 / SUMIFS(Aux_Totales!$N:$N, Aux_Totales!$F:$F, $F224, Aux_Totales!$A:$A,#REF!), 0))</f>
        <v/>
      </c>
      <c r="VGJ224" s="19" t="str">
        <f>IF(VGJ220 = "", "", IFERROR(VGJ220 / SUMIFS(Aux_Totales!$N:$N, Aux_Totales!$F:$F, $F224, Aux_Totales!$A:$A,#REF!), 0))</f>
        <v/>
      </c>
      <c r="VGK224" s="19" t="str">
        <f>IF(VGK220 = "", "", IFERROR(VGK220 / SUMIFS(Aux_Totales!$N:$N, Aux_Totales!$F:$F, $F224, Aux_Totales!$A:$A,#REF!), 0))</f>
        <v/>
      </c>
      <c r="VGL224" s="19" t="str">
        <f>IF(VGL220 = "", "", IFERROR(VGL220 / SUMIFS(Aux_Totales!$N:$N, Aux_Totales!$F:$F, $F224, Aux_Totales!$A:$A,#REF!), 0))</f>
        <v/>
      </c>
      <c r="VGM224" s="19" t="str">
        <f>IF(VGM220 = "", "", IFERROR(VGM220 / SUMIFS(Aux_Totales!$N:$N, Aux_Totales!$F:$F, $F224, Aux_Totales!$A:$A,#REF!), 0))</f>
        <v/>
      </c>
      <c r="VGN224" s="19" t="str">
        <f>IF(VGN220 = "", "", IFERROR(VGN220 / SUMIFS(Aux_Totales!$N:$N, Aux_Totales!$F:$F, $F224, Aux_Totales!$A:$A,#REF!), 0))</f>
        <v/>
      </c>
      <c r="VGO224" s="19" t="str">
        <f>IF(VGO220 = "", "", IFERROR(VGO220 / SUMIFS(Aux_Totales!$N:$N, Aux_Totales!$F:$F, $F224, Aux_Totales!$A:$A,#REF!), 0))</f>
        <v/>
      </c>
      <c r="VGP224" s="19" t="str">
        <f>IF(VGP220 = "", "", IFERROR(VGP220 / SUMIFS(Aux_Totales!$N:$N, Aux_Totales!$F:$F, $F224, Aux_Totales!$A:$A,#REF!), 0))</f>
        <v/>
      </c>
      <c r="VGQ224" s="19" t="str">
        <f>IF(VGQ220 = "", "", IFERROR(VGQ220 / SUMIFS(Aux_Totales!$N:$N, Aux_Totales!$F:$F, $F224, Aux_Totales!$A:$A,#REF!), 0))</f>
        <v/>
      </c>
      <c r="VGR224" s="19" t="str">
        <f>IF(VGR220 = "", "", IFERROR(VGR220 / SUMIFS(Aux_Totales!$N:$N, Aux_Totales!$F:$F, $F224, Aux_Totales!$A:$A,#REF!), 0))</f>
        <v/>
      </c>
      <c r="VGS224" s="19" t="str">
        <f>IF(VGS220 = "", "", IFERROR(VGS220 / SUMIFS(Aux_Totales!$N:$N, Aux_Totales!$F:$F, $F224, Aux_Totales!$A:$A,#REF!), 0))</f>
        <v/>
      </c>
      <c r="VGT224" s="19" t="str">
        <f>IF(VGT220 = "", "", IFERROR(VGT220 / SUMIFS(Aux_Totales!$N:$N, Aux_Totales!$F:$F, $F224, Aux_Totales!$A:$A,#REF!), 0))</f>
        <v/>
      </c>
      <c r="VGU224" s="19" t="str">
        <f>IF(VGU220 = "", "", IFERROR(VGU220 / SUMIFS(Aux_Totales!$N:$N, Aux_Totales!$F:$F, $F224, Aux_Totales!$A:$A,#REF!), 0))</f>
        <v/>
      </c>
      <c r="VGV224" s="19" t="str">
        <f>IF(VGV220 = "", "", IFERROR(VGV220 / SUMIFS(Aux_Totales!$N:$N, Aux_Totales!$F:$F, $F224, Aux_Totales!$A:$A,#REF!), 0))</f>
        <v/>
      </c>
      <c r="VGW224" s="19" t="str">
        <f>IF(VGW220 = "", "", IFERROR(VGW220 / SUMIFS(Aux_Totales!$N:$N, Aux_Totales!$F:$F, $F224, Aux_Totales!$A:$A,#REF!), 0))</f>
        <v/>
      </c>
      <c r="VGX224" s="19" t="str">
        <f>IF(VGX220 = "", "", IFERROR(VGX220 / SUMIFS(Aux_Totales!$N:$N, Aux_Totales!$F:$F, $F224, Aux_Totales!$A:$A,#REF!), 0))</f>
        <v/>
      </c>
      <c r="VGY224" s="19" t="str">
        <f>IF(VGY220 = "", "", IFERROR(VGY220 / SUMIFS(Aux_Totales!$N:$N, Aux_Totales!$F:$F, $F224, Aux_Totales!$A:$A,#REF!), 0))</f>
        <v/>
      </c>
      <c r="VGZ224" s="19" t="str">
        <f>IF(VGZ220 = "", "", IFERROR(VGZ220 / SUMIFS(Aux_Totales!$N:$N, Aux_Totales!$F:$F, $F224, Aux_Totales!$A:$A,#REF!), 0))</f>
        <v/>
      </c>
      <c r="VHA224" s="19" t="str">
        <f>IF(VHA220 = "", "", IFERROR(VHA220 / SUMIFS(Aux_Totales!$N:$N, Aux_Totales!$F:$F, $F224, Aux_Totales!$A:$A,#REF!), 0))</f>
        <v/>
      </c>
      <c r="VHB224" s="19" t="str">
        <f>IF(VHB220 = "", "", IFERROR(VHB220 / SUMIFS(Aux_Totales!$N:$N, Aux_Totales!$F:$F, $F224, Aux_Totales!$A:$A,#REF!), 0))</f>
        <v/>
      </c>
      <c r="VHC224" s="19" t="str">
        <f>IF(VHC220 = "", "", IFERROR(VHC220 / SUMIFS(Aux_Totales!$N:$N, Aux_Totales!$F:$F, $F224, Aux_Totales!$A:$A,#REF!), 0))</f>
        <v/>
      </c>
      <c r="VHD224" s="19" t="str">
        <f>IF(VHD220 = "", "", IFERROR(VHD220 / SUMIFS(Aux_Totales!$N:$N, Aux_Totales!$F:$F, $F224, Aux_Totales!$A:$A,#REF!), 0))</f>
        <v/>
      </c>
      <c r="VHE224" s="19" t="str">
        <f>IF(VHE220 = "", "", IFERROR(VHE220 / SUMIFS(Aux_Totales!$N:$N, Aux_Totales!$F:$F, $F224, Aux_Totales!$A:$A,#REF!), 0))</f>
        <v/>
      </c>
      <c r="VHF224" s="19" t="str">
        <f>IF(VHF220 = "", "", IFERROR(VHF220 / SUMIFS(Aux_Totales!$N:$N, Aux_Totales!$F:$F, $F224, Aux_Totales!$A:$A,#REF!), 0))</f>
        <v/>
      </c>
      <c r="VHG224" s="19" t="str">
        <f>IF(VHG220 = "", "", IFERROR(VHG220 / SUMIFS(Aux_Totales!$N:$N, Aux_Totales!$F:$F, $F224, Aux_Totales!$A:$A,#REF!), 0))</f>
        <v/>
      </c>
      <c r="VHH224" s="19" t="str">
        <f>IF(VHH220 = "", "", IFERROR(VHH220 / SUMIFS(Aux_Totales!$N:$N, Aux_Totales!$F:$F, $F224, Aux_Totales!$A:$A,#REF!), 0))</f>
        <v/>
      </c>
      <c r="VHI224" s="19" t="str">
        <f>IF(VHI220 = "", "", IFERROR(VHI220 / SUMIFS(Aux_Totales!$N:$N, Aux_Totales!$F:$F, $F224, Aux_Totales!$A:$A,#REF!), 0))</f>
        <v/>
      </c>
      <c r="VHJ224" s="19" t="str">
        <f>IF(VHJ220 = "", "", IFERROR(VHJ220 / SUMIFS(Aux_Totales!$N:$N, Aux_Totales!$F:$F, $F224, Aux_Totales!$A:$A,#REF!), 0))</f>
        <v/>
      </c>
      <c r="VHK224" s="19" t="str">
        <f>IF(VHK220 = "", "", IFERROR(VHK220 / SUMIFS(Aux_Totales!$N:$N, Aux_Totales!$F:$F, $F224, Aux_Totales!$A:$A,#REF!), 0))</f>
        <v/>
      </c>
      <c r="VHL224" s="19" t="str">
        <f>IF(VHL220 = "", "", IFERROR(VHL220 / SUMIFS(Aux_Totales!$N:$N, Aux_Totales!$F:$F, $F224, Aux_Totales!$A:$A,#REF!), 0))</f>
        <v/>
      </c>
      <c r="VHM224" s="19" t="str">
        <f>IF(VHM220 = "", "", IFERROR(VHM220 / SUMIFS(Aux_Totales!$N:$N, Aux_Totales!$F:$F, $F224, Aux_Totales!$A:$A,#REF!), 0))</f>
        <v/>
      </c>
      <c r="VHN224" s="19" t="str">
        <f>IF(VHN220 = "", "", IFERROR(VHN220 / SUMIFS(Aux_Totales!$N:$N, Aux_Totales!$F:$F, $F224, Aux_Totales!$A:$A,#REF!), 0))</f>
        <v/>
      </c>
      <c r="VHO224" s="19" t="str">
        <f>IF(VHO220 = "", "", IFERROR(VHO220 / SUMIFS(Aux_Totales!$N:$N, Aux_Totales!$F:$F, $F224, Aux_Totales!$A:$A,#REF!), 0))</f>
        <v/>
      </c>
      <c r="VHP224" s="19" t="str">
        <f>IF(VHP220 = "", "", IFERROR(VHP220 / SUMIFS(Aux_Totales!$N:$N, Aux_Totales!$F:$F, $F224, Aux_Totales!$A:$A,#REF!), 0))</f>
        <v/>
      </c>
      <c r="VHQ224" s="19" t="str">
        <f>IF(VHQ220 = "", "", IFERROR(VHQ220 / SUMIFS(Aux_Totales!$N:$N, Aux_Totales!$F:$F, $F224, Aux_Totales!$A:$A,#REF!), 0))</f>
        <v/>
      </c>
      <c r="VHR224" s="19" t="str">
        <f>IF(VHR220 = "", "", IFERROR(VHR220 / SUMIFS(Aux_Totales!$N:$N, Aux_Totales!$F:$F, $F224, Aux_Totales!$A:$A,#REF!), 0))</f>
        <v/>
      </c>
      <c r="VHS224" s="19" t="str">
        <f>IF(VHS220 = "", "", IFERROR(VHS220 / SUMIFS(Aux_Totales!$N:$N, Aux_Totales!$F:$F, $F224, Aux_Totales!$A:$A,#REF!), 0))</f>
        <v/>
      </c>
      <c r="VHT224" s="19" t="str">
        <f>IF(VHT220 = "", "", IFERROR(VHT220 / SUMIFS(Aux_Totales!$N:$N, Aux_Totales!$F:$F, $F224, Aux_Totales!$A:$A,#REF!), 0))</f>
        <v/>
      </c>
      <c r="VHU224" s="19" t="str">
        <f>IF(VHU220 = "", "", IFERROR(VHU220 / SUMIFS(Aux_Totales!$N:$N, Aux_Totales!$F:$F, $F224, Aux_Totales!$A:$A,#REF!), 0))</f>
        <v/>
      </c>
      <c r="VHV224" s="19" t="str">
        <f>IF(VHV220 = "", "", IFERROR(VHV220 / SUMIFS(Aux_Totales!$N:$N, Aux_Totales!$F:$F, $F224, Aux_Totales!$A:$A,#REF!), 0))</f>
        <v/>
      </c>
      <c r="VHW224" s="19" t="str">
        <f>IF(VHW220 = "", "", IFERROR(VHW220 / SUMIFS(Aux_Totales!$N:$N, Aux_Totales!$F:$F, $F224, Aux_Totales!$A:$A,#REF!), 0))</f>
        <v/>
      </c>
      <c r="VHX224" s="19" t="str">
        <f>IF(VHX220 = "", "", IFERROR(VHX220 / SUMIFS(Aux_Totales!$N:$N, Aux_Totales!$F:$F, $F224, Aux_Totales!$A:$A,#REF!), 0))</f>
        <v/>
      </c>
      <c r="VHY224" s="19" t="str">
        <f>IF(VHY220 = "", "", IFERROR(VHY220 / SUMIFS(Aux_Totales!$N:$N, Aux_Totales!$F:$F, $F224, Aux_Totales!$A:$A,#REF!), 0))</f>
        <v/>
      </c>
      <c r="VHZ224" s="19" t="str">
        <f>IF(VHZ220 = "", "", IFERROR(VHZ220 / SUMIFS(Aux_Totales!$N:$N, Aux_Totales!$F:$F, $F224, Aux_Totales!$A:$A,#REF!), 0))</f>
        <v/>
      </c>
      <c r="VIA224" s="19" t="str">
        <f>IF(VIA220 = "", "", IFERROR(VIA220 / SUMIFS(Aux_Totales!$N:$N, Aux_Totales!$F:$F, $F224, Aux_Totales!$A:$A,#REF!), 0))</f>
        <v/>
      </c>
      <c r="VIB224" s="19" t="str">
        <f>IF(VIB220 = "", "", IFERROR(VIB220 / SUMIFS(Aux_Totales!$N:$N, Aux_Totales!$F:$F, $F224, Aux_Totales!$A:$A,#REF!), 0))</f>
        <v/>
      </c>
      <c r="VIC224" s="19" t="str">
        <f>IF(VIC220 = "", "", IFERROR(VIC220 / SUMIFS(Aux_Totales!$N:$N, Aux_Totales!$F:$F, $F224, Aux_Totales!$A:$A,#REF!), 0))</f>
        <v/>
      </c>
      <c r="VID224" s="19" t="str">
        <f>IF(VID220 = "", "", IFERROR(VID220 / SUMIFS(Aux_Totales!$N:$N, Aux_Totales!$F:$F, $F224, Aux_Totales!$A:$A,#REF!), 0))</f>
        <v/>
      </c>
      <c r="VIE224" s="19" t="str">
        <f>IF(VIE220 = "", "", IFERROR(VIE220 / SUMIFS(Aux_Totales!$N:$N, Aux_Totales!$F:$F, $F224, Aux_Totales!$A:$A,#REF!), 0))</f>
        <v/>
      </c>
      <c r="VIF224" s="19" t="str">
        <f>IF(VIF220 = "", "", IFERROR(VIF220 / SUMIFS(Aux_Totales!$N:$N, Aux_Totales!$F:$F, $F224, Aux_Totales!$A:$A,#REF!), 0))</f>
        <v/>
      </c>
      <c r="VIG224" s="19" t="str">
        <f>IF(VIG220 = "", "", IFERROR(VIG220 / SUMIFS(Aux_Totales!$N:$N, Aux_Totales!$F:$F, $F224, Aux_Totales!$A:$A,#REF!), 0))</f>
        <v/>
      </c>
      <c r="VIH224" s="19" t="str">
        <f>IF(VIH220 = "", "", IFERROR(VIH220 / SUMIFS(Aux_Totales!$N:$N, Aux_Totales!$F:$F, $F224, Aux_Totales!$A:$A,#REF!), 0))</f>
        <v/>
      </c>
      <c r="VII224" s="19" t="str">
        <f>IF(VII220 = "", "", IFERROR(VII220 / SUMIFS(Aux_Totales!$N:$N, Aux_Totales!$F:$F, $F224, Aux_Totales!$A:$A,#REF!), 0))</f>
        <v/>
      </c>
      <c r="VIJ224" s="19" t="str">
        <f>IF(VIJ220 = "", "", IFERROR(VIJ220 / SUMIFS(Aux_Totales!$N:$N, Aux_Totales!$F:$F, $F224, Aux_Totales!$A:$A,#REF!), 0))</f>
        <v/>
      </c>
      <c r="VIK224" s="19" t="str">
        <f>IF(VIK220 = "", "", IFERROR(VIK220 / SUMIFS(Aux_Totales!$N:$N, Aux_Totales!$F:$F, $F224, Aux_Totales!$A:$A,#REF!), 0))</f>
        <v/>
      </c>
      <c r="VIL224" s="19" t="str">
        <f>IF(VIL220 = "", "", IFERROR(VIL220 / SUMIFS(Aux_Totales!$N:$N, Aux_Totales!$F:$F, $F224, Aux_Totales!$A:$A,#REF!), 0))</f>
        <v/>
      </c>
      <c r="VIM224" s="19" t="str">
        <f>IF(VIM220 = "", "", IFERROR(VIM220 / SUMIFS(Aux_Totales!$N:$N, Aux_Totales!$F:$F, $F224, Aux_Totales!$A:$A,#REF!), 0))</f>
        <v/>
      </c>
      <c r="VIN224" s="19" t="str">
        <f>IF(VIN220 = "", "", IFERROR(VIN220 / SUMIFS(Aux_Totales!$N:$N, Aux_Totales!$F:$F, $F224, Aux_Totales!$A:$A,#REF!), 0))</f>
        <v/>
      </c>
      <c r="VIO224" s="19" t="str">
        <f>IF(VIO220 = "", "", IFERROR(VIO220 / SUMIFS(Aux_Totales!$N:$N, Aux_Totales!$F:$F, $F224, Aux_Totales!$A:$A,#REF!), 0))</f>
        <v/>
      </c>
      <c r="VIP224" s="19" t="str">
        <f>IF(VIP220 = "", "", IFERROR(VIP220 / SUMIFS(Aux_Totales!$N:$N, Aux_Totales!$F:$F, $F224, Aux_Totales!$A:$A,#REF!), 0))</f>
        <v/>
      </c>
      <c r="VIQ224" s="19" t="str">
        <f>IF(VIQ220 = "", "", IFERROR(VIQ220 / SUMIFS(Aux_Totales!$N:$N, Aux_Totales!$F:$F, $F224, Aux_Totales!$A:$A,#REF!), 0))</f>
        <v/>
      </c>
      <c r="VIR224" s="19" t="str">
        <f>IF(VIR220 = "", "", IFERROR(VIR220 / SUMIFS(Aux_Totales!$N:$N, Aux_Totales!$F:$F, $F224, Aux_Totales!$A:$A,#REF!), 0))</f>
        <v/>
      </c>
      <c r="VIS224" s="19" t="str">
        <f>IF(VIS220 = "", "", IFERROR(VIS220 / SUMIFS(Aux_Totales!$N:$N, Aux_Totales!$F:$F, $F224, Aux_Totales!$A:$A,#REF!), 0))</f>
        <v/>
      </c>
      <c r="VIT224" s="19" t="str">
        <f>IF(VIT220 = "", "", IFERROR(VIT220 / SUMIFS(Aux_Totales!$N:$N, Aux_Totales!$F:$F, $F224, Aux_Totales!$A:$A,#REF!), 0))</f>
        <v/>
      </c>
      <c r="VIU224" s="19" t="str">
        <f>IF(VIU220 = "", "", IFERROR(VIU220 / SUMIFS(Aux_Totales!$N:$N, Aux_Totales!$F:$F, $F224, Aux_Totales!$A:$A,#REF!), 0))</f>
        <v/>
      </c>
      <c r="VIV224" s="19" t="str">
        <f>IF(VIV220 = "", "", IFERROR(VIV220 / SUMIFS(Aux_Totales!$N:$N, Aux_Totales!$F:$F, $F224, Aux_Totales!$A:$A,#REF!), 0))</f>
        <v/>
      </c>
      <c r="VIW224" s="19" t="str">
        <f>IF(VIW220 = "", "", IFERROR(VIW220 / SUMIFS(Aux_Totales!$N:$N, Aux_Totales!$F:$F, $F224, Aux_Totales!$A:$A,#REF!), 0))</f>
        <v/>
      </c>
      <c r="VIX224" s="19" t="str">
        <f>IF(VIX220 = "", "", IFERROR(VIX220 / SUMIFS(Aux_Totales!$N:$N, Aux_Totales!$F:$F, $F224, Aux_Totales!$A:$A,#REF!), 0))</f>
        <v/>
      </c>
      <c r="VIY224" s="19" t="str">
        <f>IF(VIY220 = "", "", IFERROR(VIY220 / SUMIFS(Aux_Totales!$N:$N, Aux_Totales!$F:$F, $F224, Aux_Totales!$A:$A,#REF!), 0))</f>
        <v/>
      </c>
      <c r="VIZ224" s="19" t="str">
        <f>IF(VIZ220 = "", "", IFERROR(VIZ220 / SUMIFS(Aux_Totales!$N:$N, Aux_Totales!$F:$F, $F224, Aux_Totales!$A:$A,#REF!), 0))</f>
        <v/>
      </c>
      <c r="VJA224" s="19" t="str">
        <f>IF(VJA220 = "", "", IFERROR(VJA220 / SUMIFS(Aux_Totales!$N:$N, Aux_Totales!$F:$F, $F224, Aux_Totales!$A:$A,#REF!), 0))</f>
        <v/>
      </c>
      <c r="VJB224" s="19" t="str">
        <f>IF(VJB220 = "", "", IFERROR(VJB220 / SUMIFS(Aux_Totales!$N:$N, Aux_Totales!$F:$F, $F224, Aux_Totales!$A:$A,#REF!), 0))</f>
        <v/>
      </c>
      <c r="VJC224" s="19" t="str">
        <f>IF(VJC220 = "", "", IFERROR(VJC220 / SUMIFS(Aux_Totales!$N:$N, Aux_Totales!$F:$F, $F224, Aux_Totales!$A:$A,#REF!), 0))</f>
        <v/>
      </c>
      <c r="VJD224" s="19" t="str">
        <f>IF(VJD220 = "", "", IFERROR(VJD220 / SUMIFS(Aux_Totales!$N:$N, Aux_Totales!$F:$F, $F224, Aux_Totales!$A:$A,#REF!), 0))</f>
        <v/>
      </c>
      <c r="VJE224" s="19" t="str">
        <f>IF(VJE220 = "", "", IFERROR(VJE220 / SUMIFS(Aux_Totales!$N:$N, Aux_Totales!$F:$F, $F224, Aux_Totales!$A:$A,#REF!), 0))</f>
        <v/>
      </c>
      <c r="VJF224" s="19" t="str">
        <f>IF(VJF220 = "", "", IFERROR(VJF220 / SUMIFS(Aux_Totales!$N:$N, Aux_Totales!$F:$F, $F224, Aux_Totales!$A:$A,#REF!), 0))</f>
        <v/>
      </c>
      <c r="VJG224" s="19" t="str">
        <f>IF(VJG220 = "", "", IFERROR(VJG220 / SUMIFS(Aux_Totales!$N:$N, Aux_Totales!$F:$F, $F224, Aux_Totales!$A:$A,#REF!), 0))</f>
        <v/>
      </c>
      <c r="VJH224" s="19" t="str">
        <f>IF(VJH220 = "", "", IFERROR(VJH220 / SUMIFS(Aux_Totales!$N:$N, Aux_Totales!$F:$F, $F224, Aux_Totales!$A:$A,#REF!), 0))</f>
        <v/>
      </c>
      <c r="VJI224" s="19" t="str">
        <f>IF(VJI220 = "", "", IFERROR(VJI220 / SUMIFS(Aux_Totales!$N:$N, Aux_Totales!$F:$F, $F224, Aux_Totales!$A:$A,#REF!), 0))</f>
        <v/>
      </c>
      <c r="VJJ224" s="19" t="str">
        <f>IF(VJJ220 = "", "", IFERROR(VJJ220 / SUMIFS(Aux_Totales!$N:$N, Aux_Totales!$F:$F, $F224, Aux_Totales!$A:$A,#REF!), 0))</f>
        <v/>
      </c>
      <c r="VJK224" s="19" t="str">
        <f>IF(VJK220 = "", "", IFERROR(VJK220 / SUMIFS(Aux_Totales!$N:$N, Aux_Totales!$F:$F, $F224, Aux_Totales!$A:$A,#REF!), 0))</f>
        <v/>
      </c>
      <c r="VJL224" s="19" t="str">
        <f>IF(VJL220 = "", "", IFERROR(VJL220 / SUMIFS(Aux_Totales!$N:$N, Aux_Totales!$F:$F, $F224, Aux_Totales!$A:$A,#REF!), 0))</f>
        <v/>
      </c>
      <c r="VJM224" s="19" t="str">
        <f>IF(VJM220 = "", "", IFERROR(VJM220 / SUMIFS(Aux_Totales!$N:$N, Aux_Totales!$F:$F, $F224, Aux_Totales!$A:$A,#REF!), 0))</f>
        <v/>
      </c>
      <c r="VJN224" s="19" t="str">
        <f>IF(VJN220 = "", "", IFERROR(VJN220 / SUMIFS(Aux_Totales!$N:$N, Aux_Totales!$F:$F, $F224, Aux_Totales!$A:$A,#REF!), 0))</f>
        <v/>
      </c>
      <c r="VJO224" s="19" t="str">
        <f>IF(VJO220 = "", "", IFERROR(VJO220 / SUMIFS(Aux_Totales!$N:$N, Aux_Totales!$F:$F, $F224, Aux_Totales!$A:$A,#REF!), 0))</f>
        <v/>
      </c>
      <c r="VJP224" s="19" t="str">
        <f>IF(VJP220 = "", "", IFERROR(VJP220 / SUMIFS(Aux_Totales!$N:$N, Aux_Totales!$F:$F, $F224, Aux_Totales!$A:$A,#REF!), 0))</f>
        <v/>
      </c>
      <c r="VJQ224" s="19" t="str">
        <f>IF(VJQ220 = "", "", IFERROR(VJQ220 / SUMIFS(Aux_Totales!$N:$N, Aux_Totales!$F:$F, $F224, Aux_Totales!$A:$A,#REF!), 0))</f>
        <v/>
      </c>
      <c r="VJR224" s="19" t="str">
        <f>IF(VJR220 = "", "", IFERROR(VJR220 / SUMIFS(Aux_Totales!$N:$N, Aux_Totales!$F:$F, $F224, Aux_Totales!$A:$A,#REF!), 0))</f>
        <v/>
      </c>
      <c r="VJS224" s="19" t="str">
        <f>IF(VJS220 = "", "", IFERROR(VJS220 / SUMIFS(Aux_Totales!$N:$N, Aux_Totales!$F:$F, $F224, Aux_Totales!$A:$A,#REF!), 0))</f>
        <v/>
      </c>
      <c r="VJT224" s="19" t="str">
        <f>IF(VJT220 = "", "", IFERROR(VJT220 / SUMIFS(Aux_Totales!$N:$N, Aux_Totales!$F:$F, $F224, Aux_Totales!$A:$A,#REF!), 0))</f>
        <v/>
      </c>
      <c r="VJU224" s="19" t="str">
        <f>IF(VJU220 = "", "", IFERROR(VJU220 / SUMIFS(Aux_Totales!$N:$N, Aux_Totales!$F:$F, $F224, Aux_Totales!$A:$A,#REF!), 0))</f>
        <v/>
      </c>
      <c r="VJV224" s="19" t="str">
        <f>IF(VJV220 = "", "", IFERROR(VJV220 / SUMIFS(Aux_Totales!$N:$N, Aux_Totales!$F:$F, $F224, Aux_Totales!$A:$A,#REF!), 0))</f>
        <v/>
      </c>
      <c r="VJW224" s="19" t="str">
        <f>IF(VJW220 = "", "", IFERROR(VJW220 / SUMIFS(Aux_Totales!$N:$N, Aux_Totales!$F:$F, $F224, Aux_Totales!$A:$A,#REF!), 0))</f>
        <v/>
      </c>
      <c r="VJX224" s="19" t="str">
        <f>IF(VJX220 = "", "", IFERROR(VJX220 / SUMIFS(Aux_Totales!$N:$N, Aux_Totales!$F:$F, $F224, Aux_Totales!$A:$A,#REF!), 0))</f>
        <v/>
      </c>
      <c r="VJY224" s="19" t="str">
        <f>IF(VJY220 = "", "", IFERROR(VJY220 / SUMIFS(Aux_Totales!$N:$N, Aux_Totales!$F:$F, $F224, Aux_Totales!$A:$A,#REF!), 0))</f>
        <v/>
      </c>
      <c r="VJZ224" s="19" t="str">
        <f>IF(VJZ220 = "", "", IFERROR(VJZ220 / SUMIFS(Aux_Totales!$N:$N, Aux_Totales!$F:$F, $F224, Aux_Totales!$A:$A,#REF!), 0))</f>
        <v/>
      </c>
      <c r="VKA224" s="19" t="str">
        <f>IF(VKA220 = "", "", IFERROR(VKA220 / SUMIFS(Aux_Totales!$N:$N, Aux_Totales!$F:$F, $F224, Aux_Totales!$A:$A,#REF!), 0))</f>
        <v/>
      </c>
      <c r="VKB224" s="19" t="str">
        <f>IF(VKB220 = "", "", IFERROR(VKB220 / SUMIFS(Aux_Totales!$N:$N, Aux_Totales!$F:$F, $F224, Aux_Totales!$A:$A,#REF!), 0))</f>
        <v/>
      </c>
      <c r="VKC224" s="19" t="str">
        <f>IF(VKC220 = "", "", IFERROR(VKC220 / SUMIFS(Aux_Totales!$N:$N, Aux_Totales!$F:$F, $F224, Aux_Totales!$A:$A,#REF!), 0))</f>
        <v/>
      </c>
      <c r="VKD224" s="19" t="str">
        <f>IF(VKD220 = "", "", IFERROR(VKD220 / SUMIFS(Aux_Totales!$N:$N, Aux_Totales!$F:$F, $F224, Aux_Totales!$A:$A,#REF!), 0))</f>
        <v/>
      </c>
      <c r="VKE224" s="19" t="str">
        <f>IF(VKE220 = "", "", IFERROR(VKE220 / SUMIFS(Aux_Totales!$N:$N, Aux_Totales!$F:$F, $F224, Aux_Totales!$A:$A,#REF!), 0))</f>
        <v/>
      </c>
      <c r="VKF224" s="19" t="str">
        <f>IF(VKF220 = "", "", IFERROR(VKF220 / SUMIFS(Aux_Totales!$N:$N, Aux_Totales!$F:$F, $F224, Aux_Totales!$A:$A,#REF!), 0))</f>
        <v/>
      </c>
      <c r="VKG224" s="19" t="str">
        <f>IF(VKG220 = "", "", IFERROR(VKG220 / SUMIFS(Aux_Totales!$N:$N, Aux_Totales!$F:$F, $F224, Aux_Totales!$A:$A,#REF!), 0))</f>
        <v/>
      </c>
      <c r="VKH224" s="19" t="str">
        <f>IF(VKH220 = "", "", IFERROR(VKH220 / SUMIFS(Aux_Totales!$N:$N, Aux_Totales!$F:$F, $F224, Aux_Totales!$A:$A,#REF!), 0))</f>
        <v/>
      </c>
      <c r="VKI224" s="19" t="str">
        <f>IF(VKI220 = "", "", IFERROR(VKI220 / SUMIFS(Aux_Totales!$N:$N, Aux_Totales!$F:$F, $F224, Aux_Totales!$A:$A,#REF!), 0))</f>
        <v/>
      </c>
      <c r="VKJ224" s="19" t="str">
        <f>IF(VKJ220 = "", "", IFERROR(VKJ220 / SUMIFS(Aux_Totales!$N:$N, Aux_Totales!$F:$F, $F224, Aux_Totales!$A:$A,#REF!), 0))</f>
        <v/>
      </c>
      <c r="VKK224" s="19" t="str">
        <f>IF(VKK220 = "", "", IFERROR(VKK220 / SUMIFS(Aux_Totales!$N:$N, Aux_Totales!$F:$F, $F224, Aux_Totales!$A:$A,#REF!), 0))</f>
        <v/>
      </c>
      <c r="VKL224" s="19" t="str">
        <f>IF(VKL220 = "", "", IFERROR(VKL220 / SUMIFS(Aux_Totales!$N:$N, Aux_Totales!$F:$F, $F224, Aux_Totales!$A:$A,#REF!), 0))</f>
        <v/>
      </c>
      <c r="VKM224" s="19" t="str">
        <f>IF(VKM220 = "", "", IFERROR(VKM220 / SUMIFS(Aux_Totales!$N:$N, Aux_Totales!$F:$F, $F224, Aux_Totales!$A:$A,#REF!), 0))</f>
        <v/>
      </c>
      <c r="VKN224" s="19" t="str">
        <f>IF(VKN220 = "", "", IFERROR(VKN220 / SUMIFS(Aux_Totales!$N:$N, Aux_Totales!$F:$F, $F224, Aux_Totales!$A:$A,#REF!), 0))</f>
        <v/>
      </c>
      <c r="VKO224" s="19" t="str">
        <f>IF(VKO220 = "", "", IFERROR(VKO220 / SUMIFS(Aux_Totales!$N:$N, Aux_Totales!$F:$F, $F224, Aux_Totales!$A:$A,#REF!), 0))</f>
        <v/>
      </c>
      <c r="VKP224" s="19" t="str">
        <f>IF(VKP220 = "", "", IFERROR(VKP220 / SUMIFS(Aux_Totales!$N:$N, Aux_Totales!$F:$F, $F224, Aux_Totales!$A:$A,#REF!), 0))</f>
        <v/>
      </c>
      <c r="VKQ224" s="19" t="str">
        <f>IF(VKQ220 = "", "", IFERROR(VKQ220 / SUMIFS(Aux_Totales!$N:$N, Aux_Totales!$F:$F, $F224, Aux_Totales!$A:$A,#REF!), 0))</f>
        <v/>
      </c>
      <c r="VKR224" s="19" t="str">
        <f>IF(VKR220 = "", "", IFERROR(VKR220 / SUMIFS(Aux_Totales!$N:$N, Aux_Totales!$F:$F, $F224, Aux_Totales!$A:$A,#REF!), 0))</f>
        <v/>
      </c>
      <c r="VKS224" s="19" t="str">
        <f>IF(VKS220 = "", "", IFERROR(VKS220 / SUMIFS(Aux_Totales!$N:$N, Aux_Totales!$F:$F, $F224, Aux_Totales!$A:$A,#REF!), 0))</f>
        <v/>
      </c>
      <c r="VKT224" s="19" t="str">
        <f>IF(VKT220 = "", "", IFERROR(VKT220 / SUMIFS(Aux_Totales!$N:$N, Aux_Totales!$F:$F, $F224, Aux_Totales!$A:$A,#REF!), 0))</f>
        <v/>
      </c>
      <c r="VKU224" s="19" t="str">
        <f>IF(VKU220 = "", "", IFERROR(VKU220 / SUMIFS(Aux_Totales!$N:$N, Aux_Totales!$F:$F, $F224, Aux_Totales!$A:$A,#REF!), 0))</f>
        <v/>
      </c>
      <c r="VKV224" s="19" t="str">
        <f>IF(VKV220 = "", "", IFERROR(VKV220 / SUMIFS(Aux_Totales!$N:$N, Aux_Totales!$F:$F, $F224, Aux_Totales!$A:$A,#REF!), 0))</f>
        <v/>
      </c>
      <c r="VKW224" s="19" t="str">
        <f>IF(VKW220 = "", "", IFERROR(VKW220 / SUMIFS(Aux_Totales!$N:$N, Aux_Totales!$F:$F, $F224, Aux_Totales!$A:$A,#REF!), 0))</f>
        <v/>
      </c>
      <c r="VKX224" s="19" t="str">
        <f>IF(VKX220 = "", "", IFERROR(VKX220 / SUMIFS(Aux_Totales!$N:$N, Aux_Totales!$F:$F, $F224, Aux_Totales!$A:$A,#REF!), 0))</f>
        <v/>
      </c>
      <c r="VKY224" s="19" t="str">
        <f>IF(VKY220 = "", "", IFERROR(VKY220 / SUMIFS(Aux_Totales!$N:$N, Aux_Totales!$F:$F, $F224, Aux_Totales!$A:$A,#REF!), 0))</f>
        <v/>
      </c>
      <c r="VKZ224" s="19" t="str">
        <f>IF(VKZ220 = "", "", IFERROR(VKZ220 / SUMIFS(Aux_Totales!$N:$N, Aux_Totales!$F:$F, $F224, Aux_Totales!$A:$A,#REF!), 0))</f>
        <v/>
      </c>
      <c r="VLA224" s="19" t="str">
        <f>IF(VLA220 = "", "", IFERROR(VLA220 / SUMIFS(Aux_Totales!$N:$N, Aux_Totales!$F:$F, $F224, Aux_Totales!$A:$A,#REF!), 0))</f>
        <v/>
      </c>
      <c r="VLB224" s="19" t="str">
        <f>IF(VLB220 = "", "", IFERROR(VLB220 / SUMIFS(Aux_Totales!$N:$N, Aux_Totales!$F:$F, $F224, Aux_Totales!$A:$A,#REF!), 0))</f>
        <v/>
      </c>
      <c r="VLC224" s="19" t="str">
        <f>IF(VLC220 = "", "", IFERROR(VLC220 / SUMIFS(Aux_Totales!$N:$N, Aux_Totales!$F:$F, $F224, Aux_Totales!$A:$A,#REF!), 0))</f>
        <v/>
      </c>
      <c r="VLD224" s="19" t="str">
        <f>IF(VLD220 = "", "", IFERROR(VLD220 / SUMIFS(Aux_Totales!$N:$N, Aux_Totales!$F:$F, $F224, Aux_Totales!$A:$A,#REF!), 0))</f>
        <v/>
      </c>
      <c r="VLE224" s="19" t="str">
        <f>IF(VLE220 = "", "", IFERROR(VLE220 / SUMIFS(Aux_Totales!$N:$N, Aux_Totales!$F:$F, $F224, Aux_Totales!$A:$A,#REF!), 0))</f>
        <v/>
      </c>
      <c r="VLF224" s="19" t="str">
        <f>IF(VLF220 = "", "", IFERROR(VLF220 / SUMIFS(Aux_Totales!$N:$N, Aux_Totales!$F:$F, $F224, Aux_Totales!$A:$A,#REF!), 0))</f>
        <v/>
      </c>
      <c r="VLG224" s="19" t="str">
        <f>IF(VLG220 = "", "", IFERROR(VLG220 / SUMIFS(Aux_Totales!$N:$N, Aux_Totales!$F:$F, $F224, Aux_Totales!$A:$A,#REF!), 0))</f>
        <v/>
      </c>
      <c r="VLH224" s="19" t="str">
        <f>IF(VLH220 = "", "", IFERROR(VLH220 / SUMIFS(Aux_Totales!$N:$N, Aux_Totales!$F:$F, $F224, Aux_Totales!$A:$A,#REF!), 0))</f>
        <v/>
      </c>
      <c r="VLI224" s="19" t="str">
        <f>IF(VLI220 = "", "", IFERROR(VLI220 / SUMIFS(Aux_Totales!$N:$N, Aux_Totales!$F:$F, $F224, Aux_Totales!$A:$A,#REF!), 0))</f>
        <v/>
      </c>
      <c r="VLJ224" s="19" t="str">
        <f>IF(VLJ220 = "", "", IFERROR(VLJ220 / SUMIFS(Aux_Totales!$N:$N, Aux_Totales!$F:$F, $F224, Aux_Totales!$A:$A,#REF!), 0))</f>
        <v/>
      </c>
      <c r="VLK224" s="19" t="str">
        <f>IF(VLK220 = "", "", IFERROR(VLK220 / SUMIFS(Aux_Totales!$N:$N, Aux_Totales!$F:$F, $F224, Aux_Totales!$A:$A,#REF!), 0))</f>
        <v/>
      </c>
      <c r="VLL224" s="19" t="str">
        <f>IF(VLL220 = "", "", IFERROR(VLL220 / SUMIFS(Aux_Totales!$N:$N, Aux_Totales!$F:$F, $F224, Aux_Totales!$A:$A,#REF!), 0))</f>
        <v/>
      </c>
      <c r="VLM224" s="19" t="str">
        <f>IF(VLM220 = "", "", IFERROR(VLM220 / SUMIFS(Aux_Totales!$N:$N, Aux_Totales!$F:$F, $F224, Aux_Totales!$A:$A,#REF!), 0))</f>
        <v/>
      </c>
      <c r="VLN224" s="19" t="str">
        <f>IF(VLN220 = "", "", IFERROR(VLN220 / SUMIFS(Aux_Totales!$N:$N, Aux_Totales!$F:$F, $F224, Aux_Totales!$A:$A,#REF!), 0))</f>
        <v/>
      </c>
      <c r="VLO224" s="19" t="str">
        <f>IF(VLO220 = "", "", IFERROR(VLO220 / SUMIFS(Aux_Totales!$N:$N, Aux_Totales!$F:$F, $F224, Aux_Totales!$A:$A,#REF!), 0))</f>
        <v/>
      </c>
      <c r="VLP224" s="19" t="str">
        <f>IF(VLP220 = "", "", IFERROR(VLP220 / SUMIFS(Aux_Totales!$N:$N, Aux_Totales!$F:$F, $F224, Aux_Totales!$A:$A,#REF!), 0))</f>
        <v/>
      </c>
      <c r="VLQ224" s="19" t="str">
        <f>IF(VLQ220 = "", "", IFERROR(VLQ220 / SUMIFS(Aux_Totales!$N:$N, Aux_Totales!$F:$F, $F224, Aux_Totales!$A:$A,#REF!), 0))</f>
        <v/>
      </c>
      <c r="VLR224" s="19" t="str">
        <f>IF(VLR220 = "", "", IFERROR(VLR220 / SUMIFS(Aux_Totales!$N:$N, Aux_Totales!$F:$F, $F224, Aux_Totales!$A:$A,#REF!), 0))</f>
        <v/>
      </c>
      <c r="VLS224" s="19" t="str">
        <f>IF(VLS220 = "", "", IFERROR(VLS220 / SUMIFS(Aux_Totales!$N:$N, Aux_Totales!$F:$F, $F224, Aux_Totales!$A:$A,#REF!), 0))</f>
        <v/>
      </c>
      <c r="VLT224" s="19" t="str">
        <f>IF(VLT220 = "", "", IFERROR(VLT220 / SUMIFS(Aux_Totales!$N:$N, Aux_Totales!$F:$F, $F224, Aux_Totales!$A:$A,#REF!), 0))</f>
        <v/>
      </c>
      <c r="VLU224" s="19" t="str">
        <f>IF(VLU220 = "", "", IFERROR(VLU220 / SUMIFS(Aux_Totales!$N:$N, Aux_Totales!$F:$F, $F224, Aux_Totales!$A:$A,#REF!), 0))</f>
        <v/>
      </c>
      <c r="VLV224" s="19" t="str">
        <f>IF(VLV220 = "", "", IFERROR(VLV220 / SUMIFS(Aux_Totales!$N:$N, Aux_Totales!$F:$F, $F224, Aux_Totales!$A:$A,#REF!), 0))</f>
        <v/>
      </c>
      <c r="VLW224" s="19" t="str">
        <f>IF(VLW220 = "", "", IFERROR(VLW220 / SUMIFS(Aux_Totales!$N:$N, Aux_Totales!$F:$F, $F224, Aux_Totales!$A:$A,#REF!), 0))</f>
        <v/>
      </c>
      <c r="VLX224" s="19" t="str">
        <f>IF(VLX220 = "", "", IFERROR(VLX220 / SUMIFS(Aux_Totales!$N:$N, Aux_Totales!$F:$F, $F224, Aux_Totales!$A:$A,#REF!), 0))</f>
        <v/>
      </c>
      <c r="VLY224" s="19" t="str">
        <f>IF(VLY220 = "", "", IFERROR(VLY220 / SUMIFS(Aux_Totales!$N:$N, Aux_Totales!$F:$F, $F224, Aux_Totales!$A:$A,#REF!), 0))</f>
        <v/>
      </c>
      <c r="VLZ224" s="19" t="str">
        <f>IF(VLZ220 = "", "", IFERROR(VLZ220 / SUMIFS(Aux_Totales!$N:$N, Aux_Totales!$F:$F, $F224, Aux_Totales!$A:$A,#REF!), 0))</f>
        <v/>
      </c>
      <c r="VMA224" s="19" t="str">
        <f>IF(VMA220 = "", "", IFERROR(VMA220 / SUMIFS(Aux_Totales!$N:$N, Aux_Totales!$F:$F, $F224, Aux_Totales!$A:$A,#REF!), 0))</f>
        <v/>
      </c>
      <c r="VMB224" s="19" t="str">
        <f>IF(VMB220 = "", "", IFERROR(VMB220 / SUMIFS(Aux_Totales!$N:$N, Aux_Totales!$F:$F, $F224, Aux_Totales!$A:$A,#REF!), 0))</f>
        <v/>
      </c>
      <c r="VMC224" s="19" t="str">
        <f>IF(VMC220 = "", "", IFERROR(VMC220 / SUMIFS(Aux_Totales!$N:$N, Aux_Totales!$F:$F, $F224, Aux_Totales!$A:$A,#REF!), 0))</f>
        <v/>
      </c>
      <c r="VMD224" s="19" t="str">
        <f>IF(VMD220 = "", "", IFERROR(VMD220 / SUMIFS(Aux_Totales!$N:$N, Aux_Totales!$F:$F, $F224, Aux_Totales!$A:$A,#REF!), 0))</f>
        <v/>
      </c>
      <c r="VME224" s="19" t="str">
        <f>IF(VME220 = "", "", IFERROR(VME220 / SUMIFS(Aux_Totales!$N:$N, Aux_Totales!$F:$F, $F224, Aux_Totales!$A:$A,#REF!), 0))</f>
        <v/>
      </c>
      <c r="VMF224" s="19" t="str">
        <f>IF(VMF220 = "", "", IFERROR(VMF220 / SUMIFS(Aux_Totales!$N:$N, Aux_Totales!$F:$F, $F224, Aux_Totales!$A:$A,#REF!), 0))</f>
        <v/>
      </c>
      <c r="VMG224" s="19" t="str">
        <f>IF(VMG220 = "", "", IFERROR(VMG220 / SUMIFS(Aux_Totales!$N:$N, Aux_Totales!$F:$F, $F224, Aux_Totales!$A:$A,#REF!), 0))</f>
        <v/>
      </c>
      <c r="VMH224" s="19" t="str">
        <f>IF(VMH220 = "", "", IFERROR(VMH220 / SUMIFS(Aux_Totales!$N:$N, Aux_Totales!$F:$F, $F224, Aux_Totales!$A:$A,#REF!), 0))</f>
        <v/>
      </c>
      <c r="VMI224" s="19" t="str">
        <f>IF(VMI220 = "", "", IFERROR(VMI220 / SUMIFS(Aux_Totales!$N:$N, Aux_Totales!$F:$F, $F224, Aux_Totales!$A:$A,#REF!), 0))</f>
        <v/>
      </c>
      <c r="VMJ224" s="19" t="str">
        <f>IF(VMJ220 = "", "", IFERROR(VMJ220 / SUMIFS(Aux_Totales!$N:$N, Aux_Totales!$F:$F, $F224, Aux_Totales!$A:$A,#REF!), 0))</f>
        <v/>
      </c>
      <c r="VMK224" s="19" t="str">
        <f>IF(VMK220 = "", "", IFERROR(VMK220 / SUMIFS(Aux_Totales!$N:$N, Aux_Totales!$F:$F, $F224, Aux_Totales!$A:$A,#REF!), 0))</f>
        <v/>
      </c>
      <c r="VML224" s="19" t="str">
        <f>IF(VML220 = "", "", IFERROR(VML220 / SUMIFS(Aux_Totales!$N:$N, Aux_Totales!$F:$F, $F224, Aux_Totales!$A:$A,#REF!), 0))</f>
        <v/>
      </c>
      <c r="VMM224" s="19" t="str">
        <f>IF(VMM220 = "", "", IFERROR(VMM220 / SUMIFS(Aux_Totales!$N:$N, Aux_Totales!$F:$F, $F224, Aux_Totales!$A:$A,#REF!), 0))</f>
        <v/>
      </c>
      <c r="VMN224" s="19" t="str">
        <f>IF(VMN220 = "", "", IFERROR(VMN220 / SUMIFS(Aux_Totales!$N:$N, Aux_Totales!$F:$F, $F224, Aux_Totales!$A:$A,#REF!), 0))</f>
        <v/>
      </c>
      <c r="VMO224" s="19" t="str">
        <f>IF(VMO220 = "", "", IFERROR(VMO220 / SUMIFS(Aux_Totales!$N:$N, Aux_Totales!$F:$F, $F224, Aux_Totales!$A:$A,#REF!), 0))</f>
        <v/>
      </c>
      <c r="VMP224" s="19" t="str">
        <f>IF(VMP220 = "", "", IFERROR(VMP220 / SUMIFS(Aux_Totales!$N:$N, Aux_Totales!$F:$F, $F224, Aux_Totales!$A:$A,#REF!), 0))</f>
        <v/>
      </c>
      <c r="VMQ224" s="19" t="str">
        <f>IF(VMQ220 = "", "", IFERROR(VMQ220 / SUMIFS(Aux_Totales!$N:$N, Aux_Totales!$F:$F, $F224, Aux_Totales!$A:$A,#REF!), 0))</f>
        <v/>
      </c>
      <c r="VMR224" s="19" t="str">
        <f>IF(VMR220 = "", "", IFERROR(VMR220 / SUMIFS(Aux_Totales!$N:$N, Aux_Totales!$F:$F, $F224, Aux_Totales!$A:$A,#REF!), 0))</f>
        <v/>
      </c>
      <c r="VMS224" s="19" t="str">
        <f>IF(VMS220 = "", "", IFERROR(VMS220 / SUMIFS(Aux_Totales!$N:$N, Aux_Totales!$F:$F, $F224, Aux_Totales!$A:$A,#REF!), 0))</f>
        <v/>
      </c>
      <c r="VMT224" s="19" t="str">
        <f>IF(VMT220 = "", "", IFERROR(VMT220 / SUMIFS(Aux_Totales!$N:$N, Aux_Totales!$F:$F, $F224, Aux_Totales!$A:$A,#REF!), 0))</f>
        <v/>
      </c>
      <c r="VMU224" s="19" t="str">
        <f>IF(VMU220 = "", "", IFERROR(VMU220 / SUMIFS(Aux_Totales!$N:$N, Aux_Totales!$F:$F, $F224, Aux_Totales!$A:$A,#REF!), 0))</f>
        <v/>
      </c>
      <c r="VMV224" s="19" t="str">
        <f>IF(VMV220 = "", "", IFERROR(VMV220 / SUMIFS(Aux_Totales!$N:$N, Aux_Totales!$F:$F, $F224, Aux_Totales!$A:$A,#REF!), 0))</f>
        <v/>
      </c>
      <c r="VMW224" s="19" t="str">
        <f>IF(VMW220 = "", "", IFERROR(VMW220 / SUMIFS(Aux_Totales!$N:$N, Aux_Totales!$F:$F, $F224, Aux_Totales!$A:$A,#REF!), 0))</f>
        <v/>
      </c>
      <c r="VMX224" s="19" t="str">
        <f>IF(VMX220 = "", "", IFERROR(VMX220 / SUMIFS(Aux_Totales!$N:$N, Aux_Totales!$F:$F, $F224, Aux_Totales!$A:$A,#REF!), 0))</f>
        <v/>
      </c>
      <c r="VMY224" s="19" t="str">
        <f>IF(VMY220 = "", "", IFERROR(VMY220 / SUMIFS(Aux_Totales!$N:$N, Aux_Totales!$F:$F, $F224, Aux_Totales!$A:$A,#REF!), 0))</f>
        <v/>
      </c>
      <c r="VMZ224" s="19" t="str">
        <f>IF(VMZ220 = "", "", IFERROR(VMZ220 / SUMIFS(Aux_Totales!$N:$N, Aux_Totales!$F:$F, $F224, Aux_Totales!$A:$A,#REF!), 0))</f>
        <v/>
      </c>
      <c r="VNA224" s="19" t="str">
        <f>IF(VNA220 = "", "", IFERROR(VNA220 / SUMIFS(Aux_Totales!$N:$N, Aux_Totales!$F:$F, $F224, Aux_Totales!$A:$A,#REF!), 0))</f>
        <v/>
      </c>
      <c r="VNB224" s="19" t="str">
        <f>IF(VNB220 = "", "", IFERROR(VNB220 / SUMIFS(Aux_Totales!$N:$N, Aux_Totales!$F:$F, $F224, Aux_Totales!$A:$A,#REF!), 0))</f>
        <v/>
      </c>
      <c r="VNC224" s="19" t="str">
        <f>IF(VNC220 = "", "", IFERROR(VNC220 / SUMIFS(Aux_Totales!$N:$N, Aux_Totales!$F:$F, $F224, Aux_Totales!$A:$A,#REF!), 0))</f>
        <v/>
      </c>
      <c r="VND224" s="19" t="str">
        <f>IF(VND220 = "", "", IFERROR(VND220 / SUMIFS(Aux_Totales!$N:$N, Aux_Totales!$F:$F, $F224, Aux_Totales!$A:$A,#REF!), 0))</f>
        <v/>
      </c>
      <c r="VNE224" s="19" t="str">
        <f>IF(VNE220 = "", "", IFERROR(VNE220 / SUMIFS(Aux_Totales!$N:$N, Aux_Totales!$F:$F, $F224, Aux_Totales!$A:$A,#REF!), 0))</f>
        <v/>
      </c>
      <c r="VNF224" s="19" t="str">
        <f>IF(VNF220 = "", "", IFERROR(VNF220 / SUMIFS(Aux_Totales!$N:$N, Aux_Totales!$F:$F, $F224, Aux_Totales!$A:$A,#REF!), 0))</f>
        <v/>
      </c>
      <c r="VNG224" s="19" t="str">
        <f>IF(VNG220 = "", "", IFERROR(VNG220 / SUMIFS(Aux_Totales!$N:$N, Aux_Totales!$F:$F, $F224, Aux_Totales!$A:$A,#REF!), 0))</f>
        <v/>
      </c>
      <c r="VNH224" s="19" t="str">
        <f>IF(VNH220 = "", "", IFERROR(VNH220 / SUMIFS(Aux_Totales!$N:$N, Aux_Totales!$F:$F, $F224, Aux_Totales!$A:$A,#REF!), 0))</f>
        <v/>
      </c>
      <c r="VNI224" s="19" t="str">
        <f>IF(VNI220 = "", "", IFERROR(VNI220 / SUMIFS(Aux_Totales!$N:$N, Aux_Totales!$F:$F, $F224, Aux_Totales!$A:$A,#REF!), 0))</f>
        <v/>
      </c>
      <c r="VNJ224" s="19" t="str">
        <f>IF(VNJ220 = "", "", IFERROR(VNJ220 / SUMIFS(Aux_Totales!$N:$N, Aux_Totales!$F:$F, $F224, Aux_Totales!$A:$A,#REF!), 0))</f>
        <v/>
      </c>
      <c r="VNK224" s="19" t="str">
        <f>IF(VNK220 = "", "", IFERROR(VNK220 / SUMIFS(Aux_Totales!$N:$N, Aux_Totales!$F:$F, $F224, Aux_Totales!$A:$A,#REF!), 0))</f>
        <v/>
      </c>
      <c r="VNL224" s="19" t="str">
        <f>IF(VNL220 = "", "", IFERROR(VNL220 / SUMIFS(Aux_Totales!$N:$N, Aux_Totales!$F:$F, $F224, Aux_Totales!$A:$A,#REF!), 0))</f>
        <v/>
      </c>
      <c r="VNM224" s="19" t="str">
        <f>IF(VNM220 = "", "", IFERROR(VNM220 / SUMIFS(Aux_Totales!$N:$N, Aux_Totales!$F:$F, $F224, Aux_Totales!$A:$A,#REF!), 0))</f>
        <v/>
      </c>
      <c r="VNN224" s="19" t="str">
        <f>IF(VNN220 = "", "", IFERROR(VNN220 / SUMIFS(Aux_Totales!$N:$N, Aux_Totales!$F:$F, $F224, Aux_Totales!$A:$A,#REF!), 0))</f>
        <v/>
      </c>
      <c r="VNO224" s="19" t="str">
        <f>IF(VNO220 = "", "", IFERROR(VNO220 / SUMIFS(Aux_Totales!$N:$N, Aux_Totales!$F:$F, $F224, Aux_Totales!$A:$A,#REF!), 0))</f>
        <v/>
      </c>
      <c r="VNP224" s="19" t="str">
        <f>IF(VNP220 = "", "", IFERROR(VNP220 / SUMIFS(Aux_Totales!$N:$N, Aux_Totales!$F:$F, $F224, Aux_Totales!$A:$A,#REF!), 0))</f>
        <v/>
      </c>
      <c r="VNQ224" s="19" t="str">
        <f>IF(VNQ220 = "", "", IFERROR(VNQ220 / SUMIFS(Aux_Totales!$N:$N, Aux_Totales!$F:$F, $F224, Aux_Totales!$A:$A,#REF!), 0))</f>
        <v/>
      </c>
      <c r="VNR224" s="19" t="str">
        <f>IF(VNR220 = "", "", IFERROR(VNR220 / SUMIFS(Aux_Totales!$N:$N, Aux_Totales!$F:$F, $F224, Aux_Totales!$A:$A,#REF!), 0))</f>
        <v/>
      </c>
      <c r="VNS224" s="19" t="str">
        <f>IF(VNS220 = "", "", IFERROR(VNS220 / SUMIFS(Aux_Totales!$N:$N, Aux_Totales!$F:$F, $F224, Aux_Totales!$A:$A,#REF!), 0))</f>
        <v/>
      </c>
      <c r="VNT224" s="19" t="str">
        <f>IF(VNT220 = "", "", IFERROR(VNT220 / SUMIFS(Aux_Totales!$N:$N, Aux_Totales!$F:$F, $F224, Aux_Totales!$A:$A,#REF!), 0))</f>
        <v/>
      </c>
      <c r="VNU224" s="19" t="str">
        <f>IF(VNU220 = "", "", IFERROR(VNU220 / SUMIFS(Aux_Totales!$N:$N, Aux_Totales!$F:$F, $F224, Aux_Totales!$A:$A,#REF!), 0))</f>
        <v/>
      </c>
      <c r="VNV224" s="19" t="str">
        <f>IF(VNV220 = "", "", IFERROR(VNV220 / SUMIFS(Aux_Totales!$N:$N, Aux_Totales!$F:$F, $F224, Aux_Totales!$A:$A,#REF!), 0))</f>
        <v/>
      </c>
      <c r="VNW224" s="19" t="str">
        <f>IF(VNW220 = "", "", IFERROR(VNW220 / SUMIFS(Aux_Totales!$N:$N, Aux_Totales!$F:$F, $F224, Aux_Totales!$A:$A,#REF!), 0))</f>
        <v/>
      </c>
      <c r="VNX224" s="19" t="str">
        <f>IF(VNX220 = "", "", IFERROR(VNX220 / SUMIFS(Aux_Totales!$N:$N, Aux_Totales!$F:$F, $F224, Aux_Totales!$A:$A,#REF!), 0))</f>
        <v/>
      </c>
      <c r="VNY224" s="19" t="str">
        <f>IF(VNY220 = "", "", IFERROR(VNY220 / SUMIFS(Aux_Totales!$N:$N, Aux_Totales!$F:$F, $F224, Aux_Totales!$A:$A,#REF!), 0))</f>
        <v/>
      </c>
      <c r="VNZ224" s="19" t="str">
        <f>IF(VNZ220 = "", "", IFERROR(VNZ220 / SUMIFS(Aux_Totales!$N:$N, Aux_Totales!$F:$F, $F224, Aux_Totales!$A:$A,#REF!), 0))</f>
        <v/>
      </c>
      <c r="VOA224" s="19" t="str">
        <f>IF(VOA220 = "", "", IFERROR(VOA220 / SUMIFS(Aux_Totales!$N:$N, Aux_Totales!$F:$F, $F224, Aux_Totales!$A:$A,#REF!), 0))</f>
        <v/>
      </c>
      <c r="VOB224" s="19" t="str">
        <f>IF(VOB220 = "", "", IFERROR(VOB220 / SUMIFS(Aux_Totales!$N:$N, Aux_Totales!$F:$F, $F224, Aux_Totales!$A:$A,#REF!), 0))</f>
        <v/>
      </c>
      <c r="VOC224" s="19" t="str">
        <f>IF(VOC220 = "", "", IFERROR(VOC220 / SUMIFS(Aux_Totales!$N:$N, Aux_Totales!$F:$F, $F224, Aux_Totales!$A:$A,#REF!), 0))</f>
        <v/>
      </c>
      <c r="VOD224" s="19" t="str">
        <f>IF(VOD220 = "", "", IFERROR(VOD220 / SUMIFS(Aux_Totales!$N:$N, Aux_Totales!$F:$F, $F224, Aux_Totales!$A:$A,#REF!), 0))</f>
        <v/>
      </c>
      <c r="VOE224" s="19" t="str">
        <f>IF(VOE220 = "", "", IFERROR(VOE220 / SUMIFS(Aux_Totales!$N:$N, Aux_Totales!$F:$F, $F224, Aux_Totales!$A:$A,#REF!), 0))</f>
        <v/>
      </c>
      <c r="VOF224" s="19" t="str">
        <f>IF(VOF220 = "", "", IFERROR(VOF220 / SUMIFS(Aux_Totales!$N:$N, Aux_Totales!$F:$F, $F224, Aux_Totales!$A:$A,#REF!), 0))</f>
        <v/>
      </c>
      <c r="VOG224" s="19" t="str">
        <f>IF(VOG220 = "", "", IFERROR(VOG220 / SUMIFS(Aux_Totales!$N:$N, Aux_Totales!$F:$F, $F224, Aux_Totales!$A:$A,#REF!), 0))</f>
        <v/>
      </c>
      <c r="VOH224" s="19" t="str">
        <f>IF(VOH220 = "", "", IFERROR(VOH220 / SUMIFS(Aux_Totales!$N:$N, Aux_Totales!$F:$F, $F224, Aux_Totales!$A:$A,#REF!), 0))</f>
        <v/>
      </c>
      <c r="VOI224" s="19" t="str">
        <f>IF(VOI220 = "", "", IFERROR(VOI220 / SUMIFS(Aux_Totales!$N:$N, Aux_Totales!$F:$F, $F224, Aux_Totales!$A:$A,#REF!), 0))</f>
        <v/>
      </c>
      <c r="VOJ224" s="19" t="str">
        <f>IF(VOJ220 = "", "", IFERROR(VOJ220 / SUMIFS(Aux_Totales!$N:$N, Aux_Totales!$F:$F, $F224, Aux_Totales!$A:$A,#REF!), 0))</f>
        <v/>
      </c>
      <c r="VOK224" s="19" t="str">
        <f>IF(VOK220 = "", "", IFERROR(VOK220 / SUMIFS(Aux_Totales!$N:$N, Aux_Totales!$F:$F, $F224, Aux_Totales!$A:$A,#REF!), 0))</f>
        <v/>
      </c>
      <c r="VOL224" s="19" t="str">
        <f>IF(VOL220 = "", "", IFERROR(VOL220 / SUMIFS(Aux_Totales!$N:$N, Aux_Totales!$F:$F, $F224, Aux_Totales!$A:$A,#REF!), 0))</f>
        <v/>
      </c>
      <c r="VOM224" s="19" t="str">
        <f>IF(VOM220 = "", "", IFERROR(VOM220 / SUMIFS(Aux_Totales!$N:$N, Aux_Totales!$F:$F, $F224, Aux_Totales!$A:$A,#REF!), 0))</f>
        <v/>
      </c>
      <c r="VON224" s="19" t="str">
        <f>IF(VON220 = "", "", IFERROR(VON220 / SUMIFS(Aux_Totales!$N:$N, Aux_Totales!$F:$F, $F224, Aux_Totales!$A:$A,#REF!), 0))</f>
        <v/>
      </c>
      <c r="VOO224" s="19" t="str">
        <f>IF(VOO220 = "", "", IFERROR(VOO220 / SUMIFS(Aux_Totales!$N:$N, Aux_Totales!$F:$F, $F224, Aux_Totales!$A:$A,#REF!), 0))</f>
        <v/>
      </c>
      <c r="VOP224" s="19" t="str">
        <f>IF(VOP220 = "", "", IFERROR(VOP220 / SUMIFS(Aux_Totales!$N:$N, Aux_Totales!$F:$F, $F224, Aux_Totales!$A:$A,#REF!), 0))</f>
        <v/>
      </c>
      <c r="VOQ224" s="19" t="str">
        <f>IF(VOQ220 = "", "", IFERROR(VOQ220 / SUMIFS(Aux_Totales!$N:$N, Aux_Totales!$F:$F, $F224, Aux_Totales!$A:$A,#REF!), 0))</f>
        <v/>
      </c>
      <c r="VOR224" s="19" t="str">
        <f>IF(VOR220 = "", "", IFERROR(VOR220 / SUMIFS(Aux_Totales!$N:$N, Aux_Totales!$F:$F, $F224, Aux_Totales!$A:$A,#REF!), 0))</f>
        <v/>
      </c>
      <c r="VOS224" s="19" t="str">
        <f>IF(VOS220 = "", "", IFERROR(VOS220 / SUMIFS(Aux_Totales!$N:$N, Aux_Totales!$F:$F, $F224, Aux_Totales!$A:$A,#REF!), 0))</f>
        <v/>
      </c>
      <c r="VOT224" s="19" t="str">
        <f>IF(VOT220 = "", "", IFERROR(VOT220 / SUMIFS(Aux_Totales!$N:$N, Aux_Totales!$F:$F, $F224, Aux_Totales!$A:$A,#REF!), 0))</f>
        <v/>
      </c>
      <c r="VOU224" s="19" t="str">
        <f>IF(VOU220 = "", "", IFERROR(VOU220 / SUMIFS(Aux_Totales!$N:$N, Aux_Totales!$F:$F, $F224, Aux_Totales!$A:$A,#REF!), 0))</f>
        <v/>
      </c>
      <c r="VOV224" s="19" t="str">
        <f>IF(VOV220 = "", "", IFERROR(VOV220 / SUMIFS(Aux_Totales!$N:$N, Aux_Totales!$F:$F, $F224, Aux_Totales!$A:$A,#REF!), 0))</f>
        <v/>
      </c>
      <c r="VOW224" s="19" t="str">
        <f>IF(VOW220 = "", "", IFERROR(VOW220 / SUMIFS(Aux_Totales!$N:$N, Aux_Totales!$F:$F, $F224, Aux_Totales!$A:$A,#REF!), 0))</f>
        <v/>
      </c>
      <c r="VOX224" s="19" t="str">
        <f>IF(VOX220 = "", "", IFERROR(VOX220 / SUMIFS(Aux_Totales!$N:$N, Aux_Totales!$F:$F, $F224, Aux_Totales!$A:$A,#REF!), 0))</f>
        <v/>
      </c>
      <c r="VOY224" s="19" t="str">
        <f>IF(VOY220 = "", "", IFERROR(VOY220 / SUMIFS(Aux_Totales!$N:$N, Aux_Totales!$F:$F, $F224, Aux_Totales!$A:$A,#REF!), 0))</f>
        <v/>
      </c>
      <c r="VOZ224" s="19" t="str">
        <f>IF(VOZ220 = "", "", IFERROR(VOZ220 / SUMIFS(Aux_Totales!$N:$N, Aux_Totales!$F:$F, $F224, Aux_Totales!$A:$A,#REF!), 0))</f>
        <v/>
      </c>
      <c r="VPA224" s="19" t="str">
        <f>IF(VPA220 = "", "", IFERROR(VPA220 / SUMIFS(Aux_Totales!$N:$N, Aux_Totales!$F:$F, $F224, Aux_Totales!$A:$A,#REF!), 0))</f>
        <v/>
      </c>
      <c r="VPB224" s="19" t="str">
        <f>IF(VPB220 = "", "", IFERROR(VPB220 / SUMIFS(Aux_Totales!$N:$N, Aux_Totales!$F:$F, $F224, Aux_Totales!$A:$A,#REF!), 0))</f>
        <v/>
      </c>
      <c r="VPC224" s="19" t="str">
        <f>IF(VPC220 = "", "", IFERROR(VPC220 / SUMIFS(Aux_Totales!$N:$N, Aux_Totales!$F:$F, $F224, Aux_Totales!$A:$A,#REF!), 0))</f>
        <v/>
      </c>
      <c r="VPD224" s="19" t="str">
        <f>IF(VPD220 = "", "", IFERROR(VPD220 / SUMIFS(Aux_Totales!$N:$N, Aux_Totales!$F:$F, $F224, Aux_Totales!$A:$A,#REF!), 0))</f>
        <v/>
      </c>
      <c r="VPE224" s="19" t="str">
        <f>IF(VPE220 = "", "", IFERROR(VPE220 / SUMIFS(Aux_Totales!$N:$N, Aux_Totales!$F:$F, $F224, Aux_Totales!$A:$A,#REF!), 0))</f>
        <v/>
      </c>
      <c r="VPF224" s="19" t="str">
        <f>IF(VPF220 = "", "", IFERROR(VPF220 / SUMIFS(Aux_Totales!$N:$N, Aux_Totales!$F:$F, $F224, Aux_Totales!$A:$A,#REF!), 0))</f>
        <v/>
      </c>
      <c r="VPG224" s="19" t="str">
        <f>IF(VPG220 = "", "", IFERROR(VPG220 / SUMIFS(Aux_Totales!$N:$N, Aux_Totales!$F:$F, $F224, Aux_Totales!$A:$A,#REF!), 0))</f>
        <v/>
      </c>
      <c r="VPH224" s="19" t="str">
        <f>IF(VPH220 = "", "", IFERROR(VPH220 / SUMIFS(Aux_Totales!$N:$N, Aux_Totales!$F:$F, $F224, Aux_Totales!$A:$A,#REF!), 0))</f>
        <v/>
      </c>
      <c r="VPI224" s="19" t="str">
        <f>IF(VPI220 = "", "", IFERROR(VPI220 / SUMIFS(Aux_Totales!$N:$N, Aux_Totales!$F:$F, $F224, Aux_Totales!$A:$A,#REF!), 0))</f>
        <v/>
      </c>
      <c r="VPJ224" s="19" t="str">
        <f>IF(VPJ220 = "", "", IFERROR(VPJ220 / SUMIFS(Aux_Totales!$N:$N, Aux_Totales!$F:$F, $F224, Aux_Totales!$A:$A,#REF!), 0))</f>
        <v/>
      </c>
      <c r="VPK224" s="19" t="str">
        <f>IF(VPK220 = "", "", IFERROR(VPK220 / SUMIFS(Aux_Totales!$N:$N, Aux_Totales!$F:$F, $F224, Aux_Totales!$A:$A,#REF!), 0))</f>
        <v/>
      </c>
      <c r="VPL224" s="19" t="str">
        <f>IF(VPL220 = "", "", IFERROR(VPL220 / SUMIFS(Aux_Totales!$N:$N, Aux_Totales!$F:$F, $F224, Aux_Totales!$A:$A,#REF!), 0))</f>
        <v/>
      </c>
      <c r="VPM224" s="19" t="str">
        <f>IF(VPM220 = "", "", IFERROR(VPM220 / SUMIFS(Aux_Totales!$N:$N, Aux_Totales!$F:$F, $F224, Aux_Totales!$A:$A,#REF!), 0))</f>
        <v/>
      </c>
      <c r="VPN224" s="19" t="str">
        <f>IF(VPN220 = "", "", IFERROR(VPN220 / SUMIFS(Aux_Totales!$N:$N, Aux_Totales!$F:$F, $F224, Aux_Totales!$A:$A,#REF!), 0))</f>
        <v/>
      </c>
      <c r="VPO224" s="19" t="str">
        <f>IF(VPO220 = "", "", IFERROR(VPO220 / SUMIFS(Aux_Totales!$N:$N, Aux_Totales!$F:$F, $F224, Aux_Totales!$A:$A,#REF!), 0))</f>
        <v/>
      </c>
      <c r="VPP224" s="19" t="str">
        <f>IF(VPP220 = "", "", IFERROR(VPP220 / SUMIFS(Aux_Totales!$N:$N, Aux_Totales!$F:$F, $F224, Aux_Totales!$A:$A,#REF!), 0))</f>
        <v/>
      </c>
      <c r="VPQ224" s="19" t="str">
        <f>IF(VPQ220 = "", "", IFERROR(VPQ220 / SUMIFS(Aux_Totales!$N:$N, Aux_Totales!$F:$F, $F224, Aux_Totales!$A:$A,#REF!), 0))</f>
        <v/>
      </c>
      <c r="VPR224" s="19" t="str">
        <f>IF(VPR220 = "", "", IFERROR(VPR220 / SUMIFS(Aux_Totales!$N:$N, Aux_Totales!$F:$F, $F224, Aux_Totales!$A:$A,#REF!), 0))</f>
        <v/>
      </c>
      <c r="VPS224" s="19" t="str">
        <f>IF(VPS220 = "", "", IFERROR(VPS220 / SUMIFS(Aux_Totales!$N:$N, Aux_Totales!$F:$F, $F224, Aux_Totales!$A:$A,#REF!), 0))</f>
        <v/>
      </c>
      <c r="VPT224" s="19" t="str">
        <f>IF(VPT220 = "", "", IFERROR(VPT220 / SUMIFS(Aux_Totales!$N:$N, Aux_Totales!$F:$F, $F224, Aux_Totales!$A:$A,#REF!), 0))</f>
        <v/>
      </c>
      <c r="VPU224" s="19" t="str">
        <f>IF(VPU220 = "", "", IFERROR(VPU220 / SUMIFS(Aux_Totales!$N:$N, Aux_Totales!$F:$F, $F224, Aux_Totales!$A:$A,#REF!), 0))</f>
        <v/>
      </c>
      <c r="VPV224" s="19" t="str">
        <f>IF(VPV220 = "", "", IFERROR(VPV220 / SUMIFS(Aux_Totales!$N:$N, Aux_Totales!$F:$F, $F224, Aux_Totales!$A:$A,#REF!), 0))</f>
        <v/>
      </c>
      <c r="VPW224" s="19" t="str">
        <f>IF(VPW220 = "", "", IFERROR(VPW220 / SUMIFS(Aux_Totales!$N:$N, Aux_Totales!$F:$F, $F224, Aux_Totales!$A:$A,#REF!), 0))</f>
        <v/>
      </c>
      <c r="VPX224" s="19" t="str">
        <f>IF(VPX220 = "", "", IFERROR(VPX220 / SUMIFS(Aux_Totales!$N:$N, Aux_Totales!$F:$F, $F224, Aux_Totales!$A:$A,#REF!), 0))</f>
        <v/>
      </c>
      <c r="VPY224" s="19" t="str">
        <f>IF(VPY220 = "", "", IFERROR(VPY220 / SUMIFS(Aux_Totales!$N:$N, Aux_Totales!$F:$F, $F224, Aux_Totales!$A:$A,#REF!), 0))</f>
        <v/>
      </c>
      <c r="VPZ224" s="19" t="str">
        <f>IF(VPZ220 = "", "", IFERROR(VPZ220 / SUMIFS(Aux_Totales!$N:$N, Aux_Totales!$F:$F, $F224, Aux_Totales!$A:$A,#REF!), 0))</f>
        <v/>
      </c>
      <c r="VQA224" s="19" t="str">
        <f>IF(VQA220 = "", "", IFERROR(VQA220 / SUMIFS(Aux_Totales!$N:$N, Aux_Totales!$F:$F, $F224, Aux_Totales!$A:$A,#REF!), 0))</f>
        <v/>
      </c>
      <c r="VQB224" s="19" t="str">
        <f>IF(VQB220 = "", "", IFERROR(VQB220 / SUMIFS(Aux_Totales!$N:$N, Aux_Totales!$F:$F, $F224, Aux_Totales!$A:$A,#REF!), 0))</f>
        <v/>
      </c>
      <c r="VQC224" s="19" t="str">
        <f>IF(VQC220 = "", "", IFERROR(VQC220 / SUMIFS(Aux_Totales!$N:$N, Aux_Totales!$F:$F, $F224, Aux_Totales!$A:$A,#REF!), 0))</f>
        <v/>
      </c>
      <c r="VQD224" s="19" t="str">
        <f>IF(VQD220 = "", "", IFERROR(VQD220 / SUMIFS(Aux_Totales!$N:$N, Aux_Totales!$F:$F, $F224, Aux_Totales!$A:$A,#REF!), 0))</f>
        <v/>
      </c>
      <c r="VQE224" s="19" t="str">
        <f>IF(VQE220 = "", "", IFERROR(VQE220 / SUMIFS(Aux_Totales!$N:$N, Aux_Totales!$F:$F, $F224, Aux_Totales!$A:$A,#REF!), 0))</f>
        <v/>
      </c>
      <c r="VQF224" s="19" t="str">
        <f>IF(VQF220 = "", "", IFERROR(VQF220 / SUMIFS(Aux_Totales!$N:$N, Aux_Totales!$F:$F, $F224, Aux_Totales!$A:$A,#REF!), 0))</f>
        <v/>
      </c>
      <c r="VQG224" s="19" t="str">
        <f>IF(VQG220 = "", "", IFERROR(VQG220 / SUMIFS(Aux_Totales!$N:$N, Aux_Totales!$F:$F, $F224, Aux_Totales!$A:$A,#REF!), 0))</f>
        <v/>
      </c>
      <c r="VQH224" s="19" t="str">
        <f>IF(VQH220 = "", "", IFERROR(VQH220 / SUMIFS(Aux_Totales!$N:$N, Aux_Totales!$F:$F, $F224, Aux_Totales!$A:$A,#REF!), 0))</f>
        <v/>
      </c>
      <c r="VQI224" s="19" t="str">
        <f>IF(VQI220 = "", "", IFERROR(VQI220 / SUMIFS(Aux_Totales!$N:$N, Aux_Totales!$F:$F, $F224, Aux_Totales!$A:$A,#REF!), 0))</f>
        <v/>
      </c>
      <c r="VQJ224" s="19" t="str">
        <f>IF(VQJ220 = "", "", IFERROR(VQJ220 / SUMIFS(Aux_Totales!$N:$N, Aux_Totales!$F:$F, $F224, Aux_Totales!$A:$A,#REF!), 0))</f>
        <v/>
      </c>
      <c r="VQK224" s="19" t="str">
        <f>IF(VQK220 = "", "", IFERROR(VQK220 / SUMIFS(Aux_Totales!$N:$N, Aux_Totales!$F:$F, $F224, Aux_Totales!$A:$A,#REF!), 0))</f>
        <v/>
      </c>
      <c r="VQL224" s="19" t="str">
        <f>IF(VQL220 = "", "", IFERROR(VQL220 / SUMIFS(Aux_Totales!$N:$N, Aux_Totales!$F:$F, $F224, Aux_Totales!$A:$A,#REF!), 0))</f>
        <v/>
      </c>
      <c r="VQM224" s="19" t="str">
        <f>IF(VQM220 = "", "", IFERROR(VQM220 / SUMIFS(Aux_Totales!$N:$N, Aux_Totales!$F:$F, $F224, Aux_Totales!$A:$A,#REF!), 0))</f>
        <v/>
      </c>
      <c r="VQN224" s="19" t="str">
        <f>IF(VQN220 = "", "", IFERROR(VQN220 / SUMIFS(Aux_Totales!$N:$N, Aux_Totales!$F:$F, $F224, Aux_Totales!$A:$A,#REF!), 0))</f>
        <v/>
      </c>
      <c r="VQO224" s="19" t="str">
        <f>IF(VQO220 = "", "", IFERROR(VQO220 / SUMIFS(Aux_Totales!$N:$N, Aux_Totales!$F:$F, $F224, Aux_Totales!$A:$A,#REF!), 0))</f>
        <v/>
      </c>
      <c r="VQP224" s="19" t="str">
        <f>IF(VQP220 = "", "", IFERROR(VQP220 / SUMIFS(Aux_Totales!$N:$N, Aux_Totales!$F:$F, $F224, Aux_Totales!$A:$A,#REF!), 0))</f>
        <v/>
      </c>
      <c r="VQQ224" s="19" t="str">
        <f>IF(VQQ220 = "", "", IFERROR(VQQ220 / SUMIFS(Aux_Totales!$N:$N, Aux_Totales!$F:$F, $F224, Aux_Totales!$A:$A,#REF!), 0))</f>
        <v/>
      </c>
      <c r="VQR224" s="19" t="str">
        <f>IF(VQR220 = "", "", IFERROR(VQR220 / SUMIFS(Aux_Totales!$N:$N, Aux_Totales!$F:$F, $F224, Aux_Totales!$A:$A,#REF!), 0))</f>
        <v/>
      </c>
      <c r="VQS224" s="19" t="str">
        <f>IF(VQS220 = "", "", IFERROR(VQS220 / SUMIFS(Aux_Totales!$N:$N, Aux_Totales!$F:$F, $F224, Aux_Totales!$A:$A,#REF!), 0))</f>
        <v/>
      </c>
      <c r="VQT224" s="19" t="str">
        <f>IF(VQT220 = "", "", IFERROR(VQT220 / SUMIFS(Aux_Totales!$N:$N, Aux_Totales!$F:$F, $F224, Aux_Totales!$A:$A,#REF!), 0))</f>
        <v/>
      </c>
      <c r="VQU224" s="19" t="str">
        <f>IF(VQU220 = "", "", IFERROR(VQU220 / SUMIFS(Aux_Totales!$N:$N, Aux_Totales!$F:$F, $F224, Aux_Totales!$A:$A,#REF!), 0))</f>
        <v/>
      </c>
      <c r="VQV224" s="19" t="str">
        <f>IF(VQV220 = "", "", IFERROR(VQV220 / SUMIFS(Aux_Totales!$N:$N, Aux_Totales!$F:$F, $F224, Aux_Totales!$A:$A,#REF!), 0))</f>
        <v/>
      </c>
      <c r="VQW224" s="19" t="str">
        <f>IF(VQW220 = "", "", IFERROR(VQW220 / SUMIFS(Aux_Totales!$N:$N, Aux_Totales!$F:$F, $F224, Aux_Totales!$A:$A,#REF!), 0))</f>
        <v/>
      </c>
      <c r="VQX224" s="19" t="str">
        <f>IF(VQX220 = "", "", IFERROR(VQX220 / SUMIFS(Aux_Totales!$N:$N, Aux_Totales!$F:$F, $F224, Aux_Totales!$A:$A,#REF!), 0))</f>
        <v/>
      </c>
      <c r="VQY224" s="19" t="str">
        <f>IF(VQY220 = "", "", IFERROR(VQY220 / SUMIFS(Aux_Totales!$N:$N, Aux_Totales!$F:$F, $F224, Aux_Totales!$A:$A,#REF!), 0))</f>
        <v/>
      </c>
      <c r="VQZ224" s="19" t="str">
        <f>IF(VQZ220 = "", "", IFERROR(VQZ220 / SUMIFS(Aux_Totales!$N:$N, Aux_Totales!$F:$F, $F224, Aux_Totales!$A:$A,#REF!), 0))</f>
        <v/>
      </c>
      <c r="VRA224" s="19" t="str">
        <f>IF(VRA220 = "", "", IFERROR(VRA220 / SUMIFS(Aux_Totales!$N:$N, Aux_Totales!$F:$F, $F224, Aux_Totales!$A:$A,#REF!), 0))</f>
        <v/>
      </c>
      <c r="VRB224" s="19" t="str">
        <f>IF(VRB220 = "", "", IFERROR(VRB220 / SUMIFS(Aux_Totales!$N:$N, Aux_Totales!$F:$F, $F224, Aux_Totales!$A:$A,#REF!), 0))</f>
        <v/>
      </c>
      <c r="VRC224" s="19" t="str">
        <f>IF(VRC220 = "", "", IFERROR(VRC220 / SUMIFS(Aux_Totales!$N:$N, Aux_Totales!$F:$F, $F224, Aux_Totales!$A:$A,#REF!), 0))</f>
        <v/>
      </c>
      <c r="VRD224" s="19" t="str">
        <f>IF(VRD220 = "", "", IFERROR(VRD220 / SUMIFS(Aux_Totales!$N:$N, Aux_Totales!$F:$F, $F224, Aux_Totales!$A:$A,#REF!), 0))</f>
        <v/>
      </c>
      <c r="VRE224" s="19" t="str">
        <f>IF(VRE220 = "", "", IFERROR(VRE220 / SUMIFS(Aux_Totales!$N:$N, Aux_Totales!$F:$F, $F224, Aux_Totales!$A:$A,#REF!), 0))</f>
        <v/>
      </c>
      <c r="VRF224" s="19" t="str">
        <f>IF(VRF220 = "", "", IFERROR(VRF220 / SUMIFS(Aux_Totales!$N:$N, Aux_Totales!$F:$F, $F224, Aux_Totales!$A:$A,#REF!), 0))</f>
        <v/>
      </c>
      <c r="VRG224" s="19" t="str">
        <f>IF(VRG220 = "", "", IFERROR(VRG220 / SUMIFS(Aux_Totales!$N:$N, Aux_Totales!$F:$F, $F224, Aux_Totales!$A:$A,#REF!), 0))</f>
        <v/>
      </c>
      <c r="VRH224" s="19" t="str">
        <f>IF(VRH220 = "", "", IFERROR(VRH220 / SUMIFS(Aux_Totales!$N:$N, Aux_Totales!$F:$F, $F224, Aux_Totales!$A:$A,#REF!), 0))</f>
        <v/>
      </c>
      <c r="VRI224" s="19" t="str">
        <f>IF(VRI220 = "", "", IFERROR(VRI220 / SUMIFS(Aux_Totales!$N:$N, Aux_Totales!$F:$F, $F224, Aux_Totales!$A:$A,#REF!), 0))</f>
        <v/>
      </c>
      <c r="VRJ224" s="19" t="str">
        <f>IF(VRJ220 = "", "", IFERROR(VRJ220 / SUMIFS(Aux_Totales!$N:$N, Aux_Totales!$F:$F, $F224, Aux_Totales!$A:$A,#REF!), 0))</f>
        <v/>
      </c>
      <c r="VRK224" s="19" t="str">
        <f>IF(VRK220 = "", "", IFERROR(VRK220 / SUMIFS(Aux_Totales!$N:$N, Aux_Totales!$F:$F, $F224, Aux_Totales!$A:$A,#REF!), 0))</f>
        <v/>
      </c>
      <c r="VRL224" s="19" t="str">
        <f>IF(VRL220 = "", "", IFERROR(VRL220 / SUMIFS(Aux_Totales!$N:$N, Aux_Totales!$F:$F, $F224, Aux_Totales!$A:$A,#REF!), 0))</f>
        <v/>
      </c>
      <c r="VRM224" s="19" t="str">
        <f>IF(VRM220 = "", "", IFERROR(VRM220 / SUMIFS(Aux_Totales!$N:$N, Aux_Totales!$F:$F, $F224, Aux_Totales!$A:$A,#REF!), 0))</f>
        <v/>
      </c>
      <c r="VRN224" s="19" t="str">
        <f>IF(VRN220 = "", "", IFERROR(VRN220 / SUMIFS(Aux_Totales!$N:$N, Aux_Totales!$F:$F, $F224, Aux_Totales!$A:$A,#REF!), 0))</f>
        <v/>
      </c>
      <c r="VRO224" s="19" t="str">
        <f>IF(VRO220 = "", "", IFERROR(VRO220 / SUMIFS(Aux_Totales!$N:$N, Aux_Totales!$F:$F, $F224, Aux_Totales!$A:$A,#REF!), 0))</f>
        <v/>
      </c>
      <c r="VRP224" s="19" t="str">
        <f>IF(VRP220 = "", "", IFERROR(VRP220 / SUMIFS(Aux_Totales!$N:$N, Aux_Totales!$F:$F, $F224, Aux_Totales!$A:$A,#REF!), 0))</f>
        <v/>
      </c>
      <c r="VRQ224" s="19" t="str">
        <f>IF(VRQ220 = "", "", IFERROR(VRQ220 / SUMIFS(Aux_Totales!$N:$N, Aux_Totales!$F:$F, $F224, Aux_Totales!$A:$A,#REF!), 0))</f>
        <v/>
      </c>
      <c r="VRR224" s="19" t="str">
        <f>IF(VRR220 = "", "", IFERROR(VRR220 / SUMIFS(Aux_Totales!$N:$N, Aux_Totales!$F:$F, $F224, Aux_Totales!$A:$A,#REF!), 0))</f>
        <v/>
      </c>
      <c r="VRS224" s="19" t="str">
        <f>IF(VRS220 = "", "", IFERROR(VRS220 / SUMIFS(Aux_Totales!$N:$N, Aux_Totales!$F:$F, $F224, Aux_Totales!$A:$A,#REF!), 0))</f>
        <v/>
      </c>
      <c r="VRT224" s="19" t="str">
        <f>IF(VRT220 = "", "", IFERROR(VRT220 / SUMIFS(Aux_Totales!$N:$N, Aux_Totales!$F:$F, $F224, Aux_Totales!$A:$A,#REF!), 0))</f>
        <v/>
      </c>
      <c r="VRU224" s="19" t="str">
        <f>IF(VRU220 = "", "", IFERROR(VRU220 / SUMIFS(Aux_Totales!$N:$N, Aux_Totales!$F:$F, $F224, Aux_Totales!$A:$A,#REF!), 0))</f>
        <v/>
      </c>
      <c r="VRV224" s="19" t="str">
        <f>IF(VRV220 = "", "", IFERROR(VRV220 / SUMIFS(Aux_Totales!$N:$N, Aux_Totales!$F:$F, $F224, Aux_Totales!$A:$A,#REF!), 0))</f>
        <v/>
      </c>
      <c r="VRW224" s="19" t="str">
        <f>IF(VRW220 = "", "", IFERROR(VRW220 / SUMIFS(Aux_Totales!$N:$N, Aux_Totales!$F:$F, $F224, Aux_Totales!$A:$A,#REF!), 0))</f>
        <v/>
      </c>
      <c r="VRX224" s="19" t="str">
        <f>IF(VRX220 = "", "", IFERROR(VRX220 / SUMIFS(Aux_Totales!$N:$N, Aux_Totales!$F:$F, $F224, Aux_Totales!$A:$A,#REF!), 0))</f>
        <v/>
      </c>
      <c r="VRY224" s="19" t="str">
        <f>IF(VRY220 = "", "", IFERROR(VRY220 / SUMIFS(Aux_Totales!$N:$N, Aux_Totales!$F:$F, $F224, Aux_Totales!$A:$A,#REF!), 0))</f>
        <v/>
      </c>
      <c r="VRZ224" s="19" t="str">
        <f>IF(VRZ220 = "", "", IFERROR(VRZ220 / SUMIFS(Aux_Totales!$N:$N, Aux_Totales!$F:$F, $F224, Aux_Totales!$A:$A,#REF!), 0))</f>
        <v/>
      </c>
      <c r="VSA224" s="19" t="str">
        <f>IF(VSA220 = "", "", IFERROR(VSA220 / SUMIFS(Aux_Totales!$N:$N, Aux_Totales!$F:$F, $F224, Aux_Totales!$A:$A,#REF!), 0))</f>
        <v/>
      </c>
      <c r="VSB224" s="19" t="str">
        <f>IF(VSB220 = "", "", IFERROR(VSB220 / SUMIFS(Aux_Totales!$N:$N, Aux_Totales!$F:$F, $F224, Aux_Totales!$A:$A,#REF!), 0))</f>
        <v/>
      </c>
      <c r="VSC224" s="19" t="str">
        <f>IF(VSC220 = "", "", IFERROR(VSC220 / SUMIFS(Aux_Totales!$N:$N, Aux_Totales!$F:$F, $F224, Aux_Totales!$A:$A,#REF!), 0))</f>
        <v/>
      </c>
      <c r="VSD224" s="19" t="str">
        <f>IF(VSD220 = "", "", IFERROR(VSD220 / SUMIFS(Aux_Totales!$N:$N, Aux_Totales!$F:$F, $F224, Aux_Totales!$A:$A,#REF!), 0))</f>
        <v/>
      </c>
      <c r="VSE224" s="19" t="str">
        <f>IF(VSE220 = "", "", IFERROR(VSE220 / SUMIFS(Aux_Totales!$N:$N, Aux_Totales!$F:$F, $F224, Aux_Totales!$A:$A,#REF!), 0))</f>
        <v/>
      </c>
      <c r="VSF224" s="19" t="str">
        <f>IF(VSF220 = "", "", IFERROR(VSF220 / SUMIFS(Aux_Totales!$N:$N, Aux_Totales!$F:$F, $F224, Aux_Totales!$A:$A,#REF!), 0))</f>
        <v/>
      </c>
      <c r="VSG224" s="19" t="str">
        <f>IF(VSG220 = "", "", IFERROR(VSG220 / SUMIFS(Aux_Totales!$N:$N, Aux_Totales!$F:$F, $F224, Aux_Totales!$A:$A,#REF!), 0))</f>
        <v/>
      </c>
      <c r="VSH224" s="19" t="str">
        <f>IF(VSH220 = "", "", IFERROR(VSH220 / SUMIFS(Aux_Totales!$N:$N, Aux_Totales!$F:$F, $F224, Aux_Totales!$A:$A,#REF!), 0))</f>
        <v/>
      </c>
      <c r="VSI224" s="19" t="str">
        <f>IF(VSI220 = "", "", IFERROR(VSI220 / SUMIFS(Aux_Totales!$N:$N, Aux_Totales!$F:$F, $F224, Aux_Totales!$A:$A,#REF!), 0))</f>
        <v/>
      </c>
      <c r="VSJ224" s="19" t="str">
        <f>IF(VSJ220 = "", "", IFERROR(VSJ220 / SUMIFS(Aux_Totales!$N:$N, Aux_Totales!$F:$F, $F224, Aux_Totales!$A:$A,#REF!), 0))</f>
        <v/>
      </c>
      <c r="VSK224" s="19" t="str">
        <f>IF(VSK220 = "", "", IFERROR(VSK220 / SUMIFS(Aux_Totales!$N:$N, Aux_Totales!$F:$F, $F224, Aux_Totales!$A:$A,#REF!), 0))</f>
        <v/>
      </c>
      <c r="VSL224" s="19" t="str">
        <f>IF(VSL220 = "", "", IFERROR(VSL220 / SUMIFS(Aux_Totales!$N:$N, Aux_Totales!$F:$F, $F224, Aux_Totales!$A:$A,#REF!), 0))</f>
        <v/>
      </c>
      <c r="VSM224" s="19" t="str">
        <f>IF(VSM220 = "", "", IFERROR(VSM220 / SUMIFS(Aux_Totales!$N:$N, Aux_Totales!$F:$F, $F224, Aux_Totales!$A:$A,#REF!), 0))</f>
        <v/>
      </c>
      <c r="VSN224" s="19" t="str">
        <f>IF(VSN220 = "", "", IFERROR(VSN220 / SUMIFS(Aux_Totales!$N:$N, Aux_Totales!$F:$F, $F224, Aux_Totales!$A:$A,#REF!), 0))</f>
        <v/>
      </c>
      <c r="VSO224" s="19" t="str">
        <f>IF(VSO220 = "", "", IFERROR(VSO220 / SUMIFS(Aux_Totales!$N:$N, Aux_Totales!$F:$F, $F224, Aux_Totales!$A:$A,#REF!), 0))</f>
        <v/>
      </c>
      <c r="VSP224" s="19" t="str">
        <f>IF(VSP220 = "", "", IFERROR(VSP220 / SUMIFS(Aux_Totales!$N:$N, Aux_Totales!$F:$F, $F224, Aux_Totales!$A:$A,#REF!), 0))</f>
        <v/>
      </c>
      <c r="VSQ224" s="19" t="str">
        <f>IF(VSQ220 = "", "", IFERROR(VSQ220 / SUMIFS(Aux_Totales!$N:$N, Aux_Totales!$F:$F, $F224, Aux_Totales!$A:$A,#REF!), 0))</f>
        <v/>
      </c>
      <c r="VSR224" s="19" t="str">
        <f>IF(VSR220 = "", "", IFERROR(VSR220 / SUMIFS(Aux_Totales!$N:$N, Aux_Totales!$F:$F, $F224, Aux_Totales!$A:$A,#REF!), 0))</f>
        <v/>
      </c>
      <c r="VSS224" s="19" t="str">
        <f>IF(VSS220 = "", "", IFERROR(VSS220 / SUMIFS(Aux_Totales!$N:$N, Aux_Totales!$F:$F, $F224, Aux_Totales!$A:$A,#REF!), 0))</f>
        <v/>
      </c>
      <c r="VST224" s="19" t="str">
        <f>IF(VST220 = "", "", IFERROR(VST220 / SUMIFS(Aux_Totales!$N:$N, Aux_Totales!$F:$F, $F224, Aux_Totales!$A:$A,#REF!), 0))</f>
        <v/>
      </c>
      <c r="VSU224" s="19" t="str">
        <f>IF(VSU220 = "", "", IFERROR(VSU220 / SUMIFS(Aux_Totales!$N:$N, Aux_Totales!$F:$F, $F224, Aux_Totales!$A:$A,#REF!), 0))</f>
        <v/>
      </c>
      <c r="VSV224" s="19" t="str">
        <f>IF(VSV220 = "", "", IFERROR(VSV220 / SUMIFS(Aux_Totales!$N:$N, Aux_Totales!$F:$F, $F224, Aux_Totales!$A:$A,#REF!), 0))</f>
        <v/>
      </c>
      <c r="VSW224" s="19" t="str">
        <f>IF(VSW220 = "", "", IFERROR(VSW220 / SUMIFS(Aux_Totales!$N:$N, Aux_Totales!$F:$F, $F224, Aux_Totales!$A:$A,#REF!), 0))</f>
        <v/>
      </c>
      <c r="VSX224" s="19" t="str">
        <f>IF(VSX220 = "", "", IFERROR(VSX220 / SUMIFS(Aux_Totales!$N:$N, Aux_Totales!$F:$F, $F224, Aux_Totales!$A:$A,#REF!), 0))</f>
        <v/>
      </c>
      <c r="VSY224" s="19" t="str">
        <f>IF(VSY220 = "", "", IFERROR(VSY220 / SUMIFS(Aux_Totales!$N:$N, Aux_Totales!$F:$F, $F224, Aux_Totales!$A:$A,#REF!), 0))</f>
        <v/>
      </c>
      <c r="VSZ224" s="19" t="str">
        <f>IF(VSZ220 = "", "", IFERROR(VSZ220 / SUMIFS(Aux_Totales!$N:$N, Aux_Totales!$F:$F, $F224, Aux_Totales!$A:$A,#REF!), 0))</f>
        <v/>
      </c>
      <c r="VTA224" s="19" t="str">
        <f>IF(VTA220 = "", "", IFERROR(VTA220 / SUMIFS(Aux_Totales!$N:$N, Aux_Totales!$F:$F, $F224, Aux_Totales!$A:$A,#REF!), 0))</f>
        <v/>
      </c>
      <c r="VTB224" s="19" t="str">
        <f>IF(VTB220 = "", "", IFERROR(VTB220 / SUMIFS(Aux_Totales!$N:$N, Aux_Totales!$F:$F, $F224, Aux_Totales!$A:$A,#REF!), 0))</f>
        <v/>
      </c>
      <c r="VTC224" s="19" t="str">
        <f>IF(VTC220 = "", "", IFERROR(VTC220 / SUMIFS(Aux_Totales!$N:$N, Aux_Totales!$F:$F, $F224, Aux_Totales!$A:$A,#REF!), 0))</f>
        <v/>
      </c>
      <c r="VTD224" s="19" t="str">
        <f>IF(VTD220 = "", "", IFERROR(VTD220 / SUMIFS(Aux_Totales!$N:$N, Aux_Totales!$F:$F, $F224, Aux_Totales!$A:$A,#REF!), 0))</f>
        <v/>
      </c>
      <c r="VTE224" s="19" t="str">
        <f>IF(VTE220 = "", "", IFERROR(VTE220 / SUMIFS(Aux_Totales!$N:$N, Aux_Totales!$F:$F, $F224, Aux_Totales!$A:$A,#REF!), 0))</f>
        <v/>
      </c>
      <c r="VTF224" s="19" t="str">
        <f>IF(VTF220 = "", "", IFERROR(VTF220 / SUMIFS(Aux_Totales!$N:$N, Aux_Totales!$F:$F, $F224, Aux_Totales!$A:$A,#REF!), 0))</f>
        <v/>
      </c>
      <c r="VTG224" s="19" t="str">
        <f>IF(VTG220 = "", "", IFERROR(VTG220 / SUMIFS(Aux_Totales!$N:$N, Aux_Totales!$F:$F, $F224, Aux_Totales!$A:$A,#REF!), 0))</f>
        <v/>
      </c>
      <c r="VTH224" s="19" t="str">
        <f>IF(VTH220 = "", "", IFERROR(VTH220 / SUMIFS(Aux_Totales!$N:$N, Aux_Totales!$F:$F, $F224, Aux_Totales!$A:$A,#REF!), 0))</f>
        <v/>
      </c>
      <c r="VTI224" s="19" t="str">
        <f>IF(VTI220 = "", "", IFERROR(VTI220 / SUMIFS(Aux_Totales!$N:$N, Aux_Totales!$F:$F, $F224, Aux_Totales!$A:$A,#REF!), 0))</f>
        <v/>
      </c>
      <c r="VTJ224" s="19" t="str">
        <f>IF(VTJ220 = "", "", IFERROR(VTJ220 / SUMIFS(Aux_Totales!$N:$N, Aux_Totales!$F:$F, $F224, Aux_Totales!$A:$A,#REF!), 0))</f>
        <v/>
      </c>
      <c r="VTK224" s="19" t="str">
        <f>IF(VTK220 = "", "", IFERROR(VTK220 / SUMIFS(Aux_Totales!$N:$N, Aux_Totales!$F:$F, $F224, Aux_Totales!$A:$A,#REF!), 0))</f>
        <v/>
      </c>
      <c r="VTL224" s="19" t="str">
        <f>IF(VTL220 = "", "", IFERROR(VTL220 / SUMIFS(Aux_Totales!$N:$N, Aux_Totales!$F:$F, $F224, Aux_Totales!$A:$A,#REF!), 0))</f>
        <v/>
      </c>
      <c r="VTM224" s="19" t="str">
        <f>IF(VTM220 = "", "", IFERROR(VTM220 / SUMIFS(Aux_Totales!$N:$N, Aux_Totales!$F:$F, $F224, Aux_Totales!$A:$A,#REF!), 0))</f>
        <v/>
      </c>
      <c r="VTN224" s="19" t="str">
        <f>IF(VTN220 = "", "", IFERROR(VTN220 / SUMIFS(Aux_Totales!$N:$N, Aux_Totales!$F:$F, $F224, Aux_Totales!$A:$A,#REF!), 0))</f>
        <v/>
      </c>
      <c r="VTO224" s="19" t="str">
        <f>IF(VTO220 = "", "", IFERROR(VTO220 / SUMIFS(Aux_Totales!$N:$N, Aux_Totales!$F:$F, $F224, Aux_Totales!$A:$A,#REF!), 0))</f>
        <v/>
      </c>
      <c r="VTP224" s="19" t="str">
        <f>IF(VTP220 = "", "", IFERROR(VTP220 / SUMIFS(Aux_Totales!$N:$N, Aux_Totales!$F:$F, $F224, Aux_Totales!$A:$A,#REF!), 0))</f>
        <v/>
      </c>
      <c r="VTQ224" s="19" t="str">
        <f>IF(VTQ220 = "", "", IFERROR(VTQ220 / SUMIFS(Aux_Totales!$N:$N, Aux_Totales!$F:$F, $F224, Aux_Totales!$A:$A,#REF!), 0))</f>
        <v/>
      </c>
      <c r="VTR224" s="19" t="str">
        <f>IF(VTR220 = "", "", IFERROR(VTR220 / SUMIFS(Aux_Totales!$N:$N, Aux_Totales!$F:$F, $F224, Aux_Totales!$A:$A,#REF!), 0))</f>
        <v/>
      </c>
      <c r="VTS224" s="19" t="str">
        <f>IF(VTS220 = "", "", IFERROR(VTS220 / SUMIFS(Aux_Totales!$N:$N, Aux_Totales!$F:$F, $F224, Aux_Totales!$A:$A,#REF!), 0))</f>
        <v/>
      </c>
      <c r="VTT224" s="19" t="str">
        <f>IF(VTT220 = "", "", IFERROR(VTT220 / SUMIFS(Aux_Totales!$N:$N, Aux_Totales!$F:$F, $F224, Aux_Totales!$A:$A,#REF!), 0))</f>
        <v/>
      </c>
      <c r="VTU224" s="19" t="str">
        <f>IF(VTU220 = "", "", IFERROR(VTU220 / SUMIFS(Aux_Totales!$N:$N, Aux_Totales!$F:$F, $F224, Aux_Totales!$A:$A,#REF!), 0))</f>
        <v/>
      </c>
      <c r="VTV224" s="19" t="str">
        <f>IF(VTV220 = "", "", IFERROR(VTV220 / SUMIFS(Aux_Totales!$N:$N, Aux_Totales!$F:$F, $F224, Aux_Totales!$A:$A,#REF!), 0))</f>
        <v/>
      </c>
      <c r="VTW224" s="19" t="str">
        <f>IF(VTW220 = "", "", IFERROR(VTW220 / SUMIFS(Aux_Totales!$N:$N, Aux_Totales!$F:$F, $F224, Aux_Totales!$A:$A,#REF!), 0))</f>
        <v/>
      </c>
      <c r="VTX224" s="19" t="str">
        <f>IF(VTX220 = "", "", IFERROR(VTX220 / SUMIFS(Aux_Totales!$N:$N, Aux_Totales!$F:$F, $F224, Aux_Totales!$A:$A,#REF!), 0))</f>
        <v/>
      </c>
      <c r="VTY224" s="19" t="str">
        <f>IF(VTY220 = "", "", IFERROR(VTY220 / SUMIFS(Aux_Totales!$N:$N, Aux_Totales!$F:$F, $F224, Aux_Totales!$A:$A,#REF!), 0))</f>
        <v/>
      </c>
      <c r="VTZ224" s="19" t="str">
        <f>IF(VTZ220 = "", "", IFERROR(VTZ220 / SUMIFS(Aux_Totales!$N:$N, Aux_Totales!$F:$F, $F224, Aux_Totales!$A:$A,#REF!), 0))</f>
        <v/>
      </c>
      <c r="VUA224" s="19" t="str">
        <f>IF(VUA220 = "", "", IFERROR(VUA220 / SUMIFS(Aux_Totales!$N:$N, Aux_Totales!$F:$F, $F224, Aux_Totales!$A:$A,#REF!), 0))</f>
        <v/>
      </c>
      <c r="VUB224" s="19" t="str">
        <f>IF(VUB220 = "", "", IFERROR(VUB220 / SUMIFS(Aux_Totales!$N:$N, Aux_Totales!$F:$F, $F224, Aux_Totales!$A:$A,#REF!), 0))</f>
        <v/>
      </c>
      <c r="VUC224" s="19" t="str">
        <f>IF(VUC220 = "", "", IFERROR(VUC220 / SUMIFS(Aux_Totales!$N:$N, Aux_Totales!$F:$F, $F224, Aux_Totales!$A:$A,#REF!), 0))</f>
        <v/>
      </c>
      <c r="VUD224" s="19" t="str">
        <f>IF(VUD220 = "", "", IFERROR(VUD220 / SUMIFS(Aux_Totales!$N:$N, Aux_Totales!$F:$F, $F224, Aux_Totales!$A:$A,#REF!), 0))</f>
        <v/>
      </c>
      <c r="VUE224" s="19" t="str">
        <f>IF(VUE220 = "", "", IFERROR(VUE220 / SUMIFS(Aux_Totales!$N:$N, Aux_Totales!$F:$F, $F224, Aux_Totales!$A:$A,#REF!), 0))</f>
        <v/>
      </c>
      <c r="VUF224" s="19" t="str">
        <f>IF(VUF220 = "", "", IFERROR(VUF220 / SUMIFS(Aux_Totales!$N:$N, Aux_Totales!$F:$F, $F224, Aux_Totales!$A:$A,#REF!), 0))</f>
        <v/>
      </c>
      <c r="VUG224" s="19" t="str">
        <f>IF(VUG220 = "", "", IFERROR(VUG220 / SUMIFS(Aux_Totales!$N:$N, Aux_Totales!$F:$F, $F224, Aux_Totales!$A:$A,#REF!), 0))</f>
        <v/>
      </c>
      <c r="VUH224" s="19" t="str">
        <f>IF(VUH220 = "", "", IFERROR(VUH220 / SUMIFS(Aux_Totales!$N:$N, Aux_Totales!$F:$F, $F224, Aux_Totales!$A:$A,#REF!), 0))</f>
        <v/>
      </c>
      <c r="VUI224" s="19" t="str">
        <f>IF(VUI220 = "", "", IFERROR(VUI220 / SUMIFS(Aux_Totales!$N:$N, Aux_Totales!$F:$F, $F224, Aux_Totales!$A:$A,#REF!), 0))</f>
        <v/>
      </c>
      <c r="VUJ224" s="19" t="str">
        <f>IF(VUJ220 = "", "", IFERROR(VUJ220 / SUMIFS(Aux_Totales!$N:$N, Aux_Totales!$F:$F, $F224, Aux_Totales!$A:$A,#REF!), 0))</f>
        <v/>
      </c>
      <c r="VUK224" s="19" t="str">
        <f>IF(VUK220 = "", "", IFERROR(VUK220 / SUMIFS(Aux_Totales!$N:$N, Aux_Totales!$F:$F, $F224, Aux_Totales!$A:$A,#REF!), 0))</f>
        <v/>
      </c>
      <c r="VUL224" s="19" t="str">
        <f>IF(VUL220 = "", "", IFERROR(VUL220 / SUMIFS(Aux_Totales!$N:$N, Aux_Totales!$F:$F, $F224, Aux_Totales!$A:$A,#REF!), 0))</f>
        <v/>
      </c>
      <c r="VUM224" s="19" t="str">
        <f>IF(VUM220 = "", "", IFERROR(VUM220 / SUMIFS(Aux_Totales!$N:$N, Aux_Totales!$F:$F, $F224, Aux_Totales!$A:$A,#REF!), 0))</f>
        <v/>
      </c>
      <c r="VUN224" s="19" t="str">
        <f>IF(VUN220 = "", "", IFERROR(VUN220 / SUMIFS(Aux_Totales!$N:$N, Aux_Totales!$F:$F, $F224, Aux_Totales!$A:$A,#REF!), 0))</f>
        <v/>
      </c>
      <c r="VUO224" s="19" t="str">
        <f>IF(VUO220 = "", "", IFERROR(VUO220 / SUMIFS(Aux_Totales!$N:$N, Aux_Totales!$F:$F, $F224, Aux_Totales!$A:$A,#REF!), 0))</f>
        <v/>
      </c>
      <c r="VUP224" s="19" t="str">
        <f>IF(VUP220 = "", "", IFERROR(VUP220 / SUMIFS(Aux_Totales!$N:$N, Aux_Totales!$F:$F, $F224, Aux_Totales!$A:$A,#REF!), 0))</f>
        <v/>
      </c>
      <c r="VUQ224" s="19" t="str">
        <f>IF(VUQ220 = "", "", IFERROR(VUQ220 / SUMIFS(Aux_Totales!$N:$N, Aux_Totales!$F:$F, $F224, Aux_Totales!$A:$A,#REF!), 0))</f>
        <v/>
      </c>
      <c r="VUR224" s="19" t="str">
        <f>IF(VUR220 = "", "", IFERROR(VUR220 / SUMIFS(Aux_Totales!$N:$N, Aux_Totales!$F:$F, $F224, Aux_Totales!$A:$A,#REF!), 0))</f>
        <v/>
      </c>
      <c r="VUS224" s="19" t="str">
        <f>IF(VUS220 = "", "", IFERROR(VUS220 / SUMIFS(Aux_Totales!$N:$N, Aux_Totales!$F:$F, $F224, Aux_Totales!$A:$A,#REF!), 0))</f>
        <v/>
      </c>
      <c r="VUT224" s="19" t="str">
        <f>IF(VUT220 = "", "", IFERROR(VUT220 / SUMIFS(Aux_Totales!$N:$N, Aux_Totales!$F:$F, $F224, Aux_Totales!$A:$A,#REF!), 0))</f>
        <v/>
      </c>
      <c r="VUU224" s="19" t="str">
        <f>IF(VUU220 = "", "", IFERROR(VUU220 / SUMIFS(Aux_Totales!$N:$N, Aux_Totales!$F:$F, $F224, Aux_Totales!$A:$A,#REF!), 0))</f>
        <v/>
      </c>
      <c r="VUV224" s="19" t="str">
        <f>IF(VUV220 = "", "", IFERROR(VUV220 / SUMIFS(Aux_Totales!$N:$N, Aux_Totales!$F:$F, $F224, Aux_Totales!$A:$A,#REF!), 0))</f>
        <v/>
      </c>
      <c r="VUW224" s="19" t="str">
        <f>IF(VUW220 = "", "", IFERROR(VUW220 / SUMIFS(Aux_Totales!$N:$N, Aux_Totales!$F:$F, $F224, Aux_Totales!$A:$A,#REF!), 0))</f>
        <v/>
      </c>
      <c r="VUX224" s="19" t="str">
        <f>IF(VUX220 = "", "", IFERROR(VUX220 / SUMIFS(Aux_Totales!$N:$N, Aux_Totales!$F:$F, $F224, Aux_Totales!$A:$A,#REF!), 0))</f>
        <v/>
      </c>
      <c r="VUY224" s="19" t="str">
        <f>IF(VUY220 = "", "", IFERROR(VUY220 / SUMIFS(Aux_Totales!$N:$N, Aux_Totales!$F:$F, $F224, Aux_Totales!$A:$A,#REF!), 0))</f>
        <v/>
      </c>
      <c r="VUZ224" s="19" t="str">
        <f>IF(VUZ220 = "", "", IFERROR(VUZ220 / SUMIFS(Aux_Totales!$N:$N, Aux_Totales!$F:$F, $F224, Aux_Totales!$A:$A,#REF!), 0))</f>
        <v/>
      </c>
      <c r="VVA224" s="19" t="str">
        <f>IF(VVA220 = "", "", IFERROR(VVA220 / SUMIFS(Aux_Totales!$N:$N, Aux_Totales!$F:$F, $F224, Aux_Totales!$A:$A,#REF!), 0))</f>
        <v/>
      </c>
      <c r="VVB224" s="19" t="str">
        <f>IF(VVB220 = "", "", IFERROR(VVB220 / SUMIFS(Aux_Totales!$N:$N, Aux_Totales!$F:$F, $F224, Aux_Totales!$A:$A,#REF!), 0))</f>
        <v/>
      </c>
      <c r="VVC224" s="19" t="str">
        <f>IF(VVC220 = "", "", IFERROR(VVC220 / SUMIFS(Aux_Totales!$N:$N, Aux_Totales!$F:$F, $F224, Aux_Totales!$A:$A,#REF!), 0))</f>
        <v/>
      </c>
      <c r="VVD224" s="19" t="str">
        <f>IF(VVD220 = "", "", IFERROR(VVD220 / SUMIFS(Aux_Totales!$N:$N, Aux_Totales!$F:$F, $F224, Aux_Totales!$A:$A,#REF!), 0))</f>
        <v/>
      </c>
      <c r="VVE224" s="19" t="str">
        <f>IF(VVE220 = "", "", IFERROR(VVE220 / SUMIFS(Aux_Totales!$N:$N, Aux_Totales!$F:$F, $F224, Aux_Totales!$A:$A,#REF!), 0))</f>
        <v/>
      </c>
      <c r="VVF224" s="19" t="str">
        <f>IF(VVF220 = "", "", IFERROR(VVF220 / SUMIFS(Aux_Totales!$N:$N, Aux_Totales!$F:$F, $F224, Aux_Totales!$A:$A,#REF!), 0))</f>
        <v/>
      </c>
      <c r="VVG224" s="19" t="str">
        <f>IF(VVG220 = "", "", IFERROR(VVG220 / SUMIFS(Aux_Totales!$N:$N, Aux_Totales!$F:$F, $F224, Aux_Totales!$A:$A,#REF!), 0))</f>
        <v/>
      </c>
      <c r="VVH224" s="19" t="str">
        <f>IF(VVH220 = "", "", IFERROR(VVH220 / SUMIFS(Aux_Totales!$N:$N, Aux_Totales!$F:$F, $F224, Aux_Totales!$A:$A,#REF!), 0))</f>
        <v/>
      </c>
      <c r="VVI224" s="19" t="str">
        <f>IF(VVI220 = "", "", IFERROR(VVI220 / SUMIFS(Aux_Totales!$N:$N, Aux_Totales!$F:$F, $F224, Aux_Totales!$A:$A,#REF!), 0))</f>
        <v/>
      </c>
      <c r="VVJ224" s="19" t="str">
        <f>IF(VVJ220 = "", "", IFERROR(VVJ220 / SUMIFS(Aux_Totales!$N:$N, Aux_Totales!$F:$F, $F224, Aux_Totales!$A:$A,#REF!), 0))</f>
        <v/>
      </c>
      <c r="VVK224" s="19" t="str">
        <f>IF(VVK220 = "", "", IFERROR(VVK220 / SUMIFS(Aux_Totales!$N:$N, Aux_Totales!$F:$F, $F224, Aux_Totales!$A:$A,#REF!), 0))</f>
        <v/>
      </c>
      <c r="VVL224" s="19" t="str">
        <f>IF(VVL220 = "", "", IFERROR(VVL220 / SUMIFS(Aux_Totales!$N:$N, Aux_Totales!$F:$F, $F224, Aux_Totales!$A:$A,#REF!), 0))</f>
        <v/>
      </c>
      <c r="VVM224" s="19" t="str">
        <f>IF(VVM220 = "", "", IFERROR(VVM220 / SUMIFS(Aux_Totales!$N:$N, Aux_Totales!$F:$F, $F224, Aux_Totales!$A:$A,#REF!), 0))</f>
        <v/>
      </c>
      <c r="VVN224" s="19" t="str">
        <f>IF(VVN220 = "", "", IFERROR(VVN220 / SUMIFS(Aux_Totales!$N:$N, Aux_Totales!$F:$F, $F224, Aux_Totales!$A:$A,#REF!), 0))</f>
        <v/>
      </c>
      <c r="VVO224" s="19" t="str">
        <f>IF(VVO220 = "", "", IFERROR(VVO220 / SUMIFS(Aux_Totales!$N:$N, Aux_Totales!$F:$F, $F224, Aux_Totales!$A:$A,#REF!), 0))</f>
        <v/>
      </c>
      <c r="VVP224" s="19" t="str">
        <f>IF(VVP220 = "", "", IFERROR(VVP220 / SUMIFS(Aux_Totales!$N:$N, Aux_Totales!$F:$F, $F224, Aux_Totales!$A:$A,#REF!), 0))</f>
        <v/>
      </c>
      <c r="VVQ224" s="19" t="str">
        <f>IF(VVQ220 = "", "", IFERROR(VVQ220 / SUMIFS(Aux_Totales!$N:$N, Aux_Totales!$F:$F, $F224, Aux_Totales!$A:$A,#REF!), 0))</f>
        <v/>
      </c>
      <c r="VVR224" s="19" t="str">
        <f>IF(VVR220 = "", "", IFERROR(VVR220 / SUMIFS(Aux_Totales!$N:$N, Aux_Totales!$F:$F, $F224, Aux_Totales!$A:$A,#REF!), 0))</f>
        <v/>
      </c>
      <c r="VVS224" s="19" t="str">
        <f>IF(VVS220 = "", "", IFERROR(VVS220 / SUMIFS(Aux_Totales!$N:$N, Aux_Totales!$F:$F, $F224, Aux_Totales!$A:$A,#REF!), 0))</f>
        <v/>
      </c>
      <c r="VVT224" s="19" t="str">
        <f>IF(VVT220 = "", "", IFERROR(VVT220 / SUMIFS(Aux_Totales!$N:$N, Aux_Totales!$F:$F, $F224, Aux_Totales!$A:$A,#REF!), 0))</f>
        <v/>
      </c>
      <c r="VVU224" s="19" t="str">
        <f>IF(VVU220 = "", "", IFERROR(VVU220 / SUMIFS(Aux_Totales!$N:$N, Aux_Totales!$F:$F, $F224, Aux_Totales!$A:$A,#REF!), 0))</f>
        <v/>
      </c>
      <c r="VVV224" s="19" t="str">
        <f>IF(VVV220 = "", "", IFERROR(VVV220 / SUMIFS(Aux_Totales!$N:$N, Aux_Totales!$F:$F, $F224, Aux_Totales!$A:$A,#REF!), 0))</f>
        <v/>
      </c>
      <c r="VVW224" s="19" t="str">
        <f>IF(VVW220 = "", "", IFERROR(VVW220 / SUMIFS(Aux_Totales!$N:$N, Aux_Totales!$F:$F, $F224, Aux_Totales!$A:$A,#REF!), 0))</f>
        <v/>
      </c>
      <c r="VVX224" s="19" t="str">
        <f>IF(VVX220 = "", "", IFERROR(VVX220 / SUMIFS(Aux_Totales!$N:$N, Aux_Totales!$F:$F, $F224, Aux_Totales!$A:$A,#REF!), 0))</f>
        <v/>
      </c>
      <c r="VVY224" s="19" t="str">
        <f>IF(VVY220 = "", "", IFERROR(VVY220 / SUMIFS(Aux_Totales!$N:$N, Aux_Totales!$F:$F, $F224, Aux_Totales!$A:$A,#REF!), 0))</f>
        <v/>
      </c>
      <c r="VVZ224" s="19" t="str">
        <f>IF(VVZ220 = "", "", IFERROR(VVZ220 / SUMIFS(Aux_Totales!$N:$N, Aux_Totales!$F:$F, $F224, Aux_Totales!$A:$A,#REF!), 0))</f>
        <v/>
      </c>
      <c r="VWA224" s="19" t="str">
        <f>IF(VWA220 = "", "", IFERROR(VWA220 / SUMIFS(Aux_Totales!$N:$N, Aux_Totales!$F:$F, $F224, Aux_Totales!$A:$A,#REF!), 0))</f>
        <v/>
      </c>
      <c r="VWB224" s="19" t="str">
        <f>IF(VWB220 = "", "", IFERROR(VWB220 / SUMIFS(Aux_Totales!$N:$N, Aux_Totales!$F:$F, $F224, Aux_Totales!$A:$A,#REF!), 0))</f>
        <v/>
      </c>
      <c r="VWC224" s="19" t="str">
        <f>IF(VWC220 = "", "", IFERROR(VWC220 / SUMIFS(Aux_Totales!$N:$N, Aux_Totales!$F:$F, $F224, Aux_Totales!$A:$A,#REF!), 0))</f>
        <v/>
      </c>
      <c r="VWD224" s="19" t="str">
        <f>IF(VWD220 = "", "", IFERROR(VWD220 / SUMIFS(Aux_Totales!$N:$N, Aux_Totales!$F:$F, $F224, Aux_Totales!$A:$A,#REF!), 0))</f>
        <v/>
      </c>
      <c r="VWE224" s="19" t="str">
        <f>IF(VWE220 = "", "", IFERROR(VWE220 / SUMIFS(Aux_Totales!$N:$N, Aux_Totales!$F:$F, $F224, Aux_Totales!$A:$A,#REF!), 0))</f>
        <v/>
      </c>
      <c r="VWF224" s="19" t="str">
        <f>IF(VWF220 = "", "", IFERROR(VWF220 / SUMIFS(Aux_Totales!$N:$N, Aux_Totales!$F:$F, $F224, Aux_Totales!$A:$A,#REF!), 0))</f>
        <v/>
      </c>
      <c r="VWG224" s="19" t="str">
        <f>IF(VWG220 = "", "", IFERROR(VWG220 / SUMIFS(Aux_Totales!$N:$N, Aux_Totales!$F:$F, $F224, Aux_Totales!$A:$A,#REF!), 0))</f>
        <v/>
      </c>
      <c r="VWH224" s="19" t="str">
        <f>IF(VWH220 = "", "", IFERROR(VWH220 / SUMIFS(Aux_Totales!$N:$N, Aux_Totales!$F:$F, $F224, Aux_Totales!$A:$A,#REF!), 0))</f>
        <v/>
      </c>
      <c r="VWI224" s="19" t="str">
        <f>IF(VWI220 = "", "", IFERROR(VWI220 / SUMIFS(Aux_Totales!$N:$N, Aux_Totales!$F:$F, $F224, Aux_Totales!$A:$A,#REF!), 0))</f>
        <v/>
      </c>
      <c r="VWJ224" s="19" t="str">
        <f>IF(VWJ220 = "", "", IFERROR(VWJ220 / SUMIFS(Aux_Totales!$N:$N, Aux_Totales!$F:$F, $F224, Aux_Totales!$A:$A,#REF!), 0))</f>
        <v/>
      </c>
      <c r="VWK224" s="19" t="str">
        <f>IF(VWK220 = "", "", IFERROR(VWK220 / SUMIFS(Aux_Totales!$N:$N, Aux_Totales!$F:$F, $F224, Aux_Totales!$A:$A,#REF!), 0))</f>
        <v/>
      </c>
      <c r="VWL224" s="19" t="str">
        <f>IF(VWL220 = "", "", IFERROR(VWL220 / SUMIFS(Aux_Totales!$N:$N, Aux_Totales!$F:$F, $F224, Aux_Totales!$A:$A,#REF!), 0))</f>
        <v/>
      </c>
      <c r="VWM224" s="19" t="str">
        <f>IF(VWM220 = "", "", IFERROR(VWM220 / SUMIFS(Aux_Totales!$N:$N, Aux_Totales!$F:$F, $F224, Aux_Totales!$A:$A,#REF!), 0))</f>
        <v/>
      </c>
      <c r="VWN224" s="19" t="str">
        <f>IF(VWN220 = "", "", IFERROR(VWN220 / SUMIFS(Aux_Totales!$N:$N, Aux_Totales!$F:$F, $F224, Aux_Totales!$A:$A,#REF!), 0))</f>
        <v/>
      </c>
      <c r="VWO224" s="19" t="str">
        <f>IF(VWO220 = "", "", IFERROR(VWO220 / SUMIFS(Aux_Totales!$N:$N, Aux_Totales!$F:$F, $F224, Aux_Totales!$A:$A,#REF!), 0))</f>
        <v/>
      </c>
      <c r="VWP224" s="19" t="str">
        <f>IF(VWP220 = "", "", IFERROR(VWP220 / SUMIFS(Aux_Totales!$N:$N, Aux_Totales!$F:$F, $F224, Aux_Totales!$A:$A,#REF!), 0))</f>
        <v/>
      </c>
      <c r="VWQ224" s="19" t="str">
        <f>IF(VWQ220 = "", "", IFERROR(VWQ220 / SUMIFS(Aux_Totales!$N:$N, Aux_Totales!$F:$F, $F224, Aux_Totales!$A:$A,#REF!), 0))</f>
        <v/>
      </c>
      <c r="VWR224" s="19" t="str">
        <f>IF(VWR220 = "", "", IFERROR(VWR220 / SUMIFS(Aux_Totales!$N:$N, Aux_Totales!$F:$F, $F224, Aux_Totales!$A:$A,#REF!), 0))</f>
        <v/>
      </c>
      <c r="VWS224" s="19" t="str">
        <f>IF(VWS220 = "", "", IFERROR(VWS220 / SUMIFS(Aux_Totales!$N:$N, Aux_Totales!$F:$F, $F224, Aux_Totales!$A:$A,#REF!), 0))</f>
        <v/>
      </c>
      <c r="VWT224" s="19" t="str">
        <f>IF(VWT220 = "", "", IFERROR(VWT220 / SUMIFS(Aux_Totales!$N:$N, Aux_Totales!$F:$F, $F224, Aux_Totales!$A:$A,#REF!), 0))</f>
        <v/>
      </c>
      <c r="VWU224" s="19" t="str">
        <f>IF(VWU220 = "", "", IFERROR(VWU220 / SUMIFS(Aux_Totales!$N:$N, Aux_Totales!$F:$F, $F224, Aux_Totales!$A:$A,#REF!), 0))</f>
        <v/>
      </c>
      <c r="VWV224" s="19" t="str">
        <f>IF(VWV220 = "", "", IFERROR(VWV220 / SUMIFS(Aux_Totales!$N:$N, Aux_Totales!$F:$F, $F224, Aux_Totales!$A:$A,#REF!), 0))</f>
        <v/>
      </c>
      <c r="VWW224" s="19" t="str">
        <f>IF(VWW220 = "", "", IFERROR(VWW220 / SUMIFS(Aux_Totales!$N:$N, Aux_Totales!$F:$F, $F224, Aux_Totales!$A:$A,#REF!), 0))</f>
        <v/>
      </c>
      <c r="VWX224" s="19" t="str">
        <f>IF(VWX220 = "", "", IFERROR(VWX220 / SUMIFS(Aux_Totales!$N:$N, Aux_Totales!$F:$F, $F224, Aux_Totales!$A:$A,#REF!), 0))</f>
        <v/>
      </c>
      <c r="VWY224" s="19" t="str">
        <f>IF(VWY220 = "", "", IFERROR(VWY220 / SUMIFS(Aux_Totales!$N:$N, Aux_Totales!$F:$F, $F224, Aux_Totales!$A:$A,#REF!), 0))</f>
        <v/>
      </c>
      <c r="VWZ224" s="19" t="str">
        <f>IF(VWZ220 = "", "", IFERROR(VWZ220 / SUMIFS(Aux_Totales!$N:$N, Aux_Totales!$F:$F, $F224, Aux_Totales!$A:$A,#REF!), 0))</f>
        <v/>
      </c>
      <c r="VXA224" s="19" t="str">
        <f>IF(VXA220 = "", "", IFERROR(VXA220 / SUMIFS(Aux_Totales!$N:$N, Aux_Totales!$F:$F, $F224, Aux_Totales!$A:$A,#REF!), 0))</f>
        <v/>
      </c>
      <c r="VXB224" s="19" t="str">
        <f>IF(VXB220 = "", "", IFERROR(VXB220 / SUMIFS(Aux_Totales!$N:$N, Aux_Totales!$F:$F, $F224, Aux_Totales!$A:$A,#REF!), 0))</f>
        <v/>
      </c>
      <c r="VXC224" s="19" t="str">
        <f>IF(VXC220 = "", "", IFERROR(VXC220 / SUMIFS(Aux_Totales!$N:$N, Aux_Totales!$F:$F, $F224, Aux_Totales!$A:$A,#REF!), 0))</f>
        <v/>
      </c>
      <c r="VXD224" s="19" t="str">
        <f>IF(VXD220 = "", "", IFERROR(VXD220 / SUMIFS(Aux_Totales!$N:$N, Aux_Totales!$F:$F, $F224, Aux_Totales!$A:$A,#REF!), 0))</f>
        <v/>
      </c>
      <c r="VXE224" s="19" t="str">
        <f>IF(VXE220 = "", "", IFERROR(VXE220 / SUMIFS(Aux_Totales!$N:$N, Aux_Totales!$F:$F, $F224, Aux_Totales!$A:$A,#REF!), 0))</f>
        <v/>
      </c>
      <c r="VXF224" s="19" t="str">
        <f>IF(VXF220 = "", "", IFERROR(VXF220 / SUMIFS(Aux_Totales!$N:$N, Aux_Totales!$F:$F, $F224, Aux_Totales!$A:$A,#REF!), 0))</f>
        <v/>
      </c>
      <c r="VXG224" s="19" t="str">
        <f>IF(VXG220 = "", "", IFERROR(VXG220 / SUMIFS(Aux_Totales!$N:$N, Aux_Totales!$F:$F, $F224, Aux_Totales!$A:$A,#REF!), 0))</f>
        <v/>
      </c>
      <c r="VXH224" s="19" t="str">
        <f>IF(VXH220 = "", "", IFERROR(VXH220 / SUMIFS(Aux_Totales!$N:$N, Aux_Totales!$F:$F, $F224, Aux_Totales!$A:$A,#REF!), 0))</f>
        <v/>
      </c>
      <c r="VXI224" s="19" t="str">
        <f>IF(VXI220 = "", "", IFERROR(VXI220 / SUMIFS(Aux_Totales!$N:$N, Aux_Totales!$F:$F, $F224, Aux_Totales!$A:$A,#REF!), 0))</f>
        <v/>
      </c>
      <c r="VXJ224" s="19" t="str">
        <f>IF(VXJ220 = "", "", IFERROR(VXJ220 / SUMIFS(Aux_Totales!$N:$N, Aux_Totales!$F:$F, $F224, Aux_Totales!$A:$A,#REF!), 0))</f>
        <v/>
      </c>
      <c r="VXK224" s="19" t="str">
        <f>IF(VXK220 = "", "", IFERROR(VXK220 / SUMIFS(Aux_Totales!$N:$N, Aux_Totales!$F:$F, $F224, Aux_Totales!$A:$A,#REF!), 0))</f>
        <v/>
      </c>
      <c r="VXL224" s="19" t="str">
        <f>IF(VXL220 = "", "", IFERROR(VXL220 / SUMIFS(Aux_Totales!$N:$N, Aux_Totales!$F:$F, $F224, Aux_Totales!$A:$A,#REF!), 0))</f>
        <v/>
      </c>
      <c r="VXM224" s="19" t="str">
        <f>IF(VXM220 = "", "", IFERROR(VXM220 / SUMIFS(Aux_Totales!$N:$N, Aux_Totales!$F:$F, $F224, Aux_Totales!$A:$A,#REF!), 0))</f>
        <v/>
      </c>
      <c r="VXN224" s="19" t="str">
        <f>IF(VXN220 = "", "", IFERROR(VXN220 / SUMIFS(Aux_Totales!$N:$N, Aux_Totales!$F:$F, $F224, Aux_Totales!$A:$A,#REF!), 0))</f>
        <v/>
      </c>
      <c r="VXO224" s="19" t="str">
        <f>IF(VXO220 = "", "", IFERROR(VXO220 / SUMIFS(Aux_Totales!$N:$N, Aux_Totales!$F:$F, $F224, Aux_Totales!$A:$A,#REF!), 0))</f>
        <v/>
      </c>
      <c r="VXP224" s="19" t="str">
        <f>IF(VXP220 = "", "", IFERROR(VXP220 / SUMIFS(Aux_Totales!$N:$N, Aux_Totales!$F:$F, $F224, Aux_Totales!$A:$A,#REF!), 0))</f>
        <v/>
      </c>
      <c r="VXQ224" s="19" t="str">
        <f>IF(VXQ220 = "", "", IFERROR(VXQ220 / SUMIFS(Aux_Totales!$N:$N, Aux_Totales!$F:$F, $F224, Aux_Totales!$A:$A,#REF!), 0))</f>
        <v/>
      </c>
      <c r="VXR224" s="19" t="str">
        <f>IF(VXR220 = "", "", IFERROR(VXR220 / SUMIFS(Aux_Totales!$N:$N, Aux_Totales!$F:$F, $F224, Aux_Totales!$A:$A,#REF!), 0))</f>
        <v/>
      </c>
      <c r="VXS224" s="19" t="str">
        <f>IF(VXS220 = "", "", IFERROR(VXS220 / SUMIFS(Aux_Totales!$N:$N, Aux_Totales!$F:$F, $F224, Aux_Totales!$A:$A,#REF!), 0))</f>
        <v/>
      </c>
      <c r="VXT224" s="19" t="str">
        <f>IF(VXT220 = "", "", IFERROR(VXT220 / SUMIFS(Aux_Totales!$N:$N, Aux_Totales!$F:$F, $F224, Aux_Totales!$A:$A,#REF!), 0))</f>
        <v/>
      </c>
      <c r="VXU224" s="19" t="str">
        <f>IF(VXU220 = "", "", IFERROR(VXU220 / SUMIFS(Aux_Totales!$N:$N, Aux_Totales!$F:$F, $F224, Aux_Totales!$A:$A,#REF!), 0))</f>
        <v/>
      </c>
      <c r="VXV224" s="19" t="str">
        <f>IF(VXV220 = "", "", IFERROR(VXV220 / SUMIFS(Aux_Totales!$N:$N, Aux_Totales!$F:$F, $F224, Aux_Totales!$A:$A,#REF!), 0))</f>
        <v/>
      </c>
      <c r="VXW224" s="19" t="str">
        <f>IF(VXW220 = "", "", IFERROR(VXW220 / SUMIFS(Aux_Totales!$N:$N, Aux_Totales!$F:$F, $F224, Aux_Totales!$A:$A,#REF!), 0))</f>
        <v/>
      </c>
      <c r="VXX224" s="19" t="str">
        <f>IF(VXX220 = "", "", IFERROR(VXX220 / SUMIFS(Aux_Totales!$N:$N, Aux_Totales!$F:$F, $F224, Aux_Totales!$A:$A,#REF!), 0))</f>
        <v/>
      </c>
      <c r="VXY224" s="19" t="str">
        <f>IF(VXY220 = "", "", IFERROR(VXY220 / SUMIFS(Aux_Totales!$N:$N, Aux_Totales!$F:$F, $F224, Aux_Totales!$A:$A,#REF!), 0))</f>
        <v/>
      </c>
      <c r="VXZ224" s="19" t="str">
        <f>IF(VXZ220 = "", "", IFERROR(VXZ220 / SUMIFS(Aux_Totales!$N:$N, Aux_Totales!$F:$F, $F224, Aux_Totales!$A:$A,#REF!), 0))</f>
        <v/>
      </c>
      <c r="VYA224" s="19" t="str">
        <f>IF(VYA220 = "", "", IFERROR(VYA220 / SUMIFS(Aux_Totales!$N:$N, Aux_Totales!$F:$F, $F224, Aux_Totales!$A:$A,#REF!), 0))</f>
        <v/>
      </c>
      <c r="VYB224" s="19" t="str">
        <f>IF(VYB220 = "", "", IFERROR(VYB220 / SUMIFS(Aux_Totales!$N:$N, Aux_Totales!$F:$F, $F224, Aux_Totales!$A:$A,#REF!), 0))</f>
        <v/>
      </c>
      <c r="VYC224" s="19" t="str">
        <f>IF(VYC220 = "", "", IFERROR(VYC220 / SUMIFS(Aux_Totales!$N:$N, Aux_Totales!$F:$F, $F224, Aux_Totales!$A:$A,#REF!), 0))</f>
        <v/>
      </c>
      <c r="VYD224" s="19" t="str">
        <f>IF(VYD220 = "", "", IFERROR(VYD220 / SUMIFS(Aux_Totales!$N:$N, Aux_Totales!$F:$F, $F224, Aux_Totales!$A:$A,#REF!), 0))</f>
        <v/>
      </c>
      <c r="VYE224" s="19" t="str">
        <f>IF(VYE220 = "", "", IFERROR(VYE220 / SUMIFS(Aux_Totales!$N:$N, Aux_Totales!$F:$F, $F224, Aux_Totales!$A:$A,#REF!), 0))</f>
        <v/>
      </c>
      <c r="VYF224" s="19" t="str">
        <f>IF(VYF220 = "", "", IFERROR(VYF220 / SUMIFS(Aux_Totales!$N:$N, Aux_Totales!$F:$F, $F224, Aux_Totales!$A:$A,#REF!), 0))</f>
        <v/>
      </c>
      <c r="VYG224" s="19" t="str">
        <f>IF(VYG220 = "", "", IFERROR(VYG220 / SUMIFS(Aux_Totales!$N:$N, Aux_Totales!$F:$F, $F224, Aux_Totales!$A:$A,#REF!), 0))</f>
        <v/>
      </c>
      <c r="VYH224" s="19" t="str">
        <f>IF(VYH220 = "", "", IFERROR(VYH220 / SUMIFS(Aux_Totales!$N:$N, Aux_Totales!$F:$F, $F224, Aux_Totales!$A:$A,#REF!), 0))</f>
        <v/>
      </c>
      <c r="VYI224" s="19" t="str">
        <f>IF(VYI220 = "", "", IFERROR(VYI220 / SUMIFS(Aux_Totales!$N:$N, Aux_Totales!$F:$F, $F224, Aux_Totales!$A:$A,#REF!), 0))</f>
        <v/>
      </c>
      <c r="VYJ224" s="19" t="str">
        <f>IF(VYJ220 = "", "", IFERROR(VYJ220 / SUMIFS(Aux_Totales!$N:$N, Aux_Totales!$F:$F, $F224, Aux_Totales!$A:$A,#REF!), 0))</f>
        <v/>
      </c>
      <c r="VYK224" s="19" t="str">
        <f>IF(VYK220 = "", "", IFERROR(VYK220 / SUMIFS(Aux_Totales!$N:$N, Aux_Totales!$F:$F, $F224, Aux_Totales!$A:$A,#REF!), 0))</f>
        <v/>
      </c>
      <c r="VYL224" s="19" t="str">
        <f>IF(VYL220 = "", "", IFERROR(VYL220 / SUMIFS(Aux_Totales!$N:$N, Aux_Totales!$F:$F, $F224, Aux_Totales!$A:$A,#REF!), 0))</f>
        <v/>
      </c>
      <c r="VYM224" s="19" t="str">
        <f>IF(VYM220 = "", "", IFERROR(VYM220 / SUMIFS(Aux_Totales!$N:$N, Aux_Totales!$F:$F, $F224, Aux_Totales!$A:$A,#REF!), 0))</f>
        <v/>
      </c>
      <c r="VYN224" s="19" t="str">
        <f>IF(VYN220 = "", "", IFERROR(VYN220 / SUMIFS(Aux_Totales!$N:$N, Aux_Totales!$F:$F, $F224, Aux_Totales!$A:$A,#REF!), 0))</f>
        <v/>
      </c>
      <c r="VYO224" s="19" t="str">
        <f>IF(VYO220 = "", "", IFERROR(VYO220 / SUMIFS(Aux_Totales!$N:$N, Aux_Totales!$F:$F, $F224, Aux_Totales!$A:$A,#REF!), 0))</f>
        <v/>
      </c>
      <c r="VYP224" s="19" t="str">
        <f>IF(VYP220 = "", "", IFERROR(VYP220 / SUMIFS(Aux_Totales!$N:$N, Aux_Totales!$F:$F, $F224, Aux_Totales!$A:$A,#REF!), 0))</f>
        <v/>
      </c>
      <c r="VYQ224" s="19" t="str">
        <f>IF(VYQ220 = "", "", IFERROR(VYQ220 / SUMIFS(Aux_Totales!$N:$N, Aux_Totales!$F:$F, $F224, Aux_Totales!$A:$A,#REF!), 0))</f>
        <v/>
      </c>
      <c r="VYR224" s="19" t="str">
        <f>IF(VYR220 = "", "", IFERROR(VYR220 / SUMIFS(Aux_Totales!$N:$N, Aux_Totales!$F:$F, $F224, Aux_Totales!$A:$A,#REF!), 0))</f>
        <v/>
      </c>
      <c r="VYS224" s="19" t="str">
        <f>IF(VYS220 = "", "", IFERROR(VYS220 / SUMIFS(Aux_Totales!$N:$N, Aux_Totales!$F:$F, $F224, Aux_Totales!$A:$A,#REF!), 0))</f>
        <v/>
      </c>
      <c r="VYT224" s="19" t="str">
        <f>IF(VYT220 = "", "", IFERROR(VYT220 / SUMIFS(Aux_Totales!$N:$N, Aux_Totales!$F:$F, $F224, Aux_Totales!$A:$A,#REF!), 0))</f>
        <v/>
      </c>
      <c r="VYU224" s="19" t="str">
        <f>IF(VYU220 = "", "", IFERROR(VYU220 / SUMIFS(Aux_Totales!$N:$N, Aux_Totales!$F:$F, $F224, Aux_Totales!$A:$A,#REF!), 0))</f>
        <v/>
      </c>
      <c r="VYV224" s="19" t="str">
        <f>IF(VYV220 = "", "", IFERROR(VYV220 / SUMIFS(Aux_Totales!$N:$N, Aux_Totales!$F:$F, $F224, Aux_Totales!$A:$A,#REF!), 0))</f>
        <v/>
      </c>
      <c r="VYW224" s="19" t="str">
        <f>IF(VYW220 = "", "", IFERROR(VYW220 / SUMIFS(Aux_Totales!$N:$N, Aux_Totales!$F:$F, $F224, Aux_Totales!$A:$A,#REF!), 0))</f>
        <v/>
      </c>
      <c r="VYX224" s="19" t="str">
        <f>IF(VYX220 = "", "", IFERROR(VYX220 / SUMIFS(Aux_Totales!$N:$N, Aux_Totales!$F:$F, $F224, Aux_Totales!$A:$A,#REF!), 0))</f>
        <v/>
      </c>
      <c r="VYY224" s="19" t="str">
        <f>IF(VYY220 = "", "", IFERROR(VYY220 / SUMIFS(Aux_Totales!$N:$N, Aux_Totales!$F:$F, $F224, Aux_Totales!$A:$A,#REF!), 0))</f>
        <v/>
      </c>
      <c r="VYZ224" s="19" t="str">
        <f>IF(VYZ220 = "", "", IFERROR(VYZ220 / SUMIFS(Aux_Totales!$N:$N, Aux_Totales!$F:$F, $F224, Aux_Totales!$A:$A,#REF!), 0))</f>
        <v/>
      </c>
      <c r="VZA224" s="19" t="str">
        <f>IF(VZA220 = "", "", IFERROR(VZA220 / SUMIFS(Aux_Totales!$N:$N, Aux_Totales!$F:$F, $F224, Aux_Totales!$A:$A,#REF!), 0))</f>
        <v/>
      </c>
      <c r="VZB224" s="19" t="str">
        <f>IF(VZB220 = "", "", IFERROR(VZB220 / SUMIFS(Aux_Totales!$N:$N, Aux_Totales!$F:$F, $F224, Aux_Totales!$A:$A,#REF!), 0))</f>
        <v/>
      </c>
      <c r="VZC224" s="19" t="str">
        <f>IF(VZC220 = "", "", IFERROR(VZC220 / SUMIFS(Aux_Totales!$N:$N, Aux_Totales!$F:$F, $F224, Aux_Totales!$A:$A,#REF!), 0))</f>
        <v/>
      </c>
      <c r="VZD224" s="19" t="str">
        <f>IF(VZD220 = "", "", IFERROR(VZD220 / SUMIFS(Aux_Totales!$N:$N, Aux_Totales!$F:$F, $F224, Aux_Totales!$A:$A,#REF!), 0))</f>
        <v/>
      </c>
      <c r="VZE224" s="19" t="str">
        <f>IF(VZE220 = "", "", IFERROR(VZE220 / SUMIFS(Aux_Totales!$N:$N, Aux_Totales!$F:$F, $F224, Aux_Totales!$A:$A,#REF!), 0))</f>
        <v/>
      </c>
      <c r="VZF224" s="19" t="str">
        <f>IF(VZF220 = "", "", IFERROR(VZF220 / SUMIFS(Aux_Totales!$N:$N, Aux_Totales!$F:$F, $F224, Aux_Totales!$A:$A,#REF!), 0))</f>
        <v/>
      </c>
      <c r="VZG224" s="19" t="str">
        <f>IF(VZG220 = "", "", IFERROR(VZG220 / SUMIFS(Aux_Totales!$N:$N, Aux_Totales!$F:$F, $F224, Aux_Totales!$A:$A,#REF!), 0))</f>
        <v/>
      </c>
      <c r="VZH224" s="19" t="str">
        <f>IF(VZH220 = "", "", IFERROR(VZH220 / SUMIFS(Aux_Totales!$N:$N, Aux_Totales!$F:$F, $F224, Aux_Totales!$A:$A,#REF!), 0))</f>
        <v/>
      </c>
      <c r="VZI224" s="19" t="str">
        <f>IF(VZI220 = "", "", IFERROR(VZI220 / SUMIFS(Aux_Totales!$N:$N, Aux_Totales!$F:$F, $F224, Aux_Totales!$A:$A,#REF!), 0))</f>
        <v/>
      </c>
      <c r="VZJ224" s="19" t="str">
        <f>IF(VZJ220 = "", "", IFERROR(VZJ220 / SUMIFS(Aux_Totales!$N:$N, Aux_Totales!$F:$F, $F224, Aux_Totales!$A:$A,#REF!), 0))</f>
        <v/>
      </c>
      <c r="VZK224" s="19" t="str">
        <f>IF(VZK220 = "", "", IFERROR(VZK220 / SUMIFS(Aux_Totales!$N:$N, Aux_Totales!$F:$F, $F224, Aux_Totales!$A:$A,#REF!), 0))</f>
        <v/>
      </c>
      <c r="VZL224" s="19" t="str">
        <f>IF(VZL220 = "", "", IFERROR(VZL220 / SUMIFS(Aux_Totales!$N:$N, Aux_Totales!$F:$F, $F224, Aux_Totales!$A:$A,#REF!), 0))</f>
        <v/>
      </c>
      <c r="VZM224" s="19" t="str">
        <f>IF(VZM220 = "", "", IFERROR(VZM220 / SUMIFS(Aux_Totales!$N:$N, Aux_Totales!$F:$F, $F224, Aux_Totales!$A:$A,#REF!), 0))</f>
        <v/>
      </c>
      <c r="VZN224" s="19" t="str">
        <f>IF(VZN220 = "", "", IFERROR(VZN220 / SUMIFS(Aux_Totales!$N:$N, Aux_Totales!$F:$F, $F224, Aux_Totales!$A:$A,#REF!), 0))</f>
        <v/>
      </c>
      <c r="VZO224" s="19" t="str">
        <f>IF(VZO220 = "", "", IFERROR(VZO220 / SUMIFS(Aux_Totales!$N:$N, Aux_Totales!$F:$F, $F224, Aux_Totales!$A:$A,#REF!), 0))</f>
        <v/>
      </c>
      <c r="VZP224" s="19" t="str">
        <f>IF(VZP220 = "", "", IFERROR(VZP220 / SUMIFS(Aux_Totales!$N:$N, Aux_Totales!$F:$F, $F224, Aux_Totales!$A:$A,#REF!), 0))</f>
        <v/>
      </c>
      <c r="VZQ224" s="19" t="str">
        <f>IF(VZQ220 = "", "", IFERROR(VZQ220 / SUMIFS(Aux_Totales!$N:$N, Aux_Totales!$F:$F, $F224, Aux_Totales!$A:$A,#REF!), 0))</f>
        <v/>
      </c>
      <c r="VZR224" s="19" t="str">
        <f>IF(VZR220 = "", "", IFERROR(VZR220 / SUMIFS(Aux_Totales!$N:$N, Aux_Totales!$F:$F, $F224, Aux_Totales!$A:$A,#REF!), 0))</f>
        <v/>
      </c>
      <c r="VZS224" s="19" t="str">
        <f>IF(VZS220 = "", "", IFERROR(VZS220 / SUMIFS(Aux_Totales!$N:$N, Aux_Totales!$F:$F, $F224, Aux_Totales!$A:$A,#REF!), 0))</f>
        <v/>
      </c>
      <c r="VZT224" s="19" t="str">
        <f>IF(VZT220 = "", "", IFERROR(VZT220 / SUMIFS(Aux_Totales!$N:$N, Aux_Totales!$F:$F, $F224, Aux_Totales!$A:$A,#REF!), 0))</f>
        <v/>
      </c>
      <c r="VZU224" s="19" t="str">
        <f>IF(VZU220 = "", "", IFERROR(VZU220 / SUMIFS(Aux_Totales!$N:$N, Aux_Totales!$F:$F, $F224, Aux_Totales!$A:$A,#REF!), 0))</f>
        <v/>
      </c>
      <c r="VZV224" s="19" t="str">
        <f>IF(VZV220 = "", "", IFERROR(VZV220 / SUMIFS(Aux_Totales!$N:$N, Aux_Totales!$F:$F, $F224, Aux_Totales!$A:$A,#REF!), 0))</f>
        <v/>
      </c>
      <c r="VZW224" s="19" t="str">
        <f>IF(VZW220 = "", "", IFERROR(VZW220 / SUMIFS(Aux_Totales!$N:$N, Aux_Totales!$F:$F, $F224, Aux_Totales!$A:$A,#REF!), 0))</f>
        <v/>
      </c>
      <c r="VZX224" s="19" t="str">
        <f>IF(VZX220 = "", "", IFERROR(VZX220 / SUMIFS(Aux_Totales!$N:$N, Aux_Totales!$F:$F, $F224, Aux_Totales!$A:$A,#REF!), 0))</f>
        <v/>
      </c>
      <c r="VZY224" s="19" t="str">
        <f>IF(VZY220 = "", "", IFERROR(VZY220 / SUMIFS(Aux_Totales!$N:$N, Aux_Totales!$F:$F, $F224, Aux_Totales!$A:$A,#REF!), 0))</f>
        <v/>
      </c>
      <c r="VZZ224" s="19" t="str">
        <f>IF(VZZ220 = "", "", IFERROR(VZZ220 / SUMIFS(Aux_Totales!$N:$N, Aux_Totales!$F:$F, $F224, Aux_Totales!$A:$A,#REF!), 0))</f>
        <v/>
      </c>
      <c r="WAA224" s="19" t="str">
        <f>IF(WAA220 = "", "", IFERROR(WAA220 / SUMIFS(Aux_Totales!$N:$N, Aux_Totales!$F:$F, $F224, Aux_Totales!$A:$A,#REF!), 0))</f>
        <v/>
      </c>
      <c r="WAB224" s="19" t="str">
        <f>IF(WAB220 = "", "", IFERROR(WAB220 / SUMIFS(Aux_Totales!$N:$N, Aux_Totales!$F:$F, $F224, Aux_Totales!$A:$A,#REF!), 0))</f>
        <v/>
      </c>
      <c r="WAC224" s="19" t="str">
        <f>IF(WAC220 = "", "", IFERROR(WAC220 / SUMIFS(Aux_Totales!$N:$N, Aux_Totales!$F:$F, $F224, Aux_Totales!$A:$A,#REF!), 0))</f>
        <v/>
      </c>
      <c r="WAD224" s="19" t="str">
        <f>IF(WAD220 = "", "", IFERROR(WAD220 / SUMIFS(Aux_Totales!$N:$N, Aux_Totales!$F:$F, $F224, Aux_Totales!$A:$A,#REF!), 0))</f>
        <v/>
      </c>
      <c r="WAE224" s="19" t="str">
        <f>IF(WAE220 = "", "", IFERROR(WAE220 / SUMIFS(Aux_Totales!$N:$N, Aux_Totales!$F:$F, $F224, Aux_Totales!$A:$A,#REF!), 0))</f>
        <v/>
      </c>
      <c r="WAF224" s="19" t="str">
        <f>IF(WAF220 = "", "", IFERROR(WAF220 / SUMIFS(Aux_Totales!$N:$N, Aux_Totales!$F:$F, $F224, Aux_Totales!$A:$A,#REF!), 0))</f>
        <v/>
      </c>
      <c r="WAG224" s="19" t="str">
        <f>IF(WAG220 = "", "", IFERROR(WAG220 / SUMIFS(Aux_Totales!$N:$N, Aux_Totales!$F:$F, $F224, Aux_Totales!$A:$A,#REF!), 0))</f>
        <v/>
      </c>
      <c r="WAH224" s="19" t="str">
        <f>IF(WAH220 = "", "", IFERROR(WAH220 / SUMIFS(Aux_Totales!$N:$N, Aux_Totales!$F:$F, $F224, Aux_Totales!$A:$A,#REF!), 0))</f>
        <v/>
      </c>
      <c r="WAI224" s="19" t="str">
        <f>IF(WAI220 = "", "", IFERROR(WAI220 / SUMIFS(Aux_Totales!$N:$N, Aux_Totales!$F:$F, $F224, Aux_Totales!$A:$A,#REF!), 0))</f>
        <v/>
      </c>
      <c r="WAJ224" s="19" t="str">
        <f>IF(WAJ220 = "", "", IFERROR(WAJ220 / SUMIFS(Aux_Totales!$N:$N, Aux_Totales!$F:$F, $F224, Aux_Totales!$A:$A,#REF!), 0))</f>
        <v/>
      </c>
      <c r="WAK224" s="19" t="str">
        <f>IF(WAK220 = "", "", IFERROR(WAK220 / SUMIFS(Aux_Totales!$N:$N, Aux_Totales!$F:$F, $F224, Aux_Totales!$A:$A,#REF!), 0))</f>
        <v/>
      </c>
      <c r="WAL224" s="19" t="str">
        <f>IF(WAL220 = "", "", IFERROR(WAL220 / SUMIFS(Aux_Totales!$N:$N, Aux_Totales!$F:$F, $F224, Aux_Totales!$A:$A,#REF!), 0))</f>
        <v/>
      </c>
      <c r="WAM224" s="19" t="str">
        <f>IF(WAM220 = "", "", IFERROR(WAM220 / SUMIFS(Aux_Totales!$N:$N, Aux_Totales!$F:$F, $F224, Aux_Totales!$A:$A,#REF!), 0))</f>
        <v/>
      </c>
      <c r="WAN224" s="19" t="str">
        <f>IF(WAN220 = "", "", IFERROR(WAN220 / SUMIFS(Aux_Totales!$N:$N, Aux_Totales!$F:$F, $F224, Aux_Totales!$A:$A,#REF!), 0))</f>
        <v/>
      </c>
      <c r="WAO224" s="19" t="str">
        <f>IF(WAO220 = "", "", IFERROR(WAO220 / SUMIFS(Aux_Totales!$N:$N, Aux_Totales!$F:$F, $F224, Aux_Totales!$A:$A,#REF!), 0))</f>
        <v/>
      </c>
      <c r="WAP224" s="19" t="str">
        <f>IF(WAP220 = "", "", IFERROR(WAP220 / SUMIFS(Aux_Totales!$N:$N, Aux_Totales!$F:$F, $F224, Aux_Totales!$A:$A,#REF!), 0))</f>
        <v/>
      </c>
      <c r="WAQ224" s="19" t="str">
        <f>IF(WAQ220 = "", "", IFERROR(WAQ220 / SUMIFS(Aux_Totales!$N:$N, Aux_Totales!$F:$F, $F224, Aux_Totales!$A:$A,#REF!), 0))</f>
        <v/>
      </c>
      <c r="WAR224" s="19" t="str">
        <f>IF(WAR220 = "", "", IFERROR(WAR220 / SUMIFS(Aux_Totales!$N:$N, Aux_Totales!$F:$F, $F224, Aux_Totales!$A:$A,#REF!), 0))</f>
        <v/>
      </c>
      <c r="WAS224" s="19" t="str">
        <f>IF(WAS220 = "", "", IFERROR(WAS220 / SUMIFS(Aux_Totales!$N:$N, Aux_Totales!$F:$F, $F224, Aux_Totales!$A:$A,#REF!), 0))</f>
        <v/>
      </c>
      <c r="WAT224" s="19" t="str">
        <f>IF(WAT220 = "", "", IFERROR(WAT220 / SUMIFS(Aux_Totales!$N:$N, Aux_Totales!$F:$F, $F224, Aux_Totales!$A:$A,#REF!), 0))</f>
        <v/>
      </c>
      <c r="WAU224" s="19" t="str">
        <f>IF(WAU220 = "", "", IFERROR(WAU220 / SUMIFS(Aux_Totales!$N:$N, Aux_Totales!$F:$F, $F224, Aux_Totales!$A:$A,#REF!), 0))</f>
        <v/>
      </c>
      <c r="WAV224" s="19" t="str">
        <f>IF(WAV220 = "", "", IFERROR(WAV220 / SUMIFS(Aux_Totales!$N:$N, Aux_Totales!$F:$F, $F224, Aux_Totales!$A:$A,#REF!), 0))</f>
        <v/>
      </c>
      <c r="WAW224" s="19" t="str">
        <f>IF(WAW220 = "", "", IFERROR(WAW220 / SUMIFS(Aux_Totales!$N:$N, Aux_Totales!$F:$F, $F224, Aux_Totales!$A:$A,#REF!), 0))</f>
        <v/>
      </c>
      <c r="WAX224" s="19" t="str">
        <f>IF(WAX220 = "", "", IFERROR(WAX220 / SUMIFS(Aux_Totales!$N:$N, Aux_Totales!$F:$F, $F224, Aux_Totales!$A:$A,#REF!), 0))</f>
        <v/>
      </c>
      <c r="WAY224" s="19" t="str">
        <f>IF(WAY220 = "", "", IFERROR(WAY220 / SUMIFS(Aux_Totales!$N:$N, Aux_Totales!$F:$F, $F224, Aux_Totales!$A:$A,#REF!), 0))</f>
        <v/>
      </c>
      <c r="WAZ224" s="19" t="str">
        <f>IF(WAZ220 = "", "", IFERROR(WAZ220 / SUMIFS(Aux_Totales!$N:$N, Aux_Totales!$F:$F, $F224, Aux_Totales!$A:$A,#REF!), 0))</f>
        <v/>
      </c>
      <c r="WBA224" s="19" t="str">
        <f>IF(WBA220 = "", "", IFERROR(WBA220 / SUMIFS(Aux_Totales!$N:$N, Aux_Totales!$F:$F, $F224, Aux_Totales!$A:$A,#REF!), 0))</f>
        <v/>
      </c>
      <c r="WBB224" s="19" t="str">
        <f>IF(WBB220 = "", "", IFERROR(WBB220 / SUMIFS(Aux_Totales!$N:$N, Aux_Totales!$F:$F, $F224, Aux_Totales!$A:$A,#REF!), 0))</f>
        <v/>
      </c>
      <c r="WBC224" s="19" t="str">
        <f>IF(WBC220 = "", "", IFERROR(WBC220 / SUMIFS(Aux_Totales!$N:$N, Aux_Totales!$F:$F, $F224, Aux_Totales!$A:$A,#REF!), 0))</f>
        <v/>
      </c>
      <c r="WBD224" s="19" t="str">
        <f>IF(WBD220 = "", "", IFERROR(WBD220 / SUMIFS(Aux_Totales!$N:$N, Aux_Totales!$F:$F, $F224, Aux_Totales!$A:$A,#REF!), 0))</f>
        <v/>
      </c>
      <c r="WBE224" s="19" t="str">
        <f>IF(WBE220 = "", "", IFERROR(WBE220 / SUMIFS(Aux_Totales!$N:$N, Aux_Totales!$F:$F, $F224, Aux_Totales!$A:$A,#REF!), 0))</f>
        <v/>
      </c>
      <c r="WBF224" s="19" t="str">
        <f>IF(WBF220 = "", "", IFERROR(WBF220 / SUMIFS(Aux_Totales!$N:$N, Aux_Totales!$F:$F, $F224, Aux_Totales!$A:$A,#REF!), 0))</f>
        <v/>
      </c>
      <c r="WBG224" s="19" t="str">
        <f>IF(WBG220 = "", "", IFERROR(WBG220 / SUMIFS(Aux_Totales!$N:$N, Aux_Totales!$F:$F, $F224, Aux_Totales!$A:$A,#REF!), 0))</f>
        <v/>
      </c>
      <c r="WBH224" s="19" t="str">
        <f>IF(WBH220 = "", "", IFERROR(WBH220 / SUMIFS(Aux_Totales!$N:$N, Aux_Totales!$F:$F, $F224, Aux_Totales!$A:$A,#REF!), 0))</f>
        <v/>
      </c>
      <c r="WBI224" s="19" t="str">
        <f>IF(WBI220 = "", "", IFERROR(WBI220 / SUMIFS(Aux_Totales!$N:$N, Aux_Totales!$F:$F, $F224, Aux_Totales!$A:$A,#REF!), 0))</f>
        <v/>
      </c>
      <c r="WBJ224" s="19" t="str">
        <f>IF(WBJ220 = "", "", IFERROR(WBJ220 / SUMIFS(Aux_Totales!$N:$N, Aux_Totales!$F:$F, $F224, Aux_Totales!$A:$A,#REF!), 0))</f>
        <v/>
      </c>
      <c r="WBK224" s="19" t="str">
        <f>IF(WBK220 = "", "", IFERROR(WBK220 / SUMIFS(Aux_Totales!$N:$N, Aux_Totales!$F:$F, $F224, Aux_Totales!$A:$A,#REF!), 0))</f>
        <v/>
      </c>
      <c r="WBL224" s="19" t="str">
        <f>IF(WBL220 = "", "", IFERROR(WBL220 / SUMIFS(Aux_Totales!$N:$N, Aux_Totales!$F:$F, $F224, Aux_Totales!$A:$A,#REF!), 0))</f>
        <v/>
      </c>
      <c r="WBM224" s="19" t="str">
        <f>IF(WBM220 = "", "", IFERROR(WBM220 / SUMIFS(Aux_Totales!$N:$N, Aux_Totales!$F:$F, $F224, Aux_Totales!$A:$A,#REF!), 0))</f>
        <v/>
      </c>
      <c r="WBN224" s="19" t="str">
        <f>IF(WBN220 = "", "", IFERROR(WBN220 / SUMIFS(Aux_Totales!$N:$N, Aux_Totales!$F:$F, $F224, Aux_Totales!$A:$A,#REF!), 0))</f>
        <v/>
      </c>
      <c r="WBO224" s="19" t="str">
        <f>IF(WBO220 = "", "", IFERROR(WBO220 / SUMIFS(Aux_Totales!$N:$N, Aux_Totales!$F:$F, $F224, Aux_Totales!$A:$A,#REF!), 0))</f>
        <v/>
      </c>
      <c r="WBP224" s="19" t="str">
        <f>IF(WBP220 = "", "", IFERROR(WBP220 / SUMIFS(Aux_Totales!$N:$N, Aux_Totales!$F:$F, $F224, Aux_Totales!$A:$A,#REF!), 0))</f>
        <v/>
      </c>
      <c r="WBQ224" s="19" t="str">
        <f>IF(WBQ220 = "", "", IFERROR(WBQ220 / SUMIFS(Aux_Totales!$N:$N, Aux_Totales!$F:$F, $F224, Aux_Totales!$A:$A,#REF!), 0))</f>
        <v/>
      </c>
      <c r="WBR224" s="19" t="str">
        <f>IF(WBR220 = "", "", IFERROR(WBR220 / SUMIFS(Aux_Totales!$N:$N, Aux_Totales!$F:$F, $F224, Aux_Totales!$A:$A,#REF!), 0))</f>
        <v/>
      </c>
      <c r="WBS224" s="19" t="str">
        <f>IF(WBS220 = "", "", IFERROR(WBS220 / SUMIFS(Aux_Totales!$N:$N, Aux_Totales!$F:$F, $F224, Aux_Totales!$A:$A,#REF!), 0))</f>
        <v/>
      </c>
      <c r="WBT224" s="19" t="str">
        <f>IF(WBT220 = "", "", IFERROR(WBT220 / SUMIFS(Aux_Totales!$N:$N, Aux_Totales!$F:$F, $F224, Aux_Totales!$A:$A,#REF!), 0))</f>
        <v/>
      </c>
      <c r="WBU224" s="19" t="str">
        <f>IF(WBU220 = "", "", IFERROR(WBU220 / SUMIFS(Aux_Totales!$N:$N, Aux_Totales!$F:$F, $F224, Aux_Totales!$A:$A,#REF!), 0))</f>
        <v/>
      </c>
      <c r="WBV224" s="19" t="str">
        <f>IF(WBV220 = "", "", IFERROR(WBV220 / SUMIFS(Aux_Totales!$N:$N, Aux_Totales!$F:$F, $F224, Aux_Totales!$A:$A,#REF!), 0))</f>
        <v/>
      </c>
      <c r="WBW224" s="19" t="str">
        <f>IF(WBW220 = "", "", IFERROR(WBW220 / SUMIFS(Aux_Totales!$N:$N, Aux_Totales!$F:$F, $F224, Aux_Totales!$A:$A,#REF!), 0))</f>
        <v/>
      </c>
      <c r="WBX224" s="19" t="str">
        <f>IF(WBX220 = "", "", IFERROR(WBX220 / SUMIFS(Aux_Totales!$N:$N, Aux_Totales!$F:$F, $F224, Aux_Totales!$A:$A,#REF!), 0))</f>
        <v/>
      </c>
      <c r="WBY224" s="19" t="str">
        <f>IF(WBY220 = "", "", IFERROR(WBY220 / SUMIFS(Aux_Totales!$N:$N, Aux_Totales!$F:$F, $F224, Aux_Totales!$A:$A,#REF!), 0))</f>
        <v/>
      </c>
      <c r="WBZ224" s="19" t="str">
        <f>IF(WBZ220 = "", "", IFERROR(WBZ220 / SUMIFS(Aux_Totales!$N:$N, Aux_Totales!$F:$F, $F224, Aux_Totales!$A:$A,#REF!), 0))</f>
        <v/>
      </c>
      <c r="WCA224" s="19" t="str">
        <f>IF(WCA220 = "", "", IFERROR(WCA220 / SUMIFS(Aux_Totales!$N:$N, Aux_Totales!$F:$F, $F224, Aux_Totales!$A:$A,#REF!), 0))</f>
        <v/>
      </c>
      <c r="WCB224" s="19" t="str">
        <f>IF(WCB220 = "", "", IFERROR(WCB220 / SUMIFS(Aux_Totales!$N:$N, Aux_Totales!$F:$F, $F224, Aux_Totales!$A:$A,#REF!), 0))</f>
        <v/>
      </c>
      <c r="WCC224" s="19" t="str">
        <f>IF(WCC220 = "", "", IFERROR(WCC220 / SUMIFS(Aux_Totales!$N:$N, Aux_Totales!$F:$F, $F224, Aux_Totales!$A:$A,#REF!), 0))</f>
        <v/>
      </c>
      <c r="WCD224" s="19" t="str">
        <f>IF(WCD220 = "", "", IFERROR(WCD220 / SUMIFS(Aux_Totales!$N:$N, Aux_Totales!$F:$F, $F224, Aux_Totales!$A:$A,#REF!), 0))</f>
        <v/>
      </c>
      <c r="WCE224" s="19" t="str">
        <f>IF(WCE220 = "", "", IFERROR(WCE220 / SUMIFS(Aux_Totales!$N:$N, Aux_Totales!$F:$F, $F224, Aux_Totales!$A:$A,#REF!), 0))</f>
        <v/>
      </c>
      <c r="WCF224" s="19" t="str">
        <f>IF(WCF220 = "", "", IFERROR(WCF220 / SUMIFS(Aux_Totales!$N:$N, Aux_Totales!$F:$F, $F224, Aux_Totales!$A:$A,#REF!), 0))</f>
        <v/>
      </c>
      <c r="WCG224" s="19" t="str">
        <f>IF(WCG220 = "", "", IFERROR(WCG220 / SUMIFS(Aux_Totales!$N:$N, Aux_Totales!$F:$F, $F224, Aux_Totales!$A:$A,#REF!), 0))</f>
        <v/>
      </c>
      <c r="WCH224" s="19" t="str">
        <f>IF(WCH220 = "", "", IFERROR(WCH220 / SUMIFS(Aux_Totales!$N:$N, Aux_Totales!$F:$F, $F224, Aux_Totales!$A:$A,#REF!), 0))</f>
        <v/>
      </c>
      <c r="WCI224" s="19" t="str">
        <f>IF(WCI220 = "", "", IFERROR(WCI220 / SUMIFS(Aux_Totales!$N:$N, Aux_Totales!$F:$F, $F224, Aux_Totales!$A:$A,#REF!), 0))</f>
        <v/>
      </c>
      <c r="WCJ224" s="19" t="str">
        <f>IF(WCJ220 = "", "", IFERROR(WCJ220 / SUMIFS(Aux_Totales!$N:$N, Aux_Totales!$F:$F, $F224, Aux_Totales!$A:$A,#REF!), 0))</f>
        <v/>
      </c>
      <c r="WCK224" s="19" t="str">
        <f>IF(WCK220 = "", "", IFERROR(WCK220 / SUMIFS(Aux_Totales!$N:$N, Aux_Totales!$F:$F, $F224, Aux_Totales!$A:$A,#REF!), 0))</f>
        <v/>
      </c>
      <c r="WCL224" s="19" t="str">
        <f>IF(WCL220 = "", "", IFERROR(WCL220 / SUMIFS(Aux_Totales!$N:$N, Aux_Totales!$F:$F, $F224, Aux_Totales!$A:$A,#REF!), 0))</f>
        <v/>
      </c>
      <c r="WCM224" s="19" t="str">
        <f>IF(WCM220 = "", "", IFERROR(WCM220 / SUMIFS(Aux_Totales!$N:$N, Aux_Totales!$F:$F, $F224, Aux_Totales!$A:$A,#REF!), 0))</f>
        <v/>
      </c>
      <c r="WCN224" s="19" t="str">
        <f>IF(WCN220 = "", "", IFERROR(WCN220 / SUMIFS(Aux_Totales!$N:$N, Aux_Totales!$F:$F, $F224, Aux_Totales!$A:$A,#REF!), 0))</f>
        <v/>
      </c>
      <c r="WCO224" s="19" t="str">
        <f>IF(WCO220 = "", "", IFERROR(WCO220 / SUMIFS(Aux_Totales!$N:$N, Aux_Totales!$F:$F, $F224, Aux_Totales!$A:$A,#REF!), 0))</f>
        <v/>
      </c>
      <c r="WCP224" s="19" t="str">
        <f>IF(WCP220 = "", "", IFERROR(WCP220 / SUMIFS(Aux_Totales!$N:$N, Aux_Totales!$F:$F, $F224, Aux_Totales!$A:$A,#REF!), 0))</f>
        <v/>
      </c>
      <c r="WCQ224" s="19" t="str">
        <f>IF(WCQ220 = "", "", IFERROR(WCQ220 / SUMIFS(Aux_Totales!$N:$N, Aux_Totales!$F:$F, $F224, Aux_Totales!$A:$A,#REF!), 0))</f>
        <v/>
      </c>
      <c r="WCR224" s="19" t="str">
        <f>IF(WCR220 = "", "", IFERROR(WCR220 / SUMIFS(Aux_Totales!$N:$N, Aux_Totales!$F:$F, $F224, Aux_Totales!$A:$A,#REF!), 0))</f>
        <v/>
      </c>
      <c r="WCS224" s="19" t="str">
        <f>IF(WCS220 = "", "", IFERROR(WCS220 / SUMIFS(Aux_Totales!$N:$N, Aux_Totales!$F:$F, $F224, Aux_Totales!$A:$A,#REF!), 0))</f>
        <v/>
      </c>
      <c r="WCT224" s="19" t="str">
        <f>IF(WCT220 = "", "", IFERROR(WCT220 / SUMIFS(Aux_Totales!$N:$N, Aux_Totales!$F:$F, $F224, Aux_Totales!$A:$A,#REF!), 0))</f>
        <v/>
      </c>
      <c r="WCU224" s="19" t="str">
        <f>IF(WCU220 = "", "", IFERROR(WCU220 / SUMIFS(Aux_Totales!$N:$N, Aux_Totales!$F:$F, $F224, Aux_Totales!$A:$A,#REF!), 0))</f>
        <v/>
      </c>
      <c r="WCV224" s="19" t="str">
        <f>IF(WCV220 = "", "", IFERROR(WCV220 / SUMIFS(Aux_Totales!$N:$N, Aux_Totales!$F:$F, $F224, Aux_Totales!$A:$A,#REF!), 0))</f>
        <v/>
      </c>
      <c r="WCW224" s="19" t="str">
        <f>IF(WCW220 = "", "", IFERROR(WCW220 / SUMIFS(Aux_Totales!$N:$N, Aux_Totales!$F:$F, $F224, Aux_Totales!$A:$A,#REF!), 0))</f>
        <v/>
      </c>
      <c r="WCX224" s="19" t="str">
        <f>IF(WCX220 = "", "", IFERROR(WCX220 / SUMIFS(Aux_Totales!$N:$N, Aux_Totales!$F:$F, $F224, Aux_Totales!$A:$A,#REF!), 0))</f>
        <v/>
      </c>
      <c r="WCY224" s="19" t="str">
        <f>IF(WCY220 = "", "", IFERROR(WCY220 / SUMIFS(Aux_Totales!$N:$N, Aux_Totales!$F:$F, $F224, Aux_Totales!$A:$A,#REF!), 0))</f>
        <v/>
      </c>
      <c r="WCZ224" s="19" t="str">
        <f>IF(WCZ220 = "", "", IFERROR(WCZ220 / SUMIFS(Aux_Totales!$N:$N, Aux_Totales!$F:$F, $F224, Aux_Totales!$A:$A,#REF!), 0))</f>
        <v/>
      </c>
      <c r="WDA224" s="19" t="str">
        <f>IF(WDA220 = "", "", IFERROR(WDA220 / SUMIFS(Aux_Totales!$N:$N, Aux_Totales!$F:$F, $F224, Aux_Totales!$A:$A,#REF!), 0))</f>
        <v/>
      </c>
      <c r="WDB224" s="19" t="str">
        <f>IF(WDB220 = "", "", IFERROR(WDB220 / SUMIFS(Aux_Totales!$N:$N, Aux_Totales!$F:$F, $F224, Aux_Totales!$A:$A,#REF!), 0))</f>
        <v/>
      </c>
      <c r="WDC224" s="19" t="str">
        <f>IF(WDC220 = "", "", IFERROR(WDC220 / SUMIFS(Aux_Totales!$N:$N, Aux_Totales!$F:$F, $F224, Aux_Totales!$A:$A,#REF!), 0))</f>
        <v/>
      </c>
      <c r="WDD224" s="19" t="str">
        <f>IF(WDD220 = "", "", IFERROR(WDD220 / SUMIFS(Aux_Totales!$N:$N, Aux_Totales!$F:$F, $F224, Aux_Totales!$A:$A,#REF!), 0))</f>
        <v/>
      </c>
      <c r="WDE224" s="19" t="str">
        <f>IF(WDE220 = "", "", IFERROR(WDE220 / SUMIFS(Aux_Totales!$N:$N, Aux_Totales!$F:$F, $F224, Aux_Totales!$A:$A,#REF!), 0))</f>
        <v/>
      </c>
      <c r="WDF224" s="19" t="str">
        <f>IF(WDF220 = "", "", IFERROR(WDF220 / SUMIFS(Aux_Totales!$N:$N, Aux_Totales!$F:$F, $F224, Aux_Totales!$A:$A,#REF!), 0))</f>
        <v/>
      </c>
      <c r="WDG224" s="19" t="str">
        <f>IF(WDG220 = "", "", IFERROR(WDG220 / SUMIFS(Aux_Totales!$N:$N, Aux_Totales!$F:$F, $F224, Aux_Totales!$A:$A,#REF!), 0))</f>
        <v/>
      </c>
      <c r="WDH224" s="19" t="str">
        <f>IF(WDH220 = "", "", IFERROR(WDH220 / SUMIFS(Aux_Totales!$N:$N, Aux_Totales!$F:$F, $F224, Aux_Totales!$A:$A,#REF!), 0))</f>
        <v/>
      </c>
      <c r="WDI224" s="19" t="str">
        <f>IF(WDI220 = "", "", IFERROR(WDI220 / SUMIFS(Aux_Totales!$N:$N, Aux_Totales!$F:$F, $F224, Aux_Totales!$A:$A,#REF!), 0))</f>
        <v/>
      </c>
      <c r="WDJ224" s="19" t="str">
        <f>IF(WDJ220 = "", "", IFERROR(WDJ220 / SUMIFS(Aux_Totales!$N:$N, Aux_Totales!$F:$F, $F224, Aux_Totales!$A:$A,#REF!), 0))</f>
        <v/>
      </c>
      <c r="WDK224" s="19" t="str">
        <f>IF(WDK220 = "", "", IFERROR(WDK220 / SUMIFS(Aux_Totales!$N:$N, Aux_Totales!$F:$F, $F224, Aux_Totales!$A:$A,#REF!), 0))</f>
        <v/>
      </c>
      <c r="WDL224" s="19" t="str">
        <f>IF(WDL220 = "", "", IFERROR(WDL220 / SUMIFS(Aux_Totales!$N:$N, Aux_Totales!$F:$F, $F224, Aux_Totales!$A:$A,#REF!), 0))</f>
        <v/>
      </c>
      <c r="WDM224" s="19" t="str">
        <f>IF(WDM220 = "", "", IFERROR(WDM220 / SUMIFS(Aux_Totales!$N:$N, Aux_Totales!$F:$F, $F224, Aux_Totales!$A:$A,#REF!), 0))</f>
        <v/>
      </c>
      <c r="WDN224" s="19" t="str">
        <f>IF(WDN220 = "", "", IFERROR(WDN220 / SUMIFS(Aux_Totales!$N:$N, Aux_Totales!$F:$F, $F224, Aux_Totales!$A:$A,#REF!), 0))</f>
        <v/>
      </c>
      <c r="WDO224" s="19" t="str">
        <f>IF(WDO220 = "", "", IFERROR(WDO220 / SUMIFS(Aux_Totales!$N:$N, Aux_Totales!$F:$F, $F224, Aux_Totales!$A:$A,#REF!), 0))</f>
        <v/>
      </c>
      <c r="WDP224" s="19" t="str">
        <f>IF(WDP220 = "", "", IFERROR(WDP220 / SUMIFS(Aux_Totales!$N:$N, Aux_Totales!$F:$F, $F224, Aux_Totales!$A:$A,#REF!), 0))</f>
        <v/>
      </c>
      <c r="WDQ224" s="19" t="str">
        <f>IF(WDQ220 = "", "", IFERROR(WDQ220 / SUMIFS(Aux_Totales!$N:$N, Aux_Totales!$F:$F, $F224, Aux_Totales!$A:$A,#REF!), 0))</f>
        <v/>
      </c>
      <c r="WDR224" s="19" t="str">
        <f>IF(WDR220 = "", "", IFERROR(WDR220 / SUMIFS(Aux_Totales!$N:$N, Aux_Totales!$F:$F, $F224, Aux_Totales!$A:$A,#REF!), 0))</f>
        <v/>
      </c>
      <c r="WDS224" s="19" t="str">
        <f>IF(WDS220 = "", "", IFERROR(WDS220 / SUMIFS(Aux_Totales!$N:$N, Aux_Totales!$F:$F, $F224, Aux_Totales!$A:$A,#REF!), 0))</f>
        <v/>
      </c>
      <c r="WDT224" s="19" t="str">
        <f>IF(WDT220 = "", "", IFERROR(WDT220 / SUMIFS(Aux_Totales!$N:$N, Aux_Totales!$F:$F, $F224, Aux_Totales!$A:$A,#REF!), 0))</f>
        <v/>
      </c>
      <c r="WDU224" s="19" t="str">
        <f>IF(WDU220 = "", "", IFERROR(WDU220 / SUMIFS(Aux_Totales!$N:$N, Aux_Totales!$F:$F, $F224, Aux_Totales!$A:$A,#REF!), 0))</f>
        <v/>
      </c>
      <c r="WDV224" s="19" t="str">
        <f>IF(WDV220 = "", "", IFERROR(WDV220 / SUMIFS(Aux_Totales!$N:$N, Aux_Totales!$F:$F, $F224, Aux_Totales!$A:$A,#REF!), 0))</f>
        <v/>
      </c>
      <c r="WDW224" s="19" t="str">
        <f>IF(WDW220 = "", "", IFERROR(WDW220 / SUMIFS(Aux_Totales!$N:$N, Aux_Totales!$F:$F, $F224, Aux_Totales!$A:$A,#REF!), 0))</f>
        <v/>
      </c>
      <c r="WDX224" s="19" t="str">
        <f>IF(WDX220 = "", "", IFERROR(WDX220 / SUMIFS(Aux_Totales!$N:$N, Aux_Totales!$F:$F, $F224, Aux_Totales!$A:$A,#REF!), 0))</f>
        <v/>
      </c>
      <c r="WDY224" s="19" t="str">
        <f>IF(WDY220 = "", "", IFERROR(WDY220 / SUMIFS(Aux_Totales!$N:$N, Aux_Totales!$F:$F, $F224, Aux_Totales!$A:$A,#REF!), 0))</f>
        <v/>
      </c>
      <c r="WDZ224" s="19" t="str">
        <f>IF(WDZ220 = "", "", IFERROR(WDZ220 / SUMIFS(Aux_Totales!$N:$N, Aux_Totales!$F:$F, $F224, Aux_Totales!$A:$A,#REF!), 0))</f>
        <v/>
      </c>
      <c r="WEA224" s="19" t="str">
        <f>IF(WEA220 = "", "", IFERROR(WEA220 / SUMIFS(Aux_Totales!$N:$N, Aux_Totales!$F:$F, $F224, Aux_Totales!$A:$A,#REF!), 0))</f>
        <v/>
      </c>
      <c r="WEB224" s="19" t="str">
        <f>IF(WEB220 = "", "", IFERROR(WEB220 / SUMIFS(Aux_Totales!$N:$N, Aux_Totales!$F:$F, $F224, Aux_Totales!$A:$A,#REF!), 0))</f>
        <v/>
      </c>
      <c r="WEC224" s="19" t="str">
        <f>IF(WEC220 = "", "", IFERROR(WEC220 / SUMIFS(Aux_Totales!$N:$N, Aux_Totales!$F:$F, $F224, Aux_Totales!$A:$A,#REF!), 0))</f>
        <v/>
      </c>
      <c r="WED224" s="19" t="str">
        <f>IF(WED220 = "", "", IFERROR(WED220 / SUMIFS(Aux_Totales!$N:$N, Aux_Totales!$F:$F, $F224, Aux_Totales!$A:$A,#REF!), 0))</f>
        <v/>
      </c>
      <c r="WEE224" s="19" t="str">
        <f>IF(WEE220 = "", "", IFERROR(WEE220 / SUMIFS(Aux_Totales!$N:$N, Aux_Totales!$F:$F, $F224, Aux_Totales!$A:$A,#REF!), 0))</f>
        <v/>
      </c>
      <c r="WEF224" s="19" t="str">
        <f>IF(WEF220 = "", "", IFERROR(WEF220 / SUMIFS(Aux_Totales!$N:$N, Aux_Totales!$F:$F, $F224, Aux_Totales!$A:$A,#REF!), 0))</f>
        <v/>
      </c>
      <c r="WEG224" s="19" t="str">
        <f>IF(WEG220 = "", "", IFERROR(WEG220 / SUMIFS(Aux_Totales!$N:$N, Aux_Totales!$F:$F, $F224, Aux_Totales!$A:$A,#REF!), 0))</f>
        <v/>
      </c>
      <c r="WEH224" s="19" t="str">
        <f>IF(WEH220 = "", "", IFERROR(WEH220 / SUMIFS(Aux_Totales!$N:$N, Aux_Totales!$F:$F, $F224, Aux_Totales!$A:$A,#REF!), 0))</f>
        <v/>
      </c>
      <c r="WEI224" s="19" t="str">
        <f>IF(WEI220 = "", "", IFERROR(WEI220 / SUMIFS(Aux_Totales!$N:$N, Aux_Totales!$F:$F, $F224, Aux_Totales!$A:$A,#REF!), 0))</f>
        <v/>
      </c>
      <c r="WEJ224" s="19" t="str">
        <f>IF(WEJ220 = "", "", IFERROR(WEJ220 / SUMIFS(Aux_Totales!$N:$N, Aux_Totales!$F:$F, $F224, Aux_Totales!$A:$A,#REF!), 0))</f>
        <v/>
      </c>
      <c r="WEK224" s="19" t="str">
        <f>IF(WEK220 = "", "", IFERROR(WEK220 / SUMIFS(Aux_Totales!$N:$N, Aux_Totales!$F:$F, $F224, Aux_Totales!$A:$A,#REF!), 0))</f>
        <v/>
      </c>
      <c r="WEL224" s="19" t="str">
        <f>IF(WEL220 = "", "", IFERROR(WEL220 / SUMIFS(Aux_Totales!$N:$N, Aux_Totales!$F:$F, $F224, Aux_Totales!$A:$A,#REF!), 0))</f>
        <v/>
      </c>
      <c r="WEM224" s="19" t="str">
        <f>IF(WEM220 = "", "", IFERROR(WEM220 / SUMIFS(Aux_Totales!$N:$N, Aux_Totales!$F:$F, $F224, Aux_Totales!$A:$A,#REF!), 0))</f>
        <v/>
      </c>
      <c r="WEN224" s="19" t="str">
        <f>IF(WEN220 = "", "", IFERROR(WEN220 / SUMIFS(Aux_Totales!$N:$N, Aux_Totales!$F:$F, $F224, Aux_Totales!$A:$A,#REF!), 0))</f>
        <v/>
      </c>
      <c r="WEO224" s="19" t="str">
        <f>IF(WEO220 = "", "", IFERROR(WEO220 / SUMIFS(Aux_Totales!$N:$N, Aux_Totales!$F:$F, $F224, Aux_Totales!$A:$A,#REF!), 0))</f>
        <v/>
      </c>
      <c r="WEP224" s="19" t="str">
        <f>IF(WEP220 = "", "", IFERROR(WEP220 / SUMIFS(Aux_Totales!$N:$N, Aux_Totales!$F:$F, $F224, Aux_Totales!$A:$A,#REF!), 0))</f>
        <v/>
      </c>
      <c r="WEQ224" s="19" t="str">
        <f>IF(WEQ220 = "", "", IFERROR(WEQ220 / SUMIFS(Aux_Totales!$N:$N, Aux_Totales!$F:$F, $F224, Aux_Totales!$A:$A,#REF!), 0))</f>
        <v/>
      </c>
      <c r="WER224" s="19" t="str">
        <f>IF(WER220 = "", "", IFERROR(WER220 / SUMIFS(Aux_Totales!$N:$N, Aux_Totales!$F:$F, $F224, Aux_Totales!$A:$A,#REF!), 0))</f>
        <v/>
      </c>
      <c r="WES224" s="19" t="str">
        <f>IF(WES220 = "", "", IFERROR(WES220 / SUMIFS(Aux_Totales!$N:$N, Aux_Totales!$F:$F, $F224, Aux_Totales!$A:$A,#REF!), 0))</f>
        <v/>
      </c>
      <c r="WET224" s="19" t="str">
        <f>IF(WET220 = "", "", IFERROR(WET220 / SUMIFS(Aux_Totales!$N:$N, Aux_Totales!$F:$F, $F224, Aux_Totales!$A:$A,#REF!), 0))</f>
        <v/>
      </c>
      <c r="WEU224" s="19" t="str">
        <f>IF(WEU220 = "", "", IFERROR(WEU220 / SUMIFS(Aux_Totales!$N:$N, Aux_Totales!$F:$F, $F224, Aux_Totales!$A:$A,#REF!), 0))</f>
        <v/>
      </c>
      <c r="WEV224" s="19" t="str">
        <f>IF(WEV220 = "", "", IFERROR(WEV220 / SUMIFS(Aux_Totales!$N:$N, Aux_Totales!$F:$F, $F224, Aux_Totales!$A:$A,#REF!), 0))</f>
        <v/>
      </c>
      <c r="WEW224" s="19" t="str">
        <f>IF(WEW220 = "", "", IFERROR(WEW220 / SUMIFS(Aux_Totales!$N:$N, Aux_Totales!$F:$F, $F224, Aux_Totales!$A:$A,#REF!), 0))</f>
        <v/>
      </c>
      <c r="WEX224" s="19" t="str">
        <f>IF(WEX220 = "", "", IFERROR(WEX220 / SUMIFS(Aux_Totales!$N:$N, Aux_Totales!$F:$F, $F224, Aux_Totales!$A:$A,#REF!), 0))</f>
        <v/>
      </c>
      <c r="WEY224" s="19" t="str">
        <f>IF(WEY220 = "", "", IFERROR(WEY220 / SUMIFS(Aux_Totales!$N:$N, Aux_Totales!$F:$F, $F224, Aux_Totales!$A:$A,#REF!), 0))</f>
        <v/>
      </c>
      <c r="WEZ224" s="19" t="str">
        <f>IF(WEZ220 = "", "", IFERROR(WEZ220 / SUMIFS(Aux_Totales!$N:$N, Aux_Totales!$F:$F, $F224, Aux_Totales!$A:$A,#REF!), 0))</f>
        <v/>
      </c>
      <c r="WFA224" s="19" t="str">
        <f>IF(WFA220 = "", "", IFERROR(WFA220 / SUMIFS(Aux_Totales!$N:$N, Aux_Totales!$F:$F, $F224, Aux_Totales!$A:$A,#REF!), 0))</f>
        <v/>
      </c>
      <c r="WFB224" s="19" t="str">
        <f>IF(WFB220 = "", "", IFERROR(WFB220 / SUMIFS(Aux_Totales!$N:$N, Aux_Totales!$F:$F, $F224, Aux_Totales!$A:$A,#REF!), 0))</f>
        <v/>
      </c>
      <c r="WFC224" s="19" t="str">
        <f>IF(WFC220 = "", "", IFERROR(WFC220 / SUMIFS(Aux_Totales!$N:$N, Aux_Totales!$F:$F, $F224, Aux_Totales!$A:$A,#REF!), 0))</f>
        <v/>
      </c>
      <c r="WFD224" s="19" t="str">
        <f>IF(WFD220 = "", "", IFERROR(WFD220 / SUMIFS(Aux_Totales!$N:$N, Aux_Totales!$F:$F, $F224, Aux_Totales!$A:$A,#REF!), 0))</f>
        <v/>
      </c>
      <c r="WFE224" s="19" t="str">
        <f>IF(WFE220 = "", "", IFERROR(WFE220 / SUMIFS(Aux_Totales!$N:$N, Aux_Totales!$F:$F, $F224, Aux_Totales!$A:$A,#REF!), 0))</f>
        <v/>
      </c>
      <c r="WFF224" s="19" t="str">
        <f>IF(WFF220 = "", "", IFERROR(WFF220 / SUMIFS(Aux_Totales!$N:$N, Aux_Totales!$F:$F, $F224, Aux_Totales!$A:$A,#REF!), 0))</f>
        <v/>
      </c>
      <c r="WFG224" s="19" t="str">
        <f>IF(WFG220 = "", "", IFERROR(WFG220 / SUMIFS(Aux_Totales!$N:$N, Aux_Totales!$F:$F, $F224, Aux_Totales!$A:$A,#REF!), 0))</f>
        <v/>
      </c>
      <c r="WFH224" s="19" t="str">
        <f>IF(WFH220 = "", "", IFERROR(WFH220 / SUMIFS(Aux_Totales!$N:$N, Aux_Totales!$F:$F, $F224, Aux_Totales!$A:$A,#REF!), 0))</f>
        <v/>
      </c>
      <c r="WFI224" s="19" t="str">
        <f>IF(WFI220 = "", "", IFERROR(WFI220 / SUMIFS(Aux_Totales!$N:$N, Aux_Totales!$F:$F, $F224, Aux_Totales!$A:$A,#REF!), 0))</f>
        <v/>
      </c>
      <c r="WFJ224" s="19" t="str">
        <f>IF(WFJ220 = "", "", IFERROR(WFJ220 / SUMIFS(Aux_Totales!$N:$N, Aux_Totales!$F:$F, $F224, Aux_Totales!$A:$A,#REF!), 0))</f>
        <v/>
      </c>
      <c r="WFK224" s="19" t="str">
        <f>IF(WFK220 = "", "", IFERROR(WFK220 / SUMIFS(Aux_Totales!$N:$N, Aux_Totales!$F:$F, $F224, Aux_Totales!$A:$A,#REF!), 0))</f>
        <v/>
      </c>
      <c r="WFL224" s="19" t="str">
        <f>IF(WFL220 = "", "", IFERROR(WFL220 / SUMIFS(Aux_Totales!$N:$N, Aux_Totales!$F:$F, $F224, Aux_Totales!$A:$A,#REF!), 0))</f>
        <v/>
      </c>
      <c r="WFM224" s="19" t="str">
        <f>IF(WFM220 = "", "", IFERROR(WFM220 / SUMIFS(Aux_Totales!$N:$N, Aux_Totales!$F:$F, $F224, Aux_Totales!$A:$A,#REF!), 0))</f>
        <v/>
      </c>
      <c r="WFN224" s="19" t="str">
        <f>IF(WFN220 = "", "", IFERROR(WFN220 / SUMIFS(Aux_Totales!$N:$N, Aux_Totales!$F:$F, $F224, Aux_Totales!$A:$A,#REF!), 0))</f>
        <v/>
      </c>
      <c r="WFO224" s="19" t="str">
        <f>IF(WFO220 = "", "", IFERROR(WFO220 / SUMIFS(Aux_Totales!$N:$N, Aux_Totales!$F:$F, $F224, Aux_Totales!$A:$A,#REF!), 0))</f>
        <v/>
      </c>
      <c r="WFP224" s="19" t="str">
        <f>IF(WFP220 = "", "", IFERROR(WFP220 / SUMIFS(Aux_Totales!$N:$N, Aux_Totales!$F:$F, $F224, Aux_Totales!$A:$A,#REF!), 0))</f>
        <v/>
      </c>
      <c r="WFQ224" s="19" t="str">
        <f>IF(WFQ220 = "", "", IFERROR(WFQ220 / SUMIFS(Aux_Totales!$N:$N, Aux_Totales!$F:$F, $F224, Aux_Totales!$A:$A,#REF!), 0))</f>
        <v/>
      </c>
      <c r="WFR224" s="19" t="str">
        <f>IF(WFR220 = "", "", IFERROR(WFR220 / SUMIFS(Aux_Totales!$N:$N, Aux_Totales!$F:$F, $F224, Aux_Totales!$A:$A,#REF!), 0))</f>
        <v/>
      </c>
      <c r="WFS224" s="19" t="str">
        <f>IF(WFS220 = "", "", IFERROR(WFS220 / SUMIFS(Aux_Totales!$N:$N, Aux_Totales!$F:$F, $F224, Aux_Totales!$A:$A,#REF!), 0))</f>
        <v/>
      </c>
      <c r="WFT224" s="19" t="str">
        <f>IF(WFT220 = "", "", IFERROR(WFT220 / SUMIFS(Aux_Totales!$N:$N, Aux_Totales!$F:$F, $F224, Aux_Totales!$A:$A,#REF!), 0))</f>
        <v/>
      </c>
      <c r="WFU224" s="19" t="str">
        <f>IF(WFU220 = "", "", IFERROR(WFU220 / SUMIFS(Aux_Totales!$N:$N, Aux_Totales!$F:$F, $F224, Aux_Totales!$A:$A,#REF!), 0))</f>
        <v/>
      </c>
      <c r="WFV224" s="19" t="str">
        <f>IF(WFV220 = "", "", IFERROR(WFV220 / SUMIFS(Aux_Totales!$N:$N, Aux_Totales!$F:$F, $F224, Aux_Totales!$A:$A,#REF!), 0))</f>
        <v/>
      </c>
      <c r="WFW224" s="19" t="str">
        <f>IF(WFW220 = "", "", IFERROR(WFW220 / SUMIFS(Aux_Totales!$N:$N, Aux_Totales!$F:$F, $F224, Aux_Totales!$A:$A,#REF!), 0))</f>
        <v/>
      </c>
      <c r="WFX224" s="19" t="str">
        <f>IF(WFX220 = "", "", IFERROR(WFX220 / SUMIFS(Aux_Totales!$N:$N, Aux_Totales!$F:$F, $F224, Aux_Totales!$A:$A,#REF!), 0))</f>
        <v/>
      </c>
      <c r="WFY224" s="19" t="str">
        <f>IF(WFY220 = "", "", IFERROR(WFY220 / SUMIFS(Aux_Totales!$N:$N, Aux_Totales!$F:$F, $F224, Aux_Totales!$A:$A,#REF!), 0))</f>
        <v/>
      </c>
      <c r="WFZ224" s="19" t="str">
        <f>IF(WFZ220 = "", "", IFERROR(WFZ220 / SUMIFS(Aux_Totales!$N:$N, Aux_Totales!$F:$F, $F224, Aux_Totales!$A:$A,#REF!), 0))</f>
        <v/>
      </c>
      <c r="WGA224" s="19" t="str">
        <f>IF(WGA220 = "", "", IFERROR(WGA220 / SUMIFS(Aux_Totales!$N:$N, Aux_Totales!$F:$F, $F224, Aux_Totales!$A:$A,#REF!), 0))</f>
        <v/>
      </c>
      <c r="WGB224" s="19" t="str">
        <f>IF(WGB220 = "", "", IFERROR(WGB220 / SUMIFS(Aux_Totales!$N:$N, Aux_Totales!$F:$F, $F224, Aux_Totales!$A:$A,#REF!), 0))</f>
        <v/>
      </c>
      <c r="WGC224" s="19" t="str">
        <f>IF(WGC220 = "", "", IFERROR(WGC220 / SUMIFS(Aux_Totales!$N:$N, Aux_Totales!$F:$F, $F224, Aux_Totales!$A:$A,#REF!), 0))</f>
        <v/>
      </c>
      <c r="WGD224" s="19" t="str">
        <f>IF(WGD220 = "", "", IFERROR(WGD220 / SUMIFS(Aux_Totales!$N:$N, Aux_Totales!$F:$F, $F224, Aux_Totales!$A:$A,#REF!), 0))</f>
        <v/>
      </c>
      <c r="WGE224" s="19" t="str">
        <f>IF(WGE220 = "", "", IFERROR(WGE220 / SUMIFS(Aux_Totales!$N:$N, Aux_Totales!$F:$F, $F224, Aux_Totales!$A:$A,#REF!), 0))</f>
        <v/>
      </c>
      <c r="WGF224" s="19" t="str">
        <f>IF(WGF220 = "", "", IFERROR(WGF220 / SUMIFS(Aux_Totales!$N:$N, Aux_Totales!$F:$F, $F224, Aux_Totales!$A:$A,#REF!), 0))</f>
        <v/>
      </c>
      <c r="WGG224" s="19" t="str">
        <f>IF(WGG220 = "", "", IFERROR(WGG220 / SUMIFS(Aux_Totales!$N:$N, Aux_Totales!$F:$F, $F224, Aux_Totales!$A:$A,#REF!), 0))</f>
        <v/>
      </c>
      <c r="WGH224" s="19" t="str">
        <f>IF(WGH220 = "", "", IFERROR(WGH220 / SUMIFS(Aux_Totales!$N:$N, Aux_Totales!$F:$F, $F224, Aux_Totales!$A:$A,#REF!), 0))</f>
        <v/>
      </c>
      <c r="WGI224" s="19" t="str">
        <f>IF(WGI220 = "", "", IFERROR(WGI220 / SUMIFS(Aux_Totales!$N:$N, Aux_Totales!$F:$F, $F224, Aux_Totales!$A:$A,#REF!), 0))</f>
        <v/>
      </c>
      <c r="WGJ224" s="19" t="str">
        <f>IF(WGJ220 = "", "", IFERROR(WGJ220 / SUMIFS(Aux_Totales!$N:$N, Aux_Totales!$F:$F, $F224, Aux_Totales!$A:$A,#REF!), 0))</f>
        <v/>
      </c>
      <c r="WGK224" s="19" t="str">
        <f>IF(WGK220 = "", "", IFERROR(WGK220 / SUMIFS(Aux_Totales!$N:$N, Aux_Totales!$F:$F, $F224, Aux_Totales!$A:$A,#REF!), 0))</f>
        <v/>
      </c>
      <c r="WGL224" s="19" t="str">
        <f>IF(WGL220 = "", "", IFERROR(WGL220 / SUMIFS(Aux_Totales!$N:$N, Aux_Totales!$F:$F, $F224, Aux_Totales!$A:$A,#REF!), 0))</f>
        <v/>
      </c>
      <c r="WGM224" s="19" t="str">
        <f>IF(WGM220 = "", "", IFERROR(WGM220 / SUMIFS(Aux_Totales!$N:$N, Aux_Totales!$F:$F, $F224, Aux_Totales!$A:$A,#REF!), 0))</f>
        <v/>
      </c>
      <c r="WGN224" s="19" t="str">
        <f>IF(WGN220 = "", "", IFERROR(WGN220 / SUMIFS(Aux_Totales!$N:$N, Aux_Totales!$F:$F, $F224, Aux_Totales!$A:$A,#REF!), 0))</f>
        <v/>
      </c>
      <c r="WGO224" s="19" t="str">
        <f>IF(WGO220 = "", "", IFERROR(WGO220 / SUMIFS(Aux_Totales!$N:$N, Aux_Totales!$F:$F, $F224, Aux_Totales!$A:$A,#REF!), 0))</f>
        <v/>
      </c>
      <c r="WGP224" s="19" t="str">
        <f>IF(WGP220 = "", "", IFERROR(WGP220 / SUMIFS(Aux_Totales!$N:$N, Aux_Totales!$F:$F, $F224, Aux_Totales!$A:$A,#REF!), 0))</f>
        <v/>
      </c>
      <c r="WGQ224" s="19" t="str">
        <f>IF(WGQ220 = "", "", IFERROR(WGQ220 / SUMIFS(Aux_Totales!$N:$N, Aux_Totales!$F:$F, $F224, Aux_Totales!$A:$A,#REF!), 0))</f>
        <v/>
      </c>
      <c r="WGR224" s="19" t="str">
        <f>IF(WGR220 = "", "", IFERROR(WGR220 / SUMIFS(Aux_Totales!$N:$N, Aux_Totales!$F:$F, $F224, Aux_Totales!$A:$A,#REF!), 0))</f>
        <v/>
      </c>
      <c r="WGS224" s="19" t="str">
        <f>IF(WGS220 = "", "", IFERROR(WGS220 / SUMIFS(Aux_Totales!$N:$N, Aux_Totales!$F:$F, $F224, Aux_Totales!$A:$A,#REF!), 0))</f>
        <v/>
      </c>
      <c r="WGT224" s="19" t="str">
        <f>IF(WGT220 = "", "", IFERROR(WGT220 / SUMIFS(Aux_Totales!$N:$N, Aux_Totales!$F:$F, $F224, Aux_Totales!$A:$A,#REF!), 0))</f>
        <v/>
      </c>
      <c r="WGU224" s="19" t="str">
        <f>IF(WGU220 = "", "", IFERROR(WGU220 / SUMIFS(Aux_Totales!$N:$N, Aux_Totales!$F:$F, $F224, Aux_Totales!$A:$A,#REF!), 0))</f>
        <v/>
      </c>
      <c r="WGV224" s="19" t="str">
        <f>IF(WGV220 = "", "", IFERROR(WGV220 / SUMIFS(Aux_Totales!$N:$N, Aux_Totales!$F:$F, $F224, Aux_Totales!$A:$A,#REF!), 0))</f>
        <v/>
      </c>
      <c r="WGW224" s="19" t="str">
        <f>IF(WGW220 = "", "", IFERROR(WGW220 / SUMIFS(Aux_Totales!$N:$N, Aux_Totales!$F:$F, $F224, Aux_Totales!$A:$A,#REF!), 0))</f>
        <v/>
      </c>
      <c r="WGX224" s="19" t="str">
        <f>IF(WGX220 = "", "", IFERROR(WGX220 / SUMIFS(Aux_Totales!$N:$N, Aux_Totales!$F:$F, $F224, Aux_Totales!$A:$A,#REF!), 0))</f>
        <v/>
      </c>
      <c r="WGY224" s="19" t="str">
        <f>IF(WGY220 = "", "", IFERROR(WGY220 / SUMIFS(Aux_Totales!$N:$N, Aux_Totales!$F:$F, $F224, Aux_Totales!$A:$A,#REF!), 0))</f>
        <v/>
      </c>
      <c r="WGZ224" s="19" t="str">
        <f>IF(WGZ220 = "", "", IFERROR(WGZ220 / SUMIFS(Aux_Totales!$N:$N, Aux_Totales!$F:$F, $F224, Aux_Totales!$A:$A,#REF!), 0))</f>
        <v/>
      </c>
      <c r="WHA224" s="19" t="str">
        <f>IF(WHA220 = "", "", IFERROR(WHA220 / SUMIFS(Aux_Totales!$N:$N, Aux_Totales!$F:$F, $F224, Aux_Totales!$A:$A,#REF!), 0))</f>
        <v/>
      </c>
      <c r="WHB224" s="19" t="str">
        <f>IF(WHB220 = "", "", IFERROR(WHB220 / SUMIFS(Aux_Totales!$N:$N, Aux_Totales!$F:$F, $F224, Aux_Totales!$A:$A,#REF!), 0))</f>
        <v/>
      </c>
      <c r="WHC224" s="19" t="str">
        <f>IF(WHC220 = "", "", IFERROR(WHC220 / SUMIFS(Aux_Totales!$N:$N, Aux_Totales!$F:$F, $F224, Aux_Totales!$A:$A,#REF!), 0))</f>
        <v/>
      </c>
      <c r="WHD224" s="19" t="str">
        <f>IF(WHD220 = "", "", IFERROR(WHD220 / SUMIFS(Aux_Totales!$N:$N, Aux_Totales!$F:$F, $F224, Aux_Totales!$A:$A,#REF!), 0))</f>
        <v/>
      </c>
      <c r="WHE224" s="19" t="str">
        <f>IF(WHE220 = "", "", IFERROR(WHE220 / SUMIFS(Aux_Totales!$N:$N, Aux_Totales!$F:$F, $F224, Aux_Totales!$A:$A,#REF!), 0))</f>
        <v/>
      </c>
      <c r="WHF224" s="19" t="str">
        <f>IF(WHF220 = "", "", IFERROR(WHF220 / SUMIFS(Aux_Totales!$N:$N, Aux_Totales!$F:$F, $F224, Aux_Totales!$A:$A,#REF!), 0))</f>
        <v/>
      </c>
      <c r="WHG224" s="19" t="str">
        <f>IF(WHG220 = "", "", IFERROR(WHG220 / SUMIFS(Aux_Totales!$N:$N, Aux_Totales!$F:$F, $F224, Aux_Totales!$A:$A,#REF!), 0))</f>
        <v/>
      </c>
      <c r="WHH224" s="19" t="str">
        <f>IF(WHH220 = "", "", IFERROR(WHH220 / SUMIFS(Aux_Totales!$N:$N, Aux_Totales!$F:$F, $F224, Aux_Totales!$A:$A,#REF!), 0))</f>
        <v/>
      </c>
      <c r="WHI224" s="19" t="str">
        <f>IF(WHI220 = "", "", IFERROR(WHI220 / SUMIFS(Aux_Totales!$N:$N, Aux_Totales!$F:$F, $F224, Aux_Totales!$A:$A,#REF!), 0))</f>
        <v/>
      </c>
      <c r="WHJ224" s="19" t="str">
        <f>IF(WHJ220 = "", "", IFERROR(WHJ220 / SUMIFS(Aux_Totales!$N:$N, Aux_Totales!$F:$F, $F224, Aux_Totales!$A:$A,#REF!), 0))</f>
        <v/>
      </c>
      <c r="WHK224" s="19" t="str">
        <f>IF(WHK220 = "", "", IFERROR(WHK220 / SUMIFS(Aux_Totales!$N:$N, Aux_Totales!$F:$F, $F224, Aux_Totales!$A:$A,#REF!), 0))</f>
        <v/>
      </c>
      <c r="WHL224" s="19" t="str">
        <f>IF(WHL220 = "", "", IFERROR(WHL220 / SUMIFS(Aux_Totales!$N:$N, Aux_Totales!$F:$F, $F224, Aux_Totales!$A:$A,#REF!), 0))</f>
        <v/>
      </c>
      <c r="WHM224" s="19" t="str">
        <f>IF(WHM220 = "", "", IFERROR(WHM220 / SUMIFS(Aux_Totales!$N:$N, Aux_Totales!$F:$F, $F224, Aux_Totales!$A:$A,#REF!), 0))</f>
        <v/>
      </c>
      <c r="WHN224" s="19" t="str">
        <f>IF(WHN220 = "", "", IFERROR(WHN220 / SUMIFS(Aux_Totales!$N:$N, Aux_Totales!$F:$F, $F224, Aux_Totales!$A:$A,#REF!), 0))</f>
        <v/>
      </c>
      <c r="WHO224" s="19" t="str">
        <f>IF(WHO220 = "", "", IFERROR(WHO220 / SUMIFS(Aux_Totales!$N:$N, Aux_Totales!$F:$F, $F224, Aux_Totales!$A:$A,#REF!), 0))</f>
        <v/>
      </c>
      <c r="WHP224" s="19" t="str">
        <f>IF(WHP220 = "", "", IFERROR(WHP220 / SUMIFS(Aux_Totales!$N:$N, Aux_Totales!$F:$F, $F224, Aux_Totales!$A:$A,#REF!), 0))</f>
        <v/>
      </c>
      <c r="WHQ224" s="19" t="str">
        <f>IF(WHQ220 = "", "", IFERROR(WHQ220 / SUMIFS(Aux_Totales!$N:$N, Aux_Totales!$F:$F, $F224, Aux_Totales!$A:$A,#REF!), 0))</f>
        <v/>
      </c>
      <c r="WHR224" s="19" t="str">
        <f>IF(WHR220 = "", "", IFERROR(WHR220 / SUMIFS(Aux_Totales!$N:$N, Aux_Totales!$F:$F, $F224, Aux_Totales!$A:$A,#REF!), 0))</f>
        <v/>
      </c>
      <c r="WHS224" s="19" t="str">
        <f>IF(WHS220 = "", "", IFERROR(WHS220 / SUMIFS(Aux_Totales!$N:$N, Aux_Totales!$F:$F, $F224, Aux_Totales!$A:$A,#REF!), 0))</f>
        <v/>
      </c>
      <c r="WHT224" s="19" t="str">
        <f>IF(WHT220 = "", "", IFERROR(WHT220 / SUMIFS(Aux_Totales!$N:$N, Aux_Totales!$F:$F, $F224, Aux_Totales!$A:$A,#REF!), 0))</f>
        <v/>
      </c>
      <c r="WHU224" s="19" t="str">
        <f>IF(WHU220 = "", "", IFERROR(WHU220 / SUMIFS(Aux_Totales!$N:$N, Aux_Totales!$F:$F, $F224, Aux_Totales!$A:$A,#REF!), 0))</f>
        <v/>
      </c>
      <c r="WHV224" s="19" t="str">
        <f>IF(WHV220 = "", "", IFERROR(WHV220 / SUMIFS(Aux_Totales!$N:$N, Aux_Totales!$F:$F, $F224, Aux_Totales!$A:$A,#REF!), 0))</f>
        <v/>
      </c>
      <c r="WHW224" s="19" t="str">
        <f>IF(WHW220 = "", "", IFERROR(WHW220 / SUMIFS(Aux_Totales!$N:$N, Aux_Totales!$F:$F, $F224, Aux_Totales!$A:$A,#REF!), 0))</f>
        <v/>
      </c>
      <c r="WHX224" s="19" t="str">
        <f>IF(WHX220 = "", "", IFERROR(WHX220 / SUMIFS(Aux_Totales!$N:$N, Aux_Totales!$F:$F, $F224, Aux_Totales!$A:$A,#REF!), 0))</f>
        <v/>
      </c>
      <c r="WHY224" s="19" t="str">
        <f>IF(WHY220 = "", "", IFERROR(WHY220 / SUMIFS(Aux_Totales!$N:$N, Aux_Totales!$F:$F, $F224, Aux_Totales!$A:$A,#REF!), 0))</f>
        <v/>
      </c>
      <c r="WHZ224" s="19" t="str">
        <f>IF(WHZ220 = "", "", IFERROR(WHZ220 / SUMIFS(Aux_Totales!$N:$N, Aux_Totales!$F:$F, $F224, Aux_Totales!$A:$A,#REF!), 0))</f>
        <v/>
      </c>
      <c r="WIA224" s="19" t="str">
        <f>IF(WIA220 = "", "", IFERROR(WIA220 / SUMIFS(Aux_Totales!$N:$N, Aux_Totales!$F:$F, $F224, Aux_Totales!$A:$A,#REF!), 0))</f>
        <v/>
      </c>
      <c r="WIB224" s="19" t="str">
        <f>IF(WIB220 = "", "", IFERROR(WIB220 / SUMIFS(Aux_Totales!$N:$N, Aux_Totales!$F:$F, $F224, Aux_Totales!$A:$A,#REF!), 0))</f>
        <v/>
      </c>
      <c r="WIC224" s="19" t="str">
        <f>IF(WIC220 = "", "", IFERROR(WIC220 / SUMIFS(Aux_Totales!$N:$N, Aux_Totales!$F:$F, $F224, Aux_Totales!$A:$A,#REF!), 0))</f>
        <v/>
      </c>
      <c r="WID224" s="19" t="str">
        <f>IF(WID220 = "", "", IFERROR(WID220 / SUMIFS(Aux_Totales!$N:$N, Aux_Totales!$F:$F, $F224, Aux_Totales!$A:$A,#REF!), 0))</f>
        <v/>
      </c>
      <c r="WIE224" s="19" t="str">
        <f>IF(WIE220 = "", "", IFERROR(WIE220 / SUMIFS(Aux_Totales!$N:$N, Aux_Totales!$F:$F, $F224, Aux_Totales!$A:$A,#REF!), 0))</f>
        <v/>
      </c>
      <c r="WIF224" s="19" t="str">
        <f>IF(WIF220 = "", "", IFERROR(WIF220 / SUMIFS(Aux_Totales!$N:$N, Aux_Totales!$F:$F, $F224, Aux_Totales!$A:$A,#REF!), 0))</f>
        <v/>
      </c>
      <c r="WIG224" s="19" t="str">
        <f>IF(WIG220 = "", "", IFERROR(WIG220 / SUMIFS(Aux_Totales!$N:$N, Aux_Totales!$F:$F, $F224, Aux_Totales!$A:$A,#REF!), 0))</f>
        <v/>
      </c>
      <c r="WIH224" s="19" t="str">
        <f>IF(WIH220 = "", "", IFERROR(WIH220 / SUMIFS(Aux_Totales!$N:$N, Aux_Totales!$F:$F, $F224, Aux_Totales!$A:$A,#REF!), 0))</f>
        <v/>
      </c>
      <c r="WII224" s="19" t="str">
        <f>IF(WII220 = "", "", IFERROR(WII220 / SUMIFS(Aux_Totales!$N:$N, Aux_Totales!$F:$F, $F224, Aux_Totales!$A:$A,#REF!), 0))</f>
        <v/>
      </c>
      <c r="WIJ224" s="19" t="str">
        <f>IF(WIJ220 = "", "", IFERROR(WIJ220 / SUMIFS(Aux_Totales!$N:$N, Aux_Totales!$F:$F, $F224, Aux_Totales!$A:$A,#REF!), 0))</f>
        <v/>
      </c>
      <c r="WIK224" s="19" t="str">
        <f>IF(WIK220 = "", "", IFERROR(WIK220 / SUMIFS(Aux_Totales!$N:$N, Aux_Totales!$F:$F, $F224, Aux_Totales!$A:$A,#REF!), 0))</f>
        <v/>
      </c>
      <c r="WIL224" s="19" t="str">
        <f>IF(WIL220 = "", "", IFERROR(WIL220 / SUMIFS(Aux_Totales!$N:$N, Aux_Totales!$F:$F, $F224, Aux_Totales!$A:$A,#REF!), 0))</f>
        <v/>
      </c>
      <c r="WIM224" s="19" t="str">
        <f>IF(WIM220 = "", "", IFERROR(WIM220 / SUMIFS(Aux_Totales!$N:$N, Aux_Totales!$F:$F, $F224, Aux_Totales!$A:$A,#REF!), 0))</f>
        <v/>
      </c>
      <c r="WIN224" s="19" t="str">
        <f>IF(WIN220 = "", "", IFERROR(WIN220 / SUMIFS(Aux_Totales!$N:$N, Aux_Totales!$F:$F, $F224, Aux_Totales!$A:$A,#REF!), 0))</f>
        <v/>
      </c>
      <c r="WIO224" s="19" t="str">
        <f>IF(WIO220 = "", "", IFERROR(WIO220 / SUMIFS(Aux_Totales!$N:$N, Aux_Totales!$F:$F, $F224, Aux_Totales!$A:$A,#REF!), 0))</f>
        <v/>
      </c>
      <c r="WIP224" s="19" t="str">
        <f>IF(WIP220 = "", "", IFERROR(WIP220 / SUMIFS(Aux_Totales!$N:$N, Aux_Totales!$F:$F, $F224, Aux_Totales!$A:$A,#REF!), 0))</f>
        <v/>
      </c>
      <c r="WIQ224" s="19" t="str">
        <f>IF(WIQ220 = "", "", IFERROR(WIQ220 / SUMIFS(Aux_Totales!$N:$N, Aux_Totales!$F:$F, $F224, Aux_Totales!$A:$A,#REF!), 0))</f>
        <v/>
      </c>
      <c r="WIR224" s="19" t="str">
        <f>IF(WIR220 = "", "", IFERROR(WIR220 / SUMIFS(Aux_Totales!$N:$N, Aux_Totales!$F:$F, $F224, Aux_Totales!$A:$A,#REF!), 0))</f>
        <v/>
      </c>
      <c r="WIS224" s="19" t="str">
        <f>IF(WIS220 = "", "", IFERROR(WIS220 / SUMIFS(Aux_Totales!$N:$N, Aux_Totales!$F:$F, $F224, Aux_Totales!$A:$A,#REF!), 0))</f>
        <v/>
      </c>
      <c r="WIT224" s="19" t="str">
        <f>IF(WIT220 = "", "", IFERROR(WIT220 / SUMIFS(Aux_Totales!$N:$N, Aux_Totales!$F:$F, $F224, Aux_Totales!$A:$A,#REF!), 0))</f>
        <v/>
      </c>
      <c r="WIU224" s="19" t="str">
        <f>IF(WIU220 = "", "", IFERROR(WIU220 / SUMIFS(Aux_Totales!$N:$N, Aux_Totales!$F:$F, $F224, Aux_Totales!$A:$A,#REF!), 0))</f>
        <v/>
      </c>
      <c r="WIV224" s="19" t="str">
        <f>IF(WIV220 = "", "", IFERROR(WIV220 / SUMIFS(Aux_Totales!$N:$N, Aux_Totales!$F:$F, $F224, Aux_Totales!$A:$A,#REF!), 0))</f>
        <v/>
      </c>
      <c r="WIW224" s="19" t="str">
        <f>IF(WIW220 = "", "", IFERROR(WIW220 / SUMIFS(Aux_Totales!$N:$N, Aux_Totales!$F:$F, $F224, Aux_Totales!$A:$A,#REF!), 0))</f>
        <v/>
      </c>
      <c r="WIX224" s="19" t="str">
        <f>IF(WIX220 = "", "", IFERROR(WIX220 / SUMIFS(Aux_Totales!$N:$N, Aux_Totales!$F:$F, $F224, Aux_Totales!$A:$A,#REF!), 0))</f>
        <v/>
      </c>
      <c r="WIY224" s="19" t="str">
        <f>IF(WIY220 = "", "", IFERROR(WIY220 / SUMIFS(Aux_Totales!$N:$N, Aux_Totales!$F:$F, $F224, Aux_Totales!$A:$A,#REF!), 0))</f>
        <v/>
      </c>
      <c r="WIZ224" s="19" t="str">
        <f>IF(WIZ220 = "", "", IFERROR(WIZ220 / SUMIFS(Aux_Totales!$N:$N, Aux_Totales!$F:$F, $F224, Aux_Totales!$A:$A,#REF!), 0))</f>
        <v/>
      </c>
      <c r="WJA224" s="19" t="str">
        <f>IF(WJA220 = "", "", IFERROR(WJA220 / SUMIFS(Aux_Totales!$N:$N, Aux_Totales!$F:$F, $F224, Aux_Totales!$A:$A,#REF!), 0))</f>
        <v/>
      </c>
      <c r="WJB224" s="19" t="str">
        <f>IF(WJB220 = "", "", IFERROR(WJB220 / SUMIFS(Aux_Totales!$N:$N, Aux_Totales!$F:$F, $F224, Aux_Totales!$A:$A,#REF!), 0))</f>
        <v/>
      </c>
      <c r="WJC224" s="19" t="str">
        <f>IF(WJC220 = "", "", IFERROR(WJC220 / SUMIFS(Aux_Totales!$N:$N, Aux_Totales!$F:$F, $F224, Aux_Totales!$A:$A,#REF!), 0))</f>
        <v/>
      </c>
      <c r="WJD224" s="19" t="str">
        <f>IF(WJD220 = "", "", IFERROR(WJD220 / SUMIFS(Aux_Totales!$N:$N, Aux_Totales!$F:$F, $F224, Aux_Totales!$A:$A,#REF!), 0))</f>
        <v/>
      </c>
      <c r="WJE224" s="19" t="str">
        <f>IF(WJE220 = "", "", IFERROR(WJE220 / SUMIFS(Aux_Totales!$N:$N, Aux_Totales!$F:$F, $F224, Aux_Totales!$A:$A,#REF!), 0))</f>
        <v/>
      </c>
      <c r="WJF224" s="19" t="str">
        <f>IF(WJF220 = "", "", IFERROR(WJF220 / SUMIFS(Aux_Totales!$N:$N, Aux_Totales!$F:$F, $F224, Aux_Totales!$A:$A,#REF!), 0))</f>
        <v/>
      </c>
      <c r="WJG224" s="19" t="str">
        <f>IF(WJG220 = "", "", IFERROR(WJG220 / SUMIFS(Aux_Totales!$N:$N, Aux_Totales!$F:$F, $F224, Aux_Totales!$A:$A,#REF!), 0))</f>
        <v/>
      </c>
      <c r="WJH224" s="19" t="str">
        <f>IF(WJH220 = "", "", IFERROR(WJH220 / SUMIFS(Aux_Totales!$N:$N, Aux_Totales!$F:$F, $F224, Aux_Totales!$A:$A,#REF!), 0))</f>
        <v/>
      </c>
      <c r="WJI224" s="19" t="str">
        <f>IF(WJI220 = "", "", IFERROR(WJI220 / SUMIFS(Aux_Totales!$N:$N, Aux_Totales!$F:$F, $F224, Aux_Totales!$A:$A,#REF!), 0))</f>
        <v/>
      </c>
      <c r="WJJ224" s="19" t="str">
        <f>IF(WJJ220 = "", "", IFERROR(WJJ220 / SUMIFS(Aux_Totales!$N:$N, Aux_Totales!$F:$F, $F224, Aux_Totales!$A:$A,#REF!), 0))</f>
        <v/>
      </c>
      <c r="WJK224" s="19" t="str">
        <f>IF(WJK220 = "", "", IFERROR(WJK220 / SUMIFS(Aux_Totales!$N:$N, Aux_Totales!$F:$F, $F224, Aux_Totales!$A:$A,#REF!), 0))</f>
        <v/>
      </c>
      <c r="WJL224" s="19" t="str">
        <f>IF(WJL220 = "", "", IFERROR(WJL220 / SUMIFS(Aux_Totales!$N:$N, Aux_Totales!$F:$F, $F224, Aux_Totales!$A:$A,#REF!), 0))</f>
        <v/>
      </c>
      <c r="WJM224" s="19" t="str">
        <f>IF(WJM220 = "", "", IFERROR(WJM220 / SUMIFS(Aux_Totales!$N:$N, Aux_Totales!$F:$F, $F224, Aux_Totales!$A:$A,#REF!), 0))</f>
        <v/>
      </c>
      <c r="WJN224" s="19" t="str">
        <f>IF(WJN220 = "", "", IFERROR(WJN220 / SUMIFS(Aux_Totales!$N:$N, Aux_Totales!$F:$F, $F224, Aux_Totales!$A:$A,#REF!), 0))</f>
        <v/>
      </c>
      <c r="WJO224" s="19" t="str">
        <f>IF(WJO220 = "", "", IFERROR(WJO220 / SUMIFS(Aux_Totales!$N:$N, Aux_Totales!$F:$F, $F224, Aux_Totales!$A:$A,#REF!), 0))</f>
        <v/>
      </c>
      <c r="WJP224" s="19" t="str">
        <f>IF(WJP220 = "", "", IFERROR(WJP220 / SUMIFS(Aux_Totales!$N:$N, Aux_Totales!$F:$F, $F224, Aux_Totales!$A:$A,#REF!), 0))</f>
        <v/>
      </c>
      <c r="WJQ224" s="19" t="str">
        <f>IF(WJQ220 = "", "", IFERROR(WJQ220 / SUMIFS(Aux_Totales!$N:$N, Aux_Totales!$F:$F, $F224, Aux_Totales!$A:$A,#REF!), 0))</f>
        <v/>
      </c>
      <c r="WJR224" s="19" t="str">
        <f>IF(WJR220 = "", "", IFERROR(WJR220 / SUMIFS(Aux_Totales!$N:$N, Aux_Totales!$F:$F, $F224, Aux_Totales!$A:$A,#REF!), 0))</f>
        <v/>
      </c>
      <c r="WJS224" s="19" t="str">
        <f>IF(WJS220 = "", "", IFERROR(WJS220 / SUMIFS(Aux_Totales!$N:$N, Aux_Totales!$F:$F, $F224, Aux_Totales!$A:$A,#REF!), 0))</f>
        <v/>
      </c>
      <c r="WJT224" s="19" t="str">
        <f>IF(WJT220 = "", "", IFERROR(WJT220 / SUMIFS(Aux_Totales!$N:$N, Aux_Totales!$F:$F, $F224, Aux_Totales!$A:$A,#REF!), 0))</f>
        <v/>
      </c>
      <c r="WJU224" s="19" t="str">
        <f>IF(WJU220 = "", "", IFERROR(WJU220 / SUMIFS(Aux_Totales!$N:$N, Aux_Totales!$F:$F, $F224, Aux_Totales!$A:$A,#REF!), 0))</f>
        <v/>
      </c>
      <c r="WJV224" s="19" t="str">
        <f>IF(WJV220 = "", "", IFERROR(WJV220 / SUMIFS(Aux_Totales!$N:$N, Aux_Totales!$F:$F, $F224, Aux_Totales!$A:$A,#REF!), 0))</f>
        <v/>
      </c>
      <c r="WJW224" s="19" t="str">
        <f>IF(WJW220 = "", "", IFERROR(WJW220 / SUMIFS(Aux_Totales!$N:$N, Aux_Totales!$F:$F, $F224, Aux_Totales!$A:$A,#REF!), 0))</f>
        <v/>
      </c>
      <c r="WJX224" s="19" t="str">
        <f>IF(WJX220 = "", "", IFERROR(WJX220 / SUMIFS(Aux_Totales!$N:$N, Aux_Totales!$F:$F, $F224, Aux_Totales!$A:$A,#REF!), 0))</f>
        <v/>
      </c>
      <c r="WJY224" s="19" t="str">
        <f>IF(WJY220 = "", "", IFERROR(WJY220 / SUMIFS(Aux_Totales!$N:$N, Aux_Totales!$F:$F, $F224, Aux_Totales!$A:$A,#REF!), 0))</f>
        <v/>
      </c>
      <c r="WJZ224" s="19" t="str">
        <f>IF(WJZ220 = "", "", IFERROR(WJZ220 / SUMIFS(Aux_Totales!$N:$N, Aux_Totales!$F:$F, $F224, Aux_Totales!$A:$A,#REF!), 0))</f>
        <v/>
      </c>
      <c r="WKA224" s="19" t="str">
        <f>IF(WKA220 = "", "", IFERROR(WKA220 / SUMIFS(Aux_Totales!$N:$N, Aux_Totales!$F:$F, $F224, Aux_Totales!$A:$A,#REF!), 0))</f>
        <v/>
      </c>
      <c r="WKB224" s="19" t="str">
        <f>IF(WKB220 = "", "", IFERROR(WKB220 / SUMIFS(Aux_Totales!$N:$N, Aux_Totales!$F:$F, $F224, Aux_Totales!$A:$A,#REF!), 0))</f>
        <v/>
      </c>
      <c r="WKC224" s="19" t="str">
        <f>IF(WKC220 = "", "", IFERROR(WKC220 / SUMIFS(Aux_Totales!$N:$N, Aux_Totales!$F:$F, $F224, Aux_Totales!$A:$A,#REF!), 0))</f>
        <v/>
      </c>
      <c r="WKD224" s="19" t="str">
        <f>IF(WKD220 = "", "", IFERROR(WKD220 / SUMIFS(Aux_Totales!$N:$N, Aux_Totales!$F:$F, $F224, Aux_Totales!$A:$A,#REF!), 0))</f>
        <v/>
      </c>
      <c r="WKE224" s="19" t="str">
        <f>IF(WKE220 = "", "", IFERROR(WKE220 / SUMIFS(Aux_Totales!$N:$N, Aux_Totales!$F:$F, $F224, Aux_Totales!$A:$A,#REF!), 0))</f>
        <v/>
      </c>
      <c r="WKF224" s="19" t="str">
        <f>IF(WKF220 = "", "", IFERROR(WKF220 / SUMIFS(Aux_Totales!$N:$N, Aux_Totales!$F:$F, $F224, Aux_Totales!$A:$A,#REF!), 0))</f>
        <v/>
      </c>
      <c r="WKG224" s="19" t="str">
        <f>IF(WKG220 = "", "", IFERROR(WKG220 / SUMIFS(Aux_Totales!$N:$N, Aux_Totales!$F:$F, $F224, Aux_Totales!$A:$A,#REF!), 0))</f>
        <v/>
      </c>
      <c r="WKH224" s="19" t="str">
        <f>IF(WKH220 = "", "", IFERROR(WKH220 / SUMIFS(Aux_Totales!$N:$N, Aux_Totales!$F:$F, $F224, Aux_Totales!$A:$A,#REF!), 0))</f>
        <v/>
      </c>
      <c r="WKI224" s="19" t="str">
        <f>IF(WKI220 = "", "", IFERROR(WKI220 / SUMIFS(Aux_Totales!$N:$N, Aux_Totales!$F:$F, $F224, Aux_Totales!$A:$A,#REF!), 0))</f>
        <v/>
      </c>
      <c r="WKJ224" s="19" t="str">
        <f>IF(WKJ220 = "", "", IFERROR(WKJ220 / SUMIFS(Aux_Totales!$N:$N, Aux_Totales!$F:$F, $F224, Aux_Totales!$A:$A,#REF!), 0))</f>
        <v/>
      </c>
      <c r="WKK224" s="19" t="str">
        <f>IF(WKK220 = "", "", IFERROR(WKK220 / SUMIFS(Aux_Totales!$N:$N, Aux_Totales!$F:$F, $F224, Aux_Totales!$A:$A,#REF!), 0))</f>
        <v/>
      </c>
      <c r="WKL224" s="19" t="str">
        <f>IF(WKL220 = "", "", IFERROR(WKL220 / SUMIFS(Aux_Totales!$N:$N, Aux_Totales!$F:$F, $F224, Aux_Totales!$A:$A,#REF!), 0))</f>
        <v/>
      </c>
      <c r="WKM224" s="19" t="str">
        <f>IF(WKM220 = "", "", IFERROR(WKM220 / SUMIFS(Aux_Totales!$N:$N, Aux_Totales!$F:$F, $F224, Aux_Totales!$A:$A,#REF!), 0))</f>
        <v/>
      </c>
      <c r="WKN224" s="19" t="str">
        <f>IF(WKN220 = "", "", IFERROR(WKN220 / SUMIFS(Aux_Totales!$N:$N, Aux_Totales!$F:$F, $F224, Aux_Totales!$A:$A,#REF!), 0))</f>
        <v/>
      </c>
      <c r="WKO224" s="19" t="str">
        <f>IF(WKO220 = "", "", IFERROR(WKO220 / SUMIFS(Aux_Totales!$N:$N, Aux_Totales!$F:$F, $F224, Aux_Totales!$A:$A,#REF!), 0))</f>
        <v/>
      </c>
      <c r="WKP224" s="19" t="str">
        <f>IF(WKP220 = "", "", IFERROR(WKP220 / SUMIFS(Aux_Totales!$N:$N, Aux_Totales!$F:$F, $F224, Aux_Totales!$A:$A,#REF!), 0))</f>
        <v/>
      </c>
      <c r="WKQ224" s="19" t="str">
        <f>IF(WKQ220 = "", "", IFERROR(WKQ220 / SUMIFS(Aux_Totales!$N:$N, Aux_Totales!$F:$F, $F224, Aux_Totales!$A:$A,#REF!), 0))</f>
        <v/>
      </c>
      <c r="WKR224" s="19" t="str">
        <f>IF(WKR220 = "", "", IFERROR(WKR220 / SUMIFS(Aux_Totales!$N:$N, Aux_Totales!$F:$F, $F224, Aux_Totales!$A:$A,#REF!), 0))</f>
        <v/>
      </c>
      <c r="WKS224" s="19" t="str">
        <f>IF(WKS220 = "", "", IFERROR(WKS220 / SUMIFS(Aux_Totales!$N:$N, Aux_Totales!$F:$F, $F224, Aux_Totales!$A:$A,#REF!), 0))</f>
        <v/>
      </c>
      <c r="WKT224" s="19" t="str">
        <f>IF(WKT220 = "", "", IFERROR(WKT220 / SUMIFS(Aux_Totales!$N:$N, Aux_Totales!$F:$F, $F224, Aux_Totales!$A:$A,#REF!), 0))</f>
        <v/>
      </c>
      <c r="WKU224" s="19" t="str">
        <f>IF(WKU220 = "", "", IFERROR(WKU220 / SUMIFS(Aux_Totales!$N:$N, Aux_Totales!$F:$F, $F224, Aux_Totales!$A:$A,#REF!), 0))</f>
        <v/>
      </c>
      <c r="WKV224" s="19" t="str">
        <f>IF(WKV220 = "", "", IFERROR(WKV220 / SUMIFS(Aux_Totales!$N:$N, Aux_Totales!$F:$F, $F224, Aux_Totales!$A:$A,#REF!), 0))</f>
        <v/>
      </c>
      <c r="WKW224" s="19" t="str">
        <f>IF(WKW220 = "", "", IFERROR(WKW220 / SUMIFS(Aux_Totales!$N:$N, Aux_Totales!$F:$F, $F224, Aux_Totales!$A:$A,#REF!), 0))</f>
        <v/>
      </c>
      <c r="WKX224" s="19" t="str">
        <f>IF(WKX220 = "", "", IFERROR(WKX220 / SUMIFS(Aux_Totales!$N:$N, Aux_Totales!$F:$F, $F224, Aux_Totales!$A:$A,#REF!), 0))</f>
        <v/>
      </c>
      <c r="WKY224" s="19" t="str">
        <f>IF(WKY220 = "", "", IFERROR(WKY220 / SUMIFS(Aux_Totales!$N:$N, Aux_Totales!$F:$F, $F224, Aux_Totales!$A:$A,#REF!), 0))</f>
        <v/>
      </c>
      <c r="WKZ224" s="19" t="str">
        <f>IF(WKZ220 = "", "", IFERROR(WKZ220 / SUMIFS(Aux_Totales!$N:$N, Aux_Totales!$F:$F, $F224, Aux_Totales!$A:$A,#REF!), 0))</f>
        <v/>
      </c>
      <c r="WLA224" s="19" t="str">
        <f>IF(WLA220 = "", "", IFERROR(WLA220 / SUMIFS(Aux_Totales!$N:$N, Aux_Totales!$F:$F, $F224, Aux_Totales!$A:$A,#REF!), 0))</f>
        <v/>
      </c>
      <c r="WLB224" s="19" t="str">
        <f>IF(WLB220 = "", "", IFERROR(WLB220 / SUMIFS(Aux_Totales!$N:$N, Aux_Totales!$F:$F, $F224, Aux_Totales!$A:$A,#REF!), 0))</f>
        <v/>
      </c>
      <c r="WLC224" s="19" t="str">
        <f>IF(WLC220 = "", "", IFERROR(WLC220 / SUMIFS(Aux_Totales!$N:$N, Aux_Totales!$F:$F, $F224, Aux_Totales!$A:$A,#REF!), 0))</f>
        <v/>
      </c>
      <c r="WLD224" s="19" t="str">
        <f>IF(WLD220 = "", "", IFERROR(WLD220 / SUMIFS(Aux_Totales!$N:$N, Aux_Totales!$F:$F, $F224, Aux_Totales!$A:$A,#REF!), 0))</f>
        <v/>
      </c>
      <c r="WLE224" s="19" t="str">
        <f>IF(WLE220 = "", "", IFERROR(WLE220 / SUMIFS(Aux_Totales!$N:$N, Aux_Totales!$F:$F, $F224, Aux_Totales!$A:$A,#REF!), 0))</f>
        <v/>
      </c>
      <c r="WLF224" s="19" t="str">
        <f>IF(WLF220 = "", "", IFERROR(WLF220 / SUMIFS(Aux_Totales!$N:$N, Aux_Totales!$F:$F, $F224, Aux_Totales!$A:$A,#REF!), 0))</f>
        <v/>
      </c>
      <c r="WLG224" s="19" t="str">
        <f>IF(WLG220 = "", "", IFERROR(WLG220 / SUMIFS(Aux_Totales!$N:$N, Aux_Totales!$F:$F, $F224, Aux_Totales!$A:$A,#REF!), 0))</f>
        <v/>
      </c>
      <c r="WLH224" s="19" t="str">
        <f>IF(WLH220 = "", "", IFERROR(WLH220 / SUMIFS(Aux_Totales!$N:$N, Aux_Totales!$F:$F, $F224, Aux_Totales!$A:$A,#REF!), 0))</f>
        <v/>
      </c>
      <c r="WLI224" s="19" t="str">
        <f>IF(WLI220 = "", "", IFERROR(WLI220 / SUMIFS(Aux_Totales!$N:$N, Aux_Totales!$F:$F, $F224, Aux_Totales!$A:$A,#REF!), 0))</f>
        <v/>
      </c>
      <c r="WLJ224" s="19" t="str">
        <f>IF(WLJ220 = "", "", IFERROR(WLJ220 / SUMIFS(Aux_Totales!$N:$N, Aux_Totales!$F:$F, $F224, Aux_Totales!$A:$A,#REF!), 0))</f>
        <v/>
      </c>
      <c r="WLK224" s="19" t="str">
        <f>IF(WLK220 = "", "", IFERROR(WLK220 / SUMIFS(Aux_Totales!$N:$N, Aux_Totales!$F:$F, $F224, Aux_Totales!$A:$A,#REF!), 0))</f>
        <v/>
      </c>
      <c r="WLL224" s="19" t="str">
        <f>IF(WLL220 = "", "", IFERROR(WLL220 / SUMIFS(Aux_Totales!$N:$N, Aux_Totales!$F:$F, $F224, Aux_Totales!$A:$A,#REF!), 0))</f>
        <v/>
      </c>
      <c r="WLM224" s="19" t="str">
        <f>IF(WLM220 = "", "", IFERROR(WLM220 / SUMIFS(Aux_Totales!$N:$N, Aux_Totales!$F:$F, $F224, Aux_Totales!$A:$A,#REF!), 0))</f>
        <v/>
      </c>
      <c r="WLN224" s="19" t="str">
        <f>IF(WLN220 = "", "", IFERROR(WLN220 / SUMIFS(Aux_Totales!$N:$N, Aux_Totales!$F:$F, $F224, Aux_Totales!$A:$A,#REF!), 0))</f>
        <v/>
      </c>
      <c r="WLO224" s="19" t="str">
        <f>IF(WLO220 = "", "", IFERROR(WLO220 / SUMIFS(Aux_Totales!$N:$N, Aux_Totales!$F:$F, $F224, Aux_Totales!$A:$A,#REF!), 0))</f>
        <v/>
      </c>
      <c r="WLP224" s="19" t="str">
        <f>IF(WLP220 = "", "", IFERROR(WLP220 / SUMIFS(Aux_Totales!$N:$N, Aux_Totales!$F:$F, $F224, Aux_Totales!$A:$A,#REF!), 0))</f>
        <v/>
      </c>
      <c r="WLQ224" s="19" t="str">
        <f>IF(WLQ220 = "", "", IFERROR(WLQ220 / SUMIFS(Aux_Totales!$N:$N, Aux_Totales!$F:$F, $F224, Aux_Totales!$A:$A,#REF!), 0))</f>
        <v/>
      </c>
      <c r="WLR224" s="19" t="str">
        <f>IF(WLR220 = "", "", IFERROR(WLR220 / SUMIFS(Aux_Totales!$N:$N, Aux_Totales!$F:$F, $F224, Aux_Totales!$A:$A,#REF!), 0))</f>
        <v/>
      </c>
      <c r="WLS224" s="19" t="str">
        <f>IF(WLS220 = "", "", IFERROR(WLS220 / SUMIFS(Aux_Totales!$N:$N, Aux_Totales!$F:$F, $F224, Aux_Totales!$A:$A,#REF!), 0))</f>
        <v/>
      </c>
      <c r="WLT224" s="19" t="str">
        <f>IF(WLT220 = "", "", IFERROR(WLT220 / SUMIFS(Aux_Totales!$N:$N, Aux_Totales!$F:$F, $F224, Aux_Totales!$A:$A,#REF!), 0))</f>
        <v/>
      </c>
      <c r="WLU224" s="19" t="str">
        <f>IF(WLU220 = "", "", IFERROR(WLU220 / SUMIFS(Aux_Totales!$N:$N, Aux_Totales!$F:$F, $F224, Aux_Totales!$A:$A,#REF!), 0))</f>
        <v/>
      </c>
      <c r="WLV224" s="19" t="str">
        <f>IF(WLV220 = "", "", IFERROR(WLV220 / SUMIFS(Aux_Totales!$N:$N, Aux_Totales!$F:$F, $F224, Aux_Totales!$A:$A,#REF!), 0))</f>
        <v/>
      </c>
      <c r="WLW224" s="19" t="str">
        <f>IF(WLW220 = "", "", IFERROR(WLW220 / SUMIFS(Aux_Totales!$N:$N, Aux_Totales!$F:$F, $F224, Aux_Totales!$A:$A,#REF!), 0))</f>
        <v/>
      </c>
      <c r="WLX224" s="19" t="str">
        <f>IF(WLX220 = "", "", IFERROR(WLX220 / SUMIFS(Aux_Totales!$N:$N, Aux_Totales!$F:$F, $F224, Aux_Totales!$A:$A,#REF!), 0))</f>
        <v/>
      </c>
      <c r="WLY224" s="19" t="str">
        <f>IF(WLY220 = "", "", IFERROR(WLY220 / SUMIFS(Aux_Totales!$N:$N, Aux_Totales!$F:$F, $F224, Aux_Totales!$A:$A,#REF!), 0))</f>
        <v/>
      </c>
      <c r="WLZ224" s="19" t="str">
        <f>IF(WLZ220 = "", "", IFERROR(WLZ220 / SUMIFS(Aux_Totales!$N:$N, Aux_Totales!$F:$F, $F224, Aux_Totales!$A:$A,#REF!), 0))</f>
        <v/>
      </c>
      <c r="WMA224" s="19" t="str">
        <f>IF(WMA220 = "", "", IFERROR(WMA220 / SUMIFS(Aux_Totales!$N:$N, Aux_Totales!$F:$F, $F224, Aux_Totales!$A:$A,#REF!), 0))</f>
        <v/>
      </c>
      <c r="WMB224" s="19" t="str">
        <f>IF(WMB220 = "", "", IFERROR(WMB220 / SUMIFS(Aux_Totales!$N:$N, Aux_Totales!$F:$F, $F224, Aux_Totales!$A:$A,#REF!), 0))</f>
        <v/>
      </c>
      <c r="WMC224" s="19" t="str">
        <f>IF(WMC220 = "", "", IFERROR(WMC220 / SUMIFS(Aux_Totales!$N:$N, Aux_Totales!$F:$F, $F224, Aux_Totales!$A:$A,#REF!), 0))</f>
        <v/>
      </c>
      <c r="WMD224" s="19" t="str">
        <f>IF(WMD220 = "", "", IFERROR(WMD220 / SUMIFS(Aux_Totales!$N:$N, Aux_Totales!$F:$F, $F224, Aux_Totales!$A:$A,#REF!), 0))</f>
        <v/>
      </c>
      <c r="WME224" s="19" t="str">
        <f>IF(WME220 = "", "", IFERROR(WME220 / SUMIFS(Aux_Totales!$N:$N, Aux_Totales!$F:$F, $F224, Aux_Totales!$A:$A,#REF!), 0))</f>
        <v/>
      </c>
      <c r="WMF224" s="19" t="str">
        <f>IF(WMF220 = "", "", IFERROR(WMF220 / SUMIFS(Aux_Totales!$N:$N, Aux_Totales!$F:$F, $F224, Aux_Totales!$A:$A,#REF!), 0))</f>
        <v/>
      </c>
      <c r="WMG224" s="19" t="str">
        <f>IF(WMG220 = "", "", IFERROR(WMG220 / SUMIFS(Aux_Totales!$N:$N, Aux_Totales!$F:$F, $F224, Aux_Totales!$A:$A,#REF!), 0))</f>
        <v/>
      </c>
      <c r="WMH224" s="19" t="str">
        <f>IF(WMH220 = "", "", IFERROR(WMH220 / SUMIFS(Aux_Totales!$N:$N, Aux_Totales!$F:$F, $F224, Aux_Totales!$A:$A,#REF!), 0))</f>
        <v/>
      </c>
      <c r="WMI224" s="19" t="str">
        <f>IF(WMI220 = "", "", IFERROR(WMI220 / SUMIFS(Aux_Totales!$N:$N, Aux_Totales!$F:$F, $F224, Aux_Totales!$A:$A,#REF!), 0))</f>
        <v/>
      </c>
      <c r="WMJ224" s="19" t="str">
        <f>IF(WMJ220 = "", "", IFERROR(WMJ220 / SUMIFS(Aux_Totales!$N:$N, Aux_Totales!$F:$F, $F224, Aux_Totales!$A:$A,#REF!), 0))</f>
        <v/>
      </c>
      <c r="WMK224" s="19" t="str">
        <f>IF(WMK220 = "", "", IFERROR(WMK220 / SUMIFS(Aux_Totales!$N:$N, Aux_Totales!$F:$F, $F224, Aux_Totales!$A:$A,#REF!), 0))</f>
        <v/>
      </c>
      <c r="WML224" s="19" t="str">
        <f>IF(WML220 = "", "", IFERROR(WML220 / SUMIFS(Aux_Totales!$N:$N, Aux_Totales!$F:$F, $F224, Aux_Totales!$A:$A,#REF!), 0))</f>
        <v/>
      </c>
      <c r="WMM224" s="19" t="str">
        <f>IF(WMM220 = "", "", IFERROR(WMM220 / SUMIFS(Aux_Totales!$N:$N, Aux_Totales!$F:$F, $F224, Aux_Totales!$A:$A,#REF!), 0))</f>
        <v/>
      </c>
      <c r="WMN224" s="19" t="str">
        <f>IF(WMN220 = "", "", IFERROR(WMN220 / SUMIFS(Aux_Totales!$N:$N, Aux_Totales!$F:$F, $F224, Aux_Totales!$A:$A,#REF!), 0))</f>
        <v/>
      </c>
      <c r="WMO224" s="19" t="str">
        <f>IF(WMO220 = "", "", IFERROR(WMO220 / SUMIFS(Aux_Totales!$N:$N, Aux_Totales!$F:$F, $F224, Aux_Totales!$A:$A,#REF!), 0))</f>
        <v/>
      </c>
      <c r="WMP224" s="19" t="str">
        <f>IF(WMP220 = "", "", IFERROR(WMP220 / SUMIFS(Aux_Totales!$N:$N, Aux_Totales!$F:$F, $F224, Aux_Totales!$A:$A,#REF!), 0))</f>
        <v/>
      </c>
      <c r="WMQ224" s="19" t="str">
        <f>IF(WMQ220 = "", "", IFERROR(WMQ220 / SUMIFS(Aux_Totales!$N:$N, Aux_Totales!$F:$F, $F224, Aux_Totales!$A:$A,#REF!), 0))</f>
        <v/>
      </c>
      <c r="WMR224" s="19" t="str">
        <f>IF(WMR220 = "", "", IFERROR(WMR220 / SUMIFS(Aux_Totales!$N:$N, Aux_Totales!$F:$F, $F224, Aux_Totales!$A:$A,#REF!), 0))</f>
        <v/>
      </c>
      <c r="WMS224" s="19" t="str">
        <f>IF(WMS220 = "", "", IFERROR(WMS220 / SUMIFS(Aux_Totales!$N:$N, Aux_Totales!$F:$F, $F224, Aux_Totales!$A:$A,#REF!), 0))</f>
        <v/>
      </c>
      <c r="WMT224" s="19" t="str">
        <f>IF(WMT220 = "", "", IFERROR(WMT220 / SUMIFS(Aux_Totales!$N:$N, Aux_Totales!$F:$F, $F224, Aux_Totales!$A:$A,#REF!), 0))</f>
        <v/>
      </c>
      <c r="WMU224" s="19" t="str">
        <f>IF(WMU220 = "", "", IFERROR(WMU220 / SUMIFS(Aux_Totales!$N:$N, Aux_Totales!$F:$F, $F224, Aux_Totales!$A:$A,#REF!), 0))</f>
        <v/>
      </c>
      <c r="WMV224" s="19" t="str">
        <f>IF(WMV220 = "", "", IFERROR(WMV220 / SUMIFS(Aux_Totales!$N:$N, Aux_Totales!$F:$F, $F224, Aux_Totales!$A:$A,#REF!), 0))</f>
        <v/>
      </c>
      <c r="WMW224" s="19" t="str">
        <f>IF(WMW220 = "", "", IFERROR(WMW220 / SUMIFS(Aux_Totales!$N:$N, Aux_Totales!$F:$F, $F224, Aux_Totales!$A:$A,#REF!), 0))</f>
        <v/>
      </c>
      <c r="WMX224" s="19" t="str">
        <f>IF(WMX220 = "", "", IFERROR(WMX220 / SUMIFS(Aux_Totales!$N:$N, Aux_Totales!$F:$F, $F224, Aux_Totales!$A:$A,#REF!), 0))</f>
        <v/>
      </c>
      <c r="WMY224" s="19" t="str">
        <f>IF(WMY220 = "", "", IFERROR(WMY220 / SUMIFS(Aux_Totales!$N:$N, Aux_Totales!$F:$F, $F224, Aux_Totales!$A:$A,#REF!), 0))</f>
        <v/>
      </c>
      <c r="WMZ224" s="19" t="str">
        <f>IF(WMZ220 = "", "", IFERROR(WMZ220 / SUMIFS(Aux_Totales!$N:$N, Aux_Totales!$F:$F, $F224, Aux_Totales!$A:$A,#REF!), 0))</f>
        <v/>
      </c>
      <c r="WNA224" s="19" t="str">
        <f>IF(WNA220 = "", "", IFERROR(WNA220 / SUMIFS(Aux_Totales!$N:$N, Aux_Totales!$F:$F, $F224, Aux_Totales!$A:$A,#REF!), 0))</f>
        <v/>
      </c>
      <c r="WNB224" s="19" t="str">
        <f>IF(WNB220 = "", "", IFERROR(WNB220 / SUMIFS(Aux_Totales!$N:$N, Aux_Totales!$F:$F, $F224, Aux_Totales!$A:$A,#REF!), 0))</f>
        <v/>
      </c>
      <c r="WNC224" s="19" t="str">
        <f>IF(WNC220 = "", "", IFERROR(WNC220 / SUMIFS(Aux_Totales!$N:$N, Aux_Totales!$F:$F, $F224, Aux_Totales!$A:$A,#REF!), 0))</f>
        <v/>
      </c>
      <c r="WND224" s="19" t="str">
        <f>IF(WND220 = "", "", IFERROR(WND220 / SUMIFS(Aux_Totales!$N:$N, Aux_Totales!$F:$F, $F224, Aux_Totales!$A:$A,#REF!), 0))</f>
        <v/>
      </c>
      <c r="WNE224" s="19" t="str">
        <f>IF(WNE220 = "", "", IFERROR(WNE220 / SUMIFS(Aux_Totales!$N:$N, Aux_Totales!$F:$F, $F224, Aux_Totales!$A:$A,#REF!), 0))</f>
        <v/>
      </c>
      <c r="WNF224" s="19" t="str">
        <f>IF(WNF220 = "", "", IFERROR(WNF220 / SUMIFS(Aux_Totales!$N:$N, Aux_Totales!$F:$F, $F224, Aux_Totales!$A:$A,#REF!), 0))</f>
        <v/>
      </c>
      <c r="WNG224" s="19" t="str">
        <f>IF(WNG220 = "", "", IFERROR(WNG220 / SUMIFS(Aux_Totales!$N:$N, Aux_Totales!$F:$F, $F224, Aux_Totales!$A:$A,#REF!), 0))</f>
        <v/>
      </c>
      <c r="WNH224" s="19" t="str">
        <f>IF(WNH220 = "", "", IFERROR(WNH220 / SUMIFS(Aux_Totales!$N:$N, Aux_Totales!$F:$F, $F224, Aux_Totales!$A:$A,#REF!), 0))</f>
        <v/>
      </c>
      <c r="WNI224" s="19" t="str">
        <f>IF(WNI220 = "", "", IFERROR(WNI220 / SUMIFS(Aux_Totales!$N:$N, Aux_Totales!$F:$F, $F224, Aux_Totales!$A:$A,#REF!), 0))</f>
        <v/>
      </c>
      <c r="WNJ224" s="19" t="str">
        <f>IF(WNJ220 = "", "", IFERROR(WNJ220 / SUMIFS(Aux_Totales!$N:$N, Aux_Totales!$F:$F, $F224, Aux_Totales!$A:$A,#REF!), 0))</f>
        <v/>
      </c>
      <c r="WNK224" s="19" t="str">
        <f>IF(WNK220 = "", "", IFERROR(WNK220 / SUMIFS(Aux_Totales!$N:$N, Aux_Totales!$F:$F, $F224, Aux_Totales!$A:$A,#REF!), 0))</f>
        <v/>
      </c>
      <c r="WNL224" s="19" t="str">
        <f>IF(WNL220 = "", "", IFERROR(WNL220 / SUMIFS(Aux_Totales!$N:$N, Aux_Totales!$F:$F, $F224, Aux_Totales!$A:$A,#REF!), 0))</f>
        <v/>
      </c>
      <c r="WNM224" s="19" t="str">
        <f>IF(WNM220 = "", "", IFERROR(WNM220 / SUMIFS(Aux_Totales!$N:$N, Aux_Totales!$F:$F, $F224, Aux_Totales!$A:$A,#REF!), 0))</f>
        <v/>
      </c>
      <c r="WNN224" s="19" t="str">
        <f>IF(WNN220 = "", "", IFERROR(WNN220 / SUMIFS(Aux_Totales!$N:$N, Aux_Totales!$F:$F, $F224, Aux_Totales!$A:$A,#REF!), 0))</f>
        <v/>
      </c>
      <c r="WNO224" s="19" t="str">
        <f>IF(WNO220 = "", "", IFERROR(WNO220 / SUMIFS(Aux_Totales!$N:$N, Aux_Totales!$F:$F, $F224, Aux_Totales!$A:$A,#REF!), 0))</f>
        <v/>
      </c>
      <c r="WNP224" s="19" t="str">
        <f>IF(WNP220 = "", "", IFERROR(WNP220 / SUMIFS(Aux_Totales!$N:$N, Aux_Totales!$F:$F, $F224, Aux_Totales!$A:$A,#REF!), 0))</f>
        <v/>
      </c>
      <c r="WNQ224" s="19" t="str">
        <f>IF(WNQ220 = "", "", IFERROR(WNQ220 / SUMIFS(Aux_Totales!$N:$N, Aux_Totales!$F:$F, $F224, Aux_Totales!$A:$A,#REF!), 0))</f>
        <v/>
      </c>
      <c r="WNR224" s="19" t="str">
        <f>IF(WNR220 = "", "", IFERROR(WNR220 / SUMIFS(Aux_Totales!$N:$N, Aux_Totales!$F:$F, $F224, Aux_Totales!$A:$A,#REF!), 0))</f>
        <v/>
      </c>
      <c r="WNS224" s="19" t="str">
        <f>IF(WNS220 = "", "", IFERROR(WNS220 / SUMIFS(Aux_Totales!$N:$N, Aux_Totales!$F:$F, $F224, Aux_Totales!$A:$A,#REF!), 0))</f>
        <v/>
      </c>
      <c r="WNT224" s="19" t="str">
        <f>IF(WNT220 = "", "", IFERROR(WNT220 / SUMIFS(Aux_Totales!$N:$N, Aux_Totales!$F:$F, $F224, Aux_Totales!$A:$A,#REF!), 0))</f>
        <v/>
      </c>
      <c r="WNU224" s="19" t="str">
        <f>IF(WNU220 = "", "", IFERROR(WNU220 / SUMIFS(Aux_Totales!$N:$N, Aux_Totales!$F:$F, $F224, Aux_Totales!$A:$A,#REF!), 0))</f>
        <v/>
      </c>
      <c r="WNV224" s="19" t="str">
        <f>IF(WNV220 = "", "", IFERROR(WNV220 / SUMIFS(Aux_Totales!$N:$N, Aux_Totales!$F:$F, $F224, Aux_Totales!$A:$A,#REF!), 0))</f>
        <v/>
      </c>
      <c r="WNW224" s="19" t="str">
        <f>IF(WNW220 = "", "", IFERROR(WNW220 / SUMIFS(Aux_Totales!$N:$N, Aux_Totales!$F:$F, $F224, Aux_Totales!$A:$A,#REF!), 0))</f>
        <v/>
      </c>
      <c r="WNX224" s="19" t="str">
        <f>IF(WNX220 = "", "", IFERROR(WNX220 / SUMIFS(Aux_Totales!$N:$N, Aux_Totales!$F:$F, $F224, Aux_Totales!$A:$A,#REF!), 0))</f>
        <v/>
      </c>
      <c r="WNY224" s="19" t="str">
        <f>IF(WNY220 = "", "", IFERROR(WNY220 / SUMIFS(Aux_Totales!$N:$N, Aux_Totales!$F:$F, $F224, Aux_Totales!$A:$A,#REF!), 0))</f>
        <v/>
      </c>
      <c r="WNZ224" s="19" t="str">
        <f>IF(WNZ220 = "", "", IFERROR(WNZ220 / SUMIFS(Aux_Totales!$N:$N, Aux_Totales!$F:$F, $F224, Aux_Totales!$A:$A,#REF!), 0))</f>
        <v/>
      </c>
      <c r="WOA224" s="19" t="str">
        <f>IF(WOA220 = "", "", IFERROR(WOA220 / SUMIFS(Aux_Totales!$N:$N, Aux_Totales!$F:$F, $F224, Aux_Totales!$A:$A,#REF!), 0))</f>
        <v/>
      </c>
      <c r="WOB224" s="19" t="str">
        <f>IF(WOB220 = "", "", IFERROR(WOB220 / SUMIFS(Aux_Totales!$N:$N, Aux_Totales!$F:$F, $F224, Aux_Totales!$A:$A,#REF!), 0))</f>
        <v/>
      </c>
      <c r="WOC224" s="19" t="str">
        <f>IF(WOC220 = "", "", IFERROR(WOC220 / SUMIFS(Aux_Totales!$N:$N, Aux_Totales!$F:$F, $F224, Aux_Totales!$A:$A,#REF!), 0))</f>
        <v/>
      </c>
      <c r="WOD224" s="19" t="str">
        <f>IF(WOD220 = "", "", IFERROR(WOD220 / SUMIFS(Aux_Totales!$N:$N, Aux_Totales!$F:$F, $F224, Aux_Totales!$A:$A,#REF!), 0))</f>
        <v/>
      </c>
      <c r="WOE224" s="19" t="str">
        <f>IF(WOE220 = "", "", IFERROR(WOE220 / SUMIFS(Aux_Totales!$N:$N, Aux_Totales!$F:$F, $F224, Aux_Totales!$A:$A,#REF!), 0))</f>
        <v/>
      </c>
      <c r="WOF224" s="19" t="str">
        <f>IF(WOF220 = "", "", IFERROR(WOF220 / SUMIFS(Aux_Totales!$N:$N, Aux_Totales!$F:$F, $F224, Aux_Totales!$A:$A,#REF!), 0))</f>
        <v/>
      </c>
      <c r="WOG224" s="19" t="str">
        <f>IF(WOG220 = "", "", IFERROR(WOG220 / SUMIFS(Aux_Totales!$N:$N, Aux_Totales!$F:$F, $F224, Aux_Totales!$A:$A,#REF!), 0))</f>
        <v/>
      </c>
      <c r="WOH224" s="19" t="str">
        <f>IF(WOH220 = "", "", IFERROR(WOH220 / SUMIFS(Aux_Totales!$N:$N, Aux_Totales!$F:$F, $F224, Aux_Totales!$A:$A,#REF!), 0))</f>
        <v/>
      </c>
      <c r="WOI224" s="19" t="str">
        <f>IF(WOI220 = "", "", IFERROR(WOI220 / SUMIFS(Aux_Totales!$N:$N, Aux_Totales!$F:$F, $F224, Aux_Totales!$A:$A,#REF!), 0))</f>
        <v/>
      </c>
      <c r="WOJ224" s="19" t="str">
        <f>IF(WOJ220 = "", "", IFERROR(WOJ220 / SUMIFS(Aux_Totales!$N:$N, Aux_Totales!$F:$F, $F224, Aux_Totales!$A:$A,#REF!), 0))</f>
        <v/>
      </c>
      <c r="WOK224" s="19" t="str">
        <f>IF(WOK220 = "", "", IFERROR(WOK220 / SUMIFS(Aux_Totales!$N:$N, Aux_Totales!$F:$F, $F224, Aux_Totales!$A:$A,#REF!), 0))</f>
        <v/>
      </c>
      <c r="WOL224" s="19" t="str">
        <f>IF(WOL220 = "", "", IFERROR(WOL220 / SUMIFS(Aux_Totales!$N:$N, Aux_Totales!$F:$F, $F224, Aux_Totales!$A:$A,#REF!), 0))</f>
        <v/>
      </c>
      <c r="WOM224" s="19" t="str">
        <f>IF(WOM220 = "", "", IFERROR(WOM220 / SUMIFS(Aux_Totales!$N:$N, Aux_Totales!$F:$F, $F224, Aux_Totales!$A:$A,#REF!), 0))</f>
        <v/>
      </c>
      <c r="WON224" s="19" t="str">
        <f>IF(WON220 = "", "", IFERROR(WON220 / SUMIFS(Aux_Totales!$N:$N, Aux_Totales!$F:$F, $F224, Aux_Totales!$A:$A,#REF!), 0))</f>
        <v/>
      </c>
      <c r="WOO224" s="19" t="str">
        <f>IF(WOO220 = "", "", IFERROR(WOO220 / SUMIFS(Aux_Totales!$N:$N, Aux_Totales!$F:$F, $F224, Aux_Totales!$A:$A,#REF!), 0))</f>
        <v/>
      </c>
      <c r="WOP224" s="19" t="str">
        <f>IF(WOP220 = "", "", IFERROR(WOP220 / SUMIFS(Aux_Totales!$N:$N, Aux_Totales!$F:$F, $F224, Aux_Totales!$A:$A,#REF!), 0))</f>
        <v/>
      </c>
      <c r="WOQ224" s="19" t="str">
        <f>IF(WOQ220 = "", "", IFERROR(WOQ220 / SUMIFS(Aux_Totales!$N:$N, Aux_Totales!$F:$F, $F224, Aux_Totales!$A:$A,#REF!), 0))</f>
        <v/>
      </c>
      <c r="WOR224" s="19" t="str">
        <f>IF(WOR220 = "", "", IFERROR(WOR220 / SUMIFS(Aux_Totales!$N:$N, Aux_Totales!$F:$F, $F224, Aux_Totales!$A:$A,#REF!), 0))</f>
        <v/>
      </c>
      <c r="WOS224" s="19" t="str">
        <f>IF(WOS220 = "", "", IFERROR(WOS220 / SUMIFS(Aux_Totales!$N:$N, Aux_Totales!$F:$F, $F224, Aux_Totales!$A:$A,#REF!), 0))</f>
        <v/>
      </c>
      <c r="WOT224" s="19" t="str">
        <f>IF(WOT220 = "", "", IFERROR(WOT220 / SUMIFS(Aux_Totales!$N:$N, Aux_Totales!$F:$F, $F224, Aux_Totales!$A:$A,#REF!), 0))</f>
        <v/>
      </c>
      <c r="WOU224" s="19" t="str">
        <f>IF(WOU220 = "", "", IFERROR(WOU220 / SUMIFS(Aux_Totales!$N:$N, Aux_Totales!$F:$F, $F224, Aux_Totales!$A:$A,#REF!), 0))</f>
        <v/>
      </c>
      <c r="WOV224" s="19" t="str">
        <f>IF(WOV220 = "", "", IFERROR(WOV220 / SUMIFS(Aux_Totales!$N:$N, Aux_Totales!$F:$F, $F224, Aux_Totales!$A:$A,#REF!), 0))</f>
        <v/>
      </c>
      <c r="WOW224" s="19" t="str">
        <f>IF(WOW220 = "", "", IFERROR(WOW220 / SUMIFS(Aux_Totales!$N:$N, Aux_Totales!$F:$F, $F224, Aux_Totales!$A:$A,#REF!), 0))</f>
        <v/>
      </c>
      <c r="WOX224" s="19" t="str">
        <f>IF(WOX220 = "", "", IFERROR(WOX220 / SUMIFS(Aux_Totales!$N:$N, Aux_Totales!$F:$F, $F224, Aux_Totales!$A:$A,#REF!), 0))</f>
        <v/>
      </c>
      <c r="WOY224" s="19" t="str">
        <f>IF(WOY220 = "", "", IFERROR(WOY220 / SUMIFS(Aux_Totales!$N:$N, Aux_Totales!$F:$F, $F224, Aux_Totales!$A:$A,#REF!), 0))</f>
        <v/>
      </c>
      <c r="WOZ224" s="19" t="str">
        <f>IF(WOZ220 = "", "", IFERROR(WOZ220 / SUMIFS(Aux_Totales!$N:$N, Aux_Totales!$F:$F, $F224, Aux_Totales!$A:$A,#REF!), 0))</f>
        <v/>
      </c>
      <c r="WPA224" s="19" t="str">
        <f>IF(WPA220 = "", "", IFERROR(WPA220 / SUMIFS(Aux_Totales!$N:$N, Aux_Totales!$F:$F, $F224, Aux_Totales!$A:$A,#REF!), 0))</f>
        <v/>
      </c>
      <c r="WPB224" s="19" t="str">
        <f>IF(WPB220 = "", "", IFERROR(WPB220 / SUMIFS(Aux_Totales!$N:$N, Aux_Totales!$F:$F, $F224, Aux_Totales!$A:$A,#REF!), 0))</f>
        <v/>
      </c>
      <c r="WPC224" s="19" t="str">
        <f>IF(WPC220 = "", "", IFERROR(WPC220 / SUMIFS(Aux_Totales!$N:$N, Aux_Totales!$F:$F, $F224, Aux_Totales!$A:$A,#REF!), 0))</f>
        <v/>
      </c>
      <c r="WPD224" s="19" t="str">
        <f>IF(WPD220 = "", "", IFERROR(WPD220 / SUMIFS(Aux_Totales!$N:$N, Aux_Totales!$F:$F, $F224, Aux_Totales!$A:$A,#REF!), 0))</f>
        <v/>
      </c>
      <c r="WPE224" s="19" t="str">
        <f>IF(WPE220 = "", "", IFERROR(WPE220 / SUMIFS(Aux_Totales!$N:$N, Aux_Totales!$F:$F, $F224, Aux_Totales!$A:$A,#REF!), 0))</f>
        <v/>
      </c>
      <c r="WPF224" s="19" t="str">
        <f>IF(WPF220 = "", "", IFERROR(WPF220 / SUMIFS(Aux_Totales!$N:$N, Aux_Totales!$F:$F, $F224, Aux_Totales!$A:$A,#REF!), 0))</f>
        <v/>
      </c>
      <c r="WPG224" s="19" t="str">
        <f>IF(WPG220 = "", "", IFERROR(WPG220 / SUMIFS(Aux_Totales!$N:$N, Aux_Totales!$F:$F, $F224, Aux_Totales!$A:$A,#REF!), 0))</f>
        <v/>
      </c>
      <c r="WPH224" s="19" t="str">
        <f>IF(WPH220 = "", "", IFERROR(WPH220 / SUMIFS(Aux_Totales!$N:$N, Aux_Totales!$F:$F, $F224, Aux_Totales!$A:$A,#REF!), 0))</f>
        <v/>
      </c>
      <c r="WPI224" s="19" t="str">
        <f>IF(WPI220 = "", "", IFERROR(WPI220 / SUMIFS(Aux_Totales!$N:$N, Aux_Totales!$F:$F, $F224, Aux_Totales!$A:$A,#REF!), 0))</f>
        <v/>
      </c>
      <c r="WPJ224" s="19" t="str">
        <f>IF(WPJ220 = "", "", IFERROR(WPJ220 / SUMIFS(Aux_Totales!$N:$N, Aux_Totales!$F:$F, $F224, Aux_Totales!$A:$A,#REF!), 0))</f>
        <v/>
      </c>
      <c r="WPK224" s="19" t="str">
        <f>IF(WPK220 = "", "", IFERROR(WPK220 / SUMIFS(Aux_Totales!$N:$N, Aux_Totales!$F:$F, $F224, Aux_Totales!$A:$A,#REF!), 0))</f>
        <v/>
      </c>
      <c r="WPL224" s="19" t="str">
        <f>IF(WPL220 = "", "", IFERROR(WPL220 / SUMIFS(Aux_Totales!$N:$N, Aux_Totales!$F:$F, $F224, Aux_Totales!$A:$A,#REF!), 0))</f>
        <v/>
      </c>
      <c r="WPM224" s="19" t="str">
        <f>IF(WPM220 = "", "", IFERROR(WPM220 / SUMIFS(Aux_Totales!$N:$N, Aux_Totales!$F:$F, $F224, Aux_Totales!$A:$A,#REF!), 0))</f>
        <v/>
      </c>
      <c r="WPN224" s="19" t="str">
        <f>IF(WPN220 = "", "", IFERROR(WPN220 / SUMIFS(Aux_Totales!$N:$N, Aux_Totales!$F:$F, $F224, Aux_Totales!$A:$A,#REF!), 0))</f>
        <v/>
      </c>
      <c r="WPO224" s="19" t="str">
        <f>IF(WPO220 = "", "", IFERROR(WPO220 / SUMIFS(Aux_Totales!$N:$N, Aux_Totales!$F:$F, $F224, Aux_Totales!$A:$A,#REF!), 0))</f>
        <v/>
      </c>
      <c r="WPP224" s="19" t="str">
        <f>IF(WPP220 = "", "", IFERROR(WPP220 / SUMIFS(Aux_Totales!$N:$N, Aux_Totales!$F:$F, $F224, Aux_Totales!$A:$A,#REF!), 0))</f>
        <v/>
      </c>
      <c r="WPQ224" s="19" t="str">
        <f>IF(WPQ220 = "", "", IFERROR(WPQ220 / SUMIFS(Aux_Totales!$N:$N, Aux_Totales!$F:$F, $F224, Aux_Totales!$A:$A,#REF!), 0))</f>
        <v/>
      </c>
      <c r="WPR224" s="19" t="str">
        <f>IF(WPR220 = "", "", IFERROR(WPR220 / SUMIFS(Aux_Totales!$N:$N, Aux_Totales!$F:$F, $F224, Aux_Totales!$A:$A,#REF!), 0))</f>
        <v/>
      </c>
      <c r="WPS224" s="19" t="str">
        <f>IF(WPS220 = "", "", IFERROR(WPS220 / SUMIFS(Aux_Totales!$N:$N, Aux_Totales!$F:$F, $F224, Aux_Totales!$A:$A,#REF!), 0))</f>
        <v/>
      </c>
      <c r="WPT224" s="19" t="str">
        <f>IF(WPT220 = "", "", IFERROR(WPT220 / SUMIFS(Aux_Totales!$N:$N, Aux_Totales!$F:$F, $F224, Aux_Totales!$A:$A,#REF!), 0))</f>
        <v/>
      </c>
      <c r="WPU224" s="19" t="str">
        <f>IF(WPU220 = "", "", IFERROR(WPU220 / SUMIFS(Aux_Totales!$N:$N, Aux_Totales!$F:$F, $F224, Aux_Totales!$A:$A,#REF!), 0))</f>
        <v/>
      </c>
      <c r="WPV224" s="19" t="str">
        <f>IF(WPV220 = "", "", IFERROR(WPV220 / SUMIFS(Aux_Totales!$N:$N, Aux_Totales!$F:$F, $F224, Aux_Totales!$A:$A,#REF!), 0))</f>
        <v/>
      </c>
      <c r="WPW224" s="19" t="str">
        <f>IF(WPW220 = "", "", IFERROR(WPW220 / SUMIFS(Aux_Totales!$N:$N, Aux_Totales!$F:$F, $F224, Aux_Totales!$A:$A,#REF!), 0))</f>
        <v/>
      </c>
      <c r="WPX224" s="19" t="str">
        <f>IF(WPX220 = "", "", IFERROR(WPX220 / SUMIFS(Aux_Totales!$N:$N, Aux_Totales!$F:$F, $F224, Aux_Totales!$A:$A,#REF!), 0))</f>
        <v/>
      </c>
      <c r="WPY224" s="19" t="str">
        <f>IF(WPY220 = "", "", IFERROR(WPY220 / SUMIFS(Aux_Totales!$N:$N, Aux_Totales!$F:$F, $F224, Aux_Totales!$A:$A,#REF!), 0))</f>
        <v/>
      </c>
      <c r="WPZ224" s="19" t="str">
        <f>IF(WPZ220 = "", "", IFERROR(WPZ220 / SUMIFS(Aux_Totales!$N:$N, Aux_Totales!$F:$F, $F224, Aux_Totales!$A:$A,#REF!), 0))</f>
        <v/>
      </c>
      <c r="WQA224" s="19" t="str">
        <f>IF(WQA220 = "", "", IFERROR(WQA220 / SUMIFS(Aux_Totales!$N:$N, Aux_Totales!$F:$F, $F224, Aux_Totales!$A:$A,#REF!), 0))</f>
        <v/>
      </c>
      <c r="WQB224" s="19" t="str">
        <f>IF(WQB220 = "", "", IFERROR(WQB220 / SUMIFS(Aux_Totales!$N:$N, Aux_Totales!$F:$F, $F224, Aux_Totales!$A:$A,#REF!), 0))</f>
        <v/>
      </c>
      <c r="WQC224" s="19" t="str">
        <f>IF(WQC220 = "", "", IFERROR(WQC220 / SUMIFS(Aux_Totales!$N:$N, Aux_Totales!$F:$F, $F224, Aux_Totales!$A:$A,#REF!), 0))</f>
        <v/>
      </c>
      <c r="WQD224" s="19" t="str">
        <f>IF(WQD220 = "", "", IFERROR(WQD220 / SUMIFS(Aux_Totales!$N:$N, Aux_Totales!$F:$F, $F224, Aux_Totales!$A:$A,#REF!), 0))</f>
        <v/>
      </c>
      <c r="WQE224" s="19" t="str">
        <f>IF(WQE220 = "", "", IFERROR(WQE220 / SUMIFS(Aux_Totales!$N:$N, Aux_Totales!$F:$F, $F224, Aux_Totales!$A:$A,#REF!), 0))</f>
        <v/>
      </c>
      <c r="WQF224" s="19" t="str">
        <f>IF(WQF220 = "", "", IFERROR(WQF220 / SUMIFS(Aux_Totales!$N:$N, Aux_Totales!$F:$F, $F224, Aux_Totales!$A:$A,#REF!), 0))</f>
        <v/>
      </c>
      <c r="WQG224" s="19" t="str">
        <f>IF(WQG220 = "", "", IFERROR(WQG220 / SUMIFS(Aux_Totales!$N:$N, Aux_Totales!$F:$F, $F224, Aux_Totales!$A:$A,#REF!), 0))</f>
        <v/>
      </c>
      <c r="WQH224" s="19" t="str">
        <f>IF(WQH220 = "", "", IFERROR(WQH220 / SUMIFS(Aux_Totales!$N:$N, Aux_Totales!$F:$F, $F224, Aux_Totales!$A:$A,#REF!), 0))</f>
        <v/>
      </c>
      <c r="WQI224" s="19" t="str">
        <f>IF(WQI220 = "", "", IFERROR(WQI220 / SUMIFS(Aux_Totales!$N:$N, Aux_Totales!$F:$F, $F224, Aux_Totales!$A:$A,#REF!), 0))</f>
        <v/>
      </c>
      <c r="WQJ224" s="19" t="str">
        <f>IF(WQJ220 = "", "", IFERROR(WQJ220 / SUMIFS(Aux_Totales!$N:$N, Aux_Totales!$F:$F, $F224, Aux_Totales!$A:$A,#REF!), 0))</f>
        <v/>
      </c>
      <c r="WQK224" s="19" t="str">
        <f>IF(WQK220 = "", "", IFERROR(WQK220 / SUMIFS(Aux_Totales!$N:$N, Aux_Totales!$F:$F, $F224, Aux_Totales!$A:$A,#REF!), 0))</f>
        <v/>
      </c>
      <c r="WQL224" s="19" t="str">
        <f>IF(WQL220 = "", "", IFERROR(WQL220 / SUMIFS(Aux_Totales!$N:$N, Aux_Totales!$F:$F, $F224, Aux_Totales!$A:$A,#REF!), 0))</f>
        <v/>
      </c>
      <c r="WQM224" s="19" t="str">
        <f>IF(WQM220 = "", "", IFERROR(WQM220 / SUMIFS(Aux_Totales!$N:$N, Aux_Totales!$F:$F, $F224, Aux_Totales!$A:$A,#REF!), 0))</f>
        <v/>
      </c>
      <c r="WQN224" s="19" t="str">
        <f>IF(WQN220 = "", "", IFERROR(WQN220 / SUMIFS(Aux_Totales!$N:$N, Aux_Totales!$F:$F, $F224, Aux_Totales!$A:$A,#REF!), 0))</f>
        <v/>
      </c>
      <c r="WQO224" s="19" t="str">
        <f>IF(WQO220 = "", "", IFERROR(WQO220 / SUMIFS(Aux_Totales!$N:$N, Aux_Totales!$F:$F, $F224, Aux_Totales!$A:$A,#REF!), 0))</f>
        <v/>
      </c>
      <c r="WQP224" s="19" t="str">
        <f>IF(WQP220 = "", "", IFERROR(WQP220 / SUMIFS(Aux_Totales!$N:$N, Aux_Totales!$F:$F, $F224, Aux_Totales!$A:$A,#REF!), 0))</f>
        <v/>
      </c>
      <c r="WQQ224" s="19" t="str">
        <f>IF(WQQ220 = "", "", IFERROR(WQQ220 / SUMIFS(Aux_Totales!$N:$N, Aux_Totales!$F:$F, $F224, Aux_Totales!$A:$A,#REF!), 0))</f>
        <v/>
      </c>
      <c r="WQR224" s="19" t="str">
        <f>IF(WQR220 = "", "", IFERROR(WQR220 / SUMIFS(Aux_Totales!$N:$N, Aux_Totales!$F:$F, $F224, Aux_Totales!$A:$A,#REF!), 0))</f>
        <v/>
      </c>
      <c r="WQS224" s="19" t="str">
        <f>IF(WQS220 = "", "", IFERROR(WQS220 / SUMIFS(Aux_Totales!$N:$N, Aux_Totales!$F:$F, $F224, Aux_Totales!$A:$A,#REF!), 0))</f>
        <v/>
      </c>
      <c r="WQT224" s="19" t="str">
        <f>IF(WQT220 = "", "", IFERROR(WQT220 / SUMIFS(Aux_Totales!$N:$N, Aux_Totales!$F:$F, $F224, Aux_Totales!$A:$A,#REF!), 0))</f>
        <v/>
      </c>
      <c r="WQU224" s="19" t="str">
        <f>IF(WQU220 = "", "", IFERROR(WQU220 / SUMIFS(Aux_Totales!$N:$N, Aux_Totales!$F:$F, $F224, Aux_Totales!$A:$A,#REF!), 0))</f>
        <v/>
      </c>
      <c r="WQV224" s="19" t="str">
        <f>IF(WQV220 = "", "", IFERROR(WQV220 / SUMIFS(Aux_Totales!$N:$N, Aux_Totales!$F:$F, $F224, Aux_Totales!$A:$A,#REF!), 0))</f>
        <v/>
      </c>
      <c r="WQW224" s="19" t="str">
        <f>IF(WQW220 = "", "", IFERROR(WQW220 / SUMIFS(Aux_Totales!$N:$N, Aux_Totales!$F:$F, $F224, Aux_Totales!$A:$A,#REF!), 0))</f>
        <v/>
      </c>
      <c r="WQX224" s="19" t="str">
        <f>IF(WQX220 = "", "", IFERROR(WQX220 / SUMIFS(Aux_Totales!$N:$N, Aux_Totales!$F:$F, $F224, Aux_Totales!$A:$A,#REF!), 0))</f>
        <v/>
      </c>
      <c r="WQY224" s="19" t="str">
        <f>IF(WQY220 = "", "", IFERROR(WQY220 / SUMIFS(Aux_Totales!$N:$N, Aux_Totales!$F:$F, $F224, Aux_Totales!$A:$A,#REF!), 0))</f>
        <v/>
      </c>
      <c r="WQZ224" s="19" t="str">
        <f>IF(WQZ220 = "", "", IFERROR(WQZ220 / SUMIFS(Aux_Totales!$N:$N, Aux_Totales!$F:$F, $F224, Aux_Totales!$A:$A,#REF!), 0))</f>
        <v/>
      </c>
      <c r="WRA224" s="19" t="str">
        <f>IF(WRA220 = "", "", IFERROR(WRA220 / SUMIFS(Aux_Totales!$N:$N, Aux_Totales!$F:$F, $F224, Aux_Totales!$A:$A,#REF!), 0))</f>
        <v/>
      </c>
      <c r="WRB224" s="19" t="str">
        <f>IF(WRB220 = "", "", IFERROR(WRB220 / SUMIFS(Aux_Totales!$N:$N, Aux_Totales!$F:$F, $F224, Aux_Totales!$A:$A,#REF!), 0))</f>
        <v/>
      </c>
      <c r="WRC224" s="19" t="str">
        <f>IF(WRC220 = "", "", IFERROR(WRC220 / SUMIFS(Aux_Totales!$N:$N, Aux_Totales!$F:$F, $F224, Aux_Totales!$A:$A,#REF!), 0))</f>
        <v/>
      </c>
      <c r="WRD224" s="19" t="str">
        <f>IF(WRD220 = "", "", IFERROR(WRD220 / SUMIFS(Aux_Totales!$N:$N, Aux_Totales!$F:$F, $F224, Aux_Totales!$A:$A,#REF!), 0))</f>
        <v/>
      </c>
      <c r="WRE224" s="19" t="str">
        <f>IF(WRE220 = "", "", IFERROR(WRE220 / SUMIFS(Aux_Totales!$N:$N, Aux_Totales!$F:$F, $F224, Aux_Totales!$A:$A,#REF!), 0))</f>
        <v/>
      </c>
      <c r="WRF224" s="19" t="str">
        <f>IF(WRF220 = "", "", IFERROR(WRF220 / SUMIFS(Aux_Totales!$N:$N, Aux_Totales!$F:$F, $F224, Aux_Totales!$A:$A,#REF!), 0))</f>
        <v/>
      </c>
      <c r="WRG224" s="19" t="str">
        <f>IF(WRG220 = "", "", IFERROR(WRG220 / SUMIFS(Aux_Totales!$N:$N, Aux_Totales!$F:$F, $F224, Aux_Totales!$A:$A,#REF!), 0))</f>
        <v/>
      </c>
      <c r="WRH224" s="19" t="str">
        <f>IF(WRH220 = "", "", IFERROR(WRH220 / SUMIFS(Aux_Totales!$N:$N, Aux_Totales!$F:$F, $F224, Aux_Totales!$A:$A,#REF!), 0))</f>
        <v/>
      </c>
      <c r="WRI224" s="19" t="str">
        <f>IF(WRI220 = "", "", IFERROR(WRI220 / SUMIFS(Aux_Totales!$N:$N, Aux_Totales!$F:$F, $F224, Aux_Totales!$A:$A,#REF!), 0))</f>
        <v/>
      </c>
      <c r="WRJ224" s="19" t="str">
        <f>IF(WRJ220 = "", "", IFERROR(WRJ220 / SUMIFS(Aux_Totales!$N:$N, Aux_Totales!$F:$F, $F224, Aux_Totales!$A:$A,#REF!), 0))</f>
        <v/>
      </c>
      <c r="WRK224" s="19" t="str">
        <f>IF(WRK220 = "", "", IFERROR(WRK220 / SUMIFS(Aux_Totales!$N:$N, Aux_Totales!$F:$F, $F224, Aux_Totales!$A:$A,#REF!), 0))</f>
        <v/>
      </c>
      <c r="WRL224" s="19" t="str">
        <f>IF(WRL220 = "", "", IFERROR(WRL220 / SUMIFS(Aux_Totales!$N:$N, Aux_Totales!$F:$F, $F224, Aux_Totales!$A:$A,#REF!), 0))</f>
        <v/>
      </c>
      <c r="WRM224" s="19" t="str">
        <f>IF(WRM220 = "", "", IFERROR(WRM220 / SUMIFS(Aux_Totales!$N:$N, Aux_Totales!$F:$F, $F224, Aux_Totales!$A:$A,#REF!), 0))</f>
        <v/>
      </c>
      <c r="WRN224" s="19" t="str">
        <f>IF(WRN220 = "", "", IFERROR(WRN220 / SUMIFS(Aux_Totales!$N:$N, Aux_Totales!$F:$F, $F224, Aux_Totales!$A:$A,#REF!), 0))</f>
        <v/>
      </c>
      <c r="WRO224" s="19" t="str">
        <f>IF(WRO220 = "", "", IFERROR(WRO220 / SUMIFS(Aux_Totales!$N:$N, Aux_Totales!$F:$F, $F224, Aux_Totales!$A:$A,#REF!), 0))</f>
        <v/>
      </c>
      <c r="WRP224" s="19" t="str">
        <f>IF(WRP220 = "", "", IFERROR(WRP220 / SUMIFS(Aux_Totales!$N:$N, Aux_Totales!$F:$F, $F224, Aux_Totales!$A:$A,#REF!), 0))</f>
        <v/>
      </c>
      <c r="WRQ224" s="19" t="str">
        <f>IF(WRQ220 = "", "", IFERROR(WRQ220 / SUMIFS(Aux_Totales!$N:$N, Aux_Totales!$F:$F, $F224, Aux_Totales!$A:$A,#REF!), 0))</f>
        <v/>
      </c>
      <c r="WRR224" s="19" t="str">
        <f>IF(WRR220 = "", "", IFERROR(WRR220 / SUMIFS(Aux_Totales!$N:$N, Aux_Totales!$F:$F, $F224, Aux_Totales!$A:$A,#REF!), 0))</f>
        <v/>
      </c>
      <c r="WRS224" s="19" t="str">
        <f>IF(WRS220 = "", "", IFERROR(WRS220 / SUMIFS(Aux_Totales!$N:$N, Aux_Totales!$F:$F, $F224, Aux_Totales!$A:$A,#REF!), 0))</f>
        <v/>
      </c>
      <c r="WRT224" s="19" t="str">
        <f>IF(WRT220 = "", "", IFERROR(WRT220 / SUMIFS(Aux_Totales!$N:$N, Aux_Totales!$F:$F, $F224, Aux_Totales!$A:$A,#REF!), 0))</f>
        <v/>
      </c>
      <c r="WRU224" s="19" t="str">
        <f>IF(WRU220 = "", "", IFERROR(WRU220 / SUMIFS(Aux_Totales!$N:$N, Aux_Totales!$F:$F, $F224, Aux_Totales!$A:$A,#REF!), 0))</f>
        <v/>
      </c>
      <c r="WRV224" s="19" t="str">
        <f>IF(WRV220 = "", "", IFERROR(WRV220 / SUMIFS(Aux_Totales!$N:$N, Aux_Totales!$F:$F, $F224, Aux_Totales!$A:$A,#REF!), 0))</f>
        <v/>
      </c>
      <c r="WRW224" s="19" t="str">
        <f>IF(WRW220 = "", "", IFERROR(WRW220 / SUMIFS(Aux_Totales!$N:$N, Aux_Totales!$F:$F, $F224, Aux_Totales!$A:$A,#REF!), 0))</f>
        <v/>
      </c>
      <c r="WRX224" s="19" t="str">
        <f>IF(WRX220 = "", "", IFERROR(WRX220 / SUMIFS(Aux_Totales!$N:$N, Aux_Totales!$F:$F, $F224, Aux_Totales!$A:$A,#REF!), 0))</f>
        <v/>
      </c>
      <c r="WRY224" s="19" t="str">
        <f>IF(WRY220 = "", "", IFERROR(WRY220 / SUMIFS(Aux_Totales!$N:$N, Aux_Totales!$F:$F, $F224, Aux_Totales!$A:$A,#REF!), 0))</f>
        <v/>
      </c>
      <c r="WRZ224" s="19" t="str">
        <f>IF(WRZ220 = "", "", IFERROR(WRZ220 / SUMIFS(Aux_Totales!$N:$N, Aux_Totales!$F:$F, $F224, Aux_Totales!$A:$A,#REF!), 0))</f>
        <v/>
      </c>
      <c r="WSA224" s="19" t="str">
        <f>IF(WSA220 = "", "", IFERROR(WSA220 / SUMIFS(Aux_Totales!$N:$N, Aux_Totales!$F:$F, $F224, Aux_Totales!$A:$A,#REF!), 0))</f>
        <v/>
      </c>
      <c r="WSB224" s="19" t="str">
        <f>IF(WSB220 = "", "", IFERROR(WSB220 / SUMIFS(Aux_Totales!$N:$N, Aux_Totales!$F:$F, $F224, Aux_Totales!$A:$A,#REF!), 0))</f>
        <v/>
      </c>
      <c r="WSC224" s="19" t="str">
        <f>IF(WSC220 = "", "", IFERROR(WSC220 / SUMIFS(Aux_Totales!$N:$N, Aux_Totales!$F:$F, $F224, Aux_Totales!$A:$A,#REF!), 0))</f>
        <v/>
      </c>
      <c r="WSD224" s="19" t="str">
        <f>IF(WSD220 = "", "", IFERROR(WSD220 / SUMIFS(Aux_Totales!$N:$N, Aux_Totales!$F:$F, $F224, Aux_Totales!$A:$A,#REF!), 0))</f>
        <v/>
      </c>
      <c r="WSE224" s="19" t="str">
        <f>IF(WSE220 = "", "", IFERROR(WSE220 / SUMIFS(Aux_Totales!$N:$N, Aux_Totales!$F:$F, $F224, Aux_Totales!$A:$A,#REF!), 0))</f>
        <v/>
      </c>
      <c r="WSF224" s="19" t="str">
        <f>IF(WSF220 = "", "", IFERROR(WSF220 / SUMIFS(Aux_Totales!$N:$N, Aux_Totales!$F:$F, $F224, Aux_Totales!$A:$A,#REF!), 0))</f>
        <v/>
      </c>
      <c r="WSG224" s="19" t="str">
        <f>IF(WSG220 = "", "", IFERROR(WSG220 / SUMIFS(Aux_Totales!$N:$N, Aux_Totales!$F:$F, $F224, Aux_Totales!$A:$A,#REF!), 0))</f>
        <v/>
      </c>
      <c r="WSH224" s="19" t="str">
        <f>IF(WSH220 = "", "", IFERROR(WSH220 / SUMIFS(Aux_Totales!$N:$N, Aux_Totales!$F:$F, $F224, Aux_Totales!$A:$A,#REF!), 0))</f>
        <v/>
      </c>
      <c r="WSI224" s="19" t="str">
        <f>IF(WSI220 = "", "", IFERROR(WSI220 / SUMIFS(Aux_Totales!$N:$N, Aux_Totales!$F:$F, $F224, Aux_Totales!$A:$A,#REF!), 0))</f>
        <v/>
      </c>
      <c r="WSJ224" s="19" t="str">
        <f>IF(WSJ220 = "", "", IFERROR(WSJ220 / SUMIFS(Aux_Totales!$N:$N, Aux_Totales!$F:$F, $F224, Aux_Totales!$A:$A,#REF!), 0))</f>
        <v/>
      </c>
      <c r="WSK224" s="19" t="str">
        <f>IF(WSK220 = "", "", IFERROR(WSK220 / SUMIFS(Aux_Totales!$N:$N, Aux_Totales!$F:$F, $F224, Aux_Totales!$A:$A,#REF!), 0))</f>
        <v/>
      </c>
      <c r="WSL224" s="19" t="str">
        <f>IF(WSL220 = "", "", IFERROR(WSL220 / SUMIFS(Aux_Totales!$N:$N, Aux_Totales!$F:$F, $F224, Aux_Totales!$A:$A,#REF!), 0))</f>
        <v/>
      </c>
      <c r="WSM224" s="19" t="str">
        <f>IF(WSM220 = "", "", IFERROR(WSM220 / SUMIFS(Aux_Totales!$N:$N, Aux_Totales!$F:$F, $F224, Aux_Totales!$A:$A,#REF!), 0))</f>
        <v/>
      </c>
      <c r="WSN224" s="19" t="str">
        <f>IF(WSN220 = "", "", IFERROR(WSN220 / SUMIFS(Aux_Totales!$N:$N, Aux_Totales!$F:$F, $F224, Aux_Totales!$A:$A,#REF!), 0))</f>
        <v/>
      </c>
      <c r="WSO224" s="19" t="str">
        <f>IF(WSO220 = "", "", IFERROR(WSO220 / SUMIFS(Aux_Totales!$N:$N, Aux_Totales!$F:$F, $F224, Aux_Totales!$A:$A,#REF!), 0))</f>
        <v/>
      </c>
      <c r="WSP224" s="19" t="str">
        <f>IF(WSP220 = "", "", IFERROR(WSP220 / SUMIFS(Aux_Totales!$N:$N, Aux_Totales!$F:$F, $F224, Aux_Totales!$A:$A,#REF!), 0))</f>
        <v/>
      </c>
      <c r="WSQ224" s="19" t="str">
        <f>IF(WSQ220 = "", "", IFERROR(WSQ220 / SUMIFS(Aux_Totales!$N:$N, Aux_Totales!$F:$F, $F224, Aux_Totales!$A:$A,#REF!), 0))</f>
        <v/>
      </c>
      <c r="WSR224" s="19" t="str">
        <f>IF(WSR220 = "", "", IFERROR(WSR220 / SUMIFS(Aux_Totales!$N:$N, Aux_Totales!$F:$F, $F224, Aux_Totales!$A:$A,#REF!), 0))</f>
        <v/>
      </c>
      <c r="WSS224" s="19" t="str">
        <f>IF(WSS220 = "", "", IFERROR(WSS220 / SUMIFS(Aux_Totales!$N:$N, Aux_Totales!$F:$F, $F224, Aux_Totales!$A:$A,#REF!), 0))</f>
        <v/>
      </c>
      <c r="WST224" s="19" t="str">
        <f>IF(WST220 = "", "", IFERROR(WST220 / SUMIFS(Aux_Totales!$N:$N, Aux_Totales!$F:$F, $F224, Aux_Totales!$A:$A,#REF!), 0))</f>
        <v/>
      </c>
      <c r="WSU224" s="19" t="str">
        <f>IF(WSU220 = "", "", IFERROR(WSU220 / SUMIFS(Aux_Totales!$N:$N, Aux_Totales!$F:$F, $F224, Aux_Totales!$A:$A,#REF!), 0))</f>
        <v/>
      </c>
      <c r="WSV224" s="19" t="str">
        <f>IF(WSV220 = "", "", IFERROR(WSV220 / SUMIFS(Aux_Totales!$N:$N, Aux_Totales!$F:$F, $F224, Aux_Totales!$A:$A,#REF!), 0))</f>
        <v/>
      </c>
      <c r="WSW224" s="19" t="str">
        <f>IF(WSW220 = "", "", IFERROR(WSW220 / SUMIFS(Aux_Totales!$N:$N, Aux_Totales!$F:$F, $F224, Aux_Totales!$A:$A,#REF!), 0))</f>
        <v/>
      </c>
      <c r="WSX224" s="19" t="str">
        <f>IF(WSX220 = "", "", IFERROR(WSX220 / SUMIFS(Aux_Totales!$N:$N, Aux_Totales!$F:$F, $F224, Aux_Totales!$A:$A,#REF!), 0))</f>
        <v/>
      </c>
      <c r="WSY224" s="19" t="str">
        <f>IF(WSY220 = "", "", IFERROR(WSY220 / SUMIFS(Aux_Totales!$N:$N, Aux_Totales!$F:$F, $F224, Aux_Totales!$A:$A,#REF!), 0))</f>
        <v/>
      </c>
      <c r="WSZ224" s="19" t="str">
        <f>IF(WSZ220 = "", "", IFERROR(WSZ220 / SUMIFS(Aux_Totales!$N:$N, Aux_Totales!$F:$F, $F224, Aux_Totales!$A:$A,#REF!), 0))</f>
        <v/>
      </c>
      <c r="WTA224" s="19" t="str">
        <f>IF(WTA220 = "", "", IFERROR(WTA220 / SUMIFS(Aux_Totales!$N:$N, Aux_Totales!$F:$F, $F224, Aux_Totales!$A:$A,#REF!), 0))</f>
        <v/>
      </c>
      <c r="WTB224" s="19" t="str">
        <f>IF(WTB220 = "", "", IFERROR(WTB220 / SUMIFS(Aux_Totales!$N:$N, Aux_Totales!$F:$F, $F224, Aux_Totales!$A:$A,#REF!), 0))</f>
        <v/>
      </c>
      <c r="WTC224" s="19" t="str">
        <f>IF(WTC220 = "", "", IFERROR(WTC220 / SUMIFS(Aux_Totales!$N:$N, Aux_Totales!$F:$F, $F224, Aux_Totales!$A:$A,#REF!), 0))</f>
        <v/>
      </c>
      <c r="WTD224" s="19" t="str">
        <f>IF(WTD220 = "", "", IFERROR(WTD220 / SUMIFS(Aux_Totales!$N:$N, Aux_Totales!$F:$F, $F224, Aux_Totales!$A:$A,#REF!), 0))</f>
        <v/>
      </c>
      <c r="WTE224" s="19" t="str">
        <f>IF(WTE220 = "", "", IFERROR(WTE220 / SUMIFS(Aux_Totales!$N:$N, Aux_Totales!$F:$F, $F224, Aux_Totales!$A:$A,#REF!), 0))</f>
        <v/>
      </c>
      <c r="WTF224" s="19" t="str">
        <f>IF(WTF220 = "", "", IFERROR(WTF220 / SUMIFS(Aux_Totales!$N:$N, Aux_Totales!$F:$F, $F224, Aux_Totales!$A:$A,#REF!), 0))</f>
        <v/>
      </c>
      <c r="WTG224" s="19" t="str">
        <f>IF(WTG220 = "", "", IFERROR(WTG220 / SUMIFS(Aux_Totales!$N:$N, Aux_Totales!$F:$F, $F224, Aux_Totales!$A:$A,#REF!), 0))</f>
        <v/>
      </c>
      <c r="WTH224" s="19" t="str">
        <f>IF(WTH220 = "", "", IFERROR(WTH220 / SUMIFS(Aux_Totales!$N:$N, Aux_Totales!$F:$F, $F224, Aux_Totales!$A:$A,#REF!), 0))</f>
        <v/>
      </c>
      <c r="WTI224" s="19" t="str">
        <f>IF(WTI220 = "", "", IFERROR(WTI220 / SUMIFS(Aux_Totales!$N:$N, Aux_Totales!$F:$F, $F224, Aux_Totales!$A:$A,#REF!), 0))</f>
        <v/>
      </c>
      <c r="WTJ224" s="19" t="str">
        <f>IF(WTJ220 = "", "", IFERROR(WTJ220 / SUMIFS(Aux_Totales!$N:$N, Aux_Totales!$F:$F, $F224, Aux_Totales!$A:$A,#REF!), 0))</f>
        <v/>
      </c>
      <c r="WTK224" s="19" t="str">
        <f>IF(WTK220 = "", "", IFERROR(WTK220 / SUMIFS(Aux_Totales!$N:$N, Aux_Totales!$F:$F, $F224, Aux_Totales!$A:$A,#REF!), 0))</f>
        <v/>
      </c>
      <c r="WTL224" s="19" t="str">
        <f>IF(WTL220 = "", "", IFERROR(WTL220 / SUMIFS(Aux_Totales!$N:$N, Aux_Totales!$F:$F, $F224, Aux_Totales!$A:$A,#REF!), 0))</f>
        <v/>
      </c>
      <c r="WTM224" s="19" t="str">
        <f>IF(WTM220 = "", "", IFERROR(WTM220 / SUMIFS(Aux_Totales!$N:$N, Aux_Totales!$F:$F, $F224, Aux_Totales!$A:$A,#REF!), 0))</f>
        <v/>
      </c>
      <c r="WTN224" s="19" t="str">
        <f>IF(WTN220 = "", "", IFERROR(WTN220 / SUMIFS(Aux_Totales!$N:$N, Aux_Totales!$F:$F, $F224, Aux_Totales!$A:$A,#REF!), 0))</f>
        <v/>
      </c>
      <c r="WTO224" s="19" t="str">
        <f>IF(WTO220 = "", "", IFERROR(WTO220 / SUMIFS(Aux_Totales!$N:$N, Aux_Totales!$F:$F, $F224, Aux_Totales!$A:$A,#REF!), 0))</f>
        <v/>
      </c>
      <c r="WTP224" s="19" t="str">
        <f>IF(WTP220 = "", "", IFERROR(WTP220 / SUMIFS(Aux_Totales!$N:$N, Aux_Totales!$F:$F, $F224, Aux_Totales!$A:$A,#REF!), 0))</f>
        <v/>
      </c>
      <c r="WTQ224" s="19" t="str">
        <f>IF(WTQ220 = "", "", IFERROR(WTQ220 / SUMIFS(Aux_Totales!$N:$N, Aux_Totales!$F:$F, $F224, Aux_Totales!$A:$A,#REF!), 0))</f>
        <v/>
      </c>
      <c r="WTR224" s="19" t="str">
        <f>IF(WTR220 = "", "", IFERROR(WTR220 / SUMIFS(Aux_Totales!$N:$N, Aux_Totales!$F:$F, $F224, Aux_Totales!$A:$A,#REF!), 0))</f>
        <v/>
      </c>
      <c r="WTS224" s="19" t="str">
        <f>IF(WTS220 = "", "", IFERROR(WTS220 / SUMIFS(Aux_Totales!$N:$N, Aux_Totales!$F:$F, $F224, Aux_Totales!$A:$A,#REF!), 0))</f>
        <v/>
      </c>
      <c r="WTT224" s="19" t="str">
        <f>IF(WTT220 = "", "", IFERROR(WTT220 / SUMIFS(Aux_Totales!$N:$N, Aux_Totales!$F:$F, $F224, Aux_Totales!$A:$A,#REF!), 0))</f>
        <v/>
      </c>
      <c r="WTU224" s="19" t="str">
        <f>IF(WTU220 = "", "", IFERROR(WTU220 / SUMIFS(Aux_Totales!$N:$N, Aux_Totales!$F:$F, $F224, Aux_Totales!$A:$A,#REF!), 0))</f>
        <v/>
      </c>
      <c r="WTV224" s="19" t="str">
        <f>IF(WTV220 = "", "", IFERROR(WTV220 / SUMIFS(Aux_Totales!$N:$N, Aux_Totales!$F:$F, $F224, Aux_Totales!$A:$A,#REF!), 0))</f>
        <v/>
      </c>
      <c r="WTW224" s="19" t="str">
        <f>IF(WTW220 = "", "", IFERROR(WTW220 / SUMIFS(Aux_Totales!$N:$N, Aux_Totales!$F:$F, $F224, Aux_Totales!$A:$A,#REF!), 0))</f>
        <v/>
      </c>
      <c r="WTX224" s="19" t="str">
        <f>IF(WTX220 = "", "", IFERROR(WTX220 / SUMIFS(Aux_Totales!$N:$N, Aux_Totales!$F:$F, $F224, Aux_Totales!$A:$A,#REF!), 0))</f>
        <v/>
      </c>
      <c r="WTY224" s="19" t="str">
        <f>IF(WTY220 = "", "", IFERROR(WTY220 / SUMIFS(Aux_Totales!$N:$N, Aux_Totales!$F:$F, $F224, Aux_Totales!$A:$A,#REF!), 0))</f>
        <v/>
      </c>
      <c r="WTZ224" s="19" t="str">
        <f>IF(WTZ220 = "", "", IFERROR(WTZ220 / SUMIFS(Aux_Totales!$N:$N, Aux_Totales!$F:$F, $F224, Aux_Totales!$A:$A,#REF!), 0))</f>
        <v/>
      </c>
      <c r="WUA224" s="19" t="str">
        <f>IF(WUA220 = "", "", IFERROR(WUA220 / SUMIFS(Aux_Totales!$N:$N, Aux_Totales!$F:$F, $F224, Aux_Totales!$A:$A,#REF!), 0))</f>
        <v/>
      </c>
      <c r="WUB224" s="19" t="str">
        <f>IF(WUB220 = "", "", IFERROR(WUB220 / SUMIFS(Aux_Totales!$N:$N, Aux_Totales!$F:$F, $F224, Aux_Totales!$A:$A,#REF!), 0))</f>
        <v/>
      </c>
      <c r="WUC224" s="19" t="str">
        <f>IF(WUC220 = "", "", IFERROR(WUC220 / SUMIFS(Aux_Totales!$N:$N, Aux_Totales!$F:$F, $F224, Aux_Totales!$A:$A,#REF!), 0))</f>
        <v/>
      </c>
      <c r="WUD224" s="19" t="str">
        <f>IF(WUD220 = "", "", IFERROR(WUD220 / SUMIFS(Aux_Totales!$N:$N, Aux_Totales!$F:$F, $F224, Aux_Totales!$A:$A,#REF!), 0))</f>
        <v/>
      </c>
      <c r="WUE224" s="19" t="str">
        <f>IF(WUE220 = "", "", IFERROR(WUE220 / SUMIFS(Aux_Totales!$N:$N, Aux_Totales!$F:$F, $F224, Aux_Totales!$A:$A,#REF!), 0))</f>
        <v/>
      </c>
      <c r="WUF224" s="19" t="str">
        <f>IF(WUF220 = "", "", IFERROR(WUF220 / SUMIFS(Aux_Totales!$N:$N, Aux_Totales!$F:$F, $F224, Aux_Totales!$A:$A,#REF!), 0))</f>
        <v/>
      </c>
      <c r="WUG224" s="19" t="str">
        <f>IF(WUG220 = "", "", IFERROR(WUG220 / SUMIFS(Aux_Totales!$N:$N, Aux_Totales!$F:$F, $F224, Aux_Totales!$A:$A,#REF!), 0))</f>
        <v/>
      </c>
      <c r="WUH224" s="19" t="str">
        <f>IF(WUH220 = "", "", IFERROR(WUH220 / SUMIFS(Aux_Totales!$N:$N, Aux_Totales!$F:$F, $F224, Aux_Totales!$A:$A,#REF!), 0))</f>
        <v/>
      </c>
      <c r="WUI224" s="19" t="str">
        <f>IF(WUI220 = "", "", IFERROR(WUI220 / SUMIFS(Aux_Totales!$N:$N, Aux_Totales!$F:$F, $F224, Aux_Totales!$A:$A,#REF!), 0))</f>
        <v/>
      </c>
      <c r="WUJ224" s="19" t="str">
        <f>IF(WUJ220 = "", "", IFERROR(WUJ220 / SUMIFS(Aux_Totales!$N:$N, Aux_Totales!$F:$F, $F224, Aux_Totales!$A:$A,#REF!), 0))</f>
        <v/>
      </c>
      <c r="WUK224" s="19" t="str">
        <f>IF(WUK220 = "", "", IFERROR(WUK220 / SUMIFS(Aux_Totales!$N:$N, Aux_Totales!$F:$F, $F224, Aux_Totales!$A:$A,#REF!), 0))</f>
        <v/>
      </c>
      <c r="WUL224" s="19" t="str">
        <f>IF(WUL220 = "", "", IFERROR(WUL220 / SUMIFS(Aux_Totales!$N:$N, Aux_Totales!$F:$F, $F224, Aux_Totales!$A:$A,#REF!), 0))</f>
        <v/>
      </c>
      <c r="WUM224" s="19" t="str">
        <f>IF(WUM220 = "", "", IFERROR(WUM220 / SUMIFS(Aux_Totales!$N:$N, Aux_Totales!$F:$F, $F224, Aux_Totales!$A:$A,#REF!), 0))</f>
        <v/>
      </c>
      <c r="WUN224" s="19" t="str">
        <f>IF(WUN220 = "", "", IFERROR(WUN220 / SUMIFS(Aux_Totales!$N:$N, Aux_Totales!$F:$F, $F224, Aux_Totales!$A:$A,#REF!), 0))</f>
        <v/>
      </c>
      <c r="WUO224" s="19" t="str">
        <f>IF(WUO220 = "", "", IFERROR(WUO220 / SUMIFS(Aux_Totales!$N:$N, Aux_Totales!$F:$F, $F224, Aux_Totales!$A:$A,#REF!), 0))</f>
        <v/>
      </c>
      <c r="WUP224" s="19" t="str">
        <f>IF(WUP220 = "", "", IFERROR(WUP220 / SUMIFS(Aux_Totales!$N:$N, Aux_Totales!$F:$F, $F224, Aux_Totales!$A:$A,#REF!), 0))</f>
        <v/>
      </c>
      <c r="WUQ224" s="19" t="str">
        <f>IF(WUQ220 = "", "", IFERROR(WUQ220 / SUMIFS(Aux_Totales!$N:$N, Aux_Totales!$F:$F, $F224, Aux_Totales!$A:$A,#REF!), 0))</f>
        <v/>
      </c>
      <c r="WUR224" s="19" t="str">
        <f>IF(WUR220 = "", "", IFERROR(WUR220 / SUMIFS(Aux_Totales!$N:$N, Aux_Totales!$F:$F, $F224, Aux_Totales!$A:$A,#REF!), 0))</f>
        <v/>
      </c>
      <c r="WUS224" s="19" t="str">
        <f>IF(WUS220 = "", "", IFERROR(WUS220 / SUMIFS(Aux_Totales!$N:$N, Aux_Totales!$F:$F, $F224, Aux_Totales!$A:$A,#REF!), 0))</f>
        <v/>
      </c>
      <c r="WUT224" s="19" t="str">
        <f>IF(WUT220 = "", "", IFERROR(WUT220 / SUMIFS(Aux_Totales!$N:$N, Aux_Totales!$F:$F, $F224, Aux_Totales!$A:$A,#REF!), 0))</f>
        <v/>
      </c>
      <c r="WUU224" s="19" t="str">
        <f>IF(WUU220 = "", "", IFERROR(WUU220 / SUMIFS(Aux_Totales!$N:$N, Aux_Totales!$F:$F, $F224, Aux_Totales!$A:$A,#REF!), 0))</f>
        <v/>
      </c>
      <c r="WUV224" s="19" t="str">
        <f>IF(WUV220 = "", "", IFERROR(WUV220 / SUMIFS(Aux_Totales!$N:$N, Aux_Totales!$F:$F, $F224, Aux_Totales!$A:$A,#REF!), 0))</f>
        <v/>
      </c>
      <c r="WUW224" s="19" t="str">
        <f>IF(WUW220 = "", "", IFERROR(WUW220 / SUMIFS(Aux_Totales!$N:$N, Aux_Totales!$F:$F, $F224, Aux_Totales!$A:$A,#REF!), 0))</f>
        <v/>
      </c>
      <c r="WUX224" s="19" t="str">
        <f>IF(WUX220 = "", "", IFERROR(WUX220 / SUMIFS(Aux_Totales!$N:$N, Aux_Totales!$F:$F, $F224, Aux_Totales!$A:$A,#REF!), 0))</f>
        <v/>
      </c>
      <c r="WUY224" s="19" t="str">
        <f>IF(WUY220 = "", "", IFERROR(WUY220 / SUMIFS(Aux_Totales!$N:$N, Aux_Totales!$F:$F, $F224, Aux_Totales!$A:$A,#REF!), 0))</f>
        <v/>
      </c>
      <c r="WUZ224" s="19" t="str">
        <f>IF(WUZ220 = "", "", IFERROR(WUZ220 / SUMIFS(Aux_Totales!$N:$N, Aux_Totales!$F:$F, $F224, Aux_Totales!$A:$A,#REF!), 0))</f>
        <v/>
      </c>
      <c r="WVA224" s="19" t="str">
        <f>IF(WVA220 = "", "", IFERROR(WVA220 / SUMIFS(Aux_Totales!$N:$N, Aux_Totales!$F:$F, $F224, Aux_Totales!$A:$A,#REF!), 0))</f>
        <v/>
      </c>
      <c r="WVB224" s="19" t="str">
        <f>IF(WVB220 = "", "", IFERROR(WVB220 / SUMIFS(Aux_Totales!$N:$N, Aux_Totales!$F:$F, $F224, Aux_Totales!$A:$A,#REF!), 0))</f>
        <v/>
      </c>
      <c r="WVC224" s="19" t="str">
        <f>IF(WVC220 = "", "", IFERROR(WVC220 / SUMIFS(Aux_Totales!$N:$N, Aux_Totales!$F:$F, $F224, Aux_Totales!$A:$A,#REF!), 0))</f>
        <v/>
      </c>
      <c r="WVD224" s="19" t="str">
        <f>IF(WVD220 = "", "", IFERROR(WVD220 / SUMIFS(Aux_Totales!$N:$N, Aux_Totales!$F:$F, $F224, Aux_Totales!$A:$A,#REF!), 0))</f>
        <v/>
      </c>
      <c r="WVE224" s="19" t="str">
        <f>IF(WVE220 = "", "", IFERROR(WVE220 / SUMIFS(Aux_Totales!$N:$N, Aux_Totales!$F:$F, $F224, Aux_Totales!$A:$A,#REF!), 0))</f>
        <v/>
      </c>
      <c r="WVF224" s="19" t="str">
        <f>IF(WVF220 = "", "", IFERROR(WVF220 / SUMIFS(Aux_Totales!$N:$N, Aux_Totales!$F:$F, $F224, Aux_Totales!$A:$A,#REF!), 0))</f>
        <v/>
      </c>
      <c r="WVG224" s="19" t="str">
        <f>IF(WVG220 = "", "", IFERROR(WVG220 / SUMIFS(Aux_Totales!$N:$N, Aux_Totales!$F:$F, $F224, Aux_Totales!$A:$A,#REF!), 0))</f>
        <v/>
      </c>
      <c r="WVH224" s="19" t="str">
        <f>IF(WVH220 = "", "", IFERROR(WVH220 / SUMIFS(Aux_Totales!$N:$N, Aux_Totales!$F:$F, $F224, Aux_Totales!$A:$A,#REF!), 0))</f>
        <v/>
      </c>
      <c r="WVI224" s="19" t="str">
        <f>IF(WVI220 = "", "", IFERROR(WVI220 / SUMIFS(Aux_Totales!$N:$N, Aux_Totales!$F:$F, $F224, Aux_Totales!$A:$A,#REF!), 0))</f>
        <v/>
      </c>
      <c r="WVJ224" s="19" t="str">
        <f>IF(WVJ220 = "", "", IFERROR(WVJ220 / SUMIFS(Aux_Totales!$N:$N, Aux_Totales!$F:$F, $F224, Aux_Totales!$A:$A,#REF!), 0))</f>
        <v/>
      </c>
      <c r="WVK224" s="19" t="str">
        <f>IF(WVK220 = "", "", IFERROR(WVK220 / SUMIFS(Aux_Totales!$N:$N, Aux_Totales!$F:$F, $F224, Aux_Totales!$A:$A,#REF!), 0))</f>
        <v/>
      </c>
      <c r="WVL224" s="19" t="str">
        <f>IF(WVL220 = "", "", IFERROR(WVL220 / SUMIFS(Aux_Totales!$N:$N, Aux_Totales!$F:$F, $F224, Aux_Totales!$A:$A,#REF!), 0))</f>
        <v/>
      </c>
      <c r="WVM224" s="19" t="str">
        <f>IF(WVM220 = "", "", IFERROR(WVM220 / SUMIFS(Aux_Totales!$N:$N, Aux_Totales!$F:$F, $F224, Aux_Totales!$A:$A,#REF!), 0))</f>
        <v/>
      </c>
      <c r="WVN224" s="19" t="str">
        <f>IF(WVN220 = "", "", IFERROR(WVN220 / SUMIFS(Aux_Totales!$N:$N, Aux_Totales!$F:$F, $F224, Aux_Totales!$A:$A,#REF!), 0))</f>
        <v/>
      </c>
      <c r="WVO224" s="19" t="str">
        <f>IF(WVO220 = "", "", IFERROR(WVO220 / SUMIFS(Aux_Totales!$N:$N, Aux_Totales!$F:$F, $F224, Aux_Totales!$A:$A,#REF!), 0))</f>
        <v/>
      </c>
      <c r="WVP224" s="19" t="str">
        <f>IF(WVP220 = "", "", IFERROR(WVP220 / SUMIFS(Aux_Totales!$N:$N, Aux_Totales!$F:$F, $F224, Aux_Totales!$A:$A,#REF!), 0))</f>
        <v/>
      </c>
      <c r="WVQ224" s="19" t="str">
        <f>IF(WVQ220 = "", "", IFERROR(WVQ220 / SUMIFS(Aux_Totales!$N:$N, Aux_Totales!$F:$F, $F224, Aux_Totales!$A:$A,#REF!), 0))</f>
        <v/>
      </c>
      <c r="WVR224" s="19" t="str">
        <f>IF(WVR220 = "", "", IFERROR(WVR220 / SUMIFS(Aux_Totales!$N:$N, Aux_Totales!$F:$F, $F224, Aux_Totales!$A:$A,#REF!), 0))</f>
        <v/>
      </c>
      <c r="WVS224" s="19" t="str">
        <f>IF(WVS220 = "", "", IFERROR(WVS220 / SUMIFS(Aux_Totales!$N:$N, Aux_Totales!$F:$F, $F224, Aux_Totales!$A:$A,#REF!), 0))</f>
        <v/>
      </c>
      <c r="WVT224" s="19" t="str">
        <f>IF(WVT220 = "", "", IFERROR(WVT220 / SUMIFS(Aux_Totales!$N:$N, Aux_Totales!$F:$F, $F224, Aux_Totales!$A:$A,#REF!), 0))</f>
        <v/>
      </c>
      <c r="WVU224" s="19" t="str">
        <f>IF(WVU220 = "", "", IFERROR(WVU220 / SUMIFS(Aux_Totales!$N:$N, Aux_Totales!$F:$F, $F224, Aux_Totales!$A:$A,#REF!), 0))</f>
        <v/>
      </c>
      <c r="WVV224" s="19" t="str">
        <f>IF(WVV220 = "", "", IFERROR(WVV220 / SUMIFS(Aux_Totales!$N:$N, Aux_Totales!$F:$F, $F224, Aux_Totales!$A:$A,#REF!), 0))</f>
        <v/>
      </c>
      <c r="WVW224" s="19" t="str">
        <f>IF(WVW220 = "", "", IFERROR(WVW220 / SUMIFS(Aux_Totales!$N:$N, Aux_Totales!$F:$F, $F224, Aux_Totales!$A:$A,#REF!), 0))</f>
        <v/>
      </c>
      <c r="WVX224" s="19" t="str">
        <f>IF(WVX220 = "", "", IFERROR(WVX220 / SUMIFS(Aux_Totales!$N:$N, Aux_Totales!$F:$F, $F224, Aux_Totales!$A:$A,#REF!), 0))</f>
        <v/>
      </c>
      <c r="WVY224" s="19" t="str">
        <f>IF(WVY220 = "", "", IFERROR(WVY220 / SUMIFS(Aux_Totales!$N:$N, Aux_Totales!$F:$F, $F224, Aux_Totales!$A:$A,#REF!), 0))</f>
        <v/>
      </c>
      <c r="WVZ224" s="19" t="str">
        <f>IF(WVZ220 = "", "", IFERROR(WVZ220 / SUMIFS(Aux_Totales!$N:$N, Aux_Totales!$F:$F, $F224, Aux_Totales!$A:$A,#REF!), 0))</f>
        <v/>
      </c>
      <c r="WWA224" s="19" t="str">
        <f>IF(WWA220 = "", "", IFERROR(WWA220 / SUMIFS(Aux_Totales!$N:$N, Aux_Totales!$F:$F, $F224, Aux_Totales!$A:$A,#REF!), 0))</f>
        <v/>
      </c>
      <c r="WWB224" s="19" t="str">
        <f>IF(WWB220 = "", "", IFERROR(WWB220 / SUMIFS(Aux_Totales!$N:$N, Aux_Totales!$F:$F, $F224, Aux_Totales!$A:$A,#REF!), 0))</f>
        <v/>
      </c>
      <c r="WWC224" s="19" t="str">
        <f>IF(WWC220 = "", "", IFERROR(WWC220 / SUMIFS(Aux_Totales!$N:$N, Aux_Totales!$F:$F, $F224, Aux_Totales!$A:$A,#REF!), 0))</f>
        <v/>
      </c>
      <c r="WWD224" s="19" t="str">
        <f>IF(WWD220 = "", "", IFERROR(WWD220 / SUMIFS(Aux_Totales!$N:$N, Aux_Totales!$F:$F, $F224, Aux_Totales!$A:$A,#REF!), 0))</f>
        <v/>
      </c>
      <c r="WWE224" s="19" t="str">
        <f>IF(WWE220 = "", "", IFERROR(WWE220 / SUMIFS(Aux_Totales!$N:$N, Aux_Totales!$F:$F, $F224, Aux_Totales!$A:$A,#REF!), 0))</f>
        <v/>
      </c>
      <c r="WWF224" s="19" t="str">
        <f>IF(WWF220 = "", "", IFERROR(WWF220 / SUMIFS(Aux_Totales!$N:$N, Aux_Totales!$F:$F, $F224, Aux_Totales!$A:$A,#REF!), 0))</f>
        <v/>
      </c>
      <c r="WWG224" s="19" t="str">
        <f>IF(WWG220 = "", "", IFERROR(WWG220 / SUMIFS(Aux_Totales!$N:$N, Aux_Totales!$F:$F, $F224, Aux_Totales!$A:$A,#REF!), 0))</f>
        <v/>
      </c>
      <c r="WWH224" s="19" t="str">
        <f>IF(WWH220 = "", "", IFERROR(WWH220 / SUMIFS(Aux_Totales!$N:$N, Aux_Totales!$F:$F, $F224, Aux_Totales!$A:$A,#REF!), 0))</f>
        <v/>
      </c>
      <c r="WWI224" s="19" t="str">
        <f>IF(WWI220 = "", "", IFERROR(WWI220 / SUMIFS(Aux_Totales!$N:$N, Aux_Totales!$F:$F, $F224, Aux_Totales!$A:$A,#REF!), 0))</f>
        <v/>
      </c>
      <c r="WWJ224" s="19" t="str">
        <f>IF(WWJ220 = "", "", IFERROR(WWJ220 / SUMIFS(Aux_Totales!$N:$N, Aux_Totales!$F:$F, $F224, Aux_Totales!$A:$A,#REF!), 0))</f>
        <v/>
      </c>
      <c r="WWK224" s="19" t="str">
        <f>IF(WWK220 = "", "", IFERROR(WWK220 / SUMIFS(Aux_Totales!$N:$N, Aux_Totales!$F:$F, $F224, Aux_Totales!$A:$A,#REF!), 0))</f>
        <v/>
      </c>
      <c r="WWL224" s="19" t="str">
        <f>IF(WWL220 = "", "", IFERROR(WWL220 / SUMIFS(Aux_Totales!$N:$N, Aux_Totales!$F:$F, $F224, Aux_Totales!$A:$A,#REF!), 0))</f>
        <v/>
      </c>
      <c r="WWM224" s="19" t="str">
        <f>IF(WWM220 = "", "", IFERROR(WWM220 / SUMIFS(Aux_Totales!$N:$N, Aux_Totales!$F:$F, $F224, Aux_Totales!$A:$A,#REF!), 0))</f>
        <v/>
      </c>
      <c r="WWN224" s="19" t="str">
        <f>IF(WWN220 = "", "", IFERROR(WWN220 / SUMIFS(Aux_Totales!$N:$N, Aux_Totales!$F:$F, $F224, Aux_Totales!$A:$A,#REF!), 0))</f>
        <v/>
      </c>
      <c r="WWO224" s="19" t="str">
        <f>IF(WWO220 = "", "", IFERROR(WWO220 / SUMIFS(Aux_Totales!$N:$N, Aux_Totales!$F:$F, $F224, Aux_Totales!$A:$A,#REF!), 0))</f>
        <v/>
      </c>
      <c r="WWP224" s="19" t="str">
        <f>IF(WWP220 = "", "", IFERROR(WWP220 / SUMIFS(Aux_Totales!$N:$N, Aux_Totales!$F:$F, $F224, Aux_Totales!$A:$A,#REF!), 0))</f>
        <v/>
      </c>
      <c r="WWQ224" s="19" t="str">
        <f>IF(WWQ220 = "", "", IFERROR(WWQ220 / SUMIFS(Aux_Totales!$N:$N, Aux_Totales!$F:$F, $F224, Aux_Totales!$A:$A,#REF!), 0))</f>
        <v/>
      </c>
      <c r="WWR224" s="19" t="str">
        <f>IF(WWR220 = "", "", IFERROR(WWR220 / SUMIFS(Aux_Totales!$N:$N, Aux_Totales!$F:$F, $F224, Aux_Totales!$A:$A,#REF!), 0))</f>
        <v/>
      </c>
      <c r="WWS224" s="19" t="str">
        <f>IF(WWS220 = "", "", IFERROR(WWS220 / SUMIFS(Aux_Totales!$N:$N, Aux_Totales!$F:$F, $F224, Aux_Totales!$A:$A,#REF!), 0))</f>
        <v/>
      </c>
      <c r="WWT224" s="19" t="str">
        <f>IF(WWT220 = "", "", IFERROR(WWT220 / SUMIFS(Aux_Totales!$N:$N, Aux_Totales!$F:$F, $F224, Aux_Totales!$A:$A,#REF!), 0))</f>
        <v/>
      </c>
      <c r="WWU224" s="19" t="str">
        <f>IF(WWU220 = "", "", IFERROR(WWU220 / SUMIFS(Aux_Totales!$N:$N, Aux_Totales!$F:$F, $F224, Aux_Totales!$A:$A,#REF!), 0))</f>
        <v/>
      </c>
      <c r="WWV224" s="19" t="str">
        <f>IF(WWV220 = "", "", IFERROR(WWV220 / SUMIFS(Aux_Totales!$N:$N, Aux_Totales!$F:$F, $F224, Aux_Totales!$A:$A,#REF!), 0))</f>
        <v/>
      </c>
      <c r="WWW224" s="19" t="str">
        <f>IF(WWW220 = "", "", IFERROR(WWW220 / SUMIFS(Aux_Totales!$N:$N, Aux_Totales!$F:$F, $F224, Aux_Totales!$A:$A,#REF!), 0))</f>
        <v/>
      </c>
      <c r="WWX224" s="19" t="str">
        <f>IF(WWX220 = "", "", IFERROR(WWX220 / SUMIFS(Aux_Totales!$N:$N, Aux_Totales!$F:$F, $F224, Aux_Totales!$A:$A,#REF!), 0))</f>
        <v/>
      </c>
      <c r="WWY224" s="19" t="str">
        <f>IF(WWY220 = "", "", IFERROR(WWY220 / SUMIFS(Aux_Totales!$N:$N, Aux_Totales!$F:$F, $F224, Aux_Totales!$A:$A,#REF!), 0))</f>
        <v/>
      </c>
      <c r="WWZ224" s="19" t="str">
        <f>IF(WWZ220 = "", "", IFERROR(WWZ220 / SUMIFS(Aux_Totales!$N:$N, Aux_Totales!$F:$F, $F224, Aux_Totales!$A:$A,#REF!), 0))</f>
        <v/>
      </c>
      <c r="WXA224" s="19" t="str">
        <f>IF(WXA220 = "", "", IFERROR(WXA220 / SUMIFS(Aux_Totales!$N:$N, Aux_Totales!$F:$F, $F224, Aux_Totales!$A:$A,#REF!), 0))</f>
        <v/>
      </c>
      <c r="WXB224" s="19" t="str">
        <f>IF(WXB220 = "", "", IFERROR(WXB220 / SUMIFS(Aux_Totales!$N:$N, Aux_Totales!$F:$F, $F224, Aux_Totales!$A:$A,#REF!), 0))</f>
        <v/>
      </c>
      <c r="WXC224" s="19" t="str">
        <f>IF(WXC220 = "", "", IFERROR(WXC220 / SUMIFS(Aux_Totales!$N:$N, Aux_Totales!$F:$F, $F224, Aux_Totales!$A:$A,#REF!), 0))</f>
        <v/>
      </c>
      <c r="WXD224" s="19" t="str">
        <f>IF(WXD220 = "", "", IFERROR(WXD220 / SUMIFS(Aux_Totales!$N:$N, Aux_Totales!$F:$F, $F224, Aux_Totales!$A:$A,#REF!), 0))</f>
        <v/>
      </c>
      <c r="WXE224" s="19" t="str">
        <f>IF(WXE220 = "", "", IFERROR(WXE220 / SUMIFS(Aux_Totales!$N:$N, Aux_Totales!$F:$F, $F224, Aux_Totales!$A:$A,#REF!), 0))</f>
        <v/>
      </c>
      <c r="WXF224" s="19" t="str">
        <f>IF(WXF220 = "", "", IFERROR(WXF220 / SUMIFS(Aux_Totales!$N:$N, Aux_Totales!$F:$F, $F224, Aux_Totales!$A:$A,#REF!), 0))</f>
        <v/>
      </c>
      <c r="WXG224" s="19" t="str">
        <f>IF(WXG220 = "", "", IFERROR(WXG220 / SUMIFS(Aux_Totales!$N:$N, Aux_Totales!$F:$F, $F224, Aux_Totales!$A:$A,#REF!), 0))</f>
        <v/>
      </c>
      <c r="WXH224" s="19" t="str">
        <f>IF(WXH220 = "", "", IFERROR(WXH220 / SUMIFS(Aux_Totales!$N:$N, Aux_Totales!$F:$F, $F224, Aux_Totales!$A:$A,#REF!), 0))</f>
        <v/>
      </c>
      <c r="WXI224" s="19" t="str">
        <f>IF(WXI220 = "", "", IFERROR(WXI220 / SUMIFS(Aux_Totales!$N:$N, Aux_Totales!$F:$F, $F224, Aux_Totales!$A:$A,#REF!), 0))</f>
        <v/>
      </c>
      <c r="WXJ224" s="19" t="str">
        <f>IF(WXJ220 = "", "", IFERROR(WXJ220 / SUMIFS(Aux_Totales!$N:$N, Aux_Totales!$F:$F, $F224, Aux_Totales!$A:$A,#REF!), 0))</f>
        <v/>
      </c>
      <c r="WXK224" s="19" t="str">
        <f>IF(WXK220 = "", "", IFERROR(WXK220 / SUMIFS(Aux_Totales!$N:$N, Aux_Totales!$F:$F, $F224, Aux_Totales!$A:$A,#REF!), 0))</f>
        <v/>
      </c>
      <c r="WXL224" s="19" t="str">
        <f>IF(WXL220 = "", "", IFERROR(WXL220 / SUMIFS(Aux_Totales!$N:$N, Aux_Totales!$F:$F, $F224, Aux_Totales!$A:$A,#REF!), 0))</f>
        <v/>
      </c>
      <c r="WXM224" s="19" t="str">
        <f>IF(WXM220 = "", "", IFERROR(WXM220 / SUMIFS(Aux_Totales!$N:$N, Aux_Totales!$F:$F, $F224, Aux_Totales!$A:$A,#REF!), 0))</f>
        <v/>
      </c>
      <c r="WXN224" s="19" t="str">
        <f>IF(WXN220 = "", "", IFERROR(WXN220 / SUMIFS(Aux_Totales!$N:$N, Aux_Totales!$F:$F, $F224, Aux_Totales!$A:$A,#REF!), 0))</f>
        <v/>
      </c>
      <c r="WXO224" s="19" t="str">
        <f>IF(WXO220 = "", "", IFERROR(WXO220 / SUMIFS(Aux_Totales!$N:$N, Aux_Totales!$F:$F, $F224, Aux_Totales!$A:$A,#REF!), 0))</f>
        <v/>
      </c>
      <c r="WXP224" s="19" t="str">
        <f>IF(WXP220 = "", "", IFERROR(WXP220 / SUMIFS(Aux_Totales!$N:$N, Aux_Totales!$F:$F, $F224, Aux_Totales!$A:$A,#REF!), 0))</f>
        <v/>
      </c>
      <c r="WXQ224" s="19" t="str">
        <f>IF(WXQ220 = "", "", IFERROR(WXQ220 / SUMIFS(Aux_Totales!$N:$N, Aux_Totales!$F:$F, $F224, Aux_Totales!$A:$A,#REF!), 0))</f>
        <v/>
      </c>
      <c r="WXR224" s="19" t="str">
        <f>IF(WXR220 = "", "", IFERROR(WXR220 / SUMIFS(Aux_Totales!$N:$N, Aux_Totales!$F:$F, $F224, Aux_Totales!$A:$A,#REF!), 0))</f>
        <v/>
      </c>
      <c r="WXS224" s="19" t="str">
        <f>IF(WXS220 = "", "", IFERROR(WXS220 / SUMIFS(Aux_Totales!$N:$N, Aux_Totales!$F:$F, $F224, Aux_Totales!$A:$A,#REF!), 0))</f>
        <v/>
      </c>
      <c r="WXT224" s="19" t="str">
        <f>IF(WXT220 = "", "", IFERROR(WXT220 / SUMIFS(Aux_Totales!$N:$N, Aux_Totales!$F:$F, $F224, Aux_Totales!$A:$A,#REF!), 0))</f>
        <v/>
      </c>
      <c r="WXU224" s="19" t="str">
        <f>IF(WXU220 = "", "", IFERROR(WXU220 / SUMIFS(Aux_Totales!$N:$N, Aux_Totales!$F:$F, $F224, Aux_Totales!$A:$A,#REF!), 0))</f>
        <v/>
      </c>
      <c r="WXV224" s="19" t="str">
        <f>IF(WXV220 = "", "", IFERROR(WXV220 / SUMIFS(Aux_Totales!$N:$N, Aux_Totales!$F:$F, $F224, Aux_Totales!$A:$A,#REF!), 0))</f>
        <v/>
      </c>
      <c r="WXW224" s="19" t="str">
        <f>IF(WXW220 = "", "", IFERROR(WXW220 / SUMIFS(Aux_Totales!$N:$N, Aux_Totales!$F:$F, $F224, Aux_Totales!$A:$A,#REF!), 0))</f>
        <v/>
      </c>
      <c r="WXX224" s="19" t="str">
        <f>IF(WXX220 = "", "", IFERROR(WXX220 / SUMIFS(Aux_Totales!$N:$N, Aux_Totales!$F:$F, $F224, Aux_Totales!$A:$A,#REF!), 0))</f>
        <v/>
      </c>
      <c r="WXY224" s="19" t="str">
        <f>IF(WXY220 = "", "", IFERROR(WXY220 / SUMIFS(Aux_Totales!$N:$N, Aux_Totales!$F:$F, $F224, Aux_Totales!$A:$A,#REF!), 0))</f>
        <v/>
      </c>
      <c r="WXZ224" s="19" t="str">
        <f>IF(WXZ220 = "", "", IFERROR(WXZ220 / SUMIFS(Aux_Totales!$N:$N, Aux_Totales!$F:$F, $F224, Aux_Totales!$A:$A,#REF!), 0))</f>
        <v/>
      </c>
      <c r="WYA224" s="19" t="str">
        <f>IF(WYA220 = "", "", IFERROR(WYA220 / SUMIFS(Aux_Totales!$N:$N, Aux_Totales!$F:$F, $F224, Aux_Totales!$A:$A,#REF!), 0))</f>
        <v/>
      </c>
      <c r="WYB224" s="19" t="str">
        <f>IF(WYB220 = "", "", IFERROR(WYB220 / SUMIFS(Aux_Totales!$N:$N, Aux_Totales!$F:$F, $F224, Aux_Totales!$A:$A,#REF!), 0))</f>
        <v/>
      </c>
      <c r="WYC224" s="19" t="str">
        <f>IF(WYC220 = "", "", IFERROR(WYC220 / SUMIFS(Aux_Totales!$N:$N, Aux_Totales!$F:$F, $F224, Aux_Totales!$A:$A,#REF!), 0))</f>
        <v/>
      </c>
      <c r="WYD224" s="19" t="str">
        <f>IF(WYD220 = "", "", IFERROR(WYD220 / SUMIFS(Aux_Totales!$N:$N, Aux_Totales!$F:$F, $F224, Aux_Totales!$A:$A,#REF!), 0))</f>
        <v/>
      </c>
      <c r="WYE224" s="19" t="str">
        <f>IF(WYE220 = "", "", IFERROR(WYE220 / SUMIFS(Aux_Totales!$N:$N, Aux_Totales!$F:$F, $F224, Aux_Totales!$A:$A,#REF!), 0))</f>
        <v/>
      </c>
      <c r="WYF224" s="19" t="str">
        <f>IF(WYF220 = "", "", IFERROR(WYF220 / SUMIFS(Aux_Totales!$N:$N, Aux_Totales!$F:$F, $F224, Aux_Totales!$A:$A,#REF!), 0))</f>
        <v/>
      </c>
      <c r="WYG224" s="19" t="str">
        <f>IF(WYG220 = "", "", IFERROR(WYG220 / SUMIFS(Aux_Totales!$N:$N, Aux_Totales!$F:$F, $F224, Aux_Totales!$A:$A,#REF!), 0))</f>
        <v/>
      </c>
      <c r="WYH224" s="19" t="str">
        <f>IF(WYH220 = "", "", IFERROR(WYH220 / SUMIFS(Aux_Totales!$N:$N, Aux_Totales!$F:$F, $F224, Aux_Totales!$A:$A,#REF!), 0))</f>
        <v/>
      </c>
      <c r="WYI224" s="19" t="str">
        <f>IF(WYI220 = "", "", IFERROR(WYI220 / SUMIFS(Aux_Totales!$N:$N, Aux_Totales!$F:$F, $F224, Aux_Totales!$A:$A,#REF!), 0))</f>
        <v/>
      </c>
      <c r="WYJ224" s="19" t="str">
        <f>IF(WYJ220 = "", "", IFERROR(WYJ220 / SUMIFS(Aux_Totales!$N:$N, Aux_Totales!$F:$F, $F224, Aux_Totales!$A:$A,#REF!), 0))</f>
        <v/>
      </c>
      <c r="WYK224" s="19" t="str">
        <f>IF(WYK220 = "", "", IFERROR(WYK220 / SUMIFS(Aux_Totales!$N:$N, Aux_Totales!$F:$F, $F224, Aux_Totales!$A:$A,#REF!), 0))</f>
        <v/>
      </c>
      <c r="WYL224" s="19" t="str">
        <f>IF(WYL220 = "", "", IFERROR(WYL220 / SUMIFS(Aux_Totales!$N:$N, Aux_Totales!$F:$F, $F224, Aux_Totales!$A:$A,#REF!), 0))</f>
        <v/>
      </c>
      <c r="WYM224" s="19" t="str">
        <f>IF(WYM220 = "", "", IFERROR(WYM220 / SUMIFS(Aux_Totales!$N:$N, Aux_Totales!$F:$F, $F224, Aux_Totales!$A:$A,#REF!), 0))</f>
        <v/>
      </c>
      <c r="WYN224" s="19" t="str">
        <f>IF(WYN220 = "", "", IFERROR(WYN220 / SUMIFS(Aux_Totales!$N:$N, Aux_Totales!$F:$F, $F224, Aux_Totales!$A:$A,#REF!), 0))</f>
        <v/>
      </c>
      <c r="WYO224" s="19" t="str">
        <f>IF(WYO220 = "", "", IFERROR(WYO220 / SUMIFS(Aux_Totales!$N:$N, Aux_Totales!$F:$F, $F224, Aux_Totales!$A:$A,#REF!), 0))</f>
        <v/>
      </c>
      <c r="WYP224" s="19" t="str">
        <f>IF(WYP220 = "", "", IFERROR(WYP220 / SUMIFS(Aux_Totales!$N:$N, Aux_Totales!$F:$F, $F224, Aux_Totales!$A:$A,#REF!), 0))</f>
        <v/>
      </c>
      <c r="WYQ224" s="19" t="str">
        <f>IF(WYQ220 = "", "", IFERROR(WYQ220 / SUMIFS(Aux_Totales!$N:$N, Aux_Totales!$F:$F, $F224, Aux_Totales!$A:$A,#REF!), 0))</f>
        <v/>
      </c>
      <c r="WYR224" s="19" t="str">
        <f>IF(WYR220 = "", "", IFERROR(WYR220 / SUMIFS(Aux_Totales!$N:$N, Aux_Totales!$F:$F, $F224, Aux_Totales!$A:$A,#REF!), 0))</f>
        <v/>
      </c>
      <c r="WYS224" s="19" t="str">
        <f>IF(WYS220 = "", "", IFERROR(WYS220 / SUMIFS(Aux_Totales!$N:$N, Aux_Totales!$F:$F, $F224, Aux_Totales!$A:$A,#REF!), 0))</f>
        <v/>
      </c>
      <c r="WYT224" s="19" t="str">
        <f>IF(WYT220 = "", "", IFERROR(WYT220 / SUMIFS(Aux_Totales!$N:$N, Aux_Totales!$F:$F, $F224, Aux_Totales!$A:$A,#REF!), 0))</f>
        <v/>
      </c>
      <c r="WYU224" s="19" t="str">
        <f>IF(WYU220 = "", "", IFERROR(WYU220 / SUMIFS(Aux_Totales!$N:$N, Aux_Totales!$F:$F, $F224, Aux_Totales!$A:$A,#REF!), 0))</f>
        <v/>
      </c>
      <c r="WYV224" s="19" t="str">
        <f>IF(WYV220 = "", "", IFERROR(WYV220 / SUMIFS(Aux_Totales!$N:$N, Aux_Totales!$F:$F, $F224, Aux_Totales!$A:$A,#REF!), 0))</f>
        <v/>
      </c>
      <c r="WYW224" s="19" t="str">
        <f>IF(WYW220 = "", "", IFERROR(WYW220 / SUMIFS(Aux_Totales!$N:$N, Aux_Totales!$F:$F, $F224, Aux_Totales!$A:$A,#REF!), 0))</f>
        <v/>
      </c>
      <c r="WYX224" s="19" t="str">
        <f>IF(WYX220 = "", "", IFERROR(WYX220 / SUMIFS(Aux_Totales!$N:$N, Aux_Totales!$F:$F, $F224, Aux_Totales!$A:$A,#REF!), 0))</f>
        <v/>
      </c>
      <c r="WYY224" s="19" t="str">
        <f>IF(WYY220 = "", "", IFERROR(WYY220 / SUMIFS(Aux_Totales!$N:$N, Aux_Totales!$F:$F, $F224, Aux_Totales!$A:$A,#REF!), 0))</f>
        <v/>
      </c>
      <c r="WYZ224" s="19" t="str">
        <f>IF(WYZ220 = "", "", IFERROR(WYZ220 / SUMIFS(Aux_Totales!$N:$N, Aux_Totales!$F:$F, $F224, Aux_Totales!$A:$A,#REF!), 0))</f>
        <v/>
      </c>
      <c r="WZA224" s="19" t="str">
        <f>IF(WZA220 = "", "", IFERROR(WZA220 / SUMIFS(Aux_Totales!$N:$N, Aux_Totales!$F:$F, $F224, Aux_Totales!$A:$A,#REF!), 0))</f>
        <v/>
      </c>
      <c r="WZB224" s="19" t="str">
        <f>IF(WZB220 = "", "", IFERROR(WZB220 / SUMIFS(Aux_Totales!$N:$N, Aux_Totales!$F:$F, $F224, Aux_Totales!$A:$A,#REF!), 0))</f>
        <v/>
      </c>
      <c r="WZC224" s="19" t="str">
        <f>IF(WZC220 = "", "", IFERROR(WZC220 / SUMIFS(Aux_Totales!$N:$N, Aux_Totales!$F:$F, $F224, Aux_Totales!$A:$A,#REF!), 0))</f>
        <v/>
      </c>
      <c r="WZD224" s="19" t="str">
        <f>IF(WZD220 = "", "", IFERROR(WZD220 / SUMIFS(Aux_Totales!$N:$N, Aux_Totales!$F:$F, $F224, Aux_Totales!$A:$A,#REF!), 0))</f>
        <v/>
      </c>
      <c r="WZE224" s="19" t="str">
        <f>IF(WZE220 = "", "", IFERROR(WZE220 / SUMIFS(Aux_Totales!$N:$N, Aux_Totales!$F:$F, $F224, Aux_Totales!$A:$A,#REF!), 0))</f>
        <v/>
      </c>
      <c r="WZF224" s="19" t="str">
        <f>IF(WZF220 = "", "", IFERROR(WZF220 / SUMIFS(Aux_Totales!$N:$N, Aux_Totales!$F:$F, $F224, Aux_Totales!$A:$A,#REF!), 0))</f>
        <v/>
      </c>
      <c r="WZG224" s="19" t="str">
        <f>IF(WZG220 = "", "", IFERROR(WZG220 / SUMIFS(Aux_Totales!$N:$N, Aux_Totales!$F:$F, $F224, Aux_Totales!$A:$A,#REF!), 0))</f>
        <v/>
      </c>
      <c r="WZH224" s="19" t="str">
        <f>IF(WZH220 = "", "", IFERROR(WZH220 / SUMIFS(Aux_Totales!$N:$N, Aux_Totales!$F:$F, $F224, Aux_Totales!$A:$A,#REF!), 0))</f>
        <v/>
      </c>
      <c r="WZI224" s="19" t="str">
        <f>IF(WZI220 = "", "", IFERROR(WZI220 / SUMIFS(Aux_Totales!$N:$N, Aux_Totales!$F:$F, $F224, Aux_Totales!$A:$A,#REF!), 0))</f>
        <v/>
      </c>
      <c r="WZJ224" s="19" t="str">
        <f>IF(WZJ220 = "", "", IFERROR(WZJ220 / SUMIFS(Aux_Totales!$N:$N, Aux_Totales!$F:$F, $F224, Aux_Totales!$A:$A,#REF!), 0))</f>
        <v/>
      </c>
      <c r="WZK224" s="19" t="str">
        <f>IF(WZK220 = "", "", IFERROR(WZK220 / SUMIFS(Aux_Totales!$N:$N, Aux_Totales!$F:$F, $F224, Aux_Totales!$A:$A,#REF!), 0))</f>
        <v/>
      </c>
      <c r="WZL224" s="19" t="str">
        <f>IF(WZL220 = "", "", IFERROR(WZL220 / SUMIFS(Aux_Totales!$N:$N, Aux_Totales!$F:$F, $F224, Aux_Totales!$A:$A,#REF!), 0))</f>
        <v/>
      </c>
      <c r="WZM224" s="19" t="str">
        <f>IF(WZM220 = "", "", IFERROR(WZM220 / SUMIFS(Aux_Totales!$N:$N, Aux_Totales!$F:$F, $F224, Aux_Totales!$A:$A,#REF!), 0))</f>
        <v/>
      </c>
      <c r="WZN224" s="19" t="str">
        <f>IF(WZN220 = "", "", IFERROR(WZN220 / SUMIFS(Aux_Totales!$N:$N, Aux_Totales!$F:$F, $F224, Aux_Totales!$A:$A,#REF!), 0))</f>
        <v/>
      </c>
      <c r="WZO224" s="19" t="str">
        <f>IF(WZO220 = "", "", IFERROR(WZO220 / SUMIFS(Aux_Totales!$N:$N, Aux_Totales!$F:$F, $F224, Aux_Totales!$A:$A,#REF!), 0))</f>
        <v/>
      </c>
      <c r="WZP224" s="19" t="str">
        <f>IF(WZP220 = "", "", IFERROR(WZP220 / SUMIFS(Aux_Totales!$N:$N, Aux_Totales!$F:$F, $F224, Aux_Totales!$A:$A,#REF!), 0))</f>
        <v/>
      </c>
      <c r="WZQ224" s="19" t="str">
        <f>IF(WZQ220 = "", "", IFERROR(WZQ220 / SUMIFS(Aux_Totales!$N:$N, Aux_Totales!$F:$F, $F224, Aux_Totales!$A:$A,#REF!), 0))</f>
        <v/>
      </c>
      <c r="WZR224" s="19" t="str">
        <f>IF(WZR220 = "", "", IFERROR(WZR220 / SUMIFS(Aux_Totales!$N:$N, Aux_Totales!$F:$F, $F224, Aux_Totales!$A:$A,#REF!), 0))</f>
        <v/>
      </c>
      <c r="WZS224" s="19" t="str">
        <f>IF(WZS220 = "", "", IFERROR(WZS220 / SUMIFS(Aux_Totales!$N:$N, Aux_Totales!$F:$F, $F224, Aux_Totales!$A:$A,#REF!), 0))</f>
        <v/>
      </c>
      <c r="WZT224" s="19" t="str">
        <f>IF(WZT220 = "", "", IFERROR(WZT220 / SUMIFS(Aux_Totales!$N:$N, Aux_Totales!$F:$F, $F224, Aux_Totales!$A:$A,#REF!), 0))</f>
        <v/>
      </c>
      <c r="WZU224" s="19" t="str">
        <f>IF(WZU220 = "", "", IFERROR(WZU220 / SUMIFS(Aux_Totales!$N:$N, Aux_Totales!$F:$F, $F224, Aux_Totales!$A:$A,#REF!), 0))</f>
        <v/>
      </c>
      <c r="WZV224" s="19" t="str">
        <f>IF(WZV220 = "", "", IFERROR(WZV220 / SUMIFS(Aux_Totales!$N:$N, Aux_Totales!$F:$F, $F224, Aux_Totales!$A:$A,#REF!), 0))</f>
        <v/>
      </c>
      <c r="WZW224" s="19" t="str">
        <f>IF(WZW220 = "", "", IFERROR(WZW220 / SUMIFS(Aux_Totales!$N:$N, Aux_Totales!$F:$F, $F224, Aux_Totales!$A:$A,#REF!), 0))</f>
        <v/>
      </c>
      <c r="WZX224" s="19" t="str">
        <f>IF(WZX220 = "", "", IFERROR(WZX220 / SUMIFS(Aux_Totales!$N:$N, Aux_Totales!$F:$F, $F224, Aux_Totales!$A:$A,#REF!), 0))</f>
        <v/>
      </c>
      <c r="WZY224" s="19" t="str">
        <f>IF(WZY220 = "", "", IFERROR(WZY220 / SUMIFS(Aux_Totales!$N:$N, Aux_Totales!$F:$F, $F224, Aux_Totales!$A:$A,#REF!), 0))</f>
        <v/>
      </c>
      <c r="WZZ224" s="19" t="str">
        <f>IF(WZZ220 = "", "", IFERROR(WZZ220 / SUMIFS(Aux_Totales!$N:$N, Aux_Totales!$F:$F, $F224, Aux_Totales!$A:$A,#REF!), 0))</f>
        <v/>
      </c>
      <c r="XAA224" s="19" t="str">
        <f>IF(XAA220 = "", "", IFERROR(XAA220 / SUMIFS(Aux_Totales!$N:$N, Aux_Totales!$F:$F, $F224, Aux_Totales!$A:$A,#REF!), 0))</f>
        <v/>
      </c>
      <c r="XAB224" s="19" t="str">
        <f>IF(XAB220 = "", "", IFERROR(XAB220 / SUMIFS(Aux_Totales!$N:$N, Aux_Totales!$F:$F, $F224, Aux_Totales!$A:$A,#REF!), 0))</f>
        <v/>
      </c>
      <c r="XAC224" s="19" t="str">
        <f>IF(XAC220 = "", "", IFERROR(XAC220 / SUMIFS(Aux_Totales!$N:$N, Aux_Totales!$F:$F, $F224, Aux_Totales!$A:$A,#REF!), 0))</f>
        <v/>
      </c>
      <c r="XAD224" s="19" t="str">
        <f>IF(XAD220 = "", "", IFERROR(XAD220 / SUMIFS(Aux_Totales!$N:$N, Aux_Totales!$F:$F, $F224, Aux_Totales!$A:$A,#REF!), 0))</f>
        <v/>
      </c>
      <c r="XAE224" s="19" t="str">
        <f>IF(XAE220 = "", "", IFERROR(XAE220 / SUMIFS(Aux_Totales!$N:$N, Aux_Totales!$F:$F, $F224, Aux_Totales!$A:$A,#REF!), 0))</f>
        <v/>
      </c>
      <c r="XAF224" s="19" t="str">
        <f>IF(XAF220 = "", "", IFERROR(XAF220 / SUMIFS(Aux_Totales!$N:$N, Aux_Totales!$F:$F, $F224, Aux_Totales!$A:$A,#REF!), 0))</f>
        <v/>
      </c>
      <c r="XAG224" s="19" t="str">
        <f>IF(XAG220 = "", "", IFERROR(XAG220 / SUMIFS(Aux_Totales!$N:$N, Aux_Totales!$F:$F, $F224, Aux_Totales!$A:$A,#REF!), 0))</f>
        <v/>
      </c>
      <c r="XAH224" s="19" t="str">
        <f>IF(XAH220 = "", "", IFERROR(XAH220 / SUMIFS(Aux_Totales!$N:$N, Aux_Totales!$F:$F, $F224, Aux_Totales!$A:$A,#REF!), 0))</f>
        <v/>
      </c>
      <c r="XAI224" s="19" t="str">
        <f>IF(XAI220 = "", "", IFERROR(XAI220 / SUMIFS(Aux_Totales!$N:$N, Aux_Totales!$F:$F, $F224, Aux_Totales!$A:$A,#REF!), 0))</f>
        <v/>
      </c>
      <c r="XAJ224" s="19" t="str">
        <f>IF(XAJ220 = "", "", IFERROR(XAJ220 / SUMIFS(Aux_Totales!$N:$N, Aux_Totales!$F:$F, $F224, Aux_Totales!$A:$A,#REF!), 0))</f>
        <v/>
      </c>
      <c r="XAK224" s="19" t="str">
        <f>IF(XAK220 = "", "", IFERROR(XAK220 / SUMIFS(Aux_Totales!$N:$N, Aux_Totales!$F:$F, $F224, Aux_Totales!$A:$A,#REF!), 0))</f>
        <v/>
      </c>
      <c r="XAL224" s="19" t="str">
        <f>IF(XAL220 = "", "", IFERROR(XAL220 / SUMIFS(Aux_Totales!$N:$N, Aux_Totales!$F:$F, $F224, Aux_Totales!$A:$A,#REF!), 0))</f>
        <v/>
      </c>
      <c r="XAM224" s="19" t="str">
        <f>IF(XAM220 = "", "", IFERROR(XAM220 / SUMIFS(Aux_Totales!$N:$N, Aux_Totales!$F:$F, $F224, Aux_Totales!$A:$A,#REF!), 0))</f>
        <v/>
      </c>
      <c r="XAN224" s="19" t="str">
        <f>IF(XAN220 = "", "", IFERROR(XAN220 / SUMIFS(Aux_Totales!$N:$N, Aux_Totales!$F:$F, $F224, Aux_Totales!$A:$A,#REF!), 0))</f>
        <v/>
      </c>
      <c r="XAO224" s="19" t="str">
        <f>IF(XAO220 = "", "", IFERROR(XAO220 / SUMIFS(Aux_Totales!$N:$N, Aux_Totales!$F:$F, $F224, Aux_Totales!$A:$A,#REF!), 0))</f>
        <v/>
      </c>
      <c r="XAP224" s="19" t="str">
        <f>IF(XAP220 = "", "", IFERROR(XAP220 / SUMIFS(Aux_Totales!$N:$N, Aux_Totales!$F:$F, $F224, Aux_Totales!$A:$A,#REF!), 0))</f>
        <v/>
      </c>
      <c r="XAQ224" s="19" t="str">
        <f>IF(XAQ220 = "", "", IFERROR(XAQ220 / SUMIFS(Aux_Totales!$N:$N, Aux_Totales!$F:$F, $F224, Aux_Totales!$A:$A,#REF!), 0))</f>
        <v/>
      </c>
      <c r="XAR224" s="19" t="str">
        <f>IF(XAR220 = "", "", IFERROR(XAR220 / SUMIFS(Aux_Totales!$N:$N, Aux_Totales!$F:$F, $F224, Aux_Totales!$A:$A,#REF!), 0))</f>
        <v/>
      </c>
      <c r="XAS224" s="19" t="str">
        <f>IF(XAS220 = "", "", IFERROR(XAS220 / SUMIFS(Aux_Totales!$N:$N, Aux_Totales!$F:$F, $F224, Aux_Totales!$A:$A,#REF!), 0))</f>
        <v/>
      </c>
      <c r="XAT224" s="19" t="str">
        <f>IF(XAT220 = "", "", IFERROR(XAT220 / SUMIFS(Aux_Totales!$N:$N, Aux_Totales!$F:$F, $F224, Aux_Totales!$A:$A,#REF!), 0))</f>
        <v/>
      </c>
      <c r="XAU224" s="19" t="str">
        <f>IF(XAU220 = "", "", IFERROR(XAU220 / SUMIFS(Aux_Totales!$N:$N, Aux_Totales!$F:$F, $F224, Aux_Totales!$A:$A,#REF!), 0))</f>
        <v/>
      </c>
      <c r="XAV224" s="19" t="str">
        <f>IF(XAV220 = "", "", IFERROR(XAV220 / SUMIFS(Aux_Totales!$N:$N, Aux_Totales!$F:$F, $F224, Aux_Totales!$A:$A,#REF!), 0))</f>
        <v/>
      </c>
      <c r="XAW224" s="19" t="str">
        <f>IF(XAW220 = "", "", IFERROR(XAW220 / SUMIFS(Aux_Totales!$N:$N, Aux_Totales!$F:$F, $F224, Aux_Totales!$A:$A,#REF!), 0))</f>
        <v/>
      </c>
      <c r="XAX224" s="19" t="str">
        <f>IF(XAX220 = "", "", IFERROR(XAX220 / SUMIFS(Aux_Totales!$N:$N, Aux_Totales!$F:$F, $F224, Aux_Totales!$A:$A,#REF!), 0))</f>
        <v/>
      </c>
      <c r="XAY224" s="19" t="str">
        <f>IF(XAY220 = "", "", IFERROR(XAY220 / SUMIFS(Aux_Totales!$N:$N, Aux_Totales!$F:$F, $F224, Aux_Totales!$A:$A,#REF!), 0))</f>
        <v/>
      </c>
      <c r="XAZ224" s="19" t="str">
        <f>IF(XAZ220 = "", "", IFERROR(XAZ220 / SUMIFS(Aux_Totales!$N:$N, Aux_Totales!$F:$F, $F224, Aux_Totales!$A:$A,#REF!), 0))</f>
        <v/>
      </c>
      <c r="XBA224" s="19" t="str">
        <f>IF(XBA220 = "", "", IFERROR(XBA220 / SUMIFS(Aux_Totales!$N:$N, Aux_Totales!$F:$F, $F224, Aux_Totales!$A:$A,#REF!), 0))</f>
        <v/>
      </c>
      <c r="XBB224" s="19" t="str">
        <f>IF(XBB220 = "", "", IFERROR(XBB220 / SUMIFS(Aux_Totales!$N:$N, Aux_Totales!$F:$F, $F224, Aux_Totales!$A:$A,#REF!), 0))</f>
        <v/>
      </c>
      <c r="XBC224" s="19" t="str">
        <f>IF(XBC220 = "", "", IFERROR(XBC220 / SUMIFS(Aux_Totales!$N:$N, Aux_Totales!$F:$F, $F224, Aux_Totales!$A:$A,#REF!), 0))</f>
        <v/>
      </c>
      <c r="XBD224" s="19" t="str">
        <f>IF(XBD220 = "", "", IFERROR(XBD220 / SUMIFS(Aux_Totales!$N:$N, Aux_Totales!$F:$F, $F224, Aux_Totales!$A:$A,#REF!), 0))</f>
        <v/>
      </c>
      <c r="XBE224" s="19" t="str">
        <f>IF(XBE220 = "", "", IFERROR(XBE220 / SUMIFS(Aux_Totales!$N:$N, Aux_Totales!$F:$F, $F224, Aux_Totales!$A:$A,#REF!), 0))</f>
        <v/>
      </c>
      <c r="XBF224" s="19" t="str">
        <f>IF(XBF220 = "", "", IFERROR(XBF220 / SUMIFS(Aux_Totales!$N:$N, Aux_Totales!$F:$F, $F224, Aux_Totales!$A:$A,#REF!), 0))</f>
        <v/>
      </c>
      <c r="XBG224" s="19" t="str">
        <f>IF(XBG220 = "", "", IFERROR(XBG220 / SUMIFS(Aux_Totales!$N:$N, Aux_Totales!$F:$F, $F224, Aux_Totales!$A:$A,#REF!), 0))</f>
        <v/>
      </c>
      <c r="XBH224" s="19" t="str">
        <f>IF(XBH220 = "", "", IFERROR(XBH220 / SUMIFS(Aux_Totales!$N:$N, Aux_Totales!$F:$F, $F224, Aux_Totales!$A:$A,#REF!), 0))</f>
        <v/>
      </c>
      <c r="XBI224" s="19" t="str">
        <f>IF(XBI220 = "", "", IFERROR(XBI220 / SUMIFS(Aux_Totales!$N:$N, Aux_Totales!$F:$F, $F224, Aux_Totales!$A:$A,#REF!), 0))</f>
        <v/>
      </c>
      <c r="XBJ224" s="19" t="str">
        <f>IF(XBJ220 = "", "", IFERROR(XBJ220 / SUMIFS(Aux_Totales!$N:$N, Aux_Totales!$F:$F, $F224, Aux_Totales!$A:$A,#REF!), 0))</f>
        <v/>
      </c>
      <c r="XBK224" s="19" t="str">
        <f>IF(XBK220 = "", "", IFERROR(XBK220 / SUMIFS(Aux_Totales!$N:$N, Aux_Totales!$F:$F, $F224, Aux_Totales!$A:$A,#REF!), 0))</f>
        <v/>
      </c>
      <c r="XBL224" s="19" t="str">
        <f>IF(XBL220 = "", "", IFERROR(XBL220 / SUMIFS(Aux_Totales!$N:$N, Aux_Totales!$F:$F, $F224, Aux_Totales!$A:$A,#REF!), 0))</f>
        <v/>
      </c>
      <c r="XBM224" s="19" t="str">
        <f>IF(XBM220 = "", "", IFERROR(XBM220 / SUMIFS(Aux_Totales!$N:$N, Aux_Totales!$F:$F, $F224, Aux_Totales!$A:$A,#REF!), 0))</f>
        <v/>
      </c>
      <c r="XBN224" s="19" t="str">
        <f>IF(XBN220 = "", "", IFERROR(XBN220 / SUMIFS(Aux_Totales!$N:$N, Aux_Totales!$F:$F, $F224, Aux_Totales!$A:$A,#REF!), 0))</f>
        <v/>
      </c>
      <c r="XBO224" s="19" t="str">
        <f>IF(XBO220 = "", "", IFERROR(XBO220 / SUMIFS(Aux_Totales!$N:$N, Aux_Totales!$F:$F, $F224, Aux_Totales!$A:$A,#REF!), 0))</f>
        <v/>
      </c>
      <c r="XBP224" s="19" t="str">
        <f>IF(XBP220 = "", "", IFERROR(XBP220 / SUMIFS(Aux_Totales!$N:$N, Aux_Totales!$F:$F, $F224, Aux_Totales!$A:$A,#REF!), 0))</f>
        <v/>
      </c>
      <c r="XBQ224" s="19" t="str">
        <f>IF(XBQ220 = "", "", IFERROR(XBQ220 / SUMIFS(Aux_Totales!$N:$N, Aux_Totales!$F:$F, $F224, Aux_Totales!$A:$A,#REF!), 0))</f>
        <v/>
      </c>
      <c r="XBR224" s="19" t="str">
        <f>IF(XBR220 = "", "", IFERROR(XBR220 / SUMIFS(Aux_Totales!$N:$N, Aux_Totales!$F:$F, $F224, Aux_Totales!$A:$A,#REF!), 0))</f>
        <v/>
      </c>
      <c r="XBS224" s="19" t="str">
        <f>IF(XBS220 = "", "", IFERROR(XBS220 / SUMIFS(Aux_Totales!$N:$N, Aux_Totales!$F:$F, $F224, Aux_Totales!$A:$A,#REF!), 0))</f>
        <v/>
      </c>
      <c r="XBT224" s="19" t="str">
        <f>IF(XBT220 = "", "", IFERROR(XBT220 / SUMIFS(Aux_Totales!$N:$N, Aux_Totales!$F:$F, $F224, Aux_Totales!$A:$A,#REF!), 0))</f>
        <v/>
      </c>
      <c r="XBU224" s="19" t="str">
        <f>IF(XBU220 = "", "", IFERROR(XBU220 / SUMIFS(Aux_Totales!$N:$N, Aux_Totales!$F:$F, $F224, Aux_Totales!$A:$A,#REF!), 0))</f>
        <v/>
      </c>
      <c r="XBV224" s="19" t="str">
        <f>IF(XBV220 = "", "", IFERROR(XBV220 / SUMIFS(Aux_Totales!$N:$N, Aux_Totales!$F:$F, $F224, Aux_Totales!$A:$A,#REF!), 0))</f>
        <v/>
      </c>
      <c r="XBW224" s="19" t="str">
        <f>IF(XBW220 = "", "", IFERROR(XBW220 / SUMIFS(Aux_Totales!$N:$N, Aux_Totales!$F:$F, $F224, Aux_Totales!$A:$A,#REF!), 0))</f>
        <v/>
      </c>
      <c r="XBX224" s="19" t="str">
        <f>IF(XBX220 = "", "", IFERROR(XBX220 / SUMIFS(Aux_Totales!$N:$N, Aux_Totales!$F:$F, $F224, Aux_Totales!$A:$A,#REF!), 0))</f>
        <v/>
      </c>
      <c r="XBY224" s="19" t="str">
        <f>IF(XBY220 = "", "", IFERROR(XBY220 / SUMIFS(Aux_Totales!$N:$N, Aux_Totales!$F:$F, $F224, Aux_Totales!$A:$A,#REF!), 0))</f>
        <v/>
      </c>
      <c r="XBZ224" s="19" t="str">
        <f>IF(XBZ220 = "", "", IFERROR(XBZ220 / SUMIFS(Aux_Totales!$N:$N, Aux_Totales!$F:$F, $F224, Aux_Totales!$A:$A,#REF!), 0))</f>
        <v/>
      </c>
      <c r="XCA224" s="19" t="str">
        <f>IF(XCA220 = "", "", IFERROR(XCA220 / SUMIFS(Aux_Totales!$N:$N, Aux_Totales!$F:$F, $F224, Aux_Totales!$A:$A,#REF!), 0))</f>
        <v/>
      </c>
      <c r="XCB224" s="19" t="str">
        <f>IF(XCB220 = "", "", IFERROR(XCB220 / SUMIFS(Aux_Totales!$N:$N, Aux_Totales!$F:$F, $F224, Aux_Totales!$A:$A,#REF!), 0))</f>
        <v/>
      </c>
      <c r="XCC224" s="19" t="str">
        <f>IF(XCC220 = "", "", IFERROR(XCC220 / SUMIFS(Aux_Totales!$N:$N, Aux_Totales!$F:$F, $F224, Aux_Totales!$A:$A,#REF!), 0))</f>
        <v/>
      </c>
      <c r="XCD224" s="19" t="str">
        <f>IF(XCD220 = "", "", IFERROR(XCD220 / SUMIFS(Aux_Totales!$N:$N, Aux_Totales!$F:$F, $F224, Aux_Totales!$A:$A,#REF!), 0))</f>
        <v/>
      </c>
      <c r="XCE224" s="19" t="str">
        <f>IF(XCE220 = "", "", IFERROR(XCE220 / SUMIFS(Aux_Totales!$N:$N, Aux_Totales!$F:$F, $F224, Aux_Totales!$A:$A,#REF!), 0))</f>
        <v/>
      </c>
      <c r="XCF224" s="19" t="str">
        <f>IF(XCF220 = "", "", IFERROR(XCF220 / SUMIFS(Aux_Totales!$N:$N, Aux_Totales!$F:$F, $F224, Aux_Totales!$A:$A,#REF!), 0))</f>
        <v/>
      </c>
      <c r="XCG224" s="19" t="str">
        <f>IF(XCG220 = "", "", IFERROR(XCG220 / SUMIFS(Aux_Totales!$N:$N, Aux_Totales!$F:$F, $F224, Aux_Totales!$A:$A,#REF!), 0))</f>
        <v/>
      </c>
      <c r="XCH224" s="19" t="str">
        <f>IF(XCH220 = "", "", IFERROR(XCH220 / SUMIFS(Aux_Totales!$N:$N, Aux_Totales!$F:$F, $F224, Aux_Totales!$A:$A,#REF!), 0))</f>
        <v/>
      </c>
      <c r="XCI224" s="19" t="str">
        <f>IF(XCI220 = "", "", IFERROR(XCI220 / SUMIFS(Aux_Totales!$N:$N, Aux_Totales!$F:$F, $F224, Aux_Totales!$A:$A,#REF!), 0))</f>
        <v/>
      </c>
      <c r="XCJ224" s="19" t="str">
        <f>IF(XCJ220 = "", "", IFERROR(XCJ220 / SUMIFS(Aux_Totales!$N:$N, Aux_Totales!$F:$F, $F224, Aux_Totales!$A:$A,#REF!), 0))</f>
        <v/>
      </c>
      <c r="XCK224" s="19" t="str">
        <f>IF(XCK220 = "", "", IFERROR(XCK220 / SUMIFS(Aux_Totales!$N:$N, Aux_Totales!$F:$F, $F224, Aux_Totales!$A:$A,#REF!), 0))</f>
        <v/>
      </c>
      <c r="XCL224" s="19" t="str">
        <f>IF(XCL220 = "", "", IFERROR(XCL220 / SUMIFS(Aux_Totales!$N:$N, Aux_Totales!$F:$F, $F224, Aux_Totales!$A:$A,#REF!), 0))</f>
        <v/>
      </c>
      <c r="XCM224" s="19" t="str">
        <f>IF(XCM220 = "", "", IFERROR(XCM220 / SUMIFS(Aux_Totales!$N:$N, Aux_Totales!$F:$F, $F224, Aux_Totales!$A:$A,#REF!), 0))</f>
        <v/>
      </c>
      <c r="XCN224" s="19" t="str">
        <f>IF(XCN220 = "", "", IFERROR(XCN220 / SUMIFS(Aux_Totales!$N:$N, Aux_Totales!$F:$F, $F224, Aux_Totales!$A:$A,#REF!), 0))</f>
        <v/>
      </c>
      <c r="XCO224" s="19" t="str">
        <f>IF(XCO220 = "", "", IFERROR(XCO220 / SUMIFS(Aux_Totales!$N:$N, Aux_Totales!$F:$F, $F224, Aux_Totales!$A:$A,#REF!), 0))</f>
        <v/>
      </c>
      <c r="XCP224" s="19" t="str">
        <f>IF(XCP220 = "", "", IFERROR(XCP220 / SUMIFS(Aux_Totales!$N:$N, Aux_Totales!$F:$F, $F224, Aux_Totales!$A:$A,#REF!), 0))</f>
        <v/>
      </c>
      <c r="XCQ224" s="19" t="str">
        <f>IF(XCQ220 = "", "", IFERROR(XCQ220 / SUMIFS(Aux_Totales!$N:$N, Aux_Totales!$F:$F, $F224, Aux_Totales!$A:$A,#REF!), 0))</f>
        <v/>
      </c>
      <c r="XCR224" s="19" t="str">
        <f>IF(XCR220 = "", "", IFERROR(XCR220 / SUMIFS(Aux_Totales!$N:$N, Aux_Totales!$F:$F, $F224, Aux_Totales!$A:$A,#REF!), 0))</f>
        <v/>
      </c>
      <c r="XCS224" s="19" t="str">
        <f>IF(XCS220 = "", "", IFERROR(XCS220 / SUMIFS(Aux_Totales!$N:$N, Aux_Totales!$F:$F, $F224, Aux_Totales!$A:$A,#REF!), 0))</f>
        <v/>
      </c>
      <c r="XCT224" s="19" t="str">
        <f>IF(XCT220 = "", "", IFERROR(XCT220 / SUMIFS(Aux_Totales!$N:$N, Aux_Totales!$F:$F, $F224, Aux_Totales!$A:$A,#REF!), 0))</f>
        <v/>
      </c>
      <c r="XCU224" s="19" t="str">
        <f>IF(XCU220 = "", "", IFERROR(XCU220 / SUMIFS(Aux_Totales!$N:$N, Aux_Totales!$F:$F, $F224, Aux_Totales!$A:$A,#REF!), 0))</f>
        <v/>
      </c>
      <c r="XCV224" s="19" t="str">
        <f>IF(XCV220 = "", "", IFERROR(XCV220 / SUMIFS(Aux_Totales!$N:$N, Aux_Totales!$F:$F, $F224, Aux_Totales!$A:$A,#REF!), 0))</f>
        <v/>
      </c>
      <c r="XCW224" s="19" t="str">
        <f>IF(XCW220 = "", "", IFERROR(XCW220 / SUMIFS(Aux_Totales!$N:$N, Aux_Totales!$F:$F, $F224, Aux_Totales!$A:$A,#REF!), 0))</f>
        <v/>
      </c>
      <c r="XCX224" s="19" t="str">
        <f>IF(XCX220 = "", "", IFERROR(XCX220 / SUMIFS(Aux_Totales!$N:$N, Aux_Totales!$F:$F, $F224, Aux_Totales!$A:$A,#REF!), 0))</f>
        <v/>
      </c>
      <c r="XCY224" s="19" t="str">
        <f>IF(XCY220 = "", "", IFERROR(XCY220 / SUMIFS(Aux_Totales!$N:$N, Aux_Totales!$F:$F, $F224, Aux_Totales!$A:$A,#REF!), 0))</f>
        <v/>
      </c>
      <c r="XCZ224" s="19" t="str">
        <f>IF(XCZ220 = "", "", IFERROR(XCZ220 / SUMIFS(Aux_Totales!$N:$N, Aux_Totales!$F:$F, $F224, Aux_Totales!$A:$A,#REF!), 0))</f>
        <v/>
      </c>
      <c r="XDA224" s="19" t="str">
        <f>IF(XDA220 = "", "", IFERROR(XDA220 / SUMIFS(Aux_Totales!$N:$N, Aux_Totales!$F:$F, $F224, Aux_Totales!$A:$A,#REF!), 0))</f>
        <v/>
      </c>
      <c r="XDB224" s="19" t="str">
        <f>IF(XDB220 = "", "", IFERROR(XDB220 / SUMIFS(Aux_Totales!$N:$N, Aux_Totales!$F:$F, $F224, Aux_Totales!$A:$A,#REF!), 0))</f>
        <v/>
      </c>
      <c r="XDC224" s="19" t="str">
        <f>IF(XDC220 = "", "", IFERROR(XDC220 / SUMIFS(Aux_Totales!$N:$N, Aux_Totales!$F:$F, $F224, Aux_Totales!$A:$A,#REF!), 0))</f>
        <v/>
      </c>
      <c r="XDD224" s="19" t="str">
        <f>IF(XDD220 = "", "", IFERROR(XDD220 / SUMIFS(Aux_Totales!$N:$N, Aux_Totales!$F:$F, $F224, Aux_Totales!$A:$A,#REF!), 0))</f>
        <v/>
      </c>
      <c r="XDE224" s="19" t="str">
        <f>IF(XDE220 = "", "", IFERROR(XDE220 / SUMIFS(Aux_Totales!$N:$N, Aux_Totales!$F:$F, $F224, Aux_Totales!$A:$A,#REF!), 0))</f>
        <v/>
      </c>
      <c r="XDF224" s="19" t="str">
        <f>IF(XDF220 = "", "", IFERROR(XDF220 / SUMIFS(Aux_Totales!$N:$N, Aux_Totales!$F:$F, $F224, Aux_Totales!$A:$A,#REF!), 0))</f>
        <v/>
      </c>
      <c r="XDG224" s="19" t="str">
        <f>IF(XDG220 = "", "", IFERROR(XDG220 / SUMIFS(Aux_Totales!$N:$N, Aux_Totales!$F:$F, $F224, Aux_Totales!$A:$A,#REF!), 0))</f>
        <v/>
      </c>
      <c r="XDH224" s="19" t="str">
        <f>IF(XDH220 = "", "", IFERROR(XDH220 / SUMIFS(Aux_Totales!$N:$N, Aux_Totales!$F:$F, $F224, Aux_Totales!$A:$A,#REF!), 0))</f>
        <v/>
      </c>
      <c r="XDI224" s="19" t="str">
        <f>IF(XDI220 = "", "", IFERROR(XDI220 / SUMIFS(Aux_Totales!$N:$N, Aux_Totales!$F:$F, $F224, Aux_Totales!$A:$A,#REF!), 0))</f>
        <v/>
      </c>
      <c r="XDJ224" s="19" t="str">
        <f>IF(XDJ220 = "", "", IFERROR(XDJ220 / SUMIFS(Aux_Totales!$N:$N, Aux_Totales!$F:$F, $F224, Aux_Totales!$A:$A,#REF!), 0))</f>
        <v/>
      </c>
      <c r="XDK224" s="19" t="str">
        <f>IF(XDK220 = "", "", IFERROR(XDK220 / SUMIFS(Aux_Totales!$N:$N, Aux_Totales!$F:$F, $F224, Aux_Totales!$A:$A,#REF!), 0))</f>
        <v/>
      </c>
      <c r="XDL224" s="19" t="str">
        <f>IF(XDL220 = "", "", IFERROR(XDL220 / SUMIFS(Aux_Totales!$N:$N, Aux_Totales!$F:$F, $F224, Aux_Totales!$A:$A,#REF!), 0))</f>
        <v/>
      </c>
      <c r="XDM224" s="19" t="str">
        <f>IF(XDM220 = "", "", IFERROR(XDM220 / SUMIFS(Aux_Totales!$N:$N, Aux_Totales!$F:$F, $F224, Aux_Totales!$A:$A,#REF!), 0))</f>
        <v/>
      </c>
      <c r="XDN224" s="19" t="str">
        <f>IF(XDN220 = "", "", IFERROR(XDN220 / SUMIFS(Aux_Totales!$N:$N, Aux_Totales!$F:$F, $F224, Aux_Totales!$A:$A,#REF!), 0))</f>
        <v/>
      </c>
      <c r="XDO224" s="19" t="str">
        <f>IF(XDO220 = "", "", IFERROR(XDO220 / SUMIFS(Aux_Totales!$N:$N, Aux_Totales!$F:$F, $F224, Aux_Totales!$A:$A,#REF!), 0))</f>
        <v/>
      </c>
      <c r="XDP224" s="19" t="str">
        <f>IF(XDP220 = "", "", IFERROR(XDP220 / SUMIFS(Aux_Totales!$N:$N, Aux_Totales!$F:$F, $F224, Aux_Totales!$A:$A,#REF!), 0))</f>
        <v/>
      </c>
      <c r="XDQ224" s="19" t="str">
        <f>IF(XDQ220 = "", "", IFERROR(XDQ220 / SUMIFS(Aux_Totales!$N:$N, Aux_Totales!$F:$F, $F224, Aux_Totales!$A:$A,#REF!), 0))</f>
        <v/>
      </c>
      <c r="XDR224" s="19" t="str">
        <f>IF(XDR220 = "", "", IFERROR(XDR220 / SUMIFS(Aux_Totales!$N:$N, Aux_Totales!$F:$F, $F224, Aux_Totales!$A:$A,#REF!), 0))</f>
        <v/>
      </c>
      <c r="XDS224" s="19" t="str">
        <f>IF(XDS220 = "", "", IFERROR(XDS220 / SUMIFS(Aux_Totales!$N:$N, Aux_Totales!$F:$F, $F224, Aux_Totales!$A:$A,#REF!), 0))</f>
        <v/>
      </c>
      <c r="XDT224" s="19" t="str">
        <f>IF(XDT220 = "", "", IFERROR(XDT220 / SUMIFS(Aux_Totales!$N:$N, Aux_Totales!$F:$F, $F224, Aux_Totales!$A:$A,#REF!), 0))</f>
        <v/>
      </c>
      <c r="XDU224" s="19" t="str">
        <f>IF(XDU220 = "", "", IFERROR(XDU220 / SUMIFS(Aux_Totales!$N:$N, Aux_Totales!$F:$F, $F224, Aux_Totales!$A:$A,#REF!), 0))</f>
        <v/>
      </c>
      <c r="XDV224" s="19" t="str">
        <f>IF(XDV220 = "", "", IFERROR(XDV220 / SUMIFS(Aux_Totales!$N:$N, Aux_Totales!$F:$F, $F224, Aux_Totales!$A:$A,#REF!), 0))</f>
        <v/>
      </c>
      <c r="XDW224" s="19" t="str">
        <f>IF(XDW220 = "", "", IFERROR(XDW220 / SUMIFS(Aux_Totales!$N:$N, Aux_Totales!$F:$F, $F224, Aux_Totales!$A:$A,#REF!), 0))</f>
        <v/>
      </c>
      <c r="XDX224" s="19" t="str">
        <f>IF(XDX220 = "", "", IFERROR(XDX220 / SUMIFS(Aux_Totales!$N:$N, Aux_Totales!$F:$F, $F224, Aux_Totales!$A:$A,#REF!), 0))</f>
        <v/>
      </c>
      <c r="XDY224" s="19" t="str">
        <f>IF(XDY220 = "", "", IFERROR(XDY220 / SUMIFS(Aux_Totales!$N:$N, Aux_Totales!$F:$F, $F224, Aux_Totales!$A:$A,#REF!), 0))</f>
        <v/>
      </c>
      <c r="XDZ224" s="19" t="str">
        <f>IF(XDZ220 = "", "", IFERROR(XDZ220 / SUMIFS(Aux_Totales!$N:$N, Aux_Totales!$F:$F, $F224, Aux_Totales!$A:$A,#REF!), 0))</f>
        <v/>
      </c>
      <c r="XEA224" s="19" t="str">
        <f>IF(XEA220 = "", "", IFERROR(XEA220 / SUMIFS(Aux_Totales!$N:$N, Aux_Totales!$F:$F, $F224, Aux_Totales!$A:$A,#REF!), 0))</f>
        <v/>
      </c>
      <c r="XEB224" s="19" t="str">
        <f>IF(XEB220 = "", "", IFERROR(XEB220 / SUMIFS(Aux_Totales!$N:$N, Aux_Totales!$F:$F, $F224, Aux_Totales!$A:$A,#REF!), 0))</f>
        <v/>
      </c>
      <c r="XEC224" s="19" t="str">
        <f>IF(XEC220 = "", "", IFERROR(XEC220 / SUMIFS(Aux_Totales!$N:$N, Aux_Totales!$F:$F, $F224, Aux_Totales!$A:$A,#REF!), 0))</f>
        <v/>
      </c>
      <c r="XED224" s="19" t="str">
        <f>IF(XED220 = "", "", IFERROR(XED220 / SUMIFS(Aux_Totales!$N:$N, Aux_Totales!$F:$F, $F224, Aux_Totales!$A:$A,#REF!), 0))</f>
        <v/>
      </c>
      <c r="XEE224" s="19" t="str">
        <f>IF(XEE220 = "", "", IFERROR(XEE220 / SUMIFS(Aux_Totales!$N:$N, Aux_Totales!$F:$F, $F224, Aux_Totales!$A:$A,#REF!), 0))</f>
        <v/>
      </c>
      <c r="XEF224" s="19" t="str">
        <f>IF(XEF220 = "", "", IFERROR(XEF220 / SUMIFS(Aux_Totales!$N:$N, Aux_Totales!$F:$F, $F224, Aux_Totales!$A:$A,#REF!), 0))</f>
        <v/>
      </c>
      <c r="XEG224" s="19" t="str">
        <f>IF(XEG220 = "", "", IFERROR(XEG220 / SUMIFS(Aux_Totales!$N:$N, Aux_Totales!$F:$F, $F224, Aux_Totales!$A:$A,#REF!), 0))</f>
        <v/>
      </c>
      <c r="XEH224" s="19" t="str">
        <f>IF(XEH220 = "", "", IFERROR(XEH220 / SUMIFS(Aux_Totales!$N:$N, Aux_Totales!$F:$F, $F224, Aux_Totales!$A:$A,#REF!), 0))</f>
        <v/>
      </c>
      <c r="XEI224" s="19" t="str">
        <f>IF(XEI220 = "", "", IFERROR(XEI220 / SUMIFS(Aux_Totales!$N:$N, Aux_Totales!$F:$F, $F224, Aux_Totales!$A:$A,#REF!), 0))</f>
        <v/>
      </c>
      <c r="XEJ224" s="19" t="str">
        <f>IF(XEJ220 = "", "", IFERROR(XEJ220 / SUMIFS(Aux_Totales!$N:$N, Aux_Totales!$F:$F, $F224, Aux_Totales!$A:$A,#REF!), 0))</f>
        <v/>
      </c>
      <c r="XEK224" s="19" t="str">
        <f>IF(XEK220 = "", "", IFERROR(XEK220 / SUMIFS(Aux_Totales!$N:$N, Aux_Totales!$F:$F, $F224, Aux_Totales!$A:$A,#REF!), 0))</f>
        <v/>
      </c>
      <c r="XEL224" s="19" t="str">
        <f>IF(XEL220 = "", "", IFERROR(XEL220 / SUMIFS(Aux_Totales!$N:$N, Aux_Totales!$F:$F, $F224, Aux_Totales!$A:$A,#REF!), 0))</f>
        <v/>
      </c>
      <c r="XEM224" s="19" t="str">
        <f>IF(XEM220 = "", "", IFERROR(XEM220 / SUMIFS(Aux_Totales!$N:$N, Aux_Totales!$F:$F, $F224, Aux_Totales!$A:$A,#REF!), 0))</f>
        <v/>
      </c>
      <c r="XEN224" s="19" t="str">
        <f>IF(XEN220 = "", "", IFERROR(XEN220 / SUMIFS(Aux_Totales!$N:$N, Aux_Totales!$F:$F, $F224, Aux_Totales!$A:$A,#REF!), 0))</f>
        <v/>
      </c>
      <c r="XEO224" s="19" t="str">
        <f>IF(XEO220 = "", "", IFERROR(XEO220 / SUMIFS(Aux_Totales!$N:$N, Aux_Totales!$F:$F, $F224, Aux_Totales!$A:$A,#REF!), 0))</f>
        <v/>
      </c>
      <c r="XEP224" s="19" t="str">
        <f>IF(XEP220 = "", "", IFERROR(XEP220 / SUMIFS(Aux_Totales!$N:$N, Aux_Totales!$F:$F, $F224, Aux_Totales!$A:$A,#REF!), 0))</f>
        <v/>
      </c>
      <c r="XEQ224" s="19" t="str">
        <f>IF(XEQ220 = "", "", IFERROR(XEQ220 / SUMIFS(Aux_Totales!$N:$N, Aux_Totales!$F:$F, $F224, Aux_Totales!$A:$A,#REF!), 0))</f>
        <v/>
      </c>
      <c r="XER224" s="19" t="str">
        <f>IF(XER220 = "", "", IFERROR(XER220 / SUMIFS(Aux_Totales!$N:$N, Aux_Totales!$F:$F, $F224, Aux_Totales!$A:$A,#REF!), 0))</f>
        <v/>
      </c>
      <c r="XES224" s="19" t="str">
        <f>IF(XES220 = "", "", IFERROR(XES220 / SUMIFS(Aux_Totales!$N:$N, Aux_Totales!$F:$F, $F224, Aux_Totales!$A:$A,#REF!), 0))</f>
        <v/>
      </c>
      <c r="XET224" s="19" t="str">
        <f>IF(XET220 = "", "", IFERROR(XET220 / SUMIFS(Aux_Totales!$N:$N, Aux_Totales!$F:$F, $F224, Aux_Totales!$A:$A,#REF!), 0))</f>
        <v/>
      </c>
      <c r="XEU224" s="19" t="str">
        <f>IF(XEU220 = "", "", IFERROR(XEU220 / SUMIFS(Aux_Totales!$N:$N, Aux_Totales!$F:$F, $F224, Aux_Totales!$A:$A,#REF!), 0))</f>
        <v/>
      </c>
      <c r="XEV224" s="19" t="str">
        <f>IF(XEV220 = "", "", IFERROR(XEV220 / SUMIFS(Aux_Totales!$N:$N, Aux_Totales!$F:$F, $F224, Aux_Totales!$A:$A,#REF!), 0))</f>
        <v/>
      </c>
      <c r="XEW224" s="19" t="str">
        <f>IF(XEW220 = "", "", IFERROR(XEW220 / SUMIFS(Aux_Totales!$N:$N, Aux_Totales!$F:$F, $F224, Aux_Totales!$A:$A,#REF!), 0))</f>
        <v/>
      </c>
      <c r="XEX224" s="19" t="str">
        <f>IF(XEX220 = "", "", IFERROR(XEX220 / SUMIFS(Aux_Totales!$N:$N, Aux_Totales!$F:$F, $F224, Aux_Totales!$A:$A,#REF!), 0))</f>
        <v/>
      </c>
      <c r="XEY224" s="19" t="str">
        <f>IF(XEY220 = "", "", IFERROR(XEY220 / SUMIFS(Aux_Totales!$N:$N, Aux_Totales!$F:$F, $F224, Aux_Totales!$A:$A,#REF!), 0))</f>
        <v/>
      </c>
      <c r="XEZ224" s="19" t="str">
        <f>IF(XEZ220 = "", "", IFERROR(XEZ220 / SUMIFS(Aux_Totales!$N:$N, Aux_Totales!$F:$F, $F224, Aux_Totales!$A:$A,#REF!), 0))</f>
        <v/>
      </c>
      <c r="XFA224" s="19" t="str">
        <f>IF(XFA220 = "", "", IFERROR(XFA220 / SUMIFS(Aux_Totales!$N:$N, Aux_Totales!$F:$F, $F224, Aux_Totales!$A:$A,#REF!), 0))</f>
        <v/>
      </c>
      <c r="XFB224" s="19" t="str">
        <f>IF(XFB220 = "", "", IFERROR(XFB220 / SUMIFS(Aux_Totales!$N:$N, Aux_Totales!$F:$F, $F224, Aux_Totales!$A:$A,#REF!), 0))</f>
        <v/>
      </c>
      <c r="XFC224" s="19" t="str">
        <f>IF(XFC220 = "", "", IFERROR(XFC220 / SUMIFS(Aux_Totales!$N:$N, Aux_Totales!$F:$F, $F224, Aux_Totales!$A:$A,#REF!), 0))</f>
        <v/>
      </c>
      <c r="XFD224" s="19" t="str">
        <f>IF(XFD220 = "", "", IFERROR(XFD220 / SUMIFS(Aux_Totales!$N:$N, Aux_Totales!$F:$F, $F224, Aux_Totales!$A:$A,#REF!), 0))</f>
        <v/>
      </c>
    </row>
    <row r="225" spans="1:5" x14ac:dyDescent="0.2">
      <c r="A225">
        <v>201612</v>
      </c>
      <c r="B225">
        <f>IF($C$4 = "Severidad", IFERROR( SUMIFS(Aux_Totales!$K:$K, Aux_Totales!$F:$F, $A225, Aux_Totales!$A:$A,#REF!) / SUMIFS(Aux_Totales!$N:$N, Aux_Totales!$F:$F, $A225, Aux_Totales!$A:$A,#REF!), 0), IFERROR(B179 / SUMIFS(Aux_Totales!$K:$K, Aux_Totales!$F:$F, $A225, Aux_Totales!$A:$A,#REF!), 0))</f>
        <v>0</v>
      </c>
      <c r="C225">
        <f>IF($C$4 = "Severidad", IFERROR( SUMIFS(Aux_Totales!$L:$L, Aux_Totales!$F:$F, $A225, Aux_Totales!$A:$A,#REF!) / SUMIFS(Aux_Totales!$N:$N, Aux_Totales!$F:$F, $A225, Aux_Totales!$A:$A,#REF!), 0), IFERROR(C179 / SUMIFS(Aux_Totales!$L:$L, Aux_Totales!$F:$F, $A225, Aux_Totales!$A:$A,#REF!), 0))</f>
        <v>0</v>
      </c>
      <c r="D225" s="20">
        <f>IF( $C$4 = "Severidad", IFERROR(SUMIFS(Aux_Anterior!$S:$S, Aux_Anterior!$F:$F, $A225, Aux_Anterior!$A:$A,#REF!, Aux_Anterior!$AB:$AB, 202404), 0), IFERROR(SUMIFS(Aux_Anterior!$U:$U, Aux_Anterior!$F:$F, $A225, Aux_Anterior!$A:$A,#REF!, Aux_Anterior!$AB:$AB, 202404), 0))</f>
        <v>0</v>
      </c>
      <c r="E225" s="30"/>
    </row>
    <row r="226" spans="1:5" x14ac:dyDescent="0.2">
      <c r="A226">
        <v>201703</v>
      </c>
      <c r="B226">
        <f>IF($C$4 = "Severidad", IFERROR( SUMIFS(Aux_Totales!$K:$K, Aux_Totales!$F:$F, $A226, Aux_Totales!$A:$A,#REF!) / SUMIFS(Aux_Totales!$N:$N, Aux_Totales!$F:$F, $A226, Aux_Totales!$A:$A,#REF!), 0), IFERROR(B180 / SUMIFS(Aux_Totales!$K:$K, Aux_Totales!$F:$F, $A226, Aux_Totales!$A:$A,#REF!), 0))</f>
        <v>0</v>
      </c>
      <c r="C226">
        <f>IF($C$4 = "Severidad", IFERROR( SUMIFS(Aux_Totales!$L:$L, Aux_Totales!$F:$F, $A226, Aux_Totales!$A:$A,#REF!) / SUMIFS(Aux_Totales!$N:$N, Aux_Totales!$F:$F, $A226, Aux_Totales!$A:$A,#REF!), 0), IFERROR(C180 / SUMIFS(Aux_Totales!$L:$L, Aux_Totales!$F:$F, $A226, Aux_Totales!$A:$A,#REF!), 0))</f>
        <v>0</v>
      </c>
      <c r="D226" s="20">
        <f>IF( $C$4 = "Severidad", IFERROR(SUMIFS(Aux_Anterior!$S:$S, Aux_Anterior!$F:$F, $A226, Aux_Anterior!$A:$A,#REF!, Aux_Anterior!$AB:$AB, 202404), 0), IFERROR(SUMIFS(Aux_Anterior!$U:$U, Aux_Anterior!$F:$F, $A226, Aux_Anterior!$A:$A,#REF!, Aux_Anterior!$AB:$AB, 202404), 0))</f>
        <v>0</v>
      </c>
      <c r="E226" s="30"/>
    </row>
    <row r="227" spans="1:5" x14ac:dyDescent="0.2">
      <c r="A227">
        <v>201706</v>
      </c>
      <c r="B227">
        <f>IF($C$4 = "Severidad", IFERROR( SUMIFS(Aux_Totales!$K:$K, Aux_Totales!$F:$F, $A227, Aux_Totales!$A:$A,#REF!) / SUMIFS(Aux_Totales!$N:$N, Aux_Totales!$F:$F, $A227, Aux_Totales!$A:$A,#REF!), 0), IFERROR(B181 / SUMIFS(Aux_Totales!$K:$K, Aux_Totales!$F:$F, $A227, Aux_Totales!$A:$A,#REF!), 0))</f>
        <v>0</v>
      </c>
      <c r="C227">
        <f>IF($C$4 = "Severidad", IFERROR( SUMIFS(Aux_Totales!$L:$L, Aux_Totales!$F:$F, $A227, Aux_Totales!$A:$A,#REF!) / SUMIFS(Aux_Totales!$N:$N, Aux_Totales!$F:$F, $A227, Aux_Totales!$A:$A,#REF!), 0), IFERROR(C181 / SUMIFS(Aux_Totales!$L:$L, Aux_Totales!$F:$F, $A227, Aux_Totales!$A:$A,#REF!), 0))</f>
        <v>0</v>
      </c>
      <c r="D227" s="20">
        <f>IF( $C$4 = "Severidad", IFERROR(SUMIFS(Aux_Anterior!$S:$S, Aux_Anterior!$F:$F, $A227, Aux_Anterior!$A:$A,#REF!, Aux_Anterior!$AB:$AB, 202404), 0), IFERROR(SUMIFS(Aux_Anterior!$U:$U, Aux_Anterior!$F:$F, $A227, Aux_Anterior!$A:$A,#REF!, Aux_Anterior!$AB:$AB, 202404), 0))</f>
        <v>0</v>
      </c>
      <c r="E227" s="30"/>
    </row>
    <row r="228" spans="1:5" x14ac:dyDescent="0.2">
      <c r="A228">
        <v>201709</v>
      </c>
      <c r="B228">
        <f>IF($C$4 = "Severidad", IFERROR( SUMIFS(Aux_Totales!$K:$K, Aux_Totales!$F:$F, $A228, Aux_Totales!$A:$A,#REF!) / SUMIFS(Aux_Totales!$N:$N, Aux_Totales!$F:$F, $A228, Aux_Totales!$A:$A,#REF!), 0), IFERROR(B182 / SUMIFS(Aux_Totales!$K:$K, Aux_Totales!$F:$F, $A228, Aux_Totales!$A:$A,#REF!), 0))</f>
        <v>0</v>
      </c>
      <c r="C228">
        <f>IF($C$4 = "Severidad", IFERROR( SUMIFS(Aux_Totales!$L:$L, Aux_Totales!$F:$F, $A228, Aux_Totales!$A:$A,#REF!) / SUMIFS(Aux_Totales!$N:$N, Aux_Totales!$F:$F, $A228, Aux_Totales!$A:$A,#REF!), 0), IFERROR(C182 / SUMIFS(Aux_Totales!$L:$L, Aux_Totales!$F:$F, $A228, Aux_Totales!$A:$A,#REF!), 0))</f>
        <v>0</v>
      </c>
      <c r="D228" s="20">
        <f>IF( $C$4 = "Severidad", IFERROR(SUMIFS(Aux_Anterior!$S:$S, Aux_Anterior!$F:$F, $A228, Aux_Anterior!$A:$A,#REF!, Aux_Anterior!$AB:$AB, 202404), 0), IFERROR(SUMIFS(Aux_Anterior!$U:$U, Aux_Anterior!$F:$F, $A228, Aux_Anterior!$A:$A,#REF!, Aux_Anterior!$AB:$AB, 202404), 0))</f>
        <v>0</v>
      </c>
      <c r="E228" s="30"/>
    </row>
    <row r="229" spans="1:5" x14ac:dyDescent="0.2">
      <c r="A229">
        <v>201712</v>
      </c>
      <c r="B229">
        <f>IF($C$4 = "Severidad", IFERROR( SUMIFS(Aux_Totales!$K:$K, Aux_Totales!$F:$F, $A229, Aux_Totales!$A:$A,#REF!) / SUMIFS(Aux_Totales!$N:$N, Aux_Totales!$F:$F, $A229, Aux_Totales!$A:$A,#REF!), 0), IFERROR(B183 / SUMIFS(Aux_Totales!$K:$K, Aux_Totales!$F:$F, $A229, Aux_Totales!$A:$A,#REF!), 0))</f>
        <v>0</v>
      </c>
      <c r="C229">
        <f>IF($C$4 = "Severidad", IFERROR( SUMIFS(Aux_Totales!$L:$L, Aux_Totales!$F:$F, $A229, Aux_Totales!$A:$A,#REF!) / SUMIFS(Aux_Totales!$N:$N, Aux_Totales!$F:$F, $A229, Aux_Totales!$A:$A,#REF!), 0), IFERROR(C183 / SUMIFS(Aux_Totales!$L:$L, Aux_Totales!$F:$F, $A229, Aux_Totales!$A:$A,#REF!), 0))</f>
        <v>0</v>
      </c>
      <c r="D229" s="20">
        <f>IF( $C$4 = "Severidad", IFERROR(SUMIFS(Aux_Anterior!$S:$S, Aux_Anterior!$F:$F, $A229, Aux_Anterior!$A:$A,#REF!, Aux_Anterior!$AB:$AB, 202404), 0), IFERROR(SUMIFS(Aux_Anterior!$U:$U, Aux_Anterior!$F:$F, $A229, Aux_Anterior!$A:$A,#REF!, Aux_Anterior!$AB:$AB, 202404), 0))</f>
        <v>0</v>
      </c>
      <c r="E229" s="30"/>
    </row>
    <row r="230" spans="1:5" x14ac:dyDescent="0.2">
      <c r="A230">
        <v>201803</v>
      </c>
      <c r="B230">
        <f>IF($C$4 = "Severidad", IFERROR( SUMIFS(Aux_Totales!$K:$K, Aux_Totales!$F:$F, $A230, Aux_Totales!$A:$A,#REF!) / SUMIFS(Aux_Totales!$N:$N, Aux_Totales!$F:$F, $A230, Aux_Totales!$A:$A,#REF!), 0), IFERROR(B184 / SUMIFS(Aux_Totales!$K:$K, Aux_Totales!$F:$F, $A230, Aux_Totales!$A:$A,#REF!), 0))</f>
        <v>0</v>
      </c>
      <c r="C230">
        <f>IF($C$4 = "Severidad", IFERROR( SUMIFS(Aux_Totales!$L:$L, Aux_Totales!$F:$F, $A230, Aux_Totales!$A:$A,#REF!) / SUMIFS(Aux_Totales!$N:$N, Aux_Totales!$F:$F, $A230, Aux_Totales!$A:$A,#REF!), 0), IFERROR(C184 / SUMIFS(Aux_Totales!$L:$L, Aux_Totales!$F:$F, $A230, Aux_Totales!$A:$A,#REF!), 0))</f>
        <v>0</v>
      </c>
      <c r="D230" s="20">
        <f>IF( $C$4 = "Severidad", IFERROR(SUMIFS(Aux_Anterior!$S:$S, Aux_Anterior!$F:$F, $A230, Aux_Anterior!$A:$A,#REF!, Aux_Anterior!$AB:$AB, 202404), 0), IFERROR(SUMIFS(Aux_Anterior!$U:$U, Aux_Anterior!$F:$F, $A230, Aux_Anterior!$A:$A,#REF!, Aux_Anterior!$AB:$AB, 202404), 0))</f>
        <v>0</v>
      </c>
      <c r="E230" s="30"/>
    </row>
    <row r="231" spans="1:5" x14ac:dyDescent="0.2">
      <c r="A231">
        <v>201806</v>
      </c>
      <c r="B231">
        <f>IF($C$4 = "Severidad", IFERROR( SUMIFS(Aux_Totales!$K:$K, Aux_Totales!$F:$F, $A231, Aux_Totales!$A:$A,#REF!) / SUMIFS(Aux_Totales!$N:$N, Aux_Totales!$F:$F, $A231, Aux_Totales!$A:$A,#REF!), 0), IFERROR(B185 / SUMIFS(Aux_Totales!$K:$K, Aux_Totales!$F:$F, $A231, Aux_Totales!$A:$A,#REF!), 0))</f>
        <v>0</v>
      </c>
      <c r="C231">
        <f>IF($C$4 = "Severidad", IFERROR( SUMIFS(Aux_Totales!$L:$L, Aux_Totales!$F:$F, $A231, Aux_Totales!$A:$A,#REF!) / SUMIFS(Aux_Totales!$N:$N, Aux_Totales!$F:$F, $A231, Aux_Totales!$A:$A,#REF!), 0), IFERROR(C185 / SUMIFS(Aux_Totales!$L:$L, Aux_Totales!$F:$F, $A231, Aux_Totales!$A:$A,#REF!), 0))</f>
        <v>0</v>
      </c>
      <c r="D231" s="20">
        <f>IF( $C$4 = "Severidad", IFERROR(SUMIFS(Aux_Anterior!$S:$S, Aux_Anterior!$F:$F, $A231, Aux_Anterior!$A:$A,#REF!, Aux_Anterior!$AB:$AB, 202404), 0), IFERROR(SUMIFS(Aux_Anterior!$U:$U, Aux_Anterior!$F:$F, $A231, Aux_Anterior!$A:$A,#REF!, Aux_Anterior!$AB:$AB, 202404), 0))</f>
        <v>0</v>
      </c>
      <c r="E231" s="30"/>
    </row>
    <row r="232" spans="1:5" x14ac:dyDescent="0.2">
      <c r="A232">
        <v>201809</v>
      </c>
      <c r="B232">
        <f>IF($C$4 = "Severidad", IFERROR( SUMIFS(Aux_Totales!$K:$K, Aux_Totales!$F:$F, $A232, Aux_Totales!$A:$A,#REF!) / SUMIFS(Aux_Totales!$N:$N, Aux_Totales!$F:$F, $A232, Aux_Totales!$A:$A,#REF!), 0), IFERROR(B186 / SUMIFS(Aux_Totales!$K:$K, Aux_Totales!$F:$F, $A232, Aux_Totales!$A:$A,#REF!), 0))</f>
        <v>0</v>
      </c>
      <c r="C232">
        <f>IF($C$4 = "Severidad", IFERROR( SUMIFS(Aux_Totales!$L:$L, Aux_Totales!$F:$F, $A232, Aux_Totales!$A:$A,#REF!) / SUMIFS(Aux_Totales!$N:$N, Aux_Totales!$F:$F, $A232, Aux_Totales!$A:$A,#REF!), 0), IFERROR(C186 / SUMIFS(Aux_Totales!$L:$L, Aux_Totales!$F:$F, $A232, Aux_Totales!$A:$A,#REF!), 0))</f>
        <v>0</v>
      </c>
      <c r="D232" s="20">
        <f>IF( $C$4 = "Severidad", IFERROR(SUMIFS(Aux_Anterior!$S:$S, Aux_Anterior!$F:$F, $A232, Aux_Anterior!$A:$A,#REF!, Aux_Anterior!$AB:$AB, 202404), 0), IFERROR(SUMIFS(Aux_Anterior!$U:$U, Aux_Anterior!$F:$F, $A232, Aux_Anterior!$A:$A,#REF!, Aux_Anterior!$AB:$AB, 202404), 0))</f>
        <v>0</v>
      </c>
      <c r="E232" s="30"/>
    </row>
    <row r="233" spans="1:5" x14ac:dyDescent="0.2">
      <c r="A233">
        <v>201812</v>
      </c>
      <c r="B233">
        <f>IF($C$4 = "Severidad", IFERROR( SUMIFS(Aux_Totales!$K:$K, Aux_Totales!$F:$F, $A233, Aux_Totales!$A:$A,#REF!) / SUMIFS(Aux_Totales!$N:$N, Aux_Totales!$F:$F, $A233, Aux_Totales!$A:$A,#REF!), 0), IFERROR(B187 / SUMIFS(Aux_Totales!$K:$K, Aux_Totales!$F:$F, $A233, Aux_Totales!$A:$A,#REF!), 0))</f>
        <v>0</v>
      </c>
      <c r="C233">
        <f>IF($C$4 = "Severidad", IFERROR( SUMIFS(Aux_Totales!$L:$L, Aux_Totales!$F:$F, $A233, Aux_Totales!$A:$A,#REF!) / SUMIFS(Aux_Totales!$N:$N, Aux_Totales!$F:$F, $A233, Aux_Totales!$A:$A,#REF!), 0), IFERROR(C187 / SUMIFS(Aux_Totales!$L:$L, Aux_Totales!$F:$F, $A233, Aux_Totales!$A:$A,#REF!), 0))</f>
        <v>0</v>
      </c>
      <c r="D233" s="20">
        <f>IF( $C$4 = "Severidad", IFERROR(SUMIFS(Aux_Anterior!$S:$S, Aux_Anterior!$F:$F, $A233, Aux_Anterior!$A:$A,#REF!, Aux_Anterior!$AB:$AB, 202404), 0), IFERROR(SUMIFS(Aux_Anterior!$U:$U, Aux_Anterior!$F:$F, $A233, Aux_Anterior!$A:$A,#REF!, Aux_Anterior!$AB:$AB, 202404), 0))</f>
        <v>0</v>
      </c>
      <c r="E233" s="30"/>
    </row>
    <row r="234" spans="1:5" x14ac:dyDescent="0.2">
      <c r="A234">
        <v>201903</v>
      </c>
      <c r="B234">
        <f>IF($C$4 = "Severidad", IFERROR( SUMIFS(Aux_Totales!$K:$K, Aux_Totales!$F:$F, $A234, Aux_Totales!$A:$A,#REF!) / SUMIFS(Aux_Totales!$N:$N, Aux_Totales!$F:$F, $A234, Aux_Totales!$A:$A,#REF!), 0), IFERROR(B188 / SUMIFS(Aux_Totales!$K:$K, Aux_Totales!$F:$F, $A234, Aux_Totales!$A:$A,#REF!), 0))</f>
        <v>0</v>
      </c>
      <c r="C234">
        <f>IF($C$4 = "Severidad", IFERROR( SUMIFS(Aux_Totales!$L:$L, Aux_Totales!$F:$F, $A234, Aux_Totales!$A:$A,#REF!) / SUMIFS(Aux_Totales!$N:$N, Aux_Totales!$F:$F, $A234, Aux_Totales!$A:$A,#REF!), 0), IFERROR(C188 / SUMIFS(Aux_Totales!$L:$L, Aux_Totales!$F:$F, $A234, Aux_Totales!$A:$A,#REF!), 0))</f>
        <v>0</v>
      </c>
      <c r="D234" s="20">
        <f>IF( $C$4 = "Severidad", IFERROR(SUMIFS(Aux_Anterior!$S:$S, Aux_Anterior!$F:$F, $A234, Aux_Anterior!$A:$A,#REF!, Aux_Anterior!$AB:$AB, 202404), 0), IFERROR(SUMIFS(Aux_Anterior!$U:$U, Aux_Anterior!$F:$F, $A234, Aux_Anterior!$A:$A,#REF!, Aux_Anterior!$AB:$AB, 202404), 0))</f>
        <v>0</v>
      </c>
      <c r="E234" s="30"/>
    </row>
    <row r="235" spans="1:5" x14ac:dyDescent="0.2">
      <c r="A235">
        <v>201906</v>
      </c>
      <c r="B235">
        <f>IF($C$4 = "Severidad", IFERROR( SUMIFS(Aux_Totales!$K:$K, Aux_Totales!$F:$F, $A235, Aux_Totales!$A:$A,#REF!) / SUMIFS(Aux_Totales!$N:$N, Aux_Totales!$F:$F, $A235, Aux_Totales!$A:$A,#REF!), 0), IFERROR(B189 / SUMIFS(Aux_Totales!$K:$K, Aux_Totales!$F:$F, $A235, Aux_Totales!$A:$A,#REF!), 0))</f>
        <v>0</v>
      </c>
      <c r="C235">
        <f>IF($C$4 = "Severidad", IFERROR( SUMIFS(Aux_Totales!$L:$L, Aux_Totales!$F:$F, $A235, Aux_Totales!$A:$A,#REF!) / SUMIFS(Aux_Totales!$N:$N, Aux_Totales!$F:$F, $A235, Aux_Totales!$A:$A,#REF!), 0), IFERROR(C189 / SUMIFS(Aux_Totales!$L:$L, Aux_Totales!$F:$F, $A235, Aux_Totales!$A:$A,#REF!), 0))</f>
        <v>0</v>
      </c>
      <c r="D235" s="20">
        <f>IF( $C$4 = "Severidad", IFERROR(SUMIFS(Aux_Anterior!$S:$S, Aux_Anterior!$F:$F, $A235, Aux_Anterior!$A:$A,#REF!, Aux_Anterior!$AB:$AB, 202404), 0), IFERROR(SUMIFS(Aux_Anterior!$U:$U, Aux_Anterior!$F:$F, $A235, Aux_Anterior!$A:$A,#REF!, Aux_Anterior!$AB:$AB, 202404), 0))</f>
        <v>0</v>
      </c>
      <c r="E235" s="30"/>
    </row>
    <row r="236" spans="1:5" x14ac:dyDescent="0.2">
      <c r="A236">
        <v>201909</v>
      </c>
      <c r="B236">
        <f>IF($C$4 = "Severidad", IFERROR( SUMIFS(Aux_Totales!$K:$K, Aux_Totales!$F:$F, $A236, Aux_Totales!$A:$A,#REF!) / SUMIFS(Aux_Totales!$N:$N, Aux_Totales!$F:$F, $A236, Aux_Totales!$A:$A,#REF!), 0), IFERROR(B190 / SUMIFS(Aux_Totales!$K:$K, Aux_Totales!$F:$F, $A236, Aux_Totales!$A:$A,#REF!), 0))</f>
        <v>0</v>
      </c>
      <c r="C236">
        <f>IF($C$4 = "Severidad", IFERROR( SUMIFS(Aux_Totales!$L:$L, Aux_Totales!$F:$F, $A236, Aux_Totales!$A:$A,#REF!) / SUMIFS(Aux_Totales!$N:$N, Aux_Totales!$F:$F, $A236, Aux_Totales!$A:$A,#REF!), 0), IFERROR(C190 / SUMIFS(Aux_Totales!$L:$L, Aux_Totales!$F:$F, $A236, Aux_Totales!$A:$A,#REF!), 0))</f>
        <v>0</v>
      </c>
      <c r="D236" s="20">
        <f>IF( $C$4 = "Severidad", IFERROR(SUMIFS(Aux_Anterior!$S:$S, Aux_Anterior!$F:$F, $A236, Aux_Anterior!$A:$A,#REF!, Aux_Anterior!$AB:$AB, 202404), 0), IFERROR(SUMIFS(Aux_Anterior!$U:$U, Aux_Anterior!$F:$F, $A236, Aux_Anterior!$A:$A,#REF!, Aux_Anterior!$AB:$AB, 202404), 0))</f>
        <v>0</v>
      </c>
      <c r="E236" s="30"/>
    </row>
    <row r="237" spans="1:5" x14ac:dyDescent="0.2">
      <c r="A237">
        <v>201912</v>
      </c>
      <c r="B237">
        <f>IF($C$4 = "Severidad", IFERROR( SUMIFS(Aux_Totales!$K:$K, Aux_Totales!$F:$F, $A237, Aux_Totales!$A:$A,#REF!) / SUMIFS(Aux_Totales!$N:$N, Aux_Totales!$F:$F, $A237, Aux_Totales!$A:$A,#REF!), 0), IFERROR(B191 / SUMIFS(Aux_Totales!$K:$K, Aux_Totales!$F:$F, $A237, Aux_Totales!$A:$A,#REF!), 0))</f>
        <v>0</v>
      </c>
      <c r="C237">
        <f>IF($C$4 = "Severidad", IFERROR( SUMIFS(Aux_Totales!$L:$L, Aux_Totales!$F:$F, $A237, Aux_Totales!$A:$A,#REF!) / SUMIFS(Aux_Totales!$N:$N, Aux_Totales!$F:$F, $A237, Aux_Totales!$A:$A,#REF!), 0), IFERROR(C191 / SUMIFS(Aux_Totales!$L:$L, Aux_Totales!$F:$F, $A237, Aux_Totales!$A:$A,#REF!), 0))</f>
        <v>0</v>
      </c>
      <c r="D237" s="20">
        <f>IF( $C$4 = "Severidad", IFERROR(SUMIFS(Aux_Anterior!$S:$S, Aux_Anterior!$F:$F, $A237, Aux_Anterior!$A:$A,#REF!, Aux_Anterior!$AB:$AB, 202404), 0), IFERROR(SUMIFS(Aux_Anterior!$U:$U, Aux_Anterior!$F:$F, $A237, Aux_Anterior!$A:$A,#REF!, Aux_Anterior!$AB:$AB, 202404), 0))</f>
        <v>0</v>
      </c>
      <c r="E237" s="30"/>
    </row>
    <row r="238" spans="1:5" x14ac:dyDescent="0.2">
      <c r="A238">
        <v>202003</v>
      </c>
      <c r="B238">
        <f>IF($C$4 = "Severidad", IFERROR( SUMIFS(Aux_Totales!$K:$K, Aux_Totales!$F:$F, $A238, Aux_Totales!$A:$A,#REF!) / SUMIFS(Aux_Totales!$N:$N, Aux_Totales!$F:$F, $A238, Aux_Totales!$A:$A,#REF!), 0), IFERROR(B192 / SUMIFS(Aux_Totales!$K:$K, Aux_Totales!$F:$F, $A238, Aux_Totales!$A:$A,#REF!), 0))</f>
        <v>0</v>
      </c>
      <c r="C238">
        <f>IF($C$4 = "Severidad", IFERROR( SUMIFS(Aux_Totales!$L:$L, Aux_Totales!$F:$F, $A238, Aux_Totales!$A:$A,#REF!) / SUMIFS(Aux_Totales!$N:$N, Aux_Totales!$F:$F, $A238, Aux_Totales!$A:$A,#REF!), 0), IFERROR(C192 / SUMIFS(Aux_Totales!$L:$L, Aux_Totales!$F:$F, $A238, Aux_Totales!$A:$A,#REF!), 0))</f>
        <v>0</v>
      </c>
      <c r="D238" s="20">
        <f>IF( $C$4 = "Severidad", IFERROR(SUMIFS(Aux_Anterior!$S:$S, Aux_Anterior!$F:$F, $A238, Aux_Anterior!$A:$A,#REF!, Aux_Anterior!$AB:$AB, 202404), 0), IFERROR(SUMIFS(Aux_Anterior!$U:$U, Aux_Anterior!$F:$F, $A238, Aux_Anterior!$A:$A,#REF!, Aux_Anterior!$AB:$AB, 202404), 0))</f>
        <v>0</v>
      </c>
      <c r="E238" s="30"/>
    </row>
    <row r="239" spans="1:5" x14ac:dyDescent="0.2">
      <c r="A239">
        <v>202006</v>
      </c>
      <c r="B239">
        <f>IF($C$4 = "Severidad", IFERROR( SUMIFS(Aux_Totales!$K:$K, Aux_Totales!$F:$F, $A239, Aux_Totales!$A:$A,#REF!) / SUMIFS(Aux_Totales!$N:$N, Aux_Totales!$F:$F, $A239, Aux_Totales!$A:$A,#REF!), 0), IFERROR(B193 / SUMIFS(Aux_Totales!$K:$K, Aux_Totales!$F:$F, $A239, Aux_Totales!$A:$A,#REF!), 0))</f>
        <v>0</v>
      </c>
      <c r="C239">
        <f>IF($C$4 = "Severidad", IFERROR( SUMIFS(Aux_Totales!$L:$L, Aux_Totales!$F:$F, $A239, Aux_Totales!$A:$A,#REF!) / SUMIFS(Aux_Totales!$N:$N, Aux_Totales!$F:$F, $A239, Aux_Totales!$A:$A,#REF!), 0), IFERROR(C193 / SUMIFS(Aux_Totales!$L:$L, Aux_Totales!$F:$F, $A239, Aux_Totales!$A:$A,#REF!), 0))</f>
        <v>0</v>
      </c>
      <c r="D239" s="20">
        <f>IF( $C$4 = "Severidad", IFERROR(SUMIFS(Aux_Anterior!$S:$S, Aux_Anterior!$F:$F, $A239, Aux_Anterior!$A:$A,#REF!, Aux_Anterior!$AB:$AB, 202404), 0), IFERROR(SUMIFS(Aux_Anterior!$U:$U, Aux_Anterior!$F:$F, $A239, Aux_Anterior!$A:$A,#REF!, Aux_Anterior!$AB:$AB, 202404), 0))</f>
        <v>0</v>
      </c>
      <c r="E239" s="30"/>
    </row>
    <row r="240" spans="1:5" x14ac:dyDescent="0.2">
      <c r="A240">
        <v>202009</v>
      </c>
      <c r="B240">
        <f>IF($C$4 = "Severidad", IFERROR( SUMIFS(Aux_Totales!$K:$K, Aux_Totales!$F:$F, $A240, Aux_Totales!$A:$A,#REF!) / SUMIFS(Aux_Totales!$N:$N, Aux_Totales!$F:$F, $A240, Aux_Totales!$A:$A,#REF!), 0), IFERROR(B194 / SUMIFS(Aux_Totales!$K:$K, Aux_Totales!$F:$F, $A240, Aux_Totales!$A:$A,#REF!), 0))</f>
        <v>0</v>
      </c>
      <c r="C240">
        <f>IF($C$4 = "Severidad", IFERROR( SUMIFS(Aux_Totales!$L:$L, Aux_Totales!$F:$F, $A240, Aux_Totales!$A:$A,#REF!) / SUMIFS(Aux_Totales!$N:$N, Aux_Totales!$F:$F, $A240, Aux_Totales!$A:$A,#REF!), 0), IFERROR(C194 / SUMIFS(Aux_Totales!$L:$L, Aux_Totales!$F:$F, $A240, Aux_Totales!$A:$A,#REF!), 0))</f>
        <v>0</v>
      </c>
      <c r="D240" s="20">
        <f>IF( $C$4 = "Severidad", IFERROR(SUMIFS(Aux_Anterior!$S:$S, Aux_Anterior!$F:$F, $A240, Aux_Anterior!$A:$A,#REF!, Aux_Anterior!$AB:$AB, 202404), 0), IFERROR(SUMIFS(Aux_Anterior!$U:$U, Aux_Anterior!$F:$F, $A240, Aux_Anterior!$A:$A,#REF!, Aux_Anterior!$AB:$AB, 202404), 0))</f>
        <v>0</v>
      </c>
      <c r="E240" s="30"/>
    </row>
    <row r="241" spans="1:5" x14ac:dyDescent="0.2">
      <c r="A241">
        <v>202012</v>
      </c>
      <c r="B241">
        <f>IF($C$4 = "Severidad", IFERROR( SUMIFS(Aux_Totales!$K:$K, Aux_Totales!$F:$F, $A241, Aux_Totales!$A:$A,#REF!) / SUMIFS(Aux_Totales!$N:$N, Aux_Totales!$F:$F, $A241, Aux_Totales!$A:$A,#REF!), 0), IFERROR(B195 / SUMIFS(Aux_Totales!$K:$K, Aux_Totales!$F:$F, $A241, Aux_Totales!$A:$A,#REF!), 0))</f>
        <v>0</v>
      </c>
      <c r="C241">
        <f>IF($C$4 = "Severidad", IFERROR( SUMIFS(Aux_Totales!$L:$L, Aux_Totales!$F:$F, $A241, Aux_Totales!$A:$A,#REF!) / SUMIFS(Aux_Totales!$N:$N, Aux_Totales!$F:$F, $A241, Aux_Totales!$A:$A,#REF!), 0), IFERROR(C195 / SUMIFS(Aux_Totales!$L:$L, Aux_Totales!$F:$F, $A241, Aux_Totales!$A:$A,#REF!), 0))</f>
        <v>0</v>
      </c>
      <c r="D241" s="20">
        <f>IF( $C$4 = "Severidad", IFERROR(SUMIFS(Aux_Anterior!$S:$S, Aux_Anterior!$F:$F, $A241, Aux_Anterior!$A:$A,#REF!, Aux_Anterior!$AB:$AB, 202404), 0), IFERROR(SUMIFS(Aux_Anterior!$U:$U, Aux_Anterior!$F:$F, $A241, Aux_Anterior!$A:$A,#REF!, Aux_Anterior!$AB:$AB, 202404), 0))</f>
        <v>0</v>
      </c>
      <c r="E241" s="30"/>
    </row>
    <row r="242" spans="1:5" x14ac:dyDescent="0.2">
      <c r="A242">
        <v>202103</v>
      </c>
      <c r="B242">
        <f>IF($C$4 = "Severidad", IFERROR( SUMIFS(Aux_Totales!$K:$K, Aux_Totales!$F:$F, $A242, Aux_Totales!$A:$A,#REF!) / SUMIFS(Aux_Totales!$N:$N, Aux_Totales!$F:$F, $A242, Aux_Totales!$A:$A,#REF!), 0), IFERROR(B196 / SUMIFS(Aux_Totales!$K:$K, Aux_Totales!$F:$F, $A242, Aux_Totales!$A:$A,#REF!), 0))</f>
        <v>0</v>
      </c>
      <c r="C242">
        <f>IF($C$4 = "Severidad", IFERROR( SUMIFS(Aux_Totales!$L:$L, Aux_Totales!$F:$F, $A242, Aux_Totales!$A:$A,#REF!) / SUMIFS(Aux_Totales!$N:$N, Aux_Totales!$F:$F, $A242, Aux_Totales!$A:$A,#REF!), 0), IFERROR(C196 / SUMIFS(Aux_Totales!$L:$L, Aux_Totales!$F:$F, $A242, Aux_Totales!$A:$A,#REF!), 0))</f>
        <v>0</v>
      </c>
      <c r="D242" s="20">
        <f>IF( $C$4 = "Severidad", IFERROR(SUMIFS(Aux_Anterior!$S:$S, Aux_Anterior!$F:$F, $A242, Aux_Anterior!$A:$A,#REF!, Aux_Anterior!$AB:$AB, 202404), 0), IFERROR(SUMIFS(Aux_Anterior!$U:$U, Aux_Anterior!$F:$F, $A242, Aux_Anterior!$A:$A,#REF!, Aux_Anterior!$AB:$AB, 202404), 0))</f>
        <v>0</v>
      </c>
      <c r="E242" s="30"/>
    </row>
    <row r="243" spans="1:5" x14ac:dyDescent="0.2">
      <c r="A243">
        <v>202106</v>
      </c>
      <c r="B243">
        <f>IF($C$4 = "Severidad", IFERROR( SUMIFS(Aux_Totales!$K:$K, Aux_Totales!$F:$F, $A243, Aux_Totales!$A:$A,#REF!) / SUMIFS(Aux_Totales!$N:$N, Aux_Totales!$F:$F, $A243, Aux_Totales!$A:$A,#REF!), 0), IFERROR(B197 / SUMIFS(Aux_Totales!$K:$K, Aux_Totales!$F:$F, $A243, Aux_Totales!$A:$A,#REF!), 0))</f>
        <v>0</v>
      </c>
      <c r="C243">
        <f>IF($C$4 = "Severidad", IFERROR( SUMIFS(Aux_Totales!$L:$L, Aux_Totales!$F:$F, $A243, Aux_Totales!$A:$A,#REF!) / SUMIFS(Aux_Totales!$N:$N, Aux_Totales!$F:$F, $A243, Aux_Totales!$A:$A,#REF!), 0), IFERROR(C197 / SUMIFS(Aux_Totales!$L:$L, Aux_Totales!$F:$F, $A243, Aux_Totales!$A:$A,#REF!), 0))</f>
        <v>0</v>
      </c>
      <c r="D243" s="20">
        <f>IF( $C$4 = "Severidad", IFERROR(SUMIFS(Aux_Anterior!$S:$S, Aux_Anterior!$F:$F, $A243, Aux_Anterior!$A:$A,#REF!, Aux_Anterior!$AB:$AB, 202404), 0), IFERROR(SUMIFS(Aux_Anterior!$U:$U, Aux_Anterior!$F:$F, $A243, Aux_Anterior!$A:$A,#REF!, Aux_Anterior!$AB:$AB, 202404), 0))</f>
        <v>0</v>
      </c>
      <c r="E243" s="30"/>
    </row>
    <row r="244" spans="1:5" x14ac:dyDescent="0.2">
      <c r="A244">
        <v>202109</v>
      </c>
      <c r="B244">
        <f>IF($C$4 = "Severidad", IFERROR( SUMIFS(Aux_Totales!$K:$K, Aux_Totales!$F:$F, $A244, Aux_Totales!$A:$A,#REF!) / SUMIFS(Aux_Totales!$N:$N, Aux_Totales!$F:$F, $A244, Aux_Totales!$A:$A,#REF!), 0), IFERROR(B198 / SUMIFS(Aux_Totales!$K:$K, Aux_Totales!$F:$F, $A244, Aux_Totales!$A:$A,#REF!), 0))</f>
        <v>0</v>
      </c>
      <c r="C244">
        <f>IF($C$4 = "Severidad", IFERROR( SUMIFS(Aux_Totales!$L:$L, Aux_Totales!$F:$F, $A244, Aux_Totales!$A:$A,#REF!) / SUMIFS(Aux_Totales!$N:$N, Aux_Totales!$F:$F, $A244, Aux_Totales!$A:$A,#REF!), 0), IFERROR(C198 / SUMIFS(Aux_Totales!$L:$L, Aux_Totales!$F:$F, $A244, Aux_Totales!$A:$A,#REF!), 0))</f>
        <v>0</v>
      </c>
      <c r="D244" s="20">
        <f>IF( $C$4 = "Severidad", IFERROR(SUMIFS(Aux_Anterior!$S:$S, Aux_Anterior!$F:$F, $A244, Aux_Anterior!$A:$A,#REF!, Aux_Anterior!$AB:$AB, 202404), 0), IFERROR(SUMIFS(Aux_Anterior!$U:$U, Aux_Anterior!$F:$F, $A244, Aux_Anterior!$A:$A,#REF!, Aux_Anterior!$AB:$AB, 202404), 0))</f>
        <v>0</v>
      </c>
      <c r="E244" s="30"/>
    </row>
    <row r="245" spans="1:5" x14ac:dyDescent="0.2">
      <c r="A245">
        <v>202112</v>
      </c>
      <c r="B245">
        <f>IF($C$4 = "Severidad", IFERROR( SUMIFS(Aux_Totales!$K:$K, Aux_Totales!$F:$F, $A245, Aux_Totales!$A:$A,#REF!) / SUMIFS(Aux_Totales!$N:$N, Aux_Totales!$F:$F, $A245, Aux_Totales!$A:$A,#REF!), 0), IFERROR(B199 / SUMIFS(Aux_Totales!$K:$K, Aux_Totales!$F:$F, $A245, Aux_Totales!$A:$A,#REF!), 0))</f>
        <v>0</v>
      </c>
      <c r="C245">
        <f>IF($C$4 = "Severidad", IFERROR( SUMIFS(Aux_Totales!$L:$L, Aux_Totales!$F:$F, $A245, Aux_Totales!$A:$A,#REF!) / SUMIFS(Aux_Totales!$N:$N, Aux_Totales!$F:$F, $A245, Aux_Totales!$A:$A,#REF!), 0), IFERROR(C199 / SUMIFS(Aux_Totales!$L:$L, Aux_Totales!$F:$F, $A245, Aux_Totales!$A:$A,#REF!), 0))</f>
        <v>0</v>
      </c>
      <c r="D245" s="20">
        <f>IF( $C$4 = "Severidad", IFERROR(SUMIFS(Aux_Anterior!$S:$S, Aux_Anterior!$F:$F, $A245, Aux_Anterior!$A:$A,#REF!, Aux_Anterior!$AB:$AB, 202404), 0), IFERROR(SUMIFS(Aux_Anterior!$U:$U, Aux_Anterior!$F:$F, $A245, Aux_Anterior!$A:$A,#REF!, Aux_Anterior!$AB:$AB, 202404), 0))</f>
        <v>0</v>
      </c>
      <c r="E245" s="30"/>
    </row>
    <row r="246" spans="1:5" x14ac:dyDescent="0.2">
      <c r="A246">
        <v>202203</v>
      </c>
      <c r="B246">
        <f>IF($C$4 = "Severidad", IFERROR( SUMIFS(Aux_Totales!$K:$K, Aux_Totales!$F:$F, $A246, Aux_Totales!$A:$A,#REF!) / SUMIFS(Aux_Totales!$N:$N, Aux_Totales!$F:$F, $A246, Aux_Totales!$A:$A,#REF!), 0), IFERROR(B200 / SUMIFS(Aux_Totales!$K:$K, Aux_Totales!$F:$F, $A246, Aux_Totales!$A:$A,#REF!), 0))</f>
        <v>0</v>
      </c>
      <c r="C246">
        <f>IF($C$4 = "Severidad", IFERROR( SUMIFS(Aux_Totales!$L:$L, Aux_Totales!$F:$F, $A246, Aux_Totales!$A:$A,#REF!) / SUMIFS(Aux_Totales!$N:$N, Aux_Totales!$F:$F, $A246, Aux_Totales!$A:$A,#REF!), 0), IFERROR(C200 / SUMIFS(Aux_Totales!$L:$L, Aux_Totales!$F:$F, $A246, Aux_Totales!$A:$A,#REF!), 0))</f>
        <v>0</v>
      </c>
      <c r="D246" s="20">
        <f>IF( $C$4 = "Severidad", IFERROR(SUMIFS(Aux_Anterior!$S:$S, Aux_Anterior!$F:$F, $A246, Aux_Anterior!$A:$A,#REF!, Aux_Anterior!$AB:$AB, 202404), 0), IFERROR(SUMIFS(Aux_Anterior!$U:$U, Aux_Anterior!$F:$F, $A246, Aux_Anterior!$A:$A,#REF!, Aux_Anterior!$AB:$AB, 202404), 0))</f>
        <v>0</v>
      </c>
      <c r="E246" s="30"/>
    </row>
    <row r="247" spans="1:5" x14ac:dyDescent="0.2">
      <c r="A247">
        <v>202206</v>
      </c>
      <c r="B247">
        <f>IF($C$4 = "Severidad", IFERROR( SUMIFS(Aux_Totales!$K:$K, Aux_Totales!$F:$F, $A247, Aux_Totales!$A:$A,#REF!) / SUMIFS(Aux_Totales!$N:$N, Aux_Totales!$F:$F, $A247, Aux_Totales!$A:$A,#REF!), 0), IFERROR(B201 / SUMIFS(Aux_Totales!$K:$K, Aux_Totales!$F:$F, $A247, Aux_Totales!$A:$A,#REF!), 0))</f>
        <v>0</v>
      </c>
      <c r="C247">
        <f>IF($C$4 = "Severidad", IFERROR( SUMIFS(Aux_Totales!$L:$L, Aux_Totales!$F:$F, $A247, Aux_Totales!$A:$A,#REF!) / SUMIFS(Aux_Totales!$N:$N, Aux_Totales!$F:$F, $A247, Aux_Totales!$A:$A,#REF!), 0), IFERROR(C201 / SUMIFS(Aux_Totales!$L:$L, Aux_Totales!$F:$F, $A247, Aux_Totales!$A:$A,#REF!), 0))</f>
        <v>0</v>
      </c>
      <c r="D247" s="20">
        <f>IF( $C$4 = "Severidad", IFERROR(SUMIFS(Aux_Anterior!$S:$S, Aux_Anterior!$F:$F, $A247, Aux_Anterior!$A:$A,#REF!, Aux_Anterior!$AB:$AB, 202404), 0), IFERROR(SUMIFS(Aux_Anterior!$U:$U, Aux_Anterior!$F:$F, $A247, Aux_Anterior!$A:$A,#REF!, Aux_Anterior!$AB:$AB, 202404), 0))</f>
        <v>0</v>
      </c>
      <c r="E247" s="30"/>
    </row>
    <row r="248" spans="1:5" x14ac:dyDescent="0.2">
      <c r="A248">
        <v>202209</v>
      </c>
      <c r="B248">
        <f>IF($C$4 = "Severidad", IFERROR( SUMIFS(Aux_Totales!$K:$K, Aux_Totales!$F:$F, $A248, Aux_Totales!$A:$A,#REF!) / SUMIFS(Aux_Totales!$N:$N, Aux_Totales!$F:$F, $A248, Aux_Totales!$A:$A,#REF!), 0), IFERROR(B202 / SUMIFS(Aux_Totales!$K:$K, Aux_Totales!$F:$F, $A248, Aux_Totales!$A:$A,#REF!), 0))</f>
        <v>0</v>
      </c>
      <c r="C248">
        <f>IF($C$4 = "Severidad", IFERROR( SUMIFS(Aux_Totales!$L:$L, Aux_Totales!$F:$F, $A248, Aux_Totales!$A:$A,#REF!) / SUMIFS(Aux_Totales!$N:$N, Aux_Totales!$F:$F, $A248, Aux_Totales!$A:$A,#REF!), 0), IFERROR(C202 / SUMIFS(Aux_Totales!$L:$L, Aux_Totales!$F:$F, $A248, Aux_Totales!$A:$A,#REF!), 0))</f>
        <v>0</v>
      </c>
      <c r="D248" s="20">
        <f>IF( $C$4 = "Severidad", IFERROR(SUMIFS(Aux_Anterior!$S:$S, Aux_Anterior!$F:$F, $A248, Aux_Anterior!$A:$A,#REF!, Aux_Anterior!$AB:$AB, 202404), 0), IFERROR(SUMIFS(Aux_Anterior!$U:$U, Aux_Anterior!$F:$F, $A248, Aux_Anterior!$A:$A,#REF!, Aux_Anterior!$AB:$AB, 202404), 0))</f>
        <v>0</v>
      </c>
      <c r="E248" s="30"/>
    </row>
    <row r="249" spans="1:5" x14ac:dyDescent="0.2">
      <c r="A249">
        <v>202212</v>
      </c>
      <c r="B249">
        <f>IF($C$4 = "Severidad", IFERROR( SUMIFS(Aux_Totales!$K:$K, Aux_Totales!$F:$F, $A249, Aux_Totales!$A:$A,#REF!) / SUMIFS(Aux_Totales!$N:$N, Aux_Totales!$F:$F, $A249, Aux_Totales!$A:$A,#REF!), 0), IFERROR(B203 / SUMIFS(Aux_Totales!$K:$K, Aux_Totales!$F:$F, $A249, Aux_Totales!$A:$A,#REF!), 0))</f>
        <v>0</v>
      </c>
      <c r="C249">
        <f>IF($C$4 = "Severidad", IFERROR( SUMIFS(Aux_Totales!$L:$L, Aux_Totales!$F:$F, $A249, Aux_Totales!$A:$A,#REF!) / SUMIFS(Aux_Totales!$N:$N, Aux_Totales!$F:$F, $A249, Aux_Totales!$A:$A,#REF!), 0), IFERROR(C203 / SUMIFS(Aux_Totales!$L:$L, Aux_Totales!$F:$F, $A249, Aux_Totales!$A:$A,#REF!), 0))</f>
        <v>0</v>
      </c>
      <c r="D249" s="20">
        <f>IF( $C$4 = "Severidad", IFERROR(SUMIFS(Aux_Anterior!$S:$S, Aux_Anterior!$F:$F, $A249, Aux_Anterior!$A:$A,#REF!, Aux_Anterior!$AB:$AB, 202404), 0), IFERROR(SUMIFS(Aux_Anterior!$U:$U, Aux_Anterior!$F:$F, $A249, Aux_Anterior!$A:$A,#REF!, Aux_Anterior!$AB:$AB, 202404), 0))</f>
        <v>0</v>
      </c>
      <c r="E249" s="30"/>
    </row>
    <row r="250" spans="1:5" x14ac:dyDescent="0.2">
      <c r="A250">
        <v>202303</v>
      </c>
      <c r="B250">
        <f>IF($C$4 = "Severidad", IFERROR( SUMIFS(Aux_Totales!$K:$K, Aux_Totales!$F:$F, $A250, Aux_Totales!$A:$A,#REF!) / SUMIFS(Aux_Totales!$N:$N, Aux_Totales!$F:$F, $A250, Aux_Totales!$A:$A,#REF!), 0), IFERROR(B204 / SUMIFS(Aux_Totales!$K:$K, Aux_Totales!$F:$F, $A250, Aux_Totales!$A:$A,#REF!), 0))</f>
        <v>0</v>
      </c>
      <c r="C250">
        <f>IF($C$4 = "Severidad", IFERROR( SUMIFS(Aux_Totales!$L:$L, Aux_Totales!$F:$F, $A250, Aux_Totales!$A:$A,#REF!) / SUMIFS(Aux_Totales!$N:$N, Aux_Totales!$F:$F, $A250, Aux_Totales!$A:$A,#REF!), 0), IFERROR(C204 / SUMIFS(Aux_Totales!$L:$L, Aux_Totales!$F:$F, $A250, Aux_Totales!$A:$A,#REF!), 0))</f>
        <v>0</v>
      </c>
      <c r="D250" s="20">
        <f>IF( $C$4 = "Severidad", IFERROR(SUMIFS(Aux_Anterior!$S:$S, Aux_Anterior!$F:$F, $A250, Aux_Anterior!$A:$A,#REF!, Aux_Anterior!$AB:$AB, 202404), 0), IFERROR(SUMIFS(Aux_Anterior!$U:$U, Aux_Anterior!$F:$F, $A250, Aux_Anterior!$A:$A,#REF!, Aux_Anterior!$AB:$AB, 202404), 0))</f>
        <v>0</v>
      </c>
      <c r="E250" s="30"/>
    </row>
    <row r="251" spans="1:5" x14ac:dyDescent="0.2">
      <c r="A251">
        <v>202306</v>
      </c>
      <c r="B251">
        <f>IF($C$4 = "Severidad", IFERROR( SUMIFS(Aux_Totales!$K:$K, Aux_Totales!$F:$F, $A251, Aux_Totales!$A:$A,#REF!) / SUMIFS(Aux_Totales!$N:$N, Aux_Totales!$F:$F, $A251, Aux_Totales!$A:$A,#REF!), 0), IFERROR(B205 / SUMIFS(Aux_Totales!$K:$K, Aux_Totales!$F:$F, $A251, Aux_Totales!$A:$A,#REF!), 0))</f>
        <v>0</v>
      </c>
      <c r="C251">
        <f>IF($C$4 = "Severidad", IFERROR( SUMIFS(Aux_Totales!$L:$L, Aux_Totales!$F:$F, $A251, Aux_Totales!$A:$A,#REF!) / SUMIFS(Aux_Totales!$N:$N, Aux_Totales!$F:$F, $A251, Aux_Totales!$A:$A,#REF!), 0), IFERROR(C205 / SUMIFS(Aux_Totales!$L:$L, Aux_Totales!$F:$F, $A251, Aux_Totales!$A:$A,#REF!), 0))</f>
        <v>0</v>
      </c>
      <c r="D251" s="20">
        <f>IF( $C$4 = "Severidad", IFERROR(SUMIFS(Aux_Anterior!$S:$S, Aux_Anterior!$F:$F, $A251, Aux_Anterior!$A:$A,#REF!, Aux_Anterior!$AB:$AB, 202404), 0), IFERROR(SUMIFS(Aux_Anterior!$U:$U, Aux_Anterior!$F:$F, $A251, Aux_Anterior!$A:$A,#REF!, Aux_Anterior!$AB:$AB, 202404), 0))</f>
        <v>0</v>
      </c>
      <c r="E251" s="30"/>
    </row>
    <row r="252" spans="1:5" x14ac:dyDescent="0.2">
      <c r="A252">
        <v>202309</v>
      </c>
      <c r="B252">
        <f>IF($C$4 = "Severidad", IFERROR( SUMIFS(Aux_Totales!$K:$K, Aux_Totales!$F:$F, $A252, Aux_Totales!$A:$A,#REF!) / SUMIFS(Aux_Totales!$N:$N, Aux_Totales!$F:$F, $A252, Aux_Totales!$A:$A,#REF!), 0), IFERROR(B206 / SUMIFS(Aux_Totales!$K:$K, Aux_Totales!$F:$F, $A252, Aux_Totales!$A:$A,#REF!), 0))</f>
        <v>0</v>
      </c>
      <c r="C252">
        <f>IF($C$4 = "Severidad", IFERROR( SUMIFS(Aux_Totales!$L:$L, Aux_Totales!$F:$F, $A252, Aux_Totales!$A:$A,#REF!) / SUMIFS(Aux_Totales!$N:$N, Aux_Totales!$F:$F, $A252, Aux_Totales!$A:$A,#REF!), 0), IFERROR(C206 / SUMIFS(Aux_Totales!$L:$L, Aux_Totales!$F:$F, $A252, Aux_Totales!$A:$A,#REF!), 0))</f>
        <v>0</v>
      </c>
      <c r="D252" s="20">
        <f>IF( $C$4 = "Severidad", IFERROR(SUMIFS(Aux_Anterior!$S:$S, Aux_Anterior!$F:$F, $A252, Aux_Anterior!$A:$A,#REF!, Aux_Anterior!$AB:$AB, 202404), 0), IFERROR(SUMIFS(Aux_Anterior!$U:$U, Aux_Anterior!$F:$F, $A252, Aux_Anterior!$A:$A,#REF!, Aux_Anterior!$AB:$AB, 202404), 0))</f>
        <v>0</v>
      </c>
      <c r="E252" s="30"/>
    </row>
    <row r="253" spans="1:5" x14ac:dyDescent="0.2">
      <c r="A253">
        <v>202312</v>
      </c>
      <c r="B253">
        <f>IF($C$4 = "Severidad", IFERROR( SUMIFS(Aux_Totales!$K:$K, Aux_Totales!$F:$F, $A253, Aux_Totales!$A:$A,#REF!) / SUMIFS(Aux_Totales!$N:$N, Aux_Totales!$F:$F, $A253, Aux_Totales!$A:$A,#REF!), 0), IFERROR(B207 / SUMIFS(Aux_Totales!$K:$K, Aux_Totales!$F:$F, $A253, Aux_Totales!$A:$A,#REF!), 0))</f>
        <v>0</v>
      </c>
      <c r="C253">
        <f>IF($C$4 = "Severidad", IFERROR( SUMIFS(Aux_Totales!$L:$L, Aux_Totales!$F:$F, $A253, Aux_Totales!$A:$A,#REF!) / SUMIFS(Aux_Totales!$N:$N, Aux_Totales!$F:$F, $A253, Aux_Totales!$A:$A,#REF!), 0), IFERROR(C207 / SUMIFS(Aux_Totales!$L:$L, Aux_Totales!$F:$F, $A253, Aux_Totales!$A:$A,#REF!), 0))</f>
        <v>0</v>
      </c>
      <c r="D253" s="20">
        <f>IF( $C$4 = "Severidad", IFERROR(SUMIFS(Aux_Anterior!$S:$S, Aux_Anterior!$F:$F, $A253, Aux_Anterior!$A:$A,#REF!, Aux_Anterior!$AB:$AB, 202404), 0), IFERROR(SUMIFS(Aux_Anterior!$U:$U, Aux_Anterior!$F:$F, $A253, Aux_Anterior!$A:$A,#REF!, Aux_Anterior!$AB:$AB, 202404), 0))</f>
        <v>0</v>
      </c>
      <c r="E253" s="30"/>
    </row>
    <row r="254" spans="1:5" x14ac:dyDescent="0.2">
      <c r="A254">
        <v>202403</v>
      </c>
      <c r="B254">
        <f>IF($C$4 = "Severidad", IFERROR( SUMIFS(Aux_Totales!$K:$K, Aux_Totales!$F:$F, $A254, Aux_Totales!$A:$A,#REF!) / SUMIFS(Aux_Totales!$N:$N, Aux_Totales!$F:$F, $A254, Aux_Totales!$A:$A,#REF!), 0), IFERROR(B208 / SUMIFS(Aux_Totales!$K:$K, Aux_Totales!$F:$F, $A254, Aux_Totales!$A:$A,#REF!), 0))</f>
        <v>0</v>
      </c>
      <c r="C254">
        <f>IF($C$4 = "Severidad", IFERROR( SUMIFS(Aux_Totales!$L:$L, Aux_Totales!$F:$F, $A254, Aux_Totales!$A:$A,#REF!) / SUMIFS(Aux_Totales!$N:$N, Aux_Totales!$F:$F, $A254, Aux_Totales!$A:$A,#REF!), 0), IFERROR(C208 / SUMIFS(Aux_Totales!$L:$L, Aux_Totales!$F:$F, $A254, Aux_Totales!$A:$A,#REF!), 0))</f>
        <v>0</v>
      </c>
      <c r="D254" s="20">
        <f>IF( $C$4 = "Severidad", IFERROR(SUMIFS(Aux_Anterior!$S:$S, Aux_Anterior!$F:$F, $A254, Aux_Anterior!$A:$A,#REF!, Aux_Anterior!$AB:$AB, 202404), 0), IFERROR(SUMIFS(Aux_Anterior!$U:$U, Aux_Anterior!$F:$F, $A254, Aux_Anterior!$A:$A,#REF!, Aux_Anterior!$AB:$AB, 202404), 0))</f>
        <v>0</v>
      </c>
      <c r="E254" s="30"/>
    </row>
    <row r="255" spans="1:5" x14ac:dyDescent="0.2">
      <c r="A255">
        <v>202404</v>
      </c>
      <c r="B255">
        <f>IF($C$4 = "Severidad", IFERROR( SUMIFS(Aux_Totales!$K:$K, Aux_Totales!$F:$F, $A255, Aux_Totales!$A:$A,#REF!) / SUMIFS(Aux_Totales!$N:$N, Aux_Totales!$F:$F, $A255, Aux_Totales!$A:$A,#REF!), 0), IFERROR(B209 / SUMIFS(Aux_Totales!$K:$K, Aux_Totales!$F:$F, $A255, Aux_Totales!$A:$A,#REF!), 0))</f>
        <v>0</v>
      </c>
      <c r="C255">
        <f>IF($C$4 = "Severidad", IFERROR( SUMIFS(Aux_Totales!$L:$L, Aux_Totales!$F:$F, $A255, Aux_Totales!$A:$A,#REF!) / SUMIFS(Aux_Totales!$N:$N, Aux_Totales!$F:$F, $A255, Aux_Totales!$A:$A,#REF!), 0), IFERROR(C209 / SUMIFS(Aux_Totales!$L:$L, Aux_Totales!$F:$F, $A255, Aux_Totales!$A:$A,#REF!), 0))</f>
        <v>0</v>
      </c>
      <c r="D255" s="31">
        <f t="shared" ref="D255:D256" si="392">D$254 * IF($C$4 = "Severidad", 1 / 3, 1)</f>
        <v>0</v>
      </c>
      <c r="E255" s="30"/>
    </row>
    <row r="256" spans="1:5" x14ac:dyDescent="0.2">
      <c r="A256">
        <v>202405</v>
      </c>
      <c r="B256">
        <f>IF($C$4 = "Severidad", IFERROR( SUMIFS(Aux_Totales!$K:$K, Aux_Totales!$F:$F, $A256, Aux_Totales!$A:$A,#REF!) / SUMIFS(Aux_Totales!$N:$N, Aux_Totales!$F:$F, $A256, Aux_Totales!$A:$A,#REF!), 0), IFERROR(B210 / SUMIFS(Aux_Totales!$K:$K, Aux_Totales!$F:$F, $A256, Aux_Totales!$A:$A,#REF!), 0))</f>
        <v>0</v>
      </c>
      <c r="C256">
        <f>IF($C$4 = "Severidad", IFERROR( SUMIFS(Aux_Totales!$L:$L, Aux_Totales!$F:$F, $A256, Aux_Totales!$A:$A,#REF!) / SUMIFS(Aux_Totales!$N:$N, Aux_Totales!$F:$F, $A256, Aux_Totales!$A:$A,#REF!), 0), IFERROR(C210 / SUMIFS(Aux_Totales!$L:$L, Aux_Totales!$F:$F, $A256, Aux_Totales!$A:$A,#REF!), 0))</f>
        <v>0</v>
      </c>
      <c r="D256" s="31">
        <f t="shared" si="392"/>
        <v>0</v>
      </c>
      <c r="E256" s="30"/>
    </row>
  </sheetData>
  <conditionalFormatting sqref="G101:IV142">
    <cfRule type="cellIs" dxfId="0" priority="1" operator="equal">
      <formula>0</formula>
    </cfRule>
  </conditionalFormatting>
  <dataValidations disablePrompts="1" count="5">
    <dataValidation type="list" allowBlank="1" showInputMessage="1" showErrorMessage="1" sqref="C2" xr:uid="{105A0E05-76E5-5C4D-97CF-CE1F52306E93}">
      <formula1>"Pago,Incurrido"</formula1>
    </dataValidation>
    <dataValidation type="list" allowBlank="1" showInputMessage="1" showErrorMessage="1" sqref="C3" xr:uid="{D372A239-63DC-8B46-ADB4-80E92FB60D87}">
      <formula1>"% Siniestralidad,Frecuencia y Severidad"</formula1>
    </dataValidation>
    <dataValidation type="list" allowBlank="1" showInputMessage="1" showErrorMessage="1" sqref="C4" xr:uid="{3848E451-0DAE-7542-8673-B6061D4FF387}">
      <formula1>"Frecuencia,Severidad"</formula1>
    </dataValidation>
    <dataValidation type="list" allowBlank="1" showInputMessage="1" showErrorMessage="1" sqref="E168:E208" xr:uid="{65972494-B7AA-2D42-B357-762AD54E9075}">
      <formula1>"Completar diagonal,Bornhuetter-Ferguson,Mantener,%SUE,Sin IBNR"</formula1>
    </dataValidation>
    <dataValidation type="list" allowBlank="1" showInputMessage="1" showErrorMessage="1" sqref="E209:E210" xr:uid="{7A7D12BD-8133-E449-858F-6416FD47CDF2}">
      <formula1>"Mantener,Estimar"</formula1>
    </dataValidation>
  </dataValidation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0AE0A-FB2D-C742-BF4E-40F92776AC9F}">
  <sheetPr codeName="Hoja4">
    <tabColor theme="9" tint="0.79998168889431442"/>
  </sheetPr>
  <dimension ref="A1:AF1"/>
  <sheetViews>
    <sheetView workbookViewId="0">
      <pane xSplit="1" ySplit="1" topLeftCell="X2" activePane="bottomRight" state="frozen"/>
      <selection pane="topRight" activeCell="B1" sqref="B1"/>
      <selection pane="bottomLeft" activeCell="A2" sqref="A2"/>
      <selection pane="bottomRight" activeCell="Y14" sqref="Y14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5" bestFit="1" customWidth="1"/>
    <col min="7" max="9" width="15.42578125" style="1" bestFit="1" customWidth="1"/>
    <col min="10" max="10" width="17.28515625" style="1" bestFit="1" customWidth="1"/>
    <col min="11" max="11" width="12.7109375" style="6" bestFit="1" customWidth="1"/>
    <col min="12" max="12" width="16.140625" style="6" bestFit="1" customWidth="1"/>
    <col min="13" max="13" width="16.28515625" style="6" bestFit="1" customWidth="1"/>
    <col min="14" max="14" width="10.7109375" style="6"/>
    <col min="15" max="15" width="16.5703125" style="1" bestFit="1" customWidth="1"/>
    <col min="16" max="16" width="22.42578125" style="1" bestFit="1" customWidth="1"/>
    <col min="17" max="17" width="16.5703125" style="1" bestFit="1" customWidth="1"/>
    <col min="18" max="18" width="24.85546875" style="1" bestFit="1" customWidth="1"/>
    <col min="19" max="19" width="13" style="26" bestFit="1" customWidth="1"/>
    <col min="20" max="20" width="13" style="6" customWidth="1"/>
    <col min="21" max="21" width="19.140625" style="1" bestFit="1" customWidth="1"/>
    <col min="22" max="22" width="21.7109375" style="1" bestFit="1" customWidth="1"/>
    <col min="23" max="23" width="19.140625" style="1" bestFit="1" customWidth="1"/>
    <col min="24" max="24" width="27.42578125" style="1" bestFit="1" customWidth="1"/>
    <col min="25" max="25" width="21.7109375" style="1" bestFit="1" customWidth="1"/>
    <col min="26" max="26" width="29.85546875" style="1" bestFit="1" customWidth="1"/>
    <col min="27" max="29" width="16.140625" style="1" bestFit="1" customWidth="1"/>
    <col min="30" max="30" width="16.85546875" style="1" bestFit="1" customWidth="1"/>
    <col min="31" max="31" width="16.140625" style="1" bestFit="1" customWidth="1"/>
    <col min="32" max="32" width="19.28515625" style="1" bestFit="1" customWidth="1"/>
  </cols>
  <sheetData>
    <row r="1" spans="1:32" x14ac:dyDescent="0.2">
      <c r="A1" s="2"/>
      <c r="B1" s="2"/>
      <c r="C1" s="2"/>
      <c r="D1" s="2"/>
      <c r="E1" s="2"/>
      <c r="F1" s="2"/>
      <c r="G1" s="22"/>
      <c r="H1" s="22"/>
      <c r="I1" s="21"/>
      <c r="J1" s="21"/>
      <c r="K1" s="7"/>
      <c r="L1" s="7"/>
      <c r="M1" s="7"/>
      <c r="N1" s="7"/>
      <c r="O1" s="22"/>
      <c r="P1" s="22"/>
      <c r="Q1" s="21"/>
      <c r="R1" s="21"/>
      <c r="S1" s="25"/>
      <c r="T1" s="7"/>
      <c r="U1" s="24"/>
      <c r="V1" s="23"/>
      <c r="W1" s="22"/>
      <c r="X1" s="22"/>
      <c r="Y1" s="21"/>
      <c r="Z1" s="21"/>
      <c r="AA1" s="22"/>
      <c r="AB1" s="21"/>
      <c r="AC1" s="22"/>
      <c r="AD1" s="22"/>
      <c r="AE1" s="21"/>
      <c r="AF1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AC0B-B025-9740-BEEC-D11B2E073F90}">
  <sheetPr codeName="Hoja5">
    <tabColor theme="9" tint="0.79998168889431442"/>
  </sheetPr>
  <dimension ref="A1:G1"/>
  <sheetViews>
    <sheetView workbookViewId="0">
      <selection activeCell="B1" sqref="B1"/>
    </sheetView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7" width="12" style="6" bestFit="1" customWidth="1"/>
  </cols>
  <sheetData>
    <row r="1" spans="1:7" x14ac:dyDescent="0.2">
      <c r="A1" s="2"/>
      <c r="B1" s="2"/>
      <c r="C1" s="2"/>
      <c r="D1" s="2"/>
      <c r="E1" s="2"/>
      <c r="F1" s="7"/>
      <c r="G1" s="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09E45-74C2-E647-AED9-F463815C7999}">
  <sheetPr codeName="Hoja6">
    <tabColor theme="9" tint="0.79998168889431442"/>
  </sheetPr>
  <dimension ref="A1:I1"/>
  <sheetViews>
    <sheetView workbookViewId="0">
      <selection activeCell="A2" sqref="A2:XFD7108"/>
    </sheetView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6" width="16.5703125" style="1" bestFit="1" customWidth="1"/>
    <col min="7" max="7" width="21.42578125" style="1" bestFit="1" customWidth="1"/>
    <col min="8" max="8" width="16.5703125" style="1" bestFit="1" customWidth="1"/>
    <col min="9" max="9" width="23.85546875" style="1" bestFit="1" customWidth="1"/>
  </cols>
  <sheetData>
    <row r="1" spans="1:9" x14ac:dyDescent="0.2">
      <c r="A1" s="2"/>
      <c r="B1" s="2"/>
      <c r="C1" s="2"/>
      <c r="D1" s="2"/>
      <c r="E1" s="2"/>
      <c r="F1" s="22"/>
      <c r="G1" s="22"/>
      <c r="H1" s="21"/>
      <c r="I1" s="2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BC0AB-F48E-F84B-B5E5-D30BA57DFA6B}">
  <sheetPr codeName="Hoja12">
    <tabColor theme="9" tint="0.79998168889431442"/>
  </sheetPr>
  <dimension ref="A1:AF1"/>
  <sheetViews>
    <sheetView workbookViewId="0"/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5" bestFit="1" customWidth="1"/>
    <col min="7" max="9" width="15.42578125" style="1" bestFit="1" customWidth="1"/>
    <col min="10" max="10" width="17.28515625" style="1" bestFit="1" customWidth="1"/>
    <col min="11" max="11" width="12.7109375" style="6" bestFit="1" customWidth="1"/>
    <col min="12" max="12" width="16.140625" style="6" bestFit="1" customWidth="1"/>
    <col min="13" max="13" width="16.28515625" style="6" bestFit="1" customWidth="1"/>
    <col min="14" max="14" width="10.7109375" style="6"/>
    <col min="15" max="15" width="16.5703125" style="1" bestFit="1" customWidth="1"/>
    <col min="16" max="16" width="22.42578125" style="1" bestFit="1" customWidth="1"/>
    <col min="17" max="17" width="16.5703125" style="1" bestFit="1" customWidth="1"/>
    <col min="18" max="18" width="24.85546875" style="1" bestFit="1" customWidth="1"/>
    <col min="19" max="19" width="13" style="26" bestFit="1" customWidth="1"/>
    <col min="20" max="20" width="13" style="6" customWidth="1"/>
    <col min="21" max="21" width="19.140625" style="1" bestFit="1" customWidth="1"/>
    <col min="22" max="22" width="21.7109375" style="1" bestFit="1" customWidth="1"/>
    <col min="23" max="23" width="19.140625" style="1" bestFit="1" customWidth="1"/>
    <col min="24" max="24" width="27.42578125" style="1" bestFit="1" customWidth="1"/>
    <col min="25" max="25" width="21.7109375" style="1" bestFit="1" customWidth="1"/>
    <col min="26" max="26" width="29.85546875" style="1" bestFit="1" customWidth="1"/>
    <col min="27" max="29" width="16.140625" bestFit="1" customWidth="1"/>
    <col min="30" max="30" width="16.85546875" bestFit="1" customWidth="1"/>
    <col min="31" max="31" width="16.140625" bestFit="1" customWidth="1"/>
    <col min="32" max="32" width="19.28515625" bestFit="1" customWidth="1"/>
  </cols>
  <sheetData>
    <row r="1" spans="1:32" x14ac:dyDescent="0.2">
      <c r="A1" s="2"/>
      <c r="B1" s="2"/>
      <c r="C1" s="2"/>
      <c r="D1" s="2"/>
      <c r="E1" s="2"/>
      <c r="F1" s="2"/>
      <c r="G1" s="22"/>
      <c r="H1" s="22"/>
      <c r="I1" s="21"/>
      <c r="J1" s="21"/>
      <c r="K1" s="7"/>
      <c r="L1" s="7"/>
      <c r="M1" s="7"/>
      <c r="N1" s="7"/>
      <c r="O1" s="22"/>
      <c r="P1" s="22"/>
      <c r="Q1" s="21"/>
      <c r="R1" s="21"/>
      <c r="S1" s="25"/>
      <c r="T1" s="7"/>
      <c r="U1" s="24"/>
      <c r="V1" s="23"/>
      <c r="W1" s="22"/>
      <c r="X1" s="22"/>
      <c r="Y1" s="21"/>
      <c r="Z1" s="21"/>
      <c r="AA1" s="22"/>
      <c r="AB1" s="21"/>
      <c r="AC1" s="22"/>
      <c r="AD1" s="22"/>
      <c r="AE1" s="21"/>
      <c r="AF1" s="2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7BE7C-BFF5-174C-A29C-DB7EB51A43E2}">
  <sheetPr codeName="Hoja1">
    <tabColor theme="0" tint="-4.9989318521683403E-2"/>
  </sheetPr>
  <dimension ref="A1:AB1"/>
  <sheetViews>
    <sheetView workbookViewId="0">
      <selection activeCell="A2" sqref="A2"/>
    </sheetView>
  </sheetViews>
  <sheetFormatPr baseColWidth="10" defaultRowHeight="16" x14ac:dyDescent="0.2"/>
  <cols>
    <col min="26" max="26" width="9.7109375" bestFit="1" customWidth="1"/>
  </cols>
  <sheetData>
    <row r="1" spans="1:28" x14ac:dyDescent="0.2">
      <c r="A1" s="2"/>
      <c r="B1" s="2"/>
      <c r="C1" s="2"/>
      <c r="D1" s="2"/>
      <c r="E1" s="2"/>
      <c r="F1" s="2"/>
      <c r="G1" s="22"/>
      <c r="H1" s="22"/>
      <c r="I1" s="21"/>
      <c r="J1" s="21"/>
      <c r="K1" s="7"/>
      <c r="L1" s="7"/>
      <c r="M1" s="7"/>
      <c r="N1" s="7"/>
      <c r="O1" s="22"/>
      <c r="P1" s="22"/>
      <c r="Q1" s="21"/>
      <c r="R1" s="21"/>
      <c r="S1" s="25"/>
      <c r="T1" s="25"/>
      <c r="U1" s="24"/>
      <c r="V1" s="23"/>
      <c r="W1" s="22"/>
      <c r="X1" s="22"/>
      <c r="Y1" s="21"/>
      <c r="Z1" s="21"/>
      <c r="AA1" s="2"/>
      <c r="AB1" s="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67FB4B-73ED-764F-8730-C2004A27DC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Main</vt:lpstr>
      <vt:lpstr>Vectores_Index</vt:lpstr>
      <vt:lpstr>Plantilla_Frec</vt:lpstr>
      <vt:lpstr>Plantilla_Seve</vt:lpstr>
      <vt:lpstr>Plantilla_Plata</vt:lpstr>
      <vt:lpstr>Plantilla_Entremes</vt:lpstr>
      <vt:lpstr>Aux_Totales</vt:lpstr>
      <vt:lpstr>Aux_Expuestos</vt:lpstr>
      <vt:lpstr>Aux_Primas</vt:lpstr>
      <vt:lpstr>Atipicos</vt:lpstr>
      <vt:lpstr>Aux_Anterior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Sebastian Tobon Echavarria</cp:lastModifiedBy>
  <dcterms:created xsi:type="dcterms:W3CDTF">2015-01-25T11:31:25Z</dcterms:created>
  <dcterms:modified xsi:type="dcterms:W3CDTF">2024-12-29T00:33:39Z</dcterms:modified>
</cp:coreProperties>
</file>